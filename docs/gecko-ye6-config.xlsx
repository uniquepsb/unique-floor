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Override PartName="/xl/worksheets/sheet6.xml" ContentType="application/vnd.openxmlformats-officedocument.spreadsheetml.worksheet+xml"/>
  <Default Extension="jpeg" ContentType="image/jpeg"/>
  <Default Extension="emf" ContentType="image/x-emf"/>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2.xml" ContentType="application/vnd.ms-excel.controlproperties+xml"/>
  <Override PartName="/xl/ctrlProps/ctrlProp1.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5"/>
  <workbookPr codeName="ThisWorkbook" defaultThemeVersion="124226"/>
  <bookViews>
    <workbookView xWindow="28680" yWindow="-120" windowWidth="29040" windowHeight="15840" tabRatio="341"/>
  </bookViews>
  <sheets>
    <sheet name="Config." sheetId="5" r:id="rId1"/>
    <sheet name="Additional Config." sheetId="12" r:id="rId2"/>
    <sheet name="Additionnal Config. (2)" sheetId="14" r:id="rId3"/>
    <sheet name="QSC" sheetId="13" r:id="rId4"/>
    <sheet name="Supply Attribution" sheetId="6" r:id="rId5"/>
    <sheet name="Images" sheetId="10" state="hidden" r:id="rId6"/>
  </sheets>
  <externalReferences>
    <externalReference r:id="rId7"/>
    <externalReference r:id="rId8"/>
    <externalReference r:id="rId9"/>
  </externalReferences>
  <definedNames>
    <definedName name="image" localSheetId="1">IF('Additional Config.'!$K$3&lt;7,Images!$B$1,Images!$B$2)</definedName>
    <definedName name="image" localSheetId="2">IF('Additionnal Config. (2)'!$K$3&lt;7,Images!$B$1,Images!$B$2)</definedName>
    <definedName name="image" localSheetId="3">IF([1]Config.!$K$3&lt;7,[1]Images!$B$1,[1]Images!$B$2)</definedName>
    <definedName name="image">IF(Config.!$K$3&lt;7,Images!$B$1,Images!$B$2)</definedName>
    <definedName name="_xlnm.Print_Area" localSheetId="1">'Additional Config.'!$J$1:$AD$105</definedName>
    <definedName name="_xlnm.Print_Area" localSheetId="2">'Additionnal Config. (2)'!$J$1:$AD$114</definedName>
    <definedName name="_xlnm.Print_Area" localSheetId="0">Config.!$J$1:$AD$114</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F89" i="14"/>
  <c r="AF88"/>
  <c r="AF87"/>
  <c r="AF86"/>
  <c r="AF85"/>
  <c r="AF84"/>
  <c r="AF83"/>
  <c r="AF82"/>
  <c r="AF81"/>
  <c r="AF80"/>
  <c r="S90"/>
  <c r="R90"/>
  <c r="X88"/>
  <c r="S85"/>
  <c r="S84"/>
  <c r="V83"/>
  <c r="S83"/>
  <c r="S82"/>
  <c r="S81"/>
  <c r="S80"/>
  <c r="S79"/>
  <c r="AF78"/>
  <c r="S78"/>
  <c r="AF77"/>
  <c r="S77"/>
  <c r="AF76"/>
  <c r="S76"/>
  <c r="AF75"/>
  <c r="S75"/>
  <c r="AF74"/>
  <c r="S74"/>
  <c r="AF73"/>
  <c r="S73"/>
  <c r="AF72"/>
  <c r="S72"/>
  <c r="AF71"/>
  <c r="S71"/>
  <c r="L71"/>
  <c r="AF70"/>
  <c r="S70"/>
  <c r="AF69"/>
  <c r="S69"/>
  <c r="S68"/>
  <c r="S67"/>
  <c r="S66"/>
  <c r="S65"/>
  <c r="S64"/>
  <c r="X62"/>
  <c r="L61"/>
  <c r="K61"/>
  <c r="K60"/>
  <c r="T59"/>
  <c r="K59"/>
  <c r="T58"/>
  <c r="AE52"/>
  <c r="AE51"/>
  <c r="AE50"/>
  <c r="AE49"/>
  <c r="AE48"/>
  <c r="AE47"/>
  <c r="AE46"/>
  <c r="AE45"/>
  <c r="AE44"/>
  <c r="AE43"/>
  <c r="H43"/>
  <c r="AE42"/>
  <c r="AE41"/>
  <c r="AE38"/>
  <c r="AE36"/>
  <c r="AE35"/>
  <c r="AE34"/>
  <c r="I34"/>
  <c r="H34"/>
  <c r="AE33"/>
  <c r="AE32"/>
  <c r="AE31"/>
  <c r="H28"/>
  <c r="I25"/>
  <c r="H25"/>
  <c r="I22"/>
  <c r="AE21"/>
  <c r="G20"/>
  <c r="F20"/>
  <c r="A20"/>
  <c r="I19"/>
  <c r="H19"/>
  <c r="G19"/>
  <c r="E19"/>
  <c r="D19"/>
  <c r="C19"/>
  <c r="B19"/>
  <c r="A19"/>
  <c r="I18"/>
  <c r="H18"/>
  <c r="H37" s="1"/>
  <c r="Q15"/>
  <c r="Q17" s="1"/>
  <c r="P15"/>
  <c r="P17" s="1"/>
  <c r="P14"/>
  <c r="P16" s="1"/>
  <c r="P13"/>
  <c r="N13"/>
  <c r="Q12"/>
  <c r="Q13" s="1"/>
  <c r="P12"/>
  <c r="N12"/>
  <c r="N15" s="1"/>
  <c r="N17" s="1"/>
  <c r="M12"/>
  <c r="L12"/>
  <c r="L13" s="1"/>
  <c r="K12"/>
  <c r="K13" s="1"/>
  <c r="P11"/>
  <c r="M11"/>
  <c r="L11"/>
  <c r="Q10"/>
  <c r="Q11" s="1"/>
  <c r="P10"/>
  <c r="M10"/>
  <c r="M14" s="1"/>
  <c r="M16" s="1"/>
  <c r="L10"/>
  <c r="L14" s="1"/>
  <c r="L16" s="1"/>
  <c r="K10"/>
  <c r="O9"/>
  <c r="O12" s="1"/>
  <c r="O15" s="1"/>
  <c r="O17" s="1"/>
  <c r="N9"/>
  <c r="N10" s="1"/>
  <c r="V7"/>
  <c r="W9" s="1"/>
  <c r="R7"/>
  <c r="K7"/>
  <c r="K8" s="1"/>
  <c r="J4"/>
  <c r="K3"/>
  <c r="V8" s="1"/>
  <c r="R2"/>
  <c r="L2"/>
  <c r="L4" s="1"/>
  <c r="A2"/>
  <c r="L1"/>
  <c r="K59" i="5"/>
  <c r="K60"/>
  <c r="T59" i="12"/>
  <c r="T58"/>
  <c r="T59" i="5"/>
  <c r="T58"/>
  <c r="V83" i="12"/>
  <c r="V83" i="5"/>
  <c r="L2"/>
  <c r="S9" i="14" l="1"/>
  <c r="R9"/>
  <c r="M13"/>
  <c r="M15"/>
  <c r="M17" s="1"/>
  <c r="AE22"/>
  <c r="O13"/>
  <c r="Y9"/>
  <c r="X9"/>
  <c r="I50"/>
  <c r="I46"/>
  <c r="I42"/>
  <c r="I39"/>
  <c r="I33"/>
  <c r="I27"/>
  <c r="I43"/>
  <c r="I36"/>
  <c r="I24"/>
  <c r="I21"/>
  <c r="I37"/>
  <c r="I49"/>
  <c r="I45"/>
  <c r="I41"/>
  <c r="I32"/>
  <c r="I29"/>
  <c r="I40"/>
  <c r="I47"/>
  <c r="I38"/>
  <c r="I26"/>
  <c r="I52"/>
  <c r="I48"/>
  <c r="I44"/>
  <c r="I35"/>
  <c r="I31"/>
  <c r="I23"/>
  <c r="I28"/>
  <c r="I51"/>
  <c r="I30"/>
  <c r="H51"/>
  <c r="H30"/>
  <c r="H22"/>
  <c r="H50"/>
  <c r="H46"/>
  <c r="H42"/>
  <c r="H39"/>
  <c r="H33"/>
  <c r="H27"/>
  <c r="H40"/>
  <c r="H36"/>
  <c r="H24"/>
  <c r="H21"/>
  <c r="H52"/>
  <c r="H48"/>
  <c r="H44"/>
  <c r="H23"/>
  <c r="H49"/>
  <c r="H45"/>
  <c r="H41"/>
  <c r="H32"/>
  <c r="H29"/>
  <c r="H31"/>
  <c r="H38"/>
  <c r="H26"/>
  <c r="H35"/>
  <c r="K11"/>
  <c r="K14"/>
  <c r="H47"/>
  <c r="W10"/>
  <c r="W12"/>
  <c r="N14"/>
  <c r="N16" s="1"/>
  <c r="N11"/>
  <c r="AE39"/>
  <c r="AE40"/>
  <c r="Q14"/>
  <c r="Q16" s="1"/>
  <c r="K15"/>
  <c r="K17" s="1"/>
  <c r="AE37"/>
  <c r="R8"/>
  <c r="T9" s="1"/>
  <c r="V9"/>
  <c r="O10"/>
  <c r="L15"/>
  <c r="L17" s="1"/>
  <c r="L3"/>
  <c r="K4" i="6"/>
  <c r="O3" s="1"/>
  <c r="X12"/>
  <c r="P92"/>
  <c r="P91"/>
  <c r="P90"/>
  <c r="P72"/>
  <c r="P71"/>
  <c r="P70"/>
  <c r="P56"/>
  <c r="P55"/>
  <c r="P54"/>
  <c r="P36"/>
  <c r="P35"/>
  <c r="P34"/>
  <c r="T12" i="14" l="1"/>
  <c r="T10"/>
  <c r="X10"/>
  <c r="X12"/>
  <c r="Y10"/>
  <c r="Y12"/>
  <c r="O11"/>
  <c r="O14"/>
  <c r="O16" s="1"/>
  <c r="W15"/>
  <c r="W17" s="1"/>
  <c r="W13"/>
  <c r="R10"/>
  <c r="R12"/>
  <c r="U9"/>
  <c r="K16"/>
  <c r="S12"/>
  <c r="S10"/>
  <c r="V10"/>
  <c r="V12"/>
  <c r="W11"/>
  <c r="W14"/>
  <c r="W16" s="1"/>
  <c r="AE23"/>
  <c r="Q5" i="6"/>
  <c r="R11"/>
  <c r="Q10"/>
  <c r="O11"/>
  <c r="Q8"/>
  <c r="O9"/>
  <c r="R10"/>
  <c r="Q7"/>
  <c r="O8"/>
  <c r="P5"/>
  <c r="O5"/>
  <c r="Q9"/>
  <c r="O10"/>
  <c r="R9"/>
  <c r="P11"/>
  <c r="O7"/>
  <c r="R8"/>
  <c r="P10"/>
  <c r="O6"/>
  <c r="P9"/>
  <c r="P8"/>
  <c r="R5"/>
  <c r="P7"/>
  <c r="P6"/>
  <c r="Q11"/>
  <c r="R7"/>
  <c r="Q6"/>
  <c r="R6"/>
  <c r="V14"/>
  <c r="Q14"/>
  <c r="U14"/>
  <c r="R14"/>
  <c r="T14"/>
  <c r="S14"/>
  <c r="X73" i="12"/>
  <c r="S13" i="14" l="1"/>
  <c r="S15"/>
  <c r="S17" s="1"/>
  <c r="Y13"/>
  <c r="Y15"/>
  <c r="Y17" s="1"/>
  <c r="AE24"/>
  <c r="U10"/>
  <c r="U12"/>
  <c r="Y11"/>
  <c r="Y14"/>
  <c r="Y16" s="1"/>
  <c r="R15"/>
  <c r="R17" s="1"/>
  <c r="R13"/>
  <c r="X13"/>
  <c r="X15"/>
  <c r="X17" s="1"/>
  <c r="V15"/>
  <c r="V17" s="1"/>
  <c r="V13"/>
  <c r="S11"/>
  <c r="S14"/>
  <c r="S16" s="1"/>
  <c r="R11"/>
  <c r="R14"/>
  <c r="X11"/>
  <c r="X14"/>
  <c r="X16" s="1"/>
  <c r="T14"/>
  <c r="T16" s="1"/>
  <c r="T11"/>
  <c r="V14"/>
  <c r="V16" s="1"/>
  <c r="V11"/>
  <c r="T13"/>
  <c r="T15"/>
  <c r="T17" s="1"/>
  <c r="M12" i="12"/>
  <c r="L12"/>
  <c r="K12"/>
  <c r="K13" s="1"/>
  <c r="K12" i="5"/>
  <c r="L12"/>
  <c r="Q12" i="12"/>
  <c r="Q13" s="1"/>
  <c r="P12"/>
  <c r="P13" s="1"/>
  <c r="M10"/>
  <c r="L10"/>
  <c r="K10"/>
  <c r="P10"/>
  <c r="P11" s="1"/>
  <c r="Q10"/>
  <c r="Q11" s="1"/>
  <c r="M12" i="5"/>
  <c r="P12"/>
  <c r="Q12"/>
  <c r="Q10"/>
  <c r="K10"/>
  <c r="L10"/>
  <c r="M10"/>
  <c r="AC2" i="12"/>
  <c r="AC3"/>
  <c r="AC4"/>
  <c r="AC5"/>
  <c r="AC1"/>
  <c r="X2"/>
  <c r="X3"/>
  <c r="X4"/>
  <c r="X1"/>
  <c r="N6"/>
  <c r="O6"/>
  <c r="K6"/>
  <c r="K59" s="1"/>
  <c r="L6"/>
  <c r="M6"/>
  <c r="J6"/>
  <c r="J4" s="1"/>
  <c r="K2"/>
  <c r="K1"/>
  <c r="S85"/>
  <c r="S84"/>
  <c r="S83"/>
  <c r="S82"/>
  <c r="S81"/>
  <c r="S80"/>
  <c r="S79"/>
  <c r="AF78"/>
  <c r="S78"/>
  <c r="AF77"/>
  <c r="S77"/>
  <c r="AF76"/>
  <c r="S76"/>
  <c r="AF75"/>
  <c r="S75"/>
  <c r="AF74"/>
  <c r="S74"/>
  <c r="AF73"/>
  <c r="S73"/>
  <c r="AF72"/>
  <c r="S72"/>
  <c r="AF71"/>
  <c r="S71"/>
  <c r="AF70"/>
  <c r="S70"/>
  <c r="AF69"/>
  <c r="S69"/>
  <c r="S68"/>
  <c r="S67"/>
  <c r="S66"/>
  <c r="S65"/>
  <c r="S64"/>
  <c r="AE22"/>
  <c r="AE21"/>
  <c r="F20"/>
  <c r="R2"/>
  <c r="E38" i="14" l="1"/>
  <c r="F43"/>
  <c r="C27"/>
  <c r="B48"/>
  <c r="A35"/>
  <c r="U13"/>
  <c r="U15"/>
  <c r="U17" s="1"/>
  <c r="F39"/>
  <c r="E35"/>
  <c r="E29"/>
  <c r="C25"/>
  <c r="A27"/>
  <c r="E24"/>
  <c r="U14"/>
  <c r="B26" s="1"/>
  <c r="U11"/>
  <c r="B24"/>
  <c r="E26"/>
  <c r="A21"/>
  <c r="C37"/>
  <c r="A39"/>
  <c r="F41"/>
  <c r="B45"/>
  <c r="D37"/>
  <c r="R16"/>
  <c r="E45"/>
  <c r="B44"/>
  <c r="B23"/>
  <c r="C51"/>
  <c r="B40"/>
  <c r="D30"/>
  <c r="D50"/>
  <c r="F32"/>
  <c r="B22"/>
  <c r="C46"/>
  <c r="C44"/>
  <c r="A32"/>
  <c r="F22"/>
  <c r="F38"/>
  <c r="D43"/>
  <c r="F33"/>
  <c r="E22"/>
  <c r="E49"/>
  <c r="F27"/>
  <c r="A23"/>
  <c r="D29"/>
  <c r="E23"/>
  <c r="A47"/>
  <c r="A52"/>
  <c r="A51"/>
  <c r="B30"/>
  <c r="B47"/>
  <c r="A38"/>
  <c r="A44"/>
  <c r="C22"/>
  <c r="B33"/>
  <c r="C21"/>
  <c r="D23"/>
  <c r="F46"/>
  <c r="E42"/>
  <c r="D33"/>
  <c r="F35"/>
  <c r="A25"/>
  <c r="E39"/>
  <c r="D36"/>
  <c r="F29"/>
  <c r="A40"/>
  <c r="A37"/>
  <c r="D44"/>
  <c r="C35"/>
  <c r="D25"/>
  <c r="F23"/>
  <c r="C50"/>
  <c r="E50"/>
  <c r="D24"/>
  <c r="D42"/>
  <c r="C34"/>
  <c r="F31"/>
  <c r="F34"/>
  <c r="B35"/>
  <c r="F21"/>
  <c r="A30"/>
  <c r="B27"/>
  <c r="C30"/>
  <c r="D49"/>
  <c r="E44"/>
  <c r="A33"/>
  <c r="E47"/>
  <c r="E25"/>
  <c r="A31"/>
  <c r="C33"/>
  <c r="C39"/>
  <c r="B28"/>
  <c r="C24"/>
  <c r="E43"/>
  <c r="D21"/>
  <c r="F49"/>
  <c r="C26"/>
  <c r="E48"/>
  <c r="A45"/>
  <c r="C41"/>
  <c r="A50"/>
  <c r="C31"/>
  <c r="E27"/>
  <c r="F24"/>
  <c r="F28"/>
  <c r="D51"/>
  <c r="B25"/>
  <c r="D40"/>
  <c r="F26"/>
  <c r="D38"/>
  <c r="C36"/>
  <c r="A46"/>
  <c r="D35"/>
  <c r="A26"/>
  <c r="A22"/>
  <c r="A48"/>
  <c r="C49"/>
  <c r="E52"/>
  <c r="F48"/>
  <c r="E34"/>
  <c r="E31"/>
  <c r="F40"/>
  <c r="B51"/>
  <c r="F45"/>
  <c r="F44"/>
  <c r="B49"/>
  <c r="C40"/>
  <c r="E41"/>
  <c r="A29"/>
  <c r="D26"/>
  <c r="D48"/>
  <c r="B36"/>
  <c r="A24"/>
  <c r="A28"/>
  <c r="E32"/>
  <c r="B39"/>
  <c r="F50"/>
  <c r="B38"/>
  <c r="F37"/>
  <c r="AE25"/>
  <c r="F25"/>
  <c r="C48"/>
  <c r="C43"/>
  <c r="B46"/>
  <c r="C28"/>
  <c r="E51"/>
  <c r="A36"/>
  <c r="B50"/>
  <c r="E37"/>
  <c r="E33"/>
  <c r="H19" i="12"/>
  <c r="K61"/>
  <c r="L71"/>
  <c r="R90"/>
  <c r="L60"/>
  <c r="K60" s="1"/>
  <c r="G19"/>
  <c r="X62"/>
  <c r="I19"/>
  <c r="H18"/>
  <c r="H41" s="1"/>
  <c r="I18"/>
  <c r="I42" s="1"/>
  <c r="G20"/>
  <c r="G48" i="14" l="1"/>
  <c r="D39"/>
  <c r="G39" s="1"/>
  <c r="G24"/>
  <c r="AE26"/>
  <c r="F52"/>
  <c r="D47"/>
  <c r="F30"/>
  <c r="B29"/>
  <c r="G44"/>
  <c r="G26"/>
  <c r="D31"/>
  <c r="D34"/>
  <c r="B42"/>
  <c r="B34"/>
  <c r="C42"/>
  <c r="D32"/>
  <c r="D22"/>
  <c r="G22" s="1"/>
  <c r="B43"/>
  <c r="B37"/>
  <c r="G37" s="1"/>
  <c r="F36"/>
  <c r="U16"/>
  <c r="G35" s="1"/>
  <c r="E36"/>
  <c r="G36" s="1"/>
  <c r="E28"/>
  <c r="F47"/>
  <c r="A43"/>
  <c r="B41"/>
  <c r="C29"/>
  <c r="E30"/>
  <c r="C38"/>
  <c r="G38" s="1"/>
  <c r="B52"/>
  <c r="A49"/>
  <c r="G49" s="1"/>
  <c r="C23"/>
  <c r="G23" s="1"/>
  <c r="D46"/>
  <c r="C47"/>
  <c r="E40"/>
  <c r="G40" s="1"/>
  <c r="F42"/>
  <c r="D27"/>
  <c r="G27" s="1"/>
  <c r="C52"/>
  <c r="D52"/>
  <c r="B32"/>
  <c r="D45"/>
  <c r="B31"/>
  <c r="B21"/>
  <c r="D41"/>
  <c r="D28"/>
  <c r="E46"/>
  <c r="A34"/>
  <c r="F51"/>
  <c r="G51" s="1"/>
  <c r="C32"/>
  <c r="A42"/>
  <c r="E21"/>
  <c r="A41"/>
  <c r="C45"/>
  <c r="G33"/>
  <c r="G25"/>
  <c r="I43" i="12"/>
  <c r="H33"/>
  <c r="H23"/>
  <c r="I39"/>
  <c r="I49"/>
  <c r="I46"/>
  <c r="H42"/>
  <c r="I31"/>
  <c r="H43"/>
  <c r="I27"/>
  <c r="I32"/>
  <c r="I22"/>
  <c r="H36"/>
  <c r="H51"/>
  <c r="H47"/>
  <c r="I24"/>
  <c r="I47"/>
  <c r="I25"/>
  <c r="I40"/>
  <c r="I51"/>
  <c r="I21"/>
  <c r="H39"/>
  <c r="I36"/>
  <c r="H50"/>
  <c r="H46"/>
  <c r="I45"/>
  <c r="H44"/>
  <c r="H52"/>
  <c r="H45"/>
  <c r="I34"/>
  <c r="I44"/>
  <c r="H24"/>
  <c r="I35"/>
  <c r="I50"/>
  <c r="I28"/>
  <c r="I23"/>
  <c r="H49"/>
  <c r="I33"/>
  <c r="H22"/>
  <c r="H37"/>
  <c r="H40"/>
  <c r="H31"/>
  <c r="I30"/>
  <c r="H21"/>
  <c r="I48"/>
  <c r="I26"/>
  <c r="I29"/>
  <c r="H34"/>
  <c r="H48"/>
  <c r="H25"/>
  <c r="H28"/>
  <c r="H30"/>
  <c r="H32"/>
  <c r="I37"/>
  <c r="I52"/>
  <c r="H35"/>
  <c r="H27"/>
  <c r="H38"/>
  <c r="H29"/>
  <c r="I38"/>
  <c r="H26"/>
  <c r="I41"/>
  <c r="AE23"/>
  <c r="G31" i="14" l="1"/>
  <c r="G43"/>
  <c r="G41"/>
  <c r="G45"/>
  <c r="G32"/>
  <c r="G28"/>
  <c r="G42"/>
  <c r="G29"/>
  <c r="G52"/>
  <c r="G47"/>
  <c r="G46"/>
  <c r="G21"/>
  <c r="G30"/>
  <c r="G34"/>
  <c r="G50"/>
  <c r="AE27"/>
  <c r="AE24" i="12"/>
  <c r="AE28" i="14" l="1"/>
  <c r="AE25" i="12"/>
  <c r="AE29" i="14" l="1"/>
  <c r="AE30"/>
  <c r="AE26" i="12"/>
  <c r="AE27" l="1"/>
  <c r="AE28" l="1"/>
  <c r="AE29" l="1"/>
  <c r="AE30" l="1"/>
  <c r="AE31" l="1"/>
  <c r="AE32" l="1"/>
  <c r="AE33" l="1"/>
  <c r="AE34" l="1"/>
  <c r="AE35" l="1"/>
  <c r="Z12" i="6"/>
  <c r="Z11"/>
  <c r="Z10"/>
  <c r="Z9"/>
  <c r="Z8"/>
  <c r="Z7"/>
  <c r="Z6"/>
  <c r="Z5"/>
  <c r="AE36" i="12" l="1"/>
  <c r="K3" i="5"/>
  <c r="K3" i="12" l="1"/>
  <c r="V8" i="5"/>
  <c r="R8"/>
  <c r="AE37" i="12"/>
  <c r="V7" i="5"/>
  <c r="K7"/>
  <c r="K8" s="1"/>
  <c r="R7"/>
  <c r="O9"/>
  <c r="O12" s="1"/>
  <c r="K3" i="6"/>
  <c r="V9" i="5" l="1"/>
  <c r="Y9"/>
  <c r="N9" i="12"/>
  <c r="V8"/>
  <c r="R8"/>
  <c r="V7"/>
  <c r="O9"/>
  <c r="R7"/>
  <c r="K7"/>
  <c r="K8" s="1"/>
  <c r="AE38"/>
  <c r="R9" i="5"/>
  <c r="X9"/>
  <c r="W9"/>
  <c r="U9"/>
  <c r="T9"/>
  <c r="S9"/>
  <c r="T6" i="6"/>
  <c r="T7" s="1"/>
  <c r="T8" s="1"/>
  <c r="T9" s="1"/>
  <c r="T10" s="1"/>
  <c r="T11" s="1"/>
  <c r="L61" i="5"/>
  <c r="K61" s="1"/>
  <c r="J22"/>
  <c r="J23" s="1"/>
  <c r="I18"/>
  <c r="H18"/>
  <c r="H1" i="6"/>
  <c r="B19" s="1"/>
  <c r="Q13" i="5"/>
  <c r="R90"/>
  <c r="P52" i="6"/>
  <c r="P51"/>
  <c r="P50"/>
  <c r="P32"/>
  <c r="P31"/>
  <c r="P30"/>
  <c r="P68"/>
  <c r="P67"/>
  <c r="P66"/>
  <c r="P24"/>
  <c r="P23"/>
  <c r="P22"/>
  <c r="P44"/>
  <c r="P43"/>
  <c r="P42"/>
  <c r="P63"/>
  <c r="P28"/>
  <c r="P27"/>
  <c r="P26"/>
  <c r="X62" i="5"/>
  <c r="AF78"/>
  <c r="AF77"/>
  <c r="AF76"/>
  <c r="AF75"/>
  <c r="AF74"/>
  <c r="AF73"/>
  <c r="AF72"/>
  <c r="AF71"/>
  <c r="AF70"/>
  <c r="AF69"/>
  <c r="P48" i="6"/>
  <c r="P47"/>
  <c r="P46"/>
  <c r="R2" i="5"/>
  <c r="P64" i="6"/>
  <c r="P62"/>
  <c r="P60"/>
  <c r="P59"/>
  <c r="P58"/>
  <c r="P40"/>
  <c r="P39"/>
  <c r="P38"/>
  <c r="P20"/>
  <c r="P19"/>
  <c r="P18"/>
  <c r="F20" i="5"/>
  <c r="M6" i="6"/>
  <c r="M7" s="1"/>
  <c r="M8" s="1"/>
  <c r="M9" s="1"/>
  <c r="M10" s="1"/>
  <c r="M11" s="1"/>
  <c r="J4" i="5"/>
  <c r="R13" i="6"/>
  <c r="S13" s="1"/>
  <c r="T13" s="1"/>
  <c r="U13" s="1"/>
  <c r="V13" s="1"/>
  <c r="W13" s="1"/>
  <c r="X13" s="1"/>
  <c r="Y13" s="1"/>
  <c r="Z13" s="1"/>
  <c r="AA13" s="1"/>
  <c r="AB13" s="1"/>
  <c r="AC13" s="1"/>
  <c r="AD13" s="1"/>
  <c r="S5"/>
  <c r="S7"/>
  <c r="S8"/>
  <c r="S9"/>
  <c r="S10"/>
  <c r="S11"/>
  <c r="S6"/>
  <c r="G20" i="5"/>
  <c r="I19"/>
  <c r="H19"/>
  <c r="G19"/>
  <c r="L71"/>
  <c r="AE21"/>
  <c r="S85"/>
  <c r="S84"/>
  <c r="S83"/>
  <c r="S82"/>
  <c r="S81"/>
  <c r="S80"/>
  <c r="S79"/>
  <c r="S78"/>
  <c r="S77"/>
  <c r="S76"/>
  <c r="S75"/>
  <c r="S74"/>
  <c r="S73"/>
  <c r="S72"/>
  <c r="S71"/>
  <c r="S70"/>
  <c r="S69"/>
  <c r="S68"/>
  <c r="S67"/>
  <c r="S66"/>
  <c r="S65"/>
  <c r="S64"/>
  <c r="U9" i="12" l="1"/>
  <c r="S9"/>
  <c r="R9"/>
  <c r="T9"/>
  <c r="O10"/>
  <c r="O12"/>
  <c r="O13" s="1"/>
  <c r="Y9"/>
  <c r="V9"/>
  <c r="X9"/>
  <c r="W9"/>
  <c r="N10"/>
  <c r="N12"/>
  <c r="N13" s="1"/>
  <c r="AE22" i="5"/>
  <c r="AE39" i="12"/>
  <c r="AE23" i="5"/>
  <c r="J24"/>
  <c r="D1" i="6"/>
  <c r="J18" s="1"/>
  <c r="G37"/>
  <c r="G34"/>
  <c r="G24"/>
  <c r="B19" i="12" s="1"/>
  <c r="G25" i="6"/>
  <c r="C19" i="12" s="1"/>
  <c r="L3" i="5"/>
  <c r="N9"/>
  <c r="G33" i="6"/>
  <c r="G32"/>
  <c r="G31"/>
  <c r="G35"/>
  <c r="G20"/>
  <c r="G21"/>
  <c r="N10" i="5" l="1"/>
  <c r="N12"/>
  <c r="AH12" i="6"/>
  <c r="K17"/>
  <c r="J17"/>
  <c r="Y12"/>
  <c r="AD14"/>
  <c r="L4" i="5"/>
  <c r="A2"/>
  <c r="X88" i="12"/>
  <c r="X88" i="5"/>
  <c r="S90" i="12"/>
  <c r="A20"/>
  <c r="A20" i="5"/>
  <c r="AG15" i="6"/>
  <c r="AG6" s="1"/>
  <c r="L3" i="12"/>
  <c r="AE40"/>
  <c r="AH22" i="6"/>
  <c r="J16"/>
  <c r="AG3"/>
  <c r="J23"/>
  <c r="G23" s="1"/>
  <c r="A19" i="12" s="1"/>
  <c r="AE24" i="5"/>
  <c r="J25"/>
  <c r="B19"/>
  <c r="S90"/>
  <c r="C19"/>
  <c r="AG19" i="6" l="1"/>
  <c r="W14"/>
  <c r="AH16"/>
  <c r="AH7" s="1"/>
  <c r="AG18"/>
  <c r="AG9" s="1"/>
  <c r="AH17"/>
  <c r="AH8" s="1"/>
  <c r="AH18"/>
  <c r="AH9" s="1"/>
  <c r="AH15"/>
  <c r="AH6" s="1"/>
  <c r="AG17"/>
  <c r="AG8" s="1"/>
  <c r="AH19"/>
  <c r="AH10" s="1"/>
  <c r="AG16"/>
  <c r="AG7" s="1"/>
  <c r="AG10"/>
  <c r="B18"/>
  <c r="B17"/>
  <c r="O14" s="1"/>
  <c r="B16"/>
  <c r="N14" s="1"/>
  <c r="AG30"/>
  <c r="AG29"/>
  <c r="AG24"/>
  <c r="AG25"/>
  <c r="AG26"/>
  <c r="AG27"/>
  <c r="AG28"/>
  <c r="AG20"/>
  <c r="AG11" s="1"/>
  <c r="AH20"/>
  <c r="AH11" s="1"/>
  <c r="AH14"/>
  <c r="AG14"/>
  <c r="AG5" s="1"/>
  <c r="G7"/>
  <c r="B4"/>
  <c r="B5"/>
  <c r="G8"/>
  <c r="B6"/>
  <c r="F6" s="1"/>
  <c r="G4"/>
  <c r="B7"/>
  <c r="F7" s="1"/>
  <c r="B8"/>
  <c r="F8" s="1"/>
  <c r="G5"/>
  <c r="G6"/>
  <c r="AE41" i="12"/>
  <c r="A19" i="5"/>
  <c r="AE25"/>
  <c r="J26"/>
  <c r="L2" i="12"/>
  <c r="A55" s="1"/>
  <c r="K11" l="1"/>
  <c r="L13"/>
  <c r="M13"/>
  <c r="N11"/>
  <c r="P14" i="6"/>
  <c r="AE42" i="12"/>
  <c r="AE26" i="5"/>
  <c r="J27"/>
  <c r="F5" i="6"/>
  <c r="M11" i="12" s="1"/>
  <c r="O10" i="5"/>
  <c r="F4" i="6"/>
  <c r="L11" i="12" s="1"/>
  <c r="AE43" l="1"/>
  <c r="AE27" i="5"/>
  <c r="J28"/>
  <c r="L13"/>
  <c r="K13"/>
  <c r="N13"/>
  <c r="P13"/>
  <c r="O13"/>
  <c r="AE44" i="12" l="1"/>
  <c r="J29" i="5"/>
  <c r="AE28"/>
  <c r="AE45" i="12" l="1"/>
  <c r="J30" i="5"/>
  <c r="AE29"/>
  <c r="AE46" i="12" l="1"/>
  <c r="AE30" i="5"/>
  <c r="AE47" i="12" l="1"/>
  <c r="AE31" i="5"/>
  <c r="AE48" i="12" l="1"/>
  <c r="AE32" i="5"/>
  <c r="AE49" i="12" l="1"/>
  <c r="J35" i="5"/>
  <c r="AE33"/>
  <c r="AH5" i="6"/>
  <c r="AE35" i="5" l="1"/>
  <c r="J36"/>
  <c r="J37" s="1"/>
  <c r="J38" s="1"/>
  <c r="J39" s="1"/>
  <c r="J40" s="1"/>
  <c r="AE50" i="12"/>
  <c r="AE34" i="5"/>
  <c r="V3" i="6"/>
  <c r="L1" i="5"/>
  <c r="AC14" i="6" l="1"/>
  <c r="AB14"/>
  <c r="AA14"/>
  <c r="Z14"/>
  <c r="Y14"/>
  <c r="X14"/>
  <c r="Y5"/>
  <c r="B9" s="1"/>
  <c r="O11" i="12" s="1"/>
  <c r="Y8" i="6"/>
  <c r="X6"/>
  <c r="G10" s="1"/>
  <c r="X7"/>
  <c r="G11" s="1"/>
  <c r="V5"/>
  <c r="X8"/>
  <c r="G12" s="1"/>
  <c r="X5"/>
  <c r="X9"/>
  <c r="G13" s="1"/>
  <c r="Y10"/>
  <c r="X10"/>
  <c r="G14" s="1"/>
  <c r="Y6"/>
  <c r="X11"/>
  <c r="G15" s="1"/>
  <c r="Y9"/>
  <c r="Y11"/>
  <c r="Y7"/>
  <c r="AE51" i="12"/>
  <c r="AE52"/>
  <c r="V8" i="6"/>
  <c r="W8"/>
  <c r="V11"/>
  <c r="V9"/>
  <c r="W9"/>
  <c r="V6"/>
  <c r="V10"/>
  <c r="W10"/>
  <c r="W5"/>
  <c r="W11"/>
  <c r="W6"/>
  <c r="V7"/>
  <c r="W7"/>
  <c r="G9"/>
  <c r="R12" i="5" l="1"/>
  <c r="S12"/>
  <c r="V12"/>
  <c r="Y12"/>
  <c r="Y13" s="1"/>
  <c r="T12"/>
  <c r="W12"/>
  <c r="W13" s="1"/>
  <c r="U12"/>
  <c r="U13" s="1"/>
  <c r="X12"/>
  <c r="W12" i="12"/>
  <c r="Y12"/>
  <c r="U12"/>
  <c r="R12"/>
  <c r="V12"/>
  <c r="X12"/>
  <c r="T12"/>
  <c r="S12"/>
  <c r="R10" i="5"/>
  <c r="S10"/>
  <c r="V10"/>
  <c r="T10"/>
  <c r="W10"/>
  <c r="X10"/>
  <c r="U10"/>
  <c r="Y10"/>
  <c r="Y11" s="1"/>
  <c r="S10" i="12"/>
  <c r="R10"/>
  <c r="W10"/>
  <c r="Y10"/>
  <c r="V10"/>
  <c r="U10"/>
  <c r="X10"/>
  <c r="T10"/>
  <c r="L11" i="5"/>
  <c r="M11"/>
  <c r="F9" i="6"/>
  <c r="B10"/>
  <c r="F10" s="1"/>
  <c r="B11"/>
  <c r="F11" s="1"/>
  <c r="B12"/>
  <c r="F12" s="1"/>
  <c r="B14"/>
  <c r="F14" s="1"/>
  <c r="B15"/>
  <c r="F15" s="1"/>
  <c r="B13"/>
  <c r="F13" s="1"/>
  <c r="G29"/>
  <c r="AE36" i="5"/>
  <c r="G26" i="6"/>
  <c r="D19" i="12" s="1"/>
  <c r="G28" i="6"/>
  <c r="G27"/>
  <c r="E19" i="12" s="1"/>
  <c r="F19" l="1"/>
  <c r="F19" i="14"/>
  <c r="K15" i="12"/>
  <c r="K17" s="1"/>
  <c r="M14"/>
  <c r="M16" s="1"/>
  <c r="R13"/>
  <c r="R15"/>
  <c r="R17" s="1"/>
  <c r="Q14"/>
  <c r="Q16" s="1"/>
  <c r="W13"/>
  <c r="W15"/>
  <c r="W17" s="1"/>
  <c r="U11"/>
  <c r="U14"/>
  <c r="U16" s="1"/>
  <c r="Q15"/>
  <c r="Q17" s="1"/>
  <c r="Y13"/>
  <c r="Y15"/>
  <c r="Y17" s="1"/>
  <c r="V11"/>
  <c r="V14"/>
  <c r="V16" s="1"/>
  <c r="O15"/>
  <c r="O17" s="1"/>
  <c r="T11"/>
  <c r="T14"/>
  <c r="T16" s="1"/>
  <c r="Y11"/>
  <c r="Y14"/>
  <c r="Y16" s="1"/>
  <c r="P14"/>
  <c r="P16" s="1"/>
  <c r="L15"/>
  <c r="L17" s="1"/>
  <c r="W11"/>
  <c r="W14"/>
  <c r="W16" s="1"/>
  <c r="P15"/>
  <c r="P17" s="1"/>
  <c r="K14"/>
  <c r="K16" s="1"/>
  <c r="O14"/>
  <c r="O16" s="1"/>
  <c r="S13"/>
  <c r="S15"/>
  <c r="S17" s="1"/>
  <c r="U13"/>
  <c r="U15"/>
  <c r="U17" s="1"/>
  <c r="S11"/>
  <c r="S14"/>
  <c r="S16" s="1"/>
  <c r="M15"/>
  <c r="M17" s="1"/>
  <c r="T13"/>
  <c r="T15"/>
  <c r="T17" s="1"/>
  <c r="N15"/>
  <c r="N17" s="1"/>
  <c r="X11"/>
  <c r="X14"/>
  <c r="X16" s="1"/>
  <c r="R11"/>
  <c r="R14"/>
  <c r="R16" s="1"/>
  <c r="L14"/>
  <c r="L16" s="1"/>
  <c r="X13"/>
  <c r="X15"/>
  <c r="X17" s="1"/>
  <c r="N14"/>
  <c r="N16" s="1"/>
  <c r="V13"/>
  <c r="V15"/>
  <c r="V17" s="1"/>
  <c r="K11" i="5"/>
  <c r="M13"/>
  <c r="N11"/>
  <c r="M14"/>
  <c r="M16" s="1"/>
  <c r="K14"/>
  <c r="O11"/>
  <c r="L14"/>
  <c r="L16" s="1"/>
  <c r="M15"/>
  <c r="M17" s="1"/>
  <c r="Q14"/>
  <c r="Q16" s="1"/>
  <c r="L15"/>
  <c r="L17" s="1"/>
  <c r="Q11"/>
  <c r="R13"/>
  <c r="N14"/>
  <c r="N16" s="1"/>
  <c r="X13"/>
  <c r="V11"/>
  <c r="X15"/>
  <c r="X17" s="1"/>
  <c r="S13"/>
  <c r="X11"/>
  <c r="R11"/>
  <c r="U11"/>
  <c r="W15"/>
  <c r="W17" s="1"/>
  <c r="Y15"/>
  <c r="Y17" s="1"/>
  <c r="Q15"/>
  <c r="Q17" s="1"/>
  <c r="V15"/>
  <c r="V17" s="1"/>
  <c r="O14"/>
  <c r="O16" s="1"/>
  <c r="P15"/>
  <c r="P17" s="1"/>
  <c r="U15"/>
  <c r="U17" s="1"/>
  <c r="R15"/>
  <c r="R17" s="1"/>
  <c r="T11"/>
  <c r="R14"/>
  <c r="R16" s="1"/>
  <c r="T14"/>
  <c r="T16" s="1"/>
  <c r="O15"/>
  <c r="O17" s="1"/>
  <c r="V14"/>
  <c r="V16" s="1"/>
  <c r="P14"/>
  <c r="X14"/>
  <c r="X16" s="1"/>
  <c r="S15"/>
  <c r="S17" s="1"/>
  <c r="U14"/>
  <c r="U16" s="1"/>
  <c r="N15"/>
  <c r="N17" s="1"/>
  <c r="K15"/>
  <c r="Y14"/>
  <c r="Y16" s="1"/>
  <c r="S11"/>
  <c r="T13"/>
  <c r="S14"/>
  <c r="S16" s="1"/>
  <c r="T15"/>
  <c r="T17" s="1"/>
  <c r="W14"/>
  <c r="W16" s="1"/>
  <c r="W11"/>
  <c r="AE37"/>
  <c r="V13"/>
  <c r="P11"/>
  <c r="E19"/>
  <c r="F19"/>
  <c r="D19"/>
  <c r="C35" l="1"/>
  <c r="A35"/>
  <c r="B35"/>
  <c r="F35"/>
  <c r="E35"/>
  <c r="D35"/>
  <c r="K16"/>
  <c r="F21" i="12"/>
  <c r="A51"/>
  <c r="A49"/>
  <c r="A47"/>
  <c r="A45"/>
  <c r="A43"/>
  <c r="A41"/>
  <c r="A39"/>
  <c r="A37"/>
  <c r="A35"/>
  <c r="A33"/>
  <c r="A31"/>
  <c r="A29"/>
  <c r="A27"/>
  <c r="A25"/>
  <c r="A23"/>
  <c r="E48"/>
  <c r="E40"/>
  <c r="E34"/>
  <c r="E26"/>
  <c r="D52"/>
  <c r="D40"/>
  <c r="D32"/>
  <c r="D24"/>
  <c r="C23"/>
  <c r="F52"/>
  <c r="F50"/>
  <c r="F48"/>
  <c r="F46"/>
  <c r="F44"/>
  <c r="F42"/>
  <c r="F40"/>
  <c r="F38"/>
  <c r="F36"/>
  <c r="F34"/>
  <c r="F32"/>
  <c r="F30"/>
  <c r="F28"/>
  <c r="F26"/>
  <c r="F24"/>
  <c r="F22"/>
  <c r="E44"/>
  <c r="E32"/>
  <c r="E24"/>
  <c r="D50"/>
  <c r="D44"/>
  <c r="D36"/>
  <c r="D28"/>
  <c r="D23"/>
  <c r="E52"/>
  <c r="E50"/>
  <c r="E46"/>
  <c r="E38"/>
  <c r="E30"/>
  <c r="D46"/>
  <c r="D38"/>
  <c r="D30"/>
  <c r="D22"/>
  <c r="B21"/>
  <c r="C52"/>
  <c r="C50"/>
  <c r="C48"/>
  <c r="C46"/>
  <c r="C44"/>
  <c r="C42"/>
  <c r="C40"/>
  <c r="C38"/>
  <c r="C36"/>
  <c r="C34"/>
  <c r="C32"/>
  <c r="C30"/>
  <c r="C28"/>
  <c r="C26"/>
  <c r="C24"/>
  <c r="C22"/>
  <c r="E29"/>
  <c r="D21"/>
  <c r="D43"/>
  <c r="D35"/>
  <c r="D27"/>
  <c r="B52"/>
  <c r="B50"/>
  <c r="B48"/>
  <c r="B46"/>
  <c r="B44"/>
  <c r="B42"/>
  <c r="B40"/>
  <c r="B38"/>
  <c r="B36"/>
  <c r="B34"/>
  <c r="B32"/>
  <c r="B30"/>
  <c r="B28"/>
  <c r="B26"/>
  <c r="B24"/>
  <c r="B22"/>
  <c r="E47"/>
  <c r="E41"/>
  <c r="E35"/>
  <c r="E25"/>
  <c r="D45"/>
  <c r="D37"/>
  <c r="D29"/>
  <c r="A52"/>
  <c r="A50"/>
  <c r="A48"/>
  <c r="A46"/>
  <c r="A44"/>
  <c r="A42"/>
  <c r="A40"/>
  <c r="A38"/>
  <c r="A36"/>
  <c r="A34"/>
  <c r="A32"/>
  <c r="A30"/>
  <c r="A28"/>
  <c r="A26"/>
  <c r="A24"/>
  <c r="A22"/>
  <c r="E49"/>
  <c r="E45"/>
  <c r="E39"/>
  <c r="E33"/>
  <c r="E27"/>
  <c r="D49"/>
  <c r="D39"/>
  <c r="D31"/>
  <c r="F51"/>
  <c r="F49"/>
  <c r="F47"/>
  <c r="F45"/>
  <c r="F43"/>
  <c r="F41"/>
  <c r="F39"/>
  <c r="F37"/>
  <c r="F35"/>
  <c r="F33"/>
  <c r="F31"/>
  <c r="F29"/>
  <c r="F27"/>
  <c r="F25"/>
  <c r="F23"/>
  <c r="E21"/>
  <c r="E51"/>
  <c r="E43"/>
  <c r="E37"/>
  <c r="E31"/>
  <c r="E23"/>
  <c r="D47"/>
  <c r="D41"/>
  <c r="D33"/>
  <c r="D25"/>
  <c r="D51"/>
  <c r="C51"/>
  <c r="C49"/>
  <c r="C47"/>
  <c r="C45"/>
  <c r="C43"/>
  <c r="C41"/>
  <c r="C39"/>
  <c r="C37"/>
  <c r="C35"/>
  <c r="C33"/>
  <c r="C31"/>
  <c r="C29"/>
  <c r="C27"/>
  <c r="C25"/>
  <c r="B51"/>
  <c r="B49"/>
  <c r="B47"/>
  <c r="B45"/>
  <c r="B43"/>
  <c r="B41"/>
  <c r="B39"/>
  <c r="B37"/>
  <c r="B35"/>
  <c r="B33"/>
  <c r="B31"/>
  <c r="B29"/>
  <c r="B27"/>
  <c r="B25"/>
  <c r="B23"/>
  <c r="A21"/>
  <c r="E42"/>
  <c r="E36"/>
  <c r="E28"/>
  <c r="E22"/>
  <c r="D48"/>
  <c r="D42"/>
  <c r="D34"/>
  <c r="D26"/>
  <c r="C21"/>
  <c r="F52" i="5"/>
  <c r="F50"/>
  <c r="F48"/>
  <c r="F46"/>
  <c r="F44"/>
  <c r="F42"/>
  <c r="F40"/>
  <c r="F38"/>
  <c r="F36"/>
  <c r="F34"/>
  <c r="F32"/>
  <c r="F30"/>
  <c r="F28"/>
  <c r="F26"/>
  <c r="F24"/>
  <c r="F22"/>
  <c r="C23"/>
  <c r="E52"/>
  <c r="E50"/>
  <c r="E48"/>
  <c r="E46"/>
  <c r="E44"/>
  <c r="E42"/>
  <c r="E40"/>
  <c r="E38"/>
  <c r="E36"/>
  <c r="E34"/>
  <c r="E32"/>
  <c r="E30"/>
  <c r="E28"/>
  <c r="E26"/>
  <c r="E24"/>
  <c r="E22"/>
  <c r="C29"/>
  <c r="B39"/>
  <c r="D52"/>
  <c r="D50"/>
  <c r="D48"/>
  <c r="D46"/>
  <c r="D44"/>
  <c r="D42"/>
  <c r="D40"/>
  <c r="D38"/>
  <c r="D36"/>
  <c r="D34"/>
  <c r="D32"/>
  <c r="D30"/>
  <c r="D28"/>
  <c r="D26"/>
  <c r="D24"/>
  <c r="D22"/>
  <c r="C33"/>
  <c r="I33" s="1"/>
  <c r="B43"/>
  <c r="B23"/>
  <c r="C52"/>
  <c r="C50"/>
  <c r="C48"/>
  <c r="C46"/>
  <c r="C44"/>
  <c r="C42"/>
  <c r="C40"/>
  <c r="C38"/>
  <c r="C36"/>
  <c r="C34"/>
  <c r="I34" s="1"/>
  <c r="C32"/>
  <c r="C30"/>
  <c r="C28"/>
  <c r="C26"/>
  <c r="C24"/>
  <c r="C22"/>
  <c r="C37"/>
  <c r="B45"/>
  <c r="B27"/>
  <c r="B52"/>
  <c r="B50"/>
  <c r="B48"/>
  <c r="B46"/>
  <c r="B44"/>
  <c r="B42"/>
  <c r="B40"/>
  <c r="B38"/>
  <c r="B36"/>
  <c r="B34"/>
  <c r="B32"/>
  <c r="B30"/>
  <c r="B28"/>
  <c r="B26"/>
  <c r="B24"/>
  <c r="B22"/>
  <c r="A24"/>
  <c r="F21"/>
  <c r="C39"/>
  <c r="B51"/>
  <c r="B31"/>
  <c r="A52"/>
  <c r="A50"/>
  <c r="A48"/>
  <c r="A46"/>
  <c r="A44"/>
  <c r="A42"/>
  <c r="H42" s="1"/>
  <c r="A40"/>
  <c r="A38"/>
  <c r="A36"/>
  <c r="A34"/>
  <c r="A32"/>
  <c r="A30"/>
  <c r="A28"/>
  <c r="A26"/>
  <c r="A22"/>
  <c r="H22" s="1"/>
  <c r="C47"/>
  <c r="C31"/>
  <c r="B41"/>
  <c r="B21"/>
  <c r="F51"/>
  <c r="F49"/>
  <c r="F47"/>
  <c r="F45"/>
  <c r="F43"/>
  <c r="F41"/>
  <c r="F39"/>
  <c r="F37"/>
  <c r="F33"/>
  <c r="F31"/>
  <c r="F29"/>
  <c r="F27"/>
  <c r="F25"/>
  <c r="F23"/>
  <c r="C43"/>
  <c r="C21"/>
  <c r="B33"/>
  <c r="E51"/>
  <c r="E49"/>
  <c r="E47"/>
  <c r="E45"/>
  <c r="E43"/>
  <c r="E41"/>
  <c r="E39"/>
  <c r="E37"/>
  <c r="E33"/>
  <c r="E31"/>
  <c r="E29"/>
  <c r="E27"/>
  <c r="E25"/>
  <c r="E23"/>
  <c r="E21"/>
  <c r="D25"/>
  <c r="D21"/>
  <c r="C49"/>
  <c r="I49" s="1"/>
  <c r="C41"/>
  <c r="C25"/>
  <c r="B49"/>
  <c r="B29"/>
  <c r="D51"/>
  <c r="D49"/>
  <c r="D47"/>
  <c r="D45"/>
  <c r="D43"/>
  <c r="D41"/>
  <c r="D39"/>
  <c r="D37"/>
  <c r="D33"/>
  <c r="D31"/>
  <c r="D29"/>
  <c r="D27"/>
  <c r="D23"/>
  <c r="C51"/>
  <c r="C45"/>
  <c r="I45" s="1"/>
  <c r="C27"/>
  <c r="B37"/>
  <c r="A51"/>
  <c r="A49"/>
  <c r="A47"/>
  <c r="H47" s="1"/>
  <c r="A45"/>
  <c r="A43"/>
  <c r="A41"/>
  <c r="A39"/>
  <c r="A37"/>
  <c r="H37" s="1"/>
  <c r="A33"/>
  <c r="H33" s="1"/>
  <c r="A31"/>
  <c r="H31" s="1"/>
  <c r="A29"/>
  <c r="H29" s="1"/>
  <c r="A27"/>
  <c r="H27" s="1"/>
  <c r="A25"/>
  <c r="H25" s="1"/>
  <c r="A23"/>
  <c r="A21"/>
  <c r="H21" s="1"/>
  <c r="B47"/>
  <c r="B25"/>
  <c r="K17"/>
  <c r="AE38"/>
  <c r="H48" l="1"/>
  <c r="I40"/>
  <c r="H39"/>
  <c r="H43"/>
  <c r="H45"/>
  <c r="I41"/>
  <c r="H40"/>
  <c r="I32"/>
  <c r="I23"/>
  <c r="H23"/>
  <c r="H49"/>
  <c r="I31"/>
  <c r="H44"/>
  <c r="I36"/>
  <c r="H51"/>
  <c r="I47"/>
  <c r="H46"/>
  <c r="I38"/>
  <c r="I27"/>
  <c r="H26"/>
  <c r="H50"/>
  <c r="I42"/>
  <c r="H28"/>
  <c r="H52"/>
  <c r="I37"/>
  <c r="I44"/>
  <c r="I51"/>
  <c r="H30"/>
  <c r="I22"/>
  <c r="I46"/>
  <c r="I29"/>
  <c r="I21"/>
  <c r="H32"/>
  <c r="I24"/>
  <c r="I48"/>
  <c r="I43"/>
  <c r="H34"/>
  <c r="I39"/>
  <c r="I26"/>
  <c r="I50"/>
  <c r="H41"/>
  <c r="H36"/>
  <c r="I28"/>
  <c r="I52"/>
  <c r="H35"/>
  <c r="I25"/>
  <c r="H38"/>
  <c r="H24"/>
  <c r="I30"/>
  <c r="I35"/>
  <c r="G24" i="12"/>
  <c r="G46"/>
  <c r="G52"/>
  <c r="G30"/>
  <c r="G21"/>
  <c r="G38"/>
  <c r="G40"/>
  <c r="G22"/>
  <c r="G33"/>
  <c r="G48"/>
  <c r="G35"/>
  <c r="G26"/>
  <c r="G50"/>
  <c r="G37"/>
  <c r="G28"/>
  <c r="G39"/>
  <c r="G41"/>
  <c r="G32"/>
  <c r="G43"/>
  <c r="G34"/>
  <c r="G45"/>
  <c r="G36"/>
  <c r="G23"/>
  <c r="G47"/>
  <c r="G25"/>
  <c r="G49"/>
  <c r="G27"/>
  <c r="G51"/>
  <c r="G42"/>
  <c r="G29"/>
  <c r="G44"/>
  <c r="G31"/>
  <c r="AE39" i="5"/>
  <c r="AE40" l="1"/>
  <c r="AE41" l="1"/>
  <c r="AE42" l="1"/>
  <c r="AE43" l="1"/>
  <c r="AE44" l="1"/>
  <c r="AE45" l="1"/>
  <c r="AE46" l="1"/>
  <c r="AE47" l="1"/>
  <c r="AE48" l="1"/>
  <c r="AE49" l="1"/>
  <c r="AE50" l="1"/>
  <c r="AE51" l="1"/>
  <c r="AE52"/>
  <c r="G36" i="6" l="1"/>
  <c r="P16" i="5"/>
  <c r="G48"/>
  <c r="G52"/>
  <c r="G22"/>
  <c r="G38"/>
  <c r="G28"/>
  <c r="G30"/>
  <c r="G49"/>
  <c r="G37"/>
  <c r="G44"/>
  <c r="G32"/>
  <c r="G24"/>
  <c r="G45"/>
  <c r="G46"/>
  <c r="G25"/>
  <c r="G33"/>
  <c r="G23"/>
  <c r="G42"/>
  <c r="G43"/>
  <c r="G21"/>
  <c r="G27"/>
  <c r="G31"/>
  <c r="G36"/>
  <c r="G29"/>
  <c r="G35"/>
  <c r="G50"/>
  <c r="G40"/>
  <c r="G47"/>
  <c r="G41"/>
  <c r="G26"/>
  <c r="G51"/>
  <c r="G34"/>
  <c r="G39"/>
  <c r="K36" i="6"/>
</calcChain>
</file>

<file path=xl/sharedStrings.xml><?xml version="1.0" encoding="utf-8"?>
<sst xmlns="http://schemas.openxmlformats.org/spreadsheetml/2006/main" count="3704" uniqueCount="603">
  <si>
    <t>Specification number:</t>
  </si>
  <si>
    <t>Authorised customer signature</t>
  </si>
  <si>
    <t>Date</t>
  </si>
  <si>
    <t>BL</t>
  </si>
  <si>
    <t>Water temperature control</t>
  </si>
  <si>
    <t>Temperature units:</t>
  </si>
  <si>
    <t>Ozone type:</t>
  </si>
  <si>
    <t>Standard</t>
  </si>
  <si>
    <t>Soak mode:</t>
  </si>
  <si>
    <t>Enable</t>
  </si>
  <si>
    <t>Disable</t>
  </si>
  <si>
    <t>Note:</t>
  </si>
  <si>
    <t>P5</t>
  </si>
  <si>
    <t>P1H</t>
  </si>
  <si>
    <t>P1L</t>
  </si>
  <si>
    <t>P2H</t>
  </si>
  <si>
    <t>P2L</t>
  </si>
  <si>
    <t>P3H</t>
  </si>
  <si>
    <t>CP</t>
  </si>
  <si>
    <t>A1</t>
  </si>
  <si>
    <t>A2</t>
  </si>
  <si>
    <t>Accessory currents</t>
  </si>
  <si>
    <t>O3</t>
  </si>
  <si>
    <t>A3</t>
  </si>
  <si>
    <t>--</t>
  </si>
  <si>
    <t>OUT 1</t>
  </si>
  <si>
    <t>OUT 2</t>
  </si>
  <si>
    <t>OUT 3</t>
  </si>
  <si>
    <t>OUT 4</t>
  </si>
  <si>
    <t>OUT 5</t>
  </si>
  <si>
    <t>OUT 6</t>
  </si>
  <si>
    <t>OUT 7</t>
  </si>
  <si>
    <t>OUT 8</t>
  </si>
  <si>
    <t>OUT 9</t>
  </si>
  <si>
    <t>SKU OUT H</t>
  </si>
  <si>
    <t>SKU OUT L</t>
  </si>
  <si>
    <t>K3-P</t>
  </si>
  <si>
    <t>K4-P</t>
  </si>
  <si>
    <t>K6-P</t>
  </si>
  <si>
    <t>K22-P</t>
  </si>
  <si>
    <t>K23-P</t>
  </si>
  <si>
    <t>K27-P</t>
  </si>
  <si>
    <t>K26-P</t>
  </si>
  <si>
    <t>K25-P</t>
  </si>
  <si>
    <t>K24-P</t>
  </si>
  <si>
    <t>Rev</t>
  </si>
  <si>
    <t>Description</t>
  </si>
  <si>
    <t>Written by:</t>
  </si>
  <si>
    <t>Filter and ozone options</t>
  </si>
  <si>
    <t>Current limitations &amp; ratings</t>
  </si>
  <si>
    <t>Default number of phases:</t>
  </si>
  <si>
    <t>Min. set point:</t>
  </si>
  <si>
    <t>Default input current:</t>
  </si>
  <si>
    <t>Max. set point:</t>
  </si>
  <si>
    <t>Purge speed:</t>
  </si>
  <si>
    <t>High</t>
  </si>
  <si>
    <t>No heat period:</t>
  </si>
  <si>
    <t>Overtemp options:</t>
  </si>
  <si>
    <t>Over 95°F</t>
  </si>
  <si>
    <t>Economy type:</t>
  </si>
  <si>
    <t>Miscellaneous</t>
  </si>
  <si>
    <t>Clean up mode:</t>
  </si>
  <si>
    <t>Control options</t>
  </si>
  <si>
    <t>Drain mode:</t>
  </si>
  <si>
    <t>InFlow</t>
  </si>
  <si>
    <t>Piping</t>
  </si>
  <si>
    <t>Regulation probe location</t>
  </si>
  <si>
    <t>Flow detector type:</t>
  </si>
  <si>
    <t>OUT A</t>
  </si>
  <si>
    <t>OUT B</t>
  </si>
  <si>
    <t>OUT C</t>
  </si>
  <si>
    <t>Economy Controllable Manually:</t>
  </si>
  <si>
    <t>Program. Economy Start time:</t>
  </si>
  <si>
    <t>Program. Economy Duration:</t>
  </si>
  <si>
    <t>Set point:</t>
  </si>
  <si>
    <t>Cooldown delay:</t>
  </si>
  <si>
    <t>Blower with multi-key:</t>
  </si>
  <si>
    <t>Blower key Option:</t>
  </si>
  <si>
    <t>Filter start time:</t>
  </si>
  <si>
    <t>Filter cycle duration 1:</t>
  </si>
  <si>
    <t>Filter cycle duration 2:</t>
  </si>
  <si>
    <t>Filter cycle frequency:</t>
  </si>
  <si>
    <t>Filter - User suspend delay:</t>
  </si>
  <si>
    <t>Ozone - User Suspend Delay:</t>
  </si>
  <si>
    <t>Overtemp trigger:</t>
  </si>
  <si>
    <t>Reserved</t>
  </si>
  <si>
    <t>Customer name:</t>
  </si>
  <si>
    <t>Circ. Pump On time:</t>
  </si>
  <si>
    <t>Circ. Pump Off time:</t>
  </si>
  <si>
    <t>Filter On time:</t>
  </si>
  <si>
    <t>CP Usage</t>
  </si>
  <si>
    <t>Pump Timeout:</t>
  </si>
  <si>
    <t>Light Timeout (12V):</t>
  </si>
  <si>
    <t>Water fall Timeout:</t>
  </si>
  <si>
    <t>Auxiliary Timeout:</t>
  </si>
  <si>
    <t>Light Timeout (120V):</t>
  </si>
  <si>
    <t>Maximum timeout</t>
  </si>
  <si>
    <t>Time format:</t>
  </si>
  <si>
    <t>Pump1 user access:</t>
  </si>
  <si>
    <t>BothSpeeds</t>
  </si>
  <si>
    <t>Keypad back light color:</t>
  </si>
  <si>
    <t>Keypad back light edit:</t>
  </si>
  <si>
    <t>NO</t>
  </si>
  <si>
    <t xml:space="preserve"> </t>
  </si>
  <si>
    <t>Lock enabled</t>
  </si>
  <si>
    <t>Config Change</t>
  </si>
  <si>
    <t>Breaker Change</t>
  </si>
  <si>
    <t>Waterfall as CP</t>
  </si>
  <si>
    <t>YES</t>
  </si>
  <si>
    <t>Minimum Input Current</t>
  </si>
  <si>
    <t>Economy default</t>
  </si>
  <si>
    <t>Invert Display key</t>
  </si>
  <si>
    <t>inMixConfig</t>
  </si>
  <si>
    <t>Zone1led</t>
  </si>
  <si>
    <t>Zone1Type</t>
  </si>
  <si>
    <t>Zone2led</t>
  </si>
  <si>
    <t>Zone2Type</t>
  </si>
  <si>
    <t>Zone3led</t>
  </si>
  <si>
    <t>Zone3Type</t>
  </si>
  <si>
    <t>Zone4led</t>
  </si>
  <si>
    <t>Zone4Type</t>
  </si>
  <si>
    <t>NumberOfZones</t>
  </si>
  <si>
    <t>MappingEnable</t>
  </si>
  <si>
    <t>MapZone1to</t>
  </si>
  <si>
    <t>MapZone2to</t>
  </si>
  <si>
    <t>MapZone3to</t>
  </si>
  <si>
    <t>MapZone4to</t>
  </si>
  <si>
    <t>RGB</t>
  </si>
  <si>
    <t>Normal</t>
  </si>
  <si>
    <t>N/A</t>
  </si>
  <si>
    <t>InputSupply</t>
  </si>
  <si>
    <t>F3</t>
  </si>
  <si>
    <t>F1</t>
  </si>
  <si>
    <t>F2</t>
  </si>
  <si>
    <t>F21</t>
  </si>
  <si>
    <t>F23</t>
  </si>
  <si>
    <t>F22</t>
  </si>
  <si>
    <t>OutHtrCur</t>
  </si>
  <si>
    <t>OutHtrFuse</t>
  </si>
  <si>
    <t>Line1</t>
  </si>
  <si>
    <t>F1Current</t>
  </si>
  <si>
    <t>F2Current</t>
  </si>
  <si>
    <t>F3Current</t>
  </si>
  <si>
    <t>F21Current</t>
  </si>
  <si>
    <t>F22Current</t>
  </si>
  <si>
    <t>F23Current</t>
  </si>
  <si>
    <t>F1Line</t>
  </si>
  <si>
    <t>F2Line</t>
  </si>
  <si>
    <t>F3Line</t>
  </si>
  <si>
    <t>F21Line</t>
  </si>
  <si>
    <t>F22Line</t>
  </si>
  <si>
    <t>Maximum permis</t>
  </si>
  <si>
    <t>F23Line</t>
  </si>
  <si>
    <t>Heater 
pump</t>
  </si>
  <si>
    <t>Filter 
Interface</t>
  </si>
  <si>
    <t>Pack sku:</t>
  </si>
  <si>
    <t>Connectors</t>
  </si>
  <si>
    <t>0699-999999</t>
  </si>
  <si>
    <t>QSC number:</t>
  </si>
  <si>
    <t>QSC revision:</t>
  </si>
  <si>
    <t>Core Number:</t>
  </si>
  <si>
    <t>X</t>
  </si>
  <si>
    <t>O3 Usage</t>
  </si>
  <si>
    <t>O3 Pump</t>
  </si>
  <si>
    <t>P1</t>
  </si>
  <si>
    <t>OPTIONS COMMON TO ALL CONFIGURATIONS</t>
  </si>
  <si>
    <t>Value</t>
  </si>
  <si>
    <t>P2</t>
  </si>
  <si>
    <t>P3</t>
  </si>
  <si>
    <t>P4</t>
  </si>
  <si>
    <t>Maximum phases available:</t>
  </si>
  <si>
    <t>LOW</t>
  </si>
  <si>
    <t>HIGH</t>
  </si>
  <si>
    <t>Economy program:</t>
  </si>
  <si>
    <t>Type</t>
  </si>
  <si>
    <t>Control</t>
  </si>
  <si>
    <t>Standard Pumps</t>
  </si>
  <si>
    <t>Pumps Used</t>
  </si>
  <si>
    <t>ALL Pumps</t>
  </si>
  <si>
    <t>Dedicated Pumps</t>
  </si>
  <si>
    <t>No</t>
  </si>
  <si>
    <t>Number Of Intensity</t>
  </si>
  <si>
    <r>
      <t xml:space="preserve">I acknowledge having read and understood the </t>
    </r>
    <r>
      <rPr>
        <b/>
        <sz val="10"/>
        <rFont val="Arial"/>
        <family val="2"/>
      </rPr>
      <t>Y-Series Detailed Specifications (document SP875 Hardware and SP959 Software), as well as having read and understood the Warnings section.</t>
    </r>
  </si>
  <si>
    <t>With CP</t>
  </si>
  <si>
    <t>UL</t>
  </si>
  <si>
    <t>Non utilisée</t>
  </si>
  <si>
    <t>Line2</t>
  </si>
  <si>
    <t>Line3</t>
  </si>
  <si>
    <t>Single Pump Key</t>
  </si>
  <si>
    <t>NA</t>
  </si>
  <si>
    <t>Waterfall Valve On CP</t>
  </si>
  <si>
    <t>Smart Auto (4)</t>
  </si>
  <si>
    <t>outputs</t>
  </si>
  <si>
    <t>Line (high speed)</t>
  </si>
  <si>
    <t>Line (low speed)</t>
  </si>
  <si>
    <t>Fuse (high speed)</t>
  </si>
  <si>
    <t>Fuse (low speed)</t>
  </si>
  <si>
    <t>Courants (A)</t>
  </si>
  <si>
    <t>Région:</t>
  </si>
  <si>
    <t>Terminal position</t>
  </si>
  <si>
    <t>CE</t>
  </si>
  <si>
    <t>High speed</t>
  </si>
  <si>
    <t>Low speed</t>
  </si>
  <si>
    <t>DIRECT</t>
  </si>
  <si>
    <t>Heat Pump Default Regulation Mode</t>
  </si>
  <si>
    <t>Heat Pump Current</t>
  </si>
  <si>
    <t>Not Set</t>
  </si>
  <si>
    <t>HPFuse</t>
  </si>
  <si>
    <t>Heat Pump Fuse</t>
  </si>
  <si>
    <t>Heat Pump Operating Parameters</t>
  </si>
  <si>
    <t>Output</t>
  </si>
  <si>
    <t>Relay</t>
  </si>
  <si>
    <t>9920-201274</t>
  </si>
  <si>
    <t>9920-201275</t>
  </si>
  <si>
    <t>Not Installed</t>
  </si>
  <si>
    <t>Main</t>
  </si>
  <si>
    <t>Top</t>
  </si>
  <si>
    <t>Top PCB:</t>
  </si>
  <si>
    <t>Main PCB:</t>
  </si>
  <si>
    <r>
      <rPr>
        <b/>
        <sz val="10"/>
        <color theme="0"/>
        <rFont val="Symbol"/>
        <family val="1"/>
        <charset val="2"/>
      </rPr>
      <t>¯</t>
    </r>
    <r>
      <rPr>
        <b/>
        <sz val="10"/>
        <color theme="0"/>
        <rFont val="Arial"/>
        <family val="2"/>
      </rPr>
      <t xml:space="preserve"> MODEL </t>
    </r>
    <r>
      <rPr>
        <b/>
        <sz val="10"/>
        <color theme="0"/>
        <rFont val="Symbol"/>
        <family val="1"/>
        <charset val="2"/>
      </rPr>
      <t>¯</t>
    </r>
  </si>
  <si>
    <r>
      <rPr>
        <b/>
        <sz val="10"/>
        <color theme="0"/>
        <rFont val="Symbol"/>
        <family val="1"/>
        <charset val="2"/>
      </rPr>
      <t>¯</t>
    </r>
    <r>
      <rPr>
        <b/>
        <sz val="10"/>
        <color theme="0"/>
        <rFont val="Arial"/>
        <family val="2"/>
      </rPr>
      <t xml:space="preserve"> REGION </t>
    </r>
    <r>
      <rPr>
        <b/>
        <sz val="10"/>
        <color theme="0"/>
        <rFont val="Symbol"/>
        <family val="1"/>
        <charset val="2"/>
      </rPr>
      <t>¯</t>
    </r>
  </si>
  <si>
    <t>Shared Output</t>
  </si>
  <si>
    <t>Single Output</t>
  </si>
  <si>
    <t>(Add line(s) from: Reserved parameters)</t>
  </si>
  <si>
    <t>9920-201096</t>
  </si>
  <si>
    <t>9920-201097</t>
  </si>
  <si>
    <t>9920-201091</t>
  </si>
  <si>
    <t>9920-201093</t>
  </si>
  <si>
    <t>9920-201116</t>
  </si>
  <si>
    <t>9920-201117</t>
  </si>
  <si>
    <t># of outputs</t>
  </si>
  <si>
    <t>Variant 1</t>
  </si>
  <si>
    <t>Variant 2</t>
  </si>
  <si>
    <t>Variant 3</t>
  </si>
  <si>
    <t>Variant 4</t>
  </si>
  <si>
    <t>(in.mix)</t>
  </si>
  <si>
    <t>7 (2op)</t>
  </si>
  <si>
    <t>8 (3op)</t>
  </si>
  <si>
    <t>12 (7op)</t>
  </si>
  <si>
    <t>(LH: HTR2 on K25)</t>
  </si>
  <si>
    <t>9920-201209</t>
  </si>
  <si>
    <t>Fuse</t>
  </si>
  <si>
    <t>9920-201091F</t>
  </si>
  <si>
    <t>9920-201116F</t>
  </si>
  <si>
    <t>9920-201274F</t>
  </si>
  <si>
    <t>9920-201096F</t>
  </si>
  <si>
    <t>9920-201093F</t>
  </si>
  <si>
    <t>9920-201117F</t>
  </si>
  <si>
    <t>9920-201275F</t>
  </si>
  <si>
    <t>9920-201097F</t>
  </si>
  <si>
    <r>
      <rPr>
        <sz val="14"/>
        <color theme="1"/>
        <rFont val="Symbol"/>
        <family val="1"/>
        <charset val="2"/>
      </rPr>
      <t>¬</t>
    </r>
    <r>
      <rPr>
        <sz val="14"/>
        <color theme="1"/>
        <rFont val="Calibri"/>
        <family val="2"/>
      </rPr>
      <t>Hide/Show PCB options</t>
    </r>
  </si>
  <si>
    <t>Outputs:</t>
  </si>
  <si>
    <t>Heat Pump Communication ID</t>
  </si>
  <si>
    <t>K21-P (P34)</t>
  </si>
  <si>
    <r>
      <rPr>
        <sz val="14"/>
        <color theme="1"/>
        <rFont val="Symbol"/>
        <family val="1"/>
        <charset val="2"/>
      </rPr>
      <t>¬</t>
    </r>
    <r>
      <rPr>
        <sz val="14"/>
        <color theme="1"/>
        <rFont val="Calibri"/>
        <family val="2"/>
      </rPr>
      <t>Hide/Show regional specific fuse and line settings</t>
    </r>
  </si>
  <si>
    <t>n/a</t>
  </si>
  <si>
    <t>9920-201256</t>
  </si>
  <si>
    <t>9920-201256F</t>
  </si>
  <si>
    <t>9920-201281</t>
  </si>
  <si>
    <t>9920-201281F</t>
  </si>
  <si>
    <t>9 (4op)</t>
  </si>
  <si>
    <t>9920-201279</t>
  </si>
  <si>
    <t>F24</t>
  </si>
  <si>
    <t>9920-201209F</t>
  </si>
  <si>
    <t>9920-201248</t>
  </si>
  <si>
    <t>9920-201248F</t>
  </si>
  <si>
    <t>9920-201279F</t>
  </si>
  <si>
    <t>index</t>
  </si>
  <si>
    <t>This table sets the default PCB as well as the drop down lists of available PCBs</t>
  </si>
  <si>
    <t>(in.mix - no CO)</t>
  </si>
  <si>
    <t>(LH: HTR2 on K25 - in.mix)</t>
  </si>
  <si>
    <t>9920-201259</t>
  </si>
  <si>
    <t>9920-201259F</t>
  </si>
  <si>
    <t>F24Line</t>
  </si>
  <si>
    <t>(LH: Not STD! Check DWG before use)</t>
  </si>
  <si>
    <t>When filling this form:</t>
  </si>
  <si>
    <r>
      <t xml:space="preserve">2 - If needed, change </t>
    </r>
    <r>
      <rPr>
        <u/>
        <sz val="10"/>
        <color rgb="FFC00000"/>
        <rFont val="Arial"/>
        <family val="2"/>
      </rPr>
      <t>Main</t>
    </r>
    <r>
      <rPr>
        <sz val="10"/>
        <color rgb="FFC00000"/>
        <rFont val="Arial"/>
        <family val="2"/>
      </rPr>
      <t xml:space="preserve"> or </t>
    </r>
    <r>
      <rPr>
        <u/>
        <sz val="10"/>
        <color rgb="FFC00000"/>
        <rFont val="Arial"/>
        <family val="2"/>
      </rPr>
      <t>Top</t>
    </r>
    <r>
      <rPr>
        <sz val="10"/>
        <color rgb="FFC00000"/>
        <rFont val="Arial"/>
        <family val="2"/>
      </rPr>
      <t xml:space="preserve"> PCB. </t>
    </r>
    <r>
      <rPr>
        <b/>
        <sz val="10"/>
        <color rgb="FFC00000"/>
        <rFont val="Arial"/>
        <family val="2"/>
      </rPr>
      <t>Do not change these parameters thereafter!</t>
    </r>
  </si>
  <si>
    <t>4 - Fill the rest of the form. For dual pack configurations, place the slave config in the row below its master config.</t>
  </si>
  <si>
    <t>(no CO)</t>
  </si>
  <si>
    <t>- Make copy of this sheet if additional configuration pages are required</t>
  </si>
  <si>
    <r>
      <t xml:space="preserve">Legend </t>
    </r>
    <r>
      <rPr>
        <b/>
        <sz val="10"/>
        <rFont val="Symbol"/>
        <family val="1"/>
        <charset val="2"/>
      </rPr>
      <t>®</t>
    </r>
  </si>
  <si>
    <r>
      <rPr>
        <b/>
        <sz val="12"/>
        <color theme="1"/>
        <rFont val="Symbol"/>
        <family val="1"/>
        <charset val="2"/>
      </rPr>
      <t xml:space="preserve">¯ </t>
    </r>
    <r>
      <rPr>
        <b/>
        <sz val="12"/>
        <color theme="1"/>
        <rFont val="Arial"/>
        <family val="2"/>
      </rPr>
      <t xml:space="preserve">Fuses and Line(s) MAX load </t>
    </r>
    <r>
      <rPr>
        <b/>
        <sz val="12"/>
        <color theme="1"/>
        <rFont val="Symbol"/>
        <family val="1"/>
        <charset val="2"/>
      </rPr>
      <t>¯</t>
    </r>
  </si>
  <si>
    <t>Load control will be applied in some cases</t>
  </si>
  <si>
    <t>Alternate (specify)</t>
  </si>
  <si>
    <t>SWIM LEVELS</t>
  </si>
  <si>
    <t>Document Revision:</t>
  </si>
  <si>
    <t>DIRECT 1</t>
  </si>
  <si>
    <t>DIRECT 2</t>
  </si>
  <si>
    <t>230/240 V</t>
  </si>
  <si>
    <t>Incorrect Setting</t>
  </si>
  <si>
    <t>Default output wiring</t>
  </si>
  <si>
    <t>230/240V</t>
  </si>
  <si>
    <t>9920-201300</t>
  </si>
  <si>
    <t>9920-201294</t>
  </si>
  <si>
    <t>Selected:</t>
  </si>
  <si>
    <t>A2-H</t>
  </si>
  <si>
    <t>A3-H</t>
  </si>
  <si>
    <t>A4-H</t>
  </si>
  <si>
    <t>A1-H</t>
  </si>
  <si>
    <t>A3-L</t>
  </si>
  <si>
    <t>index:</t>
  </si>
  <si>
    <t>A5-H</t>
  </si>
  <si>
    <t>A2-L</t>
  </si>
  <si>
    <t>A6-H</t>
  </si>
  <si>
    <t>DIR 1</t>
  </si>
  <si>
    <t>DIRECT 3</t>
  </si>
  <si>
    <t>(P49,P50)</t>
  </si>
  <si>
    <t>K2-P (P46,P47)</t>
  </si>
  <si>
    <t>K1-P (P30,P31)</t>
  </si>
  <si>
    <t>(P27,P28,P29)</t>
  </si>
  <si>
    <t>Con(low)</t>
  </si>
  <si>
    <t>Con(high)</t>
  </si>
  <si>
    <t>This table sets the values available in the drop down menu of the High and Low speed relay:</t>
  </si>
  <si>
    <t>(P45,P46,P47)</t>
  </si>
  <si>
    <t>K2-P (P33,P34)</t>
  </si>
  <si>
    <t>K1-P (P35,P36)</t>
  </si>
  <si>
    <t>(39,P40)</t>
  </si>
  <si>
    <t>high speed connector</t>
  </si>
  <si>
    <t>low speed connector</t>
  </si>
  <si>
    <t>Selected PCB (reported from Config. tab):</t>
  </si>
  <si>
    <t>5-6 op</t>
  </si>
  <si>
    <t>3 op</t>
  </si>
  <si>
    <t>high speed connector:</t>
  </si>
  <si>
    <t>low speed connector:</t>
  </si>
  <si>
    <t>fuse:</t>
  </si>
  <si>
    <t>This table is used to populate to top table</t>
  </si>
  <si>
    <t>This table contain all parameters of the selected PCB (from "Config." tab), all taken from the table below:</t>
  </si>
  <si>
    <t>Note (reported in PCB section of "Config." tab)</t>
  </si>
  <si>
    <r>
      <t xml:space="preserve">1 - Select </t>
    </r>
    <r>
      <rPr>
        <u/>
        <sz val="10"/>
        <color rgb="FFC00000"/>
        <rFont val="Arial"/>
        <family val="2"/>
      </rPr>
      <t>MODEL</t>
    </r>
    <r>
      <rPr>
        <sz val="10"/>
        <color rgb="FFC00000"/>
        <rFont val="Arial"/>
        <family val="2"/>
      </rPr>
      <t xml:space="preserve">, </t>
    </r>
    <r>
      <rPr>
        <u/>
        <sz val="10"/>
        <color rgb="FFC00000"/>
        <rFont val="Arial"/>
        <family val="2"/>
      </rPr>
      <t>REGION</t>
    </r>
    <r>
      <rPr>
        <sz val="10"/>
        <color rgb="FFC00000"/>
        <rFont val="Arial"/>
        <family val="2"/>
      </rPr>
      <t xml:space="preserve">. </t>
    </r>
    <r>
      <rPr>
        <b/>
        <sz val="10"/>
        <color rgb="FFC00000"/>
        <rFont val="Arial"/>
        <family val="2"/>
      </rPr>
      <t>Do not change these parameters thereafter!</t>
    </r>
  </si>
  <si>
    <t>3 - Set optional Terminals, High and Low speed relays/tabs (if needed)</t>
  </si>
  <si>
    <t>F0-R01-0000-061</t>
  </si>
  <si>
    <t>Max 1 phase single pack current</t>
  </si>
  <si>
    <t>Max 2 phase single pack current</t>
  </si>
  <si>
    <t>Max 3 phase single pack current</t>
  </si>
  <si>
    <t>Max 1 phase dual pack current</t>
  </si>
  <si>
    <t>Max 2 phase dual pack current</t>
  </si>
  <si>
    <t>Maximum current by number of phase</t>
  </si>
  <si>
    <t>Password_Protected</t>
  </si>
  <si>
    <t>Max 3 phase dual pack current</t>
  </si>
  <si>
    <t>9937-999999</t>
  </si>
  <si>
    <t>PCB mapping building table</t>
  </si>
  <si>
    <t>Ch</t>
  </si>
  <si>
    <t>Cl</t>
  </si>
  <si>
    <t>F</t>
  </si>
  <si>
    <t>*This table is used to build the "lookup" values for each Drive</t>
  </si>
  <si>
    <t>High Speed AMP</t>
  </si>
  <si>
    <t>Low Speed AMP</t>
  </si>
  <si>
    <r>
      <rPr>
        <sz val="14"/>
        <color theme="1"/>
        <rFont val="Symbol"/>
        <family val="1"/>
        <charset val="2"/>
      </rPr>
      <t>¬</t>
    </r>
    <r>
      <rPr>
        <sz val="14"/>
        <color theme="1"/>
        <rFont val="Calibri"/>
        <family val="2"/>
      </rPr>
      <t>Hide/Show output to relay, connector and fuse mapping</t>
    </r>
  </si>
  <si>
    <t>Internal in.mix configuration</t>
  </si>
  <si>
    <t>Follow zone 1</t>
  </si>
  <si>
    <t>A11-A21-A32-A5DIR</t>
  </si>
  <si>
    <t>A11-A22-A32-A41-A5DIR-RS485</t>
  </si>
  <si>
    <t>A11-A22-A32-A41-A5DIR</t>
  </si>
  <si>
    <t>Quick On/Off Action</t>
  </si>
  <si>
    <t>Self-set</t>
  </si>
  <si>
    <t>AUX On/Off Control</t>
  </si>
  <si>
    <t>Off Mode:</t>
  </si>
  <si>
    <t>ON when filtering</t>
  </si>
  <si>
    <t>Economy options (Overridden by water care)</t>
  </si>
  <si>
    <t>No exercise</t>
  </si>
  <si>
    <t>Custom Key - Multi-mode configuration (maximum 3)</t>
  </si>
  <si>
    <t>Keypad(s) and accessories</t>
  </si>
  <si>
    <t>Customer ID</t>
  </si>
  <si>
    <t>Customer software number:</t>
  </si>
  <si>
    <t>Customer software revision:</t>
  </si>
  <si>
    <t>Production software:</t>
  </si>
  <si>
    <t>SPxxxxx</t>
  </si>
  <si>
    <t>9920-201318</t>
  </si>
  <si>
    <t>9920-201278</t>
  </si>
  <si>
    <t>9920-201301</t>
  </si>
  <si>
    <t>Exerciser Configuration</t>
  </si>
  <si>
    <t>Exercise Buoyancy Pump</t>
  </si>
  <si>
    <t>Exerciser values for standard pumps</t>
  </si>
  <si>
    <t>%</t>
  </si>
  <si>
    <t>Status Light Color for Reminders</t>
  </si>
  <si>
    <t>Status Light Color for Normal Operation</t>
  </si>
  <si>
    <t>Reminders LED NOT Blinking</t>
  </si>
  <si>
    <t>Exerciser values for VSP(s)</t>
  </si>
  <si>
    <t>9920-201318F</t>
  </si>
  <si>
    <t>9920-201318Cl</t>
  </si>
  <si>
    <t>9920-201318Ch</t>
  </si>
  <si>
    <t>9920-201294F</t>
  </si>
  <si>
    <t>9920-201294Cl</t>
  </si>
  <si>
    <t>9920-201294Ch</t>
  </si>
  <si>
    <t>9920-201321</t>
  </si>
  <si>
    <t>Light Activation Safety:</t>
  </si>
  <si>
    <t>9920-201322</t>
  </si>
  <si>
    <t>A11-A21-A32-A5DIR-RS485</t>
  </si>
  <si>
    <t>P3_1SP</t>
  </si>
  <si>
    <t>O3/CP</t>
  </si>
  <si>
    <t>P2_1SP</t>
  </si>
  <si>
    <t>P1_2SP</t>
  </si>
  <si>
    <t>Typical</t>
  </si>
  <si>
    <t>9920-201332</t>
  </si>
  <si>
    <t>A11-A22-A32-A41-A5DIR-RS485-128k</t>
  </si>
  <si>
    <t>9920-201333</t>
  </si>
  <si>
    <t>9920-201334</t>
  </si>
  <si>
    <t>A11-A21-A32-A5DIR-128k</t>
  </si>
  <si>
    <t>9920-201336</t>
  </si>
  <si>
    <t>A11-A22-A32-A41-A5DIR-128k</t>
  </si>
  <si>
    <t>9920-201338</t>
  </si>
  <si>
    <t>9920-201339</t>
  </si>
  <si>
    <t>A11-A21-A32-A5DIR-RS485-128k</t>
  </si>
  <si>
    <t>9920-201340</t>
  </si>
  <si>
    <t>Custom Key (in.k800)</t>
  </si>
  <si>
    <t>Overtemp Protection</t>
  </si>
  <si>
    <t>*If P1 is used for heating while also being part of the swimmer circuit, it must be active at each SWIM LEVEL</t>
  </si>
  <si>
    <t>*With SWIM EXERCISE defined, "Filter Suspend Time" must be at least 2 minutes to avoid a purge during the session</t>
  </si>
  <si>
    <t>P3L</t>
  </si>
  <si>
    <t>OFF</t>
  </si>
  <si>
    <t>OUT1</t>
  </si>
  <si>
    <t>P3_2SP</t>
  </si>
  <si>
    <t>SilentMode</t>
  </si>
  <si>
    <t>Suspend silent to Regulate</t>
  </si>
  <si>
    <t>Variant 5</t>
  </si>
  <si>
    <t>9920-201351</t>
  </si>
  <si>
    <t>5 op</t>
  </si>
  <si>
    <t>K1-P</t>
  </si>
  <si>
    <t>K2-P</t>
  </si>
  <si>
    <t>(P17-P21)</t>
  </si>
  <si>
    <t>(P132,P133)</t>
  </si>
  <si>
    <t>C1-L</t>
  </si>
  <si>
    <t>C1-H</t>
  </si>
  <si>
    <t>C3-H</t>
  </si>
  <si>
    <t>9920-201279Ch</t>
  </si>
  <si>
    <t>9920-201279Cl</t>
  </si>
  <si>
    <t>C2-H</t>
  </si>
  <si>
    <t>F24Current</t>
  </si>
  <si>
    <t>C3-L</t>
  </si>
  <si>
    <t>9920-201091Cl</t>
  </si>
  <si>
    <t>9920-201091Ch</t>
  </si>
  <si>
    <t>9920-201256Ch</t>
  </si>
  <si>
    <t>9920-201256Cl</t>
  </si>
  <si>
    <t>Terminal block ID</t>
  </si>
  <si>
    <t>Block configuration</t>
  </si>
  <si>
    <r>
      <rPr>
        <b/>
        <sz val="10"/>
        <color theme="0"/>
        <rFont val="Symbol"/>
        <family val="1"/>
        <charset val="2"/>
      </rPr>
      <t>¯</t>
    </r>
    <r>
      <rPr>
        <b/>
        <i/>
        <sz val="10"/>
        <color theme="0"/>
        <rFont val="Arial"/>
        <family val="2"/>
      </rPr>
      <t xml:space="preserve"> CONNECTION TYPE </t>
    </r>
    <r>
      <rPr>
        <b/>
        <sz val="10"/>
        <color theme="0"/>
        <rFont val="Symbol"/>
        <family val="1"/>
        <charset val="2"/>
      </rPr>
      <t>¯</t>
    </r>
  </si>
  <si>
    <t>Short Form in.ye/yt flx</t>
  </si>
  <si>
    <t>B2-H</t>
  </si>
  <si>
    <t>B1-H</t>
  </si>
  <si>
    <t>B3-L</t>
  </si>
  <si>
    <t>B3-H</t>
  </si>
  <si>
    <t>B2-L</t>
  </si>
  <si>
    <t>B4-H</t>
  </si>
  <si>
    <t>9920-201096Ch</t>
  </si>
  <si>
    <t>9920-201096Cl</t>
  </si>
  <si>
    <t>DIR</t>
  </si>
  <si>
    <t>9920-201312</t>
  </si>
  <si>
    <t>9920-201281Ch</t>
  </si>
  <si>
    <t>9920-201281Cl</t>
  </si>
  <si>
    <t>9920-201274Ch</t>
  </si>
  <si>
    <t>9920-201274Cl</t>
  </si>
  <si>
    <t>9920-201312Ch</t>
  </si>
  <si>
    <t>9920-201312Cl</t>
  </si>
  <si>
    <t>9920-201312F</t>
  </si>
  <si>
    <t>9920-201116Ch</t>
  </si>
  <si>
    <t>9920-201116Cl</t>
  </si>
  <si>
    <t>Extra</t>
  </si>
  <si>
    <t>P4_2SP</t>
  </si>
  <si>
    <t>P5_1SP</t>
  </si>
  <si>
    <t>9920-201352</t>
  </si>
  <si>
    <t>9920-201352Ch</t>
  </si>
  <si>
    <t>9920-201352Cl</t>
  </si>
  <si>
    <t>ye</t>
  </si>
  <si>
    <t>yt</t>
  </si>
  <si>
    <t>Variant 6</t>
  </si>
  <si>
    <t>9920-201346</t>
  </si>
  <si>
    <t>9920-201326</t>
  </si>
  <si>
    <t>9920-201345</t>
  </si>
  <si>
    <t>9920-201357</t>
  </si>
  <si>
    <t>A11-A22-A32-A41-A5DIR-RS485-FLX</t>
  </si>
  <si>
    <t>A11-A21-A32-A5DIR-FLX</t>
  </si>
  <si>
    <t>5OP-V2FLX</t>
  </si>
  <si>
    <t xml:space="preserve">Pack description:  </t>
  </si>
  <si>
    <t>Pack #:</t>
  </si>
  <si>
    <t>Revision:</t>
  </si>
  <si>
    <t>Spec. :</t>
  </si>
  <si>
    <t>How to use</t>
  </si>
  <si>
    <t>Pump 1 - 5</t>
  </si>
  <si>
    <t>Blower, DIRECT 1 - 2</t>
  </si>
  <si>
    <t>Circ. Pump (CP) configuration</t>
  </si>
  <si>
    <t>Ozone (O3) configuration</t>
  </si>
  <si>
    <t>Filter cycle daily</t>
  </si>
  <si>
    <t>Heater</t>
  </si>
  <si>
    <t>Pump speed</t>
  </si>
  <si>
    <t>X = Installed</t>
  </si>
  <si>
    <t>During filter cycle or Always on</t>
  </si>
  <si>
    <t>During filter cycle or Always on, With CP or P1</t>
  </si>
  <si>
    <t>Frequency * Duration</t>
  </si>
  <si>
    <t>(Connector)</t>
  </si>
  <si>
    <t>(Pump used)</t>
  </si>
  <si>
    <t>Current defined Hi-Lo</t>
  </si>
  <si>
    <t>Current defined</t>
  </si>
  <si>
    <t>Current (Power) defined</t>
  </si>
  <si>
    <t>4- Select low level</t>
  </si>
  <si>
    <t>QSC description:</t>
  </si>
  <si>
    <t>QSC #:</t>
  </si>
  <si>
    <t>Software:</t>
  </si>
  <si>
    <t>Configuration selection chart</t>
  </si>
  <si>
    <t>Standard config. #</t>
  </si>
  <si>
    <t xml:space="preserve">Pump 1 </t>
  </si>
  <si>
    <t xml:space="preserve">Pump 2 </t>
  </si>
  <si>
    <t xml:space="preserve">Pump 3 </t>
  </si>
  <si>
    <t xml:space="preserve">Pump 4 </t>
  </si>
  <si>
    <t xml:space="preserve">Pump 5 </t>
  </si>
  <si>
    <t>Blower</t>
  </si>
  <si>
    <r>
      <t>Ozone (O3) configuration</t>
    </r>
    <r>
      <rPr>
        <b/>
        <vertAlign val="superscript"/>
        <sz val="12"/>
        <color rgb="FF000000"/>
        <rFont val="Calibri"/>
        <family val="2"/>
      </rPr>
      <t>1</t>
    </r>
  </si>
  <si>
    <t>2SP</t>
  </si>
  <si>
    <t>240V</t>
  </si>
  <si>
    <t>During filter cycle</t>
  </si>
  <si>
    <t>During filter cycle with CP</t>
  </si>
  <si>
    <t>2 X 2 hours</t>
  </si>
  <si>
    <t>with CP</t>
  </si>
  <si>
    <t>(A3)</t>
  </si>
  <si>
    <t>(A2)</t>
  </si>
  <si>
    <t>(A5)</t>
  </si>
  <si>
    <t>(A1)</t>
  </si>
  <si>
    <t>(A6)</t>
  </si>
  <si>
    <t>12A-4A</t>
  </si>
  <si>
    <t>0A</t>
  </si>
  <si>
    <t>2A</t>
  </si>
  <si>
    <t>23A (5.5kW)</t>
  </si>
  <si>
    <t>During filter cycle with P1</t>
  </si>
  <si>
    <t>with P1</t>
  </si>
  <si>
    <t>1SP</t>
  </si>
  <si>
    <t>12A</t>
  </si>
  <si>
    <t>(A4)</t>
  </si>
  <si>
    <t>1A</t>
  </si>
  <si>
    <t>Glossary</t>
  </si>
  <si>
    <t>Note</t>
  </si>
  <si>
    <t>(P1L)</t>
  </si>
  <si>
    <t>Pump 1 Low speed</t>
  </si>
  <si>
    <t>(CP)</t>
  </si>
  <si>
    <t>Circulation Pump</t>
  </si>
  <si>
    <t>Installed</t>
  </si>
  <si>
    <t>High speed only</t>
  </si>
  <si>
    <t>High and Low speed</t>
  </si>
  <si>
    <t>(OUT, AMP, Relay, Tab)</t>
  </si>
  <si>
    <t>Output connector</t>
  </si>
  <si>
    <t>13A-4A</t>
  </si>
  <si>
    <t>Current High - Low speed</t>
  </si>
  <si>
    <t>9920-201364</t>
  </si>
  <si>
    <t>9920-201364Ch</t>
  </si>
  <si>
    <t>9920-201364Cl</t>
  </si>
  <si>
    <t>5OP-V2FLX (K6 / F2)</t>
  </si>
  <si>
    <t>Variant 7</t>
  </si>
  <si>
    <t>(P28,P30,P32)</t>
  </si>
  <si>
    <t>K1-P (P39,P40)</t>
  </si>
  <si>
    <t>K2-P (P43,P44)</t>
  </si>
  <si>
    <t>A1-L</t>
  </si>
  <si>
    <t>9920-201364F</t>
  </si>
  <si>
    <t>9920-201352F</t>
  </si>
  <si>
    <t>Variable Speed Pump #1 Assign</t>
  </si>
  <si>
    <t>Variable Speed Pump #2 Assign</t>
  </si>
  <si>
    <t>Variable Speed Pump #4 Assign</t>
  </si>
  <si>
    <t>Variable Speed Pump #3 Assign</t>
  </si>
  <si>
    <t>Variable Speed Pump #5 Assign</t>
  </si>
  <si>
    <t>Variable Speed Pump Config</t>
  </si>
  <si>
    <t>Variable Speed Pump Type</t>
  </si>
  <si>
    <t>No VSP</t>
  </si>
  <si>
    <t>Variable Speed Pump Heating Speed</t>
  </si>
  <si>
    <t>Variable Speed Pump Filtering Speed</t>
  </si>
  <si>
    <t>AMP</t>
  </si>
  <si>
    <t>L</t>
  </si>
  <si>
    <t>OUT1&amp;OUT2</t>
  </si>
  <si>
    <t>in.ye-5</t>
  </si>
  <si>
    <t>ASSY PCB IN.YE-V3FLX-5OP-A11-A22-A32-A41-A5DIR</t>
  </si>
  <si>
    <t>P2_2SP</t>
  </si>
  <si>
    <t>P2_2SP (10A)</t>
  </si>
  <si>
    <t>With P1</t>
  </si>
  <si>
    <t>°F</t>
  </si>
  <si>
    <t>Free pump key</t>
  </si>
  <si>
    <t>WHITE</t>
  </si>
  <si>
    <t>Dynasty</t>
  </si>
  <si>
    <t>LL=10A</t>
  </si>
  <si>
    <t>CP/O3 = 1A</t>
  </si>
  <si>
    <t>LL22 a 26 = 2A</t>
  </si>
  <si>
    <t>OUT3</t>
  </si>
  <si>
    <t>OUT4</t>
  </si>
  <si>
    <t>P4_1SP</t>
  </si>
  <si>
    <t>P4H</t>
  </si>
  <si>
    <t>P4L</t>
  </si>
  <si>
    <t>LL44=12A</t>
  </si>
  <si>
    <t>SWIM exercise</t>
  </si>
  <si>
    <t>LL44-46</t>
  </si>
  <si>
    <t>LL45</t>
  </si>
  <si>
    <t>0610-221126-755</t>
  </si>
  <si>
    <t>9937-130074</t>
  </si>
  <si>
    <t>SP755001</t>
  </si>
  <si>
    <t>9938-755001</t>
  </si>
  <si>
    <t>9940-755001</t>
  </si>
  <si>
    <t>A</t>
  </si>
  <si>
    <t>9919-101830</t>
  </si>
  <si>
    <t>DUAL PACK CONFIG</t>
  </si>
  <si>
    <t>IN.YE-5-H4.0-AMP-V3FLX-DY1</t>
  </si>
  <si>
    <t>QSC: IN.YE-5-H4.0-AMP-V3FLX-DY1</t>
  </si>
  <si>
    <t>9938-755</t>
  </si>
  <si>
    <t>On when filtering</t>
  </si>
  <si>
    <t>4kW</t>
  </si>
  <si>
    <t>5A</t>
  </si>
  <si>
    <t>2 X 12 hours</t>
  </si>
  <si>
    <t xml:space="preserve">On when filtering </t>
  </si>
  <si>
    <t>14A-4A</t>
  </si>
  <si>
    <t>A6</t>
  </si>
</sst>
</file>

<file path=xl/styles.xml><?xml version="1.0" encoding="utf-8"?>
<styleSheet xmlns="http://schemas.openxmlformats.org/spreadsheetml/2006/main">
  <numFmts count="15">
    <numFmt numFmtId="164" formatCode="0\ &quot;hours&quot;"/>
    <numFmt numFmtId="165" formatCode="0\ &quot;min.&quot;"/>
    <numFmt numFmtId="166" formatCode="0\ &quot;A&quot;"/>
    <numFmt numFmtId="167" formatCode="0\ &quot;°F&quot;"/>
    <numFmt numFmtId="168" formatCode="0\ &quot;/day&quot;"/>
    <numFmt numFmtId="169" formatCode="0\ &quot;sec.&quot;"/>
    <numFmt numFmtId="170" formatCode="&quot;9919-&quot;000000"/>
    <numFmt numFmtId="171" formatCode="&quot;SP&quot;000000"/>
    <numFmt numFmtId="172" formatCode="0.0\ &quot;hours&quot;"/>
    <numFmt numFmtId="173" formatCode="[&gt;41]#.0&quot;°F&quot;;#.0&quot;°C&quot;"/>
    <numFmt numFmtId="174" formatCode="#,#00\ &quot;W&quot;"/>
    <numFmt numFmtId="175" formatCode="&quot;9937-&quot;000000"/>
    <numFmt numFmtId="176" formatCode="000"/>
    <numFmt numFmtId="177" formatCode="&quot;9940-&quot;000"/>
    <numFmt numFmtId="178" formatCode="&quot;9938-&quot;000"/>
  </numFmts>
  <fonts count="12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10"/>
      <name val="Arial"/>
      <family val="2"/>
    </font>
    <font>
      <i/>
      <sz val="10"/>
      <name val="Arial"/>
      <family val="2"/>
    </font>
    <font>
      <b/>
      <sz val="8"/>
      <name val="Arial"/>
      <family val="2"/>
    </font>
    <font>
      <b/>
      <sz val="20"/>
      <color theme="1"/>
      <name val="Calibri"/>
      <family val="2"/>
      <scheme val="minor"/>
    </font>
    <font>
      <b/>
      <sz val="12"/>
      <color theme="1"/>
      <name val="Calibri"/>
      <family val="2"/>
      <scheme val="minor"/>
    </font>
    <font>
      <sz val="12"/>
      <color theme="1"/>
      <name val="Calibri"/>
      <family val="2"/>
      <scheme val="minor"/>
    </font>
    <font>
      <b/>
      <sz val="10"/>
      <color theme="8" tint="-0.249977111117893"/>
      <name val="Arial"/>
      <family val="2"/>
    </font>
    <font>
      <sz val="8"/>
      <color indexed="10"/>
      <name val="Arial"/>
      <family val="2"/>
    </font>
    <font>
      <b/>
      <u/>
      <sz val="10"/>
      <color indexed="10"/>
      <name val="Arial"/>
      <family val="2"/>
    </font>
    <font>
      <b/>
      <i/>
      <sz val="10"/>
      <name val="Arial"/>
      <family val="2"/>
    </font>
    <font>
      <b/>
      <sz val="12"/>
      <name val="Arial"/>
      <family val="2"/>
    </font>
    <font>
      <b/>
      <i/>
      <sz val="14"/>
      <color theme="0"/>
      <name val="Arial"/>
      <family val="2"/>
    </font>
    <font>
      <sz val="12"/>
      <color theme="0"/>
      <name val="Calibri"/>
      <family val="2"/>
      <scheme val="minor"/>
    </font>
    <font>
      <b/>
      <sz val="10"/>
      <color rgb="FFFF0000"/>
      <name val="Arial"/>
      <family val="2"/>
    </font>
    <font>
      <b/>
      <sz val="10"/>
      <color theme="0"/>
      <name val="Arial"/>
      <family val="2"/>
    </font>
    <font>
      <b/>
      <sz val="12"/>
      <color theme="1"/>
      <name val="Arial"/>
      <family val="2"/>
    </font>
    <font>
      <u/>
      <sz val="10"/>
      <color theme="0" tint="-0.499984740745262"/>
      <name val="Arial"/>
      <family val="2"/>
    </font>
    <font>
      <u/>
      <sz val="10"/>
      <name val="Arial"/>
      <family val="2"/>
    </font>
    <font>
      <sz val="12"/>
      <name val="Arial"/>
      <family val="2"/>
    </font>
    <font>
      <sz val="12"/>
      <color rgb="FFFF0000"/>
      <name val="Calibri"/>
      <family val="2"/>
      <scheme val="minor"/>
    </font>
    <font>
      <b/>
      <i/>
      <sz val="18"/>
      <color theme="0"/>
      <name val="Arial"/>
      <family val="2"/>
    </font>
    <font>
      <b/>
      <sz val="11"/>
      <name val="Calibri"/>
      <family val="2"/>
      <scheme val="minor"/>
    </font>
    <font>
      <b/>
      <sz val="12"/>
      <color theme="0" tint="-0.34998626667073579"/>
      <name val="Calibri"/>
      <family val="2"/>
      <scheme val="minor"/>
    </font>
    <font>
      <b/>
      <sz val="11"/>
      <color theme="0" tint="-0.34998626667073579"/>
      <name val="Calibri"/>
      <family val="2"/>
      <scheme val="minor"/>
    </font>
    <font>
      <sz val="12"/>
      <color theme="0" tint="-0.34998626667073579"/>
      <name val="Calibri"/>
      <family val="2"/>
      <scheme val="minor"/>
    </font>
    <font>
      <b/>
      <u/>
      <sz val="11"/>
      <color theme="1"/>
      <name val="Calibri"/>
      <family val="2"/>
      <scheme val="minor"/>
    </font>
    <font>
      <i/>
      <sz val="12"/>
      <color theme="1"/>
      <name val="Calibri"/>
      <family val="2"/>
    </font>
    <font>
      <b/>
      <sz val="11"/>
      <color theme="1"/>
      <name val="Calibri"/>
      <family val="2"/>
      <scheme val="minor"/>
    </font>
    <font>
      <sz val="12"/>
      <name val="Calibri"/>
      <family val="2"/>
      <scheme val="minor"/>
    </font>
    <font>
      <sz val="11"/>
      <name val="Calibri"/>
      <family val="2"/>
      <scheme val="minor"/>
    </font>
    <font>
      <b/>
      <sz val="10"/>
      <color theme="0"/>
      <name val="Symbol"/>
      <family val="1"/>
      <charset val="2"/>
    </font>
    <font>
      <b/>
      <sz val="10"/>
      <color theme="0"/>
      <name val="Arial"/>
      <family val="1"/>
      <charset val="2"/>
    </font>
    <font>
      <sz val="11"/>
      <color rgb="FFFF0000"/>
      <name val="Calibri"/>
      <family val="2"/>
      <scheme val="minor"/>
    </font>
    <font>
      <b/>
      <i/>
      <sz val="10"/>
      <color theme="0"/>
      <name val="Arial"/>
      <family val="2"/>
    </font>
    <font>
      <b/>
      <sz val="12"/>
      <color rgb="FFFF0000"/>
      <name val="Calibri"/>
      <family val="2"/>
      <scheme val="minor"/>
    </font>
    <font>
      <sz val="14"/>
      <color theme="1"/>
      <name val="Calibri"/>
      <family val="2"/>
    </font>
    <font>
      <sz val="14"/>
      <color theme="1"/>
      <name val="Symbol"/>
      <family val="1"/>
      <charset val="2"/>
    </font>
    <font>
      <sz val="14"/>
      <color theme="1"/>
      <name val="Calibri"/>
      <family val="1"/>
      <charset val="2"/>
    </font>
    <font>
      <b/>
      <sz val="10"/>
      <color theme="0" tint="-0.499984740745262"/>
      <name val="Arial"/>
      <family val="2"/>
    </font>
    <font>
      <i/>
      <sz val="12"/>
      <color theme="1"/>
      <name val="Calibri"/>
      <family val="2"/>
      <scheme val="minor"/>
    </font>
    <font>
      <sz val="11"/>
      <color theme="0"/>
      <name val="Calibri"/>
      <family val="2"/>
      <scheme val="minor"/>
    </font>
    <font>
      <i/>
      <sz val="11"/>
      <color theme="1"/>
      <name val="Calibri"/>
      <family val="2"/>
      <scheme val="minor"/>
    </font>
    <font>
      <b/>
      <sz val="20"/>
      <color theme="0"/>
      <name val="Calibri"/>
      <family val="2"/>
      <scheme val="minor"/>
    </font>
    <font>
      <sz val="10"/>
      <color theme="0" tint="-0.34998626667073579"/>
      <name val="Arial"/>
      <family val="2"/>
    </font>
    <font>
      <sz val="10"/>
      <color rgb="FFC00000"/>
      <name val="Arial"/>
      <family val="2"/>
    </font>
    <font>
      <u/>
      <sz val="10"/>
      <color rgb="FFC00000"/>
      <name val="Arial"/>
      <family val="2"/>
    </font>
    <font>
      <b/>
      <sz val="10"/>
      <color rgb="FFC00000"/>
      <name val="Arial"/>
      <family val="2"/>
    </font>
    <font>
      <b/>
      <sz val="10"/>
      <name val="Symbol"/>
      <family val="1"/>
      <charset val="2"/>
    </font>
    <font>
      <b/>
      <sz val="10"/>
      <color theme="1"/>
      <name val="Arial"/>
      <family val="2"/>
    </font>
    <font>
      <b/>
      <sz val="12"/>
      <color theme="1"/>
      <name val="Symbol"/>
      <family val="1"/>
      <charset val="2"/>
    </font>
    <font>
      <b/>
      <sz val="12"/>
      <color theme="1"/>
      <name val="Arial"/>
      <family val="1"/>
      <charset val="2"/>
    </font>
    <font>
      <sz val="8"/>
      <color rgb="FF000000"/>
      <name val="Segoe UI"/>
      <family val="2"/>
    </font>
    <font>
      <sz val="10"/>
      <color theme="0" tint="-4.9989318521683403E-2"/>
      <name val="Arial"/>
      <family val="2"/>
    </font>
    <font>
      <b/>
      <sz val="10"/>
      <color theme="0" tint="-0.249977111117893"/>
      <name val="Arial"/>
      <family val="2"/>
    </font>
    <font>
      <sz val="10"/>
      <color theme="1"/>
      <name val="Arial"/>
      <family val="2"/>
    </font>
    <font>
      <b/>
      <sz val="16"/>
      <name val="Arial"/>
      <family val="2"/>
    </font>
    <font>
      <b/>
      <sz val="11"/>
      <color rgb="FFFF0000"/>
      <name val="Calibri"/>
      <family val="2"/>
      <scheme val="minor"/>
    </font>
    <font>
      <u/>
      <sz val="11"/>
      <color theme="1"/>
      <name val="Calibri"/>
      <family val="2"/>
      <scheme val="minor"/>
    </font>
    <font>
      <u/>
      <sz val="12"/>
      <color theme="1"/>
      <name val="Calibri"/>
      <family val="2"/>
      <scheme val="minor"/>
    </font>
    <font>
      <u/>
      <sz val="12"/>
      <name val="Calibri"/>
      <family val="2"/>
      <scheme val="minor"/>
    </font>
    <font>
      <b/>
      <sz val="11"/>
      <color theme="4"/>
      <name val="Calibri"/>
      <family val="2"/>
      <scheme val="minor"/>
    </font>
    <font>
      <u/>
      <sz val="11"/>
      <name val="Calibri"/>
      <family val="2"/>
      <scheme val="minor"/>
    </font>
    <font>
      <b/>
      <sz val="11"/>
      <color rgb="FF0070C0"/>
      <name val="Calibri"/>
      <family val="2"/>
      <scheme val="minor"/>
    </font>
    <font>
      <b/>
      <u/>
      <sz val="10"/>
      <name val="Arial"/>
      <family val="2"/>
    </font>
    <font>
      <i/>
      <sz val="11"/>
      <name val="Calibri"/>
      <family val="2"/>
      <scheme val="minor"/>
    </font>
    <font>
      <u/>
      <sz val="11"/>
      <color theme="0" tint="-0.34998626667073579"/>
      <name val="Calibri"/>
      <family val="2"/>
      <scheme val="minor"/>
    </font>
    <font>
      <sz val="11"/>
      <color rgb="FF0070C0"/>
      <name val="Calibri"/>
      <family val="2"/>
      <scheme val="minor"/>
    </font>
    <font>
      <sz val="10"/>
      <color rgb="FFFF0000"/>
      <name val="Arial"/>
      <family val="2"/>
    </font>
    <font>
      <i/>
      <sz val="10"/>
      <color theme="0" tint="-0.499984740745262"/>
      <name val="Arial"/>
      <family val="2"/>
    </font>
    <font>
      <sz val="10"/>
      <color theme="0" tint="-0.499984740745262"/>
      <name val="Arial"/>
      <family val="2"/>
    </font>
    <font>
      <b/>
      <i/>
      <sz val="10"/>
      <color theme="0" tint="-0.249977111117893"/>
      <name val="Arial"/>
      <family val="2"/>
    </font>
    <font>
      <sz val="11"/>
      <name val="Arial"/>
      <family val="2"/>
    </font>
    <font>
      <sz val="12"/>
      <color theme="9" tint="-0.249977111117893"/>
      <name val="Calibri"/>
      <family val="2"/>
      <scheme val="minor"/>
    </font>
    <font>
      <b/>
      <sz val="11"/>
      <color theme="9" tint="-0.249977111117893"/>
      <name val="Calibri"/>
      <family val="2"/>
      <scheme val="minor"/>
    </font>
    <font>
      <sz val="11"/>
      <color theme="9" tint="-0.499984740745262"/>
      <name val="Calibri"/>
      <family val="2"/>
      <scheme val="minor"/>
    </font>
    <font>
      <b/>
      <sz val="11"/>
      <color theme="9" tint="-0.499984740745262"/>
      <name val="Calibri"/>
      <family val="2"/>
      <scheme val="minor"/>
    </font>
    <font>
      <u/>
      <sz val="11"/>
      <color theme="9" tint="-0.499984740745262"/>
      <name val="Calibri"/>
      <family val="2"/>
      <scheme val="minor"/>
    </font>
    <font>
      <i/>
      <sz val="11"/>
      <color theme="9" tint="-0.499984740745262"/>
      <name val="Calibri"/>
      <family val="2"/>
      <scheme val="minor"/>
    </font>
    <font>
      <u/>
      <sz val="12"/>
      <color theme="9" tint="-0.499984740745262"/>
      <name val="Calibri"/>
      <family val="2"/>
      <scheme val="minor"/>
    </font>
    <font>
      <b/>
      <i/>
      <sz val="10"/>
      <color theme="0"/>
      <name val="Arial"/>
      <family val="1"/>
      <charset val="2"/>
    </font>
    <font>
      <sz val="11"/>
      <color theme="9" tint="-0.249977111117893"/>
      <name val="Calibri"/>
      <family val="2"/>
      <scheme val="minor"/>
    </font>
    <font>
      <sz val="14"/>
      <color rgb="FF000000"/>
      <name val="Times New Roman"/>
      <family val="1"/>
    </font>
    <font>
      <sz val="10"/>
      <color theme="0"/>
      <name val="Arial"/>
      <family val="2"/>
    </font>
    <font>
      <sz val="11"/>
      <color rgb="FF00B050"/>
      <name val="Calibri"/>
      <family val="2"/>
      <scheme val="minor"/>
    </font>
    <font>
      <sz val="11"/>
      <color rgb="FF002060"/>
      <name val="Calibri"/>
      <family val="2"/>
      <scheme val="minor"/>
    </font>
    <font>
      <b/>
      <sz val="11"/>
      <color rgb="FF002060"/>
      <name val="Calibri"/>
      <family val="2"/>
      <scheme val="minor"/>
    </font>
    <font>
      <u/>
      <sz val="11"/>
      <color rgb="FF002060"/>
      <name val="Calibri"/>
      <family val="2"/>
      <scheme val="minor"/>
    </font>
    <font>
      <b/>
      <sz val="20"/>
      <color rgb="FF000000"/>
      <name val="Calibri"/>
      <family val="2"/>
    </font>
    <font>
      <sz val="11"/>
      <color rgb="FF000000"/>
      <name val="Calibri"/>
      <family val="2"/>
    </font>
    <font>
      <b/>
      <sz val="12"/>
      <color rgb="FF000000"/>
      <name val="Calibri"/>
      <family val="2"/>
    </font>
    <font>
      <sz val="12"/>
      <color rgb="FF000000"/>
      <name val="Calibri"/>
      <family val="2"/>
    </font>
    <font>
      <i/>
      <sz val="12"/>
      <color rgb="FF000000"/>
      <name val="Calibri"/>
      <family val="2"/>
    </font>
    <font>
      <b/>
      <sz val="11"/>
      <color rgb="FF000000"/>
      <name val="Calibri"/>
      <family val="2"/>
    </font>
    <font>
      <b/>
      <vertAlign val="superscript"/>
      <sz val="12"/>
      <color rgb="FF000000"/>
      <name val="Calibri"/>
      <family val="2"/>
    </font>
    <font>
      <i/>
      <sz val="9"/>
      <color rgb="FF000000"/>
      <name val="Calibri"/>
      <family val="2"/>
    </font>
    <font>
      <sz val="9"/>
      <color rgb="FF000000"/>
      <name val="Calibri"/>
      <family val="2"/>
    </font>
    <font>
      <sz val="11"/>
      <color rgb="FF444444"/>
      <name val="Calibri"/>
      <family val="2"/>
    </font>
    <font>
      <b/>
      <i/>
      <sz val="12"/>
      <color rgb="FF000000"/>
      <name val="Calibri"/>
      <family val="2"/>
    </font>
  </fonts>
  <fills count="30">
    <fill>
      <patternFill patternType="none"/>
    </fill>
    <fill>
      <patternFill patternType="gray125"/>
    </fill>
    <fill>
      <patternFill patternType="solid">
        <fgColor indexed="44"/>
        <bgColor indexed="64"/>
      </patternFill>
    </fill>
    <fill>
      <patternFill patternType="solid">
        <fgColor indexed="31"/>
        <bgColor indexed="64"/>
      </patternFill>
    </fill>
    <fill>
      <patternFill patternType="solid">
        <fgColor rgb="FF00B0F0"/>
        <bgColor indexed="64"/>
      </patternFill>
    </fill>
    <fill>
      <patternFill patternType="solid">
        <fgColor theme="0" tint="-0.14999847407452621"/>
        <bgColor indexed="64"/>
      </patternFill>
    </fill>
    <fill>
      <patternFill patternType="solid">
        <fgColor theme="0"/>
        <bgColor indexed="64"/>
      </patternFill>
    </fill>
    <fill>
      <patternFill patternType="solid">
        <fgColor rgb="FF99CCFF"/>
        <bgColor indexed="64"/>
      </patternFill>
    </fill>
    <fill>
      <patternFill patternType="solid">
        <fgColor rgb="FFCCCCFF"/>
        <bgColor indexed="64"/>
      </patternFill>
    </fill>
    <fill>
      <patternFill patternType="solid">
        <fgColor rgb="FF92D050"/>
        <bgColor indexed="64"/>
      </patternFill>
    </fill>
    <fill>
      <patternFill patternType="solid">
        <fgColor theme="1"/>
        <bgColor indexed="64"/>
      </patternFill>
    </fill>
    <fill>
      <patternFill patternType="solid">
        <fgColor rgb="FFFF0000"/>
        <bgColor indexed="64"/>
      </patternFill>
    </fill>
    <fill>
      <patternFill patternType="solid">
        <fgColor rgb="FF0070C0"/>
        <bgColor indexed="64"/>
      </patternFill>
    </fill>
    <fill>
      <patternFill patternType="solid">
        <fgColor rgb="FFFFC000"/>
        <bgColor indexed="64"/>
      </patternFill>
    </fill>
    <fill>
      <patternFill patternType="lightUp">
        <bgColor rgb="FF0070C0"/>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B8CCE4"/>
        <bgColor rgb="FF000000"/>
      </patternFill>
    </fill>
    <fill>
      <patternFill patternType="solid">
        <fgColor rgb="FFFFFF00"/>
        <bgColor rgb="FF000000"/>
      </patternFill>
    </fill>
    <fill>
      <patternFill patternType="solid">
        <fgColor rgb="FF000000"/>
        <bgColor rgb="FF000000"/>
      </patternFill>
    </fill>
    <fill>
      <patternFill patternType="lightUp">
        <fgColor rgb="FF000000"/>
        <bgColor rgb="FFB8CCE4"/>
      </patternFill>
    </fill>
    <fill>
      <patternFill patternType="solid">
        <fgColor rgb="FFDCE6F1"/>
        <bgColor rgb="FF000000"/>
      </patternFill>
    </fill>
    <fill>
      <patternFill patternType="solid">
        <fgColor rgb="FFFFFFFF"/>
        <bgColor rgb="FF000000"/>
      </patternFill>
    </fill>
    <fill>
      <patternFill patternType="solid">
        <fgColor theme="0"/>
        <bgColor rgb="FF000000"/>
      </patternFill>
    </fill>
    <fill>
      <patternFill patternType="solid">
        <fgColor theme="4" tint="0.79998168889431442"/>
        <bgColor rgb="FF000000"/>
      </patternFill>
    </fill>
    <fill>
      <patternFill patternType="solid">
        <fgColor rgb="FFDCE6F1"/>
        <bgColor indexed="64"/>
      </patternFill>
    </fill>
    <fill>
      <patternFill patternType="solid">
        <fgColor indexed="65"/>
        <bgColor rgb="FF000000"/>
      </patternFill>
    </fill>
    <fill>
      <patternFill patternType="solid">
        <fgColor rgb="FFEBF1DE"/>
        <bgColor rgb="FF000000"/>
      </patternFill>
    </fill>
    <fill>
      <patternFill patternType="solid">
        <fgColor rgb="FFD9D9D9"/>
        <bgColor indexed="64"/>
      </patternFill>
    </fill>
    <fill>
      <patternFill patternType="solid">
        <fgColor rgb="FFFFFF00"/>
        <bgColor indexed="64"/>
      </patternFill>
    </fill>
  </fills>
  <borders count="108">
    <border>
      <left/>
      <right/>
      <top/>
      <bottom/>
      <diagonal/>
    </border>
    <border>
      <left/>
      <right/>
      <top/>
      <bottom style="thin">
        <color indexed="64"/>
      </bottom>
      <diagonal/>
    </border>
    <border>
      <left style="medium">
        <color auto="1"/>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0" tint="-0.14999847407452621"/>
      </right>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theme="0"/>
      </top>
      <bottom style="medium">
        <color indexed="64"/>
      </bottom>
      <diagonal/>
    </border>
    <border>
      <left/>
      <right/>
      <top style="thin">
        <color theme="0"/>
      </top>
      <bottom style="medium">
        <color indexed="64"/>
      </bottom>
      <diagonal/>
    </border>
    <border>
      <left/>
      <right style="medium">
        <color indexed="64"/>
      </right>
      <top style="thin">
        <color theme="0"/>
      </top>
      <bottom style="medium">
        <color indexed="64"/>
      </bottom>
      <diagonal/>
    </border>
    <border>
      <left style="thin">
        <color indexed="64"/>
      </left>
      <right style="medium">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medium">
        <color indexed="64"/>
      </left>
      <right style="double">
        <color indexed="64"/>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top style="double">
        <color auto="1"/>
      </top>
      <bottom/>
      <diagonal/>
    </border>
    <border>
      <left/>
      <right/>
      <top/>
      <bottom style="double">
        <color auto="1"/>
      </bottom>
      <diagonal/>
    </border>
    <border diagonalUp="1" diagonalDown="1">
      <left/>
      <right/>
      <top style="double">
        <color auto="1"/>
      </top>
      <bottom/>
      <diagonal style="thin">
        <color auto="1"/>
      </diagonal>
    </border>
    <border diagonalUp="1" diagonalDown="1">
      <left/>
      <right/>
      <top/>
      <bottom/>
      <diagonal style="thin">
        <color auto="1"/>
      </diagonal>
    </border>
    <border diagonalUp="1" diagonalDown="1">
      <left/>
      <right/>
      <top/>
      <bottom style="thin">
        <color indexed="64"/>
      </bottom>
      <diagonal style="thin">
        <color auto="1"/>
      </diagonal>
    </border>
    <border diagonalUp="1" diagonalDown="1">
      <left/>
      <right/>
      <top/>
      <bottom style="double">
        <color auto="1"/>
      </bottom>
      <diagonal style="thin">
        <color auto="1"/>
      </diagonal>
    </border>
    <border diagonalUp="1" diagonalDown="1">
      <left/>
      <right/>
      <top style="thin">
        <color indexed="64"/>
      </top>
      <bottom/>
      <diagonal style="thin">
        <color auto="1"/>
      </diagonal>
    </border>
    <border diagonalUp="1" diagonalDown="1">
      <left/>
      <right/>
      <top/>
      <bottom style="medium">
        <color indexed="64"/>
      </bottom>
      <diagonal style="thin">
        <color auto="1"/>
      </diagonal>
    </border>
    <border>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double">
        <color indexed="64"/>
      </right>
      <top style="thin">
        <color indexed="64"/>
      </top>
      <bottom style="medium">
        <color indexed="64"/>
      </bottom>
      <diagonal/>
    </border>
    <border>
      <left style="medium">
        <color indexed="64"/>
      </left>
      <right style="double">
        <color indexed="64"/>
      </right>
      <top/>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double">
        <color indexed="64"/>
      </right>
      <top/>
      <bottom style="medium">
        <color indexed="64"/>
      </bottom>
      <diagonal/>
    </border>
    <border>
      <left style="double">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double">
        <color indexed="64"/>
      </right>
      <top/>
      <bottom style="medium">
        <color indexed="64"/>
      </bottom>
      <diagonal/>
    </border>
    <border>
      <left/>
      <right style="medium">
        <color indexed="64"/>
      </right>
      <top/>
      <bottom style="thin">
        <color theme="0"/>
      </bottom>
      <diagonal/>
    </border>
    <border>
      <left style="medium">
        <color indexed="64"/>
      </left>
      <right style="medium">
        <color auto="1"/>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double">
        <color auto="1"/>
      </top>
      <bottom/>
      <diagonal/>
    </border>
    <border>
      <left style="double">
        <color indexed="64"/>
      </left>
      <right style="thin">
        <color indexed="64"/>
      </right>
      <top style="medium">
        <color indexed="64"/>
      </top>
      <bottom/>
      <diagonal/>
    </border>
    <border>
      <left style="double">
        <color indexed="64"/>
      </left>
      <right style="thin">
        <color indexed="64"/>
      </right>
      <top/>
      <bottom style="thin">
        <color indexed="64"/>
      </bottom>
      <diagonal/>
    </border>
    <border>
      <left style="double">
        <color indexed="64"/>
      </left>
      <right style="double">
        <color indexed="64"/>
      </right>
      <top style="thin">
        <color indexed="64"/>
      </top>
      <bottom style="medium">
        <color indexed="64"/>
      </bottom>
      <diagonal/>
    </border>
    <border>
      <left style="thin">
        <color indexed="64"/>
      </left>
      <right/>
      <top style="thin">
        <color indexed="64"/>
      </top>
      <bottom style="medium">
        <color indexed="64"/>
      </bottom>
      <diagonal/>
    </border>
    <border>
      <left style="double">
        <color indexed="64"/>
      </left>
      <right style="double">
        <color indexed="64"/>
      </right>
      <top style="medium">
        <color indexed="64"/>
      </top>
      <bottom/>
      <diagonal/>
    </border>
    <border>
      <left style="double">
        <color indexed="64"/>
      </left>
      <right style="double">
        <color indexed="64"/>
      </right>
      <top/>
      <bottom style="thin">
        <color indexed="64"/>
      </bottom>
      <diagonal/>
    </border>
    <border>
      <left style="double">
        <color indexed="64"/>
      </left>
      <right style="double">
        <color indexed="64"/>
      </right>
      <top style="medium">
        <color indexed="64"/>
      </top>
      <bottom style="thin">
        <color indexed="64"/>
      </bottom>
      <diagonal/>
    </border>
    <border>
      <left style="thin">
        <color indexed="64"/>
      </left>
      <right style="double">
        <color indexed="64"/>
      </right>
      <top style="medium">
        <color indexed="64"/>
      </top>
      <bottom/>
      <diagonal/>
    </border>
    <border>
      <left style="thin">
        <color indexed="64"/>
      </left>
      <right style="double">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medium">
        <color indexed="64"/>
      </top>
      <bottom style="thin">
        <color indexed="64"/>
      </bottom>
      <diagonal/>
    </border>
    <border>
      <left style="thin">
        <color indexed="64"/>
      </left>
      <right/>
      <top style="medium">
        <color indexed="64"/>
      </top>
      <bottom style="medium">
        <color indexed="64"/>
      </bottom>
      <diagonal/>
    </border>
    <border>
      <left/>
      <right style="thin">
        <color auto="1"/>
      </right>
      <top style="double">
        <color auto="1"/>
      </top>
      <bottom/>
      <diagonal/>
    </border>
    <border>
      <left/>
      <right style="thin">
        <color auto="1"/>
      </right>
      <top/>
      <bottom style="medium">
        <color indexed="64"/>
      </bottom>
      <diagonal/>
    </border>
    <border>
      <left/>
      <right style="thin">
        <color auto="1"/>
      </right>
      <top/>
      <bottom style="double">
        <color auto="1"/>
      </bottom>
      <diagonal/>
    </border>
    <border>
      <left style="medium">
        <color indexed="64"/>
      </left>
      <right style="double">
        <color indexed="64"/>
      </right>
      <top style="medium">
        <color indexed="64"/>
      </top>
      <bottom/>
      <diagonal/>
    </border>
    <border>
      <left style="double">
        <color indexed="64"/>
      </left>
      <right/>
      <top style="medium">
        <color indexed="64"/>
      </top>
      <bottom/>
      <diagonal/>
    </border>
    <border>
      <left/>
      <right style="double">
        <color indexed="64"/>
      </right>
      <top style="medium">
        <color indexed="64"/>
      </top>
      <bottom/>
      <diagonal/>
    </border>
    <border>
      <left style="double">
        <color indexed="64"/>
      </left>
      <right/>
      <top/>
      <bottom style="thin">
        <color indexed="64"/>
      </bottom>
      <diagonal/>
    </border>
    <border>
      <left/>
      <right style="double">
        <color indexed="64"/>
      </right>
      <top/>
      <bottom style="thin">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double">
        <color indexed="64"/>
      </left>
      <right style="double">
        <color indexed="64"/>
      </right>
      <top/>
      <bottom/>
      <diagonal/>
    </border>
    <border>
      <left style="double">
        <color indexed="64"/>
      </left>
      <right style="double">
        <color indexed="64"/>
      </right>
      <top/>
      <bottom style="medium">
        <color indexed="64"/>
      </bottom>
      <diagonal/>
    </border>
    <border>
      <left style="double">
        <color indexed="64"/>
      </left>
      <right style="thin">
        <color indexed="64"/>
      </right>
      <top/>
      <bottom/>
      <diagonal/>
    </border>
    <border>
      <left style="thin">
        <color indexed="64"/>
      </left>
      <right style="double">
        <color indexed="64"/>
      </right>
      <top/>
      <bottom/>
      <diagonal/>
    </border>
  </borders>
  <cellStyleXfs count="1886">
    <xf numFmtId="0" fontId="0" fillId="0" borderId="0"/>
    <xf numFmtId="0" fontId="22" fillId="0" borderId="0"/>
    <xf numFmtId="0" fontId="22" fillId="0" borderId="0"/>
    <xf numFmtId="0" fontId="22" fillId="0" borderId="0"/>
    <xf numFmtId="0" fontId="22" fillId="0" borderId="0"/>
    <xf numFmtId="0" fontId="21" fillId="0" borderId="0"/>
    <xf numFmtId="0" fontId="20" fillId="0" borderId="0"/>
    <xf numFmtId="0" fontId="20" fillId="0" borderId="0"/>
    <xf numFmtId="0" fontId="19" fillId="0" borderId="0"/>
    <xf numFmtId="0" fontId="19" fillId="0" borderId="0"/>
    <xf numFmtId="0" fontId="19" fillId="0" borderId="0"/>
    <xf numFmtId="0" fontId="18" fillId="0" borderId="0"/>
    <xf numFmtId="0" fontId="18" fillId="0" borderId="0"/>
    <xf numFmtId="0" fontId="18" fillId="0" borderId="0"/>
    <xf numFmtId="0" fontId="18" fillId="0" borderId="0"/>
    <xf numFmtId="0" fontId="18" fillId="0" borderId="0"/>
    <xf numFmtId="0" fontId="18" fillId="0" borderId="0"/>
    <xf numFmtId="0" fontId="22"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2"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22" fillId="0" borderId="0"/>
    <xf numFmtId="0" fontId="22"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2"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2" fillId="0" borderId="0"/>
    <xf numFmtId="0" fontId="22"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2" fillId="0" borderId="0"/>
    <xf numFmtId="0" fontId="22"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2" fillId="0" borderId="0"/>
    <xf numFmtId="0" fontId="22"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2" fillId="0" borderId="0"/>
    <xf numFmtId="0" fontId="22"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2" fillId="0" borderId="0"/>
    <xf numFmtId="0" fontId="22" fillId="0" borderId="0"/>
    <xf numFmtId="0" fontId="22" fillId="0" borderId="0"/>
    <xf numFmtId="0" fontId="15" fillId="0" borderId="0"/>
    <xf numFmtId="0" fontId="15" fillId="0" borderId="0"/>
    <xf numFmtId="0" fontId="15" fillId="0" borderId="0"/>
    <xf numFmtId="0" fontId="15" fillId="0" borderId="0"/>
    <xf numFmtId="0" fontId="15" fillId="0" borderId="0"/>
    <xf numFmtId="0" fontId="15" fillId="0" borderId="0"/>
    <xf numFmtId="0" fontId="22" fillId="0" borderId="0"/>
    <xf numFmtId="0" fontId="22" fillId="0" borderId="0"/>
    <xf numFmtId="0" fontId="15" fillId="0" borderId="0"/>
    <xf numFmtId="0" fontId="15" fillId="0" borderId="0"/>
    <xf numFmtId="0" fontId="15" fillId="0" borderId="0"/>
    <xf numFmtId="0" fontId="15" fillId="0" borderId="0"/>
    <xf numFmtId="0" fontId="15" fillId="0" borderId="0"/>
    <xf numFmtId="0" fontId="15" fillId="0" borderId="0"/>
    <xf numFmtId="0" fontId="22" fillId="0" borderId="0"/>
    <xf numFmtId="0" fontId="22"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3" fillId="0" borderId="0"/>
    <xf numFmtId="0" fontId="12" fillId="0" borderId="0"/>
    <xf numFmtId="0" fontId="1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cellStyleXfs>
  <cellXfs count="875">
    <xf numFmtId="0" fontId="0" fillId="0" borderId="0" xfId="0"/>
    <xf numFmtId="0" fontId="13" fillId="0" borderId="0" xfId="961"/>
    <xf numFmtId="0" fontId="28" fillId="0" borderId="0" xfId="961" applyFont="1"/>
    <xf numFmtId="0" fontId="28" fillId="0" borderId="0" xfId="0" applyFont="1"/>
    <xf numFmtId="0" fontId="29" fillId="0" borderId="4" xfId="0" applyFont="1" applyBorder="1" applyAlignment="1">
      <alignment horizontal="center"/>
    </xf>
    <xf numFmtId="0" fontId="29" fillId="4" borderId="4" xfId="0" applyFont="1" applyFill="1" applyBorder="1" applyAlignment="1">
      <alignment horizontal="center"/>
    </xf>
    <xf numFmtId="0" fontId="29" fillId="0" borderId="0" xfId="0" applyFont="1" applyAlignment="1">
      <alignment horizontal="center"/>
    </xf>
    <xf numFmtId="0" fontId="29" fillId="9" borderId="21" xfId="0" applyFont="1" applyFill="1" applyBorder="1" applyAlignment="1">
      <alignment horizontal="center"/>
    </xf>
    <xf numFmtId="0" fontId="28" fillId="0" borderId="0" xfId="0" applyFont="1" applyAlignment="1">
      <alignment horizontal="center"/>
    </xf>
    <xf numFmtId="0" fontId="29" fillId="0" borderId="42" xfId="0" applyFont="1" applyBorder="1" applyAlignment="1">
      <alignment horizontal="center"/>
    </xf>
    <xf numFmtId="0" fontId="28" fillId="5" borderId="4" xfId="0" applyFont="1" applyFill="1" applyBorder="1" applyAlignment="1">
      <alignment horizontal="left"/>
    </xf>
    <xf numFmtId="0" fontId="28" fillId="4" borderId="4" xfId="961" applyFont="1" applyFill="1" applyBorder="1" applyAlignment="1">
      <alignment horizontal="left"/>
    </xf>
    <xf numFmtId="0" fontId="29" fillId="9" borderId="43" xfId="960" applyFont="1" applyFill="1" applyBorder="1" applyAlignment="1">
      <alignment horizontal="left"/>
    </xf>
    <xf numFmtId="0" fontId="29" fillId="9" borderId="21" xfId="960" applyFont="1" applyFill="1" applyBorder="1" applyAlignment="1">
      <alignment horizontal="left"/>
    </xf>
    <xf numFmtId="0" fontId="36" fillId="12" borderId="43" xfId="960" applyFont="1" applyFill="1" applyBorder="1" applyAlignment="1">
      <alignment horizontal="left"/>
    </xf>
    <xf numFmtId="0" fontId="36" fillId="12" borderId="21" xfId="960" applyFont="1" applyFill="1" applyBorder="1" applyAlignment="1">
      <alignment horizontal="left"/>
    </xf>
    <xf numFmtId="0" fontId="29" fillId="13" borderId="43" xfId="960" applyFont="1" applyFill="1" applyBorder="1" applyAlignment="1">
      <alignment horizontal="left"/>
    </xf>
    <xf numFmtId="0" fontId="29" fillId="13" borderId="21" xfId="960" applyFont="1" applyFill="1" applyBorder="1" applyAlignment="1">
      <alignment horizontal="left"/>
    </xf>
    <xf numFmtId="0" fontId="27" fillId="0" borderId="0" xfId="0" applyFont="1"/>
    <xf numFmtId="0" fontId="29" fillId="9" borderId="42" xfId="960" applyFont="1" applyFill="1" applyBorder="1" applyAlignment="1">
      <alignment horizontal="left"/>
    </xf>
    <xf numFmtId="0" fontId="36" fillId="12" borderId="42" xfId="960" applyFont="1" applyFill="1" applyBorder="1" applyAlignment="1">
      <alignment horizontal="left"/>
    </xf>
    <xf numFmtId="0" fontId="29" fillId="13" borderId="42" xfId="960" applyFont="1" applyFill="1" applyBorder="1" applyAlignment="1">
      <alignment horizontal="left"/>
    </xf>
    <xf numFmtId="0" fontId="29" fillId="0" borderId="42" xfId="0" quotePrefix="1" applyFont="1" applyBorder="1" applyAlignment="1">
      <alignment horizontal="center"/>
    </xf>
    <xf numFmtId="0" fontId="43" fillId="0" borderId="4" xfId="0" applyFont="1" applyBorder="1" applyAlignment="1">
      <alignment horizontal="center"/>
    </xf>
    <xf numFmtId="0" fontId="48" fillId="0" borderId="0" xfId="0" applyFont="1" applyAlignment="1">
      <alignment horizontal="center"/>
    </xf>
    <xf numFmtId="0" fontId="29" fillId="0" borderId="51" xfId="0" quotePrefix="1" applyFont="1" applyBorder="1" applyAlignment="1">
      <alignment horizontal="center"/>
    </xf>
    <xf numFmtId="0" fontId="50" fillId="0" borderId="0" xfId="961" applyFont="1" applyAlignment="1">
      <alignment vertical="top"/>
    </xf>
    <xf numFmtId="0" fontId="46" fillId="10" borderId="32" xfId="961" applyFont="1" applyFill="1" applyBorder="1" applyAlignment="1">
      <alignment horizontal="center"/>
    </xf>
    <xf numFmtId="0" fontId="11" fillId="0" borderId="0" xfId="961" applyFont="1" applyAlignment="1">
      <alignment horizontal="center"/>
    </xf>
    <xf numFmtId="0" fontId="11" fillId="0" borderId="0" xfId="961" applyFont="1"/>
    <xf numFmtId="0" fontId="51" fillId="0" borderId="0" xfId="961" applyFont="1"/>
    <xf numFmtId="0" fontId="52" fillId="0" borderId="0" xfId="0" applyFont="1" applyAlignment="1">
      <alignment horizontal="center"/>
    </xf>
    <xf numFmtId="0" fontId="10" fillId="0" borderId="0" xfId="961" applyFont="1"/>
    <xf numFmtId="0" fontId="10" fillId="0" borderId="0" xfId="961" applyFont="1" applyAlignment="1">
      <alignment horizontal="center"/>
    </xf>
    <xf numFmtId="0" fontId="29" fillId="0" borderId="49" xfId="0" applyFont="1" applyBorder="1" applyAlignment="1">
      <alignment horizontal="center"/>
    </xf>
    <xf numFmtId="0" fontId="51" fillId="0" borderId="0" xfId="961" applyFont="1" applyAlignment="1">
      <alignment horizontal="center"/>
    </xf>
    <xf numFmtId="0" fontId="46" fillId="0" borderId="0" xfId="961" applyFont="1" applyAlignment="1">
      <alignment horizontal="right"/>
    </xf>
    <xf numFmtId="0" fontId="47" fillId="0" borderId="0" xfId="961" applyFont="1" applyAlignment="1">
      <alignment horizontal="right"/>
    </xf>
    <xf numFmtId="0" fontId="47" fillId="0" borderId="0" xfId="961" applyFont="1"/>
    <xf numFmtId="0" fontId="9" fillId="0" borderId="0" xfId="961" applyFont="1"/>
    <xf numFmtId="0" fontId="28" fillId="0" borderId="0" xfId="961" applyFont="1" applyAlignment="1">
      <alignment horizontal="center"/>
    </xf>
    <xf numFmtId="0" fontId="13" fillId="0" borderId="0" xfId="961" applyAlignment="1">
      <alignment horizontal="center"/>
    </xf>
    <xf numFmtId="0" fontId="58" fillId="0" borderId="0" xfId="961" applyFont="1" applyAlignment="1">
      <alignment horizontal="center"/>
    </xf>
    <xf numFmtId="0" fontId="56" fillId="0" borderId="0" xfId="961" applyFont="1" applyAlignment="1">
      <alignment horizontal="center"/>
    </xf>
    <xf numFmtId="0" fontId="13" fillId="0" borderId="58" xfId="961" applyBorder="1"/>
    <xf numFmtId="0" fontId="53" fillId="0" borderId="0" xfId="961" applyFont="1" applyAlignment="1">
      <alignment vertical="center"/>
    </xf>
    <xf numFmtId="0" fontId="51" fillId="0" borderId="49" xfId="961" applyFont="1" applyBorder="1" applyAlignment="1">
      <alignment horizontal="center"/>
    </xf>
    <xf numFmtId="0" fontId="13" fillId="0" borderId="1" xfId="961" applyBorder="1"/>
    <xf numFmtId="0" fontId="13" fillId="0" borderId="49" xfId="961" applyBorder="1" applyAlignment="1">
      <alignment horizontal="center"/>
    </xf>
    <xf numFmtId="0" fontId="13" fillId="0" borderId="50" xfId="961" applyBorder="1" applyAlignment="1">
      <alignment horizontal="center"/>
    </xf>
    <xf numFmtId="0" fontId="29" fillId="0" borderId="51" xfId="0" applyFont="1" applyBorder="1" applyAlignment="1">
      <alignment horizontal="center"/>
    </xf>
    <xf numFmtId="0" fontId="53" fillId="0" borderId="57" xfId="961" applyFont="1" applyBorder="1" applyAlignment="1">
      <alignment horizontal="center"/>
    </xf>
    <xf numFmtId="0" fontId="13" fillId="0" borderId="59" xfId="961" applyBorder="1" applyAlignment="1">
      <alignment horizontal="center"/>
    </xf>
    <xf numFmtId="0" fontId="13" fillId="0" borderId="60" xfId="961" applyBorder="1" applyAlignment="1">
      <alignment horizontal="center"/>
    </xf>
    <xf numFmtId="0" fontId="13" fillId="0" borderId="61" xfId="961" applyBorder="1" applyAlignment="1">
      <alignment horizontal="center"/>
    </xf>
    <xf numFmtId="0" fontId="13" fillId="0" borderId="62" xfId="961" applyBorder="1"/>
    <xf numFmtId="0" fontId="8" fillId="0" borderId="61" xfId="961" applyFont="1" applyBorder="1" applyAlignment="1">
      <alignment horizontal="center"/>
    </xf>
    <xf numFmtId="0" fontId="7" fillId="0" borderId="0" xfId="961" applyFont="1" applyAlignment="1">
      <alignment horizontal="center"/>
    </xf>
    <xf numFmtId="0" fontId="13" fillId="0" borderId="8" xfId="961" applyBorder="1"/>
    <xf numFmtId="0" fontId="13" fillId="0" borderId="64" xfId="961" applyBorder="1" applyAlignment="1">
      <alignment horizontal="center"/>
    </xf>
    <xf numFmtId="0" fontId="8" fillId="0" borderId="64" xfId="961" applyFont="1" applyBorder="1" applyAlignment="1">
      <alignment horizontal="center"/>
    </xf>
    <xf numFmtId="0" fontId="53" fillId="0" borderId="8" xfId="961" applyFont="1" applyBorder="1" applyAlignment="1">
      <alignment vertical="center"/>
    </xf>
    <xf numFmtId="0" fontId="8" fillId="0" borderId="62" xfId="961" applyFont="1" applyBorder="1" applyAlignment="1">
      <alignment horizontal="center"/>
    </xf>
    <xf numFmtId="0" fontId="42" fillId="9" borderId="52" xfId="0" quotePrefix="1" applyFont="1" applyFill="1" applyBorder="1" applyAlignment="1">
      <alignment horizontal="center"/>
    </xf>
    <xf numFmtId="0" fontId="42" fillId="9" borderId="26" xfId="0" quotePrefix="1" applyFont="1" applyFill="1" applyBorder="1" applyAlignment="1">
      <alignment horizontal="center"/>
    </xf>
    <xf numFmtId="0" fontId="42" fillId="9" borderId="53" xfId="0" quotePrefix="1" applyFont="1" applyFill="1" applyBorder="1" applyAlignment="1">
      <alignment horizontal="center"/>
    </xf>
    <xf numFmtId="0" fontId="7" fillId="0" borderId="6" xfId="961" applyFont="1" applyBorder="1" applyAlignment="1">
      <alignment horizontal="center"/>
    </xf>
    <xf numFmtId="0" fontId="7" fillId="0" borderId="34" xfId="961" applyFont="1" applyBorder="1" applyAlignment="1">
      <alignment horizontal="center"/>
    </xf>
    <xf numFmtId="0" fontId="29" fillId="0" borderId="6" xfId="0" applyFont="1" applyBorder="1" applyAlignment="1">
      <alignment horizontal="center"/>
    </xf>
    <xf numFmtId="0" fontId="47" fillId="0" borderId="5" xfId="961" applyFont="1" applyBorder="1" applyAlignment="1">
      <alignment horizontal="right"/>
    </xf>
    <xf numFmtId="0" fontId="45" fillId="0" borderId="7" xfId="961" quotePrefix="1" applyFont="1" applyBorder="1" applyAlignment="1">
      <alignment horizontal="center"/>
    </xf>
    <xf numFmtId="0" fontId="63" fillId="0" borderId="0" xfId="0" applyFont="1" applyAlignment="1">
      <alignment horizontal="left"/>
    </xf>
    <xf numFmtId="0" fontId="22" fillId="6" borderId="0" xfId="0" applyFont="1" applyFill="1"/>
    <xf numFmtId="0" fontId="24" fillId="6" borderId="18" xfId="0" applyFont="1" applyFill="1" applyBorder="1" applyAlignment="1">
      <alignment horizontal="right"/>
    </xf>
    <xf numFmtId="0" fontId="24" fillId="6" borderId="27" xfId="0" applyFont="1" applyFill="1" applyBorder="1" applyAlignment="1">
      <alignment horizontal="right"/>
    </xf>
    <xf numFmtId="0" fontId="22" fillId="6" borderId="27" xfId="0" applyFont="1" applyFill="1" applyBorder="1"/>
    <xf numFmtId="0" fontId="30" fillId="6" borderId="28" xfId="0" applyFont="1" applyFill="1" applyBorder="1" applyAlignment="1">
      <alignment horizontal="right"/>
    </xf>
    <xf numFmtId="0" fontId="22" fillId="6" borderId="18" xfId="0" applyFont="1" applyFill="1" applyBorder="1"/>
    <xf numFmtId="0" fontId="22" fillId="6" borderId="31" xfId="0" applyFont="1" applyFill="1" applyBorder="1"/>
    <xf numFmtId="0" fontId="22" fillId="0" borderId="0" xfId="0" applyFont="1"/>
    <xf numFmtId="0" fontId="24" fillId="6" borderId="32" xfId="0" applyFont="1" applyFill="1" applyBorder="1" applyAlignment="1">
      <alignment horizontal="right"/>
    </xf>
    <xf numFmtId="0" fontId="24" fillId="6" borderId="1" xfId="0" applyFont="1" applyFill="1" applyBorder="1" applyAlignment="1">
      <alignment horizontal="right"/>
    </xf>
    <xf numFmtId="0" fontId="22" fillId="6" borderId="1" xfId="0" applyFont="1" applyFill="1" applyBorder="1"/>
    <xf numFmtId="0" fontId="22" fillId="6" borderId="32" xfId="0" applyFont="1" applyFill="1" applyBorder="1"/>
    <xf numFmtId="0" fontId="23" fillId="6" borderId="0" xfId="0" applyFont="1" applyFill="1"/>
    <xf numFmtId="0" fontId="23" fillId="6" borderId="0" xfId="387" applyFont="1" applyFill="1"/>
    <xf numFmtId="170" fontId="30" fillId="6" borderId="33" xfId="80" applyNumberFormat="1" applyFont="1" applyFill="1" applyBorder="1" applyAlignment="1">
      <alignment horizontal="right"/>
    </xf>
    <xf numFmtId="0" fontId="55" fillId="10" borderId="49" xfId="0" applyFont="1" applyFill="1" applyBorder="1" applyAlignment="1">
      <alignment horizontal="center"/>
    </xf>
    <xf numFmtId="0" fontId="55" fillId="10" borderId="0" xfId="0" applyFont="1" applyFill="1" applyAlignment="1">
      <alignment horizontal="center"/>
    </xf>
    <xf numFmtId="0" fontId="23" fillId="6" borderId="0" xfId="0" quotePrefix="1" applyFont="1" applyFill="1"/>
    <xf numFmtId="0" fontId="24" fillId="6" borderId="7" xfId="0" applyFont="1" applyFill="1" applyBorder="1" applyAlignment="1">
      <alignment horizontal="right"/>
    </xf>
    <xf numFmtId="0" fontId="24" fillId="6" borderId="8" xfId="0" applyFont="1" applyFill="1" applyBorder="1" applyAlignment="1">
      <alignment horizontal="right"/>
    </xf>
    <xf numFmtId="0" fontId="22" fillId="6" borderId="8" xfId="0" applyFont="1" applyFill="1" applyBorder="1"/>
    <xf numFmtId="0" fontId="30" fillId="6" borderId="34" xfId="80" applyFont="1" applyFill="1" applyBorder="1" applyAlignment="1">
      <alignment horizontal="right"/>
    </xf>
    <xf numFmtId="0" fontId="22" fillId="6" borderId="7" xfId="0" applyFont="1" applyFill="1" applyBorder="1"/>
    <xf numFmtId="0" fontId="24" fillId="2" borderId="3" xfId="0" applyFont="1" applyFill="1" applyBorder="1" applyAlignment="1">
      <alignment horizontal="center" vertical="center"/>
    </xf>
    <xf numFmtId="0" fontId="24" fillId="2" borderId="3" xfId="0" applyFont="1" applyFill="1" applyBorder="1" applyAlignment="1">
      <alignment horizontal="center" vertical="center" wrapText="1"/>
    </xf>
    <xf numFmtId="0" fontId="24" fillId="2" borderId="16" xfId="0" applyFont="1" applyFill="1" applyBorder="1" applyAlignment="1">
      <alignment horizontal="center" vertical="center" wrapText="1"/>
    </xf>
    <xf numFmtId="0" fontId="26" fillId="7" borderId="37" xfId="0" applyFont="1" applyFill="1" applyBorder="1" applyAlignment="1">
      <alignment horizontal="center" vertical="center"/>
    </xf>
    <xf numFmtId="0" fontId="22" fillId="6" borderId="31" xfId="0" applyFont="1" applyFill="1" applyBorder="1" applyAlignment="1">
      <alignment horizontal="center"/>
    </xf>
    <xf numFmtId="0" fontId="22" fillId="0" borderId="0" xfId="0" applyFont="1" applyAlignment="1">
      <alignment horizontal="center"/>
    </xf>
    <xf numFmtId="0" fontId="26" fillId="2" borderId="0" xfId="0" applyFont="1" applyFill="1" applyAlignment="1">
      <alignment horizontal="center" vertical="center"/>
    </xf>
    <xf numFmtId="0" fontId="26" fillId="2" borderId="15" xfId="0" applyFont="1" applyFill="1" applyBorder="1" applyAlignment="1">
      <alignment horizontal="center" vertical="center"/>
    </xf>
    <xf numFmtId="0" fontId="26" fillId="7" borderId="0" xfId="0" applyFont="1" applyFill="1" applyAlignment="1">
      <alignment horizontal="center" vertical="center"/>
    </xf>
    <xf numFmtId="0" fontId="26" fillId="2" borderId="1" xfId="0" applyFont="1" applyFill="1" applyBorder="1" applyAlignment="1">
      <alignment horizontal="center" vertical="center"/>
    </xf>
    <xf numFmtId="0" fontId="26" fillId="2" borderId="9" xfId="0" applyFont="1" applyFill="1" applyBorder="1" applyAlignment="1">
      <alignment horizontal="center" vertical="center"/>
    </xf>
    <xf numFmtId="0" fontId="31" fillId="7" borderId="0" xfId="0" applyFont="1" applyFill="1"/>
    <xf numFmtId="0" fontId="22" fillId="7" borderId="0" xfId="0" applyFont="1" applyFill="1"/>
    <xf numFmtId="0" fontId="22" fillId="7" borderId="36" xfId="0" applyFont="1" applyFill="1" applyBorder="1"/>
    <xf numFmtId="0" fontId="23" fillId="7" borderId="0" xfId="0" applyFont="1" applyFill="1"/>
    <xf numFmtId="0" fontId="32" fillId="7" borderId="36" xfId="0" applyFont="1" applyFill="1" applyBorder="1" applyAlignment="1">
      <alignment horizontal="right"/>
    </xf>
    <xf numFmtId="0" fontId="26" fillId="7" borderId="18" xfId="0" applyFont="1" applyFill="1" applyBorder="1" applyAlignment="1">
      <alignment horizontal="center" vertical="center"/>
    </xf>
    <xf numFmtId="0" fontId="22" fillId="7" borderId="6" xfId="0" applyFont="1" applyFill="1" applyBorder="1"/>
    <xf numFmtId="0" fontId="24" fillId="7" borderId="6" xfId="0" applyFont="1" applyFill="1" applyBorder="1" applyAlignment="1">
      <alignment horizontal="right"/>
    </xf>
    <xf numFmtId="0" fontId="22" fillId="7" borderId="35" xfId="0" applyFont="1" applyFill="1" applyBorder="1"/>
    <xf numFmtId="0" fontId="39" fillId="7" borderId="2" xfId="0" applyFont="1" applyFill="1" applyBorder="1" applyAlignment="1">
      <alignment vertical="center" wrapText="1"/>
    </xf>
    <xf numFmtId="0" fontId="39" fillId="7" borderId="0" xfId="0" applyFont="1" applyFill="1" applyAlignment="1">
      <alignment vertical="center" wrapText="1"/>
    </xf>
    <xf numFmtId="0" fontId="24" fillId="7" borderId="0" xfId="0" applyFont="1" applyFill="1" applyAlignment="1">
      <alignment horizontal="right"/>
    </xf>
    <xf numFmtId="0" fontId="24" fillId="7" borderId="2" xfId="0" applyFont="1" applyFill="1" applyBorder="1" applyAlignment="1">
      <alignment horizontal="center"/>
    </xf>
    <xf numFmtId="0" fontId="24" fillId="7" borderId="0" xfId="0" applyFont="1" applyFill="1" applyAlignment="1">
      <alignment horizontal="center"/>
    </xf>
    <xf numFmtId="0" fontId="24" fillId="7" borderId="36" xfId="0" applyFont="1" applyFill="1" applyBorder="1" applyAlignment="1">
      <alignment horizontal="center"/>
    </xf>
    <xf numFmtId="0" fontId="40" fillId="7" borderId="7" xfId="0" applyFont="1" applyFill="1" applyBorder="1" applyAlignment="1">
      <alignment horizontal="center"/>
    </xf>
    <xf numFmtId="0" fontId="40" fillId="7" borderId="8" xfId="0" applyFont="1" applyFill="1" applyBorder="1" applyAlignment="1">
      <alignment horizontal="center"/>
    </xf>
    <xf numFmtId="0" fontId="40" fillId="7" borderId="34" xfId="0" applyFont="1" applyFill="1" applyBorder="1" applyAlignment="1">
      <alignment horizontal="center"/>
    </xf>
    <xf numFmtId="0" fontId="62" fillId="7" borderId="0" xfId="0" quotePrefix="1" applyFont="1" applyFill="1" applyAlignment="1">
      <alignment horizontal="center"/>
    </xf>
    <xf numFmtId="0" fontId="62" fillId="7" borderId="0" xfId="0" applyFont="1" applyFill="1" applyAlignment="1">
      <alignment horizontal="center"/>
    </xf>
    <xf numFmtId="0" fontId="24" fillId="6" borderId="5" xfId="0" applyFont="1" applyFill="1" applyBorder="1" applyAlignment="1">
      <alignment horizontal="center"/>
    </xf>
    <xf numFmtId="0" fontId="24" fillId="6" borderId="6" xfId="0" applyFont="1" applyFill="1" applyBorder="1" applyAlignment="1">
      <alignment horizontal="center"/>
    </xf>
    <xf numFmtId="0" fontId="24" fillId="6" borderId="35" xfId="0" applyFont="1" applyFill="1" applyBorder="1" applyAlignment="1">
      <alignment horizontal="center"/>
    </xf>
    <xf numFmtId="0" fontId="24" fillId="3" borderId="2" xfId="0" applyFont="1" applyFill="1" applyBorder="1" applyAlignment="1">
      <alignment horizontal="center"/>
    </xf>
    <xf numFmtId="0" fontId="22" fillId="3" borderId="0" xfId="0" quotePrefix="1" applyFont="1" applyFill="1" applyAlignment="1">
      <alignment horizontal="center"/>
    </xf>
    <xf numFmtId="0" fontId="24" fillId="8" borderId="0" xfId="0" quotePrefix="1" applyFont="1" applyFill="1" applyAlignment="1">
      <alignment horizontal="center"/>
    </xf>
    <xf numFmtId="0" fontId="24" fillId="8" borderId="0" xfId="0" applyFont="1" applyFill="1" applyAlignment="1">
      <alignment horizontal="center"/>
    </xf>
    <xf numFmtId="0" fontId="24" fillId="3" borderId="36" xfId="0" applyFont="1" applyFill="1" applyBorder="1" applyAlignment="1">
      <alignment horizontal="center"/>
    </xf>
    <xf numFmtId="0" fontId="24" fillId="6" borderId="2" xfId="0" applyFont="1" applyFill="1" applyBorder="1" applyAlignment="1">
      <alignment horizontal="center"/>
    </xf>
    <xf numFmtId="0" fontId="22" fillId="6" borderId="0" xfId="0" quotePrefix="1" applyFont="1" applyFill="1" applyAlignment="1">
      <alignment horizontal="center"/>
    </xf>
    <xf numFmtId="0" fontId="24" fillId="6" borderId="0" xfId="0" quotePrefix="1" applyFont="1" applyFill="1" applyAlignment="1">
      <alignment horizontal="center"/>
    </xf>
    <xf numFmtId="0" fontId="24" fillId="6" borderId="0" xfId="0" applyFont="1" applyFill="1" applyAlignment="1">
      <alignment horizontal="center"/>
    </xf>
    <xf numFmtId="0" fontId="24" fillId="6" borderId="36" xfId="0" applyFont="1" applyFill="1" applyBorder="1" applyAlignment="1">
      <alignment horizontal="center"/>
    </xf>
    <xf numFmtId="0" fontId="22" fillId="6" borderId="34" xfId="0" applyFont="1" applyFill="1" applyBorder="1"/>
    <xf numFmtId="0" fontId="22" fillId="7" borderId="5" xfId="1" applyFill="1" applyBorder="1"/>
    <xf numFmtId="0" fontId="22" fillId="7" borderId="6" xfId="1" applyFill="1" applyBorder="1"/>
    <xf numFmtId="0" fontId="22" fillId="8" borderId="35" xfId="1" applyFill="1" applyBorder="1" applyAlignment="1">
      <alignment horizontal="right"/>
    </xf>
    <xf numFmtId="0" fontId="22" fillId="7" borderId="2" xfId="0" applyFont="1" applyFill="1" applyBorder="1"/>
    <xf numFmtId="0" fontId="22" fillId="7" borderId="0" xfId="1" applyFill="1"/>
    <xf numFmtId="18" fontId="22" fillId="8" borderId="36" xfId="0" applyNumberFormat="1" applyFont="1" applyFill="1" applyBorder="1" applyAlignment="1">
      <alignment horizontal="right"/>
    </xf>
    <xf numFmtId="0" fontId="22" fillId="8" borderId="36" xfId="0" applyFont="1" applyFill="1" applyBorder="1" applyAlignment="1">
      <alignment horizontal="right"/>
    </xf>
    <xf numFmtId="0" fontId="22" fillId="8" borderId="36" xfId="1" applyFill="1" applyBorder="1" applyAlignment="1">
      <alignment horizontal="right"/>
    </xf>
    <xf numFmtId="167" fontId="22" fillId="8" borderId="36" xfId="1" applyNumberFormat="1" applyFill="1" applyBorder="1" applyAlignment="1">
      <alignment horizontal="right"/>
    </xf>
    <xf numFmtId="172" fontId="22" fillId="8" borderId="36" xfId="0" applyNumberFormat="1" applyFont="1" applyFill="1" applyBorder="1" applyAlignment="1">
      <alignment horizontal="right"/>
    </xf>
    <xf numFmtId="0" fontId="22" fillId="7" borderId="2" xfId="1" applyFill="1" applyBorder="1"/>
    <xf numFmtId="0" fontId="24" fillId="7" borderId="5" xfId="0" applyFont="1" applyFill="1" applyBorder="1" applyAlignment="1">
      <alignment horizontal="center"/>
    </xf>
    <xf numFmtId="0" fontId="22" fillId="8" borderId="5" xfId="0" quotePrefix="1" applyFont="1" applyFill="1" applyBorder="1" applyAlignment="1">
      <alignment horizontal="center"/>
    </xf>
    <xf numFmtId="0" fontId="22" fillId="8" borderId="6" xfId="0" quotePrefix="1" applyFont="1" applyFill="1" applyBorder="1" applyAlignment="1">
      <alignment horizontal="center"/>
    </xf>
    <xf numFmtId="0" fontId="22" fillId="8" borderId="35" xfId="0" quotePrefix="1" applyFont="1" applyFill="1" applyBorder="1" applyAlignment="1">
      <alignment horizontal="center"/>
    </xf>
    <xf numFmtId="172" fontId="22" fillId="8" borderId="36" xfId="1" applyNumberFormat="1" applyFill="1" applyBorder="1" applyAlignment="1">
      <alignment horizontal="right"/>
    </xf>
    <xf numFmtId="166" fontId="22" fillId="8" borderId="36" xfId="0" applyNumberFormat="1" applyFont="1" applyFill="1" applyBorder="1" applyAlignment="1">
      <alignment horizontal="right"/>
    </xf>
    <xf numFmtId="0" fontId="22" fillId="7" borderId="0" xfId="0" applyFont="1" applyFill="1" applyAlignment="1">
      <alignment horizontal="center"/>
    </xf>
    <xf numFmtId="0" fontId="22" fillId="8" borderId="2" xfId="0" quotePrefix="1" applyFont="1" applyFill="1" applyBorder="1" applyAlignment="1">
      <alignment horizontal="center"/>
    </xf>
    <xf numFmtId="0" fontId="22" fillId="8" borderId="0" xfId="0" quotePrefix="1" applyFont="1" applyFill="1" applyAlignment="1">
      <alignment horizontal="center"/>
    </xf>
    <xf numFmtId="0" fontId="22" fillId="8" borderId="36" xfId="0" quotePrefix="1" applyFont="1" applyFill="1" applyBorder="1" applyAlignment="1">
      <alignment horizontal="center"/>
    </xf>
    <xf numFmtId="168" fontId="22" fillId="8" borderId="36" xfId="1" applyNumberFormat="1" applyFill="1" applyBorder="1" applyAlignment="1">
      <alignment horizontal="right"/>
    </xf>
    <xf numFmtId="166" fontId="22" fillId="8" borderId="36" xfId="0" applyNumberFormat="1" applyFont="1" applyFill="1" applyBorder="1"/>
    <xf numFmtId="0" fontId="22" fillId="7" borderId="2" xfId="1" applyFill="1" applyBorder="1" applyAlignment="1">
      <alignment horizontal="left" vertical="center"/>
    </xf>
    <xf numFmtId="0" fontId="22" fillId="7" borderId="0" xfId="1" applyFill="1" applyAlignment="1">
      <alignment horizontal="left" vertical="center"/>
    </xf>
    <xf numFmtId="165" fontId="22" fillId="8" borderId="36" xfId="1" applyNumberFormat="1" applyFill="1" applyBorder="1" applyAlignment="1">
      <alignment horizontal="right"/>
    </xf>
    <xf numFmtId="0" fontId="22" fillId="8" borderId="36" xfId="0" applyFont="1" applyFill="1" applyBorder="1" applyAlignment="1">
      <alignment horizontal="right" vertical="center"/>
    </xf>
    <xf numFmtId="0" fontId="22" fillId="7" borderId="0" xfId="0" applyFont="1" applyFill="1" applyAlignment="1">
      <alignment horizontal="center" vertical="center"/>
    </xf>
    <xf numFmtId="0" fontId="22" fillId="8" borderId="36" xfId="1" applyFill="1" applyBorder="1" applyAlignment="1">
      <alignment horizontal="right" vertical="center"/>
    </xf>
    <xf numFmtId="0" fontId="22" fillId="7" borderId="2" xfId="0" applyFont="1" applyFill="1" applyBorder="1" applyAlignment="1">
      <alignment horizontal="left" vertical="center"/>
    </xf>
    <xf numFmtId="165" fontId="22" fillId="8" borderId="36" xfId="1" applyNumberFormat="1" applyFill="1" applyBorder="1" applyAlignment="1">
      <alignment horizontal="right" vertical="center"/>
    </xf>
    <xf numFmtId="165" fontId="22" fillId="8" borderId="36" xfId="0" applyNumberFormat="1" applyFont="1" applyFill="1" applyBorder="1" applyAlignment="1">
      <alignment horizontal="right" vertical="center"/>
    </xf>
    <xf numFmtId="0" fontId="22" fillId="8" borderId="0" xfId="0" applyFont="1" applyFill="1"/>
    <xf numFmtId="165" fontId="22" fillId="8" borderId="36" xfId="0" applyNumberFormat="1" applyFont="1" applyFill="1" applyBorder="1" applyAlignment="1">
      <alignment horizontal="right"/>
    </xf>
    <xf numFmtId="0" fontId="22" fillId="7" borderId="7" xfId="1" applyFill="1" applyBorder="1" applyAlignment="1">
      <alignment horizontal="left" vertical="center"/>
    </xf>
    <xf numFmtId="0" fontId="22" fillId="7" borderId="8" xfId="1" applyFill="1" applyBorder="1" applyAlignment="1">
      <alignment horizontal="left" vertical="center"/>
    </xf>
    <xf numFmtId="0" fontId="22" fillId="7" borderId="0" xfId="0" applyFont="1" applyFill="1" applyAlignment="1">
      <alignment horizontal="left" vertical="center"/>
    </xf>
    <xf numFmtId="0" fontId="22" fillId="8" borderId="36" xfId="30" applyFill="1" applyBorder="1" applyAlignment="1">
      <alignment horizontal="right" vertical="center"/>
    </xf>
    <xf numFmtId="0" fontId="22" fillId="7" borderId="7" xfId="0" applyFont="1" applyFill="1" applyBorder="1" applyAlignment="1">
      <alignment horizontal="left" vertical="center"/>
    </xf>
    <xf numFmtId="0" fontId="22" fillId="7" borderId="8" xfId="1" applyFill="1" applyBorder="1"/>
    <xf numFmtId="169" fontId="22" fillId="8" borderId="34" xfId="1" applyNumberFormat="1" applyFill="1" applyBorder="1"/>
    <xf numFmtId="164" fontId="22" fillId="8" borderId="36" xfId="1" applyNumberFormat="1" applyFill="1" applyBorder="1" applyAlignment="1">
      <alignment horizontal="right"/>
    </xf>
    <xf numFmtId="164" fontId="22" fillId="8" borderId="36" xfId="0" applyNumberFormat="1" applyFont="1" applyFill="1" applyBorder="1" applyAlignment="1">
      <alignment horizontal="right"/>
    </xf>
    <xf numFmtId="0" fontId="22" fillId="7" borderId="5" xfId="1" applyFill="1" applyBorder="1" applyAlignment="1">
      <alignment horizontal="left" vertical="center"/>
    </xf>
    <xf numFmtId="0" fontId="22" fillId="7" borderId="6" xfId="1" applyFill="1" applyBorder="1" applyAlignment="1">
      <alignment horizontal="left" vertical="center"/>
    </xf>
    <xf numFmtId="0" fontId="22" fillId="8" borderId="35" xfId="1" applyFill="1" applyBorder="1" applyAlignment="1">
      <alignment horizontal="right" vertical="center"/>
    </xf>
    <xf numFmtId="0" fontId="22" fillId="7" borderId="8" xfId="0" applyFont="1" applyFill="1" applyBorder="1" applyAlignment="1">
      <alignment horizontal="center" vertical="center"/>
    </xf>
    <xf numFmtId="164" fontId="22" fillId="8" borderId="34" xfId="0" applyNumberFormat="1" applyFont="1" applyFill="1" applyBorder="1" applyAlignment="1">
      <alignment horizontal="right"/>
    </xf>
    <xf numFmtId="0" fontId="22" fillId="8" borderId="34" xfId="30" applyFill="1" applyBorder="1" applyAlignment="1">
      <alignment horizontal="right" vertical="center"/>
    </xf>
    <xf numFmtId="0" fontId="22" fillId="7" borderId="0" xfId="2" applyFill="1" applyAlignment="1">
      <alignment horizontal="left" vertical="center"/>
    </xf>
    <xf numFmtId="0" fontId="22" fillId="7" borderId="0" xfId="2" applyFill="1" applyAlignment="1">
      <alignment vertical="center"/>
    </xf>
    <xf numFmtId="0" fontId="22" fillId="7" borderId="8" xfId="0" applyFont="1" applyFill="1" applyBorder="1" applyAlignment="1">
      <alignment horizontal="left" vertical="center"/>
    </xf>
    <xf numFmtId="0" fontId="22" fillId="5" borderId="2" xfId="0" applyFont="1" applyFill="1" applyBorder="1" applyAlignment="1">
      <alignment horizontal="center" vertical="center"/>
    </xf>
    <xf numFmtId="0" fontId="22" fillId="8" borderId="7" xfId="0" quotePrefix="1" applyFont="1" applyFill="1" applyBorder="1" applyAlignment="1">
      <alignment horizontal="center"/>
    </xf>
    <xf numFmtId="0" fontId="22" fillId="8" borderId="8" xfId="0" quotePrefix="1" applyFont="1" applyFill="1" applyBorder="1" applyAlignment="1">
      <alignment horizontal="center"/>
    </xf>
    <xf numFmtId="0" fontId="22" fillId="8" borderId="34" xfId="0" quotePrefix="1" applyFont="1" applyFill="1" applyBorder="1" applyAlignment="1">
      <alignment horizontal="center"/>
    </xf>
    <xf numFmtId="0" fontId="22" fillId="5" borderId="8" xfId="0" applyFont="1" applyFill="1" applyBorder="1" applyAlignment="1">
      <alignment horizontal="center" vertical="center"/>
    </xf>
    <xf numFmtId="0" fontId="22" fillId="7" borderId="0" xfId="80" applyFill="1"/>
    <xf numFmtId="0" fontId="24" fillId="7" borderId="35" xfId="1" applyFont="1" applyFill="1" applyBorder="1" applyAlignment="1">
      <alignment horizontal="left"/>
    </xf>
    <xf numFmtId="166" fontId="24" fillId="8" borderId="35" xfId="0" applyNumberFormat="1" applyFont="1" applyFill="1" applyBorder="1" applyAlignment="1">
      <alignment horizontal="right" vertical="center"/>
    </xf>
    <xf numFmtId="0" fontId="22" fillId="7" borderId="0" xfId="1" applyFill="1" applyAlignment="1">
      <alignment horizontal="center" vertical="center"/>
    </xf>
    <xf numFmtId="166" fontId="24" fillId="8" borderId="36" xfId="0" applyNumberFormat="1" applyFont="1" applyFill="1" applyBorder="1" applyAlignment="1">
      <alignment horizontal="right" vertical="center"/>
    </xf>
    <xf numFmtId="0" fontId="22" fillId="8" borderId="34" xfId="0" applyFont="1" applyFill="1" applyBorder="1" applyAlignment="1">
      <alignment horizontal="right"/>
    </xf>
    <xf numFmtId="0" fontId="38" fillId="12" borderId="29" xfId="1" applyFont="1" applyFill="1" applyBorder="1"/>
    <xf numFmtId="0" fontId="22" fillId="7" borderId="7" xfId="0" applyFont="1" applyFill="1" applyBorder="1"/>
    <xf numFmtId="0" fontId="24" fillId="2" borderId="17" xfId="0" applyFont="1" applyFill="1" applyBorder="1" applyAlignment="1">
      <alignment horizontal="center"/>
    </xf>
    <xf numFmtId="0" fontId="24" fillId="2" borderId="29" xfId="0" applyFont="1" applyFill="1" applyBorder="1" applyAlignment="1">
      <alignment horizontal="center"/>
    </xf>
    <xf numFmtId="0" fontId="24" fillId="2" borderId="20" xfId="0" applyFont="1" applyFill="1" applyBorder="1" applyAlignment="1">
      <alignment horizontal="center"/>
    </xf>
    <xf numFmtId="0" fontId="24" fillId="7" borderId="39" xfId="0" applyFont="1" applyFill="1" applyBorder="1" applyAlignment="1">
      <alignment horizontal="center"/>
    </xf>
    <xf numFmtId="0" fontId="24" fillId="7" borderId="12" xfId="0" applyFont="1" applyFill="1" applyBorder="1" applyAlignment="1">
      <alignment horizontal="center"/>
    </xf>
    <xf numFmtId="0" fontId="22" fillId="6" borderId="31" xfId="0" applyFont="1" applyFill="1" applyBorder="1" applyAlignment="1">
      <alignment horizontal="center" vertical="center"/>
    </xf>
    <xf numFmtId="0" fontId="22" fillId="0" borderId="10" xfId="0" applyFont="1" applyBorder="1"/>
    <xf numFmtId="0" fontId="22" fillId="0" borderId="10" xfId="0" applyFont="1" applyBorder="1" applyAlignment="1">
      <alignment horizontal="center"/>
    </xf>
    <xf numFmtId="0" fontId="22" fillId="0" borderId="38" xfId="0" applyFont="1" applyBorder="1" applyAlignment="1">
      <alignment horizontal="center"/>
    </xf>
    <xf numFmtId="0" fontId="22" fillId="0" borderId="4" xfId="0" applyFont="1" applyBorder="1"/>
    <xf numFmtId="0" fontId="22" fillId="0" borderId="4" xfId="0" applyFont="1" applyBorder="1" applyAlignment="1">
      <alignment horizontal="center"/>
    </xf>
    <xf numFmtId="0" fontId="22" fillId="0" borderId="13" xfId="0" applyFont="1" applyBorder="1" applyAlignment="1">
      <alignment horizontal="center"/>
    </xf>
    <xf numFmtId="0" fontId="22" fillId="0" borderId="11" xfId="0" applyFont="1" applyBorder="1"/>
    <xf numFmtId="0" fontId="22" fillId="0" borderId="11" xfId="0" applyFont="1" applyBorder="1" applyAlignment="1">
      <alignment horizontal="center"/>
    </xf>
    <xf numFmtId="0" fontId="22" fillId="0" borderId="14" xfId="0" applyFont="1" applyBorder="1" applyAlignment="1">
      <alignment horizontal="center"/>
    </xf>
    <xf numFmtId="0" fontId="22" fillId="6" borderId="0" xfId="0" applyFont="1" applyFill="1" applyAlignment="1">
      <alignment horizontal="left"/>
    </xf>
    <xf numFmtId="0" fontId="22" fillId="6" borderId="0" xfId="0" applyFont="1" applyFill="1" applyAlignment="1">
      <alignment horizontal="center"/>
    </xf>
    <xf numFmtId="0" fontId="33" fillId="6" borderId="0" xfId="1" applyFont="1" applyFill="1" applyAlignment="1">
      <alignment horizontal="left"/>
    </xf>
    <xf numFmtId="0" fontId="33" fillId="6" borderId="5" xfId="1" applyFont="1" applyFill="1" applyBorder="1" applyAlignment="1">
      <alignment horizontal="left"/>
    </xf>
    <xf numFmtId="0" fontId="33" fillId="6" borderId="6" xfId="1" applyFont="1" applyFill="1" applyBorder="1" applyAlignment="1">
      <alignment horizontal="left"/>
    </xf>
    <xf numFmtId="0" fontId="33" fillId="6" borderId="35" xfId="1" applyFont="1" applyFill="1" applyBorder="1" applyAlignment="1">
      <alignment horizontal="left"/>
    </xf>
    <xf numFmtId="0" fontId="22" fillId="6" borderId="7" xfId="0" applyFont="1" applyFill="1" applyBorder="1" applyAlignment="1">
      <alignment horizontal="left"/>
    </xf>
    <xf numFmtId="0" fontId="22" fillId="6" borderId="8" xfId="0" applyFont="1" applyFill="1" applyBorder="1" applyAlignment="1">
      <alignment horizontal="left"/>
    </xf>
    <xf numFmtId="0" fontId="33" fillId="6" borderId="7" xfId="0" applyFont="1" applyFill="1" applyBorder="1"/>
    <xf numFmtId="0" fontId="33" fillId="6" borderId="8" xfId="0" applyFont="1" applyFill="1" applyBorder="1"/>
    <xf numFmtId="0" fontId="22" fillId="6" borderId="40" xfId="0" applyFont="1" applyFill="1" applyBorder="1"/>
    <xf numFmtId="0" fontId="22" fillId="6" borderId="41" xfId="0" applyFont="1" applyFill="1" applyBorder="1"/>
    <xf numFmtId="0" fontId="8" fillId="0" borderId="0" xfId="961" applyFont="1"/>
    <xf numFmtId="0" fontId="8" fillId="0" borderId="0" xfId="961" applyFont="1" applyAlignment="1">
      <alignment horizontal="center"/>
    </xf>
    <xf numFmtId="0" fontId="53" fillId="0" borderId="1" xfId="961" applyFont="1" applyBorder="1" applyAlignment="1">
      <alignment vertical="center"/>
    </xf>
    <xf numFmtId="0" fontId="53" fillId="0" borderId="1" xfId="961" applyFont="1" applyBorder="1" applyAlignment="1">
      <alignment horizontal="center"/>
    </xf>
    <xf numFmtId="0" fontId="28" fillId="0" borderId="4" xfId="961" applyFont="1" applyBorder="1" applyAlignment="1">
      <alignment horizontal="center"/>
    </xf>
    <xf numFmtId="0" fontId="49" fillId="0" borderId="4" xfId="961" applyFont="1" applyBorder="1" applyAlignment="1">
      <alignment horizontal="center"/>
    </xf>
    <xf numFmtId="0" fontId="65" fillId="0" borderId="0" xfId="961" applyFont="1" applyAlignment="1">
      <alignment horizontal="left"/>
    </xf>
    <xf numFmtId="0" fontId="45" fillId="0" borderId="0" xfId="961" applyFont="1" applyAlignment="1">
      <alignment horizontal="center"/>
    </xf>
    <xf numFmtId="0" fontId="53" fillId="0" borderId="4" xfId="961" applyFont="1" applyBorder="1" applyAlignment="1">
      <alignment horizontal="center"/>
    </xf>
    <xf numFmtId="0" fontId="53" fillId="0" borderId="21" xfId="961" applyFont="1" applyBorder="1" applyAlignment="1">
      <alignment horizontal="center"/>
    </xf>
    <xf numFmtId="0" fontId="52" fillId="0" borderId="4" xfId="0" applyFont="1" applyBorder="1" applyAlignment="1">
      <alignment horizontal="center"/>
    </xf>
    <xf numFmtId="0" fontId="52" fillId="0" borderId="4" xfId="962" applyFont="1" applyBorder="1" applyAlignment="1">
      <alignment horizontal="center"/>
    </xf>
    <xf numFmtId="0" fontId="52" fillId="0" borderId="4" xfId="963" applyFont="1" applyBorder="1" applyAlignment="1">
      <alignment horizontal="center"/>
    </xf>
    <xf numFmtId="1" fontId="66" fillId="10" borderId="0" xfId="961" applyNumberFormat="1" applyFont="1" applyFill="1" applyAlignment="1">
      <alignment horizontal="center"/>
    </xf>
    <xf numFmtId="0" fontId="66" fillId="10" borderId="0" xfId="0" applyFont="1" applyFill="1"/>
    <xf numFmtId="0" fontId="64" fillId="10" borderId="0" xfId="961" applyFont="1" applyFill="1"/>
    <xf numFmtId="0" fontId="66" fillId="10" borderId="0" xfId="0" applyFont="1" applyFill="1" applyAlignment="1">
      <alignment horizontal="right"/>
    </xf>
    <xf numFmtId="0" fontId="66" fillId="10" borderId="0" xfId="961" applyFont="1" applyFill="1" applyAlignment="1">
      <alignment horizontal="center"/>
    </xf>
    <xf numFmtId="0" fontId="33" fillId="6" borderId="43" xfId="0" applyFont="1" applyFill="1" applyBorder="1" applyAlignment="1">
      <alignment horizontal="right"/>
    </xf>
    <xf numFmtId="0" fontId="46" fillId="0" borderId="0" xfId="0" applyFont="1"/>
    <xf numFmtId="0" fontId="67" fillId="0" borderId="0" xfId="0" applyFont="1"/>
    <xf numFmtId="0" fontId="37" fillId="7" borderId="2" xfId="0" applyFont="1" applyFill="1" applyBorder="1" applyAlignment="1">
      <alignment vertical="center" wrapText="1"/>
    </xf>
    <xf numFmtId="0" fontId="37" fillId="7" borderId="0" xfId="0" applyFont="1" applyFill="1" applyAlignment="1">
      <alignment vertical="center" wrapText="1"/>
    </xf>
    <xf numFmtId="0" fontId="68" fillId="6" borderId="0" xfId="0" applyFont="1" applyFill="1"/>
    <xf numFmtId="0" fontId="70" fillId="6" borderId="0" xfId="0" applyFont="1" applyFill="1"/>
    <xf numFmtId="0" fontId="44" fillId="10" borderId="0" xfId="0" applyFont="1" applyFill="1" applyAlignment="1">
      <alignment horizontal="center"/>
    </xf>
    <xf numFmtId="0" fontId="44" fillId="10" borderId="49" xfId="0" applyFont="1" applyFill="1" applyBorder="1" applyAlignment="1">
      <alignment horizontal="center"/>
    </xf>
    <xf numFmtId="173" fontId="22" fillId="8" borderId="36" xfId="1" applyNumberFormat="1" applyFill="1" applyBorder="1" applyAlignment="1">
      <alignment horizontal="right"/>
    </xf>
    <xf numFmtId="173" fontId="22" fillId="8" borderId="36" xfId="0" applyNumberFormat="1" applyFont="1" applyFill="1" applyBorder="1" applyAlignment="1">
      <alignment horizontal="right"/>
    </xf>
    <xf numFmtId="173" fontId="25" fillId="7" borderId="0" xfId="1" applyNumberFormat="1" applyFont="1" applyFill="1" applyAlignment="1">
      <alignment horizontal="right"/>
    </xf>
    <xf numFmtId="0" fontId="22" fillId="5" borderId="0" xfId="0" applyFont="1" applyFill="1" applyAlignment="1">
      <alignment horizontal="center" vertical="center"/>
    </xf>
    <xf numFmtId="0" fontId="24" fillId="6" borderId="2" xfId="0" applyFont="1" applyFill="1" applyBorder="1"/>
    <xf numFmtId="0" fontId="41" fillId="8" borderId="2" xfId="0" applyFont="1" applyFill="1" applyBorder="1" applyAlignment="1">
      <alignment horizontal="center"/>
    </xf>
    <xf numFmtId="0" fontId="24" fillId="6" borderId="0" xfId="0" applyFont="1" applyFill="1"/>
    <xf numFmtId="166" fontId="40" fillId="7" borderId="8" xfId="0" applyNumberFormat="1" applyFont="1" applyFill="1" applyBorder="1" applyAlignment="1">
      <alignment horizontal="center"/>
    </xf>
    <xf numFmtId="166" fontId="40" fillId="7" borderId="7" xfId="0" applyNumberFormat="1" applyFont="1" applyFill="1" applyBorder="1" applyAlignment="1">
      <alignment horizontal="center"/>
    </xf>
    <xf numFmtId="0" fontId="41" fillId="6" borderId="36" xfId="0" applyFont="1" applyFill="1" applyBorder="1" applyAlignment="1">
      <alignment horizontal="center"/>
    </xf>
    <xf numFmtId="0" fontId="41" fillId="6" borderId="0" xfId="0" applyFont="1" applyFill="1" applyAlignment="1">
      <alignment horizontal="center"/>
    </xf>
    <xf numFmtId="0" fontId="41" fillId="6" borderId="2" xfId="0" applyFont="1" applyFill="1" applyBorder="1" applyAlignment="1">
      <alignment horizontal="center"/>
    </xf>
    <xf numFmtId="0" fontId="41" fillId="8" borderId="0" xfId="0" applyFont="1" applyFill="1" applyAlignment="1">
      <alignment horizontal="center"/>
    </xf>
    <xf numFmtId="0" fontId="41" fillId="8" borderId="36" xfId="0" applyFont="1" applyFill="1" applyBorder="1" applyAlignment="1">
      <alignment horizontal="center"/>
    </xf>
    <xf numFmtId="0" fontId="22" fillId="7" borderId="2" xfId="0" applyFont="1" applyFill="1" applyBorder="1" applyAlignment="1">
      <alignment horizontal="center"/>
    </xf>
    <xf numFmtId="0" fontId="35" fillId="0" borderId="0" xfId="0" applyFont="1" applyAlignment="1">
      <alignment horizontal="left" vertical="center"/>
    </xf>
    <xf numFmtId="0" fontId="26" fillId="7" borderId="70" xfId="0" applyFont="1" applyFill="1" applyBorder="1" applyAlignment="1">
      <alignment horizontal="center" vertical="center"/>
    </xf>
    <xf numFmtId="0" fontId="24" fillId="9" borderId="72" xfId="0" quotePrefix="1" applyFont="1" applyFill="1" applyBorder="1" applyAlignment="1">
      <alignment horizontal="center" vertical="center"/>
    </xf>
    <xf numFmtId="0" fontId="24" fillId="9" borderId="11" xfId="0" quotePrefix="1" applyFont="1" applyFill="1" applyBorder="1" applyAlignment="1">
      <alignment horizontal="center" vertical="center"/>
    </xf>
    <xf numFmtId="0" fontId="24" fillId="9" borderId="73" xfId="0" quotePrefix="1" applyFont="1" applyFill="1" applyBorder="1" applyAlignment="1">
      <alignment horizontal="center" vertical="center"/>
    </xf>
    <xf numFmtId="0" fontId="23" fillId="9" borderId="75" xfId="0" applyFont="1" applyFill="1" applyBorder="1" applyAlignment="1">
      <alignment horizontal="center" vertical="center"/>
    </xf>
    <xf numFmtId="0" fontId="23" fillId="9" borderId="76" xfId="0" applyFont="1" applyFill="1" applyBorder="1" applyAlignment="1">
      <alignment horizontal="center" vertical="center"/>
    </xf>
    <xf numFmtId="0" fontId="23" fillId="9" borderId="77" xfId="0" applyFont="1" applyFill="1" applyBorder="1" applyAlignment="1">
      <alignment horizontal="center" vertical="center"/>
    </xf>
    <xf numFmtId="0" fontId="34" fillId="9" borderId="52" xfId="0" quotePrefix="1" applyFont="1" applyFill="1" applyBorder="1" applyAlignment="1">
      <alignment horizontal="center"/>
    </xf>
    <xf numFmtId="0" fontId="34" fillId="9" borderId="26" xfId="0" quotePrefix="1" applyFont="1" applyFill="1" applyBorder="1" applyAlignment="1">
      <alignment horizontal="center"/>
    </xf>
    <xf numFmtId="0" fontId="34" fillId="9" borderId="53" xfId="0" quotePrefix="1" applyFont="1" applyFill="1" applyBorder="1" applyAlignment="1">
      <alignment horizontal="center"/>
    </xf>
    <xf numFmtId="0" fontId="26" fillId="7" borderId="67" xfId="0" applyFont="1" applyFill="1" applyBorder="1" applyAlignment="1">
      <alignment horizontal="center" vertical="center"/>
    </xf>
    <xf numFmtId="0" fontId="34" fillId="9" borderId="72" xfId="0" quotePrefix="1" applyFont="1" applyFill="1" applyBorder="1" applyAlignment="1">
      <alignment horizontal="center"/>
    </xf>
    <xf numFmtId="0" fontId="34" fillId="9" borderId="11" xfId="0" quotePrefix="1" applyFont="1" applyFill="1" applyBorder="1" applyAlignment="1">
      <alignment horizontal="center"/>
    </xf>
    <xf numFmtId="0" fontId="34" fillId="9" borderId="73" xfId="0" quotePrefix="1" applyFont="1" applyFill="1" applyBorder="1" applyAlignment="1">
      <alignment horizontal="center"/>
    </xf>
    <xf numFmtId="0" fontId="42" fillId="9" borderId="72" xfId="0" quotePrefix="1" applyFont="1" applyFill="1" applyBorder="1" applyAlignment="1">
      <alignment horizontal="center"/>
    </xf>
    <xf numFmtId="0" fontId="42" fillId="9" borderId="11" xfId="0" quotePrefix="1" applyFont="1" applyFill="1" applyBorder="1" applyAlignment="1">
      <alignment horizontal="center"/>
    </xf>
    <xf numFmtId="0" fontId="38" fillId="10" borderId="22" xfId="1" applyFont="1" applyFill="1" applyBorder="1" applyAlignment="1">
      <alignment horizontal="center" vertical="center"/>
    </xf>
    <xf numFmtId="0" fontId="22" fillId="7" borderId="0" xfId="1" applyFill="1" applyAlignment="1">
      <alignment horizontal="left"/>
    </xf>
    <xf numFmtId="0" fontId="22" fillId="7" borderId="0" xfId="0" applyFont="1" applyFill="1" applyAlignment="1">
      <alignment horizontal="left"/>
    </xf>
    <xf numFmtId="0" fontId="22" fillId="8" borderId="0" xfId="1" quotePrefix="1" applyFill="1" applyAlignment="1">
      <alignment horizontal="left"/>
    </xf>
    <xf numFmtId="0" fontId="24" fillId="7" borderId="6" xfId="1" applyFont="1" applyFill="1" applyBorder="1" applyAlignment="1">
      <alignment horizontal="left"/>
    </xf>
    <xf numFmtId="0" fontId="38" fillId="10" borderId="22" xfId="1" applyFont="1" applyFill="1" applyBorder="1" applyAlignment="1">
      <alignment horizontal="center"/>
    </xf>
    <xf numFmtId="18" fontId="22" fillId="8" borderId="23" xfId="0" applyNumberFormat="1" applyFont="1" applyFill="1" applyBorder="1" applyAlignment="1">
      <alignment horizontal="center"/>
    </xf>
    <xf numFmtId="172" fontId="22" fillId="8" borderId="24" xfId="0" applyNumberFormat="1" applyFont="1" applyFill="1" applyBorder="1" applyAlignment="1">
      <alignment horizontal="center"/>
    </xf>
    <xf numFmtId="172" fontId="22" fillId="8" borderId="24" xfId="1" applyNumberFormat="1" applyFill="1" applyBorder="1" applyAlignment="1">
      <alignment horizontal="center"/>
    </xf>
    <xf numFmtId="168" fontId="22" fillId="8" borderId="24" xfId="1" applyNumberFormat="1" applyFill="1" applyBorder="1" applyAlignment="1">
      <alignment horizontal="center"/>
    </xf>
    <xf numFmtId="0" fontId="22" fillId="8" borderId="24" xfId="0" applyFont="1" applyFill="1" applyBorder="1" applyAlignment="1">
      <alignment horizontal="center" vertical="center"/>
    </xf>
    <xf numFmtId="165" fontId="22" fillId="8" borderId="24" xfId="1" applyNumberFormat="1" applyFill="1" applyBorder="1" applyAlignment="1">
      <alignment horizontal="center" vertical="center"/>
    </xf>
    <xf numFmtId="165" fontId="22" fillId="8" borderId="24" xfId="0" applyNumberFormat="1" applyFont="1" applyFill="1" applyBorder="1" applyAlignment="1">
      <alignment horizontal="center" vertical="center"/>
    </xf>
    <xf numFmtId="0" fontId="22" fillId="8" borderId="24" xfId="0" applyFont="1" applyFill="1" applyBorder="1" applyAlignment="1">
      <alignment horizontal="center"/>
    </xf>
    <xf numFmtId="167" fontId="22" fillId="8" borderId="24" xfId="1" applyNumberFormat="1" applyFill="1" applyBorder="1" applyAlignment="1">
      <alignment horizontal="center"/>
    </xf>
    <xf numFmtId="164" fontId="22" fillId="8" borderId="24" xfId="1" applyNumberFormat="1" applyFill="1" applyBorder="1" applyAlignment="1">
      <alignment horizontal="center"/>
    </xf>
    <xf numFmtId="164" fontId="22" fillId="8" borderId="24" xfId="0" applyNumberFormat="1" applyFont="1" applyFill="1" applyBorder="1" applyAlignment="1">
      <alignment horizontal="center"/>
    </xf>
    <xf numFmtId="0" fontId="25" fillId="5" borderId="8" xfId="0" applyFont="1" applyFill="1" applyBorder="1" applyAlignment="1">
      <alignment horizontal="left" vertical="center"/>
    </xf>
    <xf numFmtId="0" fontId="22" fillId="10" borderId="35" xfId="0" applyFont="1" applyFill="1" applyBorder="1"/>
    <xf numFmtId="0" fontId="22" fillId="10" borderId="78" xfId="0" applyFont="1" applyFill="1" applyBorder="1"/>
    <xf numFmtId="0" fontId="22" fillId="5" borderId="23" xfId="0" applyFont="1" applyFill="1" applyBorder="1" applyAlignment="1">
      <alignment horizontal="center" vertical="center"/>
    </xf>
    <xf numFmtId="0" fontId="22" fillId="5" borderId="24" xfId="0" applyFont="1" applyFill="1" applyBorder="1" applyAlignment="1">
      <alignment horizontal="center" vertical="center"/>
    </xf>
    <xf numFmtId="0" fontId="24" fillId="6" borderId="36" xfId="0" applyFont="1" applyFill="1" applyBorder="1" applyAlignment="1">
      <alignment horizontal="right"/>
    </xf>
    <xf numFmtId="0" fontId="76" fillId="6" borderId="0" xfId="0" applyFont="1" applyFill="1"/>
    <xf numFmtId="174" fontId="38" fillId="12" borderId="30" xfId="0" applyNumberFormat="1" applyFont="1" applyFill="1" applyBorder="1" applyAlignment="1">
      <alignment horizontal="right" vertical="center"/>
    </xf>
    <xf numFmtId="1" fontId="77" fillId="14" borderId="22" xfId="0" applyNumberFormat="1" applyFont="1" applyFill="1" applyBorder="1" applyAlignment="1">
      <alignment horizontal="center" vertical="center"/>
    </xf>
    <xf numFmtId="175" fontId="30" fillId="6" borderId="33" xfId="0" applyNumberFormat="1" applyFont="1" applyFill="1" applyBorder="1" applyAlignment="1">
      <alignment horizontal="right"/>
    </xf>
    <xf numFmtId="0" fontId="24" fillId="7" borderId="0" xfId="0" quotePrefix="1" applyFont="1" applyFill="1" applyAlignment="1">
      <alignment horizontal="center"/>
    </xf>
    <xf numFmtId="0" fontId="22" fillId="8" borderId="23" xfId="0" applyFont="1" applyFill="1" applyBorder="1" applyAlignment="1">
      <alignment horizontal="center"/>
    </xf>
    <xf numFmtId="166" fontId="22" fillId="8" borderId="24" xfId="0" applyNumberFormat="1" applyFont="1" applyFill="1" applyBorder="1" applyAlignment="1">
      <alignment horizontal="center"/>
    </xf>
    <xf numFmtId="166" fontId="22" fillId="8" borderId="79" xfId="0" applyNumberFormat="1" applyFont="1" applyFill="1" applyBorder="1" applyAlignment="1">
      <alignment horizontal="center"/>
    </xf>
    <xf numFmtId="0" fontId="56" fillId="0" borderId="57" xfId="961" applyFont="1" applyBorder="1"/>
    <xf numFmtId="0" fontId="56" fillId="0" borderId="57" xfId="961" applyFont="1" applyBorder="1" applyAlignment="1">
      <alignment horizontal="center"/>
    </xf>
    <xf numFmtId="0" fontId="56" fillId="0" borderId="1" xfId="961" applyFont="1" applyBorder="1"/>
    <xf numFmtId="0" fontId="56" fillId="0" borderId="1" xfId="961" applyFont="1" applyBorder="1" applyAlignment="1">
      <alignment horizontal="center"/>
    </xf>
    <xf numFmtId="0" fontId="56" fillId="0" borderId="0" xfId="961" applyFont="1"/>
    <xf numFmtId="0" fontId="56" fillId="0" borderId="8" xfId="961" applyFont="1" applyBorder="1"/>
    <xf numFmtId="0" fontId="56" fillId="0" borderId="58" xfId="961" applyFont="1" applyBorder="1"/>
    <xf numFmtId="0" fontId="56" fillId="0" borderId="8" xfId="961" applyFont="1" applyBorder="1" applyAlignment="1">
      <alignment horizontal="center"/>
    </xf>
    <xf numFmtId="0" fontId="56" fillId="0" borderId="58" xfId="961" applyFont="1" applyBorder="1" applyAlignment="1">
      <alignment horizontal="center"/>
    </xf>
    <xf numFmtId="0" fontId="80" fillId="0" borderId="0" xfId="961" applyFont="1" applyAlignment="1">
      <alignment horizontal="center"/>
    </xf>
    <xf numFmtId="0" fontId="56" fillId="0" borderId="64" xfId="961" applyFont="1" applyBorder="1" applyAlignment="1">
      <alignment horizontal="center"/>
    </xf>
    <xf numFmtId="0" fontId="56" fillId="0" borderId="61" xfId="961" applyFont="1" applyBorder="1" applyAlignment="1">
      <alignment horizontal="center"/>
    </xf>
    <xf numFmtId="0" fontId="80" fillId="0" borderId="57" xfId="961" applyFont="1" applyBorder="1" applyAlignment="1">
      <alignment horizontal="center"/>
    </xf>
    <xf numFmtId="0" fontId="28" fillId="0" borderId="42" xfId="961" applyFont="1" applyBorder="1" applyAlignment="1">
      <alignment horizontal="center"/>
    </xf>
    <xf numFmtId="0" fontId="28" fillId="0" borderId="21" xfId="961" applyFont="1" applyBorder="1" applyAlignment="1">
      <alignment horizontal="center"/>
    </xf>
    <xf numFmtId="0" fontId="51" fillId="0" borderId="43" xfId="961" applyFont="1" applyBorder="1" applyAlignment="1">
      <alignment horizontal="center"/>
    </xf>
    <xf numFmtId="0" fontId="46" fillId="10" borderId="80" xfId="961" applyFont="1" applyFill="1" applyBorder="1" applyAlignment="1">
      <alignment horizontal="center"/>
    </xf>
    <xf numFmtId="0" fontId="61" fillId="0" borderId="0" xfId="961" applyFont="1" applyAlignment="1">
      <alignment horizontal="left" vertical="top" textRotation="180"/>
    </xf>
    <xf numFmtId="0" fontId="81" fillId="0" borderId="51" xfId="961" applyFont="1" applyBorder="1" applyAlignment="1">
      <alignment horizontal="center"/>
    </xf>
    <xf numFmtId="0" fontId="81" fillId="0" borderId="56" xfId="961" applyFont="1" applyBorder="1" applyAlignment="1">
      <alignment horizontal="center"/>
    </xf>
    <xf numFmtId="0" fontId="81" fillId="0" borderId="10" xfId="961" applyFont="1" applyBorder="1" applyAlignment="1">
      <alignment horizontal="center"/>
    </xf>
    <xf numFmtId="0" fontId="29" fillId="0" borderId="10" xfId="0" applyFont="1" applyBorder="1" applyAlignment="1">
      <alignment horizontal="center"/>
    </xf>
    <xf numFmtId="0" fontId="29" fillId="4" borderId="10" xfId="0" applyFont="1" applyFill="1" applyBorder="1" applyAlignment="1">
      <alignment horizontal="center"/>
    </xf>
    <xf numFmtId="0" fontId="82" fillId="9" borderId="21" xfId="0" applyFont="1" applyFill="1" applyBorder="1" applyAlignment="1">
      <alignment horizontal="center"/>
    </xf>
    <xf numFmtId="0" fontId="83" fillId="0" borderId="56" xfId="0" applyFont="1" applyBorder="1" applyAlignment="1">
      <alignment horizontal="center"/>
    </xf>
    <xf numFmtId="0" fontId="83" fillId="0" borderId="51" xfId="0" applyFont="1" applyBorder="1" applyAlignment="1">
      <alignment horizontal="center"/>
    </xf>
    <xf numFmtId="0" fontId="43" fillId="9" borderId="21" xfId="0" applyFont="1" applyFill="1" applyBorder="1" applyAlignment="1">
      <alignment horizontal="center"/>
    </xf>
    <xf numFmtId="0" fontId="61" fillId="0" borderId="0" xfId="961" applyFont="1" applyAlignment="1">
      <alignment horizontal="center" vertical="top" textRotation="180"/>
    </xf>
    <xf numFmtId="0" fontId="57" fillId="6" borderId="0" xfId="0" applyFont="1" applyFill="1" applyAlignment="1">
      <alignment horizontal="center"/>
    </xf>
    <xf numFmtId="0" fontId="61" fillId="0" borderId="0" xfId="961" applyFont="1" applyAlignment="1">
      <alignment vertical="top" textRotation="180"/>
    </xf>
    <xf numFmtId="0" fontId="5" fillId="0" borderId="0" xfId="961" applyFont="1"/>
    <xf numFmtId="0" fontId="29" fillId="0" borderId="43" xfId="0" applyFont="1" applyBorder="1" applyAlignment="1">
      <alignment horizontal="center"/>
    </xf>
    <xf numFmtId="0" fontId="81" fillId="0" borderId="4" xfId="961" applyFont="1" applyBorder="1" applyAlignment="1">
      <alignment horizontal="center"/>
    </xf>
    <xf numFmtId="0" fontId="85" fillId="0" borderId="4" xfId="961" quotePrefix="1" applyFont="1" applyBorder="1" applyAlignment="1">
      <alignment horizontal="center"/>
    </xf>
    <xf numFmtId="0" fontId="5" fillId="0" borderId="4" xfId="961" applyFont="1" applyBorder="1" applyAlignment="1">
      <alignment horizontal="center"/>
    </xf>
    <xf numFmtId="0" fontId="85" fillId="0" borderId="8" xfId="961" applyFont="1" applyBorder="1" applyAlignment="1">
      <alignment horizontal="center"/>
    </xf>
    <xf numFmtId="0" fontId="83" fillId="0" borderId="8" xfId="0" applyFont="1" applyBorder="1" applyAlignment="1">
      <alignment horizontal="center"/>
    </xf>
    <xf numFmtId="0" fontId="86" fillId="0" borderId="0" xfId="961" applyFont="1" applyAlignment="1">
      <alignment horizontal="center"/>
    </xf>
    <xf numFmtId="0" fontId="86" fillId="0" borderId="6" xfId="961" applyFont="1" applyBorder="1" applyAlignment="1">
      <alignment horizontal="center"/>
    </xf>
    <xf numFmtId="0" fontId="85" fillId="0" borderId="6" xfId="961" applyFont="1" applyBorder="1" applyAlignment="1">
      <alignment horizontal="center"/>
    </xf>
    <xf numFmtId="0" fontId="23" fillId="9" borderId="82" xfId="0" applyFont="1" applyFill="1" applyBorder="1" applyAlignment="1">
      <alignment horizontal="center" vertical="center"/>
    </xf>
    <xf numFmtId="0" fontId="23" fillId="9" borderId="25" xfId="0" applyFont="1" applyFill="1" applyBorder="1" applyAlignment="1">
      <alignment horizontal="center" vertical="center"/>
    </xf>
    <xf numFmtId="0" fontId="23" fillId="9" borderId="83" xfId="0" applyFont="1" applyFill="1" applyBorder="1" applyAlignment="1">
      <alignment horizontal="center" vertical="center"/>
    </xf>
    <xf numFmtId="0" fontId="23" fillId="9" borderId="10" xfId="0" applyFont="1" applyFill="1" applyBorder="1" applyAlignment="1">
      <alignment horizontal="center" vertical="center"/>
    </xf>
    <xf numFmtId="0" fontId="52" fillId="0" borderId="51" xfId="0" quotePrefix="1" applyFont="1" applyBorder="1" applyAlignment="1">
      <alignment horizontal="center"/>
    </xf>
    <xf numFmtId="0" fontId="49" fillId="0" borderId="0" xfId="961" applyFont="1" applyAlignment="1">
      <alignment horizontal="center"/>
    </xf>
    <xf numFmtId="0" fontId="52" fillId="9" borderId="21" xfId="0" applyFont="1" applyFill="1" applyBorder="1" applyAlignment="1">
      <alignment horizontal="center"/>
    </xf>
    <xf numFmtId="0" fontId="5" fillId="0" borderId="0" xfId="961" applyFont="1" applyAlignment="1">
      <alignment horizontal="right"/>
    </xf>
    <xf numFmtId="0" fontId="51" fillId="5" borderId="0" xfId="961" applyFont="1" applyFill="1" applyAlignment="1">
      <alignment horizontal="right"/>
    </xf>
    <xf numFmtId="1" fontId="49" fillId="5" borderId="0" xfId="961" applyNumberFormat="1" applyFont="1" applyFill="1" applyAlignment="1">
      <alignment horizontal="center"/>
    </xf>
    <xf numFmtId="0" fontId="24" fillId="9" borderId="84" xfId="0" quotePrefix="1" applyFont="1" applyFill="1" applyBorder="1" applyAlignment="1">
      <alignment horizontal="center" vertical="center"/>
    </xf>
    <xf numFmtId="0" fontId="23" fillId="9" borderId="86" xfId="0" applyFont="1" applyFill="1" applyBorder="1" applyAlignment="1">
      <alignment horizontal="center" vertical="center"/>
    </xf>
    <xf numFmtId="0" fontId="23" fillId="9" borderId="87" xfId="0" applyFont="1" applyFill="1" applyBorder="1" applyAlignment="1">
      <alignment horizontal="center" vertical="center"/>
    </xf>
    <xf numFmtId="0" fontId="34" fillId="9" borderId="88" xfId="0" quotePrefix="1" applyFont="1" applyFill="1" applyBorder="1" applyAlignment="1">
      <alignment horizontal="center"/>
    </xf>
    <xf numFmtId="0" fontId="45" fillId="0" borderId="0" xfId="961" applyFont="1" applyAlignment="1">
      <alignment vertical="center"/>
    </xf>
    <xf numFmtId="0" fontId="51" fillId="0" borderId="63" xfId="961" applyFont="1" applyBorder="1" applyAlignment="1">
      <alignment horizontal="center"/>
    </xf>
    <xf numFmtId="0" fontId="23" fillId="9" borderId="89" xfId="0" applyFont="1" applyFill="1" applyBorder="1" applyAlignment="1">
      <alignment horizontal="center" vertical="center"/>
    </xf>
    <xf numFmtId="0" fontId="23" fillId="9" borderId="90" xfId="0" applyFont="1" applyFill="1" applyBorder="1" applyAlignment="1">
      <alignment horizontal="center" vertical="center"/>
    </xf>
    <xf numFmtId="0" fontId="53" fillId="0" borderId="60" xfId="961" applyFont="1" applyBorder="1"/>
    <xf numFmtId="0" fontId="53" fillId="0" borderId="61" xfId="961" applyFont="1" applyBorder="1"/>
    <xf numFmtId="0" fontId="53" fillId="0" borderId="61" xfId="961" applyFont="1" applyBorder="1" applyAlignment="1">
      <alignment horizontal="center"/>
    </xf>
    <xf numFmtId="0" fontId="45" fillId="0" borderId="60" xfId="961" applyFont="1" applyBorder="1"/>
    <xf numFmtId="0" fontId="83" fillId="0" borderId="8" xfId="0" quotePrefix="1" applyFont="1" applyBorder="1" applyAlignment="1">
      <alignment horizontal="center"/>
    </xf>
    <xf numFmtId="0" fontId="52" fillId="0" borderId="4" xfId="0" quotePrefix="1" applyFont="1" applyBorder="1" applyAlignment="1">
      <alignment horizontal="center"/>
    </xf>
    <xf numFmtId="0" fontId="83" fillId="0" borderId="0" xfId="0" applyFont="1" applyAlignment="1">
      <alignment horizontal="center"/>
    </xf>
    <xf numFmtId="0" fontId="5" fillId="0" borderId="15" xfId="961" quotePrefix="1" applyFont="1" applyBorder="1" applyAlignment="1">
      <alignment horizontal="center"/>
    </xf>
    <xf numFmtId="0" fontId="5" fillId="0" borderId="9" xfId="961" quotePrefix="1" applyFont="1" applyBorder="1" applyAlignment="1">
      <alignment horizontal="center"/>
    </xf>
    <xf numFmtId="0" fontId="53" fillId="0" borderId="0" xfId="961" applyFont="1" applyAlignment="1">
      <alignment horizontal="right" vertical="center"/>
    </xf>
    <xf numFmtId="0" fontId="84" fillId="0" borderId="3" xfId="961" quotePrefix="1" applyFont="1" applyBorder="1" applyAlignment="1">
      <alignment horizontal="center"/>
    </xf>
    <xf numFmtId="0" fontId="84" fillId="0" borderId="3" xfId="961" applyFont="1" applyBorder="1" applyAlignment="1">
      <alignment horizontal="center"/>
    </xf>
    <xf numFmtId="0" fontId="84" fillId="0" borderId="56" xfId="961" applyFont="1" applyBorder="1" applyAlignment="1">
      <alignment horizontal="center"/>
    </xf>
    <xf numFmtId="0" fontId="84" fillId="0" borderId="0" xfId="961" applyFont="1" applyAlignment="1">
      <alignment horizontal="center"/>
    </xf>
    <xf numFmtId="0" fontId="84" fillId="0" borderId="15" xfId="961" applyFont="1" applyBorder="1" applyAlignment="1">
      <alignment horizontal="center"/>
    </xf>
    <xf numFmtId="0" fontId="84" fillId="0" borderId="51" xfId="961" applyFont="1" applyBorder="1" applyAlignment="1">
      <alignment horizontal="center"/>
    </xf>
    <xf numFmtId="0" fontId="84" fillId="0" borderId="1" xfId="961" applyFont="1" applyBorder="1" applyAlignment="1">
      <alignment horizontal="center"/>
    </xf>
    <xf numFmtId="0" fontId="84" fillId="0" borderId="10" xfId="961" applyFont="1" applyBorder="1" applyAlignment="1">
      <alignment horizontal="center"/>
    </xf>
    <xf numFmtId="0" fontId="84" fillId="0" borderId="57" xfId="961" applyFont="1" applyBorder="1" applyAlignment="1">
      <alignment horizontal="center" vertical="center"/>
    </xf>
    <xf numFmtId="0" fontId="84" fillId="0" borderId="57" xfId="961" applyFont="1" applyBorder="1" applyAlignment="1">
      <alignment horizontal="center"/>
    </xf>
    <xf numFmtId="0" fontId="84" fillId="0" borderId="81" xfId="961" applyFont="1" applyBorder="1" applyAlignment="1">
      <alignment horizontal="center"/>
    </xf>
    <xf numFmtId="0" fontId="84" fillId="0" borderId="0" xfId="961" applyFont="1" applyAlignment="1">
      <alignment horizontal="center" vertical="center"/>
    </xf>
    <xf numFmtId="0" fontId="84" fillId="0" borderId="3" xfId="961" applyFont="1" applyBorder="1" applyAlignment="1">
      <alignment horizontal="center" vertical="center"/>
    </xf>
    <xf numFmtId="0" fontId="51" fillId="0" borderId="60" xfId="961" applyFont="1" applyBorder="1" applyAlignment="1">
      <alignment horizontal="center"/>
    </xf>
    <xf numFmtId="0" fontId="80" fillId="0" borderId="60" xfId="961" applyFont="1" applyBorder="1" applyAlignment="1">
      <alignment horizontal="center"/>
    </xf>
    <xf numFmtId="0" fontId="84" fillId="0" borderId="76" xfId="961" applyFont="1" applyBorder="1" applyAlignment="1">
      <alignment horizontal="center"/>
    </xf>
    <xf numFmtId="0" fontId="88" fillId="0" borderId="0" xfId="961" applyFont="1" applyAlignment="1">
      <alignment horizontal="right" vertical="center"/>
    </xf>
    <xf numFmtId="0" fontId="88" fillId="0" borderId="1" xfId="961" applyFont="1" applyBorder="1" applyAlignment="1">
      <alignment horizontal="right" vertical="center"/>
    </xf>
    <xf numFmtId="0" fontId="88" fillId="0" borderId="8" xfId="961" applyFont="1" applyBorder="1" applyAlignment="1">
      <alignment horizontal="right" vertical="center"/>
    </xf>
    <xf numFmtId="0" fontId="88" fillId="0" borderId="0" xfId="961" applyFont="1" applyAlignment="1">
      <alignment horizontal="left"/>
    </xf>
    <xf numFmtId="0" fontId="29" fillId="0" borderId="48" xfId="0" applyFont="1" applyBorder="1" applyAlignment="1">
      <alignment horizontal="right"/>
    </xf>
    <xf numFmtId="0" fontId="87" fillId="0" borderId="16" xfId="0" applyFont="1" applyBorder="1" applyAlignment="1">
      <alignment horizontal="center"/>
    </xf>
    <xf numFmtId="0" fontId="22" fillId="0" borderId="50" xfId="0" applyFont="1" applyBorder="1" applyAlignment="1">
      <alignment horizontal="right"/>
    </xf>
    <xf numFmtId="0" fontId="87" fillId="0" borderId="9" xfId="0" applyFont="1" applyBorder="1" applyAlignment="1">
      <alignment horizontal="center"/>
    </xf>
    <xf numFmtId="0" fontId="57" fillId="6" borderId="48" xfId="0" applyFont="1" applyFill="1" applyBorder="1" applyAlignment="1">
      <alignment horizontal="right"/>
    </xf>
    <xf numFmtId="0" fontId="57" fillId="6" borderId="3" xfId="0" applyFont="1" applyFill="1" applyBorder="1" applyAlignment="1">
      <alignment horizontal="center"/>
    </xf>
    <xf numFmtId="0" fontId="55" fillId="6" borderId="49" xfId="0" applyFont="1" applyFill="1" applyBorder="1" applyAlignment="1">
      <alignment horizontal="center"/>
    </xf>
    <xf numFmtId="0" fontId="55" fillId="6" borderId="0" xfId="0" applyFont="1" applyFill="1" applyAlignment="1">
      <alignment horizontal="center"/>
    </xf>
    <xf numFmtId="0" fontId="57" fillId="6" borderId="49" xfId="0" applyFont="1" applyFill="1" applyBorder="1" applyAlignment="1">
      <alignment horizontal="right"/>
    </xf>
    <xf numFmtId="1" fontId="33" fillId="6" borderId="42" xfId="0" applyNumberFormat="1" applyFont="1" applyFill="1" applyBorder="1" applyAlignment="1">
      <alignment horizontal="center"/>
    </xf>
    <xf numFmtId="0" fontId="45" fillId="0" borderId="0" xfId="961" applyFont="1" applyAlignment="1">
      <alignment horizontal="right" vertical="center"/>
    </xf>
    <xf numFmtId="0" fontId="56" fillId="0" borderId="0" xfId="961" applyFont="1" applyAlignment="1">
      <alignment horizontal="right" vertical="center"/>
    </xf>
    <xf numFmtId="0" fontId="53" fillId="0" borderId="1" xfId="961" applyFont="1" applyBorder="1" applyAlignment="1">
      <alignment horizontal="right" vertical="center"/>
    </xf>
    <xf numFmtId="0" fontId="45" fillId="0" borderId="57" xfId="961" applyFont="1" applyBorder="1" applyAlignment="1">
      <alignment horizontal="right" vertical="center"/>
    </xf>
    <xf numFmtId="0" fontId="84" fillId="0" borderId="0" xfId="961" applyFont="1" applyAlignment="1">
      <alignment horizontal="right" vertical="center"/>
    </xf>
    <xf numFmtId="0" fontId="84" fillId="0" borderId="1" xfId="961" applyFont="1" applyBorder="1" applyAlignment="1">
      <alignment horizontal="right" vertical="center"/>
    </xf>
    <xf numFmtId="0" fontId="56" fillId="0" borderId="8" xfId="961" applyFont="1" applyBorder="1" applyAlignment="1">
      <alignment horizontal="right" vertical="center"/>
    </xf>
    <xf numFmtId="0" fontId="56" fillId="0" borderId="57" xfId="961" applyFont="1" applyBorder="1" applyAlignment="1">
      <alignment horizontal="right"/>
    </xf>
    <xf numFmtId="0" fontId="56" fillId="0" borderId="1" xfId="961" applyFont="1" applyBorder="1" applyAlignment="1">
      <alignment horizontal="right"/>
    </xf>
    <xf numFmtId="0" fontId="56" fillId="0" borderId="0" xfId="961" applyFont="1" applyAlignment="1">
      <alignment horizontal="right"/>
    </xf>
    <xf numFmtId="0" fontId="56" fillId="0" borderId="8" xfId="961" applyFont="1" applyBorder="1" applyAlignment="1">
      <alignment horizontal="right"/>
    </xf>
    <xf numFmtId="0" fontId="56" fillId="0" borderId="58" xfId="961" applyFont="1" applyBorder="1" applyAlignment="1">
      <alignment horizontal="right"/>
    </xf>
    <xf numFmtId="0" fontId="22" fillId="6" borderId="42" xfId="0" applyFont="1" applyFill="1" applyBorder="1"/>
    <xf numFmtId="0" fontId="22" fillId="7" borderId="5" xfId="1" applyFill="1" applyBorder="1" applyAlignment="1">
      <alignment horizontal="left"/>
    </xf>
    <xf numFmtId="166" fontId="22" fillId="8" borderId="35" xfId="0" applyNumberFormat="1" applyFont="1" applyFill="1" applyBorder="1" applyAlignment="1">
      <alignment horizontal="right"/>
    </xf>
    <xf numFmtId="0" fontId="33" fillId="6" borderId="3" xfId="0" applyFont="1" applyFill="1" applyBorder="1" applyAlignment="1">
      <alignment horizontal="left"/>
    </xf>
    <xf numFmtId="0" fontId="24" fillId="9" borderId="76" xfId="0" quotePrefix="1" applyFont="1" applyFill="1" applyBorder="1" applyAlignment="1">
      <alignment horizontal="center" vertical="center"/>
    </xf>
    <xf numFmtId="0" fontId="37" fillId="6" borderId="5" xfId="0" applyFont="1" applyFill="1" applyBorder="1"/>
    <xf numFmtId="0" fontId="37" fillId="6" borderId="35" xfId="0" applyFont="1" applyFill="1" applyBorder="1"/>
    <xf numFmtId="0" fontId="5" fillId="0" borderId="6" xfId="961" applyFont="1" applyBorder="1" applyAlignment="1">
      <alignment horizontal="center"/>
    </xf>
    <xf numFmtId="0" fontId="47" fillId="0" borderId="0" xfId="961" applyFont="1" applyAlignment="1">
      <alignment horizontal="center"/>
    </xf>
    <xf numFmtId="0" fontId="51" fillId="0" borderId="42" xfId="961" applyFont="1" applyBorder="1" applyAlignment="1">
      <alignment horizontal="center"/>
    </xf>
    <xf numFmtId="0" fontId="51" fillId="0" borderId="21" xfId="961" applyFont="1" applyBorder="1" applyAlignment="1">
      <alignment horizontal="center"/>
    </xf>
    <xf numFmtId="0" fontId="89" fillId="0" borderId="0" xfId="961" applyFont="1" applyAlignment="1">
      <alignment horizontal="center"/>
    </xf>
    <xf numFmtId="0" fontId="28" fillId="5" borderId="56" xfId="961" applyFont="1" applyFill="1" applyBorder="1" applyAlignment="1">
      <alignment horizontal="center"/>
    </xf>
    <xf numFmtId="0" fontId="28" fillId="5" borderId="4" xfId="961" applyFont="1" applyFill="1" applyBorder="1" applyAlignment="1">
      <alignment horizontal="center"/>
    </xf>
    <xf numFmtId="0" fontId="5" fillId="5" borderId="91" xfId="961" applyFont="1" applyFill="1" applyBorder="1" applyAlignment="1">
      <alignment horizontal="center"/>
    </xf>
    <xf numFmtId="0" fontId="29" fillId="5" borderId="56" xfId="0" applyFont="1" applyFill="1" applyBorder="1" applyAlignment="1">
      <alignment horizontal="center"/>
    </xf>
    <xf numFmtId="0" fontId="29" fillId="5" borderId="48" xfId="0" applyFont="1" applyFill="1" applyBorder="1" applyAlignment="1">
      <alignment horizontal="center"/>
    </xf>
    <xf numFmtId="0" fontId="29" fillId="5" borderId="16" xfId="0" applyFont="1" applyFill="1" applyBorder="1" applyAlignment="1">
      <alignment horizontal="center"/>
    </xf>
    <xf numFmtId="0" fontId="28" fillId="5" borderId="0" xfId="0" applyFont="1" applyFill="1" applyAlignment="1">
      <alignment horizontal="left"/>
    </xf>
    <xf numFmtId="0" fontId="84" fillId="0" borderId="0" xfId="961" applyFont="1" applyAlignment="1">
      <alignment horizontal="right"/>
    </xf>
    <xf numFmtId="0" fontId="4" fillId="0" borderId="49" xfId="961" applyFont="1" applyBorder="1" applyAlignment="1">
      <alignment horizontal="center"/>
    </xf>
    <xf numFmtId="0" fontId="4" fillId="0" borderId="0" xfId="961" applyFont="1" applyAlignment="1">
      <alignment horizontal="left"/>
    </xf>
    <xf numFmtId="0" fontId="4" fillId="0" borderId="50" xfId="961" applyFont="1" applyBorder="1" applyAlignment="1">
      <alignment horizontal="center"/>
    </xf>
    <xf numFmtId="0" fontId="4" fillId="0" borderId="1" xfId="961" applyFont="1" applyBorder="1" applyAlignment="1">
      <alignment horizontal="left"/>
    </xf>
    <xf numFmtId="0" fontId="28" fillId="5" borderId="43" xfId="961" applyFont="1" applyFill="1" applyBorder="1"/>
    <xf numFmtId="0" fontId="28" fillId="5" borderId="42" xfId="961" applyFont="1" applyFill="1" applyBorder="1" applyAlignment="1">
      <alignment horizontal="center"/>
    </xf>
    <xf numFmtId="0" fontId="84" fillId="0" borderId="94" xfId="961" applyFont="1" applyBorder="1" applyAlignment="1">
      <alignment horizontal="center"/>
    </xf>
    <xf numFmtId="0" fontId="85" fillId="0" borderId="15" xfId="961" applyFont="1" applyBorder="1" applyAlignment="1">
      <alignment horizontal="center"/>
    </xf>
    <xf numFmtId="0" fontId="84" fillId="0" borderId="16" xfId="961" applyFont="1" applyBorder="1" applyAlignment="1">
      <alignment horizontal="center"/>
    </xf>
    <xf numFmtId="0" fontId="56" fillId="0" borderId="94" xfId="961" applyFont="1" applyBorder="1" applyAlignment="1">
      <alignment horizontal="center"/>
    </xf>
    <xf numFmtId="0" fontId="56" fillId="0" borderId="9" xfId="961" applyFont="1" applyBorder="1" applyAlignment="1">
      <alignment horizontal="center"/>
    </xf>
    <xf numFmtId="0" fontId="56" fillId="0" borderId="15" xfId="961" applyFont="1" applyBorder="1" applyAlignment="1">
      <alignment horizontal="center"/>
    </xf>
    <xf numFmtId="0" fontId="56" fillId="0" borderId="95" xfId="961" applyFont="1" applyBorder="1" applyAlignment="1">
      <alignment horizontal="center"/>
    </xf>
    <xf numFmtId="0" fontId="56" fillId="0" borderId="96" xfId="961" applyFont="1" applyBorder="1" applyAlignment="1">
      <alignment horizontal="center"/>
    </xf>
    <xf numFmtId="0" fontId="45" fillId="0" borderId="57" xfId="961" applyFont="1" applyBorder="1" applyAlignment="1">
      <alignment vertical="center"/>
    </xf>
    <xf numFmtId="0" fontId="65" fillId="0" borderId="0" xfId="961" applyFont="1"/>
    <xf numFmtId="0" fontId="86" fillId="0" borderId="49" xfId="961" applyFont="1" applyBorder="1" applyAlignment="1">
      <alignment horizontal="center"/>
    </xf>
    <xf numFmtId="0" fontId="90" fillId="0" borderId="0" xfId="961" applyFont="1" applyAlignment="1">
      <alignment horizontal="center"/>
    </xf>
    <xf numFmtId="0" fontId="90" fillId="0" borderId="15" xfId="961" applyFont="1" applyBorder="1" applyAlignment="1">
      <alignment horizontal="center"/>
    </xf>
    <xf numFmtId="0" fontId="86" fillId="0" borderId="50" xfId="961" applyFont="1" applyBorder="1" applyAlignment="1">
      <alignment horizontal="center"/>
    </xf>
    <xf numFmtId="0" fontId="90" fillId="0" borderId="1" xfId="961" applyFont="1" applyBorder="1" applyAlignment="1">
      <alignment horizontal="center"/>
    </xf>
    <xf numFmtId="0" fontId="90" fillId="0" borderId="9" xfId="961" applyFont="1" applyBorder="1" applyAlignment="1">
      <alignment horizontal="center"/>
    </xf>
    <xf numFmtId="0" fontId="81" fillId="0" borderId="0" xfId="961" applyFont="1" applyAlignment="1">
      <alignment horizontal="center"/>
    </xf>
    <xf numFmtId="0" fontId="81" fillId="0" borderId="1" xfId="961" applyFont="1" applyBorder="1" applyAlignment="1">
      <alignment horizontal="center"/>
    </xf>
    <xf numFmtId="0" fontId="91" fillId="5" borderId="24" xfId="0" quotePrefix="1" applyFont="1" applyFill="1" applyBorder="1" applyAlignment="1">
      <alignment horizontal="left" vertical="center"/>
    </xf>
    <xf numFmtId="0" fontId="33" fillId="2" borderId="0" xfId="0" applyFont="1" applyFill="1" applyAlignment="1">
      <alignment horizontal="center" vertical="center"/>
    </xf>
    <xf numFmtId="0" fontId="33" fillId="2" borderId="0" xfId="0" applyFont="1" applyFill="1" applyAlignment="1">
      <alignment horizontal="center" vertical="center" wrapText="1"/>
    </xf>
    <xf numFmtId="0" fontId="22" fillId="7" borderId="0" xfId="17" applyFill="1" applyAlignment="1">
      <alignment horizontal="left" vertical="center"/>
    </xf>
    <xf numFmtId="0" fontId="22" fillId="8" borderId="34" xfId="30" applyFill="1" applyBorder="1" applyAlignment="1">
      <alignment horizontal="center" vertical="center"/>
    </xf>
    <xf numFmtId="0" fontId="22" fillId="0" borderId="19" xfId="0" applyFont="1" applyBorder="1"/>
    <xf numFmtId="0" fontId="22" fillId="0" borderId="42" xfId="0" applyFont="1" applyBorder="1"/>
    <xf numFmtId="0" fontId="22" fillId="0" borderId="21" xfId="0" applyFont="1" applyBorder="1"/>
    <xf numFmtId="0" fontId="22" fillId="0" borderId="18" xfId="0" applyFont="1" applyBorder="1"/>
    <xf numFmtId="0" fontId="22" fillId="0" borderId="27" xfId="0" applyFont="1" applyBorder="1"/>
    <xf numFmtId="0" fontId="22" fillId="0" borderId="66" xfId="0" applyFont="1" applyBorder="1"/>
    <xf numFmtId="0" fontId="22" fillId="0" borderId="67" xfId="0" applyFont="1" applyBorder="1"/>
    <xf numFmtId="0" fontId="22" fillId="0" borderId="68" xfId="0" applyFont="1" applyBorder="1"/>
    <xf numFmtId="0" fontId="22" fillId="0" borderId="69" xfId="0" applyFont="1" applyBorder="1"/>
    <xf numFmtId="0" fontId="24" fillId="7" borderId="2" xfId="0" applyFont="1" applyFill="1" applyBorder="1" applyAlignment="1">
      <alignment horizontal="center" wrapText="1"/>
    </xf>
    <xf numFmtId="0" fontId="22" fillId="7" borderId="6" xfId="1" applyFill="1" applyBorder="1" applyAlignment="1">
      <alignment horizontal="center" vertical="center"/>
    </xf>
    <xf numFmtId="0" fontId="22" fillId="8" borderId="35" xfId="30" applyFill="1" applyBorder="1" applyAlignment="1" applyProtection="1">
      <alignment horizontal="right" vertical="center"/>
      <protection locked="0"/>
    </xf>
    <xf numFmtId="0" fontId="25" fillId="7" borderId="0" xfId="0" applyFont="1" applyFill="1" applyAlignment="1">
      <alignment vertical="center"/>
    </xf>
    <xf numFmtId="0" fontId="25" fillId="7" borderId="8" xfId="0" applyFont="1" applyFill="1" applyBorder="1" applyAlignment="1">
      <alignment vertical="center"/>
    </xf>
    <xf numFmtId="0" fontId="25" fillId="8" borderId="34" xfId="0" applyFont="1" applyFill="1" applyBorder="1" applyAlignment="1">
      <alignment vertical="center"/>
    </xf>
    <xf numFmtId="171" fontId="30" fillId="6" borderId="28" xfId="0" applyNumberFormat="1" applyFont="1" applyFill="1" applyBorder="1" applyAlignment="1">
      <alignment horizontal="right"/>
    </xf>
    <xf numFmtId="176" fontId="30" fillId="6" borderId="33" xfId="0" applyNumberFormat="1" applyFont="1" applyFill="1" applyBorder="1" applyAlignment="1">
      <alignment horizontal="right"/>
    </xf>
    <xf numFmtId="177" fontId="30" fillId="6" borderId="33" xfId="0" applyNumberFormat="1" applyFont="1" applyFill="1" applyBorder="1" applyAlignment="1">
      <alignment horizontal="right"/>
    </xf>
    <xf numFmtId="0" fontId="30" fillId="6" borderId="34" xfId="0" applyFont="1" applyFill="1" applyBorder="1" applyAlignment="1">
      <alignment horizontal="right"/>
    </xf>
    <xf numFmtId="178" fontId="30" fillId="6" borderId="33" xfId="0" applyNumberFormat="1" applyFont="1" applyFill="1" applyBorder="1" applyAlignment="1">
      <alignment horizontal="right"/>
    </xf>
    <xf numFmtId="0" fontId="45" fillId="0" borderId="63" xfId="961" applyFont="1" applyBorder="1"/>
    <xf numFmtId="0" fontId="22" fillId="6" borderId="36" xfId="0" applyFont="1" applyFill="1" applyBorder="1" applyAlignment="1">
      <alignment horizontal="left"/>
    </xf>
    <xf numFmtId="0" fontId="22" fillId="0" borderId="43" xfId="0" applyFont="1" applyBorder="1" applyAlignment="1">
      <alignment horizontal="left"/>
    </xf>
    <xf numFmtId="0" fontId="22" fillId="0" borderId="42" xfId="0" applyFont="1" applyBorder="1" applyAlignment="1">
      <alignment horizontal="left"/>
    </xf>
    <xf numFmtId="0" fontId="22" fillId="0" borderId="21" xfId="0" applyFont="1" applyBorder="1" applyAlignment="1">
      <alignment horizontal="left"/>
    </xf>
    <xf numFmtId="0" fontId="22" fillId="0" borderId="92" xfId="0" applyFont="1" applyBorder="1" applyAlignment="1">
      <alignment horizontal="left"/>
    </xf>
    <xf numFmtId="0" fontId="22" fillId="0" borderId="27" xfId="0" applyFont="1" applyBorder="1" applyAlignment="1">
      <alignment horizontal="left"/>
    </xf>
    <xf numFmtId="0" fontId="22" fillId="0" borderId="66" xfId="0" applyFont="1" applyBorder="1" applyAlignment="1">
      <alignment horizontal="left"/>
    </xf>
    <xf numFmtId="0" fontId="24" fillId="7" borderId="93" xfId="0" applyFont="1" applyFill="1" applyBorder="1" applyAlignment="1">
      <alignment horizontal="center"/>
    </xf>
    <xf numFmtId="0" fontId="24" fillId="7" borderId="29" xfId="0" applyFont="1" applyFill="1" applyBorder="1" applyAlignment="1">
      <alignment horizontal="center"/>
    </xf>
    <xf numFmtId="0" fontId="24" fillId="7" borderId="20" xfId="0" applyFont="1" applyFill="1" applyBorder="1" applyAlignment="1">
      <alignment horizontal="center"/>
    </xf>
    <xf numFmtId="0" fontId="22" fillId="0" borderId="85" xfId="0" applyFont="1" applyBorder="1" applyAlignment="1">
      <alignment horizontal="left"/>
    </xf>
    <xf numFmtId="0" fontId="22" fillId="0" borderId="68" xfId="0" applyFont="1" applyBorder="1" applyAlignment="1">
      <alignment horizontal="left"/>
    </xf>
    <xf numFmtId="0" fontId="22" fillId="0" borderId="69" xfId="0" applyFont="1" applyBorder="1" applyAlignment="1">
      <alignment horizontal="left"/>
    </xf>
    <xf numFmtId="0" fontId="22" fillId="7" borderId="2" xfId="1" applyFill="1" applyBorder="1" applyAlignment="1">
      <alignment horizontal="left"/>
    </xf>
    <xf numFmtId="0" fontId="22" fillId="7" borderId="7" xfId="1" applyFill="1" applyBorder="1" applyAlignment="1">
      <alignment horizontal="left"/>
    </xf>
    <xf numFmtId="0" fontId="24" fillId="7" borderId="7" xfId="0" applyFont="1" applyFill="1" applyBorder="1" applyAlignment="1">
      <alignment horizontal="center"/>
    </xf>
    <xf numFmtId="0" fontId="24" fillId="7" borderId="7" xfId="0" applyFont="1" applyFill="1" applyBorder="1" applyAlignment="1">
      <alignment horizontal="center" wrapText="1"/>
    </xf>
    <xf numFmtId="0" fontId="24" fillId="7" borderId="34" xfId="0" applyFont="1" applyFill="1" applyBorder="1" applyAlignment="1">
      <alignment horizontal="center"/>
    </xf>
    <xf numFmtId="9" fontId="22" fillId="8" borderId="23" xfId="0" quotePrefix="1" applyNumberFormat="1" applyFont="1" applyFill="1" applyBorder="1" applyAlignment="1">
      <alignment horizontal="center"/>
    </xf>
    <xf numFmtId="9" fontId="22" fillId="8" borderId="24" xfId="0" quotePrefix="1" applyNumberFormat="1" applyFont="1" applyFill="1" applyBorder="1" applyAlignment="1">
      <alignment horizontal="center"/>
    </xf>
    <xf numFmtId="9" fontId="22" fillId="8" borderId="79" xfId="0" quotePrefix="1" applyNumberFormat="1" applyFont="1" applyFill="1" applyBorder="1" applyAlignment="1">
      <alignment horizontal="center"/>
    </xf>
    <xf numFmtId="0" fontId="22" fillId="5" borderId="7" xfId="0" applyFont="1" applyFill="1" applyBorder="1" applyAlignment="1">
      <alignment horizontal="left" vertical="center"/>
    </xf>
    <xf numFmtId="0" fontId="22" fillId="0" borderId="42" xfId="0" applyFont="1" applyBorder="1" applyAlignment="1">
      <alignment wrapText="1"/>
    </xf>
    <xf numFmtId="0" fontId="85" fillId="0" borderId="95" xfId="961" applyFont="1" applyBorder="1" applyAlignment="1">
      <alignment horizontal="center"/>
    </xf>
    <xf numFmtId="0" fontId="62" fillId="7" borderId="2" xfId="0" applyFont="1" applyFill="1" applyBorder="1" applyAlignment="1">
      <alignment horizontal="center"/>
    </xf>
    <xf numFmtId="0" fontId="8" fillId="0" borderId="60" xfId="961" applyFont="1" applyBorder="1" applyAlignment="1">
      <alignment horizontal="center"/>
    </xf>
    <xf numFmtId="0" fontId="85" fillId="0" borderId="9" xfId="961" applyFont="1" applyBorder="1" applyAlignment="1">
      <alignment horizontal="center"/>
    </xf>
    <xf numFmtId="0" fontId="45" fillId="0" borderId="3" xfId="961" applyFont="1" applyBorder="1" applyAlignment="1">
      <alignment vertical="center"/>
    </xf>
    <xf numFmtId="0" fontId="45" fillId="0" borderId="3" xfId="961" applyFont="1" applyBorder="1" applyAlignment="1">
      <alignment horizontal="right" vertical="center"/>
    </xf>
    <xf numFmtId="0" fontId="13" fillId="0" borderId="63" xfId="961" applyBorder="1" applyAlignment="1">
      <alignment horizontal="center"/>
    </xf>
    <xf numFmtId="0" fontId="22" fillId="8" borderId="0" xfId="1" applyFill="1" applyAlignment="1">
      <alignment horizontal="right"/>
    </xf>
    <xf numFmtId="173" fontId="22" fillId="8" borderId="0" xfId="1" applyNumberFormat="1" applyFill="1" applyAlignment="1">
      <alignment horizontal="right"/>
    </xf>
    <xf numFmtId="173" fontId="22" fillId="8" borderId="0" xfId="0" applyNumberFormat="1" applyFont="1" applyFill="1" applyAlignment="1">
      <alignment horizontal="right"/>
    </xf>
    <xf numFmtId="165" fontId="22" fillId="8" borderId="0" xfId="1" applyNumberFormat="1" applyFill="1" applyAlignment="1">
      <alignment horizontal="right"/>
    </xf>
    <xf numFmtId="165" fontId="22" fillId="8" borderId="0" xfId="0" applyNumberFormat="1" applyFont="1" applyFill="1" applyAlignment="1">
      <alignment horizontal="right"/>
    </xf>
    <xf numFmtId="169" fontId="22" fillId="8" borderId="0" xfId="1" applyNumberFormat="1" applyFill="1"/>
    <xf numFmtId="165" fontId="22" fillId="8" borderId="24" xfId="1" applyNumberFormat="1" applyFill="1" applyBorder="1" applyAlignment="1">
      <alignment horizontal="right"/>
    </xf>
    <xf numFmtId="0" fontId="94" fillId="10" borderId="45" xfId="1" applyFont="1" applyFill="1" applyBorder="1" applyAlignment="1">
      <alignment horizontal="center"/>
    </xf>
    <xf numFmtId="0" fontId="94" fillId="10" borderId="22" xfId="1" applyFont="1" applyFill="1" applyBorder="1" applyAlignment="1">
      <alignment horizontal="center"/>
    </xf>
    <xf numFmtId="0" fontId="24" fillId="5" borderId="2" xfId="0" applyFont="1" applyFill="1" applyBorder="1" applyAlignment="1">
      <alignment vertical="center"/>
    </xf>
    <xf numFmtId="0" fontId="24" fillId="5" borderId="2" xfId="0" applyFont="1" applyFill="1" applyBorder="1" applyAlignment="1">
      <alignment horizontal="left" vertical="center"/>
    </xf>
    <xf numFmtId="0" fontId="22" fillId="0" borderId="0" xfId="0" applyFont="1" applyAlignment="1">
      <alignment horizontal="center" vertical="center"/>
    </xf>
    <xf numFmtId="0" fontId="62" fillId="0" borderId="24" xfId="0" applyFont="1" applyBorder="1" applyAlignment="1">
      <alignment horizontal="center" wrapText="1"/>
    </xf>
    <xf numFmtId="0" fontId="93" fillId="0" borderId="23" xfId="0" applyFont="1" applyBorder="1" applyAlignment="1">
      <alignment horizontal="center"/>
    </xf>
    <xf numFmtId="0" fontId="93" fillId="0" borderId="24" xfId="0" applyFont="1" applyBorder="1" applyAlignment="1">
      <alignment horizontal="center"/>
    </xf>
    <xf numFmtId="0" fontId="93" fillId="0" borderId="79" xfId="0" applyFont="1" applyBorder="1" applyAlignment="1">
      <alignment horizontal="center"/>
    </xf>
    <xf numFmtId="0" fontId="62" fillId="0" borderId="8" xfId="0" applyFont="1" applyBorder="1"/>
    <xf numFmtId="0" fontId="41" fillId="8" borderId="7" xfId="0" applyFont="1" applyFill="1" applyBorder="1" applyAlignment="1">
      <alignment horizontal="center"/>
    </xf>
    <xf numFmtId="0" fontId="41" fillId="8" borderId="8" xfId="0" applyFont="1" applyFill="1" applyBorder="1" applyAlignment="1">
      <alignment horizontal="center"/>
    </xf>
    <xf numFmtId="0" fontId="41" fillId="8" borderId="34" xfId="0" applyFont="1" applyFill="1" applyBorder="1" applyAlignment="1">
      <alignment horizontal="center"/>
    </xf>
    <xf numFmtId="0" fontId="24" fillId="3" borderId="7" xfId="0" applyFont="1" applyFill="1" applyBorder="1" applyAlignment="1">
      <alignment horizontal="center"/>
    </xf>
    <xf numFmtId="0" fontId="22" fillId="3" borderId="8" xfId="0" quotePrefix="1" applyFont="1" applyFill="1" applyBorder="1" applyAlignment="1">
      <alignment horizontal="center"/>
    </xf>
    <xf numFmtId="0" fontId="24" fillId="8" borderId="8" xfId="0" quotePrefix="1" applyFont="1" applyFill="1" applyBorder="1" applyAlignment="1">
      <alignment horizontal="center"/>
    </xf>
    <xf numFmtId="0" fontId="24" fillId="8" borderId="8" xfId="0" applyFont="1" applyFill="1" applyBorder="1" applyAlignment="1">
      <alignment horizontal="center"/>
    </xf>
    <xf numFmtId="0" fontId="24" fillId="3" borderId="34" xfId="0" applyFont="1" applyFill="1" applyBorder="1" applyAlignment="1">
      <alignment horizontal="center"/>
    </xf>
    <xf numFmtId="0" fontId="25" fillId="7" borderId="2" xfId="0" applyFont="1" applyFill="1" applyBorder="1" applyAlignment="1">
      <alignment horizontal="left" vertical="center"/>
    </xf>
    <xf numFmtId="0" fontId="92" fillId="7" borderId="7" xfId="0" applyFont="1" applyFill="1" applyBorder="1" applyAlignment="1">
      <alignment vertical="center"/>
    </xf>
    <xf numFmtId="0" fontId="96" fillId="0" borderId="51" xfId="0" quotePrefix="1" applyFont="1" applyBorder="1" applyAlignment="1">
      <alignment horizontal="center"/>
    </xf>
    <xf numFmtId="0" fontId="97" fillId="0" borderId="15" xfId="961" applyFont="1" applyBorder="1" applyAlignment="1">
      <alignment horizontal="center"/>
    </xf>
    <xf numFmtId="0" fontId="97" fillId="0" borderId="0" xfId="961" applyFont="1" applyAlignment="1">
      <alignment horizontal="center"/>
    </xf>
    <xf numFmtId="0" fontId="97" fillId="0" borderId="8" xfId="961" applyFont="1" applyBorder="1" applyAlignment="1">
      <alignment horizontal="center"/>
    </xf>
    <xf numFmtId="0" fontId="98" fillId="0" borderId="0" xfId="961" applyFont="1" applyAlignment="1">
      <alignment horizontal="center"/>
    </xf>
    <xf numFmtId="0" fontId="99" fillId="0" borderId="0" xfId="961" applyFont="1" applyAlignment="1">
      <alignment horizontal="center"/>
    </xf>
    <xf numFmtId="0" fontId="98" fillId="0" borderId="0" xfId="961" quotePrefix="1" applyFont="1" applyAlignment="1">
      <alignment horizontal="center"/>
    </xf>
    <xf numFmtId="0" fontId="99" fillId="0" borderId="60" xfId="961" applyFont="1" applyBorder="1" applyAlignment="1">
      <alignment horizontal="center"/>
    </xf>
    <xf numFmtId="0" fontId="98" fillId="0" borderId="1" xfId="961" applyFont="1" applyBorder="1" applyAlignment="1">
      <alignment horizontal="center"/>
    </xf>
    <xf numFmtId="0" fontId="98" fillId="0" borderId="61" xfId="961" applyFont="1" applyBorder="1" applyAlignment="1">
      <alignment horizontal="center"/>
    </xf>
    <xf numFmtId="0" fontId="98" fillId="0" borderId="0" xfId="961" applyFont="1" applyAlignment="1">
      <alignment horizontal="right"/>
    </xf>
    <xf numFmtId="0" fontId="98" fillId="0" borderId="15" xfId="961" applyFont="1" applyBorder="1" applyAlignment="1">
      <alignment horizontal="center"/>
    </xf>
    <xf numFmtId="0" fontId="98" fillId="0" borderId="1" xfId="961" applyFont="1" applyBorder="1" applyAlignment="1">
      <alignment horizontal="right"/>
    </xf>
    <xf numFmtId="0" fontId="98" fillId="0" borderId="9" xfId="961" applyFont="1" applyBorder="1" applyAlignment="1">
      <alignment horizontal="center"/>
    </xf>
    <xf numFmtId="0" fontId="98" fillId="0" borderId="0" xfId="961" applyFont="1" applyAlignment="1">
      <alignment horizontal="right" vertical="center"/>
    </xf>
    <xf numFmtId="0" fontId="100" fillId="0" borderId="15" xfId="961" applyFont="1" applyBorder="1" applyAlignment="1">
      <alignment horizontal="center"/>
    </xf>
    <xf numFmtId="0" fontId="101" fillId="0" borderId="1" xfId="961" applyFont="1" applyBorder="1" applyAlignment="1">
      <alignment horizontal="center"/>
    </xf>
    <xf numFmtId="0" fontId="102" fillId="0" borderId="10" xfId="0" applyFont="1" applyBorder="1" applyAlignment="1">
      <alignment horizontal="center"/>
    </xf>
    <xf numFmtId="0" fontId="102" fillId="9" borderId="21" xfId="0" applyFont="1" applyFill="1" applyBorder="1" applyAlignment="1">
      <alignment horizontal="center"/>
    </xf>
    <xf numFmtId="0" fontId="43" fillId="0" borderId="4" xfId="963" applyFont="1" applyBorder="1" applyAlignment="1">
      <alignment horizontal="center"/>
    </xf>
    <xf numFmtId="0" fontId="79" fillId="6" borderId="0" xfId="0" applyFont="1" applyFill="1" applyAlignment="1">
      <alignment horizontal="center"/>
    </xf>
    <xf numFmtId="0" fontId="26" fillId="7" borderId="97" xfId="0" applyFont="1" applyFill="1" applyBorder="1" applyAlignment="1">
      <alignment horizontal="center" vertical="center"/>
    </xf>
    <xf numFmtId="0" fontId="26" fillId="7" borderId="71" xfId="0" applyFont="1" applyFill="1" applyBorder="1" applyAlignment="1">
      <alignment horizontal="center" vertical="center"/>
    </xf>
    <xf numFmtId="0" fontId="42" fillId="9" borderId="73" xfId="0" quotePrefix="1" applyFont="1" applyFill="1" applyBorder="1" applyAlignment="1">
      <alignment horizontal="center"/>
    </xf>
    <xf numFmtId="0" fontId="29" fillId="0" borderId="56" xfId="0" applyFont="1" applyBorder="1" applyAlignment="1">
      <alignment horizontal="center"/>
    </xf>
    <xf numFmtId="0" fontId="3" fillId="0" borderId="0" xfId="961" applyFont="1"/>
    <xf numFmtId="0" fontId="104" fillId="0" borderId="0" xfId="961" applyFont="1" applyAlignment="1">
      <alignment horizontal="center"/>
    </xf>
    <xf numFmtId="0" fontId="24" fillId="9" borderId="75" xfId="0" quotePrefix="1" applyFont="1" applyFill="1" applyBorder="1" applyAlignment="1">
      <alignment horizontal="center" vertical="center"/>
    </xf>
    <xf numFmtId="0" fontId="99" fillId="0" borderId="0" xfId="961" applyFont="1" applyAlignment="1">
      <alignment vertical="center"/>
    </xf>
    <xf numFmtId="0" fontId="99" fillId="0" borderId="0" xfId="961" applyFont="1" applyAlignment="1">
      <alignment horizontal="right" vertical="center"/>
    </xf>
    <xf numFmtId="0" fontId="99" fillId="0" borderId="3" xfId="961" applyFont="1" applyBorder="1" applyAlignment="1">
      <alignment horizontal="center" vertical="center"/>
    </xf>
    <xf numFmtId="0" fontId="99" fillId="0" borderId="16" xfId="961" applyFont="1" applyBorder="1" applyAlignment="1">
      <alignment horizontal="center"/>
    </xf>
    <xf numFmtId="0" fontId="99" fillId="0" borderId="3" xfId="961" applyFont="1" applyBorder="1" applyAlignment="1">
      <alignment horizontal="center"/>
    </xf>
    <xf numFmtId="0" fontId="99" fillId="0" borderId="56" xfId="961" applyFont="1" applyBorder="1" applyAlignment="1">
      <alignment horizontal="center"/>
    </xf>
    <xf numFmtId="0" fontId="99" fillId="0" borderId="63" xfId="961" applyFont="1" applyBorder="1"/>
    <xf numFmtId="0" fontId="98" fillId="0" borderId="0" xfId="961" applyFont="1" applyAlignment="1">
      <alignment vertical="center"/>
    </xf>
    <xf numFmtId="0" fontId="99" fillId="0" borderId="51" xfId="961" applyFont="1" applyBorder="1" applyAlignment="1">
      <alignment horizontal="center"/>
    </xf>
    <xf numFmtId="0" fontId="98" fillId="0" borderId="60" xfId="961" applyFont="1" applyBorder="1"/>
    <xf numFmtId="0" fontId="98" fillId="0" borderId="1" xfId="961" applyFont="1" applyBorder="1" applyAlignment="1">
      <alignment vertical="center"/>
    </xf>
    <xf numFmtId="0" fontId="98" fillId="0" borderId="1" xfId="961" applyFont="1" applyBorder="1" applyAlignment="1">
      <alignment horizontal="right" vertical="center"/>
    </xf>
    <xf numFmtId="0" fontId="101" fillId="0" borderId="0" xfId="961" applyFont="1" applyAlignment="1">
      <alignment horizontal="right" vertical="center"/>
    </xf>
    <xf numFmtId="0" fontId="98" fillId="0" borderId="61" xfId="961" applyFont="1" applyBorder="1"/>
    <xf numFmtId="0" fontId="2" fillId="0" borderId="0" xfId="961" applyFont="1"/>
    <xf numFmtId="0" fontId="24" fillId="9" borderId="89" xfId="0" quotePrefix="1" applyFont="1" applyFill="1" applyBorder="1" applyAlignment="1">
      <alignment horizontal="center" vertical="center"/>
    </xf>
    <xf numFmtId="0" fontId="24" fillId="9" borderId="90" xfId="0" quotePrefix="1" applyFont="1" applyFill="1" applyBorder="1" applyAlignment="1">
      <alignment horizontal="center" vertical="center"/>
    </xf>
    <xf numFmtId="0" fontId="24" fillId="9" borderId="100" xfId="0" quotePrefix="1" applyFont="1" applyFill="1" applyBorder="1" applyAlignment="1">
      <alignment horizontal="center" vertical="center"/>
    </xf>
    <xf numFmtId="0" fontId="24" fillId="9" borderId="101" xfId="0" quotePrefix="1" applyFont="1" applyFill="1" applyBorder="1" applyAlignment="1">
      <alignment horizontal="center" vertical="center"/>
    </xf>
    <xf numFmtId="0" fontId="33" fillId="6" borderId="42" xfId="0" applyFont="1" applyFill="1" applyBorder="1" applyAlignment="1">
      <alignment horizontal="center"/>
    </xf>
    <xf numFmtId="0" fontId="105" fillId="0" borderId="0" xfId="0" applyFont="1"/>
    <xf numFmtId="0" fontId="13" fillId="0" borderId="0" xfId="961" applyProtection="1">
      <protection hidden="1"/>
    </xf>
    <xf numFmtId="0" fontId="28" fillId="0" borderId="0" xfId="961" applyFont="1" applyProtection="1">
      <protection hidden="1"/>
    </xf>
    <xf numFmtId="0" fontId="51" fillId="0" borderId="0" xfId="961" applyFont="1" applyAlignment="1" applyProtection="1">
      <alignment vertical="center"/>
      <protection hidden="1"/>
    </xf>
    <xf numFmtId="0" fontId="13" fillId="0" borderId="0" xfId="961" applyAlignment="1" applyProtection="1">
      <alignment vertical="top"/>
      <protection hidden="1"/>
    </xf>
    <xf numFmtId="0" fontId="13" fillId="0" borderId="0" xfId="961" applyAlignment="1" applyProtection="1">
      <alignment vertical="center"/>
      <protection hidden="1"/>
    </xf>
    <xf numFmtId="0" fontId="38" fillId="6" borderId="0" xfId="0" applyFont="1" applyFill="1"/>
    <xf numFmtId="0" fontId="106" fillId="6" borderId="0" xfId="0" applyFont="1" applyFill="1"/>
    <xf numFmtId="0" fontId="44" fillId="6" borderId="0" xfId="0" applyFont="1" applyFill="1" applyAlignment="1">
      <alignment horizontal="center"/>
    </xf>
    <xf numFmtId="0" fontId="44" fillId="6" borderId="102" xfId="0" applyFont="1" applyFill="1" applyBorder="1" applyAlignment="1">
      <alignment horizontal="center"/>
    </xf>
    <xf numFmtId="0" fontId="44" fillId="6" borderId="8" xfId="0" applyFont="1" applyFill="1" applyBorder="1" applyAlignment="1">
      <alignment horizontal="center"/>
    </xf>
    <xf numFmtId="0" fontId="37" fillId="6" borderId="0" xfId="0" quotePrefix="1" applyFont="1" applyFill="1"/>
    <xf numFmtId="0" fontId="95" fillId="8" borderId="36" xfId="0" applyFont="1" applyFill="1" applyBorder="1" applyAlignment="1">
      <alignment horizontal="right"/>
    </xf>
    <xf numFmtId="0" fontId="95" fillId="8" borderId="36" xfId="0" applyFont="1" applyFill="1" applyBorder="1" applyAlignment="1">
      <alignment horizontal="right" vertical="center"/>
    </xf>
    <xf numFmtId="0" fontId="107" fillId="0" borderId="0" xfId="961" applyFont="1" applyAlignment="1">
      <alignment horizontal="center"/>
    </xf>
    <xf numFmtId="0" fontId="108" fillId="0" borderId="0" xfId="961" applyFont="1" applyAlignment="1">
      <alignment horizontal="center"/>
    </xf>
    <xf numFmtId="0" fontId="109" fillId="0" borderId="16" xfId="961" applyFont="1" applyBorder="1" applyAlignment="1">
      <alignment horizontal="center"/>
    </xf>
    <xf numFmtId="0" fontId="1" fillId="0" borderId="61" xfId="961" applyFont="1" applyBorder="1" applyAlignment="1">
      <alignment horizontal="center"/>
    </xf>
    <xf numFmtId="0" fontId="110" fillId="0" borderId="15" xfId="961" applyFont="1" applyBorder="1" applyAlignment="1">
      <alignment horizontal="center"/>
    </xf>
    <xf numFmtId="0" fontId="97" fillId="0" borderId="0" xfId="961" quotePrefix="1" applyFont="1" applyAlignment="1">
      <alignment horizontal="center"/>
    </xf>
    <xf numFmtId="0" fontId="109" fillId="0" borderId="15" xfId="961" applyFont="1" applyBorder="1" applyAlignment="1">
      <alignment horizontal="center"/>
    </xf>
    <xf numFmtId="0" fontId="53" fillId="0" borderId="60" xfId="961" applyFont="1" applyBorder="1" applyAlignment="1">
      <alignment horizontal="center"/>
    </xf>
    <xf numFmtId="0" fontId="85" fillId="0" borderId="56" xfId="961" quotePrefix="1" applyFont="1" applyBorder="1" applyAlignment="1">
      <alignment horizontal="center"/>
    </xf>
    <xf numFmtId="0" fontId="3" fillId="0" borderId="56" xfId="961" applyFont="1" applyBorder="1" applyAlignment="1">
      <alignment horizontal="center"/>
    </xf>
    <xf numFmtId="0" fontId="85" fillId="0" borderId="35" xfId="961" applyFont="1" applyBorder="1" applyAlignment="1">
      <alignment horizontal="center"/>
    </xf>
    <xf numFmtId="0" fontId="13" fillId="0" borderId="48" xfId="961" applyBorder="1" applyAlignment="1">
      <alignment horizontal="center"/>
    </xf>
    <xf numFmtId="0" fontId="81" fillId="0" borderId="3" xfId="961" applyFont="1" applyBorder="1" applyAlignment="1">
      <alignment horizontal="center"/>
    </xf>
    <xf numFmtId="0" fontId="5" fillId="0" borderId="16" xfId="961" quotePrefix="1" applyFont="1" applyBorder="1" applyAlignment="1">
      <alignment horizontal="center"/>
    </xf>
    <xf numFmtId="0" fontId="81" fillId="0" borderId="16" xfId="961" applyFont="1" applyBorder="1" applyAlignment="1">
      <alignment horizontal="center"/>
    </xf>
    <xf numFmtId="0" fontId="81" fillId="0" borderId="15" xfId="961" applyFont="1" applyBorder="1" applyAlignment="1">
      <alignment horizontal="center"/>
    </xf>
    <xf numFmtId="0" fontId="81" fillId="0" borderId="9" xfId="961" applyFont="1" applyBorder="1" applyAlignment="1">
      <alignment horizontal="center"/>
    </xf>
    <xf numFmtId="0" fontId="37" fillId="7" borderId="0" xfId="0" applyFont="1" applyFill="1"/>
    <xf numFmtId="0" fontId="37" fillId="7" borderId="15" xfId="0" applyFont="1" applyFill="1" applyBorder="1"/>
    <xf numFmtId="0" fontId="22" fillId="8" borderId="17" xfId="0" applyFont="1" applyFill="1" applyBorder="1" applyAlignment="1">
      <alignment horizontal="center" vertical="center"/>
    </xf>
    <xf numFmtId="0" fontId="22" fillId="8" borderId="29" xfId="0" applyFont="1" applyFill="1" applyBorder="1" applyAlignment="1">
      <alignment horizontal="center" vertical="center"/>
    </xf>
    <xf numFmtId="0" fontId="22" fillId="8" borderId="30" xfId="0" applyFont="1" applyFill="1" applyBorder="1" applyAlignment="1">
      <alignment horizontal="center" vertical="center"/>
    </xf>
    <xf numFmtId="0" fontId="112" fillId="19" borderId="0" xfId="80" applyFont="1" applyFill="1" applyAlignment="1">
      <alignment vertical="center" wrapText="1"/>
    </xf>
    <xf numFmtId="0" fontId="112" fillId="0" borderId="0" xfId="80" applyFont="1" applyAlignment="1">
      <alignment vertical="center" wrapText="1"/>
    </xf>
    <xf numFmtId="0" fontId="22" fillId="0" borderId="0" xfId="80"/>
    <xf numFmtId="0" fontId="113" fillId="17" borderId="7" xfId="80" applyFont="1" applyFill="1" applyBorder="1" applyAlignment="1">
      <alignment vertical="center" wrapText="1"/>
    </xf>
    <xf numFmtId="0" fontId="114" fillId="18" borderId="34" xfId="80" applyFont="1" applyFill="1" applyBorder="1" applyAlignment="1">
      <alignment horizontal="center" vertical="center" wrapText="1"/>
    </xf>
    <xf numFmtId="0" fontId="113" fillId="17" borderId="8" xfId="80" applyFont="1" applyFill="1" applyBorder="1" applyAlignment="1">
      <alignment vertical="center" wrapText="1"/>
    </xf>
    <xf numFmtId="0" fontId="113" fillId="18" borderId="34" xfId="80" applyFont="1" applyFill="1" applyBorder="1" applyAlignment="1">
      <alignment horizontal="center" vertical="center"/>
    </xf>
    <xf numFmtId="0" fontId="113" fillId="17" borderId="2" xfId="80" applyFont="1" applyFill="1" applyBorder="1" applyAlignment="1">
      <alignment vertical="center" wrapText="1"/>
    </xf>
    <xf numFmtId="0" fontId="114" fillId="18" borderId="36" xfId="80" applyFont="1" applyFill="1" applyBorder="1" applyAlignment="1">
      <alignment horizontal="center" vertical="center" wrapText="1"/>
    </xf>
    <xf numFmtId="0" fontId="113" fillId="17" borderId="6" xfId="80" applyFont="1" applyFill="1" applyBorder="1" applyAlignment="1">
      <alignment vertical="center" wrapText="1"/>
    </xf>
    <xf numFmtId="0" fontId="114" fillId="18" borderId="35" xfId="80" applyFont="1" applyFill="1" applyBorder="1" applyAlignment="1">
      <alignment horizontal="center" vertical="center" wrapText="1"/>
    </xf>
    <xf numFmtId="0" fontId="113" fillId="17" borderId="30" xfId="80" applyFont="1" applyFill="1" applyBorder="1" applyAlignment="1">
      <alignment horizontal="center" vertical="center" wrapText="1"/>
    </xf>
    <xf numFmtId="0" fontId="112" fillId="20" borderId="23" xfId="80" applyFont="1" applyFill="1" applyBorder="1" applyAlignment="1">
      <alignment vertical="center" wrapText="1"/>
    </xf>
    <xf numFmtId="0" fontId="112" fillId="20" borderId="24" xfId="80" applyFont="1" applyFill="1" applyBorder="1" applyAlignment="1">
      <alignment vertical="center" wrapText="1"/>
    </xf>
    <xf numFmtId="0" fontId="112" fillId="20" borderId="79" xfId="80" applyFont="1" applyFill="1" applyBorder="1" applyAlignment="1">
      <alignment vertical="center" wrapText="1"/>
    </xf>
    <xf numFmtId="0" fontId="112" fillId="19" borderId="0" xfId="80" applyFont="1" applyFill="1" applyAlignment="1">
      <alignment horizontal="center" vertical="center" wrapText="1"/>
    </xf>
    <xf numFmtId="0" fontId="112" fillId="0" borderId="0" xfId="80" applyFont="1" applyAlignment="1">
      <alignment horizontal="center" vertical="center" wrapText="1"/>
    </xf>
    <xf numFmtId="0" fontId="111" fillId="0" borderId="8" xfId="80" applyFont="1" applyBorder="1" applyAlignment="1">
      <alignment horizontal="left" vertical="center"/>
    </xf>
    <xf numFmtId="0" fontId="112" fillId="0" borderId="0" xfId="80" applyFont="1" applyAlignment="1">
      <alignment vertical="center"/>
    </xf>
    <xf numFmtId="0" fontId="111" fillId="0" borderId="0" xfId="80" applyFont="1" applyAlignment="1">
      <alignment horizontal="left" vertical="center"/>
    </xf>
    <xf numFmtId="0" fontId="112" fillId="0" borderId="0" xfId="80" applyFont="1" applyAlignment="1">
      <alignment horizontal="center" vertical="center"/>
    </xf>
    <xf numFmtId="0" fontId="113" fillId="17" borderId="17" xfId="80" applyFont="1" applyFill="1" applyBorder="1" applyAlignment="1">
      <alignment vertical="center" wrapText="1"/>
    </xf>
    <xf numFmtId="0" fontId="114" fillId="18" borderId="30" xfId="80" applyFont="1" applyFill="1" applyBorder="1" applyAlignment="1">
      <alignment horizontal="center" vertical="center" wrapText="1"/>
    </xf>
    <xf numFmtId="0" fontId="113" fillId="17" borderId="29" xfId="80" applyFont="1" applyFill="1" applyBorder="1" applyAlignment="1">
      <alignment vertical="center" wrapText="1"/>
    </xf>
    <xf numFmtId="0" fontId="116" fillId="0" borderId="0" xfId="80" applyFont="1" applyAlignment="1">
      <alignment wrapText="1"/>
    </xf>
    <xf numFmtId="0" fontId="113" fillId="17" borderId="22" xfId="80" applyFont="1" applyFill="1" applyBorder="1" applyAlignment="1">
      <alignment horizontal="center" vertical="center" wrapText="1"/>
    </xf>
    <xf numFmtId="0" fontId="113" fillId="21" borderId="35" xfId="80" applyFont="1" applyFill="1" applyBorder="1" applyAlignment="1">
      <alignment horizontal="center" vertical="center" wrapText="1"/>
    </xf>
    <xf numFmtId="0" fontId="116" fillId="0" borderId="0" xfId="80" applyFont="1" applyAlignment="1">
      <alignment vertical="center" wrapText="1"/>
    </xf>
    <xf numFmtId="0" fontId="114" fillId="21" borderId="36" xfId="80" applyFont="1" applyFill="1" applyBorder="1" applyAlignment="1">
      <alignment horizontal="center" vertical="center" wrapText="1"/>
    </xf>
    <xf numFmtId="0" fontId="115" fillId="21" borderId="34" xfId="80" applyFont="1" applyFill="1" applyBorder="1" applyAlignment="1">
      <alignment horizontal="center" vertical="center" wrapText="1"/>
    </xf>
    <xf numFmtId="0" fontId="118" fillId="0" borderId="0" xfId="80" applyFont="1" applyAlignment="1">
      <alignment vertical="center" wrapText="1"/>
    </xf>
    <xf numFmtId="0" fontId="113" fillId="23" borderId="35" xfId="80" applyFont="1" applyFill="1" applyBorder="1" applyAlignment="1">
      <alignment horizontal="center" vertical="center" wrapText="1"/>
    </xf>
    <xf numFmtId="0" fontId="113" fillId="23" borderId="36" xfId="80" applyFont="1" applyFill="1" applyBorder="1" applyAlignment="1">
      <alignment horizontal="center" vertical="center" wrapText="1"/>
    </xf>
    <xf numFmtId="0" fontId="113" fillId="22" borderId="36" xfId="80" applyFont="1" applyFill="1" applyBorder="1" applyAlignment="1">
      <alignment horizontal="center" vertical="center" wrapText="1"/>
    </xf>
    <xf numFmtId="0" fontId="114" fillId="23" borderId="36" xfId="80" applyFont="1" applyFill="1" applyBorder="1" applyAlignment="1">
      <alignment horizontal="center" vertical="center" wrapText="1"/>
    </xf>
    <xf numFmtId="0" fontId="114" fillId="22" borderId="36" xfId="80" applyFont="1" applyFill="1" applyBorder="1" applyAlignment="1">
      <alignment horizontal="center" vertical="center" wrapText="1"/>
    </xf>
    <xf numFmtId="0" fontId="115" fillId="23" borderId="34" xfId="80" applyFont="1" applyFill="1" applyBorder="1" applyAlignment="1">
      <alignment horizontal="center" vertical="center" wrapText="1"/>
    </xf>
    <xf numFmtId="0" fontId="115" fillId="22" borderId="34" xfId="80" applyFont="1" applyFill="1" applyBorder="1" applyAlignment="1">
      <alignment horizontal="center" vertical="center" wrapText="1"/>
    </xf>
    <xf numFmtId="0" fontId="113" fillId="21" borderId="36" xfId="80" applyFont="1" applyFill="1" applyBorder="1" applyAlignment="1">
      <alignment horizontal="center" vertical="center" wrapText="1"/>
    </xf>
    <xf numFmtId="0" fontId="113" fillId="24" borderId="36" xfId="80" applyFont="1" applyFill="1" applyBorder="1" applyAlignment="1">
      <alignment horizontal="center" vertical="center" wrapText="1"/>
    </xf>
    <xf numFmtId="0" fontId="114" fillId="24" borderId="36" xfId="80" applyFont="1" applyFill="1" applyBorder="1" applyAlignment="1">
      <alignment horizontal="center" vertical="center" wrapText="1"/>
    </xf>
    <xf numFmtId="0" fontId="115" fillId="24" borderId="34" xfId="80" applyFont="1" applyFill="1" applyBorder="1" applyAlignment="1">
      <alignment horizontal="center" vertical="center" wrapText="1"/>
    </xf>
    <xf numFmtId="0" fontId="113" fillId="22" borderId="35" xfId="80" applyFont="1" applyFill="1" applyBorder="1" applyAlignment="1">
      <alignment horizontal="center" vertical="center" wrapText="1"/>
    </xf>
    <xf numFmtId="0" fontId="114" fillId="25" borderId="36" xfId="80" applyFont="1" applyFill="1" applyBorder="1" applyAlignment="1">
      <alignment horizontal="center" vertical="center" wrapText="1"/>
    </xf>
    <xf numFmtId="0" fontId="113" fillId="25" borderId="0" xfId="80" applyFont="1" applyFill="1" applyAlignment="1">
      <alignment horizontal="center" vertical="center" wrapText="1"/>
    </xf>
    <xf numFmtId="0" fontId="115" fillId="21" borderId="0" xfId="80" applyFont="1" applyFill="1" applyAlignment="1">
      <alignment horizontal="center" vertical="center" wrapText="1"/>
    </xf>
    <xf numFmtId="0" fontId="113" fillId="0" borderId="0" xfId="80" applyFont="1" applyAlignment="1">
      <alignment horizontal="center" vertical="center" wrapText="1"/>
    </xf>
    <xf numFmtId="0" fontId="115" fillId="0" borderId="0" xfId="80" applyFont="1" applyAlignment="1">
      <alignment horizontal="center" vertical="center" wrapText="1"/>
    </xf>
    <xf numFmtId="0" fontId="115" fillId="26" borderId="0" xfId="80" applyFont="1" applyFill="1" applyAlignment="1">
      <alignment horizontal="center" vertical="center" wrapText="1"/>
    </xf>
    <xf numFmtId="0" fontId="119" fillId="0" borderId="0" xfId="80" applyFont="1" applyAlignment="1">
      <alignment horizontal="center" vertical="center" wrapText="1"/>
    </xf>
    <xf numFmtId="0" fontId="117" fillId="17" borderId="103" xfId="80" applyFont="1" applyFill="1" applyBorder="1" applyAlignment="1">
      <alignment horizontal="center" vertical="center" wrapText="1"/>
    </xf>
    <xf numFmtId="0" fontId="113" fillId="17" borderId="103" xfId="80" applyFont="1" applyFill="1" applyBorder="1" applyAlignment="1">
      <alignment horizontal="center" vertical="center" wrapText="1"/>
    </xf>
    <xf numFmtId="0" fontId="22" fillId="8" borderId="0" xfId="0" applyFont="1" applyFill="1" applyAlignment="1">
      <alignment horizontal="right"/>
    </xf>
    <xf numFmtId="0" fontId="22" fillId="8" borderId="0" xfId="1" applyFill="1" applyAlignment="1">
      <alignment horizontal="right" vertical="center"/>
    </xf>
    <xf numFmtId="0" fontId="22" fillId="8" borderId="0" xfId="30" applyFill="1" applyAlignment="1">
      <alignment horizontal="right" vertical="center"/>
    </xf>
    <xf numFmtId="0" fontId="38" fillId="10" borderId="0" xfId="1" applyFont="1" applyFill="1" applyAlignment="1">
      <alignment horizontal="center"/>
    </xf>
    <xf numFmtId="165" fontId="22" fillId="28" borderId="0" xfId="1" applyNumberFormat="1" applyFill="1" applyAlignment="1">
      <alignment horizontal="right"/>
    </xf>
    <xf numFmtId="0" fontId="22" fillId="28" borderId="0" xfId="1" quotePrefix="1" applyFill="1" applyAlignment="1">
      <alignment horizontal="right"/>
    </xf>
    <xf numFmtId="166" fontId="22" fillId="28" borderId="0" xfId="0" applyNumberFormat="1" applyFont="1" applyFill="1" applyAlignment="1">
      <alignment horizontal="right"/>
    </xf>
    <xf numFmtId="0" fontId="38" fillId="28" borderId="0" xfId="0" applyFont="1" applyFill="1" applyAlignment="1">
      <alignment horizontal="center" vertical="center"/>
    </xf>
    <xf numFmtId="0" fontId="22" fillId="28" borderId="8" xfId="0" applyFont="1" applyFill="1" applyBorder="1" applyAlignment="1">
      <alignment horizontal="center" vertical="center"/>
    </xf>
    <xf numFmtId="165" fontId="22" fillId="8" borderId="35" xfId="1" applyNumberFormat="1" applyFill="1" applyBorder="1" applyAlignment="1">
      <alignment horizontal="right"/>
    </xf>
    <xf numFmtId="0" fontId="22" fillId="8" borderId="36" xfId="1" quotePrefix="1" applyFill="1" applyBorder="1" applyAlignment="1">
      <alignment horizontal="right"/>
    </xf>
    <xf numFmtId="166" fontId="22" fillId="8" borderId="34" xfId="0" applyNumberFormat="1" applyFont="1" applyFill="1" applyBorder="1" applyAlignment="1">
      <alignment horizontal="right"/>
    </xf>
    <xf numFmtId="0" fontId="90" fillId="0" borderId="3" xfId="961" applyFont="1" applyBorder="1" applyAlignment="1">
      <alignment horizontal="center"/>
    </xf>
    <xf numFmtId="0" fontId="90" fillId="0" borderId="16" xfId="961" applyFont="1" applyBorder="1" applyAlignment="1">
      <alignment horizontal="center"/>
    </xf>
    <xf numFmtId="0" fontId="99" fillId="0" borderId="10" xfId="961" applyFont="1" applyBorder="1" applyAlignment="1">
      <alignment horizontal="center"/>
    </xf>
    <xf numFmtId="0" fontId="25" fillId="5" borderId="0" xfId="0" applyFont="1" applyFill="1" applyAlignment="1">
      <alignment horizontal="left" vertical="center"/>
    </xf>
    <xf numFmtId="0" fontId="22" fillId="5" borderId="6" xfId="0" applyFont="1" applyFill="1" applyBorder="1" applyAlignment="1">
      <alignment horizontal="center" vertical="center"/>
    </xf>
    <xf numFmtId="0" fontId="25" fillId="5" borderId="2" xfId="0" applyFont="1" applyFill="1" applyBorder="1" applyAlignment="1">
      <alignment horizontal="left" vertical="center"/>
    </xf>
    <xf numFmtId="0" fontId="22" fillId="5" borderId="7" xfId="0" applyFont="1" applyFill="1" applyBorder="1" applyAlignment="1">
      <alignment horizontal="center" vertical="center"/>
    </xf>
    <xf numFmtId="9" fontId="22" fillId="8" borderId="36" xfId="0" applyNumberFormat="1" applyFont="1" applyFill="1" applyBorder="1" applyAlignment="1">
      <alignment horizontal="right"/>
    </xf>
    <xf numFmtId="9" fontId="22" fillId="8" borderId="34" xfId="0" applyNumberFormat="1" applyFont="1" applyFill="1" applyBorder="1" applyAlignment="1">
      <alignment horizontal="right"/>
    </xf>
    <xf numFmtId="0" fontId="23" fillId="9" borderId="104" xfId="0" applyFont="1" applyFill="1" applyBorder="1" applyAlignment="1">
      <alignment horizontal="center" vertical="center"/>
    </xf>
    <xf numFmtId="0" fontId="34" fillId="9" borderId="87" xfId="0" quotePrefix="1" applyFont="1" applyFill="1" applyBorder="1" applyAlignment="1">
      <alignment horizontal="center"/>
    </xf>
    <xf numFmtId="0" fontId="42" fillId="9" borderId="66" xfId="0" quotePrefix="1" applyFont="1" applyFill="1" applyBorder="1" applyAlignment="1">
      <alignment horizontal="center"/>
    </xf>
    <xf numFmtId="0" fontId="42" fillId="9" borderId="69" xfId="0" quotePrefix="1" applyFont="1" applyFill="1" applyBorder="1" applyAlignment="1">
      <alignment horizontal="center"/>
    </xf>
    <xf numFmtId="0" fontId="23" fillId="9" borderId="105" xfId="0" applyFont="1" applyFill="1" applyBorder="1" applyAlignment="1">
      <alignment horizontal="center" vertical="center"/>
    </xf>
    <xf numFmtId="0" fontId="34" fillId="9" borderId="84" xfId="0" quotePrefix="1" applyFont="1" applyFill="1" applyBorder="1" applyAlignment="1">
      <alignment horizontal="center"/>
    </xf>
    <xf numFmtId="0" fontId="22" fillId="8" borderId="35" xfId="30" quotePrefix="1" applyFill="1" applyBorder="1" applyAlignment="1" applyProtection="1">
      <alignment horizontal="right" vertical="center"/>
      <protection locked="0"/>
    </xf>
    <xf numFmtId="0" fontId="120" fillId="0" borderId="0" xfId="0" applyFont="1"/>
    <xf numFmtId="0" fontId="22" fillId="29" borderId="0" xfId="0" quotePrefix="1" applyFont="1" applyFill="1" applyAlignment="1">
      <alignment horizontal="center"/>
    </xf>
    <xf numFmtId="0" fontId="115" fillId="22" borderId="0" xfId="80" applyFont="1" applyFill="1" applyAlignment="1">
      <alignment horizontal="center" vertical="center" wrapText="1"/>
    </xf>
    <xf numFmtId="0" fontId="115" fillId="23" borderId="0" xfId="80" applyFont="1" applyFill="1" applyAlignment="1">
      <alignment horizontal="center" vertical="center" wrapText="1"/>
    </xf>
    <xf numFmtId="0" fontId="121" fillId="22" borderId="0" xfId="80" applyFont="1" applyFill="1" applyAlignment="1">
      <alignment horizontal="center" vertical="center" wrapText="1"/>
    </xf>
    <xf numFmtId="0" fontId="38" fillId="10" borderId="44" xfId="1" applyFont="1" applyFill="1" applyBorder="1" applyAlignment="1">
      <alignment horizontal="center"/>
    </xf>
    <xf numFmtId="0" fontId="38" fillId="10" borderId="45" xfId="1" applyFont="1" applyFill="1" applyBorder="1" applyAlignment="1">
      <alignment horizontal="center"/>
    </xf>
    <xf numFmtId="0" fontId="38" fillId="10" borderId="46" xfId="1" applyFont="1" applyFill="1" applyBorder="1" applyAlignment="1">
      <alignment horizontal="center"/>
    </xf>
    <xf numFmtId="0" fontId="37" fillId="7" borderId="0" xfId="0" applyFont="1" applyFill="1" applyAlignment="1">
      <alignment horizontal="center"/>
    </xf>
    <xf numFmtId="0" fontId="37" fillId="7" borderId="15" xfId="0" applyFont="1" applyFill="1" applyBorder="1" applyAlignment="1">
      <alignment horizontal="center"/>
    </xf>
    <xf numFmtId="0" fontId="22" fillId="6" borderId="0" xfId="0" applyFont="1" applyFill="1" applyAlignment="1">
      <alignment horizontal="center"/>
    </xf>
    <xf numFmtId="0" fontId="38" fillId="10" borderId="17" xfId="1" applyFont="1" applyFill="1" applyBorder="1" applyAlignment="1">
      <alignment horizontal="center"/>
    </xf>
    <xf numFmtId="0" fontId="38" fillId="10" borderId="29" xfId="1" applyFont="1" applyFill="1" applyBorder="1" applyAlignment="1">
      <alignment horizontal="center"/>
    </xf>
    <xf numFmtId="0" fontId="38" fillId="10" borderId="30" xfId="1" applyFont="1" applyFill="1" applyBorder="1" applyAlignment="1">
      <alignment horizontal="center"/>
    </xf>
    <xf numFmtId="0" fontId="38" fillId="10" borderId="17" xfId="1" applyFont="1" applyFill="1" applyBorder="1" applyAlignment="1">
      <alignment horizontal="center" vertical="center"/>
    </xf>
    <xf numFmtId="0" fontId="38" fillId="10" borderId="29" xfId="1" applyFont="1" applyFill="1" applyBorder="1" applyAlignment="1">
      <alignment horizontal="center" vertical="center"/>
    </xf>
    <xf numFmtId="0" fontId="38" fillId="10" borderId="30" xfId="1" applyFont="1" applyFill="1" applyBorder="1" applyAlignment="1">
      <alignment horizontal="center" vertical="center"/>
    </xf>
    <xf numFmtId="0" fontId="24" fillId="9" borderId="6" xfId="0" quotePrefix="1" applyFont="1" applyFill="1" applyBorder="1" applyAlignment="1">
      <alignment horizontal="center" vertical="center"/>
    </xf>
    <xf numFmtId="0" fontId="24" fillId="9" borderId="99" xfId="0" quotePrefix="1" applyFont="1" applyFill="1" applyBorder="1" applyAlignment="1">
      <alignment horizontal="center" vertical="center"/>
    </xf>
    <xf numFmtId="0" fontId="24" fillId="9" borderId="106" xfId="0" quotePrefix="1" applyFont="1" applyFill="1" applyBorder="1" applyAlignment="1">
      <alignment horizontal="center" vertical="center"/>
    </xf>
    <xf numFmtId="0" fontId="24" fillId="9" borderId="51" xfId="0" quotePrefix="1" applyFont="1" applyFill="1" applyBorder="1" applyAlignment="1">
      <alignment horizontal="center" vertical="center"/>
    </xf>
    <xf numFmtId="0" fontId="24" fillId="9" borderId="107" xfId="0" quotePrefix="1" applyFont="1" applyFill="1" applyBorder="1" applyAlignment="1">
      <alignment horizontal="center" vertical="center"/>
    </xf>
    <xf numFmtId="0" fontId="79" fillId="6" borderId="3" xfId="0" applyFont="1" applyFill="1" applyBorder="1" applyAlignment="1">
      <alignment horizontal="center"/>
    </xf>
    <xf numFmtId="0" fontId="79" fillId="6" borderId="0" xfId="0" applyFont="1" applyFill="1" applyAlignment="1">
      <alignment horizontal="center"/>
    </xf>
    <xf numFmtId="0" fontId="22" fillId="6" borderId="43" xfId="0" applyFont="1" applyFill="1" applyBorder="1" applyAlignment="1">
      <alignment horizontal="center"/>
    </xf>
    <xf numFmtId="0" fontId="22" fillId="6" borderId="42" xfId="0" applyFont="1" applyFill="1" applyBorder="1" applyAlignment="1">
      <alignment horizontal="center"/>
    </xf>
    <xf numFmtId="0" fontId="22" fillId="6" borderId="21" xfId="0" applyFont="1" applyFill="1" applyBorder="1" applyAlignment="1">
      <alignment horizontal="center"/>
    </xf>
    <xf numFmtId="0" fontId="78" fillId="6" borderId="43" xfId="0" applyFont="1" applyFill="1" applyBorder="1" applyAlignment="1">
      <alignment horizontal="right" vertical="center" wrapText="1"/>
    </xf>
    <xf numFmtId="0" fontId="78" fillId="6" borderId="42" xfId="0" applyFont="1" applyFill="1" applyBorder="1" applyAlignment="1">
      <alignment horizontal="right" vertical="center" wrapText="1"/>
    </xf>
    <xf numFmtId="0" fontId="78" fillId="6" borderId="42" xfId="0" applyFont="1" applyFill="1" applyBorder="1" applyAlignment="1">
      <alignment horizontal="center" vertical="center" wrapText="1"/>
    </xf>
    <xf numFmtId="0" fontId="78" fillId="6" borderId="21" xfId="0" applyFont="1" applyFill="1" applyBorder="1" applyAlignment="1">
      <alignment horizontal="center" vertical="center" wrapText="1"/>
    </xf>
    <xf numFmtId="0" fontId="79" fillId="6" borderId="43" xfId="0" applyFont="1" applyFill="1" applyBorder="1" applyAlignment="1">
      <alignment horizontal="center"/>
    </xf>
    <xf numFmtId="0" fontId="79" fillId="6" borderId="42" xfId="0" applyFont="1" applyFill="1" applyBorder="1" applyAlignment="1">
      <alignment horizontal="center"/>
    </xf>
    <xf numFmtId="0" fontId="79" fillId="6" borderId="21" xfId="0" applyFont="1" applyFill="1" applyBorder="1" applyAlignment="1">
      <alignment horizontal="center"/>
    </xf>
    <xf numFmtId="0" fontId="24" fillId="9" borderId="48" xfId="0" applyFont="1" applyFill="1" applyBorder="1" applyAlignment="1">
      <alignment horizontal="center" vertical="center" wrapText="1"/>
    </xf>
    <xf numFmtId="0" fontId="24" fillId="9" borderId="3" xfId="0" applyFont="1" applyFill="1" applyBorder="1" applyAlignment="1">
      <alignment horizontal="center" vertical="center" wrapText="1"/>
    </xf>
    <xf numFmtId="0" fontId="24" fillId="9" borderId="55" xfId="0" applyFont="1" applyFill="1" applyBorder="1" applyAlignment="1">
      <alignment horizontal="center" vertical="center" wrapText="1"/>
    </xf>
    <xf numFmtId="0" fontId="24" fillId="13" borderId="50" xfId="0" applyFont="1" applyFill="1" applyBorder="1" applyAlignment="1">
      <alignment horizontal="center" vertical="center" wrapText="1"/>
    </xf>
    <xf numFmtId="0" fontId="24" fillId="13" borderId="1" xfId="0" applyFont="1" applyFill="1" applyBorder="1" applyAlignment="1">
      <alignment horizontal="center" vertical="center" wrapText="1"/>
    </xf>
    <xf numFmtId="0" fontId="24" fillId="13" borderId="33" xfId="0" applyFont="1" applyFill="1" applyBorder="1" applyAlignment="1">
      <alignment horizontal="center" vertical="center" wrapText="1"/>
    </xf>
    <xf numFmtId="0" fontId="72" fillId="16" borderId="19" xfId="0" applyFont="1" applyFill="1" applyBorder="1" applyAlignment="1">
      <alignment horizontal="center" vertical="center" wrapText="1"/>
    </xf>
    <xf numFmtId="0" fontId="72" fillId="16" borderId="42" xfId="0" applyFont="1" applyFill="1" applyBorder="1" applyAlignment="1">
      <alignment horizontal="center" vertical="center" wrapText="1"/>
    </xf>
    <xf numFmtId="0" fontId="72" fillId="16" borderId="65" xfId="0" applyFont="1" applyFill="1" applyBorder="1" applyAlignment="1">
      <alignment horizontal="center" vertical="center" wrapText="1"/>
    </xf>
    <xf numFmtId="0" fontId="74" fillId="6" borderId="18" xfId="0" applyFont="1" applyFill="1" applyBorder="1" applyAlignment="1">
      <alignment horizontal="center" vertical="center" wrapText="1"/>
    </xf>
    <xf numFmtId="0" fontId="74" fillId="6" borderId="27" xfId="0" applyFont="1" applyFill="1" applyBorder="1" applyAlignment="1">
      <alignment horizontal="center" vertical="center" wrapText="1"/>
    </xf>
    <xf numFmtId="0" fontId="74" fillId="6" borderId="28" xfId="0" applyFont="1" applyFill="1" applyBorder="1" applyAlignment="1">
      <alignment horizontal="center" vertical="center" wrapText="1"/>
    </xf>
    <xf numFmtId="0" fontId="24" fillId="9" borderId="100" xfId="0" quotePrefix="1" applyFont="1" applyFill="1" applyBorder="1" applyAlignment="1">
      <alignment horizontal="center" vertical="center"/>
    </xf>
    <xf numFmtId="0" fontId="24" fillId="9" borderId="1" xfId="0" quotePrefix="1" applyFont="1" applyFill="1" applyBorder="1" applyAlignment="1">
      <alignment horizontal="center" vertical="center"/>
    </xf>
    <xf numFmtId="0" fontId="24" fillId="0" borderId="43" xfId="0" applyFont="1" applyBorder="1" applyAlignment="1">
      <alignment horizontal="center" vertical="center" wrapText="1"/>
    </xf>
    <xf numFmtId="0" fontId="24" fillId="0" borderId="42" xfId="0" applyFont="1" applyBorder="1" applyAlignment="1">
      <alignment horizontal="center" vertical="center" wrapText="1"/>
    </xf>
    <xf numFmtId="0" fontId="24" fillId="0" borderId="65" xfId="0" applyFont="1" applyBorder="1" applyAlignment="1">
      <alignment horizontal="center" vertical="center" wrapText="1"/>
    </xf>
    <xf numFmtId="0" fontId="24" fillId="11" borderId="43" xfId="0" applyFont="1" applyFill="1" applyBorder="1" applyAlignment="1">
      <alignment horizontal="center" vertical="center" wrapText="1"/>
    </xf>
    <xf numFmtId="0" fontId="24" fillId="11" borderId="42" xfId="0" applyFont="1" applyFill="1" applyBorder="1" applyAlignment="1">
      <alignment horizontal="center" vertical="center" wrapText="1"/>
    </xf>
    <xf numFmtId="0" fontId="24" fillId="11" borderId="65" xfId="0" applyFont="1" applyFill="1" applyBorder="1" applyAlignment="1">
      <alignment horizontal="center" vertical="center" wrapText="1"/>
    </xf>
    <xf numFmtId="0" fontId="38" fillId="10" borderId="17" xfId="0" applyFont="1" applyFill="1" applyBorder="1" applyAlignment="1">
      <alignment horizontal="center" vertical="center"/>
    </xf>
    <xf numFmtId="0" fontId="38" fillId="10" borderId="29" xfId="0" applyFont="1" applyFill="1" applyBorder="1" applyAlignment="1">
      <alignment horizontal="center" vertical="center"/>
    </xf>
    <xf numFmtId="0" fontId="38" fillId="10" borderId="30" xfId="0" applyFont="1" applyFill="1" applyBorder="1" applyAlignment="1">
      <alignment horizontal="center" vertical="center"/>
    </xf>
    <xf numFmtId="0" fontId="33" fillId="6" borderId="42" xfId="0" applyFont="1" applyFill="1" applyBorder="1" applyAlignment="1">
      <alignment horizontal="left"/>
    </xf>
    <xf numFmtId="0" fontId="33" fillId="6" borderId="21" xfId="0" applyFont="1" applyFill="1" applyBorder="1" applyAlignment="1">
      <alignment horizontal="left"/>
    </xf>
    <xf numFmtId="0" fontId="22" fillId="6" borderId="8" xfId="0" applyFont="1" applyFill="1" applyBorder="1" applyAlignment="1">
      <alignment horizontal="left"/>
    </xf>
    <xf numFmtId="0" fontId="37" fillId="10" borderId="48" xfId="0" applyFont="1" applyFill="1" applyBorder="1" applyAlignment="1">
      <alignment horizontal="center"/>
    </xf>
    <xf numFmtId="0" fontId="37" fillId="10" borderId="3" xfId="0" applyFont="1" applyFill="1" applyBorder="1" applyAlignment="1">
      <alignment horizontal="center"/>
    </xf>
    <xf numFmtId="0" fontId="35" fillId="10" borderId="5" xfId="0" applyFont="1" applyFill="1" applyBorder="1" applyAlignment="1">
      <alignment horizontal="center" vertical="center"/>
    </xf>
    <xf numFmtId="0" fontId="35" fillId="10" borderId="6" xfId="0" applyFont="1" applyFill="1" applyBorder="1" applyAlignment="1">
      <alignment horizontal="center" vertical="center"/>
    </xf>
    <xf numFmtId="0" fontId="35" fillId="10" borderId="2" xfId="0" applyFont="1" applyFill="1" applyBorder="1" applyAlignment="1">
      <alignment horizontal="center" vertical="center"/>
    </xf>
    <xf numFmtId="0" fontId="35" fillId="10" borderId="0" xfId="0" applyFont="1" applyFill="1" applyAlignment="1">
      <alignment horizontal="center" vertical="center"/>
    </xf>
    <xf numFmtId="0" fontId="24" fillId="9" borderId="98" xfId="0" quotePrefix="1" applyFont="1" applyFill="1" applyBorder="1" applyAlignment="1">
      <alignment horizontal="center" vertical="center"/>
    </xf>
    <xf numFmtId="0" fontId="22" fillId="6" borderId="6" xfId="0" applyFont="1" applyFill="1" applyBorder="1" applyAlignment="1">
      <alignment horizontal="center"/>
    </xf>
    <xf numFmtId="0" fontId="103" fillId="10" borderId="0" xfId="0" applyFont="1" applyFill="1" applyAlignment="1">
      <alignment horizontal="center"/>
    </xf>
    <xf numFmtId="0" fontId="57" fillId="10" borderId="15" xfId="0" applyFont="1" applyFill="1" applyBorder="1" applyAlignment="1">
      <alignment horizontal="center"/>
    </xf>
    <xf numFmtId="0" fontId="44" fillId="10" borderId="0" xfId="0" applyFont="1" applyFill="1" applyAlignment="1">
      <alignment horizontal="center"/>
    </xf>
    <xf numFmtId="0" fontId="44" fillId="10" borderId="15" xfId="0" applyFont="1" applyFill="1" applyBorder="1" applyAlignment="1">
      <alignment horizontal="center"/>
    </xf>
    <xf numFmtId="0" fontId="24" fillId="9" borderId="82" xfId="0" quotePrefix="1" applyFont="1" applyFill="1" applyBorder="1" applyAlignment="1">
      <alignment horizontal="center" vertical="center"/>
    </xf>
    <xf numFmtId="0" fontId="24" fillId="9" borderId="25" xfId="0" quotePrefix="1" applyFont="1" applyFill="1" applyBorder="1" applyAlignment="1">
      <alignment horizontal="center" vertical="center"/>
    </xf>
    <xf numFmtId="0" fontId="24" fillId="9" borderId="89" xfId="0" quotePrefix="1" applyFont="1" applyFill="1" applyBorder="1" applyAlignment="1">
      <alignment horizontal="center" vertical="center"/>
    </xf>
    <xf numFmtId="0" fontId="24" fillId="9" borderId="83" xfId="0" quotePrefix="1" applyFont="1" applyFill="1" applyBorder="1" applyAlignment="1">
      <alignment horizontal="center" vertical="center"/>
    </xf>
    <xf numFmtId="0" fontId="24" fillId="9" borderId="10" xfId="0" quotePrefix="1" applyFont="1" applyFill="1" applyBorder="1" applyAlignment="1">
      <alignment horizontal="center" vertical="center"/>
    </xf>
    <xf numFmtId="0" fontId="24" fillId="9" borderId="90" xfId="0" quotePrefix="1" applyFont="1" applyFill="1" applyBorder="1" applyAlignment="1">
      <alignment horizontal="center" vertical="center"/>
    </xf>
    <xf numFmtId="0" fontId="26" fillId="2" borderId="47" xfId="0" applyFont="1" applyFill="1" applyBorder="1" applyAlignment="1">
      <alignment horizontal="center" vertical="center"/>
    </xf>
    <xf numFmtId="0" fontId="26" fillId="2" borderId="38" xfId="0" applyFont="1" applyFill="1" applyBorder="1" applyAlignment="1">
      <alignment horizontal="center" vertical="center"/>
    </xf>
    <xf numFmtId="0" fontId="26" fillId="2" borderId="37" xfId="0" applyFont="1" applyFill="1" applyBorder="1" applyAlignment="1">
      <alignment horizontal="center" vertical="center"/>
    </xf>
    <xf numFmtId="0" fontId="26" fillId="2" borderId="71" xfId="0" applyFont="1" applyFill="1" applyBorder="1" applyAlignment="1">
      <alignment horizontal="center" vertical="center"/>
    </xf>
    <xf numFmtId="0" fontId="26" fillId="2" borderId="54" xfId="0" applyFont="1" applyFill="1" applyBorder="1" applyAlignment="1">
      <alignment horizontal="center" vertical="center"/>
    </xf>
    <xf numFmtId="0" fontId="26" fillId="2" borderId="74" xfId="0" applyFont="1" applyFill="1" applyBorder="1" applyAlignment="1">
      <alignment horizontal="center" vertical="center"/>
    </xf>
    <xf numFmtId="0" fontId="38" fillId="10" borderId="17" xfId="0" applyFont="1" applyFill="1" applyBorder="1" applyAlignment="1">
      <alignment horizontal="center"/>
    </xf>
    <xf numFmtId="0" fontId="38" fillId="10" borderId="29" xfId="0" applyFont="1" applyFill="1" applyBorder="1" applyAlignment="1">
      <alignment horizontal="center"/>
    </xf>
    <xf numFmtId="0" fontId="38" fillId="10" borderId="30" xfId="0" applyFont="1" applyFill="1" applyBorder="1" applyAlignment="1">
      <alignment horizontal="center"/>
    </xf>
    <xf numFmtId="0" fontId="57" fillId="6" borderId="0" xfId="0" quotePrefix="1" applyFont="1" applyFill="1" applyAlignment="1">
      <alignment horizontal="left"/>
    </xf>
    <xf numFmtId="0" fontId="57" fillId="6" borderId="0" xfId="0" applyFont="1" applyFill="1" applyAlignment="1">
      <alignment horizontal="left"/>
    </xf>
    <xf numFmtId="0" fontId="38" fillId="6" borderId="49" xfId="0" applyFont="1" applyFill="1" applyBorder="1" applyAlignment="1">
      <alignment horizontal="center"/>
    </xf>
    <xf numFmtId="0" fontId="38" fillId="6" borderId="0" xfId="0" applyFont="1" applyFill="1" applyAlignment="1">
      <alignment horizontal="center"/>
    </xf>
    <xf numFmtId="0" fontId="103" fillId="6" borderId="0" xfId="0" applyFont="1" applyFill="1" applyAlignment="1">
      <alignment horizontal="center"/>
    </xf>
    <xf numFmtId="0" fontId="57" fillId="6" borderId="0" xfId="0" applyFont="1" applyFill="1" applyAlignment="1">
      <alignment horizontal="center"/>
    </xf>
    <xf numFmtId="0" fontId="22" fillId="15" borderId="6" xfId="0" applyFont="1" applyFill="1" applyBorder="1" applyAlignment="1">
      <alignment horizontal="center"/>
    </xf>
    <xf numFmtId="0" fontId="111" fillId="17" borderId="17" xfId="80" applyFont="1" applyFill="1" applyBorder="1" applyAlignment="1">
      <alignment horizontal="right" vertical="center" wrapText="1"/>
    </xf>
    <xf numFmtId="0" fontId="111" fillId="17" borderId="29" xfId="80" applyFont="1" applyFill="1" applyBorder="1" applyAlignment="1">
      <alignment horizontal="right" vertical="center" wrapText="1"/>
    </xf>
    <xf numFmtId="0" fontId="111" fillId="18" borderId="29" xfId="80" applyFont="1" applyFill="1" applyBorder="1" applyAlignment="1">
      <alignment horizontal="left" vertical="center" wrapText="1"/>
    </xf>
    <xf numFmtId="0" fontId="112" fillId="20" borderId="5" xfId="80" applyFont="1" applyFill="1" applyBorder="1" applyAlignment="1">
      <alignment horizontal="center" vertical="center"/>
    </xf>
    <xf numFmtId="0" fontId="112" fillId="20" borderId="6" xfId="80" applyFont="1" applyFill="1" applyBorder="1" applyAlignment="1">
      <alignment horizontal="center" vertical="center"/>
    </xf>
    <xf numFmtId="0" fontId="112" fillId="20" borderId="7" xfId="80" applyFont="1" applyFill="1" applyBorder="1" applyAlignment="1">
      <alignment horizontal="center" vertical="center"/>
    </xf>
    <xf numFmtId="0" fontId="112" fillId="20" borderId="8" xfId="80" applyFont="1" applyFill="1" applyBorder="1" applyAlignment="1">
      <alignment horizontal="center" vertical="center"/>
    </xf>
    <xf numFmtId="0" fontId="112" fillId="17" borderId="17" xfId="80" applyFont="1" applyFill="1" applyBorder="1" applyAlignment="1">
      <alignment horizontal="center" vertical="center" wrapText="1"/>
    </xf>
    <xf numFmtId="0" fontId="112" fillId="17" borderId="29" xfId="80" applyFont="1" applyFill="1" applyBorder="1" applyAlignment="1">
      <alignment horizontal="center" vertical="center" wrapText="1"/>
    </xf>
    <xf numFmtId="0" fontId="111" fillId="17" borderId="17" xfId="80" applyFont="1" applyFill="1" applyBorder="1" applyAlignment="1">
      <alignment horizontal="center" vertical="center" wrapText="1"/>
    </xf>
    <xf numFmtId="0" fontId="111" fillId="17" borderId="29" xfId="80" applyFont="1" applyFill="1" applyBorder="1" applyAlignment="1">
      <alignment horizontal="center" vertical="center" wrapText="1"/>
    </xf>
    <xf numFmtId="0" fontId="113" fillId="17" borderId="17" xfId="80" applyFont="1" applyFill="1" applyBorder="1" applyAlignment="1">
      <alignment horizontal="center" vertical="center" wrapText="1"/>
    </xf>
    <xf numFmtId="0" fontId="113" fillId="17" borderId="30" xfId="80" applyFont="1" applyFill="1" applyBorder="1" applyAlignment="1">
      <alignment horizontal="center" vertical="center" wrapText="1"/>
    </xf>
    <xf numFmtId="0" fontId="113" fillId="17" borderId="2" xfId="80" applyFont="1" applyFill="1" applyBorder="1" applyAlignment="1">
      <alignment horizontal="center" vertical="center" wrapText="1"/>
    </xf>
    <xf numFmtId="0" fontId="113" fillId="17" borderId="36" xfId="80" applyFont="1" applyFill="1" applyBorder="1" applyAlignment="1">
      <alignment horizontal="center" vertical="center" wrapText="1"/>
    </xf>
    <xf numFmtId="0" fontId="113" fillId="17" borderId="5" xfId="80" applyFont="1" applyFill="1" applyBorder="1" applyAlignment="1">
      <alignment horizontal="center" vertical="center" wrapText="1"/>
    </xf>
    <xf numFmtId="0" fontId="113" fillId="17" borderId="35" xfId="80" applyFont="1" applyFill="1" applyBorder="1" applyAlignment="1">
      <alignment horizontal="center" vertical="center" wrapText="1"/>
    </xf>
    <xf numFmtId="0" fontId="115" fillId="17" borderId="7" xfId="80" applyFont="1" applyFill="1" applyBorder="1" applyAlignment="1">
      <alignment horizontal="center" vertical="center" wrapText="1"/>
    </xf>
    <xf numFmtId="0" fontId="115" fillId="17" borderId="34" xfId="80" applyFont="1" applyFill="1" applyBorder="1" applyAlignment="1">
      <alignment horizontal="center" vertical="center" wrapText="1"/>
    </xf>
    <xf numFmtId="0" fontId="114" fillId="17" borderId="2" xfId="80" applyFont="1" applyFill="1" applyBorder="1" applyAlignment="1">
      <alignment horizontal="center" vertical="center" wrapText="1"/>
    </xf>
    <xf numFmtId="0" fontId="114" fillId="17" borderId="36" xfId="80" applyFont="1" applyFill="1" applyBorder="1" applyAlignment="1">
      <alignment horizontal="center" vertical="center" wrapText="1"/>
    </xf>
    <xf numFmtId="0" fontId="113" fillId="21" borderId="23" xfId="80" applyFont="1" applyFill="1" applyBorder="1" applyAlignment="1">
      <alignment horizontal="center" vertical="center" wrapText="1"/>
    </xf>
    <xf numFmtId="0" fontId="113" fillId="21" borderId="24" xfId="80" applyFont="1" applyFill="1" applyBorder="1" applyAlignment="1">
      <alignment horizontal="center" vertical="center" wrapText="1"/>
    </xf>
    <xf numFmtId="0" fontId="113" fillId="21" borderId="79" xfId="80" applyFont="1" applyFill="1" applyBorder="1" applyAlignment="1">
      <alignment horizontal="center" vertical="center" wrapText="1"/>
    </xf>
    <xf numFmtId="0" fontId="112" fillId="0" borderId="0" xfId="80" applyFont="1" applyAlignment="1">
      <alignment vertical="center"/>
    </xf>
    <xf numFmtId="0" fontId="113" fillId="17" borderId="17" xfId="80" applyFont="1" applyFill="1" applyBorder="1" applyAlignment="1">
      <alignment horizontal="left" vertical="center" wrapText="1"/>
    </xf>
    <xf numFmtId="0" fontId="113" fillId="17" borderId="30" xfId="80" applyFont="1" applyFill="1" applyBorder="1" applyAlignment="1">
      <alignment horizontal="left" vertical="center" wrapText="1"/>
    </xf>
    <xf numFmtId="0" fontId="113" fillId="18" borderId="17" xfId="80" applyFont="1" applyFill="1" applyBorder="1" applyAlignment="1">
      <alignment horizontal="left" vertical="center" wrapText="1"/>
    </xf>
    <xf numFmtId="0" fontId="113" fillId="18" borderId="20" xfId="80" applyFont="1" applyFill="1" applyBorder="1" applyAlignment="1">
      <alignment horizontal="left" vertical="center" wrapText="1"/>
    </xf>
    <xf numFmtId="0" fontId="112" fillId="0" borderId="2" xfId="80" applyFont="1" applyBorder="1" applyAlignment="1">
      <alignment vertical="center"/>
    </xf>
    <xf numFmtId="0" fontId="111" fillId="17" borderId="17" xfId="80" applyFont="1" applyFill="1" applyBorder="1" applyAlignment="1">
      <alignment horizontal="center" vertical="center"/>
    </xf>
    <xf numFmtId="0" fontId="111" fillId="17" borderId="29" xfId="80" applyFont="1" applyFill="1" applyBorder="1" applyAlignment="1">
      <alignment horizontal="center" vertical="center"/>
    </xf>
    <xf numFmtId="0" fontId="113" fillId="22" borderId="23" xfId="80" applyFont="1" applyFill="1" applyBorder="1" applyAlignment="1">
      <alignment horizontal="center" vertical="center" wrapText="1"/>
    </xf>
    <xf numFmtId="0" fontId="113" fillId="22" borderId="24" xfId="80" applyFont="1" applyFill="1" applyBorder="1" applyAlignment="1">
      <alignment horizontal="center" vertical="center" wrapText="1"/>
    </xf>
    <xf numFmtId="0" fontId="113" fillId="22" borderId="79" xfId="80" applyFont="1" applyFill="1" applyBorder="1" applyAlignment="1">
      <alignment horizontal="center" vertical="center" wrapText="1"/>
    </xf>
    <xf numFmtId="0" fontId="113" fillId="0" borderId="23" xfId="80" applyFont="1" applyBorder="1" applyAlignment="1">
      <alignment horizontal="center" vertical="center" wrapText="1"/>
    </xf>
    <xf numFmtId="0" fontId="113" fillId="0" borderId="24" xfId="80" applyFont="1" applyBorder="1" applyAlignment="1">
      <alignment horizontal="center" vertical="center" wrapText="1"/>
    </xf>
    <xf numFmtId="0" fontId="113" fillId="0" borderId="79" xfId="80" applyFont="1" applyBorder="1" applyAlignment="1">
      <alignment horizontal="center" vertical="center" wrapText="1"/>
    </xf>
    <xf numFmtId="0" fontId="114" fillId="21" borderId="93" xfId="80" applyFont="1" applyFill="1" applyBorder="1" applyAlignment="1">
      <alignment vertical="center" wrapText="1"/>
    </xf>
    <xf numFmtId="0" fontId="114" fillId="21" borderId="29" xfId="80" applyFont="1" applyFill="1" applyBorder="1" applyAlignment="1">
      <alignment vertical="center" wrapText="1"/>
    </xf>
    <xf numFmtId="0" fontId="114" fillId="21" borderId="20" xfId="80" applyFont="1" applyFill="1" applyBorder="1" applyAlignment="1">
      <alignment vertical="center" wrapText="1"/>
    </xf>
    <xf numFmtId="0" fontId="112" fillId="0" borderId="0" xfId="80" applyFont="1"/>
    <xf numFmtId="0" fontId="114" fillId="27" borderId="19" xfId="80" applyFont="1" applyFill="1" applyBorder="1" applyAlignment="1">
      <alignment horizontal="left" vertical="center" wrapText="1"/>
    </xf>
    <xf numFmtId="0" fontId="114" fillId="27" borderId="21" xfId="80" applyFont="1" applyFill="1" applyBorder="1" applyAlignment="1">
      <alignment horizontal="left" vertical="center" wrapText="1"/>
    </xf>
    <xf numFmtId="0" fontId="114" fillId="27" borderId="43" xfId="80" applyFont="1" applyFill="1" applyBorder="1" applyAlignment="1">
      <alignment horizontal="left" vertical="center" wrapText="1"/>
    </xf>
    <xf numFmtId="0" fontId="115" fillId="27" borderId="67" xfId="80" applyFont="1" applyFill="1" applyBorder="1" applyAlignment="1">
      <alignment horizontal="left" vertical="center" wrapText="1"/>
    </xf>
    <xf numFmtId="0" fontId="115" fillId="27" borderId="69" xfId="80" applyFont="1" applyFill="1" applyBorder="1" applyAlignment="1">
      <alignment horizontal="left" vertical="center" wrapText="1"/>
    </xf>
    <xf numFmtId="0" fontId="114" fillId="27" borderId="85" xfId="80" applyFont="1" applyFill="1" applyBorder="1" applyAlignment="1">
      <alignment vertical="center" wrapText="1"/>
    </xf>
    <xf numFmtId="0" fontId="114" fillId="27" borderId="69" xfId="80" applyFont="1" applyFill="1" applyBorder="1" applyAlignment="1">
      <alignment vertical="center" wrapText="1"/>
    </xf>
    <xf numFmtId="0" fontId="113" fillId="27" borderId="19" xfId="80" applyFont="1" applyFill="1" applyBorder="1" applyAlignment="1">
      <alignment horizontal="left" vertical="center" wrapText="1"/>
    </xf>
    <xf numFmtId="0" fontId="113" fillId="27" borderId="21" xfId="80" applyFont="1" applyFill="1" applyBorder="1" applyAlignment="1">
      <alignment horizontal="left" vertical="center" wrapText="1"/>
    </xf>
    <xf numFmtId="0" fontId="114" fillId="27" borderId="18" xfId="80" applyFont="1" applyFill="1" applyBorder="1" applyAlignment="1">
      <alignment horizontal="left" vertical="center" wrapText="1"/>
    </xf>
    <xf numFmtId="0" fontId="114" fillId="27" borderId="66" xfId="80" applyFont="1" applyFill="1" applyBorder="1" applyAlignment="1">
      <alignment horizontal="left" vertical="center" wrapText="1"/>
    </xf>
    <xf numFmtId="0" fontId="114" fillId="27" borderId="92" xfId="80" applyFont="1" applyFill="1" applyBorder="1" applyAlignment="1">
      <alignment horizontal="left" vertical="center" wrapText="1"/>
    </xf>
    <xf numFmtId="0" fontId="61" fillId="0" borderId="0" xfId="961" applyFont="1" applyAlignment="1">
      <alignment horizontal="center" vertical="top" textRotation="180"/>
    </xf>
    <xf numFmtId="0" fontId="28" fillId="0" borderId="4" xfId="0" applyFont="1" applyBorder="1" applyAlignment="1">
      <alignment horizontal="center"/>
    </xf>
    <xf numFmtId="0" fontId="0" fillId="0" borderId="4" xfId="0" applyBorder="1" applyAlignment="1">
      <alignment horizontal="center"/>
    </xf>
    <xf numFmtId="0" fontId="49" fillId="0" borderId="4" xfId="961" applyFont="1" applyBorder="1" applyAlignment="1">
      <alignment horizontal="center"/>
    </xf>
  </cellXfs>
  <cellStyles count="1886">
    <cellStyle name="Normal" xfId="0" builtinId="0"/>
    <cellStyle name="Normal 10" xfId="80"/>
    <cellStyle name="Normal 11" xfId="93"/>
    <cellStyle name="Normal 11 10" xfId="424"/>
    <cellStyle name="Normal 11 2" xfId="114"/>
    <cellStyle name="Normal 11 3" xfId="143"/>
    <cellStyle name="Normal 11 4" xfId="188"/>
    <cellStyle name="Normal 11 5" xfId="244"/>
    <cellStyle name="Normal 11 6" xfId="292"/>
    <cellStyle name="Normal 11 7" xfId="337"/>
    <cellStyle name="Normal 11 8" xfId="373"/>
    <cellStyle name="Normal 11 9" xfId="399"/>
    <cellStyle name="Normal 12" xfId="111"/>
    <cellStyle name="Normal 13" xfId="112"/>
    <cellStyle name="Normal 14" xfId="125"/>
    <cellStyle name="Normal 15" xfId="566"/>
    <cellStyle name="Normal 16" xfId="138"/>
    <cellStyle name="Normal 17" xfId="960"/>
    <cellStyle name="Normal 17 2" xfId="1882"/>
    <cellStyle name="Normal 17 3" xfId="963"/>
    <cellStyle name="Normal 17 3 2" xfId="1885"/>
    <cellStyle name="Normal 18" xfId="961"/>
    <cellStyle name="Normal 18 2" xfId="962"/>
    <cellStyle name="Normal 18 2 2" xfId="1884"/>
    <cellStyle name="Normal 18 3" xfId="1883"/>
    <cellStyle name="Normal 2" xfId="1"/>
    <cellStyle name="Normal 20" xfId="113"/>
    <cellStyle name="Normal 21" xfId="335"/>
    <cellStyle name="Normal 23" xfId="387"/>
    <cellStyle name="Normal 3" xfId="3"/>
    <cellStyle name="Normal 4" xfId="2"/>
    <cellStyle name="Normal 5" xfId="5"/>
    <cellStyle name="Normal 5 10" xfId="96"/>
    <cellStyle name="Normal 5 10 2" xfId="647"/>
    <cellStyle name="Normal 5 10 2 2" xfId="1569"/>
    <cellStyle name="Normal 5 10 3" xfId="531"/>
    <cellStyle name="Normal 5 10 3 2" xfId="1464"/>
    <cellStyle name="Normal 5 10 4" xfId="1050"/>
    <cellStyle name="Normal 5 11" xfId="95"/>
    <cellStyle name="Normal 5 11 2" xfId="646"/>
    <cellStyle name="Normal 5 11 2 2" xfId="1568"/>
    <cellStyle name="Normal 5 11 3" xfId="545"/>
    <cellStyle name="Normal 5 11 3 2" xfId="1476"/>
    <cellStyle name="Normal 5 11 4" xfId="1049"/>
    <cellStyle name="Normal 5 12" xfId="108"/>
    <cellStyle name="Normal 5 12 2" xfId="659"/>
    <cellStyle name="Normal 5 12 2 2" xfId="1581"/>
    <cellStyle name="Normal 5 12 3" xfId="558"/>
    <cellStyle name="Normal 5 12 3 2" xfId="1487"/>
    <cellStyle name="Normal 5 12 4" xfId="1062"/>
    <cellStyle name="Normal 5 13" xfId="225"/>
    <cellStyle name="Normal 5 13 2" xfId="756"/>
    <cellStyle name="Normal 5 13 2 2" xfId="1678"/>
    <cellStyle name="Normal 5 13 3" xfId="570"/>
    <cellStyle name="Normal 5 13 3 2" xfId="1496"/>
    <cellStyle name="Normal 5 13 4" xfId="1171"/>
    <cellStyle name="Normal 5 14" xfId="186"/>
    <cellStyle name="Normal 5 14 2" xfId="718"/>
    <cellStyle name="Normal 5 14 2 2" xfId="1640"/>
    <cellStyle name="Normal 5 14 3" xfId="578"/>
    <cellStyle name="Normal 5 14 3 2" xfId="1502"/>
    <cellStyle name="Normal 5 14 4" xfId="1133"/>
    <cellStyle name="Normal 5 15" xfId="238"/>
    <cellStyle name="Normal 5 15 2" xfId="585"/>
    <cellStyle name="Normal 5 15 2 2" xfId="1507"/>
    <cellStyle name="Normal 5 15 3" xfId="1184"/>
    <cellStyle name="Normal 5 16" xfId="336"/>
    <cellStyle name="Normal 5 16 2" xfId="852"/>
    <cellStyle name="Normal 5 16 2 2" xfId="1774"/>
    <cellStyle name="Normal 5 16 3" xfId="1279"/>
    <cellStyle name="Normal 5 17" xfId="187"/>
    <cellStyle name="Normal 5 17 2" xfId="719"/>
    <cellStyle name="Normal 5 17 2 2" xfId="1641"/>
    <cellStyle name="Normal 5 17 3" xfId="1134"/>
    <cellStyle name="Normal 5 18" xfId="287"/>
    <cellStyle name="Normal 5 18 2" xfId="815"/>
    <cellStyle name="Normal 5 18 2 2" xfId="1737"/>
    <cellStyle name="Normal 5 18 3" xfId="1232"/>
    <cellStyle name="Normal 5 19" xfId="449"/>
    <cellStyle name="Normal 5 19 2" xfId="1387"/>
    <cellStyle name="Normal 5 2" xfId="7"/>
    <cellStyle name="Normal 5 2 10" xfId="109"/>
    <cellStyle name="Normal 5 2 10 2" xfId="660"/>
    <cellStyle name="Normal 5 2 10 2 2" xfId="1582"/>
    <cellStyle name="Normal 5 2 10 3" xfId="564"/>
    <cellStyle name="Normal 5 2 10 3 2" xfId="1493"/>
    <cellStyle name="Normal 5 2 10 4" xfId="1063"/>
    <cellStyle name="Normal 5 2 11" xfId="227"/>
    <cellStyle name="Normal 5 2 11 2" xfId="758"/>
    <cellStyle name="Normal 5 2 11 2 2" xfId="1680"/>
    <cellStyle name="Normal 5 2 11 3" xfId="574"/>
    <cellStyle name="Normal 5 2 11 3 2" xfId="1500"/>
    <cellStyle name="Normal 5 2 11 4" xfId="1173"/>
    <cellStyle name="Normal 5 2 12" xfId="222"/>
    <cellStyle name="Normal 5 2 12 2" xfId="753"/>
    <cellStyle name="Normal 5 2 12 2 2" xfId="1675"/>
    <cellStyle name="Normal 5 2 12 3" xfId="582"/>
    <cellStyle name="Normal 5 2 12 3 2" xfId="1506"/>
    <cellStyle name="Normal 5 2 12 4" xfId="1168"/>
    <cellStyle name="Normal 5 2 13" xfId="239"/>
    <cellStyle name="Normal 5 2 13 2" xfId="587"/>
    <cellStyle name="Normal 5 2 13 2 2" xfId="1509"/>
    <cellStyle name="Normal 5 2 13 3" xfId="1185"/>
    <cellStyle name="Normal 5 2 14" xfId="375"/>
    <cellStyle name="Normal 5 2 14 2" xfId="889"/>
    <cellStyle name="Normal 5 2 14 2 2" xfId="1811"/>
    <cellStyle name="Normal 5 2 14 3" xfId="1316"/>
    <cellStyle name="Normal 5 2 15" xfId="401"/>
    <cellStyle name="Normal 5 2 15 2" xfId="913"/>
    <cellStyle name="Normal 5 2 15 2 2" xfId="1835"/>
    <cellStyle name="Normal 5 2 15 3" xfId="1340"/>
    <cellStyle name="Normal 5 2 16" xfId="426"/>
    <cellStyle name="Normal 5 2 16 2" xfId="937"/>
    <cellStyle name="Normal 5 2 16 2 2" xfId="1859"/>
    <cellStyle name="Normal 5 2 16 3" xfId="1364"/>
    <cellStyle name="Normal 5 2 17" xfId="451"/>
    <cellStyle name="Normal 5 2 17 2" xfId="1389"/>
    <cellStyle name="Normal 5 2 18" xfId="966"/>
    <cellStyle name="Normal 5 2 2" xfId="9"/>
    <cellStyle name="Normal 5 2 2 10" xfId="229"/>
    <cellStyle name="Normal 5 2 2 10 2" xfId="760"/>
    <cellStyle name="Normal 5 2 2 10 2 2" xfId="1682"/>
    <cellStyle name="Normal 5 2 2 10 3" xfId="569"/>
    <cellStyle name="Normal 5 2 2 10 3 2" xfId="1495"/>
    <cellStyle name="Normal 5 2 2 10 4" xfId="1175"/>
    <cellStyle name="Normal 5 2 2 11" xfId="242"/>
    <cellStyle name="Normal 5 2 2 11 2" xfId="771"/>
    <cellStyle name="Normal 5 2 2 11 2 2" xfId="1693"/>
    <cellStyle name="Normal 5 2 2 11 3" xfId="577"/>
    <cellStyle name="Normal 5 2 2 11 3 2" xfId="1501"/>
    <cellStyle name="Normal 5 2 2 11 4" xfId="1188"/>
    <cellStyle name="Normal 5 2 2 12" xfId="290"/>
    <cellStyle name="Normal 5 2 2 12 2" xfId="589"/>
    <cellStyle name="Normal 5 2 2 12 2 2" xfId="1511"/>
    <cellStyle name="Normal 5 2 2 12 3" xfId="1235"/>
    <cellStyle name="Normal 5 2 2 13" xfId="378"/>
    <cellStyle name="Normal 5 2 2 13 2" xfId="892"/>
    <cellStyle name="Normal 5 2 2 13 2 2" xfId="1814"/>
    <cellStyle name="Normal 5 2 2 13 3" xfId="1319"/>
    <cellStyle name="Normal 5 2 2 14" xfId="404"/>
    <cellStyle name="Normal 5 2 2 14 2" xfId="916"/>
    <cellStyle name="Normal 5 2 2 14 2 2" xfId="1838"/>
    <cellStyle name="Normal 5 2 2 14 3" xfId="1343"/>
    <cellStyle name="Normal 5 2 2 15" xfId="429"/>
    <cellStyle name="Normal 5 2 2 15 2" xfId="940"/>
    <cellStyle name="Normal 5 2 2 15 2 2" xfId="1862"/>
    <cellStyle name="Normal 5 2 2 15 3" xfId="1367"/>
    <cellStyle name="Normal 5 2 2 16" xfId="453"/>
    <cellStyle name="Normal 5 2 2 16 2" xfId="1391"/>
    <cellStyle name="Normal 5 2 2 17" xfId="968"/>
    <cellStyle name="Normal 5 2 2 2" xfId="11"/>
    <cellStyle name="Normal 5 2 2 2 10" xfId="241"/>
    <cellStyle name="Normal 5 2 2 2 10 2" xfId="770"/>
    <cellStyle name="Normal 5 2 2 2 10 2 2" xfId="1692"/>
    <cellStyle name="Normal 5 2 2 2 10 3" xfId="561"/>
    <cellStyle name="Normal 5 2 2 2 10 3 2" xfId="1490"/>
    <cellStyle name="Normal 5 2 2 2 10 4" xfId="1187"/>
    <cellStyle name="Normal 5 2 2 2 11" xfId="289"/>
    <cellStyle name="Normal 5 2 2 2 11 2" xfId="591"/>
    <cellStyle name="Normal 5 2 2 2 11 2 2" xfId="1513"/>
    <cellStyle name="Normal 5 2 2 2 11 3" xfId="1234"/>
    <cellStyle name="Normal 5 2 2 2 12" xfId="379"/>
    <cellStyle name="Normal 5 2 2 2 12 2" xfId="893"/>
    <cellStyle name="Normal 5 2 2 2 12 2 2" xfId="1815"/>
    <cellStyle name="Normal 5 2 2 2 12 3" xfId="1320"/>
    <cellStyle name="Normal 5 2 2 2 13" xfId="405"/>
    <cellStyle name="Normal 5 2 2 2 13 2" xfId="917"/>
    <cellStyle name="Normal 5 2 2 2 13 2 2" xfId="1839"/>
    <cellStyle name="Normal 5 2 2 2 13 3" xfId="1344"/>
    <cellStyle name="Normal 5 2 2 2 14" xfId="430"/>
    <cellStyle name="Normal 5 2 2 2 14 2" xfId="941"/>
    <cellStyle name="Normal 5 2 2 2 14 2 2" xfId="1863"/>
    <cellStyle name="Normal 5 2 2 2 14 3" xfId="1368"/>
    <cellStyle name="Normal 5 2 2 2 15" xfId="455"/>
    <cellStyle name="Normal 5 2 2 2 15 2" xfId="1393"/>
    <cellStyle name="Normal 5 2 2 2 16" xfId="970"/>
    <cellStyle name="Normal 5 2 2 2 2" xfId="24"/>
    <cellStyle name="Normal 5 2 2 2 2 10" xfId="442"/>
    <cellStyle name="Normal 5 2 2 2 2 10 2" xfId="953"/>
    <cellStyle name="Normal 5 2 2 2 2 10 2 2" xfId="1875"/>
    <cellStyle name="Normal 5 2 2 2 2 10 3" xfId="1380"/>
    <cellStyle name="Normal 5 2 2 2 2 11" xfId="467"/>
    <cellStyle name="Normal 5 2 2 2 2 11 2" xfId="1405"/>
    <cellStyle name="Normal 5 2 2 2 2 12" xfId="982"/>
    <cellStyle name="Normal 5 2 2 2 2 2" xfId="61"/>
    <cellStyle name="Normal 5 2 2 2 2 2 2" xfId="603"/>
    <cellStyle name="Normal 5 2 2 2 2 2 2 2" xfId="1525"/>
    <cellStyle name="Normal 5 2 2 2 2 2 3" xfId="1018"/>
    <cellStyle name="Normal 5 2 2 2 2 3" xfId="148"/>
    <cellStyle name="Normal 5 2 2 2 2 3 2" xfId="680"/>
    <cellStyle name="Normal 5 2 2 2 2 3 2 2" xfId="1602"/>
    <cellStyle name="Normal 5 2 2 2 2 3 3" xfId="1095"/>
    <cellStyle name="Normal 5 2 2 2 2 4" xfId="193"/>
    <cellStyle name="Normal 5 2 2 2 2 4 2" xfId="724"/>
    <cellStyle name="Normal 5 2 2 2 2 4 2 2" xfId="1646"/>
    <cellStyle name="Normal 5 2 2 2 2 4 3" xfId="1139"/>
    <cellStyle name="Normal 5 2 2 2 2 5" xfId="249"/>
    <cellStyle name="Normal 5 2 2 2 2 5 2" xfId="777"/>
    <cellStyle name="Normal 5 2 2 2 2 5 2 2" xfId="1699"/>
    <cellStyle name="Normal 5 2 2 2 2 5 3" xfId="1194"/>
    <cellStyle name="Normal 5 2 2 2 2 6" xfId="297"/>
    <cellStyle name="Normal 5 2 2 2 2 6 2" xfId="820"/>
    <cellStyle name="Normal 5 2 2 2 2 6 2 2" xfId="1742"/>
    <cellStyle name="Normal 5 2 2 2 2 6 3" xfId="1241"/>
    <cellStyle name="Normal 5 2 2 2 2 7" xfId="342"/>
    <cellStyle name="Normal 5 2 2 2 2 7 2" xfId="857"/>
    <cellStyle name="Normal 5 2 2 2 2 7 2 2" xfId="1779"/>
    <cellStyle name="Normal 5 2 2 2 2 7 3" xfId="1284"/>
    <cellStyle name="Normal 5 2 2 2 2 8" xfId="392"/>
    <cellStyle name="Normal 5 2 2 2 2 8 2" xfId="905"/>
    <cellStyle name="Normal 5 2 2 2 2 8 2 2" xfId="1827"/>
    <cellStyle name="Normal 5 2 2 2 2 8 3" xfId="1332"/>
    <cellStyle name="Normal 5 2 2 2 2 9" xfId="417"/>
    <cellStyle name="Normal 5 2 2 2 2 9 2" xfId="929"/>
    <cellStyle name="Normal 5 2 2 2 2 9 2 2" xfId="1851"/>
    <cellStyle name="Normal 5 2 2 2 2 9 3" xfId="1356"/>
    <cellStyle name="Normal 5 2 2 2 3" xfId="37"/>
    <cellStyle name="Normal 5 2 2 2 3 2" xfId="73"/>
    <cellStyle name="Normal 5 2 2 2 3 2 2" xfId="615"/>
    <cellStyle name="Normal 5 2 2 2 3 2 2 2" xfId="1537"/>
    <cellStyle name="Normal 5 2 2 2 3 2 3" xfId="1030"/>
    <cellStyle name="Normal 5 2 2 2 3 3" xfId="170"/>
    <cellStyle name="Normal 5 2 2 2 3 3 2" xfId="702"/>
    <cellStyle name="Normal 5 2 2 2 3 3 2 2" xfId="1624"/>
    <cellStyle name="Normal 5 2 2 2 3 3 3" xfId="1117"/>
    <cellStyle name="Normal 5 2 2 2 3 4" xfId="215"/>
    <cellStyle name="Normal 5 2 2 2 3 4 2" xfId="746"/>
    <cellStyle name="Normal 5 2 2 2 3 4 2 2" xfId="1668"/>
    <cellStyle name="Normal 5 2 2 2 3 4 3" xfId="1161"/>
    <cellStyle name="Normal 5 2 2 2 3 5" xfId="271"/>
    <cellStyle name="Normal 5 2 2 2 3 5 2" xfId="799"/>
    <cellStyle name="Normal 5 2 2 2 3 5 2 2" xfId="1721"/>
    <cellStyle name="Normal 5 2 2 2 3 5 3" xfId="1216"/>
    <cellStyle name="Normal 5 2 2 2 3 6" xfId="319"/>
    <cellStyle name="Normal 5 2 2 2 3 6 2" xfId="842"/>
    <cellStyle name="Normal 5 2 2 2 3 6 2 2" xfId="1764"/>
    <cellStyle name="Normal 5 2 2 2 3 6 3" xfId="1263"/>
    <cellStyle name="Normal 5 2 2 2 3 7" xfId="364"/>
    <cellStyle name="Normal 5 2 2 2 3 7 2" xfId="879"/>
    <cellStyle name="Normal 5 2 2 2 3 7 2 2" xfId="1801"/>
    <cellStyle name="Normal 5 2 2 2 3 7 3" xfId="1306"/>
    <cellStyle name="Normal 5 2 2 2 3 8" xfId="479"/>
    <cellStyle name="Normal 5 2 2 2 3 8 2" xfId="1417"/>
    <cellStyle name="Normal 5 2 2 2 3 9" xfId="994"/>
    <cellStyle name="Normal 5 2 2 2 4" xfId="49"/>
    <cellStyle name="Normal 5 2 2 2 4 2" xfId="122"/>
    <cellStyle name="Normal 5 2 2 2 4 2 2" xfId="626"/>
    <cellStyle name="Normal 5 2 2 2 4 2 2 2" xfId="1548"/>
    <cellStyle name="Normal 5 2 2 2 4 2 3" xfId="1072"/>
    <cellStyle name="Normal 5 2 2 2 4 3" xfId="163"/>
    <cellStyle name="Normal 5 2 2 2 4 3 2" xfId="695"/>
    <cellStyle name="Normal 5 2 2 2 4 3 2 2" xfId="1617"/>
    <cellStyle name="Normal 5 2 2 2 4 3 3" xfId="1110"/>
    <cellStyle name="Normal 5 2 2 2 4 4" xfId="208"/>
    <cellStyle name="Normal 5 2 2 2 4 4 2" xfId="739"/>
    <cellStyle name="Normal 5 2 2 2 4 4 2 2" xfId="1661"/>
    <cellStyle name="Normal 5 2 2 2 4 4 3" xfId="1154"/>
    <cellStyle name="Normal 5 2 2 2 4 5" xfId="264"/>
    <cellStyle name="Normal 5 2 2 2 4 5 2" xfId="792"/>
    <cellStyle name="Normal 5 2 2 2 4 5 2 2" xfId="1714"/>
    <cellStyle name="Normal 5 2 2 2 4 5 3" xfId="1209"/>
    <cellStyle name="Normal 5 2 2 2 4 6" xfId="312"/>
    <cellStyle name="Normal 5 2 2 2 4 6 2" xfId="835"/>
    <cellStyle name="Normal 5 2 2 2 4 6 2 2" xfId="1757"/>
    <cellStyle name="Normal 5 2 2 2 4 6 3" xfId="1256"/>
    <cellStyle name="Normal 5 2 2 2 4 7" xfId="357"/>
    <cellStyle name="Normal 5 2 2 2 4 7 2" xfId="872"/>
    <cellStyle name="Normal 5 2 2 2 4 7 2 2" xfId="1794"/>
    <cellStyle name="Normal 5 2 2 2 4 7 3" xfId="1299"/>
    <cellStyle name="Normal 5 2 2 2 4 8" xfId="494"/>
    <cellStyle name="Normal 5 2 2 2 4 8 2" xfId="1431"/>
    <cellStyle name="Normal 5 2 2 2 4 9" xfId="1006"/>
    <cellStyle name="Normal 5 2 2 2 5" xfId="86"/>
    <cellStyle name="Normal 5 2 2 2 5 2" xfId="638"/>
    <cellStyle name="Normal 5 2 2 2 5 2 2" xfId="1560"/>
    <cellStyle name="Normal 5 2 2 2 5 3" xfId="502"/>
    <cellStyle name="Normal 5 2 2 2 5 3 2" xfId="1439"/>
    <cellStyle name="Normal 5 2 2 2 5 4" xfId="1041"/>
    <cellStyle name="Normal 5 2 2 2 6" xfId="101"/>
    <cellStyle name="Normal 5 2 2 2 6 2" xfId="652"/>
    <cellStyle name="Normal 5 2 2 2 6 2 2" xfId="1574"/>
    <cellStyle name="Normal 5 2 2 2 6 3" xfId="503"/>
    <cellStyle name="Normal 5 2 2 2 6 3 2" xfId="1440"/>
    <cellStyle name="Normal 5 2 2 2 6 4" xfId="1055"/>
    <cellStyle name="Normal 5 2 2 2 7" xfId="130"/>
    <cellStyle name="Normal 5 2 2 2 7 2" xfId="664"/>
    <cellStyle name="Normal 5 2 2 2 7 2 2" xfId="1586"/>
    <cellStyle name="Normal 5 2 2 2 7 3" xfId="521"/>
    <cellStyle name="Normal 5 2 2 2 7 3 2" xfId="1456"/>
    <cellStyle name="Normal 5 2 2 2 7 4" xfId="1079"/>
    <cellStyle name="Normal 5 2 2 2 8" xfId="140"/>
    <cellStyle name="Normal 5 2 2 2 8 2" xfId="673"/>
    <cellStyle name="Normal 5 2 2 2 8 2 2" xfId="1595"/>
    <cellStyle name="Normal 5 2 2 2 8 3" xfId="535"/>
    <cellStyle name="Normal 5 2 2 2 8 3 2" xfId="1468"/>
    <cellStyle name="Normal 5 2 2 2 8 4" xfId="1088"/>
    <cellStyle name="Normal 5 2 2 2 9" xfId="230"/>
    <cellStyle name="Normal 5 2 2 2 9 2" xfId="761"/>
    <cellStyle name="Normal 5 2 2 2 9 2 2" xfId="1683"/>
    <cellStyle name="Normal 5 2 2 2 9 3" xfId="549"/>
    <cellStyle name="Normal 5 2 2 2 9 3 2" xfId="1480"/>
    <cellStyle name="Normal 5 2 2 2 9 4" xfId="1176"/>
    <cellStyle name="Normal 5 2 2 3" xfId="22"/>
    <cellStyle name="Normal 5 2 2 3 10" xfId="441"/>
    <cellStyle name="Normal 5 2 2 3 10 2" xfId="952"/>
    <cellStyle name="Normal 5 2 2 3 10 2 2" xfId="1874"/>
    <cellStyle name="Normal 5 2 2 3 10 3" xfId="1379"/>
    <cellStyle name="Normal 5 2 2 3 11" xfId="465"/>
    <cellStyle name="Normal 5 2 2 3 11 2" xfId="1403"/>
    <cellStyle name="Normal 5 2 2 3 12" xfId="980"/>
    <cellStyle name="Normal 5 2 2 3 2" xfId="59"/>
    <cellStyle name="Normal 5 2 2 3 2 2" xfId="601"/>
    <cellStyle name="Normal 5 2 2 3 2 2 2" xfId="1523"/>
    <cellStyle name="Normal 5 2 2 3 2 3" xfId="1016"/>
    <cellStyle name="Normal 5 2 2 3 3" xfId="147"/>
    <cellStyle name="Normal 5 2 2 3 3 2" xfId="679"/>
    <cellStyle name="Normal 5 2 2 3 3 2 2" xfId="1601"/>
    <cellStyle name="Normal 5 2 2 3 3 3" xfId="1094"/>
    <cellStyle name="Normal 5 2 2 3 4" xfId="192"/>
    <cellStyle name="Normal 5 2 2 3 4 2" xfId="723"/>
    <cellStyle name="Normal 5 2 2 3 4 2 2" xfId="1645"/>
    <cellStyle name="Normal 5 2 2 3 4 3" xfId="1138"/>
    <cellStyle name="Normal 5 2 2 3 5" xfId="248"/>
    <cellStyle name="Normal 5 2 2 3 5 2" xfId="776"/>
    <cellStyle name="Normal 5 2 2 3 5 2 2" xfId="1698"/>
    <cellStyle name="Normal 5 2 2 3 5 3" xfId="1193"/>
    <cellStyle name="Normal 5 2 2 3 6" xfId="296"/>
    <cellStyle name="Normal 5 2 2 3 6 2" xfId="819"/>
    <cellStyle name="Normal 5 2 2 3 6 2 2" xfId="1741"/>
    <cellStyle name="Normal 5 2 2 3 6 3" xfId="1240"/>
    <cellStyle name="Normal 5 2 2 3 7" xfId="341"/>
    <cellStyle name="Normal 5 2 2 3 7 2" xfId="856"/>
    <cellStyle name="Normal 5 2 2 3 7 2 2" xfId="1778"/>
    <cellStyle name="Normal 5 2 2 3 7 3" xfId="1283"/>
    <cellStyle name="Normal 5 2 2 3 8" xfId="391"/>
    <cellStyle name="Normal 5 2 2 3 8 2" xfId="904"/>
    <cellStyle name="Normal 5 2 2 3 8 2 2" xfId="1826"/>
    <cellStyle name="Normal 5 2 2 3 8 3" xfId="1331"/>
    <cellStyle name="Normal 5 2 2 3 9" xfId="416"/>
    <cellStyle name="Normal 5 2 2 3 9 2" xfId="928"/>
    <cellStyle name="Normal 5 2 2 3 9 2 2" xfId="1850"/>
    <cellStyle name="Normal 5 2 2 3 9 3" xfId="1355"/>
    <cellStyle name="Normal 5 2 2 4" xfId="35"/>
    <cellStyle name="Normal 5 2 2 4 2" xfId="71"/>
    <cellStyle name="Normal 5 2 2 4 2 2" xfId="613"/>
    <cellStyle name="Normal 5 2 2 4 2 2 2" xfId="1535"/>
    <cellStyle name="Normal 5 2 2 4 2 3" xfId="1028"/>
    <cellStyle name="Normal 5 2 2 4 3" xfId="169"/>
    <cellStyle name="Normal 5 2 2 4 3 2" xfId="701"/>
    <cellStyle name="Normal 5 2 2 4 3 2 2" xfId="1623"/>
    <cellStyle name="Normal 5 2 2 4 3 3" xfId="1116"/>
    <cellStyle name="Normal 5 2 2 4 4" xfId="214"/>
    <cellStyle name="Normal 5 2 2 4 4 2" xfId="745"/>
    <cellStyle name="Normal 5 2 2 4 4 2 2" xfId="1667"/>
    <cellStyle name="Normal 5 2 2 4 4 3" xfId="1160"/>
    <cellStyle name="Normal 5 2 2 4 5" xfId="270"/>
    <cellStyle name="Normal 5 2 2 4 5 2" xfId="798"/>
    <cellStyle name="Normal 5 2 2 4 5 2 2" xfId="1720"/>
    <cellStyle name="Normal 5 2 2 4 5 3" xfId="1215"/>
    <cellStyle name="Normal 5 2 2 4 6" xfId="318"/>
    <cellStyle name="Normal 5 2 2 4 6 2" xfId="841"/>
    <cellStyle name="Normal 5 2 2 4 6 2 2" xfId="1763"/>
    <cellStyle name="Normal 5 2 2 4 6 3" xfId="1262"/>
    <cellStyle name="Normal 5 2 2 4 7" xfId="363"/>
    <cellStyle name="Normal 5 2 2 4 7 2" xfId="878"/>
    <cellStyle name="Normal 5 2 2 4 7 2 2" xfId="1800"/>
    <cellStyle name="Normal 5 2 2 4 7 3" xfId="1305"/>
    <cellStyle name="Normal 5 2 2 4 8" xfId="477"/>
    <cellStyle name="Normal 5 2 2 4 8 2" xfId="1415"/>
    <cellStyle name="Normal 5 2 2 4 9" xfId="992"/>
    <cellStyle name="Normal 5 2 2 5" xfId="47"/>
    <cellStyle name="Normal 5 2 2 5 2" xfId="118"/>
    <cellStyle name="Normal 5 2 2 5 2 2" xfId="625"/>
    <cellStyle name="Normal 5 2 2 5 2 2 2" xfId="1547"/>
    <cellStyle name="Normal 5 2 2 5 2 3" xfId="1068"/>
    <cellStyle name="Normal 5 2 2 5 3" xfId="158"/>
    <cellStyle name="Normal 5 2 2 5 3 2" xfId="690"/>
    <cellStyle name="Normal 5 2 2 5 3 2 2" xfId="1612"/>
    <cellStyle name="Normal 5 2 2 5 3 3" xfId="1105"/>
    <cellStyle name="Normal 5 2 2 5 4" xfId="203"/>
    <cellStyle name="Normal 5 2 2 5 4 2" xfId="734"/>
    <cellStyle name="Normal 5 2 2 5 4 2 2" xfId="1656"/>
    <cellStyle name="Normal 5 2 2 5 4 3" xfId="1149"/>
    <cellStyle name="Normal 5 2 2 5 5" xfId="259"/>
    <cellStyle name="Normal 5 2 2 5 5 2" xfId="787"/>
    <cellStyle name="Normal 5 2 2 5 5 2 2" xfId="1709"/>
    <cellStyle name="Normal 5 2 2 5 5 3" xfId="1204"/>
    <cellStyle name="Normal 5 2 2 5 6" xfId="307"/>
    <cellStyle name="Normal 5 2 2 5 6 2" xfId="830"/>
    <cellStyle name="Normal 5 2 2 5 6 2 2" xfId="1752"/>
    <cellStyle name="Normal 5 2 2 5 6 3" xfId="1251"/>
    <cellStyle name="Normal 5 2 2 5 7" xfId="352"/>
    <cellStyle name="Normal 5 2 2 5 7 2" xfId="867"/>
    <cellStyle name="Normal 5 2 2 5 7 2 2" xfId="1789"/>
    <cellStyle name="Normal 5 2 2 5 7 3" xfId="1294"/>
    <cellStyle name="Normal 5 2 2 5 8" xfId="493"/>
    <cellStyle name="Normal 5 2 2 5 8 2" xfId="1430"/>
    <cellStyle name="Normal 5 2 2 5 9" xfId="1004"/>
    <cellStyle name="Normal 5 2 2 6" xfId="85"/>
    <cellStyle name="Normal 5 2 2 6 2" xfId="637"/>
    <cellStyle name="Normal 5 2 2 6 2 2" xfId="1559"/>
    <cellStyle name="Normal 5 2 2 6 3" xfId="515"/>
    <cellStyle name="Normal 5 2 2 6 3 2" xfId="1450"/>
    <cellStyle name="Normal 5 2 2 6 4" xfId="1040"/>
    <cellStyle name="Normal 5 2 2 7" xfId="100"/>
    <cellStyle name="Normal 5 2 2 7 2" xfId="651"/>
    <cellStyle name="Normal 5 2 2 7 2 2" xfId="1573"/>
    <cellStyle name="Normal 5 2 2 7 3" xfId="529"/>
    <cellStyle name="Normal 5 2 2 7 3 2" xfId="1462"/>
    <cellStyle name="Normal 5 2 2 7 4" xfId="1054"/>
    <cellStyle name="Normal 5 2 2 8" xfId="129"/>
    <cellStyle name="Normal 5 2 2 8 2" xfId="663"/>
    <cellStyle name="Normal 5 2 2 8 2 2" xfId="1585"/>
    <cellStyle name="Normal 5 2 2 8 3" xfId="543"/>
    <cellStyle name="Normal 5 2 2 8 3 2" xfId="1474"/>
    <cellStyle name="Normal 5 2 2 8 4" xfId="1078"/>
    <cellStyle name="Normal 5 2 2 9" xfId="141"/>
    <cellStyle name="Normal 5 2 2 9 2" xfId="674"/>
    <cellStyle name="Normal 5 2 2 9 2 2" xfId="1596"/>
    <cellStyle name="Normal 5 2 2 9 3" xfId="557"/>
    <cellStyle name="Normal 5 2 2 9 3 2" xfId="1486"/>
    <cellStyle name="Normal 5 2 2 9 4" xfId="1089"/>
    <cellStyle name="Normal 5 2 3" xfId="12"/>
    <cellStyle name="Normal 5 2 3 10" xfId="240"/>
    <cellStyle name="Normal 5 2 3 10 2" xfId="769"/>
    <cellStyle name="Normal 5 2 3 10 2 2" xfId="1691"/>
    <cellStyle name="Normal 5 2 3 10 3" xfId="581"/>
    <cellStyle name="Normal 5 2 3 10 3 2" xfId="1505"/>
    <cellStyle name="Normal 5 2 3 10 4" xfId="1186"/>
    <cellStyle name="Normal 5 2 3 11" xfId="288"/>
    <cellStyle name="Normal 5 2 3 11 2" xfId="592"/>
    <cellStyle name="Normal 5 2 3 11 2 2" xfId="1514"/>
    <cellStyle name="Normal 5 2 3 11 3" xfId="1233"/>
    <cellStyle name="Normal 5 2 3 12" xfId="380"/>
    <cellStyle name="Normal 5 2 3 12 2" xfId="894"/>
    <cellStyle name="Normal 5 2 3 12 2 2" xfId="1816"/>
    <cellStyle name="Normal 5 2 3 12 3" xfId="1321"/>
    <cellStyle name="Normal 5 2 3 13" xfId="406"/>
    <cellStyle name="Normal 5 2 3 13 2" xfId="918"/>
    <cellStyle name="Normal 5 2 3 13 2 2" xfId="1840"/>
    <cellStyle name="Normal 5 2 3 13 3" xfId="1345"/>
    <cellStyle name="Normal 5 2 3 14" xfId="431"/>
    <cellStyle name="Normal 5 2 3 14 2" xfId="942"/>
    <cellStyle name="Normal 5 2 3 14 2 2" xfId="1864"/>
    <cellStyle name="Normal 5 2 3 14 3" xfId="1369"/>
    <cellStyle name="Normal 5 2 3 15" xfId="456"/>
    <cellStyle name="Normal 5 2 3 15 2" xfId="1394"/>
    <cellStyle name="Normal 5 2 3 16" xfId="971"/>
    <cellStyle name="Normal 5 2 3 2" xfId="25"/>
    <cellStyle name="Normal 5 2 3 2 10" xfId="443"/>
    <cellStyle name="Normal 5 2 3 2 10 2" xfId="954"/>
    <cellStyle name="Normal 5 2 3 2 10 2 2" xfId="1876"/>
    <cellStyle name="Normal 5 2 3 2 10 3" xfId="1381"/>
    <cellStyle name="Normal 5 2 3 2 11" xfId="468"/>
    <cellStyle name="Normal 5 2 3 2 11 2" xfId="1406"/>
    <cellStyle name="Normal 5 2 3 2 12" xfId="983"/>
    <cellStyle name="Normal 5 2 3 2 2" xfId="62"/>
    <cellStyle name="Normal 5 2 3 2 2 2" xfId="604"/>
    <cellStyle name="Normal 5 2 3 2 2 2 2" xfId="1526"/>
    <cellStyle name="Normal 5 2 3 2 2 3" xfId="1019"/>
    <cellStyle name="Normal 5 2 3 2 3" xfId="149"/>
    <cellStyle name="Normal 5 2 3 2 3 2" xfId="681"/>
    <cellStyle name="Normal 5 2 3 2 3 2 2" xfId="1603"/>
    <cellStyle name="Normal 5 2 3 2 3 3" xfId="1096"/>
    <cellStyle name="Normal 5 2 3 2 4" xfId="194"/>
    <cellStyle name="Normal 5 2 3 2 4 2" xfId="725"/>
    <cellStyle name="Normal 5 2 3 2 4 2 2" xfId="1647"/>
    <cellStyle name="Normal 5 2 3 2 4 3" xfId="1140"/>
    <cellStyle name="Normal 5 2 3 2 5" xfId="250"/>
    <cellStyle name="Normal 5 2 3 2 5 2" xfId="778"/>
    <cellStyle name="Normal 5 2 3 2 5 2 2" xfId="1700"/>
    <cellStyle name="Normal 5 2 3 2 5 3" xfId="1195"/>
    <cellStyle name="Normal 5 2 3 2 6" xfId="298"/>
    <cellStyle name="Normal 5 2 3 2 6 2" xfId="821"/>
    <cellStyle name="Normal 5 2 3 2 6 2 2" xfId="1743"/>
    <cellStyle name="Normal 5 2 3 2 6 3" xfId="1242"/>
    <cellStyle name="Normal 5 2 3 2 7" xfId="343"/>
    <cellStyle name="Normal 5 2 3 2 7 2" xfId="858"/>
    <cellStyle name="Normal 5 2 3 2 7 2 2" xfId="1780"/>
    <cellStyle name="Normal 5 2 3 2 7 3" xfId="1285"/>
    <cellStyle name="Normal 5 2 3 2 8" xfId="393"/>
    <cellStyle name="Normal 5 2 3 2 8 2" xfId="906"/>
    <cellStyle name="Normal 5 2 3 2 8 2 2" xfId="1828"/>
    <cellStyle name="Normal 5 2 3 2 8 3" xfId="1333"/>
    <cellStyle name="Normal 5 2 3 2 9" xfId="418"/>
    <cellStyle name="Normal 5 2 3 2 9 2" xfId="930"/>
    <cellStyle name="Normal 5 2 3 2 9 2 2" xfId="1852"/>
    <cellStyle name="Normal 5 2 3 2 9 3" xfId="1357"/>
    <cellStyle name="Normal 5 2 3 3" xfId="38"/>
    <cellStyle name="Normal 5 2 3 3 2" xfId="74"/>
    <cellStyle name="Normal 5 2 3 3 2 2" xfId="616"/>
    <cellStyle name="Normal 5 2 3 3 2 2 2" xfId="1538"/>
    <cellStyle name="Normal 5 2 3 3 2 3" xfId="1031"/>
    <cellStyle name="Normal 5 2 3 3 3" xfId="171"/>
    <cellStyle name="Normal 5 2 3 3 3 2" xfId="703"/>
    <cellStyle name="Normal 5 2 3 3 3 2 2" xfId="1625"/>
    <cellStyle name="Normal 5 2 3 3 3 3" xfId="1118"/>
    <cellStyle name="Normal 5 2 3 3 4" xfId="216"/>
    <cellStyle name="Normal 5 2 3 3 4 2" xfId="747"/>
    <cellStyle name="Normal 5 2 3 3 4 2 2" xfId="1669"/>
    <cellStyle name="Normal 5 2 3 3 4 3" xfId="1162"/>
    <cellStyle name="Normal 5 2 3 3 5" xfId="272"/>
    <cellStyle name="Normal 5 2 3 3 5 2" xfId="800"/>
    <cellStyle name="Normal 5 2 3 3 5 2 2" xfId="1722"/>
    <cellStyle name="Normal 5 2 3 3 5 3" xfId="1217"/>
    <cellStyle name="Normal 5 2 3 3 6" xfId="320"/>
    <cellStyle name="Normal 5 2 3 3 6 2" xfId="843"/>
    <cellStyle name="Normal 5 2 3 3 6 2 2" xfId="1765"/>
    <cellStyle name="Normal 5 2 3 3 6 3" xfId="1264"/>
    <cellStyle name="Normal 5 2 3 3 7" xfId="365"/>
    <cellStyle name="Normal 5 2 3 3 7 2" xfId="880"/>
    <cellStyle name="Normal 5 2 3 3 7 2 2" xfId="1802"/>
    <cellStyle name="Normal 5 2 3 3 7 3" xfId="1307"/>
    <cellStyle name="Normal 5 2 3 3 8" xfId="480"/>
    <cellStyle name="Normal 5 2 3 3 8 2" xfId="1418"/>
    <cellStyle name="Normal 5 2 3 3 9" xfId="995"/>
    <cellStyle name="Normal 5 2 3 4" xfId="50"/>
    <cellStyle name="Normal 5 2 3 4 2" xfId="116"/>
    <cellStyle name="Normal 5 2 3 4 2 2" xfId="627"/>
    <cellStyle name="Normal 5 2 3 4 2 2 2" xfId="1549"/>
    <cellStyle name="Normal 5 2 3 4 2 3" xfId="1066"/>
    <cellStyle name="Normal 5 2 3 4 3" xfId="156"/>
    <cellStyle name="Normal 5 2 3 4 3 2" xfId="688"/>
    <cellStyle name="Normal 5 2 3 4 3 2 2" xfId="1610"/>
    <cellStyle name="Normal 5 2 3 4 3 3" xfId="1103"/>
    <cellStyle name="Normal 5 2 3 4 4" xfId="201"/>
    <cellStyle name="Normal 5 2 3 4 4 2" xfId="732"/>
    <cellStyle name="Normal 5 2 3 4 4 2 2" xfId="1654"/>
    <cellStyle name="Normal 5 2 3 4 4 3" xfId="1147"/>
    <cellStyle name="Normal 5 2 3 4 5" xfId="257"/>
    <cellStyle name="Normal 5 2 3 4 5 2" xfId="785"/>
    <cellStyle name="Normal 5 2 3 4 5 2 2" xfId="1707"/>
    <cellStyle name="Normal 5 2 3 4 5 3" xfId="1202"/>
    <cellStyle name="Normal 5 2 3 4 6" xfId="305"/>
    <cellStyle name="Normal 5 2 3 4 6 2" xfId="828"/>
    <cellStyle name="Normal 5 2 3 4 6 2 2" xfId="1750"/>
    <cellStyle name="Normal 5 2 3 4 6 3" xfId="1249"/>
    <cellStyle name="Normal 5 2 3 4 7" xfId="350"/>
    <cellStyle name="Normal 5 2 3 4 7 2" xfId="865"/>
    <cellStyle name="Normal 5 2 3 4 7 2 2" xfId="1787"/>
    <cellStyle name="Normal 5 2 3 4 7 3" xfId="1292"/>
    <cellStyle name="Normal 5 2 3 4 8" xfId="495"/>
    <cellStyle name="Normal 5 2 3 4 8 2" xfId="1432"/>
    <cellStyle name="Normal 5 2 3 4 9" xfId="1007"/>
    <cellStyle name="Normal 5 2 3 5" xfId="87"/>
    <cellStyle name="Normal 5 2 3 5 2" xfId="639"/>
    <cellStyle name="Normal 5 2 3 5 2 2" xfId="1561"/>
    <cellStyle name="Normal 5 2 3 5 3" xfId="523"/>
    <cellStyle name="Normal 5 2 3 5 3 2" xfId="1458"/>
    <cellStyle name="Normal 5 2 3 5 4" xfId="1042"/>
    <cellStyle name="Normal 5 2 3 6" xfId="102"/>
    <cellStyle name="Normal 5 2 3 6 2" xfId="653"/>
    <cellStyle name="Normal 5 2 3 6 2 2" xfId="1575"/>
    <cellStyle name="Normal 5 2 3 6 3" xfId="537"/>
    <cellStyle name="Normal 5 2 3 6 3 2" xfId="1470"/>
    <cellStyle name="Normal 5 2 3 6 4" xfId="1056"/>
    <cellStyle name="Normal 5 2 3 7" xfId="131"/>
    <cellStyle name="Normal 5 2 3 7 2" xfId="665"/>
    <cellStyle name="Normal 5 2 3 7 2 2" xfId="1587"/>
    <cellStyle name="Normal 5 2 3 7 3" xfId="551"/>
    <cellStyle name="Normal 5 2 3 7 3 2" xfId="1482"/>
    <cellStyle name="Normal 5 2 3 7 4" xfId="1080"/>
    <cellStyle name="Normal 5 2 3 8" xfId="139"/>
    <cellStyle name="Normal 5 2 3 8 2" xfId="672"/>
    <cellStyle name="Normal 5 2 3 8 2 2" xfId="1594"/>
    <cellStyle name="Normal 5 2 3 8 3" xfId="563"/>
    <cellStyle name="Normal 5 2 3 8 3 2" xfId="1492"/>
    <cellStyle name="Normal 5 2 3 8 4" xfId="1087"/>
    <cellStyle name="Normal 5 2 3 9" xfId="231"/>
    <cellStyle name="Normal 5 2 3 9 2" xfId="762"/>
    <cellStyle name="Normal 5 2 3 9 2 2" xfId="1684"/>
    <cellStyle name="Normal 5 2 3 9 3" xfId="573"/>
    <cellStyle name="Normal 5 2 3 9 3 2" xfId="1499"/>
    <cellStyle name="Normal 5 2 3 9 4" xfId="1177"/>
    <cellStyle name="Normal 5 2 4" xfId="20"/>
    <cellStyle name="Normal 5 2 4 10" xfId="438"/>
    <cellStyle name="Normal 5 2 4 10 2" xfId="949"/>
    <cellStyle name="Normal 5 2 4 10 2 2" xfId="1871"/>
    <cellStyle name="Normal 5 2 4 10 3" xfId="1376"/>
    <cellStyle name="Normal 5 2 4 11" xfId="463"/>
    <cellStyle name="Normal 5 2 4 11 2" xfId="1401"/>
    <cellStyle name="Normal 5 2 4 12" xfId="978"/>
    <cellStyle name="Normal 5 2 4 2" xfId="57"/>
    <cellStyle name="Normal 5 2 4 2 2" xfId="599"/>
    <cellStyle name="Normal 5 2 4 2 2 2" xfId="1521"/>
    <cellStyle name="Normal 5 2 4 2 3" xfId="1014"/>
    <cellStyle name="Normal 5 2 4 3" xfId="144"/>
    <cellStyle name="Normal 5 2 4 3 2" xfId="676"/>
    <cellStyle name="Normal 5 2 4 3 2 2" xfId="1598"/>
    <cellStyle name="Normal 5 2 4 3 3" xfId="1091"/>
    <cellStyle name="Normal 5 2 4 4" xfId="189"/>
    <cellStyle name="Normal 5 2 4 4 2" xfId="720"/>
    <cellStyle name="Normal 5 2 4 4 2 2" xfId="1642"/>
    <cellStyle name="Normal 5 2 4 4 3" xfId="1135"/>
    <cellStyle name="Normal 5 2 4 5" xfId="245"/>
    <cellStyle name="Normal 5 2 4 5 2" xfId="773"/>
    <cellStyle name="Normal 5 2 4 5 2 2" xfId="1695"/>
    <cellStyle name="Normal 5 2 4 5 3" xfId="1190"/>
    <cellStyle name="Normal 5 2 4 6" xfId="293"/>
    <cellStyle name="Normal 5 2 4 6 2" xfId="816"/>
    <cellStyle name="Normal 5 2 4 6 2 2" xfId="1738"/>
    <cellStyle name="Normal 5 2 4 6 3" xfId="1237"/>
    <cellStyle name="Normal 5 2 4 7" xfId="338"/>
    <cellStyle name="Normal 5 2 4 7 2" xfId="853"/>
    <cellStyle name="Normal 5 2 4 7 2 2" xfId="1775"/>
    <cellStyle name="Normal 5 2 4 7 3" xfId="1280"/>
    <cellStyle name="Normal 5 2 4 8" xfId="388"/>
    <cellStyle name="Normal 5 2 4 8 2" xfId="901"/>
    <cellStyle name="Normal 5 2 4 8 2 2" xfId="1823"/>
    <cellStyle name="Normal 5 2 4 8 3" xfId="1328"/>
    <cellStyle name="Normal 5 2 4 9" xfId="413"/>
    <cellStyle name="Normal 5 2 4 9 2" xfId="925"/>
    <cellStyle name="Normal 5 2 4 9 2 2" xfId="1847"/>
    <cellStyle name="Normal 5 2 4 9 3" xfId="1352"/>
    <cellStyle name="Normal 5 2 5" xfId="33"/>
    <cellStyle name="Normal 5 2 5 2" xfId="69"/>
    <cellStyle name="Normal 5 2 5 2 2" xfId="611"/>
    <cellStyle name="Normal 5 2 5 2 2 2" xfId="1533"/>
    <cellStyle name="Normal 5 2 5 2 3" xfId="1026"/>
    <cellStyle name="Normal 5 2 5 3" xfId="166"/>
    <cellStyle name="Normal 5 2 5 3 2" xfId="698"/>
    <cellStyle name="Normal 5 2 5 3 2 2" xfId="1620"/>
    <cellStyle name="Normal 5 2 5 3 3" xfId="1113"/>
    <cellStyle name="Normal 5 2 5 4" xfId="211"/>
    <cellStyle name="Normal 5 2 5 4 2" xfId="742"/>
    <cellStyle name="Normal 5 2 5 4 2 2" xfId="1664"/>
    <cellStyle name="Normal 5 2 5 4 3" xfId="1157"/>
    <cellStyle name="Normal 5 2 5 5" xfId="267"/>
    <cellStyle name="Normal 5 2 5 5 2" xfId="795"/>
    <cellStyle name="Normal 5 2 5 5 2 2" xfId="1717"/>
    <cellStyle name="Normal 5 2 5 5 3" xfId="1212"/>
    <cellStyle name="Normal 5 2 5 6" xfId="315"/>
    <cellStyle name="Normal 5 2 5 6 2" xfId="838"/>
    <cellStyle name="Normal 5 2 5 6 2 2" xfId="1760"/>
    <cellStyle name="Normal 5 2 5 6 3" xfId="1259"/>
    <cellStyle name="Normal 5 2 5 7" xfId="360"/>
    <cellStyle name="Normal 5 2 5 7 2" xfId="875"/>
    <cellStyle name="Normal 5 2 5 7 2 2" xfId="1797"/>
    <cellStyle name="Normal 5 2 5 7 3" xfId="1302"/>
    <cellStyle name="Normal 5 2 5 8" xfId="475"/>
    <cellStyle name="Normal 5 2 5 8 2" xfId="1413"/>
    <cellStyle name="Normal 5 2 5 9" xfId="990"/>
    <cellStyle name="Normal 5 2 6" xfId="45"/>
    <cellStyle name="Normal 5 2 6 2" xfId="126"/>
    <cellStyle name="Normal 5 2 6 2 2" xfId="623"/>
    <cellStyle name="Normal 5 2 6 2 2 2" xfId="1545"/>
    <cellStyle name="Normal 5 2 6 2 3" xfId="1075"/>
    <cellStyle name="Normal 5 2 6 3" xfId="178"/>
    <cellStyle name="Normal 5 2 6 3 2" xfId="710"/>
    <cellStyle name="Normal 5 2 6 3 2 2" xfId="1632"/>
    <cellStyle name="Normal 5 2 6 3 3" xfId="1125"/>
    <cellStyle name="Normal 5 2 6 4" xfId="223"/>
    <cellStyle name="Normal 5 2 6 4 2" xfId="754"/>
    <cellStyle name="Normal 5 2 6 4 2 2" xfId="1676"/>
    <cellStyle name="Normal 5 2 6 4 3" xfId="1169"/>
    <cellStyle name="Normal 5 2 6 5" xfId="279"/>
    <cellStyle name="Normal 5 2 6 5 2" xfId="807"/>
    <cellStyle name="Normal 5 2 6 5 2 2" xfId="1729"/>
    <cellStyle name="Normal 5 2 6 5 3" xfId="1224"/>
    <cellStyle name="Normal 5 2 6 6" xfId="327"/>
    <cellStyle name="Normal 5 2 6 6 2" xfId="849"/>
    <cellStyle name="Normal 5 2 6 6 2 2" xfId="1771"/>
    <cellStyle name="Normal 5 2 6 6 3" xfId="1271"/>
    <cellStyle name="Normal 5 2 6 7" xfId="371"/>
    <cellStyle name="Normal 5 2 6 7 2" xfId="886"/>
    <cellStyle name="Normal 5 2 6 7 2 2" xfId="1808"/>
    <cellStyle name="Normal 5 2 6 7 3" xfId="1313"/>
    <cellStyle name="Normal 5 2 6 8" xfId="491"/>
    <cellStyle name="Normal 5 2 6 8 2" xfId="1428"/>
    <cellStyle name="Normal 5 2 6 9" xfId="1002"/>
    <cellStyle name="Normal 5 2 7" xfId="83"/>
    <cellStyle name="Normal 5 2 7 2" xfId="635"/>
    <cellStyle name="Normal 5 2 7 2 2" xfId="1557"/>
    <cellStyle name="Normal 5 2 7 3" xfId="524"/>
    <cellStyle name="Normal 5 2 7 3 2" xfId="1459"/>
    <cellStyle name="Normal 5 2 7 4" xfId="1038"/>
    <cellStyle name="Normal 5 2 8" xfId="98"/>
    <cellStyle name="Normal 5 2 8 2" xfId="649"/>
    <cellStyle name="Normal 5 2 8 2 2" xfId="1571"/>
    <cellStyle name="Normal 5 2 8 3" xfId="538"/>
    <cellStyle name="Normal 5 2 8 3 2" xfId="1471"/>
    <cellStyle name="Normal 5 2 8 4" xfId="1052"/>
    <cellStyle name="Normal 5 2 9" xfId="110"/>
    <cellStyle name="Normal 5 2 9 2" xfId="661"/>
    <cellStyle name="Normal 5 2 9 2 2" xfId="1583"/>
    <cellStyle name="Normal 5 2 9 3" xfId="552"/>
    <cellStyle name="Normal 5 2 9 3 2" xfId="1483"/>
    <cellStyle name="Normal 5 2 9 4" xfId="1064"/>
    <cellStyle name="Normal 5 20" xfId="964"/>
    <cellStyle name="Normal 5 3" xfId="6"/>
    <cellStyle name="Normal 5 3 10" xfId="177"/>
    <cellStyle name="Normal 5 3 10 2" xfId="709"/>
    <cellStyle name="Normal 5 3 10 2 2" xfId="1631"/>
    <cellStyle name="Normal 5 3 10 3" xfId="528"/>
    <cellStyle name="Normal 5 3 10 3 2" xfId="1461"/>
    <cellStyle name="Normal 5 3 10 4" xfId="1124"/>
    <cellStyle name="Normal 5 3 11" xfId="228"/>
    <cellStyle name="Normal 5 3 11 2" xfId="759"/>
    <cellStyle name="Normal 5 3 11 2 2" xfId="1681"/>
    <cellStyle name="Normal 5 3 11 3" xfId="542"/>
    <cellStyle name="Normal 5 3 11 3 2" xfId="1473"/>
    <cellStyle name="Normal 5 3 11 4" xfId="1174"/>
    <cellStyle name="Normal 5 3 12" xfId="278"/>
    <cellStyle name="Normal 5 3 12 2" xfId="806"/>
    <cellStyle name="Normal 5 3 12 2 2" xfId="1728"/>
    <cellStyle name="Normal 5 3 12 3" xfId="556"/>
    <cellStyle name="Normal 5 3 12 3 2" xfId="1485"/>
    <cellStyle name="Normal 5 3 12 4" xfId="1223"/>
    <cellStyle name="Normal 5 3 13" xfId="326"/>
    <cellStyle name="Normal 5 3 13 2" xfId="586"/>
    <cellStyle name="Normal 5 3 13 2 2" xfId="1508"/>
    <cellStyle name="Normal 5 3 13 3" xfId="1270"/>
    <cellStyle name="Normal 5 3 14" xfId="377"/>
    <cellStyle name="Normal 5 3 14 2" xfId="891"/>
    <cellStyle name="Normal 5 3 14 2 2" xfId="1813"/>
    <cellStyle name="Normal 5 3 14 3" xfId="1318"/>
    <cellStyle name="Normal 5 3 15" xfId="403"/>
    <cellStyle name="Normal 5 3 15 2" xfId="915"/>
    <cellStyle name="Normal 5 3 15 2 2" xfId="1837"/>
    <cellStyle name="Normal 5 3 15 3" xfId="1342"/>
    <cellStyle name="Normal 5 3 16" xfId="428"/>
    <cellStyle name="Normal 5 3 16 2" xfId="939"/>
    <cellStyle name="Normal 5 3 16 2 2" xfId="1861"/>
    <cellStyle name="Normal 5 3 16 3" xfId="1366"/>
    <cellStyle name="Normal 5 3 17" xfId="450"/>
    <cellStyle name="Normal 5 3 17 2" xfId="1388"/>
    <cellStyle name="Normal 5 3 18" xfId="965"/>
    <cellStyle name="Normal 5 3 2" xfId="10"/>
    <cellStyle name="Normal 5 3 2 10" xfId="232"/>
    <cellStyle name="Normal 5 3 2 10 2" xfId="763"/>
    <cellStyle name="Normal 5 3 2 10 2 2" xfId="1685"/>
    <cellStyle name="Normal 5 3 2 10 3" xfId="553"/>
    <cellStyle name="Normal 5 3 2 10 3 2" xfId="1484"/>
    <cellStyle name="Normal 5 3 2 10 4" xfId="1178"/>
    <cellStyle name="Normal 5 3 2 11" xfId="281"/>
    <cellStyle name="Normal 5 3 2 11 2" xfId="809"/>
    <cellStyle name="Normal 5 3 2 11 2 2" xfId="1731"/>
    <cellStyle name="Normal 5 3 2 11 3" xfId="565"/>
    <cellStyle name="Normal 5 3 2 11 3 2" xfId="1494"/>
    <cellStyle name="Normal 5 3 2 11 4" xfId="1226"/>
    <cellStyle name="Normal 5 3 2 12" xfId="329"/>
    <cellStyle name="Normal 5 3 2 12 2" xfId="590"/>
    <cellStyle name="Normal 5 3 2 12 2 2" xfId="1512"/>
    <cellStyle name="Normal 5 3 2 12 3" xfId="1273"/>
    <cellStyle name="Normal 5 3 2 13" xfId="381"/>
    <cellStyle name="Normal 5 3 2 13 2" xfId="895"/>
    <cellStyle name="Normal 5 3 2 13 2 2" xfId="1817"/>
    <cellStyle name="Normal 5 3 2 13 3" xfId="1322"/>
    <cellStyle name="Normal 5 3 2 14" xfId="407"/>
    <cellStyle name="Normal 5 3 2 14 2" xfId="919"/>
    <cellStyle name="Normal 5 3 2 14 2 2" xfId="1841"/>
    <cellStyle name="Normal 5 3 2 14 3" xfId="1346"/>
    <cellStyle name="Normal 5 3 2 15" xfId="432"/>
    <cellStyle name="Normal 5 3 2 15 2" xfId="943"/>
    <cellStyle name="Normal 5 3 2 15 2 2" xfId="1865"/>
    <cellStyle name="Normal 5 3 2 15 3" xfId="1370"/>
    <cellStyle name="Normal 5 3 2 16" xfId="454"/>
    <cellStyle name="Normal 5 3 2 16 2" xfId="1392"/>
    <cellStyle name="Normal 5 3 2 17" xfId="969"/>
    <cellStyle name="Normal 5 3 2 2" xfId="13"/>
    <cellStyle name="Normal 5 3 2 2 10" xfId="282"/>
    <cellStyle name="Normal 5 3 2 2 10 2" xfId="810"/>
    <cellStyle name="Normal 5 3 2 2 10 2 2" xfId="1732"/>
    <cellStyle name="Normal 5 3 2 2 10 3" xfId="579"/>
    <cellStyle name="Normal 5 3 2 2 10 3 2" xfId="1503"/>
    <cellStyle name="Normal 5 3 2 2 10 4" xfId="1227"/>
    <cellStyle name="Normal 5 3 2 2 11" xfId="330"/>
    <cellStyle name="Normal 5 3 2 2 11 2" xfId="593"/>
    <cellStyle name="Normal 5 3 2 2 11 2 2" xfId="1515"/>
    <cellStyle name="Normal 5 3 2 2 11 3" xfId="1274"/>
    <cellStyle name="Normal 5 3 2 2 12" xfId="382"/>
    <cellStyle name="Normal 5 3 2 2 12 2" xfId="896"/>
    <cellStyle name="Normal 5 3 2 2 12 2 2" xfId="1818"/>
    <cellStyle name="Normal 5 3 2 2 12 3" xfId="1323"/>
    <cellStyle name="Normal 5 3 2 2 13" xfId="408"/>
    <cellStyle name="Normal 5 3 2 2 13 2" xfId="920"/>
    <cellStyle name="Normal 5 3 2 2 13 2 2" xfId="1842"/>
    <cellStyle name="Normal 5 3 2 2 13 3" xfId="1347"/>
    <cellStyle name="Normal 5 3 2 2 14" xfId="433"/>
    <cellStyle name="Normal 5 3 2 2 14 2" xfId="944"/>
    <cellStyle name="Normal 5 3 2 2 14 2 2" xfId="1866"/>
    <cellStyle name="Normal 5 3 2 2 14 3" xfId="1371"/>
    <cellStyle name="Normal 5 3 2 2 15" xfId="457"/>
    <cellStyle name="Normal 5 3 2 2 15 2" xfId="1395"/>
    <cellStyle name="Normal 5 3 2 2 16" xfId="972"/>
    <cellStyle name="Normal 5 3 2 2 2" xfId="26"/>
    <cellStyle name="Normal 5 3 2 2 2 10" xfId="445"/>
    <cellStyle name="Normal 5 3 2 2 2 10 2" xfId="956"/>
    <cellStyle name="Normal 5 3 2 2 2 10 2 2" xfId="1878"/>
    <cellStyle name="Normal 5 3 2 2 2 10 3" xfId="1383"/>
    <cellStyle name="Normal 5 3 2 2 2 11" xfId="469"/>
    <cellStyle name="Normal 5 3 2 2 2 11 2" xfId="1407"/>
    <cellStyle name="Normal 5 3 2 2 2 12" xfId="984"/>
    <cellStyle name="Normal 5 3 2 2 2 2" xfId="63"/>
    <cellStyle name="Normal 5 3 2 2 2 2 2" xfId="605"/>
    <cellStyle name="Normal 5 3 2 2 2 2 2 2" xfId="1527"/>
    <cellStyle name="Normal 5 3 2 2 2 2 3" xfId="1020"/>
    <cellStyle name="Normal 5 3 2 2 2 3" xfId="151"/>
    <cellStyle name="Normal 5 3 2 2 2 3 2" xfId="683"/>
    <cellStyle name="Normal 5 3 2 2 2 3 2 2" xfId="1605"/>
    <cellStyle name="Normal 5 3 2 2 2 3 3" xfId="1098"/>
    <cellStyle name="Normal 5 3 2 2 2 4" xfId="196"/>
    <cellStyle name="Normal 5 3 2 2 2 4 2" xfId="727"/>
    <cellStyle name="Normal 5 3 2 2 2 4 2 2" xfId="1649"/>
    <cellStyle name="Normal 5 3 2 2 2 4 3" xfId="1142"/>
    <cellStyle name="Normal 5 3 2 2 2 5" xfId="252"/>
    <cellStyle name="Normal 5 3 2 2 2 5 2" xfId="780"/>
    <cellStyle name="Normal 5 3 2 2 2 5 2 2" xfId="1702"/>
    <cellStyle name="Normal 5 3 2 2 2 5 3" xfId="1197"/>
    <cellStyle name="Normal 5 3 2 2 2 6" xfId="300"/>
    <cellStyle name="Normal 5 3 2 2 2 6 2" xfId="823"/>
    <cellStyle name="Normal 5 3 2 2 2 6 2 2" xfId="1745"/>
    <cellStyle name="Normal 5 3 2 2 2 6 3" xfId="1244"/>
    <cellStyle name="Normal 5 3 2 2 2 7" xfId="345"/>
    <cellStyle name="Normal 5 3 2 2 2 7 2" xfId="860"/>
    <cellStyle name="Normal 5 3 2 2 2 7 2 2" xfId="1782"/>
    <cellStyle name="Normal 5 3 2 2 2 7 3" xfId="1287"/>
    <cellStyle name="Normal 5 3 2 2 2 8" xfId="395"/>
    <cellStyle name="Normal 5 3 2 2 2 8 2" xfId="908"/>
    <cellStyle name="Normal 5 3 2 2 2 8 2 2" xfId="1830"/>
    <cellStyle name="Normal 5 3 2 2 2 8 3" xfId="1335"/>
    <cellStyle name="Normal 5 3 2 2 2 9" xfId="420"/>
    <cellStyle name="Normal 5 3 2 2 2 9 2" xfId="932"/>
    <cellStyle name="Normal 5 3 2 2 2 9 2 2" xfId="1854"/>
    <cellStyle name="Normal 5 3 2 2 2 9 3" xfId="1359"/>
    <cellStyle name="Normal 5 3 2 2 3" xfId="39"/>
    <cellStyle name="Normal 5 3 2 2 3 2" xfId="75"/>
    <cellStyle name="Normal 5 3 2 2 3 2 2" xfId="617"/>
    <cellStyle name="Normal 5 3 2 2 3 2 2 2" xfId="1539"/>
    <cellStyle name="Normal 5 3 2 2 3 2 3" xfId="1032"/>
    <cellStyle name="Normal 5 3 2 2 3 3" xfId="173"/>
    <cellStyle name="Normal 5 3 2 2 3 3 2" xfId="705"/>
    <cellStyle name="Normal 5 3 2 2 3 3 2 2" xfId="1627"/>
    <cellStyle name="Normal 5 3 2 2 3 3 3" xfId="1120"/>
    <cellStyle name="Normal 5 3 2 2 3 4" xfId="218"/>
    <cellStyle name="Normal 5 3 2 2 3 4 2" xfId="749"/>
    <cellStyle name="Normal 5 3 2 2 3 4 2 2" xfId="1671"/>
    <cellStyle name="Normal 5 3 2 2 3 4 3" xfId="1164"/>
    <cellStyle name="Normal 5 3 2 2 3 5" xfId="274"/>
    <cellStyle name="Normal 5 3 2 2 3 5 2" xfId="802"/>
    <cellStyle name="Normal 5 3 2 2 3 5 2 2" xfId="1724"/>
    <cellStyle name="Normal 5 3 2 2 3 5 3" xfId="1219"/>
    <cellStyle name="Normal 5 3 2 2 3 6" xfId="322"/>
    <cellStyle name="Normal 5 3 2 2 3 6 2" xfId="845"/>
    <cellStyle name="Normal 5 3 2 2 3 6 2 2" xfId="1767"/>
    <cellStyle name="Normal 5 3 2 2 3 6 3" xfId="1266"/>
    <cellStyle name="Normal 5 3 2 2 3 7" xfId="367"/>
    <cellStyle name="Normal 5 3 2 2 3 7 2" xfId="882"/>
    <cellStyle name="Normal 5 3 2 2 3 7 2 2" xfId="1804"/>
    <cellStyle name="Normal 5 3 2 2 3 7 3" xfId="1309"/>
    <cellStyle name="Normal 5 3 2 2 3 8" xfId="481"/>
    <cellStyle name="Normal 5 3 2 2 3 8 2" xfId="1419"/>
    <cellStyle name="Normal 5 3 2 2 3 9" xfId="996"/>
    <cellStyle name="Normal 5 3 2 2 4" xfId="51"/>
    <cellStyle name="Normal 5 3 2 2 4 2" xfId="120"/>
    <cellStyle name="Normal 5 3 2 2 4 2 2" xfId="629"/>
    <cellStyle name="Normal 5 3 2 2 4 2 2 2" xfId="1551"/>
    <cellStyle name="Normal 5 3 2 2 4 2 3" xfId="1070"/>
    <cellStyle name="Normal 5 3 2 2 4 3" xfId="161"/>
    <cellStyle name="Normal 5 3 2 2 4 3 2" xfId="693"/>
    <cellStyle name="Normal 5 3 2 2 4 3 2 2" xfId="1615"/>
    <cellStyle name="Normal 5 3 2 2 4 3 3" xfId="1108"/>
    <cellStyle name="Normal 5 3 2 2 4 4" xfId="206"/>
    <cellStyle name="Normal 5 3 2 2 4 4 2" xfId="737"/>
    <cellStyle name="Normal 5 3 2 2 4 4 2 2" xfId="1659"/>
    <cellStyle name="Normal 5 3 2 2 4 4 3" xfId="1152"/>
    <cellStyle name="Normal 5 3 2 2 4 5" xfId="262"/>
    <cellStyle name="Normal 5 3 2 2 4 5 2" xfId="790"/>
    <cellStyle name="Normal 5 3 2 2 4 5 2 2" xfId="1712"/>
    <cellStyle name="Normal 5 3 2 2 4 5 3" xfId="1207"/>
    <cellStyle name="Normal 5 3 2 2 4 6" xfId="310"/>
    <cellStyle name="Normal 5 3 2 2 4 6 2" xfId="833"/>
    <cellStyle name="Normal 5 3 2 2 4 6 2 2" xfId="1755"/>
    <cellStyle name="Normal 5 3 2 2 4 6 3" xfId="1254"/>
    <cellStyle name="Normal 5 3 2 2 4 7" xfId="355"/>
    <cellStyle name="Normal 5 3 2 2 4 7 2" xfId="870"/>
    <cellStyle name="Normal 5 3 2 2 4 7 2 2" xfId="1792"/>
    <cellStyle name="Normal 5 3 2 2 4 7 3" xfId="1297"/>
    <cellStyle name="Normal 5 3 2 2 4 8" xfId="497"/>
    <cellStyle name="Normal 5 3 2 2 4 8 2" xfId="1434"/>
    <cellStyle name="Normal 5 3 2 2 4 9" xfId="1008"/>
    <cellStyle name="Normal 5 3 2 2 5" xfId="89"/>
    <cellStyle name="Normal 5 3 2 2 5 2" xfId="641"/>
    <cellStyle name="Normal 5 3 2 2 5 2 2" xfId="1563"/>
    <cellStyle name="Normal 5 3 2 2 5 3" xfId="519"/>
    <cellStyle name="Normal 5 3 2 2 5 3 2" xfId="1454"/>
    <cellStyle name="Normal 5 3 2 2 5 4" xfId="1044"/>
    <cellStyle name="Normal 5 3 2 2 6" xfId="104"/>
    <cellStyle name="Normal 5 3 2 2 6 2" xfId="655"/>
    <cellStyle name="Normal 5 3 2 2 6 2 2" xfId="1577"/>
    <cellStyle name="Normal 5 3 2 2 6 3" xfId="533"/>
    <cellStyle name="Normal 5 3 2 2 6 3 2" xfId="1466"/>
    <cellStyle name="Normal 5 3 2 2 6 4" xfId="1058"/>
    <cellStyle name="Normal 5 3 2 2 7" xfId="133"/>
    <cellStyle name="Normal 5 3 2 2 7 2" xfId="667"/>
    <cellStyle name="Normal 5 3 2 2 7 2 2" xfId="1589"/>
    <cellStyle name="Normal 5 3 2 2 7 3" xfId="547"/>
    <cellStyle name="Normal 5 3 2 2 7 3 2" xfId="1478"/>
    <cellStyle name="Normal 5 3 2 2 7 4" xfId="1082"/>
    <cellStyle name="Normal 5 3 2 2 8" xfId="181"/>
    <cellStyle name="Normal 5 3 2 2 8 2" xfId="713"/>
    <cellStyle name="Normal 5 3 2 2 8 2 2" xfId="1635"/>
    <cellStyle name="Normal 5 3 2 2 8 3" xfId="560"/>
    <cellStyle name="Normal 5 3 2 2 8 3 2" xfId="1489"/>
    <cellStyle name="Normal 5 3 2 2 8 4" xfId="1128"/>
    <cellStyle name="Normal 5 3 2 2 9" xfId="233"/>
    <cellStyle name="Normal 5 3 2 2 9 2" xfId="764"/>
    <cellStyle name="Normal 5 3 2 2 9 2 2" xfId="1686"/>
    <cellStyle name="Normal 5 3 2 2 9 3" xfId="571"/>
    <cellStyle name="Normal 5 3 2 2 9 3 2" xfId="1497"/>
    <cellStyle name="Normal 5 3 2 2 9 4" xfId="1179"/>
    <cellStyle name="Normal 5 3 2 3" xfId="23"/>
    <cellStyle name="Normal 5 3 2 3 10" xfId="444"/>
    <cellStyle name="Normal 5 3 2 3 10 2" xfId="955"/>
    <cellStyle name="Normal 5 3 2 3 10 2 2" xfId="1877"/>
    <cellStyle name="Normal 5 3 2 3 10 3" xfId="1382"/>
    <cellStyle name="Normal 5 3 2 3 11" xfId="466"/>
    <cellStyle name="Normal 5 3 2 3 11 2" xfId="1404"/>
    <cellStyle name="Normal 5 3 2 3 12" xfId="981"/>
    <cellStyle name="Normal 5 3 2 3 2" xfId="60"/>
    <cellStyle name="Normal 5 3 2 3 2 2" xfId="602"/>
    <cellStyle name="Normal 5 3 2 3 2 2 2" xfId="1524"/>
    <cellStyle name="Normal 5 3 2 3 2 3" xfId="1017"/>
    <cellStyle name="Normal 5 3 2 3 3" xfId="150"/>
    <cellStyle name="Normal 5 3 2 3 3 2" xfId="682"/>
    <cellStyle name="Normal 5 3 2 3 3 2 2" xfId="1604"/>
    <cellStyle name="Normal 5 3 2 3 3 3" xfId="1097"/>
    <cellStyle name="Normal 5 3 2 3 4" xfId="195"/>
    <cellStyle name="Normal 5 3 2 3 4 2" xfId="726"/>
    <cellStyle name="Normal 5 3 2 3 4 2 2" xfId="1648"/>
    <cellStyle name="Normal 5 3 2 3 4 3" xfId="1141"/>
    <cellStyle name="Normal 5 3 2 3 5" xfId="251"/>
    <cellStyle name="Normal 5 3 2 3 5 2" xfId="779"/>
    <cellStyle name="Normal 5 3 2 3 5 2 2" xfId="1701"/>
    <cellStyle name="Normal 5 3 2 3 5 3" xfId="1196"/>
    <cellStyle name="Normal 5 3 2 3 6" xfId="299"/>
    <cellStyle name="Normal 5 3 2 3 6 2" xfId="822"/>
    <cellStyle name="Normal 5 3 2 3 6 2 2" xfId="1744"/>
    <cellStyle name="Normal 5 3 2 3 6 3" xfId="1243"/>
    <cellStyle name="Normal 5 3 2 3 7" xfId="344"/>
    <cellStyle name="Normal 5 3 2 3 7 2" xfId="859"/>
    <cellStyle name="Normal 5 3 2 3 7 2 2" xfId="1781"/>
    <cellStyle name="Normal 5 3 2 3 7 3" xfId="1286"/>
    <cellStyle name="Normal 5 3 2 3 8" xfId="394"/>
    <cellStyle name="Normal 5 3 2 3 8 2" xfId="907"/>
    <cellStyle name="Normal 5 3 2 3 8 2 2" xfId="1829"/>
    <cellStyle name="Normal 5 3 2 3 8 3" xfId="1334"/>
    <cellStyle name="Normal 5 3 2 3 9" xfId="419"/>
    <cellStyle name="Normal 5 3 2 3 9 2" xfId="931"/>
    <cellStyle name="Normal 5 3 2 3 9 2 2" xfId="1853"/>
    <cellStyle name="Normal 5 3 2 3 9 3" xfId="1358"/>
    <cellStyle name="Normal 5 3 2 4" xfId="36"/>
    <cellStyle name="Normal 5 3 2 4 2" xfId="72"/>
    <cellStyle name="Normal 5 3 2 4 2 2" xfId="614"/>
    <cellStyle name="Normal 5 3 2 4 2 2 2" xfId="1536"/>
    <cellStyle name="Normal 5 3 2 4 2 3" xfId="1029"/>
    <cellStyle name="Normal 5 3 2 4 3" xfId="172"/>
    <cellStyle name="Normal 5 3 2 4 3 2" xfId="704"/>
    <cellStyle name="Normal 5 3 2 4 3 2 2" xfId="1626"/>
    <cellStyle name="Normal 5 3 2 4 3 3" xfId="1119"/>
    <cellStyle name="Normal 5 3 2 4 4" xfId="217"/>
    <cellStyle name="Normal 5 3 2 4 4 2" xfId="748"/>
    <cellStyle name="Normal 5 3 2 4 4 2 2" xfId="1670"/>
    <cellStyle name="Normal 5 3 2 4 4 3" xfId="1163"/>
    <cellStyle name="Normal 5 3 2 4 5" xfId="273"/>
    <cellStyle name="Normal 5 3 2 4 5 2" xfId="801"/>
    <cellStyle name="Normal 5 3 2 4 5 2 2" xfId="1723"/>
    <cellStyle name="Normal 5 3 2 4 5 3" xfId="1218"/>
    <cellStyle name="Normal 5 3 2 4 6" xfId="321"/>
    <cellStyle name="Normal 5 3 2 4 6 2" xfId="844"/>
    <cellStyle name="Normal 5 3 2 4 6 2 2" xfId="1766"/>
    <cellStyle name="Normal 5 3 2 4 6 3" xfId="1265"/>
    <cellStyle name="Normal 5 3 2 4 7" xfId="366"/>
    <cellStyle name="Normal 5 3 2 4 7 2" xfId="881"/>
    <cellStyle name="Normal 5 3 2 4 7 2 2" xfId="1803"/>
    <cellStyle name="Normal 5 3 2 4 7 3" xfId="1308"/>
    <cellStyle name="Normal 5 3 2 4 8" xfId="478"/>
    <cellStyle name="Normal 5 3 2 4 8 2" xfId="1416"/>
    <cellStyle name="Normal 5 3 2 4 9" xfId="993"/>
    <cellStyle name="Normal 5 3 2 5" xfId="48"/>
    <cellStyle name="Normal 5 3 2 5 2" xfId="121"/>
    <cellStyle name="Normal 5 3 2 5 2 2" xfId="628"/>
    <cellStyle name="Normal 5 3 2 5 2 2 2" xfId="1550"/>
    <cellStyle name="Normal 5 3 2 5 2 3" xfId="1071"/>
    <cellStyle name="Normal 5 3 2 5 3" xfId="162"/>
    <cellStyle name="Normal 5 3 2 5 3 2" xfId="694"/>
    <cellStyle name="Normal 5 3 2 5 3 2 2" xfId="1616"/>
    <cellStyle name="Normal 5 3 2 5 3 3" xfId="1109"/>
    <cellStyle name="Normal 5 3 2 5 4" xfId="207"/>
    <cellStyle name="Normal 5 3 2 5 4 2" xfId="738"/>
    <cellStyle name="Normal 5 3 2 5 4 2 2" xfId="1660"/>
    <cellStyle name="Normal 5 3 2 5 4 3" xfId="1153"/>
    <cellStyle name="Normal 5 3 2 5 5" xfId="263"/>
    <cellStyle name="Normal 5 3 2 5 5 2" xfId="791"/>
    <cellStyle name="Normal 5 3 2 5 5 2 2" xfId="1713"/>
    <cellStyle name="Normal 5 3 2 5 5 3" xfId="1208"/>
    <cellStyle name="Normal 5 3 2 5 6" xfId="311"/>
    <cellStyle name="Normal 5 3 2 5 6 2" xfId="834"/>
    <cellStyle name="Normal 5 3 2 5 6 2 2" xfId="1756"/>
    <cellStyle name="Normal 5 3 2 5 6 3" xfId="1255"/>
    <cellStyle name="Normal 5 3 2 5 7" xfId="356"/>
    <cellStyle name="Normal 5 3 2 5 7 2" xfId="871"/>
    <cellStyle name="Normal 5 3 2 5 7 2 2" xfId="1793"/>
    <cellStyle name="Normal 5 3 2 5 7 3" xfId="1298"/>
    <cellStyle name="Normal 5 3 2 5 8" xfId="496"/>
    <cellStyle name="Normal 5 3 2 5 8 2" xfId="1433"/>
    <cellStyle name="Normal 5 3 2 5 9" xfId="1005"/>
    <cellStyle name="Normal 5 3 2 6" xfId="88"/>
    <cellStyle name="Normal 5 3 2 6 2" xfId="640"/>
    <cellStyle name="Normal 5 3 2 6 2 2" xfId="1562"/>
    <cellStyle name="Normal 5 3 2 6 3" xfId="510"/>
    <cellStyle name="Normal 5 3 2 6 3 2" xfId="1447"/>
    <cellStyle name="Normal 5 3 2 6 4" xfId="1043"/>
    <cellStyle name="Normal 5 3 2 7" xfId="103"/>
    <cellStyle name="Normal 5 3 2 7 2" xfId="654"/>
    <cellStyle name="Normal 5 3 2 7 2 2" xfId="1576"/>
    <cellStyle name="Normal 5 3 2 7 3" xfId="488"/>
    <cellStyle name="Normal 5 3 2 7 3 2" xfId="1425"/>
    <cellStyle name="Normal 5 3 2 7 4" xfId="1057"/>
    <cellStyle name="Normal 5 3 2 8" xfId="132"/>
    <cellStyle name="Normal 5 3 2 8 2" xfId="666"/>
    <cellStyle name="Normal 5 3 2 8 2 2" xfId="1588"/>
    <cellStyle name="Normal 5 3 2 8 3" xfId="525"/>
    <cellStyle name="Normal 5 3 2 8 3 2" xfId="1460"/>
    <cellStyle name="Normal 5 3 2 8 4" xfId="1081"/>
    <cellStyle name="Normal 5 3 2 9" xfId="180"/>
    <cellStyle name="Normal 5 3 2 9 2" xfId="712"/>
    <cellStyle name="Normal 5 3 2 9 2 2" xfId="1634"/>
    <cellStyle name="Normal 5 3 2 9 3" xfId="539"/>
    <cellStyle name="Normal 5 3 2 9 3 2" xfId="1472"/>
    <cellStyle name="Normal 5 3 2 9 4" xfId="1127"/>
    <cellStyle name="Normal 5 3 3" xfId="14"/>
    <cellStyle name="Normal 5 3 3 10" xfId="283"/>
    <cellStyle name="Normal 5 3 3 10 2" xfId="811"/>
    <cellStyle name="Normal 5 3 3 10 2 2" xfId="1733"/>
    <cellStyle name="Normal 5 3 3 10 3" xfId="559"/>
    <cellStyle name="Normal 5 3 3 10 3 2" xfId="1488"/>
    <cellStyle name="Normal 5 3 3 10 4" xfId="1228"/>
    <cellStyle name="Normal 5 3 3 11" xfId="331"/>
    <cellStyle name="Normal 5 3 3 11 2" xfId="594"/>
    <cellStyle name="Normal 5 3 3 11 2 2" xfId="1516"/>
    <cellStyle name="Normal 5 3 3 11 3" xfId="1275"/>
    <cellStyle name="Normal 5 3 3 12" xfId="383"/>
    <cellStyle name="Normal 5 3 3 12 2" xfId="897"/>
    <cellStyle name="Normal 5 3 3 12 2 2" xfId="1819"/>
    <cellStyle name="Normal 5 3 3 12 3" xfId="1324"/>
    <cellStyle name="Normal 5 3 3 13" xfId="409"/>
    <cellStyle name="Normal 5 3 3 13 2" xfId="921"/>
    <cellStyle name="Normal 5 3 3 13 2 2" xfId="1843"/>
    <cellStyle name="Normal 5 3 3 13 3" xfId="1348"/>
    <cellStyle name="Normal 5 3 3 14" xfId="434"/>
    <cellStyle name="Normal 5 3 3 14 2" xfId="945"/>
    <cellStyle name="Normal 5 3 3 14 2 2" xfId="1867"/>
    <cellStyle name="Normal 5 3 3 14 3" xfId="1372"/>
    <cellStyle name="Normal 5 3 3 15" xfId="458"/>
    <cellStyle name="Normal 5 3 3 15 2" xfId="1396"/>
    <cellStyle name="Normal 5 3 3 16" xfId="973"/>
    <cellStyle name="Normal 5 3 3 2" xfId="27"/>
    <cellStyle name="Normal 5 3 3 2 10" xfId="446"/>
    <cellStyle name="Normal 5 3 3 2 10 2" xfId="957"/>
    <cellStyle name="Normal 5 3 3 2 10 2 2" xfId="1879"/>
    <cellStyle name="Normal 5 3 3 2 10 3" xfId="1384"/>
    <cellStyle name="Normal 5 3 3 2 11" xfId="470"/>
    <cellStyle name="Normal 5 3 3 2 11 2" xfId="1408"/>
    <cellStyle name="Normal 5 3 3 2 12" xfId="985"/>
    <cellStyle name="Normal 5 3 3 2 2" xfId="64"/>
    <cellStyle name="Normal 5 3 3 2 2 2" xfId="606"/>
    <cellStyle name="Normal 5 3 3 2 2 2 2" xfId="1528"/>
    <cellStyle name="Normal 5 3 3 2 2 3" xfId="1021"/>
    <cellStyle name="Normal 5 3 3 2 3" xfId="152"/>
    <cellStyle name="Normal 5 3 3 2 3 2" xfId="684"/>
    <cellStyle name="Normal 5 3 3 2 3 2 2" xfId="1606"/>
    <cellStyle name="Normal 5 3 3 2 3 3" xfId="1099"/>
    <cellStyle name="Normal 5 3 3 2 4" xfId="197"/>
    <cellStyle name="Normal 5 3 3 2 4 2" xfId="728"/>
    <cellStyle name="Normal 5 3 3 2 4 2 2" xfId="1650"/>
    <cellStyle name="Normal 5 3 3 2 4 3" xfId="1143"/>
    <cellStyle name="Normal 5 3 3 2 5" xfId="253"/>
    <cellStyle name="Normal 5 3 3 2 5 2" xfId="781"/>
    <cellStyle name="Normal 5 3 3 2 5 2 2" xfId="1703"/>
    <cellStyle name="Normal 5 3 3 2 5 3" xfId="1198"/>
    <cellStyle name="Normal 5 3 3 2 6" xfId="301"/>
    <cellStyle name="Normal 5 3 3 2 6 2" xfId="824"/>
    <cellStyle name="Normal 5 3 3 2 6 2 2" xfId="1746"/>
    <cellStyle name="Normal 5 3 3 2 6 3" xfId="1245"/>
    <cellStyle name="Normal 5 3 3 2 7" xfId="346"/>
    <cellStyle name="Normal 5 3 3 2 7 2" xfId="861"/>
    <cellStyle name="Normal 5 3 3 2 7 2 2" xfId="1783"/>
    <cellStyle name="Normal 5 3 3 2 7 3" xfId="1288"/>
    <cellStyle name="Normal 5 3 3 2 8" xfId="396"/>
    <cellStyle name="Normal 5 3 3 2 8 2" xfId="909"/>
    <cellStyle name="Normal 5 3 3 2 8 2 2" xfId="1831"/>
    <cellStyle name="Normal 5 3 3 2 8 3" xfId="1336"/>
    <cellStyle name="Normal 5 3 3 2 9" xfId="421"/>
    <cellStyle name="Normal 5 3 3 2 9 2" xfId="933"/>
    <cellStyle name="Normal 5 3 3 2 9 2 2" xfId="1855"/>
    <cellStyle name="Normal 5 3 3 2 9 3" xfId="1360"/>
    <cellStyle name="Normal 5 3 3 3" xfId="40"/>
    <cellStyle name="Normal 5 3 3 3 2" xfId="76"/>
    <cellStyle name="Normal 5 3 3 3 2 2" xfId="618"/>
    <cellStyle name="Normal 5 3 3 3 2 2 2" xfId="1540"/>
    <cellStyle name="Normal 5 3 3 3 2 3" xfId="1033"/>
    <cellStyle name="Normal 5 3 3 3 3" xfId="174"/>
    <cellStyle name="Normal 5 3 3 3 3 2" xfId="706"/>
    <cellStyle name="Normal 5 3 3 3 3 2 2" xfId="1628"/>
    <cellStyle name="Normal 5 3 3 3 3 3" xfId="1121"/>
    <cellStyle name="Normal 5 3 3 3 4" xfId="219"/>
    <cellStyle name="Normal 5 3 3 3 4 2" xfId="750"/>
    <cellStyle name="Normal 5 3 3 3 4 2 2" xfId="1672"/>
    <cellStyle name="Normal 5 3 3 3 4 3" xfId="1165"/>
    <cellStyle name="Normal 5 3 3 3 5" xfId="275"/>
    <cellStyle name="Normal 5 3 3 3 5 2" xfId="803"/>
    <cellStyle name="Normal 5 3 3 3 5 2 2" xfId="1725"/>
    <cellStyle name="Normal 5 3 3 3 5 3" xfId="1220"/>
    <cellStyle name="Normal 5 3 3 3 6" xfId="323"/>
    <cellStyle name="Normal 5 3 3 3 6 2" xfId="846"/>
    <cellStyle name="Normal 5 3 3 3 6 2 2" xfId="1768"/>
    <cellStyle name="Normal 5 3 3 3 6 3" xfId="1267"/>
    <cellStyle name="Normal 5 3 3 3 7" xfId="368"/>
    <cellStyle name="Normal 5 3 3 3 7 2" xfId="883"/>
    <cellStyle name="Normal 5 3 3 3 7 2 2" xfId="1805"/>
    <cellStyle name="Normal 5 3 3 3 7 3" xfId="1310"/>
    <cellStyle name="Normal 5 3 3 3 8" xfId="482"/>
    <cellStyle name="Normal 5 3 3 3 8 2" xfId="1420"/>
    <cellStyle name="Normal 5 3 3 3 9" xfId="997"/>
    <cellStyle name="Normal 5 3 3 4" xfId="52"/>
    <cellStyle name="Normal 5 3 3 4 2" xfId="123"/>
    <cellStyle name="Normal 5 3 3 4 2 2" xfId="630"/>
    <cellStyle name="Normal 5 3 3 4 2 2 2" xfId="1552"/>
    <cellStyle name="Normal 5 3 3 4 2 3" xfId="1073"/>
    <cellStyle name="Normal 5 3 3 4 3" xfId="164"/>
    <cellStyle name="Normal 5 3 3 4 3 2" xfId="696"/>
    <cellStyle name="Normal 5 3 3 4 3 2 2" xfId="1618"/>
    <cellStyle name="Normal 5 3 3 4 3 3" xfId="1111"/>
    <cellStyle name="Normal 5 3 3 4 4" xfId="209"/>
    <cellStyle name="Normal 5 3 3 4 4 2" xfId="740"/>
    <cellStyle name="Normal 5 3 3 4 4 2 2" xfId="1662"/>
    <cellStyle name="Normal 5 3 3 4 4 3" xfId="1155"/>
    <cellStyle name="Normal 5 3 3 4 5" xfId="265"/>
    <cellStyle name="Normal 5 3 3 4 5 2" xfId="793"/>
    <cellStyle name="Normal 5 3 3 4 5 2 2" xfId="1715"/>
    <cellStyle name="Normal 5 3 3 4 5 3" xfId="1210"/>
    <cellStyle name="Normal 5 3 3 4 6" xfId="313"/>
    <cellStyle name="Normal 5 3 3 4 6 2" xfId="836"/>
    <cellStyle name="Normal 5 3 3 4 6 2 2" xfId="1758"/>
    <cellStyle name="Normal 5 3 3 4 6 3" xfId="1257"/>
    <cellStyle name="Normal 5 3 3 4 7" xfId="358"/>
    <cellStyle name="Normal 5 3 3 4 7 2" xfId="873"/>
    <cellStyle name="Normal 5 3 3 4 7 2 2" xfId="1795"/>
    <cellStyle name="Normal 5 3 3 4 7 3" xfId="1300"/>
    <cellStyle name="Normal 5 3 3 4 8" xfId="498"/>
    <cellStyle name="Normal 5 3 3 4 8 2" xfId="1435"/>
    <cellStyle name="Normal 5 3 3 4 9" xfId="1009"/>
    <cellStyle name="Normal 5 3 3 5" xfId="90"/>
    <cellStyle name="Normal 5 3 3 5 2" xfId="642"/>
    <cellStyle name="Normal 5 3 3 5 2 2" xfId="1564"/>
    <cellStyle name="Normal 5 3 3 5 3" xfId="506"/>
    <cellStyle name="Normal 5 3 3 5 3 2" xfId="1443"/>
    <cellStyle name="Normal 5 3 3 5 4" xfId="1045"/>
    <cellStyle name="Normal 5 3 3 6" xfId="105"/>
    <cellStyle name="Normal 5 3 3 6 2" xfId="656"/>
    <cellStyle name="Normal 5 3 3 6 2 2" xfId="1578"/>
    <cellStyle name="Normal 5 3 3 6 3" xfId="505"/>
    <cellStyle name="Normal 5 3 3 6 3 2" xfId="1442"/>
    <cellStyle name="Normal 5 3 3 6 4" xfId="1059"/>
    <cellStyle name="Normal 5 3 3 7" xfId="134"/>
    <cellStyle name="Normal 5 3 3 7 2" xfId="668"/>
    <cellStyle name="Normal 5 3 3 7 2 2" xfId="1590"/>
    <cellStyle name="Normal 5 3 3 7 3" xfId="518"/>
    <cellStyle name="Normal 5 3 3 7 3 2" xfId="1453"/>
    <cellStyle name="Normal 5 3 3 7 4" xfId="1083"/>
    <cellStyle name="Normal 5 3 3 8" xfId="182"/>
    <cellStyle name="Normal 5 3 3 8 2" xfId="714"/>
    <cellStyle name="Normal 5 3 3 8 2 2" xfId="1636"/>
    <cellStyle name="Normal 5 3 3 8 3" xfId="532"/>
    <cellStyle name="Normal 5 3 3 8 3 2" xfId="1465"/>
    <cellStyle name="Normal 5 3 3 8 4" xfId="1129"/>
    <cellStyle name="Normal 5 3 3 9" xfId="234"/>
    <cellStyle name="Normal 5 3 3 9 2" xfId="765"/>
    <cellStyle name="Normal 5 3 3 9 2 2" xfId="1687"/>
    <cellStyle name="Normal 5 3 3 9 3" xfId="546"/>
    <cellStyle name="Normal 5 3 3 9 3 2" xfId="1477"/>
    <cellStyle name="Normal 5 3 3 9 4" xfId="1180"/>
    <cellStyle name="Normal 5 3 4" xfId="19"/>
    <cellStyle name="Normal 5 3 4 10" xfId="440"/>
    <cellStyle name="Normal 5 3 4 10 2" xfId="951"/>
    <cellStyle name="Normal 5 3 4 10 2 2" xfId="1873"/>
    <cellStyle name="Normal 5 3 4 10 3" xfId="1378"/>
    <cellStyle name="Normal 5 3 4 11" xfId="462"/>
    <cellStyle name="Normal 5 3 4 11 2" xfId="1400"/>
    <cellStyle name="Normal 5 3 4 12" xfId="977"/>
    <cellStyle name="Normal 5 3 4 2" xfId="56"/>
    <cellStyle name="Normal 5 3 4 2 2" xfId="598"/>
    <cellStyle name="Normal 5 3 4 2 2 2" xfId="1520"/>
    <cellStyle name="Normal 5 3 4 2 3" xfId="1013"/>
    <cellStyle name="Normal 5 3 4 3" xfId="146"/>
    <cellStyle name="Normal 5 3 4 3 2" xfId="678"/>
    <cellStyle name="Normal 5 3 4 3 2 2" xfId="1600"/>
    <cellStyle name="Normal 5 3 4 3 3" xfId="1093"/>
    <cellStyle name="Normal 5 3 4 4" xfId="191"/>
    <cellStyle name="Normal 5 3 4 4 2" xfId="722"/>
    <cellStyle name="Normal 5 3 4 4 2 2" xfId="1644"/>
    <cellStyle name="Normal 5 3 4 4 3" xfId="1137"/>
    <cellStyle name="Normal 5 3 4 5" xfId="247"/>
    <cellStyle name="Normal 5 3 4 5 2" xfId="775"/>
    <cellStyle name="Normal 5 3 4 5 2 2" xfId="1697"/>
    <cellStyle name="Normal 5 3 4 5 3" xfId="1192"/>
    <cellStyle name="Normal 5 3 4 6" xfId="295"/>
    <cellStyle name="Normal 5 3 4 6 2" xfId="818"/>
    <cellStyle name="Normal 5 3 4 6 2 2" xfId="1740"/>
    <cellStyle name="Normal 5 3 4 6 3" xfId="1239"/>
    <cellStyle name="Normal 5 3 4 7" xfId="340"/>
    <cellStyle name="Normal 5 3 4 7 2" xfId="855"/>
    <cellStyle name="Normal 5 3 4 7 2 2" xfId="1777"/>
    <cellStyle name="Normal 5 3 4 7 3" xfId="1282"/>
    <cellStyle name="Normal 5 3 4 8" xfId="390"/>
    <cellStyle name="Normal 5 3 4 8 2" xfId="903"/>
    <cellStyle name="Normal 5 3 4 8 2 2" xfId="1825"/>
    <cellStyle name="Normal 5 3 4 8 3" xfId="1330"/>
    <cellStyle name="Normal 5 3 4 9" xfId="415"/>
    <cellStyle name="Normal 5 3 4 9 2" xfId="927"/>
    <cellStyle name="Normal 5 3 4 9 2 2" xfId="1849"/>
    <cellStyle name="Normal 5 3 4 9 3" xfId="1354"/>
    <cellStyle name="Normal 5 3 5" xfId="32"/>
    <cellStyle name="Normal 5 3 5 2" xfId="68"/>
    <cellStyle name="Normal 5 3 5 2 2" xfId="610"/>
    <cellStyle name="Normal 5 3 5 2 2 2" xfId="1532"/>
    <cellStyle name="Normal 5 3 5 2 3" xfId="1025"/>
    <cellStyle name="Normal 5 3 5 3" xfId="168"/>
    <cellStyle name="Normal 5 3 5 3 2" xfId="700"/>
    <cellStyle name="Normal 5 3 5 3 2 2" xfId="1622"/>
    <cellStyle name="Normal 5 3 5 3 3" xfId="1115"/>
    <cellStyle name="Normal 5 3 5 4" xfId="213"/>
    <cellStyle name="Normal 5 3 5 4 2" xfId="744"/>
    <cellStyle name="Normal 5 3 5 4 2 2" xfId="1666"/>
    <cellStyle name="Normal 5 3 5 4 3" xfId="1159"/>
    <cellStyle name="Normal 5 3 5 5" xfId="269"/>
    <cellStyle name="Normal 5 3 5 5 2" xfId="797"/>
    <cellStyle name="Normal 5 3 5 5 2 2" xfId="1719"/>
    <cellStyle name="Normal 5 3 5 5 3" xfId="1214"/>
    <cellStyle name="Normal 5 3 5 6" xfId="317"/>
    <cellStyle name="Normal 5 3 5 6 2" xfId="840"/>
    <cellStyle name="Normal 5 3 5 6 2 2" xfId="1762"/>
    <cellStyle name="Normal 5 3 5 6 3" xfId="1261"/>
    <cellStyle name="Normal 5 3 5 7" xfId="362"/>
    <cellStyle name="Normal 5 3 5 7 2" xfId="877"/>
    <cellStyle name="Normal 5 3 5 7 2 2" xfId="1799"/>
    <cellStyle name="Normal 5 3 5 7 3" xfId="1304"/>
    <cellStyle name="Normal 5 3 5 8" xfId="474"/>
    <cellStyle name="Normal 5 3 5 8 2" xfId="1412"/>
    <cellStyle name="Normal 5 3 5 9" xfId="989"/>
    <cellStyle name="Normal 5 3 6" xfId="44"/>
    <cellStyle name="Normal 5 3 6 2" xfId="117"/>
    <cellStyle name="Normal 5 3 6 2 2" xfId="624"/>
    <cellStyle name="Normal 5 3 6 2 2 2" xfId="1546"/>
    <cellStyle name="Normal 5 3 6 2 3" xfId="1067"/>
    <cellStyle name="Normal 5 3 6 3" xfId="157"/>
    <cellStyle name="Normal 5 3 6 3 2" xfId="689"/>
    <cellStyle name="Normal 5 3 6 3 2 2" xfId="1611"/>
    <cellStyle name="Normal 5 3 6 3 3" xfId="1104"/>
    <cellStyle name="Normal 5 3 6 4" xfId="202"/>
    <cellStyle name="Normal 5 3 6 4 2" xfId="733"/>
    <cellStyle name="Normal 5 3 6 4 2 2" xfId="1655"/>
    <cellStyle name="Normal 5 3 6 4 3" xfId="1148"/>
    <cellStyle name="Normal 5 3 6 5" xfId="258"/>
    <cellStyle name="Normal 5 3 6 5 2" xfId="786"/>
    <cellStyle name="Normal 5 3 6 5 2 2" xfId="1708"/>
    <cellStyle name="Normal 5 3 6 5 3" xfId="1203"/>
    <cellStyle name="Normal 5 3 6 6" xfId="306"/>
    <cellStyle name="Normal 5 3 6 6 2" xfId="829"/>
    <cellStyle name="Normal 5 3 6 6 2 2" xfId="1751"/>
    <cellStyle name="Normal 5 3 6 6 3" xfId="1250"/>
    <cellStyle name="Normal 5 3 6 7" xfId="351"/>
    <cellStyle name="Normal 5 3 6 7 2" xfId="866"/>
    <cellStyle name="Normal 5 3 6 7 2 2" xfId="1788"/>
    <cellStyle name="Normal 5 3 6 7 3" xfId="1293"/>
    <cellStyle name="Normal 5 3 6 8" xfId="492"/>
    <cellStyle name="Normal 5 3 6 8 2" xfId="1429"/>
    <cellStyle name="Normal 5 3 6 9" xfId="1001"/>
    <cellStyle name="Normal 5 3 7" xfId="84"/>
    <cellStyle name="Normal 5 3 7 2" xfId="636"/>
    <cellStyle name="Normal 5 3 7 2 2" xfId="1558"/>
    <cellStyle name="Normal 5 3 7 3" xfId="511"/>
    <cellStyle name="Normal 5 3 7 3 2" xfId="1448"/>
    <cellStyle name="Normal 5 3 7 4" xfId="1039"/>
    <cellStyle name="Normal 5 3 8" xfId="99"/>
    <cellStyle name="Normal 5 3 8 2" xfId="650"/>
    <cellStyle name="Normal 5 3 8 2 2" xfId="1572"/>
    <cellStyle name="Normal 5 3 8 3" xfId="486"/>
    <cellStyle name="Normal 5 3 8 3 2" xfId="1423"/>
    <cellStyle name="Normal 5 3 8 4" xfId="1053"/>
    <cellStyle name="Normal 5 3 9" xfId="128"/>
    <cellStyle name="Normal 5 3 9 2" xfId="662"/>
    <cellStyle name="Normal 5 3 9 2 2" xfId="1584"/>
    <cellStyle name="Normal 5 3 9 3" xfId="514"/>
    <cellStyle name="Normal 5 3 9 3 2" xfId="1449"/>
    <cellStyle name="Normal 5 3 9 4" xfId="1077"/>
    <cellStyle name="Normal 5 4" xfId="8"/>
    <cellStyle name="Normal 5 4 10" xfId="226"/>
    <cellStyle name="Normal 5 4 10 2" xfId="757"/>
    <cellStyle name="Normal 5 4 10 2 2" xfId="1679"/>
    <cellStyle name="Normal 5 4 10 3" xfId="534"/>
    <cellStyle name="Normal 5 4 10 3 2" xfId="1467"/>
    <cellStyle name="Normal 5 4 10 4" xfId="1172"/>
    <cellStyle name="Normal 5 4 11" xfId="243"/>
    <cellStyle name="Normal 5 4 11 2" xfId="772"/>
    <cellStyle name="Normal 5 4 11 2 2" xfId="1694"/>
    <cellStyle name="Normal 5 4 11 3" xfId="548"/>
    <cellStyle name="Normal 5 4 11 3 2" xfId="1479"/>
    <cellStyle name="Normal 5 4 11 4" xfId="1189"/>
    <cellStyle name="Normal 5 4 12" xfId="291"/>
    <cellStyle name="Normal 5 4 12 2" xfId="588"/>
    <cellStyle name="Normal 5 4 12 2 2" xfId="1510"/>
    <cellStyle name="Normal 5 4 12 3" xfId="1236"/>
    <cellStyle name="Normal 5 4 13" xfId="376"/>
    <cellStyle name="Normal 5 4 13 2" xfId="890"/>
    <cellStyle name="Normal 5 4 13 2 2" xfId="1812"/>
    <cellStyle name="Normal 5 4 13 3" xfId="1317"/>
    <cellStyle name="Normal 5 4 14" xfId="402"/>
    <cellStyle name="Normal 5 4 14 2" xfId="914"/>
    <cellStyle name="Normal 5 4 14 2 2" xfId="1836"/>
    <cellStyle name="Normal 5 4 14 3" xfId="1341"/>
    <cellStyle name="Normal 5 4 15" xfId="427"/>
    <cellStyle name="Normal 5 4 15 2" xfId="938"/>
    <cellStyle name="Normal 5 4 15 2 2" xfId="1860"/>
    <cellStyle name="Normal 5 4 15 3" xfId="1365"/>
    <cellStyle name="Normal 5 4 16" xfId="452"/>
    <cellStyle name="Normal 5 4 16 2" xfId="1390"/>
    <cellStyle name="Normal 5 4 17" xfId="967"/>
    <cellStyle name="Normal 5 4 2" xfId="15"/>
    <cellStyle name="Normal 5 4 2 10" xfId="284"/>
    <cellStyle name="Normal 5 4 2 10 2" xfId="812"/>
    <cellStyle name="Normal 5 4 2 10 2 2" xfId="1734"/>
    <cellStyle name="Normal 5 4 2 10 3" xfId="580"/>
    <cellStyle name="Normal 5 4 2 10 3 2" xfId="1504"/>
    <cellStyle name="Normal 5 4 2 10 4" xfId="1229"/>
    <cellStyle name="Normal 5 4 2 11" xfId="332"/>
    <cellStyle name="Normal 5 4 2 11 2" xfId="595"/>
    <cellStyle name="Normal 5 4 2 11 2 2" xfId="1517"/>
    <cellStyle name="Normal 5 4 2 11 3" xfId="1276"/>
    <cellStyle name="Normal 5 4 2 12" xfId="384"/>
    <cellStyle name="Normal 5 4 2 12 2" xfId="898"/>
    <cellStyle name="Normal 5 4 2 12 2 2" xfId="1820"/>
    <cellStyle name="Normal 5 4 2 12 3" xfId="1325"/>
    <cellStyle name="Normal 5 4 2 13" xfId="410"/>
    <cellStyle name="Normal 5 4 2 13 2" xfId="922"/>
    <cellStyle name="Normal 5 4 2 13 2 2" xfId="1844"/>
    <cellStyle name="Normal 5 4 2 13 3" xfId="1349"/>
    <cellStyle name="Normal 5 4 2 14" xfId="435"/>
    <cellStyle name="Normal 5 4 2 14 2" xfId="946"/>
    <cellStyle name="Normal 5 4 2 14 2 2" xfId="1868"/>
    <cellStyle name="Normal 5 4 2 14 3" xfId="1373"/>
    <cellStyle name="Normal 5 4 2 15" xfId="459"/>
    <cellStyle name="Normal 5 4 2 15 2" xfId="1397"/>
    <cellStyle name="Normal 5 4 2 16" xfId="974"/>
    <cellStyle name="Normal 5 4 2 2" xfId="28"/>
    <cellStyle name="Normal 5 4 2 2 10" xfId="447"/>
    <cellStyle name="Normal 5 4 2 2 10 2" xfId="958"/>
    <cellStyle name="Normal 5 4 2 2 10 2 2" xfId="1880"/>
    <cellStyle name="Normal 5 4 2 2 10 3" xfId="1385"/>
    <cellStyle name="Normal 5 4 2 2 11" xfId="471"/>
    <cellStyle name="Normal 5 4 2 2 11 2" xfId="1409"/>
    <cellStyle name="Normal 5 4 2 2 12" xfId="986"/>
    <cellStyle name="Normal 5 4 2 2 2" xfId="65"/>
    <cellStyle name="Normal 5 4 2 2 2 2" xfId="607"/>
    <cellStyle name="Normal 5 4 2 2 2 2 2" xfId="1529"/>
    <cellStyle name="Normal 5 4 2 2 2 3" xfId="1022"/>
    <cellStyle name="Normal 5 4 2 2 3" xfId="153"/>
    <cellStyle name="Normal 5 4 2 2 3 2" xfId="685"/>
    <cellStyle name="Normal 5 4 2 2 3 2 2" xfId="1607"/>
    <cellStyle name="Normal 5 4 2 2 3 3" xfId="1100"/>
    <cellStyle name="Normal 5 4 2 2 4" xfId="198"/>
    <cellStyle name="Normal 5 4 2 2 4 2" xfId="729"/>
    <cellStyle name="Normal 5 4 2 2 4 2 2" xfId="1651"/>
    <cellStyle name="Normal 5 4 2 2 4 3" xfId="1144"/>
    <cellStyle name="Normal 5 4 2 2 5" xfId="254"/>
    <cellStyle name="Normal 5 4 2 2 5 2" xfId="782"/>
    <cellStyle name="Normal 5 4 2 2 5 2 2" xfId="1704"/>
    <cellStyle name="Normal 5 4 2 2 5 3" xfId="1199"/>
    <cellStyle name="Normal 5 4 2 2 6" xfId="302"/>
    <cellStyle name="Normal 5 4 2 2 6 2" xfId="825"/>
    <cellStyle name="Normal 5 4 2 2 6 2 2" xfId="1747"/>
    <cellStyle name="Normal 5 4 2 2 6 3" xfId="1246"/>
    <cellStyle name="Normal 5 4 2 2 7" xfId="347"/>
    <cellStyle name="Normal 5 4 2 2 7 2" xfId="862"/>
    <cellStyle name="Normal 5 4 2 2 7 2 2" xfId="1784"/>
    <cellStyle name="Normal 5 4 2 2 7 3" xfId="1289"/>
    <cellStyle name="Normal 5 4 2 2 8" xfId="397"/>
    <cellStyle name="Normal 5 4 2 2 8 2" xfId="910"/>
    <cellStyle name="Normal 5 4 2 2 8 2 2" xfId="1832"/>
    <cellStyle name="Normal 5 4 2 2 8 3" xfId="1337"/>
    <cellStyle name="Normal 5 4 2 2 9" xfId="422"/>
    <cellStyle name="Normal 5 4 2 2 9 2" xfId="934"/>
    <cellStyle name="Normal 5 4 2 2 9 2 2" xfId="1856"/>
    <cellStyle name="Normal 5 4 2 2 9 3" xfId="1361"/>
    <cellStyle name="Normal 5 4 2 3" xfId="41"/>
    <cellStyle name="Normal 5 4 2 3 2" xfId="77"/>
    <cellStyle name="Normal 5 4 2 3 2 2" xfId="619"/>
    <cellStyle name="Normal 5 4 2 3 2 2 2" xfId="1541"/>
    <cellStyle name="Normal 5 4 2 3 2 3" xfId="1034"/>
    <cellStyle name="Normal 5 4 2 3 3" xfId="175"/>
    <cellStyle name="Normal 5 4 2 3 3 2" xfId="707"/>
    <cellStyle name="Normal 5 4 2 3 3 2 2" xfId="1629"/>
    <cellStyle name="Normal 5 4 2 3 3 3" xfId="1122"/>
    <cellStyle name="Normal 5 4 2 3 4" xfId="220"/>
    <cellStyle name="Normal 5 4 2 3 4 2" xfId="751"/>
    <cellStyle name="Normal 5 4 2 3 4 2 2" xfId="1673"/>
    <cellStyle name="Normal 5 4 2 3 4 3" xfId="1166"/>
    <cellStyle name="Normal 5 4 2 3 5" xfId="276"/>
    <cellStyle name="Normal 5 4 2 3 5 2" xfId="804"/>
    <cellStyle name="Normal 5 4 2 3 5 2 2" xfId="1726"/>
    <cellStyle name="Normal 5 4 2 3 5 3" xfId="1221"/>
    <cellStyle name="Normal 5 4 2 3 6" xfId="324"/>
    <cellStyle name="Normal 5 4 2 3 6 2" xfId="847"/>
    <cellStyle name="Normal 5 4 2 3 6 2 2" xfId="1769"/>
    <cellStyle name="Normal 5 4 2 3 6 3" xfId="1268"/>
    <cellStyle name="Normal 5 4 2 3 7" xfId="369"/>
    <cellStyle name="Normal 5 4 2 3 7 2" xfId="884"/>
    <cellStyle name="Normal 5 4 2 3 7 2 2" xfId="1806"/>
    <cellStyle name="Normal 5 4 2 3 7 3" xfId="1311"/>
    <cellStyle name="Normal 5 4 2 3 8" xfId="483"/>
    <cellStyle name="Normal 5 4 2 3 8 2" xfId="1421"/>
    <cellStyle name="Normal 5 4 2 3 9" xfId="998"/>
    <cellStyle name="Normal 5 4 2 4" xfId="53"/>
    <cellStyle name="Normal 5 4 2 4 2" xfId="119"/>
    <cellStyle name="Normal 5 4 2 4 2 2" xfId="631"/>
    <cellStyle name="Normal 5 4 2 4 2 2 2" xfId="1553"/>
    <cellStyle name="Normal 5 4 2 4 2 3" xfId="1069"/>
    <cellStyle name="Normal 5 4 2 4 3" xfId="160"/>
    <cellStyle name="Normal 5 4 2 4 3 2" xfId="692"/>
    <cellStyle name="Normal 5 4 2 4 3 2 2" xfId="1614"/>
    <cellStyle name="Normal 5 4 2 4 3 3" xfId="1107"/>
    <cellStyle name="Normal 5 4 2 4 4" xfId="205"/>
    <cellStyle name="Normal 5 4 2 4 4 2" xfId="736"/>
    <cellStyle name="Normal 5 4 2 4 4 2 2" xfId="1658"/>
    <cellStyle name="Normal 5 4 2 4 4 3" xfId="1151"/>
    <cellStyle name="Normal 5 4 2 4 5" xfId="261"/>
    <cellStyle name="Normal 5 4 2 4 5 2" xfId="789"/>
    <cellStyle name="Normal 5 4 2 4 5 2 2" xfId="1711"/>
    <cellStyle name="Normal 5 4 2 4 5 3" xfId="1206"/>
    <cellStyle name="Normal 5 4 2 4 6" xfId="309"/>
    <cellStyle name="Normal 5 4 2 4 6 2" xfId="832"/>
    <cellStyle name="Normal 5 4 2 4 6 2 2" xfId="1754"/>
    <cellStyle name="Normal 5 4 2 4 6 3" xfId="1253"/>
    <cellStyle name="Normal 5 4 2 4 7" xfId="354"/>
    <cellStyle name="Normal 5 4 2 4 7 2" xfId="869"/>
    <cellStyle name="Normal 5 4 2 4 7 2 2" xfId="1791"/>
    <cellStyle name="Normal 5 4 2 4 7 3" xfId="1296"/>
    <cellStyle name="Normal 5 4 2 4 8" xfId="499"/>
    <cellStyle name="Normal 5 4 2 4 8 2" xfId="1436"/>
    <cellStyle name="Normal 5 4 2 4 9" xfId="1010"/>
    <cellStyle name="Normal 5 4 2 5" xfId="91"/>
    <cellStyle name="Normal 5 4 2 5 2" xfId="643"/>
    <cellStyle name="Normal 5 4 2 5 2 2" xfId="1565"/>
    <cellStyle name="Normal 5 4 2 5 3" xfId="522"/>
    <cellStyle name="Normal 5 4 2 5 3 2" xfId="1457"/>
    <cellStyle name="Normal 5 4 2 5 4" xfId="1046"/>
    <cellStyle name="Normal 5 4 2 6" xfId="106"/>
    <cellStyle name="Normal 5 4 2 6 2" xfId="657"/>
    <cellStyle name="Normal 5 4 2 6 2 2" xfId="1579"/>
    <cellStyle name="Normal 5 4 2 6 3" xfId="536"/>
    <cellStyle name="Normal 5 4 2 6 3 2" xfId="1469"/>
    <cellStyle name="Normal 5 4 2 6 4" xfId="1060"/>
    <cellStyle name="Normal 5 4 2 7" xfId="135"/>
    <cellStyle name="Normal 5 4 2 7 2" xfId="669"/>
    <cellStyle name="Normal 5 4 2 7 2 2" xfId="1591"/>
    <cellStyle name="Normal 5 4 2 7 3" xfId="550"/>
    <cellStyle name="Normal 5 4 2 7 3 2" xfId="1481"/>
    <cellStyle name="Normal 5 4 2 7 4" xfId="1084"/>
    <cellStyle name="Normal 5 4 2 8" xfId="183"/>
    <cellStyle name="Normal 5 4 2 8 2" xfId="715"/>
    <cellStyle name="Normal 5 4 2 8 2 2" xfId="1637"/>
    <cellStyle name="Normal 5 4 2 8 3" xfId="562"/>
    <cellStyle name="Normal 5 4 2 8 3 2" xfId="1491"/>
    <cellStyle name="Normal 5 4 2 8 4" xfId="1130"/>
    <cellStyle name="Normal 5 4 2 9" xfId="235"/>
    <cellStyle name="Normal 5 4 2 9 2" xfId="766"/>
    <cellStyle name="Normal 5 4 2 9 2 2" xfId="1688"/>
    <cellStyle name="Normal 5 4 2 9 3" xfId="572"/>
    <cellStyle name="Normal 5 4 2 9 3 2" xfId="1498"/>
    <cellStyle name="Normal 5 4 2 9 4" xfId="1181"/>
    <cellStyle name="Normal 5 4 3" xfId="21"/>
    <cellStyle name="Normal 5 4 3 10" xfId="439"/>
    <cellStyle name="Normal 5 4 3 10 2" xfId="950"/>
    <cellStyle name="Normal 5 4 3 10 2 2" xfId="1872"/>
    <cellStyle name="Normal 5 4 3 10 3" xfId="1377"/>
    <cellStyle name="Normal 5 4 3 11" xfId="464"/>
    <cellStyle name="Normal 5 4 3 11 2" xfId="1402"/>
    <cellStyle name="Normal 5 4 3 12" xfId="979"/>
    <cellStyle name="Normal 5 4 3 2" xfId="58"/>
    <cellStyle name="Normal 5 4 3 2 2" xfId="600"/>
    <cellStyle name="Normal 5 4 3 2 2 2" xfId="1522"/>
    <cellStyle name="Normal 5 4 3 2 3" xfId="1015"/>
    <cellStyle name="Normal 5 4 3 3" xfId="145"/>
    <cellStyle name="Normal 5 4 3 3 2" xfId="677"/>
    <cellStyle name="Normal 5 4 3 3 2 2" xfId="1599"/>
    <cellStyle name="Normal 5 4 3 3 3" xfId="1092"/>
    <cellStyle name="Normal 5 4 3 4" xfId="190"/>
    <cellStyle name="Normal 5 4 3 4 2" xfId="721"/>
    <cellStyle name="Normal 5 4 3 4 2 2" xfId="1643"/>
    <cellStyle name="Normal 5 4 3 4 3" xfId="1136"/>
    <cellStyle name="Normal 5 4 3 5" xfId="246"/>
    <cellStyle name="Normal 5 4 3 5 2" xfId="774"/>
    <cellStyle name="Normal 5 4 3 5 2 2" xfId="1696"/>
    <cellStyle name="Normal 5 4 3 5 3" xfId="1191"/>
    <cellStyle name="Normal 5 4 3 6" xfId="294"/>
    <cellStyle name="Normal 5 4 3 6 2" xfId="817"/>
    <cellStyle name="Normal 5 4 3 6 2 2" xfId="1739"/>
    <cellStyle name="Normal 5 4 3 6 3" xfId="1238"/>
    <cellStyle name="Normal 5 4 3 7" xfId="339"/>
    <cellStyle name="Normal 5 4 3 7 2" xfId="854"/>
    <cellStyle name="Normal 5 4 3 7 2 2" xfId="1776"/>
    <cellStyle name="Normal 5 4 3 7 3" xfId="1281"/>
    <cellStyle name="Normal 5 4 3 8" xfId="389"/>
    <cellStyle name="Normal 5 4 3 8 2" xfId="902"/>
    <cellStyle name="Normal 5 4 3 8 2 2" xfId="1824"/>
    <cellStyle name="Normal 5 4 3 8 3" xfId="1329"/>
    <cellStyle name="Normal 5 4 3 9" xfId="414"/>
    <cellStyle name="Normal 5 4 3 9 2" xfId="926"/>
    <cellStyle name="Normal 5 4 3 9 2 2" xfId="1848"/>
    <cellStyle name="Normal 5 4 3 9 3" xfId="1353"/>
    <cellStyle name="Normal 5 4 4" xfId="34"/>
    <cellStyle name="Normal 5 4 4 2" xfId="70"/>
    <cellStyle name="Normal 5 4 4 2 2" xfId="612"/>
    <cellStyle name="Normal 5 4 4 2 2 2" xfId="1534"/>
    <cellStyle name="Normal 5 4 4 2 3" xfId="1027"/>
    <cellStyle name="Normal 5 4 4 3" xfId="167"/>
    <cellStyle name="Normal 5 4 4 3 2" xfId="699"/>
    <cellStyle name="Normal 5 4 4 3 2 2" xfId="1621"/>
    <cellStyle name="Normal 5 4 4 3 3" xfId="1114"/>
    <cellStyle name="Normal 5 4 4 4" xfId="212"/>
    <cellStyle name="Normal 5 4 4 4 2" xfId="743"/>
    <cellStyle name="Normal 5 4 4 4 2 2" xfId="1665"/>
    <cellStyle name="Normal 5 4 4 4 3" xfId="1158"/>
    <cellStyle name="Normal 5 4 4 5" xfId="268"/>
    <cellStyle name="Normal 5 4 4 5 2" xfId="796"/>
    <cellStyle name="Normal 5 4 4 5 2 2" xfId="1718"/>
    <cellStyle name="Normal 5 4 4 5 3" xfId="1213"/>
    <cellStyle name="Normal 5 4 4 6" xfId="316"/>
    <cellStyle name="Normal 5 4 4 6 2" xfId="839"/>
    <cellStyle name="Normal 5 4 4 6 2 2" xfId="1761"/>
    <cellStyle name="Normal 5 4 4 6 3" xfId="1260"/>
    <cellStyle name="Normal 5 4 4 7" xfId="361"/>
    <cellStyle name="Normal 5 4 4 7 2" xfId="876"/>
    <cellStyle name="Normal 5 4 4 7 2 2" xfId="1798"/>
    <cellStyle name="Normal 5 4 4 7 3" xfId="1303"/>
    <cellStyle name="Normal 5 4 4 8" xfId="476"/>
    <cellStyle name="Normal 5 4 4 8 2" xfId="1414"/>
    <cellStyle name="Normal 5 4 4 9" xfId="991"/>
    <cellStyle name="Normal 5 4 5" xfId="46"/>
    <cellStyle name="Normal 5 4 5 2" xfId="127"/>
    <cellStyle name="Normal 5 4 5 2 2" xfId="622"/>
    <cellStyle name="Normal 5 4 5 2 2 2" xfId="1544"/>
    <cellStyle name="Normal 5 4 5 2 3" xfId="1076"/>
    <cellStyle name="Normal 5 4 5 3" xfId="179"/>
    <cellStyle name="Normal 5 4 5 3 2" xfId="711"/>
    <cellStyle name="Normal 5 4 5 3 2 2" xfId="1633"/>
    <cellStyle name="Normal 5 4 5 3 3" xfId="1126"/>
    <cellStyle name="Normal 5 4 5 4" xfId="224"/>
    <cellStyle name="Normal 5 4 5 4 2" xfId="755"/>
    <cellStyle name="Normal 5 4 5 4 2 2" xfId="1677"/>
    <cellStyle name="Normal 5 4 5 4 3" xfId="1170"/>
    <cellStyle name="Normal 5 4 5 5" xfId="280"/>
    <cellStyle name="Normal 5 4 5 5 2" xfId="808"/>
    <cellStyle name="Normal 5 4 5 5 2 2" xfId="1730"/>
    <cellStyle name="Normal 5 4 5 5 3" xfId="1225"/>
    <cellStyle name="Normal 5 4 5 6" xfId="328"/>
    <cellStyle name="Normal 5 4 5 6 2" xfId="850"/>
    <cellStyle name="Normal 5 4 5 6 2 2" xfId="1772"/>
    <cellStyle name="Normal 5 4 5 6 3" xfId="1272"/>
    <cellStyle name="Normal 5 4 5 7" xfId="372"/>
    <cellStyle name="Normal 5 4 5 7 2" xfId="887"/>
    <cellStyle name="Normal 5 4 5 7 2 2" xfId="1809"/>
    <cellStyle name="Normal 5 4 5 7 3" xfId="1314"/>
    <cellStyle name="Normal 5 4 5 8" xfId="490"/>
    <cellStyle name="Normal 5 4 5 8 2" xfId="1427"/>
    <cellStyle name="Normal 5 4 5 9" xfId="1003"/>
    <cellStyle name="Normal 5 4 6" xfId="82"/>
    <cellStyle name="Normal 5 4 6 2" xfId="634"/>
    <cellStyle name="Normal 5 4 6 2 2" xfId="1556"/>
    <cellStyle name="Normal 5 4 6 3" xfId="504"/>
    <cellStyle name="Normal 5 4 6 3 2" xfId="1441"/>
    <cellStyle name="Normal 5 4 6 4" xfId="1037"/>
    <cellStyle name="Normal 5 4 7" xfId="97"/>
    <cellStyle name="Normal 5 4 7 2" xfId="648"/>
    <cellStyle name="Normal 5 4 7 2 2" xfId="1570"/>
    <cellStyle name="Normal 5 4 7 3" xfId="508"/>
    <cellStyle name="Normal 5 4 7 3 2" xfId="1445"/>
    <cellStyle name="Normal 5 4 7 4" xfId="1051"/>
    <cellStyle name="Normal 5 4 8" xfId="94"/>
    <cellStyle name="Normal 5 4 8 2" xfId="645"/>
    <cellStyle name="Normal 5 4 8 2 2" xfId="1567"/>
    <cellStyle name="Normal 5 4 8 3" xfId="507"/>
    <cellStyle name="Normal 5 4 8 3 2" xfId="1444"/>
    <cellStyle name="Normal 5 4 8 4" xfId="1048"/>
    <cellStyle name="Normal 5 4 9" xfId="142"/>
    <cellStyle name="Normal 5 4 9 2" xfId="675"/>
    <cellStyle name="Normal 5 4 9 2 2" xfId="1597"/>
    <cellStyle name="Normal 5 4 9 3" xfId="520"/>
    <cellStyle name="Normal 5 4 9 3 2" xfId="1455"/>
    <cellStyle name="Normal 5 4 9 4" xfId="1090"/>
    <cellStyle name="Normal 5 5" xfId="16"/>
    <cellStyle name="Normal 5 5 10" xfId="285"/>
    <cellStyle name="Normal 5 5 10 2" xfId="813"/>
    <cellStyle name="Normal 5 5 10 2 2" xfId="1735"/>
    <cellStyle name="Normal 5 5 10 3" xfId="544"/>
    <cellStyle name="Normal 5 5 10 3 2" xfId="1475"/>
    <cellStyle name="Normal 5 5 10 4" xfId="1230"/>
    <cellStyle name="Normal 5 5 11" xfId="333"/>
    <cellStyle name="Normal 5 5 11 2" xfId="596"/>
    <cellStyle name="Normal 5 5 11 2 2" xfId="1518"/>
    <cellStyle name="Normal 5 5 11 3" xfId="1277"/>
    <cellStyle name="Normal 5 5 12" xfId="385"/>
    <cellStyle name="Normal 5 5 12 2" xfId="899"/>
    <cellStyle name="Normal 5 5 12 2 2" xfId="1821"/>
    <cellStyle name="Normal 5 5 12 3" xfId="1326"/>
    <cellStyle name="Normal 5 5 13" xfId="411"/>
    <cellStyle name="Normal 5 5 13 2" xfId="923"/>
    <cellStyle name="Normal 5 5 13 2 2" xfId="1845"/>
    <cellStyle name="Normal 5 5 13 3" xfId="1350"/>
    <cellStyle name="Normal 5 5 14" xfId="436"/>
    <cellStyle name="Normal 5 5 14 2" xfId="947"/>
    <cellStyle name="Normal 5 5 14 2 2" xfId="1869"/>
    <cellStyle name="Normal 5 5 14 3" xfId="1374"/>
    <cellStyle name="Normal 5 5 15" xfId="460"/>
    <cellStyle name="Normal 5 5 15 2" xfId="1398"/>
    <cellStyle name="Normal 5 5 16" xfId="975"/>
    <cellStyle name="Normal 5 5 2" xfId="29"/>
    <cellStyle name="Normal 5 5 2 10" xfId="448"/>
    <cellStyle name="Normal 5 5 2 10 2" xfId="959"/>
    <cellStyle name="Normal 5 5 2 10 2 2" xfId="1881"/>
    <cellStyle name="Normal 5 5 2 10 3" xfId="1386"/>
    <cellStyle name="Normal 5 5 2 11" xfId="472"/>
    <cellStyle name="Normal 5 5 2 11 2" xfId="1410"/>
    <cellStyle name="Normal 5 5 2 12" xfId="987"/>
    <cellStyle name="Normal 5 5 2 2" xfId="66"/>
    <cellStyle name="Normal 5 5 2 2 2" xfId="608"/>
    <cellStyle name="Normal 5 5 2 2 2 2" xfId="1530"/>
    <cellStyle name="Normal 5 5 2 2 3" xfId="1023"/>
    <cellStyle name="Normal 5 5 2 3" xfId="154"/>
    <cellStyle name="Normal 5 5 2 3 2" xfId="686"/>
    <cellStyle name="Normal 5 5 2 3 2 2" xfId="1608"/>
    <cellStyle name="Normal 5 5 2 3 3" xfId="1101"/>
    <cellStyle name="Normal 5 5 2 4" xfId="199"/>
    <cellStyle name="Normal 5 5 2 4 2" xfId="730"/>
    <cellStyle name="Normal 5 5 2 4 2 2" xfId="1652"/>
    <cellStyle name="Normal 5 5 2 4 3" xfId="1145"/>
    <cellStyle name="Normal 5 5 2 5" xfId="255"/>
    <cellStyle name="Normal 5 5 2 5 2" xfId="783"/>
    <cellStyle name="Normal 5 5 2 5 2 2" xfId="1705"/>
    <cellStyle name="Normal 5 5 2 5 3" xfId="1200"/>
    <cellStyle name="Normal 5 5 2 6" xfId="303"/>
    <cellStyle name="Normal 5 5 2 6 2" xfId="826"/>
    <cellStyle name="Normal 5 5 2 6 2 2" xfId="1748"/>
    <cellStyle name="Normal 5 5 2 6 3" xfId="1247"/>
    <cellStyle name="Normal 5 5 2 7" xfId="348"/>
    <cellStyle name="Normal 5 5 2 7 2" xfId="863"/>
    <cellStyle name="Normal 5 5 2 7 2 2" xfId="1785"/>
    <cellStyle name="Normal 5 5 2 7 3" xfId="1290"/>
    <cellStyle name="Normal 5 5 2 8" xfId="398"/>
    <cellStyle name="Normal 5 5 2 8 2" xfId="911"/>
    <cellStyle name="Normal 5 5 2 8 2 2" xfId="1833"/>
    <cellStyle name="Normal 5 5 2 8 3" xfId="1338"/>
    <cellStyle name="Normal 5 5 2 9" xfId="423"/>
    <cellStyle name="Normal 5 5 2 9 2" xfId="935"/>
    <cellStyle name="Normal 5 5 2 9 2 2" xfId="1857"/>
    <cellStyle name="Normal 5 5 2 9 3" xfId="1362"/>
    <cellStyle name="Normal 5 5 3" xfId="42"/>
    <cellStyle name="Normal 5 5 3 2" xfId="78"/>
    <cellStyle name="Normal 5 5 3 2 2" xfId="620"/>
    <cellStyle name="Normal 5 5 3 2 2 2" xfId="1542"/>
    <cellStyle name="Normal 5 5 3 2 3" xfId="1035"/>
    <cellStyle name="Normal 5 5 3 3" xfId="176"/>
    <cellStyle name="Normal 5 5 3 3 2" xfId="708"/>
    <cellStyle name="Normal 5 5 3 3 2 2" xfId="1630"/>
    <cellStyle name="Normal 5 5 3 3 3" xfId="1123"/>
    <cellStyle name="Normal 5 5 3 4" xfId="221"/>
    <cellStyle name="Normal 5 5 3 4 2" xfId="752"/>
    <cellStyle name="Normal 5 5 3 4 2 2" xfId="1674"/>
    <cellStyle name="Normal 5 5 3 4 3" xfId="1167"/>
    <cellStyle name="Normal 5 5 3 5" xfId="277"/>
    <cellStyle name="Normal 5 5 3 5 2" xfId="805"/>
    <cellStyle name="Normal 5 5 3 5 2 2" xfId="1727"/>
    <cellStyle name="Normal 5 5 3 5 3" xfId="1222"/>
    <cellStyle name="Normal 5 5 3 6" xfId="325"/>
    <cellStyle name="Normal 5 5 3 6 2" xfId="848"/>
    <cellStyle name="Normal 5 5 3 6 2 2" xfId="1770"/>
    <cellStyle name="Normal 5 5 3 6 3" xfId="1269"/>
    <cellStyle name="Normal 5 5 3 7" xfId="370"/>
    <cellStyle name="Normal 5 5 3 7 2" xfId="885"/>
    <cellStyle name="Normal 5 5 3 7 2 2" xfId="1807"/>
    <cellStyle name="Normal 5 5 3 7 3" xfId="1312"/>
    <cellStyle name="Normal 5 5 3 8" xfId="484"/>
    <cellStyle name="Normal 5 5 3 8 2" xfId="1422"/>
    <cellStyle name="Normal 5 5 3 9" xfId="999"/>
    <cellStyle name="Normal 5 5 4" xfId="54"/>
    <cellStyle name="Normal 5 5 4 2" xfId="115"/>
    <cellStyle name="Normal 5 5 4 2 2" xfId="632"/>
    <cellStyle name="Normal 5 5 4 2 2 2" xfId="1554"/>
    <cellStyle name="Normal 5 5 4 2 3" xfId="1065"/>
    <cellStyle name="Normal 5 5 4 3" xfId="155"/>
    <cellStyle name="Normal 5 5 4 3 2" xfId="687"/>
    <cellStyle name="Normal 5 5 4 3 2 2" xfId="1609"/>
    <cellStyle name="Normal 5 5 4 3 3" xfId="1102"/>
    <cellStyle name="Normal 5 5 4 4" xfId="200"/>
    <cellStyle name="Normal 5 5 4 4 2" xfId="731"/>
    <cellStyle name="Normal 5 5 4 4 2 2" xfId="1653"/>
    <cellStyle name="Normal 5 5 4 4 3" xfId="1146"/>
    <cellStyle name="Normal 5 5 4 5" xfId="256"/>
    <cellStyle name="Normal 5 5 4 5 2" xfId="784"/>
    <cellStyle name="Normal 5 5 4 5 2 2" xfId="1706"/>
    <cellStyle name="Normal 5 5 4 5 3" xfId="1201"/>
    <cellStyle name="Normal 5 5 4 6" xfId="304"/>
    <cellStyle name="Normal 5 5 4 6 2" xfId="827"/>
    <cellStyle name="Normal 5 5 4 6 2 2" xfId="1749"/>
    <cellStyle name="Normal 5 5 4 6 3" xfId="1248"/>
    <cellStyle name="Normal 5 5 4 7" xfId="349"/>
    <cellStyle name="Normal 5 5 4 7 2" xfId="864"/>
    <cellStyle name="Normal 5 5 4 7 2 2" xfId="1786"/>
    <cellStyle name="Normal 5 5 4 7 3" xfId="1291"/>
    <cellStyle name="Normal 5 5 4 8" xfId="500"/>
    <cellStyle name="Normal 5 5 4 8 2" xfId="1437"/>
    <cellStyle name="Normal 5 5 4 9" xfId="1011"/>
    <cellStyle name="Normal 5 5 5" xfId="92"/>
    <cellStyle name="Normal 5 5 5 2" xfId="644"/>
    <cellStyle name="Normal 5 5 5 2 2" xfId="1566"/>
    <cellStyle name="Normal 5 5 5 3" xfId="509"/>
    <cellStyle name="Normal 5 5 5 3 2" xfId="1446"/>
    <cellStyle name="Normal 5 5 5 4" xfId="1047"/>
    <cellStyle name="Normal 5 5 6" xfId="107"/>
    <cellStyle name="Normal 5 5 6 2" xfId="658"/>
    <cellStyle name="Normal 5 5 6 2 2" xfId="1580"/>
    <cellStyle name="Normal 5 5 6 3" xfId="487"/>
    <cellStyle name="Normal 5 5 6 3 2" xfId="1424"/>
    <cellStyle name="Normal 5 5 6 4" xfId="1061"/>
    <cellStyle name="Normal 5 5 7" xfId="136"/>
    <cellStyle name="Normal 5 5 7 2" xfId="670"/>
    <cellStyle name="Normal 5 5 7 2 2" xfId="1592"/>
    <cellStyle name="Normal 5 5 7 3" xfId="501"/>
    <cellStyle name="Normal 5 5 7 3 2" xfId="1438"/>
    <cellStyle name="Normal 5 5 7 4" xfId="1085"/>
    <cellStyle name="Normal 5 5 8" xfId="184"/>
    <cellStyle name="Normal 5 5 8 2" xfId="716"/>
    <cellStyle name="Normal 5 5 8 2 2" xfId="1638"/>
    <cellStyle name="Normal 5 5 8 3" xfId="516"/>
    <cellStyle name="Normal 5 5 8 3 2" xfId="1451"/>
    <cellStyle name="Normal 5 5 8 4" xfId="1131"/>
    <cellStyle name="Normal 5 5 9" xfId="236"/>
    <cellStyle name="Normal 5 5 9 2" xfId="767"/>
    <cellStyle name="Normal 5 5 9 2 2" xfId="1689"/>
    <cellStyle name="Normal 5 5 9 3" xfId="530"/>
    <cellStyle name="Normal 5 5 9 3 2" xfId="1463"/>
    <cellStyle name="Normal 5 5 9 4" xfId="1182"/>
    <cellStyle name="Normal 5 6" xfId="18"/>
    <cellStyle name="Normal 5 6 10" xfId="425"/>
    <cellStyle name="Normal 5 6 10 2" xfId="936"/>
    <cellStyle name="Normal 5 6 10 2 2" xfId="1858"/>
    <cellStyle name="Normal 5 6 10 3" xfId="1363"/>
    <cellStyle name="Normal 5 6 11" xfId="461"/>
    <cellStyle name="Normal 5 6 11 2" xfId="1399"/>
    <cellStyle name="Normal 5 6 12" xfId="976"/>
    <cellStyle name="Normal 5 6 2" xfId="55"/>
    <cellStyle name="Normal 5 6 2 2" xfId="597"/>
    <cellStyle name="Normal 5 6 2 2 2" xfId="1519"/>
    <cellStyle name="Normal 5 6 2 3" xfId="1012"/>
    <cellStyle name="Normal 5 6 3" xfId="137"/>
    <cellStyle name="Normal 5 6 3 2" xfId="671"/>
    <cellStyle name="Normal 5 6 3 2 2" xfId="1593"/>
    <cellStyle name="Normal 5 6 3 3" xfId="1086"/>
    <cellStyle name="Normal 5 6 4" xfId="185"/>
    <cellStyle name="Normal 5 6 4 2" xfId="717"/>
    <cellStyle name="Normal 5 6 4 2 2" xfId="1639"/>
    <cellStyle name="Normal 5 6 4 3" xfId="1132"/>
    <cellStyle name="Normal 5 6 5" xfId="237"/>
    <cellStyle name="Normal 5 6 5 2" xfId="768"/>
    <cellStyle name="Normal 5 6 5 2 2" xfId="1690"/>
    <cellStyle name="Normal 5 6 5 3" xfId="1183"/>
    <cellStyle name="Normal 5 6 6" xfId="286"/>
    <cellStyle name="Normal 5 6 6 2" xfId="814"/>
    <cellStyle name="Normal 5 6 6 2 2" xfId="1736"/>
    <cellStyle name="Normal 5 6 6 3" xfId="1231"/>
    <cellStyle name="Normal 5 6 7" xfId="334"/>
    <cellStyle name="Normal 5 6 7 2" xfId="851"/>
    <cellStyle name="Normal 5 6 7 2 2" xfId="1773"/>
    <cellStyle name="Normal 5 6 7 3" xfId="1278"/>
    <cellStyle name="Normal 5 6 8" xfId="374"/>
    <cellStyle name="Normal 5 6 8 2" xfId="888"/>
    <cellStyle name="Normal 5 6 8 2 2" xfId="1810"/>
    <cellStyle name="Normal 5 6 8 3" xfId="1315"/>
    <cellStyle name="Normal 5 6 9" xfId="400"/>
    <cellStyle name="Normal 5 6 9 2" xfId="912"/>
    <cellStyle name="Normal 5 6 9 2 2" xfId="1834"/>
    <cellStyle name="Normal 5 6 9 3" xfId="1339"/>
    <cellStyle name="Normal 5 7" xfId="31"/>
    <cellStyle name="Normal 5 7 10" xfId="437"/>
    <cellStyle name="Normal 5 7 10 2" xfId="948"/>
    <cellStyle name="Normal 5 7 10 2 2" xfId="1870"/>
    <cellStyle name="Normal 5 7 10 3" xfId="1375"/>
    <cellStyle name="Normal 5 7 11" xfId="473"/>
    <cellStyle name="Normal 5 7 11 2" xfId="1411"/>
    <cellStyle name="Normal 5 7 12" xfId="988"/>
    <cellStyle name="Normal 5 7 2" xfId="67"/>
    <cellStyle name="Normal 5 7 2 2" xfId="609"/>
    <cellStyle name="Normal 5 7 2 2 2" xfId="1531"/>
    <cellStyle name="Normal 5 7 2 3" xfId="1024"/>
    <cellStyle name="Normal 5 7 3" xfId="159"/>
    <cellStyle name="Normal 5 7 3 2" xfId="691"/>
    <cellStyle name="Normal 5 7 3 2 2" xfId="1613"/>
    <cellStyle name="Normal 5 7 3 3" xfId="1106"/>
    <cellStyle name="Normal 5 7 4" xfId="204"/>
    <cellStyle name="Normal 5 7 4 2" xfId="735"/>
    <cellStyle name="Normal 5 7 4 2 2" xfId="1657"/>
    <cellStyle name="Normal 5 7 4 3" xfId="1150"/>
    <cellStyle name="Normal 5 7 5" xfId="260"/>
    <cellStyle name="Normal 5 7 5 2" xfId="788"/>
    <cellStyle name="Normal 5 7 5 2 2" xfId="1710"/>
    <cellStyle name="Normal 5 7 5 3" xfId="1205"/>
    <cellStyle name="Normal 5 7 6" xfId="308"/>
    <cellStyle name="Normal 5 7 6 2" xfId="831"/>
    <cellStyle name="Normal 5 7 6 2 2" xfId="1753"/>
    <cellStyle name="Normal 5 7 6 3" xfId="1252"/>
    <cellStyle name="Normal 5 7 7" xfId="353"/>
    <cellStyle name="Normal 5 7 7 2" xfId="868"/>
    <cellStyle name="Normal 5 7 7 2 2" xfId="1790"/>
    <cellStyle name="Normal 5 7 7 3" xfId="1295"/>
    <cellStyle name="Normal 5 7 8" xfId="386"/>
    <cellStyle name="Normal 5 7 8 2" xfId="900"/>
    <cellStyle name="Normal 5 7 8 2 2" xfId="1822"/>
    <cellStyle name="Normal 5 7 8 3" xfId="1327"/>
    <cellStyle name="Normal 5 7 9" xfId="412"/>
    <cellStyle name="Normal 5 7 9 2" xfId="924"/>
    <cellStyle name="Normal 5 7 9 2 2" xfId="1846"/>
    <cellStyle name="Normal 5 7 9 3" xfId="1351"/>
    <cellStyle name="Normal 5 8" xfId="43"/>
    <cellStyle name="Normal 5 8 2" xfId="124"/>
    <cellStyle name="Normal 5 8 2 2" xfId="621"/>
    <cellStyle name="Normal 5 8 2 2 2" xfId="1543"/>
    <cellStyle name="Normal 5 8 2 3" xfId="1074"/>
    <cellStyle name="Normal 5 8 3" xfId="165"/>
    <cellStyle name="Normal 5 8 3 2" xfId="697"/>
    <cellStyle name="Normal 5 8 3 2 2" xfId="1619"/>
    <cellStyle name="Normal 5 8 3 3" xfId="1112"/>
    <cellStyle name="Normal 5 8 4" xfId="210"/>
    <cellStyle name="Normal 5 8 4 2" xfId="741"/>
    <cellStyle name="Normal 5 8 4 2 2" xfId="1663"/>
    <cellStyle name="Normal 5 8 4 3" xfId="1156"/>
    <cellStyle name="Normal 5 8 5" xfId="266"/>
    <cellStyle name="Normal 5 8 5 2" xfId="794"/>
    <cellStyle name="Normal 5 8 5 2 2" xfId="1716"/>
    <cellStyle name="Normal 5 8 5 3" xfId="1211"/>
    <cellStyle name="Normal 5 8 6" xfId="314"/>
    <cellStyle name="Normal 5 8 6 2" xfId="837"/>
    <cellStyle name="Normal 5 8 6 2 2" xfId="1759"/>
    <cellStyle name="Normal 5 8 6 3" xfId="1258"/>
    <cellStyle name="Normal 5 8 7" xfId="359"/>
    <cellStyle name="Normal 5 8 7 2" xfId="874"/>
    <cellStyle name="Normal 5 8 7 2 2" xfId="1796"/>
    <cellStyle name="Normal 5 8 7 3" xfId="1301"/>
    <cellStyle name="Normal 5 8 8" xfId="489"/>
    <cellStyle name="Normal 5 8 8 2" xfId="1426"/>
    <cellStyle name="Normal 5 8 9" xfId="1000"/>
    <cellStyle name="Normal 5 9" xfId="81"/>
    <cellStyle name="Normal 5 9 2" xfId="633"/>
    <cellStyle name="Normal 5 9 2 2" xfId="1555"/>
    <cellStyle name="Normal 5 9 3" xfId="517"/>
    <cellStyle name="Normal 5 9 3 2" xfId="1452"/>
    <cellStyle name="Normal 5 9 4" xfId="1036"/>
    <cellStyle name="Normal 6" xfId="17"/>
    <cellStyle name="Normal 6 2" xfId="512"/>
    <cellStyle name="Normal 6 3" xfId="526"/>
    <cellStyle name="Normal 6 4" xfId="540"/>
    <cellStyle name="Normal 6 5" xfId="554"/>
    <cellStyle name="Normal 6 6" xfId="567"/>
    <cellStyle name="Normal 6 7" xfId="575"/>
    <cellStyle name="Normal 6 8" xfId="583"/>
    <cellStyle name="Normal 7" xfId="4"/>
    <cellStyle name="Normal 8" xfId="30"/>
    <cellStyle name="Normal 8 2" xfId="513"/>
    <cellStyle name="Normal 8 3" xfId="527"/>
    <cellStyle name="Normal 8 4" xfId="541"/>
    <cellStyle name="Normal 8 5" xfId="555"/>
    <cellStyle name="Normal 8 6" xfId="568"/>
    <cellStyle name="Normal 8 7" xfId="576"/>
    <cellStyle name="Normal 8 8" xfId="584"/>
    <cellStyle name="Normal 9" xfId="485"/>
    <cellStyle name="Normal 9 2" xfId="79"/>
  </cellStyles>
  <dxfs count="181">
    <dxf>
      <font>
        <color theme="0" tint="-0.24994659260841701"/>
      </font>
    </dxf>
    <dxf>
      <fill>
        <patternFill>
          <bgColor rgb="FFFF0000"/>
        </patternFill>
      </fill>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34998626667073579"/>
      </font>
    </dxf>
    <dxf>
      <font>
        <color theme="0" tint="-0.24994659260841701"/>
      </font>
    </dxf>
    <dxf>
      <fill>
        <patternFill>
          <bgColor rgb="FFFF0000"/>
        </patternFill>
      </fill>
    </dxf>
    <dxf>
      <font>
        <color theme="0" tint="-0.24994659260841701"/>
      </font>
      <fill>
        <patternFill>
          <bgColor theme="0" tint="-0.24994659260841701"/>
        </patternFill>
      </fill>
    </dxf>
    <dxf>
      <fill>
        <patternFill>
          <bgColor rgb="FFFF0000"/>
        </patternFill>
      </fill>
    </dxf>
    <dxf>
      <font>
        <b/>
        <i val="0"/>
        <color theme="9" tint="-0.24994659260841701"/>
      </font>
    </dxf>
    <dxf>
      <fill>
        <patternFill>
          <bgColor rgb="FFFF0000"/>
        </patternFill>
      </fill>
    </dxf>
    <dxf>
      <fill>
        <patternFill>
          <bgColor rgb="FFFF0000"/>
        </patternFill>
      </fill>
    </dxf>
    <dxf>
      <fill>
        <patternFill>
          <bgColor rgb="FFFF0000"/>
        </patternFill>
      </fill>
    </dxf>
    <dxf>
      <fill>
        <patternFill>
          <bgColor theme="0" tint="-0.24994659260841701"/>
        </patternFill>
      </fill>
    </dxf>
    <dxf>
      <font>
        <color theme="0" tint="-0.24994659260841701"/>
      </font>
      <fill>
        <patternFill>
          <bgColor theme="0" tint="-0.24994659260841701"/>
        </patternFill>
      </fill>
    </dxf>
    <dxf>
      <fill>
        <patternFill>
          <bgColor rgb="FFFF0000"/>
        </patternFill>
      </fill>
    </dxf>
    <dxf>
      <fill>
        <patternFill>
          <bgColor rgb="FFFFC000"/>
        </patternFill>
      </fill>
    </dxf>
    <dxf>
      <fill>
        <patternFill>
          <bgColor rgb="FFFFC000"/>
        </patternFill>
      </fill>
    </dxf>
    <dxf>
      <fill>
        <patternFill>
          <bgColor rgb="FFFF0000"/>
        </patternFill>
      </fill>
    </dxf>
    <dxf>
      <font>
        <b/>
        <i val="0"/>
        <color theme="9" tint="-0.499984740745262"/>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tint="-0.34998626667073579"/>
      </font>
    </dxf>
    <dxf>
      <font>
        <color rgb="FFFF0000"/>
      </font>
    </dxf>
    <dxf>
      <fill>
        <patternFill>
          <bgColor rgb="FFFFC000"/>
        </patternFill>
      </fill>
    </dxf>
    <dxf>
      <fill>
        <patternFill>
          <bgColor rgb="FFFFFF00"/>
        </patternFill>
      </fill>
    </dxf>
    <dxf>
      <fill>
        <patternFill>
          <bgColor theme="6"/>
        </patternFill>
      </fill>
    </dxf>
    <dxf>
      <fill>
        <patternFill>
          <bgColor theme="9" tint="0.39994506668294322"/>
        </patternFill>
      </fill>
    </dxf>
    <dxf>
      <fill>
        <patternFill>
          <bgColor theme="9" tint="-0.24994659260841701"/>
        </patternFill>
      </fill>
    </dxf>
    <dxf>
      <fill>
        <patternFill>
          <bgColor rgb="FFFFFF00"/>
        </patternFill>
      </fill>
    </dxf>
    <dxf>
      <fill>
        <patternFill>
          <bgColor theme="7" tint="-0.24994659260841701"/>
        </patternFill>
      </fill>
    </dxf>
    <dxf>
      <fill>
        <patternFill>
          <bgColor theme="8" tint="-0.24994659260841701"/>
        </patternFill>
      </fill>
    </dxf>
    <dxf>
      <fill>
        <patternFill>
          <bgColor theme="2" tint="-0.499984740745262"/>
        </patternFill>
      </fill>
    </dxf>
    <dxf>
      <fill>
        <patternFill>
          <bgColor theme="6" tint="-0.24994659260841701"/>
        </patternFill>
      </fill>
    </dxf>
    <dxf>
      <font>
        <color theme="0" tint="-0.499984740745262"/>
      </font>
      <fill>
        <patternFill>
          <bgColor theme="0" tint="-0.24994659260841701"/>
        </patternFill>
      </fill>
    </dxf>
    <dxf>
      <fill>
        <patternFill>
          <bgColor rgb="FFFFC000"/>
        </patternFill>
      </fill>
    </dxf>
    <dxf>
      <fill>
        <patternFill>
          <bgColor rgb="FF92D050"/>
        </patternFill>
      </fill>
    </dxf>
    <dxf>
      <fill>
        <patternFill>
          <bgColor rgb="FFFF0000"/>
        </patternFill>
      </fill>
    </dxf>
    <dxf>
      <fill>
        <patternFill>
          <bgColor theme="0" tint="-0.24994659260841701"/>
        </patternFill>
      </fill>
    </dxf>
    <dxf>
      <fill>
        <patternFill>
          <bgColor theme="0" tint="-0.24994659260841701"/>
        </patternFill>
      </fill>
    </dxf>
    <dxf>
      <font>
        <color theme="0" tint="-0.24994659260841701"/>
      </font>
      <fill>
        <patternFill>
          <bgColor theme="0" tint="-0.24994659260841701"/>
        </patternFill>
      </fill>
    </dxf>
    <dxf>
      <font>
        <b/>
        <i val="0"/>
        <color theme="9" tint="-0.24994659260841701"/>
      </font>
    </dxf>
    <dxf>
      <fill>
        <patternFill>
          <bgColor theme="0" tint="-0.24994659260841701"/>
        </patternFill>
      </fill>
    </dxf>
    <dxf>
      <font>
        <color theme="0" tint="-0.24994659260841701"/>
      </font>
      <fill>
        <patternFill>
          <bgColor theme="0" tint="-0.24994659260841701"/>
        </patternFill>
      </fill>
    </dxf>
    <dxf>
      <fill>
        <patternFill>
          <bgColor rgb="FFFF0000"/>
        </patternFill>
      </fill>
    </dxf>
    <dxf>
      <fill>
        <patternFill>
          <bgColor rgb="FFFF0000"/>
        </patternFill>
      </fill>
    </dxf>
    <dxf>
      <fill>
        <patternFill>
          <bgColor rgb="FFFF0000"/>
        </patternFill>
      </fill>
    </dxf>
    <dxf>
      <font>
        <color rgb="FFFF0000"/>
      </font>
    </dxf>
    <dxf>
      <font>
        <b/>
        <i/>
        <color rgb="FFFF0000"/>
      </font>
      <fill>
        <patternFill>
          <bgColor theme="1"/>
        </patternFill>
      </fill>
    </dxf>
    <dxf>
      <fill>
        <patternFill>
          <bgColor theme="5" tint="0.39994506668294322"/>
        </patternFill>
      </fill>
    </dxf>
    <dxf>
      <font>
        <color theme="0" tint="-0.24994659260841701"/>
      </font>
    </dxf>
    <dxf>
      <fill>
        <patternFill>
          <bgColor rgb="FFFF0000"/>
        </patternFill>
      </fill>
    </dxf>
    <dxf>
      <font>
        <color theme="0" tint="-0.24994659260841701"/>
      </font>
    </dxf>
    <dxf>
      <font>
        <color theme="0" tint="-0.24994659260841701"/>
      </font>
    </dxf>
    <dxf>
      <font>
        <color theme="0" tint="-0.24994659260841701"/>
      </font>
    </dxf>
    <dxf>
      <font>
        <color theme="0" tint="-0.24994659260841701"/>
      </font>
    </dxf>
    <dxf>
      <font>
        <color theme="0" tint="-0.34998626667073579"/>
      </font>
    </dxf>
    <dxf>
      <font>
        <color theme="0" tint="-0.24994659260841701"/>
      </font>
    </dxf>
    <dxf>
      <fill>
        <patternFill>
          <bgColor rgb="FFFF0000"/>
        </patternFill>
      </fill>
    </dxf>
    <dxf>
      <font>
        <color theme="0" tint="-0.24994659260841701"/>
      </font>
      <fill>
        <patternFill>
          <bgColor theme="0" tint="-0.24994659260841701"/>
        </patternFill>
      </fill>
    </dxf>
    <dxf>
      <fill>
        <patternFill>
          <bgColor rgb="FFFF0000"/>
        </patternFill>
      </fill>
    </dxf>
    <dxf>
      <font>
        <b/>
        <i val="0"/>
        <color theme="9" tint="-0.24994659260841701"/>
      </font>
    </dxf>
    <dxf>
      <fill>
        <patternFill>
          <bgColor rgb="FFFF0000"/>
        </patternFill>
      </fill>
    </dxf>
    <dxf>
      <fill>
        <patternFill>
          <bgColor rgb="FFFF0000"/>
        </patternFill>
      </fill>
    </dxf>
    <dxf>
      <fill>
        <patternFill>
          <bgColor rgb="FFFF0000"/>
        </patternFill>
      </fill>
    </dxf>
    <dxf>
      <fill>
        <patternFill>
          <bgColor theme="0" tint="-0.24994659260841701"/>
        </patternFill>
      </fill>
    </dxf>
    <dxf>
      <font>
        <color theme="0" tint="-0.24994659260841701"/>
      </font>
      <fill>
        <patternFill>
          <bgColor theme="0" tint="-0.24994659260841701"/>
        </patternFill>
      </fill>
    </dxf>
    <dxf>
      <fill>
        <patternFill>
          <bgColor rgb="FFFF0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tint="-0.34998626667073579"/>
      </font>
    </dxf>
    <dxf>
      <font>
        <b/>
        <i val="0"/>
        <color theme="9" tint="-0.499984740745262"/>
      </font>
    </dxf>
    <dxf>
      <fill>
        <patternFill>
          <bgColor rgb="FFFFC000"/>
        </patternFill>
      </fill>
    </dxf>
    <dxf>
      <fill>
        <patternFill>
          <bgColor theme="6"/>
        </patternFill>
      </fill>
    </dxf>
    <dxf>
      <fill>
        <patternFill>
          <bgColor rgb="FFFFFF00"/>
        </patternFill>
      </fill>
    </dxf>
    <dxf>
      <fill>
        <patternFill>
          <bgColor theme="2" tint="-0.499984740745262"/>
        </patternFill>
      </fill>
    </dxf>
    <dxf>
      <fill>
        <patternFill>
          <bgColor theme="8" tint="-0.24994659260841701"/>
        </patternFill>
      </fill>
    </dxf>
    <dxf>
      <fill>
        <patternFill>
          <bgColor theme="9" tint="-0.24994659260841701"/>
        </patternFill>
      </fill>
    </dxf>
    <dxf>
      <fill>
        <patternFill>
          <bgColor rgb="FFFFFF00"/>
        </patternFill>
      </fill>
    </dxf>
    <dxf>
      <fill>
        <patternFill>
          <bgColor theme="7" tint="-0.24994659260841701"/>
        </patternFill>
      </fill>
    </dxf>
    <dxf>
      <fill>
        <patternFill>
          <bgColor theme="6" tint="-0.24994659260841701"/>
        </patternFill>
      </fill>
    </dxf>
    <dxf>
      <fill>
        <patternFill>
          <bgColor theme="9" tint="0.39994506668294322"/>
        </patternFill>
      </fill>
    </dxf>
    <dxf>
      <font>
        <color theme="0" tint="-0.499984740745262"/>
      </font>
      <fill>
        <patternFill>
          <bgColor theme="0" tint="-0.24994659260841701"/>
        </patternFill>
      </fill>
    </dxf>
    <dxf>
      <fill>
        <patternFill>
          <bgColor theme="0" tint="-0.24994659260841701"/>
        </patternFill>
      </fill>
    </dxf>
    <dxf>
      <fill>
        <patternFill>
          <bgColor rgb="FF92D050"/>
        </patternFill>
      </fill>
    </dxf>
    <dxf>
      <fill>
        <patternFill>
          <bgColor rgb="FFFFC000"/>
        </patternFill>
      </fill>
    </dxf>
    <dxf>
      <fill>
        <patternFill>
          <bgColor theme="0" tint="-0.24994659260841701"/>
        </patternFill>
      </fill>
    </dxf>
    <dxf>
      <font>
        <color theme="0" tint="-0.499984740745262"/>
      </font>
      <fill>
        <patternFill>
          <bgColor theme="0" tint="-0.24994659260841701"/>
        </patternFill>
      </fill>
    </dxf>
    <dxf>
      <fill>
        <patternFill>
          <bgColor rgb="FFFFC000"/>
        </patternFill>
      </fill>
    </dxf>
    <dxf>
      <fill>
        <patternFill>
          <bgColor rgb="FFFF0000"/>
        </patternFill>
      </fill>
    </dxf>
    <dxf>
      <font>
        <color theme="0" tint="-0.499984740745262"/>
      </font>
      <fill>
        <patternFill>
          <bgColor theme="0" tint="-0.24994659260841701"/>
        </patternFill>
      </fill>
    </dxf>
    <dxf>
      <fill>
        <patternFill>
          <bgColor rgb="FF92D050"/>
        </patternFill>
      </fill>
    </dxf>
    <dxf>
      <fill>
        <patternFill>
          <bgColor theme="0" tint="-0.24994659260841701"/>
        </patternFill>
      </fill>
    </dxf>
    <dxf>
      <fill>
        <patternFill>
          <bgColor rgb="FFFFC000"/>
        </patternFill>
      </fill>
    </dxf>
    <dxf>
      <fill>
        <patternFill>
          <bgColor theme="0" tint="-0.24994659260841701"/>
        </patternFill>
      </fill>
    </dxf>
    <dxf>
      <font>
        <color theme="0" tint="-0.24994659260841701"/>
      </font>
      <fill>
        <patternFill>
          <bgColor theme="0" tint="-0.24994659260841701"/>
        </patternFill>
      </fill>
    </dxf>
    <dxf>
      <fill>
        <patternFill>
          <bgColor theme="0" tint="-0.24994659260841701"/>
        </patternFill>
      </fill>
    </dxf>
    <dxf>
      <font>
        <b/>
        <i val="0"/>
        <color theme="9" tint="-0.24994659260841701"/>
      </font>
    </dxf>
    <dxf>
      <font>
        <color theme="0" tint="-0.24994659260841701"/>
      </font>
      <fill>
        <patternFill>
          <bgColor theme="0" tint="-0.24994659260841701"/>
        </patternFill>
      </fill>
    </dxf>
    <dxf>
      <fill>
        <patternFill>
          <bgColor rgb="FFFF0000"/>
        </patternFill>
      </fill>
    </dxf>
    <dxf>
      <fill>
        <patternFill>
          <bgColor rgb="FFFF0000"/>
        </patternFill>
      </fill>
    </dxf>
    <dxf>
      <fill>
        <patternFill>
          <bgColor rgb="FFFF0000"/>
        </patternFill>
      </fill>
    </dxf>
    <dxf>
      <font>
        <color rgb="FFFF0000"/>
      </font>
    </dxf>
    <dxf>
      <fill>
        <patternFill>
          <bgColor theme="5" tint="0.39994506668294322"/>
        </patternFill>
      </fill>
    </dxf>
    <dxf>
      <font>
        <color theme="0" tint="-0.24994659260841701"/>
      </font>
    </dxf>
    <dxf>
      <fill>
        <patternFill>
          <bgColor rgb="FFFF0000"/>
        </patternFill>
      </fill>
    </dxf>
    <dxf>
      <font>
        <color theme="0" tint="-0.24994659260841701"/>
      </font>
    </dxf>
    <dxf>
      <font>
        <color theme="0" tint="-0.24994659260841701"/>
      </font>
    </dxf>
    <dxf>
      <font>
        <color theme="0" tint="-0.24994659260841701"/>
      </font>
    </dxf>
    <dxf>
      <font>
        <color theme="0" tint="-0.24994659260841701"/>
      </font>
    </dxf>
    <dxf>
      <font>
        <color theme="0" tint="-0.34998626667073579"/>
      </font>
    </dxf>
    <dxf>
      <font>
        <color theme="0" tint="-0.24994659260841701"/>
      </font>
    </dxf>
    <dxf>
      <fill>
        <patternFill>
          <bgColor rgb="FFFF0000"/>
        </patternFill>
      </fill>
    </dxf>
    <dxf>
      <font>
        <color theme="0" tint="-0.24994659260841701"/>
      </font>
      <fill>
        <patternFill>
          <bgColor theme="0" tint="-0.24994659260841701"/>
        </patternFill>
      </fill>
    </dxf>
    <dxf>
      <fill>
        <patternFill>
          <bgColor rgb="FFFF0000"/>
        </patternFill>
      </fill>
    </dxf>
    <dxf>
      <font>
        <b/>
        <i val="0"/>
        <color theme="9" tint="-0.24994659260841701"/>
      </font>
    </dxf>
    <dxf>
      <fill>
        <patternFill>
          <bgColor rgb="FFFF0000"/>
        </patternFill>
      </fill>
    </dxf>
    <dxf>
      <fill>
        <patternFill>
          <bgColor rgb="FFFF0000"/>
        </patternFill>
      </fill>
    </dxf>
    <dxf>
      <font>
        <b/>
        <i val="0"/>
        <color theme="9" tint="-0.499984740745262"/>
      </font>
    </dxf>
    <dxf>
      <fill>
        <patternFill>
          <bgColor rgb="FFFF0000"/>
        </patternFill>
      </fill>
    </dxf>
    <dxf>
      <fill>
        <patternFill>
          <bgColor theme="0" tint="-0.24994659260841701"/>
        </patternFill>
      </fill>
    </dxf>
    <dxf>
      <font>
        <color theme="0" tint="-0.24994659260841701"/>
      </font>
      <fill>
        <patternFill>
          <bgColor theme="0" tint="-0.24994659260841701"/>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tint="-0.34998626667073579"/>
      </font>
    </dxf>
    <dxf>
      <font>
        <color rgb="FFFF0000"/>
      </font>
    </dxf>
    <dxf>
      <fill>
        <patternFill>
          <bgColor rgb="FFFFC000"/>
        </patternFill>
      </fill>
    </dxf>
    <dxf>
      <fill>
        <patternFill>
          <bgColor theme="6"/>
        </patternFill>
      </fill>
    </dxf>
    <dxf>
      <fill>
        <patternFill>
          <bgColor rgb="FFFFFF00"/>
        </patternFill>
      </fill>
    </dxf>
    <dxf>
      <fill>
        <patternFill>
          <bgColor theme="2" tint="-0.499984740745262"/>
        </patternFill>
      </fill>
    </dxf>
    <dxf>
      <fill>
        <patternFill>
          <bgColor theme="8" tint="-0.24994659260841701"/>
        </patternFill>
      </fill>
    </dxf>
    <dxf>
      <fill>
        <patternFill>
          <bgColor theme="9" tint="-0.24994659260841701"/>
        </patternFill>
      </fill>
    </dxf>
    <dxf>
      <fill>
        <patternFill>
          <bgColor rgb="FFFFFF00"/>
        </patternFill>
      </fill>
    </dxf>
    <dxf>
      <fill>
        <patternFill>
          <bgColor theme="7" tint="-0.24994659260841701"/>
        </patternFill>
      </fill>
    </dxf>
    <dxf>
      <fill>
        <patternFill>
          <bgColor theme="9" tint="0.39994506668294322"/>
        </patternFill>
      </fill>
    </dxf>
    <dxf>
      <fill>
        <patternFill>
          <bgColor theme="6" tint="-0.24994659260841701"/>
        </patternFill>
      </fill>
    </dxf>
    <dxf>
      <font>
        <color theme="0" tint="-0.499984740745262"/>
      </font>
      <fill>
        <patternFill>
          <bgColor theme="0" tint="-0.24994659260841701"/>
        </patternFill>
      </fill>
    </dxf>
    <dxf>
      <fill>
        <patternFill>
          <bgColor rgb="FFFFC000"/>
        </patternFill>
      </fill>
    </dxf>
    <dxf>
      <fill>
        <patternFill>
          <bgColor rgb="FF92D050"/>
        </patternFill>
      </fill>
    </dxf>
    <dxf>
      <fill>
        <patternFill>
          <bgColor rgb="FFFF0000"/>
        </patternFill>
      </fill>
    </dxf>
    <dxf>
      <fill>
        <patternFill>
          <bgColor theme="0" tint="-0.24994659260841701"/>
        </patternFill>
      </fill>
    </dxf>
    <dxf>
      <fill>
        <patternFill>
          <bgColor theme="0" tint="-0.24994659260841701"/>
        </patternFill>
      </fill>
    </dxf>
    <dxf>
      <font>
        <color theme="0" tint="-0.24994659260841701"/>
      </font>
      <fill>
        <patternFill>
          <bgColor theme="0" tint="-0.24994659260841701"/>
        </patternFill>
      </fill>
    </dxf>
    <dxf>
      <font>
        <b/>
        <i val="0"/>
        <color theme="9" tint="-0.24994659260841701"/>
      </font>
    </dxf>
    <dxf>
      <fill>
        <patternFill>
          <bgColor theme="0" tint="-0.24994659260841701"/>
        </patternFill>
      </fill>
    </dxf>
    <dxf>
      <font>
        <color theme="0" tint="-0.24994659260841701"/>
      </font>
      <fill>
        <patternFill>
          <bgColor theme="0" tint="-0.24994659260841701"/>
        </patternFill>
      </fill>
    </dxf>
    <dxf>
      <fill>
        <patternFill>
          <bgColor rgb="FFFF0000"/>
        </patternFill>
      </fill>
    </dxf>
    <dxf>
      <fill>
        <patternFill>
          <bgColor rgb="FFFF0000"/>
        </patternFill>
      </fill>
    </dxf>
    <dxf>
      <fill>
        <patternFill>
          <bgColor rgb="FFFF0000"/>
        </patternFill>
      </fill>
    </dxf>
    <dxf>
      <font>
        <color rgb="FFFF0000"/>
      </font>
    </dxf>
    <dxf>
      <font>
        <b/>
        <i/>
        <color rgb="FFFF0000"/>
      </font>
      <fill>
        <patternFill>
          <bgColor theme="1"/>
        </patternFill>
      </fill>
    </dxf>
    <dxf>
      <fill>
        <patternFill>
          <bgColor theme="5" tint="0.39994506668294322"/>
        </patternFill>
      </fill>
    </dxf>
  </dxfs>
  <tableStyles count="0" defaultTableStyle="TableStyleMedium9" defaultPivotStyle="PivotStyleLight16"/>
  <colors>
    <mruColors>
      <color rgb="FFD9D9D9"/>
      <color rgb="FFCCCC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ustomXml" Target="../customXml/item1.xml"/></Relationships>
</file>

<file path=xl/ctrlProps/ctrlProp1.xml><?xml version="1.0" encoding="utf-8"?>
<formControlPr xmlns="http://schemas.microsoft.com/office/spreadsheetml/2009/9/main" objectType="CheckBox" checked="Checked" fmlaLink="N6" lockText="1" noThreeD="1"/>
</file>

<file path=xl/ctrlProps/ctrlProp2.xml><?xml version="1.0" encoding="utf-8"?>
<formControlPr xmlns="http://schemas.microsoft.com/office/spreadsheetml/2009/9/main" objectType="CheckBox" checked="Checked" fmlaLink="$O$6" lockText="1" noThreeD="1"/>
</file>

<file path=xl/ctrlProps/ctrlProp3.xml><?xml version="1.0" encoding="utf-8"?>
<formControlPr xmlns="http://schemas.microsoft.com/office/spreadsheetml/2009/9/main" objectType="CheckBox" checked="Checked" fmlaLink="N6" lockText="1" noThreeD="1"/>
</file>

<file path=xl/ctrlProps/ctrlProp4.xml><?xml version="1.0" encoding="utf-8"?>
<formControlPr xmlns="http://schemas.microsoft.com/office/spreadsheetml/2009/9/main" objectType="CheckBox" checked="Checked" fmlaLink="$O$6"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18</xdr:col>
      <xdr:colOff>723900</xdr:colOff>
      <xdr:row>0</xdr:row>
      <xdr:rowOff>46424</xdr:rowOff>
    </xdr:from>
    <xdr:to>
      <xdr:col>19</xdr:col>
      <xdr:colOff>1092300</xdr:colOff>
      <xdr:row>4</xdr:row>
      <xdr:rowOff>113113</xdr:rowOff>
    </xdr:to>
    <xdr:pic>
      <xdr:nvPicPr>
        <xdr:cNvPr id="3" name="Image 2">
          <a:extLst>
            <a:ext uri="{FF2B5EF4-FFF2-40B4-BE49-F238E27FC236}">
              <a16:creationId xmlns:a16="http://schemas.microsoft.com/office/drawing/2014/main" xmlns="" id="{00000000-0008-0000-00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xmlns="" val="0"/>
            </a:ext>
          </a:extLst>
        </a:blip>
        <a:srcRect t="-12929" b="-12054"/>
        <a:stretch/>
      </xdr:blipFill>
      <xdr:spPr>
        <a:xfrm>
          <a:off x="13363575" y="46424"/>
          <a:ext cx="1539973" cy="714389"/>
        </a:xfrm>
        <a:prstGeom prst="rect">
          <a:avLst/>
        </a:prstGeom>
        <a:ln w="127000" cap="rnd">
          <a:solidFill>
            <a:srgbClr val="FFFFFF"/>
          </a:solidFill>
        </a:ln>
        <a:effectLst>
          <a:outerShdw blurRad="76200" dist="95250" dir="10500000" sx="97000" sy="23000" kx="900000" algn="br" rotWithShape="0">
            <a:srgbClr val="000000">
              <a:alpha val="20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723900</xdr:colOff>
      <xdr:row>0</xdr:row>
      <xdr:rowOff>46424</xdr:rowOff>
    </xdr:from>
    <xdr:to>
      <xdr:col>19</xdr:col>
      <xdr:colOff>1092300</xdr:colOff>
      <xdr:row>4</xdr:row>
      <xdr:rowOff>113113</xdr:rowOff>
    </xdr:to>
    <xdr:pic>
      <xdr:nvPicPr>
        <xdr:cNvPr id="2" name="Image 1">
          <a:extLst>
            <a:ext uri="{FF2B5EF4-FFF2-40B4-BE49-F238E27FC236}">
              <a16:creationId xmlns:a16="http://schemas.microsoft.com/office/drawing/2014/main" xmlns="" id="{00000000-0008-0000-01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xmlns="" val="0"/>
            </a:ext>
          </a:extLst>
        </a:blip>
        <a:srcRect t="-12929" b="-12054"/>
        <a:stretch/>
      </xdr:blipFill>
      <xdr:spPr>
        <a:xfrm>
          <a:off x="14354175" y="46424"/>
          <a:ext cx="1539975" cy="714389"/>
        </a:xfrm>
        <a:prstGeom prst="rect">
          <a:avLst/>
        </a:prstGeom>
        <a:ln w="127000" cap="rnd">
          <a:solidFill>
            <a:srgbClr val="FFFFFF"/>
          </a:solidFill>
        </a:ln>
        <a:effectLst>
          <a:outerShdw blurRad="76200" dist="95250" dir="10500000" sx="97000" sy="23000" kx="900000" algn="br" rotWithShape="0">
            <a:srgbClr val="000000">
              <a:alpha val="20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723900</xdr:colOff>
      <xdr:row>0</xdr:row>
      <xdr:rowOff>46424</xdr:rowOff>
    </xdr:from>
    <xdr:to>
      <xdr:col>19</xdr:col>
      <xdr:colOff>1092300</xdr:colOff>
      <xdr:row>4</xdr:row>
      <xdr:rowOff>113113</xdr:rowOff>
    </xdr:to>
    <xdr:pic>
      <xdr:nvPicPr>
        <xdr:cNvPr id="2" name="Image 1">
          <a:extLst>
            <a:ext uri="{FF2B5EF4-FFF2-40B4-BE49-F238E27FC236}">
              <a16:creationId xmlns:a16="http://schemas.microsoft.com/office/drawing/2014/main" xmlns="" id="{00000000-0008-0000-02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xmlns="" val="0"/>
            </a:ext>
          </a:extLst>
        </a:blip>
        <a:srcRect t="-12929" b="-12054"/>
        <a:stretch/>
      </xdr:blipFill>
      <xdr:spPr>
        <a:xfrm>
          <a:off x="16182975" y="46424"/>
          <a:ext cx="1539975" cy="714389"/>
        </a:xfrm>
        <a:prstGeom prst="rect">
          <a:avLst/>
        </a:prstGeom>
        <a:ln w="127000" cap="rnd">
          <a:solidFill>
            <a:srgbClr val="FFFFFF"/>
          </a:solidFill>
        </a:ln>
        <a:effectLst>
          <a:outerShdw blurRad="76200" dist="95250" dir="10500000" sx="97000" sy="23000" kx="900000" algn="br" rotWithShape="0">
            <a:srgbClr val="000000">
              <a:alpha val="20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221404</xdr:colOff>
      <xdr:row>1</xdr:row>
      <xdr:rowOff>10032</xdr:rowOff>
    </xdr:from>
    <xdr:to>
      <xdr:col>1</xdr:col>
      <xdr:colOff>1471140</xdr:colOff>
      <xdr:row>1</xdr:row>
      <xdr:rowOff>944926</xdr:rowOff>
    </xdr:to>
    <xdr:pic>
      <xdr:nvPicPr>
        <xdr:cNvPr id="2" name="Image 1">
          <a:extLst>
            <a:ext uri="{FF2B5EF4-FFF2-40B4-BE49-F238E27FC236}">
              <a16:creationId xmlns:a16="http://schemas.microsoft.com/office/drawing/2014/main" xmlns=""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983404" y="1057782"/>
          <a:ext cx="1249736" cy="934894"/>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xdr:col>
      <xdr:colOff>52822</xdr:colOff>
      <xdr:row>0</xdr:row>
      <xdr:rowOff>83994</xdr:rowOff>
    </xdr:from>
    <xdr:to>
      <xdr:col>1</xdr:col>
      <xdr:colOff>1661990</xdr:colOff>
      <xdr:row>0</xdr:row>
      <xdr:rowOff>966919</xdr:rowOff>
    </xdr:to>
    <xdr:pic>
      <xdr:nvPicPr>
        <xdr:cNvPr id="3" name="Image 2" descr="Gecko Alliance's in.ye-V3">
          <a:extLst>
            <a:ext uri="{FF2B5EF4-FFF2-40B4-BE49-F238E27FC236}">
              <a16:creationId xmlns:a16="http://schemas.microsoft.com/office/drawing/2014/main" xmlns="" id="{00000000-0008-0000-0500-000003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xmlns="" val="0"/>
            </a:ext>
          </a:extLst>
        </a:blip>
        <a:srcRect l="12467" t="18444" r="13139" b="13605"/>
        <a:stretch/>
      </xdr:blipFill>
      <xdr:spPr bwMode="auto">
        <a:xfrm>
          <a:off x="814822" y="83994"/>
          <a:ext cx="1609168" cy="88292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roupegecko.sharepoint.com/sites/Projects-ResearchandDevelopment/Documents%20partages/InYT-V3%20(pj3720/Units%20XFER/SP736001-IN.YT-9-H5.5-AMP-3-MIX-V2FLX-BG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roupegecko.sharepoint.com/sites/Projects-ResearchandDevelopment/Documents%20partages/InYT-V3%20(pj3720/D&#233;veloppement%20Produit/D&#233;veloppement%20logiciel/v2/F0-R01-0000-060-E_-_SPxxxxxx_-_IN.Y-V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groupegecko-my.sharepoint.com/personal/lnoblesse_geckoal_com/Documents/Documents/IN.YT-V2FLX/LL/yt-v2flx/SP736001-IN.YT-9-H5.5-AMP-3-MIX-V2FLX-BG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onfig."/>
      <sheetName val="Additional Config."/>
      <sheetName val="QSC"/>
      <sheetName val="Supply Attribution"/>
      <sheetName val="Images"/>
    </sheetNames>
    <sheetDataSet>
      <sheetData sheetId="0">
        <row r="3">
          <cell r="K3">
            <v>9</v>
          </cell>
        </row>
      </sheetData>
      <sheetData sheetId="1"/>
      <sheetData sheetId="2"/>
      <sheetData sheetId="3"/>
      <sheetData sheetId="4"/>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onfig."/>
      <sheetName val="Additional Config."/>
      <sheetName val="Supply Attribution"/>
      <sheetName val="Revision history"/>
    </sheetNames>
    <sheetDataSet>
      <sheetData sheetId="0"/>
      <sheetData sheetId="1"/>
      <sheetData sheetId="2">
        <row r="42">
          <cell r="AI42" t="str">
            <v>Not Installed</v>
          </cell>
          <cell r="AJ42">
            <v>0</v>
          </cell>
          <cell r="AK42">
            <v>0</v>
          </cell>
          <cell r="AL42">
            <v>0</v>
          </cell>
          <cell r="AM42">
            <v>0</v>
          </cell>
          <cell r="AN42">
            <v>0</v>
          </cell>
          <cell r="AO42" t="str">
            <v>Not Installed</v>
          </cell>
          <cell r="AP42" t="str">
            <v>Not Installed</v>
          </cell>
          <cell r="AQ42" t="str">
            <v>Not Installed</v>
          </cell>
          <cell r="AR42" t="str">
            <v>Not Installed</v>
          </cell>
          <cell r="AS42" t="str">
            <v>Not Installed</v>
          </cell>
          <cell r="AT42" t="str">
            <v>Not Installed</v>
          </cell>
          <cell r="AU42" t="str">
            <v>Not Installed</v>
          </cell>
          <cell r="AV42">
            <v>0</v>
          </cell>
        </row>
        <row r="43">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row>
        <row r="44">
          <cell r="AI44" t="str">
            <v>9920-201267</v>
          </cell>
          <cell r="AJ44">
            <v>0</v>
          </cell>
          <cell r="AK44">
            <v>0</v>
          </cell>
          <cell r="AL44">
            <v>0</v>
          </cell>
          <cell r="AM44">
            <v>0</v>
          </cell>
          <cell r="AN44">
            <v>0</v>
          </cell>
          <cell r="AO44" t="str">
            <v>Not Installed</v>
          </cell>
          <cell r="AP44" t="str">
            <v>Not Installed</v>
          </cell>
          <cell r="AQ44" t="str">
            <v>Not Installed</v>
          </cell>
          <cell r="AR44" t="str">
            <v>Not Installed</v>
          </cell>
          <cell r="AS44" t="str">
            <v>K26-P</v>
          </cell>
          <cell r="AT44" t="str">
            <v>Not Installed</v>
          </cell>
          <cell r="AU44" t="str">
            <v>Not Installed</v>
          </cell>
          <cell r="AV44">
            <v>0</v>
          </cell>
        </row>
        <row r="45">
          <cell r="AI45" t="str">
            <v>9920-201267F</v>
          </cell>
          <cell r="AJ45">
            <v>0</v>
          </cell>
          <cell r="AK45">
            <v>0</v>
          </cell>
          <cell r="AL45">
            <v>0</v>
          </cell>
          <cell r="AM45">
            <v>0</v>
          </cell>
          <cell r="AN45">
            <v>0</v>
          </cell>
          <cell r="AO45">
            <v>0</v>
          </cell>
          <cell r="AP45">
            <v>0</v>
          </cell>
          <cell r="AQ45">
            <v>0</v>
          </cell>
          <cell r="AR45">
            <v>0</v>
          </cell>
          <cell r="AS45" t="str">
            <v>F23</v>
          </cell>
          <cell r="AT45">
            <v>0</v>
          </cell>
          <cell r="AU45">
            <v>0</v>
          </cell>
          <cell r="AV45">
            <v>0</v>
          </cell>
        </row>
        <row r="46">
          <cell r="AI46" t="str">
            <v>9920-201091</v>
          </cell>
          <cell r="AJ46">
            <v>0</v>
          </cell>
          <cell r="AK46">
            <v>0</v>
          </cell>
          <cell r="AL46">
            <v>0</v>
          </cell>
          <cell r="AM46">
            <v>0</v>
          </cell>
          <cell r="AN46">
            <v>0</v>
          </cell>
          <cell r="AO46" t="str">
            <v>K22-P</v>
          </cell>
          <cell r="AP46" t="str">
            <v>Not Installed</v>
          </cell>
          <cell r="AQ46" t="str">
            <v>K21-P (P34)</v>
          </cell>
          <cell r="AR46" t="str">
            <v>Not Installed</v>
          </cell>
          <cell r="AS46" t="str">
            <v>Not Installed</v>
          </cell>
          <cell r="AT46" t="str">
            <v>Not Installed</v>
          </cell>
          <cell r="AU46" t="str">
            <v>Not Installed</v>
          </cell>
          <cell r="AV46" t="str">
            <v>(no CO)</v>
          </cell>
        </row>
        <row r="47">
          <cell r="AI47" t="str">
            <v>9920-201091F</v>
          </cell>
          <cell r="AJ47">
            <v>0</v>
          </cell>
          <cell r="AK47">
            <v>0</v>
          </cell>
          <cell r="AL47">
            <v>0</v>
          </cell>
          <cell r="AM47">
            <v>0</v>
          </cell>
          <cell r="AN47">
            <v>0</v>
          </cell>
          <cell r="AO47" t="str">
            <v>F21</v>
          </cell>
          <cell r="AP47">
            <v>0</v>
          </cell>
          <cell r="AQ47" t="str">
            <v>F21</v>
          </cell>
          <cell r="AR47">
            <v>0</v>
          </cell>
          <cell r="AS47">
            <v>0</v>
          </cell>
          <cell r="AT47">
            <v>0</v>
          </cell>
          <cell r="AU47">
            <v>0</v>
          </cell>
          <cell r="AV47">
            <v>0</v>
          </cell>
        </row>
        <row r="48">
          <cell r="AI48" t="str">
            <v>9920-201256</v>
          </cell>
          <cell r="AJ48">
            <v>0</v>
          </cell>
          <cell r="AK48">
            <v>0</v>
          </cell>
          <cell r="AL48">
            <v>0</v>
          </cell>
          <cell r="AM48">
            <v>0</v>
          </cell>
          <cell r="AN48">
            <v>0</v>
          </cell>
          <cell r="AO48" t="str">
            <v>K22-P</v>
          </cell>
          <cell r="AP48" t="str">
            <v>K23-P</v>
          </cell>
          <cell r="AQ48" t="str">
            <v>Not Installed</v>
          </cell>
          <cell r="AR48" t="str">
            <v>Not Installed</v>
          </cell>
          <cell r="AS48" t="str">
            <v>Not Installed</v>
          </cell>
          <cell r="AT48" t="str">
            <v>Not Installed</v>
          </cell>
          <cell r="AU48" t="str">
            <v>Not Installed</v>
          </cell>
          <cell r="AV48" t="str">
            <v>(in.mix - no CO)</v>
          </cell>
        </row>
        <row r="49">
          <cell r="AI49" t="str">
            <v>9920-201256F</v>
          </cell>
          <cell r="AJ49">
            <v>0</v>
          </cell>
          <cell r="AK49">
            <v>0</v>
          </cell>
          <cell r="AL49">
            <v>0</v>
          </cell>
          <cell r="AM49">
            <v>0</v>
          </cell>
          <cell r="AN49">
            <v>0</v>
          </cell>
          <cell r="AO49" t="str">
            <v>F21</v>
          </cell>
          <cell r="AP49" t="str">
            <v>F21</v>
          </cell>
          <cell r="AQ49">
            <v>0</v>
          </cell>
          <cell r="AR49">
            <v>0</v>
          </cell>
          <cell r="AS49">
            <v>0</v>
          </cell>
          <cell r="AT49">
            <v>0</v>
          </cell>
          <cell r="AU49">
            <v>0</v>
          </cell>
          <cell r="AV49">
            <v>0</v>
          </cell>
        </row>
        <row r="50">
          <cell r="AI50" t="str">
            <v>9920-201116</v>
          </cell>
          <cell r="AJ50">
            <v>0</v>
          </cell>
          <cell r="AK50">
            <v>0</v>
          </cell>
          <cell r="AL50">
            <v>0</v>
          </cell>
          <cell r="AM50">
            <v>0</v>
          </cell>
          <cell r="AN50">
            <v>0</v>
          </cell>
          <cell r="AO50" t="str">
            <v>K22-P</v>
          </cell>
          <cell r="AP50" t="str">
            <v>K23-P</v>
          </cell>
          <cell r="AQ50" t="str">
            <v>Not Installed</v>
          </cell>
          <cell r="AR50" t="str">
            <v>K25-P</v>
          </cell>
          <cell r="AS50" t="str">
            <v>K21-P (P34)</v>
          </cell>
          <cell r="AT50" t="str">
            <v>Not Installed</v>
          </cell>
          <cell r="AU50" t="str">
            <v>Not Installed</v>
          </cell>
          <cell r="AV50" t="str">
            <v>(LH: HTR2 on K25)</v>
          </cell>
        </row>
        <row r="51">
          <cell r="AI51" t="str">
            <v>9920-201116F</v>
          </cell>
          <cell r="AJ51">
            <v>0</v>
          </cell>
          <cell r="AK51">
            <v>0</v>
          </cell>
          <cell r="AL51">
            <v>0</v>
          </cell>
          <cell r="AM51">
            <v>0</v>
          </cell>
          <cell r="AN51">
            <v>0</v>
          </cell>
          <cell r="AO51" t="str">
            <v>F21</v>
          </cell>
          <cell r="AP51" t="str">
            <v>F21</v>
          </cell>
          <cell r="AQ51" t="str">
            <v>n/a</v>
          </cell>
          <cell r="AR51" t="str">
            <v>Line1</v>
          </cell>
          <cell r="AS51" t="str">
            <v>F21</v>
          </cell>
          <cell r="AT51">
            <v>0</v>
          </cell>
          <cell r="AU51">
            <v>0</v>
          </cell>
          <cell r="AV51">
            <v>0</v>
          </cell>
        </row>
        <row r="52">
          <cell r="AI52" t="str">
            <v>9920-201274</v>
          </cell>
          <cell r="AJ52">
            <v>0</v>
          </cell>
          <cell r="AK52">
            <v>0</v>
          </cell>
          <cell r="AL52">
            <v>0</v>
          </cell>
          <cell r="AM52">
            <v>0</v>
          </cell>
          <cell r="AN52">
            <v>0</v>
          </cell>
          <cell r="AO52" t="str">
            <v>K22-P</v>
          </cell>
          <cell r="AP52" t="str">
            <v>K23-P</v>
          </cell>
          <cell r="AQ52" t="str">
            <v>K24-P</v>
          </cell>
          <cell r="AR52" t="str">
            <v>Not Installed</v>
          </cell>
          <cell r="AS52" t="str">
            <v>Not Installed</v>
          </cell>
          <cell r="AT52" t="str">
            <v>Not Installed</v>
          </cell>
          <cell r="AU52" t="str">
            <v>Not Installed</v>
          </cell>
          <cell r="AV52" t="str">
            <v>(in.mix)</v>
          </cell>
        </row>
        <row r="53">
          <cell r="AI53" t="str">
            <v>9920-201274F</v>
          </cell>
          <cell r="AJ53">
            <v>0</v>
          </cell>
          <cell r="AK53">
            <v>0</v>
          </cell>
          <cell r="AL53">
            <v>0</v>
          </cell>
          <cell r="AM53">
            <v>0</v>
          </cell>
          <cell r="AN53">
            <v>0</v>
          </cell>
          <cell r="AO53" t="str">
            <v>F21</v>
          </cell>
          <cell r="AP53" t="str">
            <v>F21</v>
          </cell>
          <cell r="AQ53" t="str">
            <v>F21</v>
          </cell>
          <cell r="AR53">
            <v>0</v>
          </cell>
          <cell r="AS53">
            <v>0</v>
          </cell>
          <cell r="AT53">
            <v>0</v>
          </cell>
          <cell r="AU53">
            <v>0</v>
          </cell>
          <cell r="AV53">
            <v>0</v>
          </cell>
        </row>
        <row r="54">
          <cell r="AI54" t="str">
            <v>9920-201281</v>
          </cell>
          <cell r="AJ54">
            <v>0</v>
          </cell>
          <cell r="AK54">
            <v>0</v>
          </cell>
          <cell r="AL54">
            <v>0</v>
          </cell>
          <cell r="AM54">
            <v>0</v>
          </cell>
          <cell r="AN54">
            <v>0</v>
          </cell>
          <cell r="AO54" t="str">
            <v>K22-P</v>
          </cell>
          <cell r="AP54" t="str">
            <v>K23-P</v>
          </cell>
          <cell r="AQ54" t="str">
            <v>Not Installed</v>
          </cell>
          <cell r="AR54" t="str">
            <v>K25-P</v>
          </cell>
          <cell r="AS54" t="str">
            <v>K21-P (P34)</v>
          </cell>
          <cell r="AT54" t="str">
            <v>Not Installed</v>
          </cell>
          <cell r="AU54" t="str">
            <v>Not Installed</v>
          </cell>
          <cell r="AV54" t="str">
            <v>(in.mix)</v>
          </cell>
        </row>
        <row r="55">
          <cell r="AI55" t="str">
            <v>9920-201281F</v>
          </cell>
          <cell r="AJ55">
            <v>0</v>
          </cell>
          <cell r="AK55">
            <v>0</v>
          </cell>
          <cell r="AL55">
            <v>0</v>
          </cell>
          <cell r="AM55">
            <v>0</v>
          </cell>
          <cell r="AN55">
            <v>0</v>
          </cell>
          <cell r="AO55" t="str">
            <v>F21</v>
          </cell>
          <cell r="AP55" t="str">
            <v>F21</v>
          </cell>
          <cell r="AQ55">
            <v>0</v>
          </cell>
          <cell r="AR55" t="str">
            <v>F21</v>
          </cell>
          <cell r="AS55" t="str">
            <v>F21</v>
          </cell>
          <cell r="AT55">
            <v>0</v>
          </cell>
          <cell r="AU55">
            <v>0</v>
          </cell>
          <cell r="AV55">
            <v>0</v>
          </cell>
        </row>
        <row r="56">
          <cell r="AI56" t="str">
            <v>9920-201279</v>
          </cell>
          <cell r="AJ56">
            <v>0</v>
          </cell>
          <cell r="AK56">
            <v>0</v>
          </cell>
          <cell r="AL56">
            <v>0</v>
          </cell>
          <cell r="AM56">
            <v>0</v>
          </cell>
          <cell r="AN56">
            <v>0</v>
          </cell>
          <cell r="AO56" t="str">
            <v>K22-P</v>
          </cell>
          <cell r="AP56" t="str">
            <v>K23-P</v>
          </cell>
          <cell r="AQ56" t="str">
            <v>K24-P</v>
          </cell>
          <cell r="AR56" t="str">
            <v>Not Installed</v>
          </cell>
          <cell r="AS56" t="str">
            <v>K21-P (P34)</v>
          </cell>
          <cell r="AT56" t="str">
            <v>Not Installed</v>
          </cell>
          <cell r="AU56" t="str">
            <v>Not Installed</v>
          </cell>
          <cell r="AV56" t="str">
            <v>(in.mix)</v>
          </cell>
        </row>
        <row r="57">
          <cell r="AI57" t="str">
            <v>9920-201279F</v>
          </cell>
          <cell r="AJ57">
            <v>0</v>
          </cell>
          <cell r="AK57">
            <v>0</v>
          </cell>
          <cell r="AL57">
            <v>0</v>
          </cell>
          <cell r="AM57">
            <v>0</v>
          </cell>
          <cell r="AN57">
            <v>0</v>
          </cell>
          <cell r="AO57" t="str">
            <v>F21</v>
          </cell>
          <cell r="AP57" t="str">
            <v>F21</v>
          </cell>
          <cell r="AQ57" t="str">
            <v>F21</v>
          </cell>
          <cell r="AR57">
            <v>0</v>
          </cell>
          <cell r="AS57" t="str">
            <v>F21</v>
          </cell>
          <cell r="AT57">
            <v>0</v>
          </cell>
          <cell r="AU57">
            <v>0</v>
          </cell>
          <cell r="AV57">
            <v>0</v>
          </cell>
        </row>
        <row r="58">
          <cell r="AI58" t="str">
            <v>9920-201096</v>
          </cell>
          <cell r="AJ58">
            <v>0</v>
          </cell>
          <cell r="AK58">
            <v>0</v>
          </cell>
          <cell r="AL58">
            <v>0</v>
          </cell>
          <cell r="AM58">
            <v>0</v>
          </cell>
          <cell r="AN58">
            <v>0</v>
          </cell>
          <cell r="AO58" t="str">
            <v>K22-P</v>
          </cell>
          <cell r="AP58" t="str">
            <v>K23-P</v>
          </cell>
          <cell r="AQ58" t="str">
            <v>K21-P (P34)</v>
          </cell>
          <cell r="AR58" t="str">
            <v>K27-P</v>
          </cell>
          <cell r="AS58" t="str">
            <v>K26-P</v>
          </cell>
          <cell r="AT58" t="str">
            <v>K25-P</v>
          </cell>
          <cell r="AU58" t="str">
            <v>K24-P</v>
          </cell>
          <cell r="AV58">
            <v>0</v>
          </cell>
        </row>
        <row r="59">
          <cell r="AI59" t="str">
            <v>9920-201096F</v>
          </cell>
          <cell r="AJ59">
            <v>0</v>
          </cell>
          <cell r="AK59">
            <v>0</v>
          </cell>
          <cell r="AL59">
            <v>0</v>
          </cell>
          <cell r="AM59">
            <v>0</v>
          </cell>
          <cell r="AN59">
            <v>0</v>
          </cell>
          <cell r="AO59" t="str">
            <v>F21</v>
          </cell>
          <cell r="AP59" t="str">
            <v>F21</v>
          </cell>
          <cell r="AQ59" t="str">
            <v>F21</v>
          </cell>
          <cell r="AR59" t="str">
            <v>F23</v>
          </cell>
          <cell r="AS59" t="str">
            <v>F23</v>
          </cell>
          <cell r="AT59" t="str">
            <v>F22</v>
          </cell>
          <cell r="AU59" t="str">
            <v>F22</v>
          </cell>
          <cell r="AV59">
            <v>0</v>
          </cell>
        </row>
        <row r="60">
          <cell r="AI60" t="str">
            <v>9920-201260</v>
          </cell>
          <cell r="AJ60">
            <v>0</v>
          </cell>
          <cell r="AK60">
            <v>0</v>
          </cell>
          <cell r="AL60">
            <v>0</v>
          </cell>
          <cell r="AM60">
            <v>0</v>
          </cell>
          <cell r="AN60">
            <v>0</v>
          </cell>
          <cell r="AO60" t="str">
            <v>Not Installed</v>
          </cell>
          <cell r="AP60" t="str">
            <v>Not Installed</v>
          </cell>
          <cell r="AQ60" t="str">
            <v>Not Installed</v>
          </cell>
          <cell r="AR60" t="str">
            <v>Not Installed</v>
          </cell>
          <cell r="AS60" t="str">
            <v>K26-P</v>
          </cell>
          <cell r="AT60" t="str">
            <v>Not Installed</v>
          </cell>
          <cell r="AU60" t="str">
            <v>Not Installed</v>
          </cell>
          <cell r="AV60">
            <v>0</v>
          </cell>
        </row>
        <row r="61">
          <cell r="AI61" t="str">
            <v>9920-201260F</v>
          </cell>
          <cell r="AJ61">
            <v>0</v>
          </cell>
          <cell r="AK61">
            <v>0</v>
          </cell>
          <cell r="AL61">
            <v>0</v>
          </cell>
          <cell r="AM61">
            <v>0</v>
          </cell>
          <cell r="AN61">
            <v>0</v>
          </cell>
          <cell r="AO61">
            <v>0</v>
          </cell>
          <cell r="AP61">
            <v>0</v>
          </cell>
          <cell r="AQ61">
            <v>0</v>
          </cell>
          <cell r="AR61">
            <v>0</v>
          </cell>
          <cell r="AS61" t="str">
            <v>F24</v>
          </cell>
          <cell r="AT61">
            <v>0</v>
          </cell>
          <cell r="AU61">
            <v>0</v>
          </cell>
          <cell r="AV61">
            <v>0</v>
          </cell>
        </row>
        <row r="62">
          <cell r="AI62" t="str">
            <v>9920-201093</v>
          </cell>
          <cell r="AJ62">
            <v>0</v>
          </cell>
          <cell r="AK62">
            <v>0</v>
          </cell>
          <cell r="AL62">
            <v>0</v>
          </cell>
          <cell r="AM62">
            <v>0</v>
          </cell>
          <cell r="AN62">
            <v>0</v>
          </cell>
          <cell r="AO62" t="str">
            <v>K22-P</v>
          </cell>
          <cell r="AP62" t="str">
            <v>Not Installed</v>
          </cell>
          <cell r="AQ62" t="str">
            <v>K21-P (P34)</v>
          </cell>
          <cell r="AR62" t="str">
            <v>Not Installed</v>
          </cell>
          <cell r="AS62" t="str">
            <v>Not Installed</v>
          </cell>
          <cell r="AT62" t="str">
            <v>Not Installed</v>
          </cell>
          <cell r="AU62" t="str">
            <v>Not Installed</v>
          </cell>
          <cell r="AV62">
            <v>0</v>
          </cell>
        </row>
        <row r="63">
          <cell r="AI63" t="str">
            <v>9920-201093F</v>
          </cell>
          <cell r="AJ63">
            <v>0</v>
          </cell>
          <cell r="AK63">
            <v>0</v>
          </cell>
          <cell r="AL63">
            <v>0</v>
          </cell>
          <cell r="AM63">
            <v>0</v>
          </cell>
          <cell r="AN63">
            <v>0</v>
          </cell>
          <cell r="AO63" t="str">
            <v>F21</v>
          </cell>
          <cell r="AP63">
            <v>0</v>
          </cell>
          <cell r="AQ63" t="str">
            <v>F21</v>
          </cell>
          <cell r="AR63">
            <v>0</v>
          </cell>
          <cell r="AS63">
            <v>0</v>
          </cell>
          <cell r="AT63">
            <v>0</v>
          </cell>
          <cell r="AU63">
            <v>0</v>
          </cell>
          <cell r="AV63">
            <v>0</v>
          </cell>
        </row>
        <row r="64">
          <cell r="AI64" t="str">
            <v>9920-201259</v>
          </cell>
          <cell r="AJ64">
            <v>0</v>
          </cell>
          <cell r="AK64">
            <v>0</v>
          </cell>
          <cell r="AL64">
            <v>0</v>
          </cell>
          <cell r="AM64">
            <v>0</v>
          </cell>
          <cell r="AN64">
            <v>0</v>
          </cell>
          <cell r="AO64" t="str">
            <v>K22-P</v>
          </cell>
          <cell r="AP64" t="str">
            <v>K23-P</v>
          </cell>
          <cell r="AQ64" t="str">
            <v>Not Installed</v>
          </cell>
          <cell r="AR64" t="str">
            <v>Not Installed</v>
          </cell>
          <cell r="AS64" t="str">
            <v>Not Installed</v>
          </cell>
          <cell r="AT64" t="str">
            <v>Not Installed</v>
          </cell>
          <cell r="AU64" t="str">
            <v>Not Installed</v>
          </cell>
          <cell r="AV64" t="str">
            <v>(in.mix)</v>
          </cell>
        </row>
        <row r="65">
          <cell r="AI65" t="str">
            <v>9920-201259F</v>
          </cell>
          <cell r="AJ65">
            <v>0</v>
          </cell>
          <cell r="AK65">
            <v>0</v>
          </cell>
          <cell r="AL65">
            <v>0</v>
          </cell>
          <cell r="AM65">
            <v>0</v>
          </cell>
          <cell r="AN65">
            <v>0</v>
          </cell>
          <cell r="AO65" t="str">
            <v>F21</v>
          </cell>
          <cell r="AP65" t="str">
            <v>F21</v>
          </cell>
          <cell r="AQ65">
            <v>0</v>
          </cell>
          <cell r="AR65">
            <v>0</v>
          </cell>
          <cell r="AS65">
            <v>0</v>
          </cell>
          <cell r="AT65">
            <v>0</v>
          </cell>
          <cell r="AU65">
            <v>0</v>
          </cell>
          <cell r="AV65">
            <v>0</v>
          </cell>
        </row>
        <row r="66">
          <cell r="AI66" t="str">
            <v>9920-201117</v>
          </cell>
          <cell r="AJ66">
            <v>0</v>
          </cell>
          <cell r="AK66">
            <v>0</v>
          </cell>
          <cell r="AL66">
            <v>0</v>
          </cell>
          <cell r="AM66">
            <v>0</v>
          </cell>
          <cell r="AN66">
            <v>0</v>
          </cell>
          <cell r="AO66" t="str">
            <v>K22-P</v>
          </cell>
          <cell r="AP66" t="str">
            <v>K23-P</v>
          </cell>
          <cell r="AQ66" t="str">
            <v>Not Installed</v>
          </cell>
          <cell r="AR66" t="str">
            <v>K25-P</v>
          </cell>
          <cell r="AS66" t="str">
            <v>K21-P (P34)</v>
          </cell>
          <cell r="AT66" t="str">
            <v>Not Installed</v>
          </cell>
          <cell r="AU66" t="str">
            <v>Not Installed</v>
          </cell>
          <cell r="AV66" t="str">
            <v>(LH: HTR2 on K25 - in.mix)</v>
          </cell>
        </row>
        <row r="67">
          <cell r="AI67" t="str">
            <v>9920-201117F</v>
          </cell>
          <cell r="AJ67">
            <v>0</v>
          </cell>
          <cell r="AK67">
            <v>0</v>
          </cell>
          <cell r="AL67">
            <v>0</v>
          </cell>
          <cell r="AM67">
            <v>0</v>
          </cell>
          <cell r="AN67">
            <v>0</v>
          </cell>
          <cell r="AO67" t="str">
            <v>F21</v>
          </cell>
          <cell r="AP67" t="str">
            <v>F21</v>
          </cell>
          <cell r="AQ67">
            <v>0</v>
          </cell>
          <cell r="AR67" t="str">
            <v>F21</v>
          </cell>
          <cell r="AS67" t="str">
            <v>F21</v>
          </cell>
          <cell r="AT67">
            <v>0</v>
          </cell>
          <cell r="AU67">
            <v>0</v>
          </cell>
          <cell r="AV67">
            <v>0</v>
          </cell>
        </row>
        <row r="68">
          <cell r="AI68" t="str">
            <v>9920-201209</v>
          </cell>
          <cell r="AJ68">
            <v>0</v>
          </cell>
          <cell r="AK68">
            <v>0</v>
          </cell>
          <cell r="AL68">
            <v>0</v>
          </cell>
          <cell r="AM68">
            <v>0</v>
          </cell>
          <cell r="AN68">
            <v>0</v>
          </cell>
          <cell r="AO68" t="str">
            <v>K22-P</v>
          </cell>
          <cell r="AP68" t="str">
            <v>K23-P</v>
          </cell>
          <cell r="AQ68" t="str">
            <v>K24-P</v>
          </cell>
          <cell r="AR68" t="str">
            <v>K25-P</v>
          </cell>
          <cell r="AS68" t="str">
            <v>K21-P (P34)</v>
          </cell>
          <cell r="AT68" t="str">
            <v>Not Installed</v>
          </cell>
          <cell r="AU68" t="str">
            <v>Not Installed</v>
          </cell>
          <cell r="AV68" t="str">
            <v>(in.mix)</v>
          </cell>
        </row>
        <row r="69">
          <cell r="AI69" t="str">
            <v>9920-201209F</v>
          </cell>
          <cell r="AJ69">
            <v>0</v>
          </cell>
          <cell r="AK69">
            <v>0</v>
          </cell>
          <cell r="AL69">
            <v>0</v>
          </cell>
          <cell r="AM69">
            <v>0</v>
          </cell>
          <cell r="AN69">
            <v>0</v>
          </cell>
          <cell r="AO69" t="str">
            <v>F21</v>
          </cell>
          <cell r="AP69" t="str">
            <v>F21</v>
          </cell>
          <cell r="AQ69" t="str">
            <v>F21</v>
          </cell>
          <cell r="AR69" t="str">
            <v>F21</v>
          </cell>
          <cell r="AS69" t="str">
            <v>F21</v>
          </cell>
          <cell r="AT69">
            <v>0</v>
          </cell>
          <cell r="AU69">
            <v>0</v>
          </cell>
          <cell r="AV69">
            <v>0</v>
          </cell>
        </row>
        <row r="70">
          <cell r="AI70" t="str">
            <v>9920-201248</v>
          </cell>
          <cell r="AJ70">
            <v>0</v>
          </cell>
          <cell r="AK70">
            <v>0</v>
          </cell>
          <cell r="AL70">
            <v>0</v>
          </cell>
          <cell r="AM70">
            <v>0</v>
          </cell>
          <cell r="AN70">
            <v>0</v>
          </cell>
          <cell r="AO70" t="str">
            <v>K22-P</v>
          </cell>
          <cell r="AP70" t="str">
            <v>K23-P</v>
          </cell>
          <cell r="AQ70" t="str">
            <v>Not Installed</v>
          </cell>
          <cell r="AR70" t="str">
            <v>K25-P</v>
          </cell>
          <cell r="AS70" t="str">
            <v>K21-P (P34)</v>
          </cell>
          <cell r="AT70" t="str">
            <v>Not Installed</v>
          </cell>
          <cell r="AU70" t="str">
            <v>Not Installed</v>
          </cell>
          <cell r="AV70" t="str">
            <v>(LH: Not STD! Check DWG before use)</v>
          </cell>
        </row>
        <row r="71">
          <cell r="AI71" t="str">
            <v>9920-201248F</v>
          </cell>
          <cell r="AJ71">
            <v>0</v>
          </cell>
          <cell r="AK71">
            <v>0</v>
          </cell>
          <cell r="AL71">
            <v>0</v>
          </cell>
          <cell r="AM71">
            <v>0</v>
          </cell>
          <cell r="AN71">
            <v>0</v>
          </cell>
          <cell r="AO71" t="str">
            <v>F21</v>
          </cell>
          <cell r="AP71" t="str">
            <v>F21</v>
          </cell>
          <cell r="AQ71">
            <v>0</v>
          </cell>
          <cell r="AR71" t="str">
            <v>F21</v>
          </cell>
          <cell r="AS71" t="str">
            <v>F21</v>
          </cell>
          <cell r="AT71">
            <v>0</v>
          </cell>
          <cell r="AU71">
            <v>0</v>
          </cell>
          <cell r="AV71">
            <v>0</v>
          </cell>
        </row>
        <row r="72">
          <cell r="AI72" t="str">
            <v>9920-201275</v>
          </cell>
          <cell r="AJ72">
            <v>0</v>
          </cell>
          <cell r="AK72">
            <v>0</v>
          </cell>
          <cell r="AL72">
            <v>0</v>
          </cell>
          <cell r="AM72">
            <v>0</v>
          </cell>
          <cell r="AN72">
            <v>0</v>
          </cell>
          <cell r="AO72" t="str">
            <v>K22-P</v>
          </cell>
          <cell r="AP72" t="str">
            <v>K23-P</v>
          </cell>
          <cell r="AQ72" t="str">
            <v>K24-P</v>
          </cell>
          <cell r="AR72" t="str">
            <v>Not Installed</v>
          </cell>
          <cell r="AS72" t="str">
            <v>Not Installed</v>
          </cell>
          <cell r="AT72" t="str">
            <v>Not Installed</v>
          </cell>
          <cell r="AU72" t="str">
            <v>Not Installed</v>
          </cell>
          <cell r="AV72" t="str">
            <v>(in.mix - no CO)</v>
          </cell>
        </row>
        <row r="73">
          <cell r="AI73" t="str">
            <v>9920-201275F</v>
          </cell>
          <cell r="AJ73">
            <v>0</v>
          </cell>
          <cell r="AK73">
            <v>0</v>
          </cell>
          <cell r="AL73">
            <v>0</v>
          </cell>
          <cell r="AM73">
            <v>0</v>
          </cell>
          <cell r="AN73">
            <v>0</v>
          </cell>
          <cell r="AO73" t="str">
            <v>F21</v>
          </cell>
          <cell r="AP73" t="str">
            <v>F21</v>
          </cell>
          <cell r="AQ73" t="str">
            <v>F21</v>
          </cell>
          <cell r="AR73">
            <v>0</v>
          </cell>
          <cell r="AS73">
            <v>0</v>
          </cell>
          <cell r="AT73">
            <v>0</v>
          </cell>
          <cell r="AU73">
            <v>0</v>
          </cell>
          <cell r="AV73">
            <v>0</v>
          </cell>
        </row>
        <row r="74">
          <cell r="AI74" t="str">
            <v>9920-201097</v>
          </cell>
          <cell r="AJ74">
            <v>0</v>
          </cell>
          <cell r="AK74">
            <v>0</v>
          </cell>
          <cell r="AL74">
            <v>0</v>
          </cell>
          <cell r="AM74">
            <v>0</v>
          </cell>
          <cell r="AN74">
            <v>0</v>
          </cell>
          <cell r="AO74" t="str">
            <v>K22-P</v>
          </cell>
          <cell r="AP74" t="str">
            <v>K23-P</v>
          </cell>
          <cell r="AQ74" t="str">
            <v>K21-P (P34)</v>
          </cell>
          <cell r="AR74" t="str">
            <v>K27-P</v>
          </cell>
          <cell r="AS74" t="str">
            <v>K26-P</v>
          </cell>
          <cell r="AT74" t="str">
            <v>K25-P</v>
          </cell>
          <cell r="AU74" t="str">
            <v>K24-P</v>
          </cell>
          <cell r="AV74">
            <v>0</v>
          </cell>
        </row>
      </sheetData>
      <sheetData sheetId="3"/>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nfig."/>
      <sheetName val="Additional Config."/>
      <sheetName val="Supply Attribution"/>
      <sheetName val="Images"/>
    </sheetNames>
    <sheetDataSet>
      <sheetData sheetId="0" refreshError="1"/>
      <sheetData sheetId="1" refreshError="1"/>
      <sheetData sheetId="2" refreshError="1">
        <row r="20">
          <cell r="G20" t="str">
            <v>Line1</v>
          </cell>
        </row>
        <row r="31">
          <cell r="F31" t="str">
            <v>F1Line</v>
          </cell>
          <cell r="G31" t="str">
            <v>Line1</v>
          </cell>
        </row>
        <row r="32">
          <cell r="F32" t="str">
            <v>F2Line</v>
          </cell>
          <cell r="G32" t="str">
            <v>Line1</v>
          </cell>
        </row>
        <row r="33">
          <cell r="F33" t="str">
            <v>F3Line</v>
          </cell>
          <cell r="G33" t="str">
            <v>Line1</v>
          </cell>
        </row>
        <row r="34">
          <cell r="F34" t="str">
            <v>F21Line</v>
          </cell>
          <cell r="G34" t="str">
            <v>Line1</v>
          </cell>
        </row>
        <row r="35">
          <cell r="F35" t="str">
            <v>F22Line</v>
          </cell>
          <cell r="G35" t="str">
            <v>Line1</v>
          </cell>
        </row>
        <row r="36">
          <cell r="F36" t="str">
            <v>F23Line</v>
          </cell>
          <cell r="G36" t="str">
            <v>Line1</v>
          </cell>
        </row>
        <row r="37">
          <cell r="F37" t="str">
            <v>F24Line</v>
          </cell>
          <cell r="G37" t="str">
            <v>Not Installed</v>
          </cell>
        </row>
      </sheetData>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externalLinkPath" Target="file:///Z:\Projets\Template%20SPEC\En%20modification\SP_R&#233;f&#233;rence%20-%20IN.YT-12-V2%20UL.xlsx" TargetMode="External"/><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externalLinkPath" Target="file:///Z:\Projets\Template%20SPEC\En%20modification\SP_R&#233;f&#233;rence%20-%20IN.YT-12-V2%20UL.xlsx"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externalLinkPath" Target="file:///Z:\Projets\Template%20SPEC\En%20modification\SP_R&#233;f&#233;rence%20-%20IN.YT-12-V2%20UL.xlsx" TargetMode="Externa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sheetPr codeName="Feuil1">
    <tabColor rgb="FF00B0F0"/>
    <pageSetUpPr fitToPage="1"/>
  </sheetPr>
  <dimension ref="A1:AF115"/>
  <sheetViews>
    <sheetView tabSelected="1" topLeftCell="A7" zoomScale="85" zoomScaleNormal="85" zoomScaleSheetLayoutView="119" workbookViewId="0">
      <selection activeCell="U45" sqref="U45"/>
    </sheetView>
  </sheetViews>
  <sheetFormatPr defaultColWidth="11.42578125" defaultRowHeight="12.75" outlineLevelCol="1"/>
  <cols>
    <col min="1" max="3" width="5.140625" style="79" bestFit="1" customWidth="1" outlineLevel="1"/>
    <col min="4" max="5" width="4.140625" style="79" bestFit="1" customWidth="1" outlineLevel="1"/>
    <col min="6" max="6" width="21.28515625" style="79" bestFit="1" customWidth="1" outlineLevel="1"/>
    <col min="7" max="7" width="15.5703125" style="79" bestFit="1" customWidth="1" outlineLevel="1"/>
    <col min="8" max="9" width="5" style="79" customWidth="1" outlineLevel="1"/>
    <col min="10" max="10" width="20.7109375" style="79" customWidth="1"/>
    <col min="11" max="23" width="17.5703125" style="79" customWidth="1"/>
    <col min="24" max="29" width="20.7109375" style="79" customWidth="1"/>
    <col min="30" max="30" width="6.7109375" style="79" customWidth="1"/>
    <col min="31" max="31" width="6.42578125" style="79" bestFit="1" customWidth="1"/>
    <col min="32" max="16384" width="11.42578125" style="79"/>
  </cols>
  <sheetData>
    <row r="1" spans="1:32" ht="13.15" customHeight="1">
      <c r="A1" s="638"/>
      <c r="B1" s="638"/>
      <c r="C1" s="638"/>
      <c r="D1" s="638"/>
      <c r="E1" s="638"/>
      <c r="F1" s="638"/>
      <c r="G1" s="638"/>
      <c r="H1" s="638"/>
      <c r="I1" s="639"/>
      <c r="J1" s="250" t="s">
        <v>217</v>
      </c>
      <c r="K1" s="606" t="s">
        <v>214</v>
      </c>
      <c r="L1" s="780" t="str">
        <f>IF(VLOOKUP(K1,'[2]Supply Attribution'!AI42:AV74,14,FALSE)=0,"",VLOOKUP(K1,'[2]Supply Attribution'!AI42:AV74,14,FALSE))</f>
        <v/>
      </c>
      <c r="M1" s="781"/>
      <c r="N1" s="256" t="s">
        <v>275</v>
      </c>
      <c r="O1" s="256"/>
      <c r="P1" s="256"/>
      <c r="Q1" s="256"/>
      <c r="R1" s="256"/>
      <c r="S1" s="72"/>
      <c r="T1" s="72"/>
      <c r="U1" s="73"/>
      <c r="V1" s="74" t="s">
        <v>155</v>
      </c>
      <c r="W1" s="75"/>
      <c r="X1" s="76" t="s">
        <v>585</v>
      </c>
      <c r="Y1" s="72"/>
      <c r="Z1" s="77"/>
      <c r="AA1" s="74" t="s">
        <v>0</v>
      </c>
      <c r="AB1" s="75"/>
      <c r="AC1" s="496" t="s">
        <v>587</v>
      </c>
      <c r="AD1" s="78"/>
    </row>
    <row r="2" spans="1:32" ht="13.15" customHeight="1">
      <c r="A2" s="731" t="str">
        <f>IF(RIGHT(L2,4)="128K","CORE FIXED - DO NOT UPDATE CORE  VERSION","")</f>
        <v/>
      </c>
      <c r="B2" s="731"/>
      <c r="C2" s="731"/>
      <c r="D2" s="731"/>
      <c r="E2" s="731"/>
      <c r="F2" s="731"/>
      <c r="G2" s="731"/>
      <c r="H2" s="731"/>
      <c r="I2" s="732"/>
      <c r="J2" s="250" t="s">
        <v>218</v>
      </c>
      <c r="K2" s="606" t="s">
        <v>466</v>
      </c>
      <c r="L2" s="780" t="str">
        <f>IF(VLOOKUP(K2,'Supply Attribution'!P17:AD100,15,FALSE)=0,"",VLOOKUP(K2,'Supply Attribution'!P17:AD100,15,FALSE))</f>
        <v>ASSY PCB IN.YE-V3FLX-5OP-A11-A22-A32-A41-A5DIR</v>
      </c>
      <c r="M2" s="781"/>
      <c r="N2" s="255" t="s">
        <v>328</v>
      </c>
      <c r="O2" s="255"/>
      <c r="P2" s="72"/>
      <c r="Q2" s="72"/>
      <c r="R2" s="72" t="str">
        <f>MID(A1,4,3)</f>
        <v/>
      </c>
      <c r="S2" s="72"/>
      <c r="T2" s="72"/>
      <c r="U2" s="80"/>
      <c r="V2" s="81" t="s">
        <v>160</v>
      </c>
      <c r="W2" s="82"/>
      <c r="X2" s="317" t="s">
        <v>586</v>
      </c>
      <c r="Y2" s="72"/>
      <c r="Z2" s="83"/>
      <c r="AA2" s="81" t="s">
        <v>363</v>
      </c>
      <c r="AB2" s="82"/>
      <c r="AC2" s="500" t="s">
        <v>588</v>
      </c>
      <c r="AD2" s="78"/>
    </row>
    <row r="3" spans="1:32" ht="12.75" customHeight="1" thickBot="1">
      <c r="A3" s="107"/>
      <c r="B3" s="107"/>
      <c r="C3" s="107"/>
      <c r="D3" s="107"/>
      <c r="E3" s="107"/>
      <c r="F3" s="107"/>
      <c r="G3" s="107"/>
      <c r="H3" s="107"/>
      <c r="I3" s="107"/>
      <c r="J3" s="250" t="s">
        <v>251</v>
      </c>
      <c r="K3" s="419">
        <f>VALUE(MID(J6,7,2))</f>
        <v>5</v>
      </c>
      <c r="L3" s="435" t="str">
        <f>IF(AND(K3&lt;6,P9="A6"),"+1","")</f>
        <v>+1</v>
      </c>
      <c r="M3" s="72"/>
      <c r="N3" s="255" t="s">
        <v>276</v>
      </c>
      <c r="O3" s="255"/>
      <c r="P3" s="72"/>
      <c r="Q3" s="72"/>
      <c r="R3" s="72"/>
      <c r="S3" s="84"/>
      <c r="T3" s="85"/>
      <c r="U3" s="80"/>
      <c r="V3" s="81" t="s">
        <v>158</v>
      </c>
      <c r="W3" s="432"/>
      <c r="X3" s="86" t="s">
        <v>591</v>
      </c>
      <c r="Y3" s="72"/>
      <c r="Z3" s="83"/>
      <c r="AA3" s="81" t="s">
        <v>364</v>
      </c>
      <c r="AB3" s="82"/>
      <c r="AC3" s="497">
        <v>1</v>
      </c>
      <c r="AD3" s="78"/>
    </row>
    <row r="4" spans="1:32" ht="13.15" customHeight="1" thickBot="1">
      <c r="A4" s="107"/>
      <c r="B4" s="747" t="s">
        <v>330</v>
      </c>
      <c r="C4" s="748"/>
      <c r="D4" s="748"/>
      <c r="E4" s="748"/>
      <c r="F4" s="748"/>
      <c r="G4" s="748"/>
      <c r="H4" s="749"/>
      <c r="I4" s="107"/>
      <c r="J4" s="783" t="str">
        <f>IF(OR(J6="",J6="Not Set"),"Select Model and Region first","")</f>
        <v/>
      </c>
      <c r="K4" s="784"/>
      <c r="L4" s="437" t="str">
        <f>IF(RIGHT(L2,4)="128K","CORE FIXED","")</f>
        <v/>
      </c>
      <c r="M4" s="438"/>
      <c r="N4" s="255" t="s">
        <v>329</v>
      </c>
      <c r="O4" s="255"/>
      <c r="P4" s="72"/>
      <c r="Q4" s="72"/>
      <c r="R4" s="72"/>
      <c r="S4" s="84"/>
      <c r="T4" s="84"/>
      <c r="U4" s="90"/>
      <c r="V4" s="91" t="s">
        <v>159</v>
      </c>
      <c r="W4" s="92"/>
      <c r="X4" s="93" t="s">
        <v>590</v>
      </c>
      <c r="Y4" s="72"/>
      <c r="Z4" s="83"/>
      <c r="AA4" s="81" t="s">
        <v>365</v>
      </c>
      <c r="AB4" s="82"/>
      <c r="AC4" s="498" t="s">
        <v>589</v>
      </c>
      <c r="AD4" s="78"/>
    </row>
    <row r="5" spans="1:32" ht="13.15" customHeight="1" thickBot="1">
      <c r="A5" s="107"/>
      <c r="B5" s="750" t="s">
        <v>285</v>
      </c>
      <c r="C5" s="751"/>
      <c r="D5" s="751"/>
      <c r="E5" s="751"/>
      <c r="F5" s="751"/>
      <c r="G5" s="752" t="s">
        <v>562</v>
      </c>
      <c r="H5" s="753"/>
      <c r="I5" s="107"/>
      <c r="J5" s="87" t="s">
        <v>219</v>
      </c>
      <c r="K5" s="88" t="s">
        <v>220</v>
      </c>
      <c r="L5" s="791" t="s">
        <v>435</v>
      </c>
      <c r="M5" s="792"/>
      <c r="N5" s="255" t="s">
        <v>277</v>
      </c>
      <c r="O5" s="255"/>
      <c r="P5" s="72"/>
      <c r="Q5" s="72"/>
      <c r="R5" s="72"/>
      <c r="S5" s="89"/>
      <c r="T5" s="84"/>
      <c r="U5" s="790"/>
      <c r="V5" s="790"/>
      <c r="W5" s="790"/>
      <c r="X5" s="790"/>
      <c r="Y5" s="72"/>
      <c r="Z5" s="94"/>
      <c r="AA5" s="91" t="s">
        <v>86</v>
      </c>
      <c r="AB5" s="92"/>
      <c r="AC5" s="499" t="s">
        <v>572</v>
      </c>
      <c r="AD5" s="78"/>
    </row>
    <row r="6" spans="1:32" ht="24" thickBot="1">
      <c r="A6" s="107"/>
      <c r="B6" s="754" t="s">
        <v>436</v>
      </c>
      <c r="C6" s="755"/>
      <c r="D6" s="755"/>
      <c r="E6" s="755"/>
      <c r="F6" s="755"/>
      <c r="G6" s="755"/>
      <c r="H6" s="756"/>
      <c r="I6" s="107"/>
      <c r="J6" s="258" t="s">
        <v>564</v>
      </c>
      <c r="K6" s="257" t="s">
        <v>184</v>
      </c>
      <c r="L6" s="793" t="s">
        <v>561</v>
      </c>
      <c r="M6" s="794"/>
      <c r="N6" s="274" t="b">
        <v>1</v>
      </c>
      <c r="O6" s="314" t="b">
        <v>1</v>
      </c>
      <c r="P6" s="72"/>
      <c r="Q6" s="72"/>
      <c r="R6" s="72"/>
      <c r="S6" s="84"/>
      <c r="T6" s="84"/>
      <c r="U6" s="84"/>
      <c r="V6" s="84"/>
      <c r="W6" s="72"/>
      <c r="X6" s="84"/>
      <c r="Y6" s="72"/>
      <c r="Z6" s="72"/>
      <c r="AA6" s="72"/>
      <c r="AB6" s="72"/>
      <c r="AC6" s="72"/>
      <c r="AD6" s="78"/>
    </row>
    <row r="7" spans="1:32" ht="20.25">
      <c r="A7" s="107"/>
      <c r="B7" s="579"/>
      <c r="C7" s="579"/>
      <c r="D7" s="745"/>
      <c r="E7" s="745"/>
      <c r="F7" s="745"/>
      <c r="G7" s="579"/>
      <c r="H7" s="579"/>
      <c r="I7" s="107"/>
      <c r="J7" s="580" t="s">
        <v>433</v>
      </c>
      <c r="K7" s="789" t="str">
        <f>IFERROR(IF($K$3&gt;7,"Terminal Block A","--"),"--")</f>
        <v>--</v>
      </c>
      <c r="L7" s="740"/>
      <c r="M7" s="740"/>
      <c r="N7" s="740"/>
      <c r="O7" s="602" t="s">
        <v>24</v>
      </c>
      <c r="P7" s="789" t="s">
        <v>456</v>
      </c>
      <c r="Q7" s="741"/>
      <c r="R7" s="795" t="str">
        <f>IFERROR(IF($K$3&lt;7,"--",IF($K$3&gt;10,"Terminal Block B","Terminal Block C")),"--")</f>
        <v>--</v>
      </c>
      <c r="S7" s="796"/>
      <c r="T7" s="796"/>
      <c r="U7" s="797"/>
      <c r="V7" s="740" t="str">
        <f>IFERROR(IF($K$3&gt;10,"Terminal Block C","--"),"--")</f>
        <v>--</v>
      </c>
      <c r="W7" s="740"/>
      <c r="X7" s="740"/>
      <c r="Y7" s="741"/>
      <c r="Z7" s="84"/>
      <c r="AA7" s="72"/>
      <c r="AB7" s="72"/>
      <c r="AC7" s="72"/>
      <c r="AD7" s="72"/>
      <c r="AE7" s="72"/>
      <c r="AF7" s="78"/>
    </row>
    <row r="8" spans="1:32" ht="20.25">
      <c r="A8" s="107"/>
      <c r="B8" s="579"/>
      <c r="C8" s="579"/>
      <c r="D8" s="746"/>
      <c r="E8" s="746"/>
      <c r="F8" s="746"/>
      <c r="G8" s="579"/>
      <c r="H8" s="579"/>
      <c r="I8" s="107"/>
      <c r="J8" s="581" t="s">
        <v>434</v>
      </c>
      <c r="K8" s="769" t="str">
        <f>IF(K7="--","--",IF(K3&lt;4,"3-3-4-B","3-4-4-3"))</f>
        <v>--</v>
      </c>
      <c r="L8" s="770"/>
      <c r="M8" s="770"/>
      <c r="N8" s="770"/>
      <c r="O8" s="603" t="s">
        <v>24</v>
      </c>
      <c r="P8" s="604" t="s">
        <v>24</v>
      </c>
      <c r="Q8" s="605" t="s">
        <v>24</v>
      </c>
      <c r="R8" s="798" t="str">
        <f>IFERROR(IF(K3&lt;6,"--",IF(K$3&gt;10,"3-4-4-3","3-3-4-B")),"--")</f>
        <v>--</v>
      </c>
      <c r="S8" s="799"/>
      <c r="T8" s="799"/>
      <c r="U8" s="800"/>
      <c r="V8" s="742" t="str">
        <f>IFERROR(IF(K3&gt;10,"3-3-4-B","--"),"--")</f>
        <v>--</v>
      </c>
      <c r="W8" s="743"/>
      <c r="X8" s="743"/>
      <c r="Y8" s="744"/>
      <c r="Z8" s="84"/>
      <c r="AA8" s="72"/>
      <c r="AB8" s="72"/>
      <c r="AC8" s="72"/>
      <c r="AD8" s="72"/>
      <c r="AE8" s="72"/>
      <c r="AF8" s="78"/>
    </row>
    <row r="9" spans="1:32" s="100" customFormat="1" ht="13.15" customHeight="1" thickBot="1">
      <c r="A9" s="157"/>
      <c r="B9" s="254"/>
      <c r="C9" s="254"/>
      <c r="D9" s="254"/>
      <c r="E9" s="254"/>
      <c r="F9" s="107"/>
      <c r="G9" s="107"/>
      <c r="H9" s="107"/>
      <c r="I9" s="107"/>
      <c r="J9" s="275" t="s">
        <v>199</v>
      </c>
      <c r="K9" s="586" t="s">
        <v>19</v>
      </c>
      <c r="L9" s="436" t="s">
        <v>20</v>
      </c>
      <c r="M9" s="436" t="s">
        <v>23</v>
      </c>
      <c r="N9" s="436" t="str">
        <f>IF(ISERROR($K$3),"--",(IF($K$3=3,"--","A4")))</f>
        <v>A4</v>
      </c>
      <c r="O9" s="278" t="str">
        <f>IF(ISERROR($K$3),"--",(IF($K$3&gt;6,"--","A5")))</f>
        <v>A5</v>
      </c>
      <c r="P9" s="372" t="s">
        <v>602</v>
      </c>
      <c r="Q9" s="276" t="s">
        <v>214</v>
      </c>
      <c r="R9" s="276" t="str">
        <f>IF(OR(R7="--",MID(R8,1,1)="B"),"--",CONCATENATE(RIGHT(R7,1),"1"))</f>
        <v>--</v>
      </c>
      <c r="S9" s="277" t="str">
        <f>IF(OR(R7="--",MID(R8,3,1)="B"),"--",CONCATENATE(RIGHT(R7,1),"2"))</f>
        <v>--</v>
      </c>
      <c r="T9" s="277" t="str">
        <f>IF(OR(R7="--",MID(R8,5,1)="B"),"--",CONCATENATE(RIGHT(R7,1),"3"))</f>
        <v>--</v>
      </c>
      <c r="U9" s="278" t="str">
        <f>IF(OR(R7="--",MID(R8,7,1)="B"),"--",CONCATENATE(RIGHT(R7,1),"4"))</f>
        <v>--</v>
      </c>
      <c r="V9" s="276" t="str">
        <f>IF(OR(V7="--",MID(V8,1,1)="B"),"--",CONCATENATE(RIGHT(V7,1),"1"))</f>
        <v>--</v>
      </c>
      <c r="W9" s="277" t="str">
        <f>IF(OR(V7="--",MID(V8,3,1)="B"),"--",CONCATENATE(RIGHT(V7,1),"2"))</f>
        <v>--</v>
      </c>
      <c r="X9" s="277" t="str">
        <f>IF(OR(V7="--",MID(V8,5,1)="B"),"--",CONCATENATE(RIGHT(V7,1),"3"))</f>
        <v>--</v>
      </c>
      <c r="Y9" s="278" t="str">
        <f>IF(AND(RIGHT(V7,1)="C",RIGHT(V8,1)="3"),"C4",IF(AND(RIGHT(V7,1)="B",RIGHT(V8,1)="3"),"B4","--"))</f>
        <v>--</v>
      </c>
      <c r="Z9" s="95" t="s">
        <v>90</v>
      </c>
      <c r="AA9" s="95" t="s">
        <v>162</v>
      </c>
      <c r="AB9" s="95" t="s">
        <v>163</v>
      </c>
      <c r="AC9" s="96" t="s">
        <v>154</v>
      </c>
      <c r="AD9" s="97" t="s">
        <v>153</v>
      </c>
      <c r="AE9" s="98" t="s">
        <v>156</v>
      </c>
      <c r="AF9" s="99"/>
    </row>
    <row r="10" spans="1:32" s="100" customFormat="1" ht="10.15" customHeight="1">
      <c r="A10" s="157"/>
      <c r="B10" s="254"/>
      <c r="C10" s="254"/>
      <c r="D10" s="254"/>
      <c r="E10" s="254"/>
      <c r="F10" s="771" t="s">
        <v>280</v>
      </c>
      <c r="G10" s="772"/>
      <c r="H10" s="772"/>
      <c r="I10" s="773"/>
      <c r="J10" s="804" t="s">
        <v>201</v>
      </c>
      <c r="K10" s="362" t="str">
        <f>IF(ISERROR(VLOOKUP(CONCATENATE(K$9,"-H"),'Supply Attribution'!$O$5:$S$11,4,FALSE)),"--",VLOOKUP(CONCATENATE(K$9,"-H"),'Supply Attribution'!$O$5:$S$11,4,FALSE))</f>
        <v>K1-P (P30,P31)</v>
      </c>
      <c r="L10" s="363" t="str">
        <f>IF(ISERROR(VLOOKUP(CONCATENATE(L$9,"-H"),'Supply Attribution'!$O$5:$S$11,4,FALSE)),"--",VLOOKUP(CONCATENATE(L$9,"-H"),'Supply Attribution'!$O$5:$S$11,4,FALSE))</f>
        <v>K3-P</v>
      </c>
      <c r="M10" s="378" t="str">
        <f>IF(ISERROR(VLOOKUP(CONCATENATE(M$9,"-H"),'Supply Attribution'!$O$5:$S$11,4,FALSE)),"--",VLOOKUP(CONCATENATE(M$9,"-H"),'Supply Attribution'!$O$5:$S$11,4,FALSE))</f>
        <v>K4-P</v>
      </c>
      <c r="N10" s="362" t="str">
        <f>IF(ISERROR(VLOOKUP(CONCATENATE(N$9,"-H"),'Supply Attribution'!$O$5:$S$11,4,FALSE)),"--",VLOOKUP(CONCATENATE(N$9,"-H"),'Supply Attribution'!$O$5:$S$11,4,FALSE))</f>
        <v>K6-P</v>
      </c>
      <c r="O10" s="378" t="str">
        <f>IF(ISERROR(VLOOKUP(CONCATENATE(O$9,"-H"),'Supply Attribution'!$O$5:$S$11,4,FALSE)),"--",VLOOKUP(CONCATENATE(O$9,"-H"),'Supply Attribution'!$O$5:$S$11,4,FALSE))</f>
        <v>(P49,P50)</v>
      </c>
      <c r="P10" s="373" t="s">
        <v>42</v>
      </c>
      <c r="Q10" s="373" t="str">
        <f>IF(ISERROR(VLOOKUP(CONCATENATE(Q$9,"-H"),'Supply Attribution'!$O$5:$S$11,4,FALSE)),"--",VLOOKUP(CONCATENATE(Q$9,"-H"),'Supply Attribution'!$O$5:$S$11,4,FALSE))</f>
        <v>--</v>
      </c>
      <c r="R10" s="362" t="str">
        <f>IF(ISERROR(VLOOKUP(CONCATENATE(R$9,"-H"),'Supply Attribution'!$V$5:$Z$12,4,FALSE)),"--",VLOOKUP(CONCATENATE(R$9,"-H"),'Supply Attribution'!$V$5:$Z$12,4,FALSE))</f>
        <v>--</v>
      </c>
      <c r="S10" s="363" t="str">
        <f>IF(ISERROR(VLOOKUP(CONCATENATE(S$9,"-H"),'Supply Attribution'!$V$5:$Z$12,4,FALSE)),"--",VLOOKUP(CONCATENATE(S$9,"-H"),'Supply Attribution'!$V$5:$Z$12,4,FALSE))</f>
        <v>--</v>
      </c>
      <c r="T10" s="363" t="str">
        <f>IF(ISERROR(VLOOKUP(CONCATENATE(T$9,"-H"),'Supply Attribution'!$V$5:$Z$12,4,FALSE)),"--",VLOOKUP(CONCATENATE(T$9,"-H"),'Supply Attribution'!$V$5:$Z$12,4,FALSE))</f>
        <v>--</v>
      </c>
      <c r="U10" s="378" t="str">
        <f>IF(ISERROR(VLOOKUP(CONCATENATE(U$9,"-H"),'Supply Attribution'!$V$5:$Z$12,4,FALSE)),"--",VLOOKUP(CONCATENATE(U$9,"-H"),'Supply Attribution'!$V$5:$Z$12,4,FALSE))</f>
        <v>--</v>
      </c>
      <c r="V10" s="362" t="str">
        <f>IF(ISERROR(VLOOKUP(CONCATENATE(V$9,"-H"),'Supply Attribution'!$V$5:$Z$12,4,FALSE)),"--",VLOOKUP(CONCATENATE(V$9,"-H"),'Supply Attribution'!$V$5:$Z$12,4,FALSE))</f>
        <v>--</v>
      </c>
      <c r="W10" s="363" t="str">
        <f>IF(ISERROR(VLOOKUP(CONCATENATE(W$9,"-H"),'Supply Attribution'!$V$5:$Z$12,4,FALSE)),"--",VLOOKUP(CONCATENATE(W$9,"-H"),'Supply Attribution'!$V$5:$Z$12,4,FALSE))</f>
        <v>--</v>
      </c>
      <c r="X10" s="363" t="str">
        <f>IF(ISERROR(VLOOKUP(CONCATENATE(X$9,"-H"),'Supply Attribution'!$V$5:$Z$12,4,FALSE)),"--",VLOOKUP(CONCATENATE(X$9,"-H"),'Supply Attribution'!$V$5:$Z$12,4,FALSE))</f>
        <v>--</v>
      </c>
      <c r="Y10" s="378" t="str">
        <f>IF(ISERROR(VLOOKUP(CONCATENATE(Y$9,"-H"),'Supply Attribution'!$V$5:$Z$12,4,FALSE)),"--",VLOOKUP(CONCATENATE(Y$9,"-H"),'Supply Attribution'!$V$5:$Z$12,4,FALSE))</f>
        <v>--</v>
      </c>
      <c r="Z10" s="101"/>
      <c r="AA10" s="101"/>
      <c r="AB10" s="101"/>
      <c r="AC10" s="101"/>
      <c r="AD10" s="102"/>
      <c r="AE10" s="801" t="s">
        <v>34</v>
      </c>
      <c r="AF10" s="99"/>
    </row>
    <row r="11" spans="1:32" s="100" customFormat="1" ht="10.15" customHeight="1" thickBot="1">
      <c r="A11" s="157"/>
      <c r="B11" s="157"/>
      <c r="C11" s="157"/>
      <c r="D11" s="157"/>
      <c r="E11" s="254"/>
      <c r="F11" s="774" t="s">
        <v>289</v>
      </c>
      <c r="G11" s="775"/>
      <c r="H11" s="775"/>
      <c r="I11" s="776"/>
      <c r="J11" s="804"/>
      <c r="K11" s="364" t="str">
        <f>IF(K10="--","--",IF(ISNA(VLOOKUP(K10,'Supply Attribution'!$B$4:$G$20,5,FALSE)),"Not Installed",VLOOKUP(K10,'Supply Attribution'!$B$4:$G$20,5,FALSE)))</f>
        <v>OUT 4</v>
      </c>
      <c r="L11" s="365" t="str">
        <f>IF(L10="--","--",IF(ISNA(VLOOKUP(L10,'Supply Attribution'!$B$4:$G$20,5,FALSE)),"Not Installed",VLOOKUP(L10,'Supply Attribution'!$B$4:$G$20,5,FALSE)))</f>
        <v>OUT 1</v>
      </c>
      <c r="M11" s="379" t="str">
        <f>IF(M10="--","--",IF(ISNA(VLOOKUP(M10,'Supply Attribution'!$B$4:$G$20,5,FALSE)),"Not Installed",VLOOKUP(M10,'Supply Attribution'!$B$4:$G$20,5,FALSE)))</f>
        <v>OUT 2</v>
      </c>
      <c r="N11" s="364" t="str">
        <f>IF(N10="--","--",IF(ISNA(VLOOKUP(N10,'Supply Attribution'!$B$4:$G$20,5,FALSE)),"Not Installed",VLOOKUP(N10,'Supply Attribution'!$B$4:$G$20,5,FALSE)))</f>
        <v>OUT 3</v>
      </c>
      <c r="O11" s="379" t="str">
        <f>IF(O10="--","--",IF(ISNA(VLOOKUP(O10,'Supply Attribution'!$B$4:$G$20,5,FALSE)),"Not Installed",VLOOKUP(O10,'Supply Attribution'!$B$4:$G$20,5,FALSE)))</f>
        <v>DIRECT</v>
      </c>
      <c r="P11" s="716" t="str">
        <f>IF(P10="--","--",IF(ISNA(VLOOKUP(P10,'Supply Attribution'!$B$4:$G$20,5,FALSE)),"Not Installed",VLOOKUP(P10,'Supply Attribution'!$B$4:$G$20,5,FALSE)))</f>
        <v>OUT 6</v>
      </c>
      <c r="Q11" s="374" t="str">
        <f>IF(Q10="--","--",IF(ISNA(VLOOKUP(Q10,'Supply Attribution'!$B$4:$G$20,5,FALSE)),"Not Installed",VLOOKUP(Q10,'Supply Attribution'!$B$4:$G$20,5,FALSE)))</f>
        <v>--</v>
      </c>
      <c r="R11" s="279" t="str">
        <f>IF(R10="--","--",IF(ISNA(VLOOKUP(R10,'Supply Attribution'!$B$4:$G$20,5,FALSE)),"Not Installed",VLOOKUP(R10,'Supply Attribution'!$B$4:$G$20,5,FALSE)))</f>
        <v>--</v>
      </c>
      <c r="S11" s="280" t="str">
        <f>IF(S10="--","--",IF(ISNA(VLOOKUP(S10,'Supply Attribution'!$B$4:$G$20,5,FALSE)),"Not Installed",VLOOKUP(S10,'Supply Attribution'!$B$4:$G$20,5,FALSE)))</f>
        <v>--</v>
      </c>
      <c r="T11" s="280" t="str">
        <f>IF(T10="--","--",IF(ISNA(VLOOKUP(T10,'Supply Attribution'!$B$4:$G$20,5,FALSE)),"Not Installed",VLOOKUP(T10,'Supply Attribution'!$B$4:$G$20,5,FALSE)))</f>
        <v>--</v>
      </c>
      <c r="U11" s="281" t="str">
        <f>IF(U10="--","--",IF(ISNA(VLOOKUP(U10,'Supply Attribution'!$B$4:$G$20,5,FALSE)),"Not Installed",VLOOKUP(U10,'Supply Attribution'!$B$4:$G$20,5,FALSE)))</f>
        <v>--</v>
      </c>
      <c r="V11" s="279" t="str">
        <f>IF(V10="--","--",IF(ISNA(VLOOKUP(V10,'Supply Attribution'!$B$4:$G$20,5,FALSE)),"Not Installed",VLOOKUP(V10,'Supply Attribution'!$B$4:$G$20,5,FALSE)))</f>
        <v>--</v>
      </c>
      <c r="W11" s="280" t="str">
        <f>IF(W10="--","--",IF(ISNA(VLOOKUP(W10,'Supply Attribution'!$B$4:$G$20,5,FALSE)),"Not Installed",VLOOKUP(W10,'Supply Attribution'!$B$4:$G$20,5,FALSE)))</f>
        <v>--</v>
      </c>
      <c r="X11" s="280" t="str">
        <f>IF(X10="--","--",IF(ISNA(VLOOKUP(X10,'Supply Attribution'!$B$4:$G$20,5,FALSE)),"Not Installed",VLOOKUP(X10,'Supply Attribution'!$B$4:$G$20,5,FALSE)))</f>
        <v>--</v>
      </c>
      <c r="Y11" s="281" t="str">
        <f>IF(Y10="--","--",IF(ISNA(VLOOKUP(Y10,'Supply Attribution'!$B$4:$G$20,5,FALSE)),"Not Installed",VLOOKUP(Y10,'Supply Attribution'!$B$4:$G$20,5,FALSE)))</f>
        <v>--</v>
      </c>
      <c r="Z11" s="101"/>
      <c r="AA11" s="101"/>
      <c r="AB11" s="101"/>
      <c r="AC11" s="101"/>
      <c r="AD11" s="102"/>
      <c r="AE11" s="802"/>
      <c r="AF11" s="99"/>
    </row>
    <row r="12" spans="1:32" s="100" customFormat="1" ht="10.15" customHeight="1">
      <c r="A12" s="253"/>
      <c r="B12" s="254"/>
      <c r="C12" s="254"/>
      <c r="D12" s="254"/>
      <c r="E12" s="254"/>
      <c r="F12" s="757" t="s">
        <v>222</v>
      </c>
      <c r="G12" s="758"/>
      <c r="H12" s="758"/>
      <c r="I12" s="759"/>
      <c r="J12" s="805" t="s">
        <v>202</v>
      </c>
      <c r="K12" s="362" t="str">
        <f>IF(ISERROR(VLOOKUP(CONCATENATE(K$9,"-L"),'Supply Attribution'!$P$5:$S$11,3,FALSE)),"--",VLOOKUP(CONCATENATE(K$9,"-L"),'Supply Attribution'!$P$5:$S$11,3,FALSE))</f>
        <v>--</v>
      </c>
      <c r="L12" s="363" t="str">
        <f>IF(ISERROR(VLOOKUP(CONCATENATE(L$9,"-L"),'Supply Attribution'!$P$5:$S$11,3,FALSE)),"--",VLOOKUP(CONCATENATE(L$9,"-L"),'Supply Attribution'!$P$5:$S$11,3,FALSE))</f>
        <v>K6-P</v>
      </c>
      <c r="M12" s="378" t="str">
        <f>IF(ISERROR(VLOOKUP(CONCATENATE(M$9,"-L"),'Supply Attribution'!$P$5:$S$11,3,FALSE)),"--",VLOOKUP(CONCATENATE(M$9,"-L"),'Supply Attribution'!$P$5:$S$11,3,FALSE))</f>
        <v>K2-P (P46,P47)</v>
      </c>
      <c r="N12" s="362" t="str">
        <f>IF(ISERROR(VLOOKUP(CONCATENATE(N$9,"-L"),'Supply Attribution'!$P$5:$S$11,3,FALSE)),"--",VLOOKUP(CONCATENATE(N$9,"-L"),'Supply Attribution'!$P$5:$S$11,3,FALSE))</f>
        <v>--</v>
      </c>
      <c r="O12" s="378" t="str">
        <f>IF(ISERROR(VLOOKUP(CONCATENATE(O$9,"-L"),'Supply Attribution'!$P$5:$S$11,3,FALSE)),"--",VLOOKUP(CONCATENATE(O$9,"-L"),'Supply Attribution'!$P$5:$S$11,3,FALSE))</f>
        <v>--</v>
      </c>
      <c r="P12" s="373" t="str">
        <f>IF(ISERROR(VLOOKUP(CONCATENATE(P$9,"-L"),'Supply Attribution'!$P$5:$S$11,3,FALSE)),"--",VLOOKUP(CONCATENATE(P$9,"-L"),'Supply Attribution'!$P$5:$S$11,3,FALSE))</f>
        <v>--</v>
      </c>
      <c r="Q12" s="373" t="str">
        <f>IF(ISERROR(VLOOKUP(CONCATENATE(Q$9,"-L"),'Supply Attribution'!$P$5:$S$11,3,FALSE)),"--",VLOOKUP(CONCATENATE(Q$9,"-L"),'Supply Attribution'!$P$5:$S$11,3,FALSE))</f>
        <v>--</v>
      </c>
      <c r="R12" s="362" t="str">
        <f>IF(ISERROR(VLOOKUP(CONCATENATE(R$9,"-L"),'Supply Attribution'!$W$5:$Z$12,3,FALSE)),"--",VLOOKUP(CONCATENATE(R$9,"-L"),'Supply Attribution'!$W$5:$Z$12,3,FALSE))</f>
        <v>--</v>
      </c>
      <c r="S12" s="363" t="str">
        <f>IF(ISERROR(VLOOKUP(CONCATENATE(S$9,"-L"),'Supply Attribution'!$W$5:$Z$12,3,FALSE)),"--",VLOOKUP(CONCATENATE(S$9,"-L"),'Supply Attribution'!$W$5:$Z$12,3,FALSE))</f>
        <v>--</v>
      </c>
      <c r="T12" s="363" t="str">
        <f>IF(ISERROR(VLOOKUP(CONCATENATE(T$9,"-L"),'Supply Attribution'!$W$5:$Z$12,3,FALSE)),"--",VLOOKUP(CONCATENATE(T$9,"-L"),'Supply Attribution'!$W$5:$Z$12,3,FALSE))</f>
        <v>--</v>
      </c>
      <c r="U12" s="378" t="str">
        <f>IF(ISERROR(VLOOKUP(CONCATENATE(U$9,"-L"),'Supply Attribution'!$W$5:$Z$12,3,FALSE)),"--",VLOOKUP(CONCATENATE(U$9,"-L"),'Supply Attribution'!$W$5:$Z$12,3,FALSE))</f>
        <v>--</v>
      </c>
      <c r="V12" s="362" t="str">
        <f>IF(ISERROR(VLOOKUP(CONCATENATE(V$9,"-L"),'Supply Attribution'!$W$5:$Z$12,3,FALSE)),"--",VLOOKUP(CONCATENATE(V$9,"-L"),'Supply Attribution'!$W$5:$Z$12,3,FALSE))</f>
        <v>--</v>
      </c>
      <c r="W12" s="363" t="str">
        <f>IF(ISERROR(VLOOKUP(CONCATENATE(W$9,"-L"),'Supply Attribution'!$W$5:$Z$12,3,FALSE)),"--",VLOOKUP(CONCATENATE(W$9,"-L"),'Supply Attribution'!$W$5:$Z$12,3,FALSE))</f>
        <v>--</v>
      </c>
      <c r="X12" s="363" t="str">
        <f>IF(ISERROR(VLOOKUP(CONCATENATE(X$9,"-L"),'Supply Attribution'!$W$5:$Z$12,3,FALSE)),"--",VLOOKUP(CONCATENATE(X$9,"-L"),'Supply Attribution'!$W$5:$Z$12,3,FALSE))</f>
        <v>--</v>
      </c>
      <c r="Y12" s="378" t="str">
        <f>IF(ISERROR(VLOOKUP(CONCATENATE(Y$9,"-L"),'Supply Attribution'!$W$5:$Z$12,3,FALSE)),"--",VLOOKUP(CONCATENATE(Y$9,"-L"),'Supply Attribution'!$W$5:$Z$12,3,FALSE))</f>
        <v>--</v>
      </c>
      <c r="Z12" s="101"/>
      <c r="AA12" s="101"/>
      <c r="AB12" s="101"/>
      <c r="AC12" s="103"/>
      <c r="AD12" s="102"/>
      <c r="AE12" s="803" t="s">
        <v>35</v>
      </c>
      <c r="AF12" s="99"/>
    </row>
    <row r="13" spans="1:32" s="100" customFormat="1" ht="10.15" customHeight="1" thickBot="1">
      <c r="A13" s="273"/>
      <c r="B13" s="157"/>
      <c r="C13" s="157"/>
      <c r="D13" s="157"/>
      <c r="E13" s="157"/>
      <c r="F13" s="760" t="s">
        <v>221</v>
      </c>
      <c r="G13" s="761"/>
      <c r="H13" s="761"/>
      <c r="I13" s="762"/>
      <c r="J13" s="806"/>
      <c r="K13" s="279" t="str">
        <f>IF(K12="--","--",IF(ISNA(VLOOKUP(K12,'Supply Attribution'!$B$4:$G$20,5,FALSE)),"Not Installed",VLOOKUP(K12,'Supply Attribution'!$B$4:$G$20,5,FALSE)))</f>
        <v>--</v>
      </c>
      <c r="L13" s="280" t="str">
        <f>IF(L12="--","--",IF(ISNA(VLOOKUP(L12,'Supply Attribution'!$B$4:$G$20,5,FALSE)),"Not Installed",VLOOKUP(L12,'Supply Attribution'!$B$4:$G$20,5,FALSE)))</f>
        <v>OUT 3</v>
      </c>
      <c r="M13" s="281" t="str">
        <f>IF(M12="--","--",IF(ISNA(VLOOKUP(M12,'Supply Attribution'!$B$4:$G$20,5,FALSE)),"Not Installed",VLOOKUP(M12,'Supply Attribution'!$B$4:$G$20,5,FALSE)))</f>
        <v>OUT 5</v>
      </c>
      <c r="N13" s="279" t="str">
        <f>IF(N12="--","--",IF(ISNA(VLOOKUP(N12,'Supply Attribution'!$B$4:$G$20,5,FALSE)),"Not Installed",VLOOKUP(N12,'Supply Attribution'!$B$4:$G$20,5,FALSE)))</f>
        <v>--</v>
      </c>
      <c r="O13" s="281" t="str">
        <f>IF(O12="--","--",IF(ISNA(VLOOKUP(O12,'Supply Attribution'!$B$4:$G$20,5,FALSE)),"Not Installed",VLOOKUP(O12,'Supply Attribution'!$B$4:$G$20,5,FALSE)))</f>
        <v>--</v>
      </c>
      <c r="P13" s="720" t="str">
        <f>IF(P12="--","--",IF(ISNA(VLOOKUP(P12,'Supply Attribution'!$B$4:$G$20,5,FALSE)),"Not Installed",VLOOKUP(P12,'Supply Attribution'!$B$4:$G$20,5,FALSE)))</f>
        <v>--</v>
      </c>
      <c r="Q13" s="720" t="str">
        <f>IF(Q12="--","--",IF(ISNA(VLOOKUP(Q12,'Supply Attribution'!$B$4:$G$20,5,FALSE)),"Not Installed",VLOOKUP(Q12,'Supply Attribution'!$B$4:$G$20,5,FALSE)))</f>
        <v>--</v>
      </c>
      <c r="R13" s="279" t="str">
        <f>IF(R12="--","--",IF(ISNA(VLOOKUP(R12,'Supply Attribution'!$B$4:$G$20,5,FALSE)),"Not Installed",VLOOKUP(R12,'Supply Attribution'!$B$4:$G$20,5,FALSE)))</f>
        <v>--</v>
      </c>
      <c r="S13" s="280" t="str">
        <f>IF(S12="--","--",IF(ISNA(VLOOKUP(S12,'Supply Attribution'!$B$4:$G$20,5,FALSE)),"Not Installed",VLOOKUP(S12,'Supply Attribution'!$B$4:$G$20,5,FALSE)))</f>
        <v>--</v>
      </c>
      <c r="T13" s="280" t="str">
        <f>IF(T12="--","--",IF(ISNA(VLOOKUP(T12,'Supply Attribution'!$B$4:$G$20,5,FALSE)),"Not Installed",VLOOKUP(T12,'Supply Attribution'!$B$4:$G$20,5,FALSE)))</f>
        <v>--</v>
      </c>
      <c r="U13" s="281" t="str">
        <f>IF(U12="--","--",IF(ISNA(VLOOKUP(U12,'Supply Attribution'!$B$4:$G$20,5,FALSE)),"Not Installed",VLOOKUP(U12,'Supply Attribution'!$B$4:$G$20,5,FALSE)))</f>
        <v>--</v>
      </c>
      <c r="V13" s="279" t="str">
        <f>IF(V12="--","--",IF(ISNA(VLOOKUP(V12,'Supply Attribution'!$B$4:$G$20,5,FALSE)),"Not Installed",VLOOKUP(V12,'Supply Attribution'!$B$4:$G$20,5,FALSE)))</f>
        <v>--</v>
      </c>
      <c r="W13" s="280" t="str">
        <f>IF(W12="--","--",IF(ISNA(VLOOKUP(W12,'Supply Attribution'!$B$4:$G$20,5,FALSE)),"Not Installed",VLOOKUP(W12,'Supply Attribution'!$B$4:$G$20,5,FALSE)))</f>
        <v>--</v>
      </c>
      <c r="X13" s="280" t="str">
        <f>IF(X12="--","--",IF(ISNA(VLOOKUP(X12,'Supply Attribution'!$B$4:$G$20,5,FALSE)),"Not Installed",VLOOKUP(X12,'Supply Attribution'!$B$4:$G$20,5,FALSE)))</f>
        <v>--</v>
      </c>
      <c r="Y13" s="281" t="str">
        <f>IF(Y12="--","--",IF(ISNA(VLOOKUP(Y12,'Supply Attribution'!$B$4:$G$20,5,FALSE)),"Not Installed",VLOOKUP(Y12,'Supply Attribution'!$B$4:$G$20,5,FALSE)))</f>
        <v>--</v>
      </c>
      <c r="Z13" s="104"/>
      <c r="AA13" s="104"/>
      <c r="AB13" s="104"/>
      <c r="AC13" s="104"/>
      <c r="AD13" s="105"/>
      <c r="AE13" s="802"/>
      <c r="AF13" s="99"/>
    </row>
    <row r="14" spans="1:32" ht="15.75" customHeight="1">
      <c r="A14" s="115"/>
      <c r="B14" s="116"/>
      <c r="C14" s="116"/>
      <c r="D14" s="116"/>
      <c r="E14" s="116"/>
      <c r="F14" s="116"/>
      <c r="G14" s="116"/>
      <c r="H14" s="116"/>
      <c r="I14" s="116"/>
      <c r="J14" s="111" t="s">
        <v>195</v>
      </c>
      <c r="K14" s="282" t="str">
        <f>IF(ISERROR(VLOOKUP(K10,'Supply Attribution'!$B$4:$G$20,6,FALSE)),"--",VLOOKUP(K10,'Supply Attribution'!$B$4:$G$20,6,FALSE))</f>
        <v>F2</v>
      </c>
      <c r="L14" s="283" t="str">
        <f>IF(ISERROR(VLOOKUP(L10,'Supply Attribution'!$B$4:$G$20,6,FALSE)),"--",VLOOKUP(L10,'Supply Attribution'!$B$4:$G$20,6,FALSE))</f>
        <v>F3</v>
      </c>
      <c r="M14" s="284" t="str">
        <f>IF(ISERROR(VLOOKUP(M10,'Supply Attribution'!$B$4:$G$20,6,FALSE)),"--",VLOOKUP(M10,'Supply Attribution'!$B$4:$G$20,6,FALSE))</f>
        <v>F1</v>
      </c>
      <c r="N14" s="282" t="str">
        <f>IF(ISERROR(VLOOKUP(N10,'Supply Attribution'!$B$4:$G$20,6,FALSE)),"--",VLOOKUP(N10,'Supply Attribution'!$B$4:$G$20,6,FALSE))</f>
        <v>F3</v>
      </c>
      <c r="O14" s="284" t="str">
        <f>IF(ISERROR(VLOOKUP(O10,'Supply Attribution'!$B$4:$G$20,6,FALSE)),"--",VLOOKUP(O10,'Supply Attribution'!$B$4:$G$20,6,FALSE))</f>
        <v>F1</v>
      </c>
      <c r="P14" s="717" t="str">
        <f>IF(ISERROR(VLOOKUP(P10,'Supply Attribution'!$B$4:$G$20,6,FALSE)),"--",VLOOKUP(P10,'Supply Attribution'!$B$4:$G$20,6,FALSE))</f>
        <v>F23</v>
      </c>
      <c r="Q14" s="375" t="str">
        <f>IF(ISERROR(VLOOKUP(Q10,'Supply Attribution'!$B$4:$G$20,6,FALSE)),"--",VLOOKUP(Q10,'Supply Attribution'!$B$4:$G$20,6,FALSE))</f>
        <v>--</v>
      </c>
      <c r="R14" s="282" t="str">
        <f>IF(ISERROR(VLOOKUP(R10,'Supply Attribution'!$B$4:$G$20,6,FALSE)),"--",VLOOKUP(R10,'Supply Attribution'!$B$4:$G$20,6,FALSE))</f>
        <v>--</v>
      </c>
      <c r="S14" s="283" t="str">
        <f>IF(ISERROR(VLOOKUP(S10,'Supply Attribution'!$B$4:$G$20,6,FALSE)),"--",VLOOKUP(S10,'Supply Attribution'!$B$4:$G$20,6,FALSE))</f>
        <v>--</v>
      </c>
      <c r="T14" s="283" t="str">
        <f>IF(ISERROR(VLOOKUP(T10,'Supply Attribution'!$B$4:$G$20,6,FALSE)),"--",VLOOKUP(T10,'Supply Attribution'!$B$4:$G$20,6,FALSE))</f>
        <v>--</v>
      </c>
      <c r="U14" s="284" t="str">
        <f>IF(ISERROR(VLOOKUP(U10,'Supply Attribution'!$B$4:$G$20,6,FALSE)),"--",VLOOKUP(U10,'Supply Attribution'!$B$4:$G$20,6,FALSE))</f>
        <v>--</v>
      </c>
      <c r="V14" s="282" t="str">
        <f>IF(ISERROR(VLOOKUP(V10,'Supply Attribution'!$B$4:$G$20,6,FALSE)),"--",VLOOKUP(V10,'Supply Attribution'!$B$4:$G$20,6,FALSE))</f>
        <v>--</v>
      </c>
      <c r="W14" s="283" t="str">
        <f>IF(ISERROR(VLOOKUP(W10,'Supply Attribution'!$B$4:$G$20,6,FALSE)),"--",VLOOKUP(W10,'Supply Attribution'!$B$4:$G$20,6,FALSE))</f>
        <v>--</v>
      </c>
      <c r="X14" s="283" t="str">
        <f>IF(ISERROR(VLOOKUP(X10,'Supply Attribution'!$B$4:$G$20,6,FALSE)),"--",VLOOKUP(X10,'Supply Attribution'!$B$4:$G$20,6,FALSE))</f>
        <v>--</v>
      </c>
      <c r="Y14" s="284" t="str">
        <f>IF(ISERROR(VLOOKUP(Y10,'Supply Attribution'!$B$4:$G$20,6,FALSE)),"--",VLOOKUP(Y10,'Supply Attribution'!$B$4:$G$20,6,FALSE))</f>
        <v>--</v>
      </c>
      <c r="Z14" s="106"/>
      <c r="AA14" s="106"/>
      <c r="AB14" s="106"/>
      <c r="AC14" s="107"/>
      <c r="AD14" s="107"/>
      <c r="AE14" s="108" t="s">
        <v>103</v>
      </c>
      <c r="AF14" s="78"/>
    </row>
    <row r="15" spans="1:32" ht="15.95" customHeight="1" thickBot="1">
      <c r="A15" s="115"/>
      <c r="B15" s="116"/>
      <c r="C15" s="116"/>
      <c r="D15" s="116"/>
      <c r="E15" s="116"/>
      <c r="F15" s="116"/>
      <c r="G15" s="116"/>
      <c r="H15" s="116"/>
      <c r="I15" s="116"/>
      <c r="J15" s="285" t="s">
        <v>196</v>
      </c>
      <c r="K15" s="286" t="str">
        <f>IF(ISERROR(VLOOKUP(K12,'Supply Attribution'!$B$4:$G$20,6,FALSE)),"--",VLOOKUP(K12,'Supply Attribution'!$B$4:$G$20,6,FALSE))</f>
        <v>--</v>
      </c>
      <c r="L15" s="287" t="str">
        <f>IF(ISERROR(VLOOKUP(L12,'Supply Attribution'!$B$4:$G$20,6,FALSE)),"--",VLOOKUP(L12,'Supply Attribution'!$B$4:$G$20,6,FALSE))</f>
        <v>F3</v>
      </c>
      <c r="M15" s="288" t="str">
        <f>IF(ISERROR(VLOOKUP(M12,'Supply Attribution'!$B$4:$G$20,6,FALSE)),"--",VLOOKUP(M12,'Supply Attribution'!$B$4:$G$20,6,FALSE))</f>
        <v>F2</v>
      </c>
      <c r="N15" s="286" t="str">
        <f>IF(ISERROR(VLOOKUP(N12,'Supply Attribution'!$B$4:$G$20,6,FALSE)),"--",VLOOKUP(N12,'Supply Attribution'!$B$4:$G$20,6,FALSE))</f>
        <v>--</v>
      </c>
      <c r="O15" s="288" t="str">
        <f>IF(ISERROR(VLOOKUP(O12,'Supply Attribution'!$B$4:$G$20,6,FALSE)),"--",VLOOKUP(O12,'Supply Attribution'!$B$4:$G$20,6,FALSE))</f>
        <v>--</v>
      </c>
      <c r="P15" s="721" t="str">
        <f>IF(ISERROR(VLOOKUP(P12,'Supply Attribution'!$B$4:$G$20,6,FALSE)),"--",VLOOKUP(P12,'Supply Attribution'!$B$4:$G$20,6,FALSE))</f>
        <v>--</v>
      </c>
      <c r="Q15" s="721" t="str">
        <f>IF(ISERROR(VLOOKUP(Q12,'Supply Attribution'!$B$4:$G$20,6,FALSE)),"--",VLOOKUP(Q12,'Supply Attribution'!$B$4:$G$20,6,FALSE))</f>
        <v>--</v>
      </c>
      <c r="R15" s="286" t="str">
        <f>IF(ISERROR(VLOOKUP(R12,'Supply Attribution'!$B$4:$G$20,6,FALSE)),"--",VLOOKUP(R12,'Supply Attribution'!$B$4:$G$20,6,FALSE))</f>
        <v>--</v>
      </c>
      <c r="S15" s="287" t="str">
        <f>IF(ISERROR(VLOOKUP(S12,'Supply Attribution'!$B$4:$G$20,6,FALSE)),"--",VLOOKUP(S12,'Supply Attribution'!$B$4:$G$20,6,FALSE))</f>
        <v>--</v>
      </c>
      <c r="T15" s="287" t="str">
        <f>IF(ISERROR(VLOOKUP(T12,'Supply Attribution'!$B$4:$G$20,6,FALSE)),"--",VLOOKUP(T12,'Supply Attribution'!$B$4:$G$20,6,FALSE))</f>
        <v>--</v>
      </c>
      <c r="U15" s="288" t="str">
        <f>IF(ISERROR(VLOOKUP(U12,'Supply Attribution'!$B$4:$G$20,6,FALSE)),"--",VLOOKUP(U12,'Supply Attribution'!$B$4:$G$20,6,FALSE))</f>
        <v>--</v>
      </c>
      <c r="V15" s="286" t="str">
        <f>IF(ISERROR(VLOOKUP(V12,'Supply Attribution'!$B$4:$G$20,6,FALSE)),"--",VLOOKUP(V12,'Supply Attribution'!$B$4:$G$20,6,FALSE))</f>
        <v>--</v>
      </c>
      <c r="W15" s="287" t="str">
        <f>IF(ISERROR(VLOOKUP(W12,'Supply Attribution'!$B$4:$G$20,6,FALSE)),"--",VLOOKUP(W12,'Supply Attribution'!$B$4:$G$20,6,FALSE))</f>
        <v>--</v>
      </c>
      <c r="X15" s="287" t="str">
        <f>IF(ISERROR(VLOOKUP(X12,'Supply Attribution'!$B$4:$G$20,6,FALSE)),"--",VLOOKUP(X12,'Supply Attribution'!$B$4:$G$20,6,FALSE))</f>
        <v>--</v>
      </c>
      <c r="Y15" s="288" t="str">
        <f>IF(ISERROR(VLOOKUP(Y12,'Supply Attribution'!$B$4:$G$20,6,FALSE)),"--",VLOOKUP(Y12,'Supply Attribution'!$B$4:$G$20,6,FALSE))</f>
        <v>--</v>
      </c>
      <c r="Z15" s="109"/>
      <c r="AA15" s="109"/>
      <c r="AB15" s="109"/>
      <c r="AC15" s="109"/>
      <c r="AD15" s="107"/>
      <c r="AE15" s="110"/>
      <c r="AF15" s="78"/>
    </row>
    <row r="16" spans="1:32" ht="15.75" customHeight="1">
      <c r="A16" s="766" t="s">
        <v>281</v>
      </c>
      <c r="B16" s="767"/>
      <c r="C16" s="767"/>
      <c r="D16" s="767"/>
      <c r="E16" s="767"/>
      <c r="F16" s="767"/>
      <c r="G16" s="767"/>
      <c r="H16" s="767"/>
      <c r="I16" s="768"/>
      <c r="J16" s="111" t="s">
        <v>193</v>
      </c>
      <c r="K16" s="63" t="str">
        <f>IF(ISNA(VLOOKUP(CONCATENATE(K14,"Line"),'Supply Attribution'!$F$31:$G$37,2,FALSE)),"--",VLOOKUP(CONCATENATE(K14,"Line"),'Supply Attribution'!$F$31:$G$37,2,FALSE))</f>
        <v>Line1</v>
      </c>
      <c r="L16" s="64" t="str">
        <f>IF(ISNA(VLOOKUP(CONCATENATE(L14,"Line"),'Supply Attribution'!$F$31:$G$37,2,FALSE)),"--",VLOOKUP(CONCATENATE(L14,"Line"),'Supply Attribution'!$F$31:$G$37,2,FALSE))</f>
        <v>Line1</v>
      </c>
      <c r="M16" s="65" t="str">
        <f>IF(ISNA(VLOOKUP(CONCATENATE(M14,"Line"),'Supply Attribution'!$F$31:$G$37,2,FALSE)),"--",VLOOKUP(CONCATENATE(M14,"Line"),'Supply Attribution'!$F$31:$G$37,2,FALSE))</f>
        <v>Line1</v>
      </c>
      <c r="N16" s="63" t="str">
        <f>IF(ISNA(VLOOKUP(CONCATENATE(N14,"Line"),'Supply Attribution'!$F$31:$G$37,2,FALSE)),"--",VLOOKUP(CONCATENATE(N14,"Line"),'Supply Attribution'!$F$31:$G$37,2,FALSE))</f>
        <v>Line1</v>
      </c>
      <c r="O16" s="65" t="str">
        <f>IF(ISNA(VLOOKUP(CONCATENATE(O14,"Line"),'Supply Attribution'!$F$31:$G$37,2,FALSE)),"--",VLOOKUP(CONCATENATE(O14,"Line"),'Supply Attribution'!$F$31:$G$37,2,FALSE))</f>
        <v>Line1</v>
      </c>
      <c r="P16" s="718" t="str">
        <f>IF(ISNA(VLOOKUP(CONCATENATE(P14,"Line"),'Supply Attribution'!$F$31:$G$37,2,FALSE)),"--",VLOOKUP(CONCATENATE(P14,"Line"),'Supply Attribution'!$F$31:$G$37,2,FALSE))</f>
        <v>Line1</v>
      </c>
      <c r="Q16" s="63" t="str">
        <f>IF(ISNA(VLOOKUP(CONCATENATE(Q14,"Line"),'Supply Attribution'!$F$31:$G$37,2,FALSE)),"--",VLOOKUP(CONCATENATE(Q14,"Line"),'Supply Attribution'!$F$31:$G$37,2,FALSE))</f>
        <v>--</v>
      </c>
      <c r="R16" s="63" t="str">
        <f>IF(ISNA(VLOOKUP(CONCATENATE(R14,"Line"),'Supply Attribution'!$F$31:$G$37,2,FALSE)),"--",VLOOKUP(CONCATENATE(R14,"Line"),'Supply Attribution'!$F$31:$G$37,2,FALSE))</f>
        <v>--</v>
      </c>
      <c r="S16" s="64" t="str">
        <f>IF(ISNA(VLOOKUP(CONCATENATE(S14,"Line"),'Supply Attribution'!$F$31:$G$37,2,FALSE)),"--",VLOOKUP(CONCATENATE(S14,"Line"),'Supply Attribution'!$F$31:$G$37,2,FALSE))</f>
        <v>--</v>
      </c>
      <c r="T16" s="64" t="str">
        <f>IF(ISNA(VLOOKUP(CONCATENATE(T14,"Line"),'Supply Attribution'!$F$31:$G$37,2,FALSE)),"--",VLOOKUP(CONCATENATE(T14,"Line"),'Supply Attribution'!$F$31:$G$37,2,FALSE))</f>
        <v>--</v>
      </c>
      <c r="U16" s="65" t="str">
        <f>IF(ISNA(VLOOKUP(CONCATENATE(U14,"Line"),'Supply Attribution'!$F$31:$G$37,2,FALSE)),"--",VLOOKUP(CONCATENATE(U14,"Line"),'Supply Attribution'!$F$31:$G$37,2,FALSE))</f>
        <v>--</v>
      </c>
      <c r="V16" s="63" t="str">
        <f>IF(ISNA(VLOOKUP(CONCATENATE(V14,"Line"),'Supply Attribution'!$F$31:$G$37,2,FALSE)),"--",VLOOKUP(CONCATENATE(V14,"Line"),'Supply Attribution'!$F$31:$G$37,2,FALSE))</f>
        <v>--</v>
      </c>
      <c r="W16" s="64" t="str">
        <f>IF(ISNA(VLOOKUP(CONCATENATE(W14,"Line"),'Supply Attribution'!$F$31:$G$37,2,FALSE)),"--",VLOOKUP(CONCATENATE(W14,"Line"),'Supply Attribution'!$F$31:$G$37,2,FALSE))</f>
        <v>--</v>
      </c>
      <c r="X16" s="64" t="str">
        <f>IF(ISNA(VLOOKUP(CONCATENATE(X14,"Line"),'Supply Attribution'!$F$31:$G$37,2,FALSE)),"--",VLOOKUP(CONCATENATE(X14,"Line"),'Supply Attribution'!$F$31:$G$37,2,FALSE))</f>
        <v>--</v>
      </c>
      <c r="Y16" s="65" t="str">
        <f>IF(ISNA(VLOOKUP(CONCATENATE(Y14,"Line"),'Supply Attribution'!$F$31:$G$37,2,FALSE)),"--",VLOOKUP(CONCATENATE(Y14,"Line"),'Supply Attribution'!$F$31:$G$37,2,FALSE))</f>
        <v>--</v>
      </c>
      <c r="Z16" s="112"/>
      <c r="AA16" s="113"/>
      <c r="AB16" s="112"/>
      <c r="AC16" s="112"/>
      <c r="AD16" s="112"/>
      <c r="AE16" s="114"/>
      <c r="AF16" s="78"/>
    </row>
    <row r="17" spans="1:32" ht="15.75" customHeight="1" thickBot="1">
      <c r="A17" s="763" t="s">
        <v>282</v>
      </c>
      <c r="B17" s="764"/>
      <c r="C17" s="764"/>
      <c r="D17" s="764"/>
      <c r="E17" s="764"/>
      <c r="F17" s="764"/>
      <c r="G17" s="764"/>
      <c r="H17" s="764"/>
      <c r="I17" s="765"/>
      <c r="J17" s="285" t="s">
        <v>194</v>
      </c>
      <c r="K17" s="289" t="str">
        <f>IF(ISNA(VLOOKUP(CONCATENATE(K15,"Line"),'Supply Attribution'!$F$31:$G$37,2,FALSE)),"--",VLOOKUP(CONCATENATE(K15,"Line"),'Supply Attribution'!$F$31:$G$37,2,FALSE))</f>
        <v>--</v>
      </c>
      <c r="L17" s="290" t="str">
        <f>IF(ISNA(VLOOKUP(CONCATENATE(L15,"Line"),'Supply Attribution'!$F$31:$G$37,2,FALSE)),"--",VLOOKUP(CONCATENATE(L15,"Line"),'Supply Attribution'!$F$31:$G$37,2,FALSE))</f>
        <v>Line1</v>
      </c>
      <c r="M17" s="582" t="str">
        <f>IF(ISNA(VLOOKUP(CONCATENATE(M15,"Line"),'Supply Attribution'!$F$31:$G$37,2,FALSE)),"--",VLOOKUP(CONCATENATE(M15,"Line"),'Supply Attribution'!$F$31:$G$37,2,FALSE))</f>
        <v>Line1</v>
      </c>
      <c r="N17" s="289" t="str">
        <f>IF(ISNA(VLOOKUP(CONCATENATE(N15,"Line"),'Supply Attribution'!$F$31:$G$37,2,FALSE)),"--",VLOOKUP(CONCATENATE(N15,"Line"),'Supply Attribution'!$F$31:$G$37,2,FALSE))</f>
        <v>--</v>
      </c>
      <c r="O17" s="582" t="str">
        <f>IF(ISNA(VLOOKUP(CONCATENATE(O15,"Line"),'Supply Attribution'!$F$31:$G$37,2,FALSE)),"--",VLOOKUP(CONCATENATE(O15,"Line"),'Supply Attribution'!$F$31:$G$37,2,FALSE))</f>
        <v>--</v>
      </c>
      <c r="P17" s="719" t="str">
        <f>IF(ISNA(VLOOKUP(CONCATENATE(P15,"Line"),'Supply Attribution'!$F$31:$G$37,2,FALSE)),"--",VLOOKUP(CONCATENATE(P15,"Line"),'Supply Attribution'!$F$31:$G$37,2,FALSE))</f>
        <v>--</v>
      </c>
      <c r="Q17" s="289" t="str">
        <f>IF(ISNA(VLOOKUP(CONCATENATE(Q15,"Line"),'Supply Attribution'!$F$31:$G$37,2,FALSE)),"--",VLOOKUP(CONCATENATE(Q15,"Line"),'Supply Attribution'!$F$31:$G$37,2,FALSE))</f>
        <v>--</v>
      </c>
      <c r="R17" s="289" t="str">
        <f>IF(ISNA(VLOOKUP(CONCATENATE(R15,"Line"),'Supply Attribution'!$F$31:$G$37,2,FALSE)),"--",VLOOKUP(CONCATENATE(R15,"Line"),'Supply Attribution'!$F$31:$G$37,2,FALSE))</f>
        <v>--</v>
      </c>
      <c r="S17" s="290" t="str">
        <f>IF(ISNA(VLOOKUP(CONCATENATE(S15,"Line"),'Supply Attribution'!$F$31:$G$37,2,FALSE)),"--",VLOOKUP(CONCATENATE(S15,"Line"),'Supply Attribution'!$F$31:$G$37,2,FALSE))</f>
        <v>--</v>
      </c>
      <c r="T17" s="290" t="str">
        <f>IF(ISNA(VLOOKUP(CONCATENATE(T15,"Line"),'Supply Attribution'!$F$31:$G$37,2,FALSE)),"--",VLOOKUP(CONCATENATE(T15,"Line"),'Supply Attribution'!$F$31:$G$37,2,FALSE))</f>
        <v>--</v>
      </c>
      <c r="U17" s="582" t="str">
        <f>IF(ISNA(VLOOKUP(CONCATENATE(U15,"Line"),'Supply Attribution'!$F$31:$G$37,2,FALSE)),"--",VLOOKUP(CONCATENATE(U15,"Line"),'Supply Attribution'!$F$31:$G$37,2,FALSE))</f>
        <v>--</v>
      </c>
      <c r="V17" s="289" t="str">
        <f>IF(ISNA(VLOOKUP(CONCATENATE(V15,"Line"),'Supply Attribution'!$F$31:$G$37,2,FALSE)),"--",VLOOKUP(CONCATENATE(V15,"Line"),'Supply Attribution'!$F$31:$G$37,2,FALSE))</f>
        <v>--</v>
      </c>
      <c r="W17" s="290" t="str">
        <f>IF(ISNA(VLOOKUP(CONCATENATE(W15,"Line"),'Supply Attribution'!$F$31:$G$37,2,FALSE)),"--",VLOOKUP(CONCATENATE(W15,"Line"),'Supply Attribution'!$F$31:$G$37,2,FALSE))</f>
        <v>--</v>
      </c>
      <c r="X17" s="290" t="str">
        <f>IF(ISNA(VLOOKUP(CONCATENATE(X15,"Line"),'Supply Attribution'!$F$31:$G$37,2,FALSE)),"--",VLOOKUP(CONCATENATE(X15,"Line"),'Supply Attribution'!$F$31:$G$37,2,FALSE))</f>
        <v>--</v>
      </c>
      <c r="Y17" s="582" t="str">
        <f>IF(ISNA(VLOOKUP(CONCATENATE(Y15,"Line"),'Supply Attribution'!$F$31:$G$37,2,FALSE)),"--",VLOOKUP(CONCATENATE(Y15,"Line"),'Supply Attribution'!$F$31:$G$37,2,FALSE))</f>
        <v>--</v>
      </c>
      <c r="Z17" s="107"/>
      <c r="AA17" s="117"/>
      <c r="AB17" s="107"/>
      <c r="AC17" s="107"/>
      <c r="AD17" s="107"/>
      <c r="AE17" s="108"/>
      <c r="AF17" s="78"/>
    </row>
    <row r="18" spans="1:32" s="100" customFormat="1" ht="13.15" customHeight="1">
      <c r="A18" s="118" t="s">
        <v>132</v>
      </c>
      <c r="B18" s="119" t="s">
        <v>133</v>
      </c>
      <c r="C18" s="119" t="s">
        <v>131</v>
      </c>
      <c r="D18" s="119" t="s">
        <v>134</v>
      </c>
      <c r="E18" s="119" t="s">
        <v>136</v>
      </c>
      <c r="F18" s="120" t="s">
        <v>135</v>
      </c>
      <c r="G18" s="119" t="s">
        <v>139</v>
      </c>
      <c r="H18" s="119" t="str">
        <f>IF(AND(K6="CE",T59&lt;&gt;"1 Phase"),"Line2","")</f>
        <v/>
      </c>
      <c r="I18" s="119" t="str">
        <f>IF(AND($K$6="CE",T59="3 Phases"),"Line3","")</f>
        <v/>
      </c>
      <c r="J18" s="118"/>
      <c r="K18" s="119"/>
      <c r="L18" s="119"/>
      <c r="M18" s="119"/>
      <c r="N18" s="318"/>
      <c r="O18" s="119"/>
      <c r="P18" s="119"/>
      <c r="Q18" s="119"/>
      <c r="R18" s="119"/>
      <c r="S18" s="119"/>
      <c r="T18" s="119"/>
      <c r="U18" s="119"/>
      <c r="V18" s="119"/>
      <c r="W18" s="119"/>
      <c r="X18" s="119"/>
      <c r="Y18" s="119"/>
      <c r="Z18" s="477" t="s">
        <v>90</v>
      </c>
      <c r="AA18" s="477" t="s">
        <v>162</v>
      </c>
      <c r="AB18" s="477" t="s">
        <v>163</v>
      </c>
      <c r="AC18" s="478" t="s">
        <v>154</v>
      </c>
      <c r="AD18" s="478" t="s">
        <v>153</v>
      </c>
      <c r="AE18" s="120"/>
      <c r="AF18" s="99"/>
    </row>
    <row r="19" spans="1:32" ht="13.15" customHeight="1" thickBot="1">
      <c r="A19" s="121">
        <f>VLOOKUP(CONCATENATE(A18,"CURRENT"),'Supply Attribution'!$F22:$G30,2,FALSE)</f>
        <v>15</v>
      </c>
      <c r="B19" s="122">
        <f>VLOOKUP(CONCATENATE(B18,"CURRENT"),'Supply Attribution'!$F22:$G30,2,FALSE)</f>
        <v>15</v>
      </c>
      <c r="C19" s="122">
        <f>VLOOKUP(CONCATENATE(C18,"CURRENT"),'Supply Attribution'!$F22:$G30,2,FALSE)</f>
        <v>24</v>
      </c>
      <c r="D19" s="122" t="str">
        <f>VLOOKUP(CONCATENATE(D18,"CURRENT"),'Supply Attribution'!$F22:$G30,2,FALSE)</f>
        <v>N/A</v>
      </c>
      <c r="E19" s="122" t="str">
        <f>VLOOKUP(CONCATENATE(E18,"CURRENT"),'Supply Attribution'!$F22:$G30,2,FALSE)</f>
        <v>N/A</v>
      </c>
      <c r="F19" s="123" t="str">
        <f>VLOOKUP(CONCATENATE(F18,"CURRENT"),'Supply Attribution'!$F22:$G30,2,FALSE)</f>
        <v>N/A</v>
      </c>
      <c r="G19" s="267">
        <f>IF(AND(K6="CE",T59="2 phases"),MIN(20,T60),IF(AND(K6="CE",T59="3 Phases"),MIN(16,T60),MIN(48,T60)))</f>
        <v>48</v>
      </c>
      <c r="H19" s="266" t="str">
        <f>IF(OR(K6="UL",T59="1 phase"),"",IF(T59="2 Phases",MIN(20,T60),MIN(16,T60)))</f>
        <v/>
      </c>
      <c r="I19" s="266" t="str">
        <f>IF(AND(K6="CE",T59="3 Phases"),MIN(T60,16),"")</f>
        <v/>
      </c>
      <c r="J19" s="526" t="s">
        <v>392</v>
      </c>
      <c r="K19" s="124" t="s">
        <v>389</v>
      </c>
      <c r="L19" s="124" t="s">
        <v>390</v>
      </c>
      <c r="M19" s="124" t="s">
        <v>391</v>
      </c>
      <c r="N19" s="124" t="s">
        <v>388</v>
      </c>
      <c r="O19" s="124" t="s">
        <v>203</v>
      </c>
      <c r="P19" s="124" t="s">
        <v>3</v>
      </c>
      <c r="Q19" s="124" t="s">
        <v>24</v>
      </c>
      <c r="R19" s="124" t="s">
        <v>24</v>
      </c>
      <c r="S19" s="124" t="s">
        <v>457</v>
      </c>
      <c r="T19" s="124" t="s">
        <v>458</v>
      </c>
      <c r="U19" s="124" t="s">
        <v>3</v>
      </c>
      <c r="V19" s="124" t="s">
        <v>287</v>
      </c>
      <c r="W19" s="124" t="s">
        <v>18</v>
      </c>
      <c r="X19" s="124" t="s">
        <v>411</v>
      </c>
      <c r="Y19" s="124" t="s">
        <v>24</v>
      </c>
      <c r="Z19" s="124" t="s">
        <v>7</v>
      </c>
      <c r="AA19" s="124" t="s">
        <v>357</v>
      </c>
      <c r="AB19" s="125" t="s">
        <v>18</v>
      </c>
      <c r="AC19" s="125" t="s">
        <v>183</v>
      </c>
      <c r="AD19" s="125" t="s">
        <v>18</v>
      </c>
      <c r="AE19" s="120"/>
      <c r="AF19" s="78"/>
    </row>
    <row r="20" spans="1:32" ht="13.15" customHeight="1">
      <c r="A20" s="263" t="str">
        <f>IF($K$6="CE",CONCATENATE("Heater on ",'Supply Attribution'!G20),"")</f>
        <v/>
      </c>
      <c r="B20" s="72"/>
      <c r="C20" s="72"/>
      <c r="D20" s="72"/>
      <c r="E20" s="72"/>
      <c r="F20" s="313" t="str">
        <f>IF(AND(X86&lt;&gt;"Not Set",X86&lt;&gt;""),CONCATENATE("Heat Pump on ",X87),"")</f>
        <v>Heat Pump on Not Set</v>
      </c>
      <c r="G20" s="265" t="str">
        <f>IF($K$6="UL","Heater on Line1","")</f>
        <v>Heater on Line1</v>
      </c>
      <c r="H20" s="72"/>
      <c r="I20" s="72"/>
      <c r="J20" s="126"/>
      <c r="K20" s="127"/>
      <c r="L20" s="127"/>
      <c r="M20" s="127"/>
      <c r="N20" s="127"/>
      <c r="O20" s="127"/>
      <c r="P20" s="127"/>
      <c r="Q20" s="127"/>
      <c r="R20" s="127"/>
      <c r="S20" s="127"/>
      <c r="T20" s="127"/>
      <c r="U20" s="127"/>
      <c r="V20" s="127"/>
      <c r="W20" s="127"/>
      <c r="X20" s="127"/>
      <c r="Y20" s="127"/>
      <c r="Z20" s="127"/>
      <c r="AA20" s="127"/>
      <c r="AB20" s="127"/>
      <c r="AC20" s="127"/>
      <c r="AD20" s="127"/>
      <c r="AE20" s="128"/>
      <c r="AF20" s="78"/>
    </row>
    <row r="21" spans="1:32" ht="13.15" customHeight="1">
      <c r="A21" s="264">
        <f>IF(AND($K21&lt;&gt;"",$K21&lt;&gt;"--",$K21&lt;&gt;"O3/CP",$K$14=A$18),IF(LEFT($K21,1)="P",VLOOKUP(CONCATENATE(LEFT($K21,2),"H"),$R$63:$T$91,3,FALSE),VLOOKUP($K21,$R$63:$T$91,3,FALSE)))+IF(AND($K21&lt;&gt;"",$K21&lt;&gt;"O3/CP",$K$15=A$18,MID($K21,4,1)="2",$K$15&lt;&gt;$K$14),VLOOKUP(CONCATENATE(LEFT($K21,2),"L"),$R$63:$T$91,3,FALSE),0)+IF(AND($K21="O3/CP",$K$14=A$18),VLOOKUP("O3",$R$63:$T$91,3,FALSE)+VLOOKUP("CP",$R$63:$T$91,3,FALSE),0)+IF(AND($L21&lt;&gt;"",$L21&lt;&gt;"--",$L21&lt;&gt;"O3/CP",$L$14=A$18),IF(LEFT($L21,1)="P",VLOOKUP(CONCATENATE(LEFT($L21,2),"H"),$R$63:$T$91,3,FALSE),VLOOKUP($L21,$R$63:$T$91,3,FALSE)))+IF(AND($L21&lt;&gt;"",$L21&lt;&gt;"O3/CP",$L$15=A$18,MID($L21,4,1)="2",$L$15&lt;&gt;$L$14),VLOOKUP(CONCATENATE(LEFT($L21,2),"L"),$R$63:$T$91,3,FALSE),0)+IF(AND($L21="O3/CP",$L$14=A$18),VLOOKUP("O3",$R$63:$T$91,3,FALSE)+VLOOKUP("CP",$R$63:$T$91,3,FALSE),0)+IF(AND($M21&lt;&gt;"",$M21&lt;&gt;"--",$M21&lt;&gt;"O3/CP",$M$14=A$18),IF(LEFT($M21,1)="P",VLOOKUP(CONCATENATE(LEFT($M21,2),"H"),$R$63:$T$91,3,FALSE),VLOOKUP($M21,$R$63:$T$91,3,FALSE)))+IF(AND($M21&lt;&gt;"",$M21&lt;&gt;"O3/CP",$M$15=A$18,MID($M21,4,1)="2",$M$15&lt;&gt;$M$14),VLOOKUP(CONCATENATE(LEFT($M21,2),"L"),$R$63:$T$91,3,FALSE),0)+IF(AND($M21="O3/CP",$M$14=A$18),VLOOKUP("O3",$R$63:$T$91,3,FALSE)+VLOOKUP("CP",$R$63:$T$91,3,FALSE),0)+IF(AND($N21&lt;&gt;"",$N21&lt;&gt;"--",$N21&lt;&gt;"O3/CP",$N$14=A$18),IF(LEFT($N21,1)="P",VLOOKUP(CONCATENATE(LEFT($N21,2),"H"),$R$63:$T$91,3,FALSE),VLOOKUP($N21,$R$63:$T$91,3,FALSE)))+IF(AND($N21&lt;&gt;"",$N21&lt;&gt;"O3/CP",$N$15=A$18,MID($N21,4,1)="2",$N$15&lt;&gt;$N$14),VLOOKUP(CONCATENATE(LEFT($N21,2),"L"),$R$63:$T$91,3,FALSE),0)+IF(AND($N21="O3/CP",$N$14=A$18),VLOOKUP("O3",$R$63:$T$91,3,FALSE)+VLOOKUP("CP",$R$63:$T$91,3,FALSE),0)+IF(AND($O21&lt;&gt;"",$O21&lt;&gt;"--",$O21&lt;&gt;"O3/CP",$O$14=A$18),IF(LEFT($O21,1)="P",VLOOKUP(CONCATENATE(LEFT($O21,2),"H"),$R$63:$T$91,3,FALSE),VLOOKUP($O21,$R$63:$T$91,3,FALSE)))+IF(AND($O21&lt;&gt;"",$O21&lt;&gt;"O3/CP",$O$15=A$18,MID($O21,4,1)="2",$O$15&lt;&gt;$O$14),VLOOKUP(CONCATENATE(LEFT($O21,2),"L"),$R$63:$T$91,3,FALSE),0)+IF(AND($O21="O3/CP",$O$14=A$18),VLOOKUP("O3",$R$63:$T$91,3,FALSE)+VLOOKUP("CP",$R$63:$T$91,3,FALSE),0)+IF(AND($P21&lt;&gt;"",$P21&lt;&gt;"--",$P21&lt;&gt;"O3/CP",$P$14=A$18),IF(LEFT($P21,1)="P",VLOOKUP(CONCATENATE(LEFT($P21,2),"H"),$R$63:$T$91,3,FALSE),VLOOKUP($P21,$R$63:$T$91,3,FALSE)))+IF(AND($P21&lt;&gt;"",$P21&lt;&gt;"O3/CP",$P$15=A$18,MID($P21,4,1)="2",$P$15&lt;&gt;$P$14),VLOOKUP(CONCATENATE(LEFT($P21,2),"L"),$R$63:$T$91,3,FALSE),0)+IF(AND($P21="O3/CP",$P$14=A$18),VLOOKUP("O3",$R$63:$T$91,3,FALSE)+VLOOKUP("CP",$R$63:$T$91,3,FALSE),0)+IF(AND($Q21&lt;&gt;"",$Q21&lt;&gt;"--",$Q21&lt;&gt;"O3/CP",$Q$14=A$18),IF(LEFT($Q21,1)="P",VLOOKUP(CONCATENATE(LEFT($Q21,2),"H"),$R$63:$T$91,3,FALSE),VLOOKUP($Q21,$R$63:$T$91,3,FALSE)))+IF(AND($Q21&lt;&gt;"",$Q21&lt;&gt;"O3/CP",$Q$15=A$18,MID($Q21,4,1)="2",$Q$15&lt;&gt;$Q$14),VLOOKUP(CONCATENATE(LEFT($Q21,2),"L"),$R$63:$T$91,3,FALSE),0)+IF(AND($Q21="O3/CP",$Q$14=A$18),VLOOKUP("O3",$R$63:$T$91,3,FALSE)+VLOOKUP("CP",$R$63:$T$91,3,FALSE),0)+IF(AND($R21&lt;&gt;"",$R21&lt;&gt;"--",$R21&lt;&gt;"O3/CP",$R$14=A$18),IF(LEFT($R21,1)="P",VLOOKUP(CONCATENATE(LEFT($R21,2),"H"),$R$63:$T$91,3,FALSE),VLOOKUP($R21,$R$63:$T$91,3,FALSE)))+IF(AND($R21&lt;&gt;"",$R21&lt;&gt;"O3/CP",$R$15=A$18,MID($R21,4,1)="2",$R$15&lt;&gt;$R$14),VLOOKUP(CONCATENATE(LEFT($R21,2),"L"),$R$63:$T$91,3,FALSE),0)+IF(AND($R21="O3/CP",$R$14=A$18),VLOOKUP("O3",$R$63:$T$91,3,FALSE)+VLOOKUP("CP",$R$63:$T$91,3,FALSE),0)+IF(AND($S21&lt;&gt;"",$S21&lt;&gt;"--",$S21&lt;&gt;"O3/CP",$S$14=A$18),IF(LEFT($S21,1)="P",VLOOKUP(CONCATENATE(LEFT($S21,2),"H"),$R$63:$T$91,3,FALSE),VLOOKUP($S21,$R$63:$T$91,3,FALSE)))+IF(AND($S21&lt;&gt;"",$S21&lt;&gt;"O3/CP",$S$15=A$18,MID($S21,4,1)="2",$S$15&lt;&gt;$S$14),VLOOKUP(CONCATENATE(LEFT($S21,2),"L"),$R$63:$T$91,3,FALSE),0)+IF(AND($S21="O3/CP",$S$14=A$18),VLOOKUP("O3",$R$63:$T$91,3,FALSE)+VLOOKUP("CP",$R$63:$T$91,3,FALSE),0)+IF(AND($T21&lt;&gt;"",$T21&lt;&gt;"--",$T21&lt;&gt;"O3/CP",$T$14=A$18),IF(LEFT($T21,1)="P",VLOOKUP(CONCATENATE(LEFT($T21,2),"H"),$R$63:$T$91,3,FALSE),VLOOKUP($T21,$R$63:$T$91,3,FALSE)))+IF(AND($T21&lt;&gt;"",$T21&lt;&gt;"O3/CP",$T$15=A$18,MID($T21,4,1)="2",$T$15&lt;&gt;$T$14),VLOOKUP(CONCATENATE(LEFT($T21,2),"L"),$R$63:$T$91,3,FALSE),0)+IF(AND($T21="O3/CP",$T$14=A$18),VLOOKUP("O3",$R$63:$T$91,3,FALSE)+VLOOKUP("CP",$R$63:$T$91,3,FALSE),0)+IF(AND($U21&lt;&gt;"",$U21&lt;&gt;"--",$U21&lt;&gt;"O3/CP",$U$14=A$18),IF(LEFT($U21,1)="P",VLOOKUP(CONCATENATE(LEFT($U21,2),"H"),$R$63:$T$91,3,FALSE),VLOOKUP($U21,$R$63:$T$91,3,FALSE)))+IF(AND($U21&lt;&gt;"",$U21&lt;&gt;"O3/CP",$U$15=A$18,MID($U21,4,1)="2",$U$15&lt;&gt;$U$14),VLOOKUP(CONCATENATE(LEFT($U21,2),"L"),$R$63:$T$91,3,FALSE),0)+IF(AND($U21="O3/CP",$T$14=A$18),VLOOKUP("O3",$R$63:$T$91,3,FALSE)+VLOOKUP("CP",$R$63:$T$91,3,FALSE),0)+IF(AND($V21&lt;&gt;"",$V21&lt;&gt;"--",$V21&lt;&gt;"O3/CP",$V$14=A$18),IF(LEFT($V21,1)="P",VLOOKUP(CONCATENATE(LEFT($V21,2),"H"),$R$63:$T$91,3,FALSE),VLOOKUP($V21,$R$63:$T$91,3,FALSE)))+IF(AND($V21&lt;&gt;"",$V21&lt;&gt;"O3/CP",$V$15=A$18,MID($V21,4,1)="2",$V$15&lt;&gt;$V$14),VLOOKUP(CONCATENATE(LEFT($V21,2),"L"),$R$63:$T$91,3,FALSE),0)+IF(AND($V21="O3/CP",$V$14=A$18),VLOOKUP("O3",$R$63:$T$91,3,FALSE)+VLOOKUP("CP",$R$63:$T$91,3,FALSE),0)+IF(AND($W21&lt;&gt;"",$W21&lt;&gt;"--",$W21&lt;&gt;"O3/CP",$W$14=A$18),IF(LEFT($W21,1)="P",VLOOKUP(CONCATENATE(LEFT($W21,2),"H"),$R$63:$T$91,3,FALSE),VLOOKUP($W21,$R$63:$T$91,3,FALSE)))+IF(AND($W21&lt;&gt;"",$W21&lt;&gt;"O3/CP",$W$15=A$18,MID($W21,4,1)="2",$W$15&lt;&gt;$W$14),VLOOKUP(CONCATENATE(LEFT($W21,2),"L"),$R$63:$T$91,3,FALSE),0)+IF(AND($W21="O3/CP",$W$14=A$18),VLOOKUP("O3",$R$63:$T$91,3,FALSE)+VLOOKUP("CP",$R$63:$T$91,3,FALSE),0)+IF(AND($X21&lt;&gt;"",$X21&lt;&gt;"--",$X21&lt;&gt;"O3/CP",$X$14=A$18),IF(LEFT($X21,1)="P",VLOOKUP(CONCATENATE(LEFT($X21,2),"H"),$R$63:$T$91,3,FALSE),VLOOKUP($X21,$R$63:$T$91,3,FALSE)))+IF(AND($X21&lt;&gt;"",$X21&lt;&gt;"O3/CP",$X$15=A$18,MID($X21,4,1)="2",$X$15&lt;&gt;$X$14),VLOOKUP(CONCATENATE(LEFT($X21,2),"L"),$R$63:$T$91,3,FALSE),0)+IF(AND($X21="O3/CP",$X$14=A$18),VLOOKUP("O3",$R$63:$T$91,3,FALSE)+VLOOKUP("CP",$R$63:$T$91,3,FALSE),0)+IF(AND($Y21&lt;&gt;"",$Y21&lt;&gt;"--",$Y21&lt;&gt;"O3/CP",$Y$14=A$18),IF(LEFT($Y21,1)="P",VLOOKUP(CONCATENATE(LEFT($Y21,2),"H"),$R$63:$T$91,3,FALSE),VLOOKUP($Y21,$R$63:$T$91,3,FALSE)))+IF(AND($Y21&lt;&gt;"",$Y21&lt;&gt;"O3/CP",$Y$15=A$18,MID($Y21,4,1)="2",$Y$15&lt;&gt;$Y$14),VLOOKUP(CONCATENATE(LEFT($Y21,2),"L"),$R$63:$T$91,3,FALSE),0)+IF(AND($Y21="O3/CP",$Y$14=A$18),VLOOKUP("O3",$R$63:$T$91,3,FALSE)+VLOOKUP("CP",$R$63:$T$91,3,FALSE),0)+IF(AND($K$6="CE",'[3]Supply Attribution'!$G$20=A$18),LEFT($S$90,2),0)+IF(AND($X$86&lt;&gt;"Not Set",$X$87=A$18),$X$86,0)</f>
        <v>13</v>
      </c>
      <c r="B21" s="271">
        <f>IF(AND($K21&lt;&gt;"",$K21&lt;&gt;"--",$K21&lt;&gt;"O3/CP",$K$14=B$18),IF(LEFT($K21,1)="P",VLOOKUP(CONCATENATE(LEFT($K21,2),"H"),$R$63:$T$91,3,FALSE),VLOOKUP($K21,$R$63:$T$91,3,FALSE)))+IF(AND($K21&lt;&gt;"",$K21&lt;&gt;"O3/CP",$K$15=B$18,MID($K21,4,1)="2",$K$15&lt;&gt;$K$14),VLOOKUP(CONCATENATE(LEFT($K21,2),"L"),$R$63:$T$91,3,FALSE),0)+IF(AND($K21="O3/CP",$K$14=B$18),VLOOKUP("O3",$R$63:$T$91,3,FALSE)+VLOOKUP("CP",$R$63:$T$91,3,FALSE),0)+IF(AND($L21&lt;&gt;"",$L21&lt;&gt;"--",$L21&lt;&gt;"O3/CP",$L$14=B$18),IF(LEFT($L21,1)="P",VLOOKUP(CONCATENATE(LEFT($L21,2),"H"),$R$63:$T$91,3,FALSE),VLOOKUP($L21,$R$63:$T$91,3,FALSE)))+IF(AND($L21&lt;&gt;"",$L21&lt;&gt;"O3/CP",$L$15=B$18,MID($L21,4,1)="2",$L$15&lt;&gt;$L$14),VLOOKUP(CONCATENATE(LEFT($L21,2),"L"),$R$63:$T$91,3,FALSE),0)+IF(AND($L21="O3/CP",$L$14=B$18),VLOOKUP("O3",$R$63:$T$91,3,FALSE)+VLOOKUP("CP",$R$63:$T$91,3,FALSE),0)+IF(AND($M21&lt;&gt;"",$M21&lt;&gt;"--",$M21&lt;&gt;"O3/CP",$M$14=B$18),IF(LEFT($M21,1)="P",VLOOKUP(CONCATENATE(LEFT($M21,2),"H"),$R$63:$T$91,3,FALSE),VLOOKUP($M21,$R$63:$T$91,3,FALSE)))+IF(AND($M21&lt;&gt;"",$M21&lt;&gt;"O3/CP",$M$15=B$18,MID($M21,4,1)="2",$M$15&lt;&gt;$M$14),VLOOKUP(CONCATENATE(LEFT($M21,2),"L"),$R$63:$T$91,3,FALSE),0)+IF(AND($M21="O3/CP",$M$14=B$18),VLOOKUP("O3",$R$63:$T$91,3,FALSE)+VLOOKUP("CP",$R$63:$T$91,3,FALSE),0)+IF(AND($N21&lt;&gt;"",$N21&lt;&gt;"--",$N21&lt;&gt;"O3/CP",$N$14=B$18),IF(LEFT($N21,1)="P",VLOOKUP(CONCATENATE(LEFT($N21,2),"H"),$R$63:$T$91,3,FALSE),VLOOKUP($N21,$R$63:$T$91,3,FALSE)))+IF(AND($N21&lt;&gt;"",$N21&lt;&gt;"O3/CP",$N$15=B$18,MID($N21,4,1)="2",$N$15&lt;&gt;$N$14),VLOOKUP(CONCATENATE(LEFT($N21,2),"L"),$R$63:$T$91,3,FALSE),0)+IF(AND($N21="O3/CP",$N$14=B$18),VLOOKUP("O3",$R$63:$T$91,3,FALSE)+VLOOKUP("CP",$R$63:$T$91,3,FALSE),0)+IF(AND($O21&lt;&gt;"",$O21&lt;&gt;"--",$O21&lt;&gt;"O3/CP",$O$14=B$18),IF(LEFT($O21,1)="P",VLOOKUP(CONCATENATE(LEFT($O21,2),"H"),$R$63:$T$91,3,FALSE),VLOOKUP($O21,$R$63:$T$91,3,FALSE)))+IF(AND($O21&lt;&gt;"",$O21&lt;&gt;"O3/CP",$O$15=B$18,MID($O21,4,1)="2",$O$15&lt;&gt;$O$14),VLOOKUP(CONCATENATE(LEFT($O21,2),"L"),$R$63:$T$91,3,FALSE),0)+IF(AND($O21="O3/CP",$O$14=B$18),VLOOKUP("O3",$R$63:$T$91,3,FALSE)+VLOOKUP("CP",$R$63:$T$91,3,FALSE),0)+IF(AND($P21&lt;&gt;"",$P21&lt;&gt;"--",$P21&lt;&gt;"O3/CP",$P$14=B$18),IF(LEFT($P21,1)="P",VLOOKUP(CONCATENATE(LEFT($P21,2),"H"),$R$63:$T$91,3,FALSE),VLOOKUP($P21,$R$63:$T$91,3,FALSE)))+IF(AND($P21&lt;&gt;"",$P21&lt;&gt;"O3/CP",$P$15=B$18,MID($P21,4,1)="2",$P$15&lt;&gt;$P$14),VLOOKUP(CONCATENATE(LEFT($P21,2),"L"),$R$63:$T$91,3,FALSE),0)+IF(AND($P21="O3/CP",$P$14=B$18),VLOOKUP("O3",$R$63:$T$91,3,FALSE)+VLOOKUP("CP",$R$63:$T$91,3,FALSE),0)+IF(AND($Q21&lt;&gt;"",$Q21&lt;&gt;"--",$Q21&lt;&gt;"O3/CP",$Q$14=B$18),IF(LEFT($Q21,1)="P",VLOOKUP(CONCATENATE(LEFT($Q21,2),"H"),$R$63:$T$91,3,FALSE),VLOOKUP($Q21,$R$63:$T$91,3,FALSE)))+IF(AND($Q21&lt;&gt;"",$Q21&lt;&gt;"O3/CP",$Q$15=B$18,MID($Q21,4,1)="2",$Q$15&lt;&gt;$Q$14),VLOOKUP(CONCATENATE(LEFT($Q21,2),"L"),$R$63:$T$91,3,FALSE),0)+IF(AND($Q21="O3/CP",$Q$14=B$18),VLOOKUP("O3",$R$63:$T$91,3,FALSE)+VLOOKUP("CP",$R$63:$T$91,3,FALSE),0)+IF(AND($R21&lt;&gt;"",$R21&lt;&gt;"--",$R21&lt;&gt;"O3/CP",$R$14=B$18),IF(LEFT($R21,1)="P",VLOOKUP(CONCATENATE(LEFT($R21,2),"H"),$R$63:$T$91,3,FALSE),VLOOKUP($R21,$R$63:$T$91,3,FALSE)))+IF(AND($R21&lt;&gt;"",$R21&lt;&gt;"O3/CP",$R$15=B$18,MID($R21,4,1)="2",$R$15&lt;&gt;$R$14),VLOOKUP(CONCATENATE(LEFT($R21,2),"L"),$R$63:$T$91,3,FALSE),0)+IF(AND($R21="O3/CP",$R$14=B$18),VLOOKUP("O3",$R$63:$T$91,3,FALSE)+VLOOKUP("CP",$R$63:$T$91,3,FALSE),0)+IF(AND($S21&lt;&gt;"",$S21&lt;&gt;"--",$S21&lt;&gt;"O3/CP",$S$14=B$18),IF(LEFT($S21,1)="P",VLOOKUP(CONCATENATE(LEFT($S21,2),"H"),$R$63:$T$91,3,FALSE),VLOOKUP($S21,$R$63:$T$91,3,FALSE)))+IF(AND($S21&lt;&gt;"",$S21&lt;&gt;"O3/CP",$S$15=B$18,MID($S21,4,1)="2",$S$15&lt;&gt;$S$14),VLOOKUP(CONCATENATE(LEFT($S21,2),"L"),$R$63:$T$91,3,FALSE),0)+IF(AND($S21="O3/CP",$S$14=B$18),VLOOKUP("O3",$R$63:$T$91,3,FALSE)+VLOOKUP("CP",$R$63:$T$91,3,FALSE),0)+IF(AND($T21&lt;&gt;"",$T21&lt;&gt;"--",$T21&lt;&gt;"O3/CP",$T$14=B$18),IF(LEFT($T21,1)="P",VLOOKUP(CONCATENATE(LEFT($T21,2),"H"),$R$63:$T$91,3,FALSE),VLOOKUP($T21,$R$63:$T$91,3,FALSE)))+IF(AND($T21&lt;&gt;"",$T21&lt;&gt;"O3/CP",$T$15=B$18,MID($T21,4,1)="2",$T$15&lt;&gt;$T$14),VLOOKUP(CONCATENATE(LEFT($T21,2),"L"),$R$63:$T$91,3,FALSE),0)+IF(AND($T21="O3/CP",$T$14=B$18),VLOOKUP("O3",$R$63:$T$91,3,FALSE)+VLOOKUP("CP",$R$63:$T$91,3,FALSE),0)+IF(AND($U21&lt;&gt;"",$U21&lt;&gt;"--",$U21&lt;&gt;"O3/CP",$U$14=B$18),IF(LEFT($U21,1)="P",VLOOKUP(CONCATENATE(LEFT($U21,2),"H"),$R$63:$T$91,3,FALSE),VLOOKUP($U21,$R$63:$T$91,3,FALSE)))+IF(AND($U21&lt;&gt;"",$U21&lt;&gt;"O3/CP",$U$15=B$18,MID($U21,4,1)="2",$U$15&lt;&gt;$U$14),VLOOKUP(CONCATENATE(LEFT($U21,2),"L"),$R$63:$T$91,3,FALSE),0)+IF(AND($U21="O3/CP",$T$14=B$18),VLOOKUP("O3",$R$63:$T$91,3,FALSE)+VLOOKUP("CP",$R$63:$T$91,3,FALSE),0)+IF(AND($V21&lt;&gt;"",$V21&lt;&gt;"--",$V21&lt;&gt;"O3/CP",$V$14=B$18),IF(LEFT($V21,1)="P",VLOOKUP(CONCATENATE(LEFT($V21,2),"H"),$R$63:$T$91,3,FALSE),VLOOKUP($V21,$R$63:$T$91,3,FALSE)))+IF(AND($V21&lt;&gt;"",$V21&lt;&gt;"O3/CP",$V$15=B$18,MID($V21,4,1)="2",$V$15&lt;&gt;$V$14),VLOOKUP(CONCATENATE(LEFT($V21,2),"L"),$R$63:$T$91,3,FALSE),0)+IF(AND($V21="O3/CP",$V$14=B$18),VLOOKUP("O3",$R$63:$T$91,3,FALSE)+VLOOKUP("CP",$R$63:$T$91,3,FALSE),0)+IF(AND($W21&lt;&gt;"",$W21&lt;&gt;"--",$W21&lt;&gt;"O3/CP",$W$14=B$18),IF(LEFT($W21,1)="P",VLOOKUP(CONCATENATE(LEFT($W21,2),"H"),$R$63:$T$91,3,FALSE),VLOOKUP($W21,$R$63:$T$91,3,FALSE)))+IF(AND($W21&lt;&gt;"",$W21&lt;&gt;"O3/CP",$W$15=B$18,MID($W21,4,1)="2",$W$15&lt;&gt;$W$14),VLOOKUP(CONCATENATE(LEFT($W21,2),"L"),$R$63:$T$91,3,FALSE),0)+IF(AND($W21="O3/CP",$W$14=B$18),VLOOKUP("O3",$R$63:$T$91,3,FALSE)+VLOOKUP("CP",$R$63:$T$91,3,FALSE),0)+IF(AND($X21&lt;&gt;"",$X21&lt;&gt;"--",$X21&lt;&gt;"O3/CP",$X$14=B$18),IF(LEFT($X21,1)="P",VLOOKUP(CONCATENATE(LEFT($X21,2),"H"),$R$63:$T$91,3,FALSE),VLOOKUP($X21,$R$63:$T$91,3,FALSE)))+IF(AND($X21&lt;&gt;"",$X21&lt;&gt;"O3/CP",$X$15=B$18,MID($X21,4,1)="2",$X$15&lt;&gt;$X$14),VLOOKUP(CONCATENATE(LEFT($X21,2),"L"),$R$63:$T$91,3,FALSE),0)+IF(AND($X21="O3/CP",$X$14=B$18),VLOOKUP("O3",$R$63:$T$91,3,FALSE)+VLOOKUP("CP",$R$63:$T$91,3,FALSE),0)+IF(AND($Y21&lt;&gt;"",$Y21&lt;&gt;"--",$Y21&lt;&gt;"O3/CP",$Y$14=B$18),IF(LEFT($Y21,1)="P",VLOOKUP(CONCATENATE(LEFT($Y21,2),"H"),$R$63:$T$91,3,FALSE),VLOOKUP($Y21,$R$63:$T$91,3,FALSE)))+IF(AND($Y21&lt;&gt;"",$Y21&lt;&gt;"O3/CP",$Y$15=B$18,MID($Y21,4,1)="2",$Y$15&lt;&gt;$Y$14),VLOOKUP(CONCATENATE(LEFT($Y21,2),"L"),$R$63:$T$91,3,FALSE),0)+IF(AND($Y21="O3/CP",$Y$14=B$18),VLOOKUP("O3",$R$63:$T$91,3,FALSE)+VLOOKUP("CP",$R$63:$T$91,3,FALSE),0)+IF(AND($K$6="CE",'[3]Supply Attribution'!$G$20=B$18),LEFT($S$90,2),0)+IF(AND($X$86&lt;&gt;"Not Set",$X$87=B$18),$X$86,0)</f>
        <v>5</v>
      </c>
      <c r="C21" s="271">
        <f>IF(AND($K21&lt;&gt;"",$K21&lt;&gt;"--",$K21&lt;&gt;"O3/CP",$K$14=C$18),IF(LEFT($K21,1)="P",VLOOKUP(CONCATENATE(LEFT($K21,2),"H"),$R$63:$T$91,3,FALSE),VLOOKUP($K21,$R$63:$T$91,3,FALSE)))+IF(AND($K21&lt;&gt;"",$K21&lt;&gt;"O3/CP",$K$15=C$18,MID($K21,4,1)="2",$K$15&lt;&gt;$K$14),VLOOKUP(CONCATENATE(LEFT($K21,2),"L"),$R$63:$T$91,3,FALSE),0)+IF(AND($K21="O3/CP",$K$14=C$18),VLOOKUP("O3",$R$63:$T$91,3,FALSE)+VLOOKUP("CP",$R$63:$T$91,3,FALSE),0)+IF(AND($L21&lt;&gt;"",$L21&lt;&gt;"--",$L21&lt;&gt;"O3/CP",$L$14=C$18),IF(LEFT($L21,1)="P",VLOOKUP(CONCATENATE(LEFT($L21,2),"H"),$R$63:$T$91,3,FALSE),VLOOKUP($L21,$R$63:$T$91,3,FALSE)))+IF(AND($L21&lt;&gt;"",$L21&lt;&gt;"O3/CP",$L$15=C$18,MID($L21,4,1)="2",$L$15&lt;&gt;$L$14),VLOOKUP(CONCATENATE(LEFT($L21,2),"L"),$R$63:$T$91,3,FALSE),0)+IF(AND($L21="O3/CP",$L$14=C$18),VLOOKUP("O3",$R$63:$T$91,3,FALSE)+VLOOKUP("CP",$R$63:$T$91,3,FALSE),0)+IF(AND($M21&lt;&gt;"",$M21&lt;&gt;"--",$M21&lt;&gt;"O3/CP",$M$14=C$18),IF(LEFT($M21,1)="P",VLOOKUP(CONCATENATE(LEFT($M21,2),"H"),$R$63:$T$91,3,FALSE),VLOOKUP($M21,$R$63:$T$91,3,FALSE)))+IF(AND($M21&lt;&gt;"",$M21&lt;&gt;"O3/CP",$M$15=C$18,MID($M21,4,1)="2",$M$15&lt;&gt;$M$14),VLOOKUP(CONCATENATE(LEFT($M21,2),"L"),$R$63:$T$91,3,FALSE),0)+IF(AND($M21="O3/CP",$M$14=C$18),VLOOKUP("O3",$R$63:$T$91,3,FALSE)+VLOOKUP("CP",$R$63:$T$91,3,FALSE),0)+IF(AND($N21&lt;&gt;"",$N21&lt;&gt;"--",$N21&lt;&gt;"O3/CP",$N$14=C$18),IF(LEFT($N21,1)="P",VLOOKUP(CONCATENATE(LEFT($N21,2),"H"),$R$63:$T$91,3,FALSE),VLOOKUP($N21,$R$63:$T$91,3,FALSE)))+IF(AND($N21&lt;&gt;"",$N21&lt;&gt;"O3/CP",$N$15=C$18,MID($N21,4,1)="2",$N$15&lt;&gt;$N$14),VLOOKUP(CONCATENATE(LEFT($N21,2),"L"),$R$63:$T$91,3,FALSE),0)+IF(AND($N21="O3/CP",$N$14=C$18),VLOOKUP("O3",$R$63:$T$91,3,FALSE)+VLOOKUP("CP",$R$63:$T$91,3,FALSE),0)+IF(AND($O21&lt;&gt;"",$O21&lt;&gt;"--",$O21&lt;&gt;"O3/CP",$O$14=C$18),IF(LEFT($O21,1)="P",VLOOKUP(CONCATENATE(LEFT($O21,2),"H"),$R$63:$T$91,3,FALSE),VLOOKUP($O21,$R$63:$T$91,3,FALSE)))+IF(AND($O21&lt;&gt;"",$O21&lt;&gt;"O3/CP",$O$15=C$18,MID($O21,4,1)="2",$O$15&lt;&gt;$O$14),VLOOKUP(CONCATENATE(LEFT($O21,2),"L"),$R$63:$T$91,3,FALSE),0)+IF(AND($O21="O3/CP",$O$14=C$18),VLOOKUP("O3",$R$63:$T$91,3,FALSE)+VLOOKUP("CP",$R$63:$T$91,3,FALSE),0)+IF(AND($P21&lt;&gt;"",$P21&lt;&gt;"--",$P21&lt;&gt;"O3/CP",$P$14=C$18),IF(LEFT($P21,1)="P",VLOOKUP(CONCATENATE(LEFT($P21,2),"H"),$R$63:$T$91,3,FALSE),VLOOKUP($P21,$R$63:$T$91,3,FALSE)))+IF(AND($P21&lt;&gt;"",$P21&lt;&gt;"O3/CP",$P$15=C$18,MID($P21,4,1)="2",$P$15&lt;&gt;$P$14),VLOOKUP(CONCATENATE(LEFT($P21,2),"L"),$R$63:$T$91,3,FALSE),0)+IF(AND($P21="O3/CP",$P$14=C$18),VLOOKUP("O3",$R$63:$T$91,3,FALSE)+VLOOKUP("CP",$R$63:$T$91,3,FALSE),0)+IF(AND($Q21&lt;&gt;"",$Q21&lt;&gt;"--",$Q21&lt;&gt;"O3/CP",$Q$14=C$18),IF(LEFT($Q21,1)="P",VLOOKUP(CONCATENATE(LEFT($Q21,2),"H"),$R$63:$T$91,3,FALSE),VLOOKUP($Q21,$R$63:$T$91,3,FALSE)))+IF(AND($Q21&lt;&gt;"",$Q21&lt;&gt;"O3/CP",$Q$15=C$18,MID($Q21,4,1)="2",$Q$15&lt;&gt;$Q$14),VLOOKUP(CONCATENATE(LEFT($Q21,2),"L"),$R$63:$T$91,3,FALSE),0)+IF(AND($Q21="O3/CP",$Q$14=C$18),VLOOKUP("O3",$R$63:$T$91,3,FALSE)+VLOOKUP("CP",$R$63:$T$91,3,FALSE),0)+IF(AND($R21&lt;&gt;"",$R21&lt;&gt;"--",$R21&lt;&gt;"O3/CP",$R$14=C$18),IF(LEFT($R21,1)="P",VLOOKUP(CONCATENATE(LEFT($R21,2),"H"),$R$63:$T$91,3,FALSE),VLOOKUP($R21,$R$63:$T$91,3,FALSE)))+IF(AND($R21&lt;&gt;"",$R21&lt;&gt;"O3/CP",$R$15=C$18,MID($R21,4,1)="2",$R$15&lt;&gt;$R$14),VLOOKUP(CONCATENATE(LEFT($R21,2),"L"),$R$63:$T$91,3,FALSE),0)+IF(AND($R21="O3/CP",$R$14=C$18),VLOOKUP("O3",$R$63:$T$91,3,FALSE)+VLOOKUP("CP",$R$63:$T$91,3,FALSE),0)+IF(AND($S21&lt;&gt;"",$S21&lt;&gt;"--",$S21&lt;&gt;"O3/CP",$S$14=C$18),IF(LEFT($S21,1)="P",VLOOKUP(CONCATENATE(LEFT($S21,2),"H"),$R$63:$T$91,3,FALSE),VLOOKUP($S21,$R$63:$T$91,3,FALSE)))+IF(AND($S21&lt;&gt;"",$S21&lt;&gt;"O3/CP",$S$15=C$18,MID($S21,4,1)="2",$S$15&lt;&gt;$S$14),VLOOKUP(CONCATENATE(LEFT($S21,2),"L"),$R$63:$T$91,3,FALSE),0)+IF(AND($S21="O3/CP",$S$14=C$18),VLOOKUP("O3",$R$63:$T$91,3,FALSE)+VLOOKUP("CP",$R$63:$T$91,3,FALSE),0)+IF(AND($T21&lt;&gt;"",$T21&lt;&gt;"--",$T21&lt;&gt;"O3/CP",$T$14=C$18),IF(LEFT($T21,1)="P",VLOOKUP(CONCATENATE(LEFT($T21,2),"H"),$R$63:$T$91,3,FALSE),VLOOKUP($T21,$R$63:$T$91,3,FALSE)))+IF(AND($T21&lt;&gt;"",$T21&lt;&gt;"O3/CP",$T$15=C$18,MID($T21,4,1)="2",$T$15&lt;&gt;$T$14),VLOOKUP(CONCATENATE(LEFT($T21,2),"L"),$R$63:$T$91,3,FALSE),0)+IF(AND($T21="O3/CP",$T$14=C$18),VLOOKUP("O3",$R$63:$T$91,3,FALSE)+VLOOKUP("CP",$R$63:$T$91,3,FALSE),0)+IF(AND($U21&lt;&gt;"",$U21&lt;&gt;"--",$U21&lt;&gt;"O3/CP",$U$14=C$18),IF(LEFT($U21,1)="P",VLOOKUP(CONCATENATE(LEFT($U21,2),"H"),$R$63:$T$91,3,FALSE),VLOOKUP($U21,$R$63:$T$91,3,FALSE)))+IF(AND($U21&lt;&gt;"",$U21&lt;&gt;"O3/CP",$U$15=C$18,MID($U21,4,1)="2",$U$15&lt;&gt;$U$14),VLOOKUP(CONCATENATE(LEFT($U21,2),"L"),$R$63:$T$91,3,FALSE),0)+IF(AND($U21="O3/CP",$T$14=C$18),VLOOKUP("O3",$R$63:$T$91,3,FALSE)+VLOOKUP("CP",$R$63:$T$91,3,FALSE),0)+IF(AND($V21&lt;&gt;"",$V21&lt;&gt;"--",$V21&lt;&gt;"O3/CP",$V$14=C$18),IF(LEFT($V21,1)="P",VLOOKUP(CONCATENATE(LEFT($V21,2),"H"),$R$63:$T$91,3,FALSE),VLOOKUP($V21,$R$63:$T$91,3,FALSE)))+IF(AND($V21&lt;&gt;"",$V21&lt;&gt;"O3/CP",$V$15=C$18,MID($V21,4,1)="2",$V$15&lt;&gt;$V$14),VLOOKUP(CONCATENATE(LEFT($V21,2),"L"),$R$63:$T$91,3,FALSE),0)+IF(AND($V21="O3/CP",$V$14=C$18),VLOOKUP("O3",$R$63:$T$91,3,FALSE)+VLOOKUP("CP",$R$63:$T$91,3,FALSE),0)+IF(AND($W21&lt;&gt;"",$W21&lt;&gt;"--",$W21&lt;&gt;"O3/CP",$W$14=C$18),IF(LEFT($W21,1)="P",VLOOKUP(CONCATENATE(LEFT($W21,2),"H"),$R$63:$T$91,3,FALSE),VLOOKUP($W21,$R$63:$T$91,3,FALSE)))+IF(AND($W21&lt;&gt;"",$W21&lt;&gt;"O3/CP",$W$15=C$18,MID($W21,4,1)="2",$W$15&lt;&gt;$W$14),VLOOKUP(CONCATENATE(LEFT($W21,2),"L"),$R$63:$T$91,3,FALSE),0)+IF(AND($W21="O3/CP",$W$14=C$18),VLOOKUP("O3",$R$63:$T$91,3,FALSE)+VLOOKUP("CP",$R$63:$T$91,3,FALSE),0)+IF(AND($X21&lt;&gt;"",$X21&lt;&gt;"--",$X21&lt;&gt;"O3/CP",$X$14=C$18),IF(LEFT($X21,1)="P",VLOOKUP(CONCATENATE(LEFT($X21,2),"H"),$R$63:$T$91,3,FALSE),VLOOKUP($X21,$R$63:$T$91,3,FALSE)))+IF(AND($X21&lt;&gt;"",$X21&lt;&gt;"O3/CP",$X$15=C$18,MID($X21,4,1)="2",$X$15&lt;&gt;$X$14),VLOOKUP(CONCATENATE(LEFT($X21,2),"L"),$R$63:$T$91,3,FALSE),0)+IF(AND($X21="O3/CP",$X$14=C$18),VLOOKUP("O3",$R$63:$T$91,3,FALSE)+VLOOKUP("CP",$R$63:$T$91,3,FALSE),0)+IF(AND($Y21&lt;&gt;"",$Y21&lt;&gt;"--",$Y21&lt;&gt;"O3/CP",$Y$14=C$18),IF(LEFT($Y21,1)="P",VLOOKUP(CONCATENATE(LEFT($Y21,2),"H"),$R$63:$T$91,3,FALSE),VLOOKUP($Y21,$R$63:$T$91,3,FALSE)))+IF(AND($Y21&lt;&gt;"",$Y21&lt;&gt;"O3/CP",$Y$15=C$18,MID($Y21,4,1)="2",$Y$15&lt;&gt;$Y$14),VLOOKUP(CONCATENATE(LEFT($Y21,2),"L"),$R$63:$T$91,3,FALSE),0)+IF(AND($Y21="O3/CP",$Y$14=C$18),VLOOKUP("O3",$R$63:$T$91,3,FALSE)+VLOOKUP("CP",$R$63:$T$91,3,FALSE),0)+IF(AND($K$6="CE",'[3]Supply Attribution'!$G$20=C$18),LEFT($S$90,2),0)+IF(AND($X$86&lt;&gt;"Not Set",$X$87=C$18),$X$86,0)</f>
        <v>0</v>
      </c>
      <c r="D21" s="271">
        <f>IF(AND($K21&lt;&gt;"",$K21&lt;&gt;"--",$K21&lt;&gt;"O3/CP",$K$14=D$18),IF(LEFT($K21,1)="P",VLOOKUP(CONCATENATE(LEFT($K21,2),"H"),$R$63:$T$91,3,FALSE),VLOOKUP($K21,$R$63:$T$91,3,FALSE)))+IF(AND($K21&lt;&gt;"",$K21&lt;&gt;"O3/CP",$K$15=D$18,MID($K21,4,1)="2",$K$15&lt;&gt;$K$14),VLOOKUP(CONCATENATE(LEFT($K21,2),"L"),$R$63:$T$91,3,FALSE),0)+IF(AND($K21="O3/CP",$K$14=D$18),VLOOKUP("O3",$R$63:$T$91,3,FALSE)+VLOOKUP("CP",$R$63:$T$91,3,FALSE),0)+IF(AND($L21&lt;&gt;"",$L21&lt;&gt;"--",$L21&lt;&gt;"O3/CP",$L$14=D$18),IF(LEFT($L21,1)="P",VLOOKUP(CONCATENATE(LEFT($L21,2),"H"),$R$63:$T$91,3,FALSE),VLOOKUP($L21,$R$63:$T$91,3,FALSE)))+IF(AND($L21&lt;&gt;"",$L21&lt;&gt;"O3/CP",$L$15=D$18,MID($L21,4,1)="2",$L$15&lt;&gt;$L$14),VLOOKUP(CONCATENATE(LEFT($L21,2),"L"),$R$63:$T$91,3,FALSE),0)+IF(AND($L21="O3/CP",$L$14=D$18),VLOOKUP("O3",$R$63:$T$91,3,FALSE)+VLOOKUP("CP",$R$63:$T$91,3,FALSE),0)+IF(AND($M21&lt;&gt;"",$M21&lt;&gt;"--",$M21&lt;&gt;"O3/CP",$M$14=D$18),IF(LEFT($M21,1)="P",VLOOKUP(CONCATENATE(LEFT($M21,2),"H"),$R$63:$T$91,3,FALSE),VLOOKUP($M21,$R$63:$T$91,3,FALSE)))+IF(AND($M21&lt;&gt;"",$M21&lt;&gt;"O3/CP",$M$15=D$18,MID($M21,4,1)="2",$M$15&lt;&gt;$M$14),VLOOKUP(CONCATENATE(LEFT($M21,2),"L"),$R$63:$T$91,3,FALSE),0)+IF(AND($M21="O3/CP",$M$14=D$18),VLOOKUP("O3",$R$63:$T$91,3,FALSE)+VLOOKUP("CP",$R$63:$T$91,3,FALSE),0)+IF(AND($N21&lt;&gt;"",$N21&lt;&gt;"--",$N21&lt;&gt;"O3/CP",$N$14=D$18),IF(LEFT($N21,1)="P",VLOOKUP(CONCATENATE(LEFT($N21,2),"H"),$R$63:$T$91,3,FALSE),VLOOKUP($N21,$R$63:$T$91,3,FALSE)))+IF(AND($N21&lt;&gt;"",$N21&lt;&gt;"O3/CP",$N$15=D$18,MID($N21,4,1)="2",$N$15&lt;&gt;$N$14),VLOOKUP(CONCATENATE(LEFT($N21,2),"L"),$R$63:$T$91,3,FALSE),0)+IF(AND($N21="O3/CP",$N$14=D$18),VLOOKUP("O3",$R$63:$T$91,3,FALSE)+VLOOKUP("CP",$R$63:$T$91,3,FALSE),0)+IF(AND($O21&lt;&gt;"",$O21&lt;&gt;"--",$O21&lt;&gt;"O3/CP",$O$14=D$18),IF(LEFT($O21,1)="P",VLOOKUP(CONCATENATE(LEFT($O21,2),"H"),$R$63:$T$91,3,FALSE),VLOOKUP($O21,$R$63:$T$91,3,FALSE)))+IF(AND($O21&lt;&gt;"",$O21&lt;&gt;"O3/CP",$O$15=D$18,MID($O21,4,1)="2",$O$15&lt;&gt;$O$14),VLOOKUP(CONCATENATE(LEFT($O21,2),"L"),$R$63:$T$91,3,FALSE),0)+IF(AND($O21="O3/CP",$O$14=D$18),VLOOKUP("O3",$R$63:$T$91,3,FALSE)+VLOOKUP("CP",$R$63:$T$91,3,FALSE),0)+IF(AND($P21&lt;&gt;"",$P21&lt;&gt;"--",$P21&lt;&gt;"O3/CP",$P$14=D$18),IF(LEFT($P21,1)="P",VLOOKUP(CONCATENATE(LEFT($P21,2),"H"),$R$63:$T$91,3,FALSE),VLOOKUP($P21,$R$63:$T$91,3,FALSE)))+IF(AND($P21&lt;&gt;"",$P21&lt;&gt;"O3/CP",$P$15=D$18,MID($P21,4,1)="2",$P$15&lt;&gt;$P$14),VLOOKUP(CONCATENATE(LEFT($P21,2),"L"),$R$63:$T$91,3,FALSE),0)+IF(AND($P21="O3/CP",$P$14=D$18),VLOOKUP("O3",$R$63:$T$91,3,FALSE)+VLOOKUP("CP",$R$63:$T$91,3,FALSE),0)+IF(AND($Q21&lt;&gt;"",$Q21&lt;&gt;"--",$Q21&lt;&gt;"O3/CP",$Q$14=D$18),IF(LEFT($Q21,1)="P",VLOOKUP(CONCATENATE(LEFT($Q21,2),"H"),$R$63:$T$91,3,FALSE),VLOOKUP($Q21,$R$63:$T$91,3,FALSE)))+IF(AND($Q21&lt;&gt;"",$Q21&lt;&gt;"O3/CP",$Q$15=D$18,MID($Q21,4,1)="2",$Q$15&lt;&gt;$Q$14),VLOOKUP(CONCATENATE(LEFT($Q21,2),"L"),$R$63:$T$91,3,FALSE),0)+IF(AND($Q21="O3/CP",$Q$14=D$18),VLOOKUP("O3",$R$63:$T$91,3,FALSE)+VLOOKUP("CP",$R$63:$T$91,3,FALSE),0)+IF(AND($R21&lt;&gt;"",$R21&lt;&gt;"--",$R21&lt;&gt;"O3/CP",$R$14=D$18),IF(LEFT($R21,1)="P",VLOOKUP(CONCATENATE(LEFT($R21,2),"H"),$R$63:$T$91,3,FALSE),VLOOKUP($R21,$R$63:$T$91,3,FALSE)))+IF(AND($R21&lt;&gt;"",$R21&lt;&gt;"O3/CP",$R$15=D$18,MID($R21,4,1)="2",$R$15&lt;&gt;$R$14),VLOOKUP(CONCATENATE(LEFT($R21,2),"L"),$R$63:$T$91,3,FALSE),0)+IF(AND($R21="O3/CP",$R$14=D$18),VLOOKUP("O3",$R$63:$T$91,3,FALSE)+VLOOKUP("CP",$R$63:$T$91,3,FALSE),0)+IF(AND($S21&lt;&gt;"",$S21&lt;&gt;"--",$S21&lt;&gt;"O3/CP",$S$14=D$18),IF(LEFT($S21,1)="P",VLOOKUP(CONCATENATE(LEFT($S21,2),"H"),$R$63:$T$91,3,FALSE),VLOOKUP($S21,$R$63:$T$91,3,FALSE)))+IF(AND($S21&lt;&gt;"",$S21&lt;&gt;"O3/CP",$S$15=D$18,MID($S21,4,1)="2",$S$15&lt;&gt;$S$14),VLOOKUP(CONCATENATE(LEFT($S21,2),"L"),$R$63:$T$91,3,FALSE),0)+IF(AND($S21="O3/CP",$S$14=D$18),VLOOKUP("O3",$R$63:$T$91,3,FALSE)+VLOOKUP("CP",$R$63:$T$91,3,FALSE),0)+IF(AND($T21&lt;&gt;"",$T21&lt;&gt;"--",$T21&lt;&gt;"O3/CP",$T$14=D$18),IF(LEFT($T21,1)="P",VLOOKUP(CONCATENATE(LEFT($T21,2),"H"),$R$63:$T$91,3,FALSE),VLOOKUP($T21,$R$63:$T$91,3,FALSE)))+IF(AND($T21&lt;&gt;"",$T21&lt;&gt;"O3/CP",$T$15=D$18,MID($T21,4,1)="2",$T$15&lt;&gt;$T$14),VLOOKUP(CONCATENATE(LEFT($T21,2),"L"),$R$63:$T$91,3,FALSE),0)+IF(AND($T21="O3/CP",$T$14=D$18),VLOOKUP("O3",$R$63:$T$91,3,FALSE)+VLOOKUP("CP",$R$63:$T$91,3,FALSE),0)+IF(AND($U21&lt;&gt;"",$U21&lt;&gt;"--",$U21&lt;&gt;"O3/CP",$U$14=D$18),IF(LEFT($U21,1)="P",VLOOKUP(CONCATENATE(LEFT($U21,2),"H"),$R$63:$T$91,3,FALSE),VLOOKUP($U21,$R$63:$T$91,3,FALSE)))+IF(AND($U21&lt;&gt;"",$U21&lt;&gt;"O3/CP",$U$15=D$18,MID($U21,4,1)="2",$U$15&lt;&gt;$U$14),VLOOKUP(CONCATENATE(LEFT($U21,2),"L"),$R$63:$T$91,3,FALSE),0)+IF(AND($U21="O3/CP",$T$14=D$18),VLOOKUP("O3",$R$63:$T$91,3,FALSE)+VLOOKUP("CP",$R$63:$T$91,3,FALSE),0)+IF(AND($V21&lt;&gt;"",$V21&lt;&gt;"--",$V21&lt;&gt;"O3/CP",$V$14=D$18),IF(LEFT($V21,1)="P",VLOOKUP(CONCATENATE(LEFT($V21,2),"H"),$R$63:$T$91,3,FALSE),VLOOKUP($V21,$R$63:$T$91,3,FALSE)))+IF(AND($V21&lt;&gt;"",$V21&lt;&gt;"O3/CP",$V$15=D$18,MID($V21,4,1)="2",$V$15&lt;&gt;$V$14),VLOOKUP(CONCATENATE(LEFT($V21,2),"L"),$R$63:$T$91,3,FALSE),0)+IF(AND($V21="O3/CP",$V$14=D$18),VLOOKUP("O3",$R$63:$T$91,3,FALSE)+VLOOKUP("CP",$R$63:$T$91,3,FALSE),0)+IF(AND($W21&lt;&gt;"",$W21&lt;&gt;"--",$W21&lt;&gt;"O3/CP",$W$14=D$18),IF(LEFT($W21,1)="P",VLOOKUP(CONCATENATE(LEFT($W21,2),"H"),$R$63:$T$91,3,FALSE),VLOOKUP($W21,$R$63:$T$91,3,FALSE)))+IF(AND($W21&lt;&gt;"",$W21&lt;&gt;"O3/CP",$W$15=D$18,MID($W21,4,1)="2",$W$15&lt;&gt;$W$14),VLOOKUP(CONCATENATE(LEFT($W21,2),"L"),$R$63:$T$91,3,FALSE),0)+IF(AND($W21="O3/CP",$W$14=D$18),VLOOKUP("O3",$R$63:$T$91,3,FALSE)+VLOOKUP("CP",$R$63:$T$91,3,FALSE),0)+IF(AND($X21&lt;&gt;"",$X21&lt;&gt;"--",$X21&lt;&gt;"O3/CP",$X$14=D$18),IF(LEFT($X21,1)="P",VLOOKUP(CONCATENATE(LEFT($X21,2),"H"),$R$63:$T$91,3,FALSE),VLOOKUP($X21,$R$63:$T$91,3,FALSE)))+IF(AND($X21&lt;&gt;"",$X21&lt;&gt;"O3/CP",$X$15=D$18,MID($X21,4,1)="2",$X$15&lt;&gt;$X$14),VLOOKUP(CONCATENATE(LEFT($X21,2),"L"),$R$63:$T$91,3,FALSE),0)+IF(AND($X21="O3/CP",$X$14=D$18),VLOOKUP("O3",$R$63:$T$91,3,FALSE)+VLOOKUP("CP",$R$63:$T$91,3,FALSE),0)+IF(AND($Y21&lt;&gt;"",$Y21&lt;&gt;"--",$Y21&lt;&gt;"O3/CP",$Y$14=D$18),IF(LEFT($Y21,1)="P",VLOOKUP(CONCATENATE(LEFT($Y21,2),"H"),$R$63:$T$91,3,FALSE),VLOOKUP($Y21,$R$63:$T$91,3,FALSE)))+IF(AND($Y21&lt;&gt;"",$Y21&lt;&gt;"O3/CP",$Y$15=D$18,MID($Y21,4,1)="2",$Y$15&lt;&gt;$Y$14),VLOOKUP(CONCATENATE(LEFT($Y21,2),"L"),$R$63:$T$91,3,FALSE),0)+IF(AND($Y21="O3/CP",$Y$14=D$18),VLOOKUP("O3",$R$63:$T$91,3,FALSE)+VLOOKUP("CP",$R$63:$T$91,3,FALSE),0)+IF(AND($K$6="CE",'[3]Supply Attribution'!$G$20=D$18),LEFT($S$90,2),0)+IF(AND($X$86&lt;&gt;"Not Set",$X$87=D$18),$X$86,0)</f>
        <v>0</v>
      </c>
      <c r="E21" s="271">
        <f>IF(AND($K21&lt;&gt;"",$K21&lt;&gt;"--",$K21&lt;&gt;"O3/CP",$K$14=E$18),IF(LEFT($K21,1)="P",VLOOKUP(CONCATENATE(LEFT($K21,2),"H"),$R$63:$T$91,3,FALSE),VLOOKUP($K21,$R$63:$T$91,3,FALSE)))+IF(AND($K21&lt;&gt;"",$K21&lt;&gt;"O3/CP",$K$15=E$18,MID($K21,4,1)="2",$K$15&lt;&gt;$K$14),VLOOKUP(CONCATENATE(LEFT($K21,2),"L"),$R$63:$T$91,3,FALSE),0)+IF(AND($K21="O3/CP",$K$14=E$18),VLOOKUP("O3",$R$63:$T$91,3,FALSE)+VLOOKUP("CP",$R$63:$T$91,3,FALSE),0)+IF(AND($L21&lt;&gt;"",$L21&lt;&gt;"--",$L21&lt;&gt;"O3/CP",$L$14=E$18),IF(LEFT($L21,1)="P",VLOOKUP(CONCATENATE(LEFT($L21,2),"H"),$R$63:$T$91,3,FALSE),VLOOKUP($L21,$R$63:$T$91,3,FALSE)))+IF(AND($L21&lt;&gt;"",$L21&lt;&gt;"O3/CP",$L$15=E$18,MID($L21,4,1)="2",$L$15&lt;&gt;$L$14),VLOOKUP(CONCATENATE(LEFT($L21,2),"L"),$R$63:$T$91,3,FALSE),0)+IF(AND($L21="O3/CP",$L$14=E$18),VLOOKUP("O3",$R$63:$T$91,3,FALSE)+VLOOKUP("CP",$R$63:$T$91,3,FALSE),0)+IF(AND($M21&lt;&gt;"",$M21&lt;&gt;"--",$M21&lt;&gt;"O3/CP",$M$14=E$18),IF(LEFT($M21,1)="P",VLOOKUP(CONCATENATE(LEFT($M21,2),"H"),$R$63:$T$91,3,FALSE),VLOOKUP($M21,$R$63:$T$91,3,FALSE)))+IF(AND($M21&lt;&gt;"",$M21&lt;&gt;"O3/CP",$M$15=E$18,MID($M21,4,1)="2",$M$15&lt;&gt;$M$14),VLOOKUP(CONCATENATE(LEFT($M21,2),"L"),$R$63:$T$91,3,FALSE),0)+IF(AND($M21="O3/CP",$M$14=E$18),VLOOKUP("O3",$R$63:$T$91,3,FALSE)+VLOOKUP("CP",$R$63:$T$91,3,FALSE),0)+IF(AND($N21&lt;&gt;"",$N21&lt;&gt;"--",$N21&lt;&gt;"O3/CP",$N$14=E$18),IF(LEFT($N21,1)="P",VLOOKUP(CONCATENATE(LEFT($N21,2),"H"),$R$63:$T$91,3,FALSE),VLOOKUP($N21,$R$63:$T$91,3,FALSE)))+IF(AND($N21&lt;&gt;"",$N21&lt;&gt;"O3/CP",$N$15=E$18,MID($N21,4,1)="2",$N$15&lt;&gt;$N$14),VLOOKUP(CONCATENATE(LEFT($N21,2),"L"),$R$63:$T$91,3,FALSE),0)+IF(AND($N21="O3/CP",$N$14=E$18),VLOOKUP("O3",$R$63:$T$91,3,FALSE)+VLOOKUP("CP",$R$63:$T$91,3,FALSE),0)+IF(AND($O21&lt;&gt;"",$O21&lt;&gt;"--",$O21&lt;&gt;"O3/CP",$O$14=E$18),IF(LEFT($O21,1)="P",VLOOKUP(CONCATENATE(LEFT($O21,2),"H"),$R$63:$T$91,3,FALSE),VLOOKUP($O21,$R$63:$T$91,3,FALSE)))+IF(AND($O21&lt;&gt;"",$O21&lt;&gt;"O3/CP",$O$15=E$18,MID($O21,4,1)="2",$O$15&lt;&gt;$O$14),VLOOKUP(CONCATENATE(LEFT($O21,2),"L"),$R$63:$T$91,3,FALSE),0)+IF(AND($O21="O3/CP",$O$14=E$18),VLOOKUP("O3",$R$63:$T$91,3,FALSE)+VLOOKUP("CP",$R$63:$T$91,3,FALSE),0)+IF(AND($P21&lt;&gt;"",$P21&lt;&gt;"--",$P21&lt;&gt;"O3/CP",$P$14=E$18),IF(LEFT($P21,1)="P",VLOOKUP(CONCATENATE(LEFT($P21,2),"H"),$R$63:$T$91,3,FALSE),VLOOKUP($P21,$R$63:$T$91,3,FALSE)))+IF(AND($P21&lt;&gt;"",$P21&lt;&gt;"O3/CP",$P$15=E$18,MID($P21,4,1)="2",$P$15&lt;&gt;$P$14),VLOOKUP(CONCATENATE(LEFT($P21,2),"L"),$R$63:$T$91,3,FALSE),0)+IF(AND($P21="O3/CP",$P$14=E$18),VLOOKUP("O3",$R$63:$T$91,3,FALSE)+VLOOKUP("CP",$R$63:$T$91,3,FALSE),0)+IF(AND($Q21&lt;&gt;"",$Q21&lt;&gt;"--",$Q21&lt;&gt;"O3/CP",$Q$14=E$18),IF(LEFT($Q21,1)="P",VLOOKUP(CONCATENATE(LEFT($Q21,2),"H"),$R$63:$T$91,3,FALSE),VLOOKUP($Q21,$R$63:$T$91,3,FALSE)))+IF(AND($Q21&lt;&gt;"",$Q21&lt;&gt;"O3/CP",$Q$15=E$18,MID($Q21,4,1)="2",$Q$15&lt;&gt;$Q$14),VLOOKUP(CONCATENATE(LEFT($Q21,2),"L"),$R$63:$T$91,3,FALSE),0)+IF(AND($Q21="O3/CP",$Q$14=E$18),VLOOKUP("O3",$R$63:$T$91,3,FALSE)+VLOOKUP("CP",$R$63:$T$91,3,FALSE),0)+IF(AND($R21&lt;&gt;"",$R21&lt;&gt;"--",$R21&lt;&gt;"O3/CP",$R$14=E$18),IF(LEFT($R21,1)="P",VLOOKUP(CONCATENATE(LEFT($R21,2),"H"),$R$63:$T$91,3,FALSE),VLOOKUP($R21,$R$63:$T$91,3,FALSE)))+IF(AND($R21&lt;&gt;"",$R21&lt;&gt;"O3/CP",$R$15=E$18,MID($R21,4,1)="2",$R$15&lt;&gt;$R$14),VLOOKUP(CONCATENATE(LEFT($R21,2),"L"),$R$63:$T$91,3,FALSE),0)+IF(AND($R21="O3/CP",$R$14=E$18),VLOOKUP("O3",$R$63:$T$91,3,FALSE)+VLOOKUP("CP",$R$63:$T$91,3,FALSE),0)+IF(AND($S21&lt;&gt;"",$S21&lt;&gt;"--",$S21&lt;&gt;"O3/CP",$S$14=E$18),IF(LEFT($S21,1)="P",VLOOKUP(CONCATENATE(LEFT($S21,2),"H"),$R$63:$T$91,3,FALSE),VLOOKUP($S21,$R$63:$T$91,3,FALSE)))+IF(AND($S21&lt;&gt;"",$S21&lt;&gt;"O3/CP",$S$15=E$18,MID($S21,4,1)="2",$S$15&lt;&gt;$S$14),VLOOKUP(CONCATENATE(LEFT($S21,2),"L"),$R$63:$T$91,3,FALSE),0)+IF(AND($S21="O3/CP",$S$14=E$18),VLOOKUP("O3",$R$63:$T$91,3,FALSE)+VLOOKUP("CP",$R$63:$T$91,3,FALSE),0)+IF(AND($T21&lt;&gt;"",$T21&lt;&gt;"--",$T21&lt;&gt;"O3/CP",$T$14=E$18),IF(LEFT($T21,1)="P",VLOOKUP(CONCATENATE(LEFT($T21,2),"H"),$R$63:$T$91,3,FALSE),VLOOKUP($T21,$R$63:$T$91,3,FALSE)))+IF(AND($T21&lt;&gt;"",$T21&lt;&gt;"O3/CP",$T$15=E$18,MID($T21,4,1)="2",$T$15&lt;&gt;$T$14),VLOOKUP(CONCATENATE(LEFT($T21,2),"L"),$R$63:$T$91,3,FALSE),0)+IF(AND($T21="O3/CP",$T$14=E$18),VLOOKUP("O3",$R$63:$T$91,3,FALSE)+VLOOKUP("CP",$R$63:$T$91,3,FALSE),0)+IF(AND($U21&lt;&gt;"",$U21&lt;&gt;"--",$U21&lt;&gt;"O3/CP",$U$14=E$18),IF(LEFT($U21,1)="P",VLOOKUP(CONCATENATE(LEFT($U21,2),"H"),$R$63:$T$91,3,FALSE),VLOOKUP($U21,$R$63:$T$91,3,FALSE)))+IF(AND($U21&lt;&gt;"",$U21&lt;&gt;"O3/CP",$U$15=E$18,MID($U21,4,1)="2",$U$15&lt;&gt;$U$14),VLOOKUP(CONCATENATE(LEFT($U21,2),"L"),$R$63:$T$91,3,FALSE),0)+IF(AND($U21="O3/CP",$T$14=E$18),VLOOKUP("O3",$R$63:$T$91,3,FALSE)+VLOOKUP("CP",$R$63:$T$91,3,FALSE),0)+IF(AND($V21&lt;&gt;"",$V21&lt;&gt;"--",$V21&lt;&gt;"O3/CP",$V$14=E$18),IF(LEFT($V21,1)="P",VLOOKUP(CONCATENATE(LEFT($V21,2),"H"),$R$63:$T$91,3,FALSE),VLOOKUP($V21,$R$63:$T$91,3,FALSE)))+IF(AND($V21&lt;&gt;"",$V21&lt;&gt;"O3/CP",$V$15=E$18,MID($V21,4,1)="2",$V$15&lt;&gt;$V$14),VLOOKUP(CONCATENATE(LEFT($V21,2),"L"),$R$63:$T$91,3,FALSE),0)+IF(AND($V21="O3/CP",$V$14=E$18),VLOOKUP("O3",$R$63:$T$91,3,FALSE)+VLOOKUP("CP",$R$63:$T$91,3,FALSE),0)+IF(AND($W21&lt;&gt;"",$W21&lt;&gt;"--",$W21&lt;&gt;"O3/CP",$W$14=E$18),IF(LEFT($W21,1)="P",VLOOKUP(CONCATENATE(LEFT($W21,2),"H"),$R$63:$T$91,3,FALSE),VLOOKUP($W21,$R$63:$T$91,3,FALSE)))+IF(AND($W21&lt;&gt;"",$W21&lt;&gt;"O3/CP",$W$15=E$18,MID($W21,4,1)="2",$W$15&lt;&gt;$W$14),VLOOKUP(CONCATENATE(LEFT($W21,2),"L"),$R$63:$T$91,3,FALSE),0)+IF(AND($W21="O3/CP",$W$14=E$18),VLOOKUP("O3",$R$63:$T$91,3,FALSE)+VLOOKUP("CP",$R$63:$T$91,3,FALSE),0)+IF(AND($X21&lt;&gt;"",$X21&lt;&gt;"--",$X21&lt;&gt;"O3/CP",$X$14=E$18),IF(LEFT($X21,1)="P",VLOOKUP(CONCATENATE(LEFT($X21,2),"H"),$R$63:$T$91,3,FALSE),VLOOKUP($X21,$R$63:$T$91,3,FALSE)))+IF(AND($X21&lt;&gt;"",$X21&lt;&gt;"O3/CP",$X$15=E$18,MID($X21,4,1)="2",$X$15&lt;&gt;$X$14),VLOOKUP(CONCATENATE(LEFT($X21,2),"L"),$R$63:$T$91,3,FALSE),0)+IF(AND($X21="O3/CP",$X$14=E$18),VLOOKUP("O3",$R$63:$T$91,3,FALSE)+VLOOKUP("CP",$R$63:$T$91,3,FALSE),0)+IF(AND($Y21&lt;&gt;"",$Y21&lt;&gt;"--",$Y21&lt;&gt;"O3/CP",$Y$14=E$18),IF(LEFT($Y21,1)="P",VLOOKUP(CONCATENATE(LEFT($Y21,2),"H"),$R$63:$T$91,3,FALSE),VLOOKUP($Y21,$R$63:$T$91,3,FALSE)))+IF(AND($Y21&lt;&gt;"",$Y21&lt;&gt;"O3/CP",$Y$15=E$18,MID($Y21,4,1)="2",$Y$15&lt;&gt;$Y$14),VLOOKUP(CONCATENATE(LEFT($Y21,2),"L"),$R$63:$T$91,3,FALSE),0)+IF(AND($Y21="O3/CP",$Y$14=E$18),VLOOKUP("O3",$R$63:$T$91,3,FALSE)+VLOOKUP("CP",$R$63:$T$91,3,FALSE),0)+IF(AND($K$6="CE",'[3]Supply Attribution'!$G$20=E$18),LEFT($S$90,2),0)+IF(AND($X$86&lt;&gt;"Not Set",$X$87=E$18),$X$86,0)</f>
        <v>0</v>
      </c>
      <c r="F21" s="272">
        <f>IF(AND($K21&lt;&gt;"",$K21&lt;&gt;"--",$K21&lt;&gt;"O3/CP",$K$14=F$18),IF(LEFT($K21,1)="P",VLOOKUP(CONCATENATE(LEFT($K21,2),"H"),$R$63:$T$91,3,FALSE),VLOOKUP($K21,$R$63:$T$91,3,FALSE)))+IF(AND($K21&lt;&gt;"",$K21&lt;&gt;"O3/CP",$K$15=F$18,MID($K21,4,1)="2",$K$15&lt;&gt;$K$14),VLOOKUP(CONCATENATE(LEFT($K21,2),"L"),$R$63:$T$91,3,FALSE),0)+IF(AND($K21="O3/CP",$K$14=F$18),VLOOKUP("O3",$R$63:$T$91,3,FALSE)+VLOOKUP("CP",$R$63:$T$91,3,FALSE),0)+IF(AND($L21&lt;&gt;"",$L21&lt;&gt;"--",$L21&lt;&gt;"O3/CP",$L$14=F$18),IF(LEFT($L21,1)="P",VLOOKUP(CONCATENATE(LEFT($L21,2),"H"),$R$63:$T$91,3,FALSE),VLOOKUP($L21,$R$63:$T$91,3,FALSE)))+IF(AND($L21&lt;&gt;"",$L21&lt;&gt;"O3/CP",$L$15=F$18,MID($L21,4,1)="2",$L$15&lt;&gt;$L$14),VLOOKUP(CONCATENATE(LEFT($L21,2),"L"),$R$63:$T$91,3,FALSE),0)+IF(AND($L21="O3/CP",$L$14=F$18),VLOOKUP("O3",$R$63:$T$91,3,FALSE)+VLOOKUP("CP",$R$63:$T$91,3,FALSE),0)+IF(AND($M21&lt;&gt;"",$M21&lt;&gt;"--",$M21&lt;&gt;"O3/CP",$M$14=F$18),IF(LEFT($M21,1)="P",VLOOKUP(CONCATENATE(LEFT($M21,2),"H"),$R$63:$T$91,3,FALSE),VLOOKUP($M21,$R$63:$T$91,3,FALSE)))+IF(AND($M21&lt;&gt;"",$M21&lt;&gt;"O3/CP",$M$15=F$18,MID($M21,4,1)="2",$M$15&lt;&gt;$M$14),VLOOKUP(CONCATENATE(LEFT($M21,2),"L"),$R$63:$T$91,3,FALSE),0)+IF(AND($M21="O3/CP",$M$14=F$18),VLOOKUP("O3",$R$63:$T$91,3,FALSE)+VLOOKUP("CP",$R$63:$T$91,3,FALSE),0)+IF(AND($N21&lt;&gt;"",$N21&lt;&gt;"--",$N21&lt;&gt;"O3/CP",$N$14=F$18),IF(LEFT($N21,1)="P",VLOOKUP(CONCATENATE(LEFT($N21,2),"H"),$R$63:$T$91,3,FALSE),VLOOKUP($N21,$R$63:$T$91,3,FALSE)))+IF(AND($N21&lt;&gt;"",$N21&lt;&gt;"O3/CP",$N$15=F$18,MID($N21,4,1)="2",$N$15&lt;&gt;$N$14),VLOOKUP(CONCATENATE(LEFT($N21,2),"L"),$R$63:$T$91,3,FALSE),0)+IF(AND($N21="O3/CP",$N$14=F$18),VLOOKUP("O3",$R$63:$T$91,3,FALSE)+VLOOKUP("CP",$R$63:$T$91,3,FALSE),0)+IF(AND($O21&lt;&gt;"",$O21&lt;&gt;"--",$O21&lt;&gt;"O3/CP",$O$14=F$18),IF(LEFT($O21,1)="P",VLOOKUP(CONCATENATE(LEFT($O21,2),"H"),$R$63:$T$91,3,FALSE),VLOOKUP($O21,$R$63:$T$91,3,FALSE)))+IF(AND($O21&lt;&gt;"",$O21&lt;&gt;"O3/CP",$O$15=F$18,MID($O21,4,1)="2",$O$15&lt;&gt;$O$14),VLOOKUP(CONCATENATE(LEFT($O21,2),"L"),$R$63:$T$91,3,FALSE),0)+IF(AND($O21="O3/CP",$O$14=F$18),VLOOKUP("O3",$R$63:$T$91,3,FALSE)+VLOOKUP("CP",$R$63:$T$91,3,FALSE),0)+IF(AND($P21&lt;&gt;"",$P21&lt;&gt;"--",$P21&lt;&gt;"O3/CP",$P$14=F$18),IF(LEFT($P21,1)="P",VLOOKUP(CONCATENATE(LEFT($P21,2),"H"),$R$63:$T$91,3,FALSE),VLOOKUP($P21,$R$63:$T$91,3,FALSE)))+IF(AND($P21&lt;&gt;"",$P21&lt;&gt;"O3/CP",$P$15=F$18,MID($P21,4,1)="2",$P$15&lt;&gt;$P$14),VLOOKUP(CONCATENATE(LEFT($P21,2),"L"),$R$63:$T$91,3,FALSE),0)+IF(AND($P21="O3/CP",$P$14=F$18),VLOOKUP("O3",$R$63:$T$91,3,FALSE)+VLOOKUP("CP",$R$63:$T$91,3,FALSE),0)+IF(AND($Q21&lt;&gt;"",$Q21&lt;&gt;"--",$Q21&lt;&gt;"O3/CP",$Q$14=F$18),IF(LEFT($Q21,1)="P",VLOOKUP(CONCATENATE(LEFT($Q21,2),"H"),$R$63:$T$91,3,FALSE),VLOOKUP($Q21,$R$63:$T$91,3,FALSE)))+IF(AND($Q21&lt;&gt;"",$Q21&lt;&gt;"O3/CP",$Q$15=F$18,MID($Q21,4,1)="2",$Q$15&lt;&gt;$Q$14),VLOOKUP(CONCATENATE(LEFT($Q21,2),"L"),$R$63:$T$91,3,FALSE),0)+IF(AND($Q21="O3/CP",$Q$14=F$18),VLOOKUP("O3",$R$63:$T$91,3,FALSE)+VLOOKUP("CP",$R$63:$T$91,3,FALSE),0)+IF(AND($R21&lt;&gt;"",$R21&lt;&gt;"--",$R21&lt;&gt;"O3/CP",$R$14=F$18),IF(LEFT($R21,1)="P",VLOOKUP(CONCATENATE(LEFT($R21,2),"H"),$R$63:$T$91,3,FALSE),VLOOKUP($R21,$R$63:$T$91,3,FALSE)))+IF(AND($R21&lt;&gt;"",$R21&lt;&gt;"O3/CP",$R$15=F$18,MID($R21,4,1)="2",$R$15&lt;&gt;$R$14),VLOOKUP(CONCATENATE(LEFT($R21,2),"L"),$R$63:$T$91,3,FALSE),0)+IF(AND($R21="O3/CP",$R$14=F$18),VLOOKUP("O3",$R$63:$T$91,3,FALSE)+VLOOKUP("CP",$R$63:$T$91,3,FALSE),0)+IF(AND($S21&lt;&gt;"",$S21&lt;&gt;"--",$S21&lt;&gt;"O3/CP",$S$14=F$18),IF(LEFT($S21,1)="P",VLOOKUP(CONCATENATE(LEFT($S21,2),"H"),$R$63:$T$91,3,FALSE),VLOOKUP($S21,$R$63:$T$91,3,FALSE)))+IF(AND($S21&lt;&gt;"",$S21&lt;&gt;"O3/CP",$S$15=F$18,MID($S21,4,1)="2",$S$15&lt;&gt;$S$14),VLOOKUP(CONCATENATE(LEFT($S21,2),"L"),$R$63:$T$91,3,FALSE),0)+IF(AND($S21="O3/CP",$S$14=F$18),VLOOKUP("O3",$R$63:$T$91,3,FALSE)+VLOOKUP("CP",$R$63:$T$91,3,FALSE),0)+IF(AND($T21&lt;&gt;"",$T21&lt;&gt;"--",$T21&lt;&gt;"O3/CP",$T$14=F$18),IF(LEFT($T21,1)="P",VLOOKUP(CONCATENATE(LEFT($T21,2),"H"),$R$63:$T$91,3,FALSE),VLOOKUP($T21,$R$63:$T$91,3,FALSE)))+IF(AND($T21&lt;&gt;"",$T21&lt;&gt;"O3/CP",$T$15=F$18,MID($T21,4,1)="2",$T$15&lt;&gt;$T$14),VLOOKUP(CONCATENATE(LEFT($T21,2),"L"),$R$63:$T$91,3,FALSE),0)+IF(AND($T21="O3/CP",$T$14=F$18),VLOOKUP("O3",$R$63:$T$91,3,FALSE)+VLOOKUP("CP",$R$63:$T$91,3,FALSE),0)+IF(AND($U21&lt;&gt;"",$U21&lt;&gt;"--",$U21&lt;&gt;"O3/CP",$U$14=F$18),IF(LEFT($U21,1)="P",VLOOKUP(CONCATENATE(LEFT($U21,2),"H"),$R$63:$T$91,3,FALSE),VLOOKUP($U21,$R$63:$T$91,3,FALSE)))+IF(AND($U21&lt;&gt;"",$U21&lt;&gt;"O3/CP",$U$15=F$18,MID($U21,4,1)="2",$U$15&lt;&gt;$U$14),VLOOKUP(CONCATENATE(LEFT($U21,2),"L"),$R$63:$T$91,3,FALSE),0)+IF(AND($U21="O3/CP",$T$14=F$18),VLOOKUP("O3",$R$63:$T$91,3,FALSE)+VLOOKUP("CP",$R$63:$T$91,3,FALSE),0)+IF(AND($V21&lt;&gt;"",$V21&lt;&gt;"--",$V21&lt;&gt;"O3/CP",$V$14=F$18),IF(LEFT($V21,1)="P",VLOOKUP(CONCATENATE(LEFT($V21,2),"H"),$R$63:$T$91,3,FALSE),VLOOKUP($V21,$R$63:$T$91,3,FALSE)))+IF(AND($V21&lt;&gt;"",$V21&lt;&gt;"O3/CP",$V$15=F$18,MID($V21,4,1)="2",$V$15&lt;&gt;$V$14),VLOOKUP(CONCATENATE(LEFT($V21,2),"L"),$R$63:$T$91,3,FALSE),0)+IF(AND($V21="O3/CP",$V$14=F$18),VLOOKUP("O3",$R$63:$T$91,3,FALSE)+VLOOKUP("CP",$R$63:$T$91,3,FALSE),0)+IF(AND($W21&lt;&gt;"",$W21&lt;&gt;"--",$W21&lt;&gt;"O3/CP",$W$14=F$18),IF(LEFT($W21,1)="P",VLOOKUP(CONCATENATE(LEFT($W21,2),"H"),$R$63:$T$91,3,FALSE),VLOOKUP($W21,$R$63:$T$91,3,FALSE)))+IF(AND($W21&lt;&gt;"",$W21&lt;&gt;"O3/CP",$W$15=F$18,MID($W21,4,1)="2",$W$15&lt;&gt;$W$14),VLOOKUP(CONCATENATE(LEFT($W21,2),"L"),$R$63:$T$91,3,FALSE),0)+IF(AND($W21="O3/CP",$W$14=F$18),VLOOKUP("O3",$R$63:$T$91,3,FALSE)+VLOOKUP("CP",$R$63:$T$91,3,FALSE),0)+IF(AND($X21&lt;&gt;"",$X21&lt;&gt;"--",$X21&lt;&gt;"O3/CP",$X$14=F$18),IF(LEFT($X21,1)="P",VLOOKUP(CONCATENATE(LEFT($X21,2),"H"),$R$63:$T$91,3,FALSE),VLOOKUP($X21,$R$63:$T$91,3,FALSE)))+IF(AND($X21&lt;&gt;"",$X21&lt;&gt;"O3/CP",$X$15=F$18,MID($X21,4,1)="2",$X$15&lt;&gt;$X$14),VLOOKUP(CONCATENATE(LEFT($X21,2),"L"),$R$63:$T$91,3,FALSE),0)+IF(AND($X21="O3/CP",$X$14=F$18),VLOOKUP("O3",$R$63:$T$91,3,FALSE)+VLOOKUP("CP",$R$63:$T$91,3,FALSE),0)+IF(AND($Y21&lt;&gt;"",$Y21&lt;&gt;"--",$Y21&lt;&gt;"O3/CP",$Y$14=F$18),IF(LEFT($Y21,1)="P",VLOOKUP(CONCATENATE(LEFT($Y21,2),"H"),$R$63:$T$91,3,FALSE),VLOOKUP($Y21,$R$63:$T$91,3,FALSE)))+IF(AND($Y21&lt;&gt;"",$Y21&lt;&gt;"O3/CP",$Y$15=F$18,MID($Y21,4,1)="2",$Y$15&lt;&gt;$Y$14),VLOOKUP(CONCATENATE(LEFT($Y21,2),"L"),$R$63:$T$91,3,FALSE),0)+IF(AND($Y21="O3/CP",$Y$14=F$18),VLOOKUP("O3",$R$63:$T$91,3,FALSE)+VLOOKUP("CP",$R$63:$T$91,3,FALSE),0)+IF(AND($K$6="CE",'[3]Supply Attribution'!$G$20=F$18),LEFT($S$90,2),0)+IF(AND($X$86&lt;&gt;"Not Set",$X$87=F$18),$X$86,0)</f>
        <v>0</v>
      </c>
      <c r="G21" s="271">
        <f>IF(AND($K$6="CE",$T$59="1 Phase"),SUM(A21:F21)-IF(AND($K$14&lt;&gt;$K$15,RIGHT($K21,3)="2SP"),VLOOKUP(CONCATENATE(LEFT($K21,2),"L"),$R$63:$T$90,3,FALSE),0)-IF(AND($L$14&lt;&gt;$L$15,RIGHT($L21,3)="2SP"),VLOOKUP(CONCATENATE(LEFT($L21,2),"L"),$R$63:$T$90,3,FALSE),0)-IF(AND($M$14&lt;&gt;$M$15,RIGHT($M21,3)="2SP"),VLOOKUP(CONCATENATE(LEFT($M21,2),"L"),$R$63:$T$90,3,FALSE),0)-IF(AND($N$14&lt;&gt;$N$15,RIGHT($N21,3)="2SP"),VLOOKUP(CONCATENATE(LEFT($N21,2),"L"),$R$63:$T$90,3,FALSE),0)-IF(AND($O$14&lt;&gt;$O$15,RIGHT($O21,3)="2SP"),VLOOKUP(CONCATENATE(LEFT($O21,2),"L"),$R$63:$T$90,3,FALSE),0)-IF(AND($P$14&lt;&gt;$P$15,RIGHT($P21,3)="2SP"),VLOOKUP(CONCATENATE(LEFT($P21,2),"L"),$R$63:$T$90,3,FALSE),0)-IF(AND($Q$14&lt;&gt;$Q$15,RIGHT($Q21,3)="2SP"),VLOOKUP(CONCATENATE(LEFT($Q21,2),"L"),$R$63:$T$90,3,FALSE),0)-IF(AND($R$14&lt;&gt;$R$15,RIGHT($T21,3)="2SP"),VLOOKUP(CONCATENATE(LEFT($R21,2),"L"),$R$63:$T$90,3,FALSE),0)-IF(AND($S$14&lt;&gt;$S$15,RIGHT($T21,3)="2SP"),VLOOKUP(CONCATENATE(LEFT($S21,2),"L"),$R$63:$T$90,3,FALSE),0)-IF(AND($T$14&lt;&gt;$T$15,RIGHT($T21,3)="2SP"),VLOOKUP(CONCATENATE(LEFT($T21,2),"L"),$R$63:$T$90,3,FALSE),0)-IF(AND($U$14&lt;&gt;$U$15,RIGHT($U21,3)="2SP"),VLOOKUP(CONCATENATE(LEFT($U21,2),"L"),$R$63:$T$90,3,FALSE),0)-IF(AND($V$14&lt;&gt;$V$15,RIGHT($V21,3)="2SP"),VLOOKUP(CONCATENATE(LEFT($V21,2),"L"),$R$63:$T$90,3,FALSE),0)-IF(AND($W$14&lt;&gt;$W$15,RIGHT($W21,3)="2SP"),VLOOKUP(CONCATENATE(LEFT($W21,2),"L"),$R$63:$T$90,3,FALSE),0)-IF(AND($X$14&lt;&gt;$X$15,RIGHT($X21,3)="2SP"),VLOOKUP(CONCATENATE(LEFT($X21,2),"L"),$R$63:$T$90,3,FALSE),0)-IF(AND($Y$14&lt;&gt;$Y$15,RIGHT($Y21,3)="2SP"),VLOOKUP(CONCATENATE(LEFT($Y21,2),"L"),$R$63:$T$90,3,FALSE),0),IF(VLOOKUP(CONCATENATE($A$18,"Line"),'[3]Supply Attribution'!$F$31:$G$37,2,FALSE)=G$18,$A21,0)+IF(VLOOKUP(CONCATENATE($B$18,"Line"),'[3]Supply Attribution'!$F$31:$G$37,2,FALSE)=G$18,$B21,0)+IF(VLOOKUP(CONCATENATE($C$18,"Line"),'[3]Supply Attribution'!$F$31:$G$37,2,FALSE)=G$18,$C21,0)+IF(VLOOKUP(CONCATENATE($D$18,"Line"),'[3]Supply Attribution'!$F$31:$G$37,2,FALSE)=G$18,$D21,0)+IF(VLOOKUP(CONCATENATE($E$18,"Line"),'[3]Supply Attribution'!$F$31:$G$37,2,FALSE)=G$18,$E21,0)+IF(VLOOKUP(CONCATENATE($F$18,"Line"),'[3]Supply Attribution'!$F$31:$G$37,2,FALSE)=G$18,$F21,0)+IF($K$6="UL",LEFT($S$90,2),0)-IF(AND($K$16=G$18,$K$14&lt;&gt;$K$15,$K$16=$K$17,RIGHT($K21,3)="2SP"),VLOOKUP(CONCATENATE(LEFT($K21,2),"L"),$R$63:$T$90,3,FALSE),0)-IF(AND($L$16=G$18,$L$14&lt;&gt;$L$15,$L$16=$L$17,RIGHT($L21,3)="2SP"),VLOOKUP(CONCATENATE(LEFT($L21,2),"L"),$R$63:$T$90,3,FALSE),0)-IF(AND($M$16=G$18,$M$14&lt;&gt;$M$15,$M$16=$M$17,RIGHT($M21,3)="2SP"),VLOOKUP(CONCATENATE(LEFT($M21,2),"L"),$R$63:$T$90,3,FALSE),0)-IF(AND($N$16=G$18,$N$14&lt;&gt;$N$15,$N$16=$N$17,RIGHT($N21,3)="2SP"),VLOOKUP(CONCATENATE(LEFT($N21,2),"L"),$R$63:$T$90,3,FALSE),0)-IF(AND($O$16=G$18,$O$14&lt;&gt;$O$15,$O$16=$O$17,RIGHT($O21,3)="2SP"),VLOOKUP(CONCATENATE(LEFT($O21,2),"L"),$R$63:$T$90,3,FALSE),0)-IF(AND($P$16=G$18,$P$14&lt;&gt;$P$15,$P$16=$P$17,RIGHT($P21,3)="2SP"),VLOOKUP(CONCATENATE(LEFT($P21,2),"L"),$R$63:$T$90,3,FALSE),0)-IF(AND($Q$16=G$18,$Q$14&lt;&gt;$Q$15,$Q$16=$Q$17,RIGHT($Q21,3)="2SP"),VLOOKUP(CONCATENATE(LEFT($Q21,2),"L"),$R$63:$T$90,3,FALSE),0)-IF(AND($R$16=G$18,$R$14&lt;&gt;$R$15,$R$16=$R$17,RIGHT($R21,3)="2SP"),VLOOKUP(CONCATENATE(LEFT($R21,2),"L"),$R$63:$T$90,3,FALSE),0)-IF(AND($S$16=G$18,$S$14&lt;&gt;$S$15,$S$16=$S$17,RIGHT($S21,3)="2SP"),VLOOKUP(CONCATENATE(LEFT($S21,2),"L"),$R$63:$T$90,3,FALSE),0)-IF(AND($T$16=G$18,$T$14&lt;&gt;$T$15,$T$16=$T$17,RIGHT($T21,3)="2SP"),VLOOKUP(CONCATENATE(LEFT($T21,2),"L"),$R$63:$T$90,3,FALSE),0)-IF(AND($U$16=G$18,$U$14&lt;&gt;$U$15,$U$16=$U$17,RIGHT($U21,3)="2SP"),VLOOKUP(CONCATENATE(LEFT($U21,2),"L"),$R$63:$T$90,3,FALSE),0)-IF(AND($V$16=G$18,$V$14&lt;&gt;$V$15,$V$16=$V$17,RIGHT($V21,3)="2SP"),VLOOKUP(CONCATENATE(LEFT($V21,2),"L"),$R$63:$T$90,3,FALSE),0)-IF(AND($W$16=G$18,$W$14&lt;&gt;$W$15,$W$16=$W$17,RIGHT($W21,3)="2SP"),VLOOKUP(CONCATENATE(LEFT($W21,2),"L"),$R$63:$T$90,3,FALSE),0)-IF(AND($X$16=G$18,$X$14&lt;&gt;$X$15,$X$16=$X$17,RIGHT($X21,3)="2SP"),VLOOKUP(CONCATENATE(LEFT($X21,2),"L"),$R$63:$T$90,3,FALSE),0)-IF(AND($Y$16=G$18,$Y$14&lt;&gt;$Y$15,$Y$16=$Y$17,RIGHT($Y21,3)="2SP"),VLOOKUP(CONCATENATE(LEFT($Y21,2),"L"),$R$63:$T$90,3,FALSE),0))</f>
        <v>31</v>
      </c>
      <c r="H21" s="271" t="str">
        <f>IF(H$18&lt;&gt;"",IF(VLOOKUP(CONCATENATE($A$18,"Line"),'Supply Attribution'!$F$31:$G$37,2,FALSE)=H$18,$A21,0)+IF(VLOOKUP(CONCATENATE($B$18,"Line"),'Supply Attribution'!$F$31:$G$37,2,FALSE)=H$18,$B21,0)+IF(VLOOKUP(CONCATENATE($C$18,"Line"),'Supply Attribution'!$F$31:$G$37,2,FALSE)=H$18,$C21,0)+IF(VLOOKUP(CONCATENATE($D$18,"Line"),'Supply Attribution'!$F$31:$G$37,2,FALSE)=H$18,$D21,0)+IF(VLOOKUP(CONCATENATE($E$18,"Line"),'Supply Attribution'!$F$31:$G$37,2,FALSE)=H$18,$E21,0)+IF(VLOOKUP(CONCATENATE($F$18,"Line"),'Supply Attribution'!$F$31:$G$37,2,FALSE)=H$18,$F21,0)+IF($K$6="UL",LEFT($S$90,2),0)-IF(AND($K$16=H$18,$K$14&lt;&gt;$K$15,$K$16=$K$17,RIGHT($K21,3)="2SP"),VLOOKUP(CONCATENATE(LEFT($K21,2),"L"),$R$63:$T$90,3,FALSE),0)-IF(AND($L$16=H$18,$L$14&lt;&gt;$L$15,$L$16=$L$17,RIGHT($L21,3)="2SP"),VLOOKUP(CONCATENATE(LEFT($L21,2),"L"),$R$63:$T$90,3,FALSE),0)-IF(AND($M$16=H$18,$M$14&lt;&gt;$M$15,$M$16=$M$17,RIGHT($M21,3)="2SP"),VLOOKUP(CONCATENATE(LEFT($M21,2),"L"),$R$63:$T$90,3,FALSE),0)-IF(AND($N$16=H$18,$N$14&lt;&gt;$N$15,$N$16=$N$17,RIGHT($N21,3)="2SP"),VLOOKUP(CONCATENATE(LEFT($N21,2),"L"),$R$63:$T$90,3,FALSE),0)-IF(AND($O$16=H$18,$O$14&lt;&gt;$O$15,$O$16=$O$17,RIGHT($O21,3)="2SP"),VLOOKUP(CONCATENATE(LEFT($O21,2),"L"),$R$63:$T$90,3,FALSE),0)-IF(AND($P$16=H$18,$P$14&lt;&gt;$P$15,$P$16=$P$17,RIGHT($P21,3)="2SP"),VLOOKUP(CONCATENATE(LEFT($P21,2),"L"),$R$63:$T$90,3,FALSE),0)-IF(AND($Q$16=H$18,$Q$14&lt;&gt;$Q$15,$Q$16=$Q$17,RIGHT($Q21,3)="2SP"),VLOOKUP(CONCATENATE(LEFT($Q21,2),"L"),$R$63:$T$90,3,FALSE),0)-IF(AND($T$16=H$18,$T$14&lt;&gt;$T$15,$T$16=$T$17,RIGHT($T21,3)="2SP"),VLOOKUP(CONCATENATE(LEFT($T21,2),"L"),$R$63:$T$90,3,FALSE),0)-IF(AND($U$16=H$18,$U$14&lt;&gt;$U$15,$U$16=$U$17,RIGHT($U21,3)="2SP"),VLOOKUP(CONCATENATE(LEFT($U21,2),"L"),$R$63:$T$90,3,FALSE),0)-IF(AND($V$16=H$18,$V$14&lt;&gt;$V$15,$V$16=$V$17,RIGHT($V21,3)="2SP"),VLOOKUP(CONCATENATE(LEFT($V21,2),"L"),$R$63:$T$90,3,FALSE),0)-IF(AND($W$16=H$18,$W$14&lt;&gt;$W$15,$W$16=$W$17,RIGHT($W21,3)="2SP"),VLOOKUP(CONCATENATE(LEFT($W21,2),"L"),$R$63:$T$90,3,FALSE),0)-IF(AND($X$16=H$18,$X$14&lt;&gt;$X$15,$X$16=$X$17,RIGHT($X21,3)="2SP"),VLOOKUP(CONCATENATE(LEFT($X21,2),"L"),$R$63:$T$90,3,FALSE),0)-IF(AND($Y$16=H$18,$Y$14&lt;&gt;$Y$15,$Y$16=$Y$17,RIGHT($Y21,3)="2SP"),VLOOKUP(CONCATENATE(LEFT($Y21,2),"L"),$R$63:$T$90,3,FALSE),0)+IF(AND($K$6="CE",$T$59="2 Phases",H$18&lt;&gt;""),IF(VLOOKUP(CONCATENATE($A$18,"Line"),'Supply Attribution'!$F$31:$G$37,2,FALSE)="Line3",$A21,0)+IF(VLOOKUP(CONCATENATE($B$18,"Line"),'Supply Attribution'!$F$31:$G$37,2,FALSE)="Line3",$B21,0)+IF(VLOOKUP(CONCATENATE($C$18,"Line"),'Supply Attribution'!$F$31:$G$37,2,FALSE)="Line3",$C21,0)+IF(VLOOKUP(CONCATENATE($D$18,"Line"),'Supply Attribution'!$F$31:$G$37,2,FALSE)="Line3",$D21,0)+IF(VLOOKUP(CONCATENATE($E$18,"Line"),'Supply Attribution'!$F$31:$G$37,2,FALSE)="Line3",$E21,0)+IF(VLOOKUP(CONCATENATE($F$18,"Line"),'Supply Attribution'!$F$31:$G$37,2,FALSE)="Line3",$F21,0)-IF(AND($K$16=I$18,$K$14&lt;&gt;$K$15,$K$16=$K$17,RIGHT($K21,3)="2SP"),VLOOKUP(CONCATENATE(LEFT($K21,2),"L"),$R$63:$T$90,3,FALSE),0)-IF(AND($L$16=I$18,$L$14&lt;&gt;$L$15,$L$16=$L$17,RIGHT($L21,3)="2SP"),VLOOKUP(CONCATENATE(LEFT($L21,2),"L"),$R$63:$T$90,3,FALSE),0)-IF(AND($M$16=I$18,$M$14&lt;&gt;$M$15,$M$16=$M$17,RIGHT($M21,3)="2SP"),VLOOKUP(CONCATENATE(LEFT($M21,2),"L"),$R$63:$T$90,3,FALSE),0)-IF(AND($N$16=I$18,$N$14&lt;&gt;$N$15,$N$16=$N$17,RIGHT($N21,3)="2SP"),VLOOKUP(CONCATENATE(LEFT($N21,2),"L"),$R$63:$T$90,3,FALSE),0)-IF(AND($O$16=I$18,$O$14&lt;&gt;$O$15,$O$16=$O$17,RIGHT($O21,3)="2SP"),VLOOKUP(CONCATENATE(LEFT($O21,2),"L"),$R$63:$T$90,3,FALSE),0)-IF(AND($P$16=I$18,$P$14&lt;&gt;$P$15,$P$16=$P$17,RIGHT($P21,3)="2SP"),VLOOKUP(CONCATENATE(LEFT($P21,2),"L"),$R$63:$T$90,3,FALSE),0)-IF(AND($Q$16=I$18,$Q$14&lt;&gt;$Q$15,$Q$16=$Q$17,RIGHT($Q21,3)="2SP"),VLOOKUP(CONCATENATE(LEFT($Q21,2),"L"),$R$63:$T$90,3,FALSE),0)-IF(AND($T$16=I$18,$T$14&lt;&gt;$T$15,$T$16=$T$17,RIGHT($T21,3)="2SP"),VLOOKUP(CONCATENATE(LEFT($T21,2),"L"),$R$63:$T$90,3,FALSE),0)-IF(AND($U$16=I$18,$U$14&lt;&gt;$U$15,$U$16=$U$17,RIGHT($U21,3)="2SP"),VLOOKUP(CONCATENATE(LEFT($U21,2),"L"),$R$63:$T$90,3,FALSE),0)-IF(AND($V$16=I$18,$V$14&lt;&gt;$V$15,$V$16=$V$17,RIGHT($V21,3)="2SP"),VLOOKUP(CONCATENATE(LEFT($V21,2),"L"),$R$63:$T$90,3,FALSE),0)-IF(AND($W$16=I$18,$W$14&lt;&gt;$W$15,$W$16=$W$17,RIGHT($W21,3)="2SP"),VLOOKUP(CONCATENATE(LEFT($W21,2),"L"),$R$63:$T$90,3,FALSE),0)-IF(AND($X$16=I$18,$X$14&lt;&gt;$X$15,$X$16=$X$17,RIGHT($X21,3)="2SP"),VLOOKUP(CONCATENATE(LEFT($X21,2),"L"),$R$63:$T$90,3,FALSE),0)-IF(AND($Y$16=I$18,$Y$14&lt;&gt;$Y$15,$Y$16=$Y$17,RIGHT($Y21,3)="2SP"),VLOOKUP(CONCATENATE(LEFT($Y21,2),"L"),$R$63:$T$90,3,FALSE),0),0),"")</f>
        <v/>
      </c>
      <c r="I21" s="271" t="str">
        <f>IF(I$18&lt;&gt;"",IF(VLOOKUP(CONCATENATE($A$18,"Line"),'Supply Attribution'!$F$31:$G$37,2,FALSE)=I$18,$A21,0)+IF(VLOOKUP(CONCATENATE($B$18,"Line"),'Supply Attribution'!$F$31:$G$37,2,FALSE)=I$18,$B21,0)+IF(VLOOKUP(CONCATENATE($C$18,"Line"),'Supply Attribution'!$F$31:$G$37,2,FALSE)=I$18,$C21,0)+IF(VLOOKUP(CONCATENATE($D$18,"Line"),'Supply Attribution'!$F$31:$G$37,2,FALSE)=I$18,$D21,0)+IF(VLOOKUP(CONCATENATE($E$18,"Line"),'Supply Attribution'!$F$31:$G$37,2,FALSE)=I$18,$E21,0)+IF(VLOOKUP(CONCATENATE($F$18,"Line"),'Supply Attribution'!$F$31:$G$37,2,FALSE)=I$18,$F21,0)+IF($K$6="UL",LEFT($S$90,2),0)-IF(AND($K$16=I$18,$K$14&lt;&gt;$K$15,$K$16=$K$17,RIGHT($K21,3)="2SP"),VLOOKUP(CONCATENATE(LEFT($K21,2),"L"),$R$63:$T$90,3,FALSE),0)-IF(AND($L$16=I$18,$L$14&lt;&gt;$L$15,$L$16=$L$17,RIGHT($L21,3)="2SP"),VLOOKUP(CONCATENATE(LEFT($L21,2),"L"),$R$63:$T$90,3,FALSE),0)-IF(AND($M$16=I$18,$M$14&lt;&gt;$M$15,$M$16=$M$17,RIGHT($M21,3)="2SP"),VLOOKUP(CONCATENATE(LEFT($M21,2),"L"),$R$63:$T$90,3,FALSE),0)-IF(AND($N$16=I$18,$N$14&lt;&gt;$N$15,$N$16=$N$17,RIGHT($N21,3)="2SP"),VLOOKUP(CONCATENATE(LEFT($N21,2),"L"),$R$63:$T$90,3,FALSE),0)-IF(AND($O$16=I$18,$O$14&lt;&gt;$O$15,$O$16=$O$17,RIGHT($O21,3)="2SP"),VLOOKUP(CONCATENATE(LEFT($O21,2),"L"),$R$63:$T$90,3,FALSE),0)-IF(AND($P$16=I$18,$P$14&lt;&gt;$P$15,$P$16=$P$17,RIGHT($P21,3)="2SP"),VLOOKUP(CONCATENATE(LEFT($P21,2),"L"),$R$63:$T$90,3,FALSE),0)-IF(AND($Q$16=I$18,$Q$14&lt;&gt;$Q$15,$Q$16=$Q$17,RIGHT($Q21,3)="2SP"),VLOOKUP(CONCATENATE(LEFT($Q21,2),"L"),$R$63:$T$90,3,FALSE),0)-IF(AND($T$16=I$18,$T$14&lt;&gt;$T$15,$T$16=$T$17,RIGHT($T21,3)="2SP"),VLOOKUP(CONCATENATE(LEFT($T21,2),"L"),$R$63:$T$90,3,FALSE),0)-IF(AND($U$16=I$18,$U$14&lt;&gt;$U$15,$U$16=$U$17,RIGHT($U21,3)="2SP"),VLOOKUP(CONCATENATE(LEFT($U21,2),"L"),$R$63:$T$90,3,FALSE),0)-IF(AND($V$16=I$18,$V$14&lt;&gt;$V$15,$V$16=$V$17,RIGHT($V21,3)="2SP"),VLOOKUP(CONCATENATE(LEFT($V21,2),"L"),$R$63:$T$90,3,FALSE),0)-IF(AND($W$16=I$18,$W$14&lt;&gt;$W$15,$W$16=$W$17,RIGHT($W21,3)="2SP"),VLOOKUP(CONCATENATE(LEFT($W21,2),"L"),$R$63:$T$90,3,FALSE),0)-IF(AND($X$16=I$18,$X$14&lt;&gt;$X$15,$X$16=$X$17,RIGHT($X21,3)="2SP"),VLOOKUP(CONCATENATE(LEFT($X21,2),"L"),$R$63:$T$90,3,FALSE),0)-IF(AND($Y$16=I$18,$Y$14&lt;&gt;$Y$15,$Y$16=$Y$17,RIGHT($Y21,3)="2SP"),VLOOKUP(CONCATENATE(LEFT($Y21,2),"L"),$R$63:$T$90,3,FALSE),0),"")</f>
        <v/>
      </c>
      <c r="J21" s="129">
        <v>1</v>
      </c>
      <c r="K21" s="130" t="s">
        <v>22</v>
      </c>
      <c r="L21" s="130" t="s">
        <v>24</v>
      </c>
      <c r="M21" s="130" t="s">
        <v>391</v>
      </c>
      <c r="N21" s="130" t="s">
        <v>24</v>
      </c>
      <c r="O21" s="130" t="s">
        <v>286</v>
      </c>
      <c r="P21" s="130"/>
      <c r="Q21" s="130"/>
      <c r="R21" s="130"/>
      <c r="S21" s="130"/>
      <c r="T21" s="130"/>
      <c r="U21" s="130"/>
      <c r="V21" s="130"/>
      <c r="W21" s="130"/>
      <c r="X21" s="130"/>
      <c r="Y21" s="130"/>
      <c r="Z21" s="131" t="s">
        <v>24</v>
      </c>
      <c r="AA21" s="131" t="s">
        <v>357</v>
      </c>
      <c r="AB21" s="132" t="s">
        <v>164</v>
      </c>
      <c r="AC21" s="132" t="s">
        <v>568</v>
      </c>
      <c r="AD21" s="132" t="s">
        <v>164</v>
      </c>
      <c r="AE21" s="133">
        <f t="shared" ref="AE21:AE52" si="0">J21</f>
        <v>1</v>
      </c>
      <c r="AF21" s="78"/>
    </row>
    <row r="22" spans="1:32" ht="13.15" customHeight="1">
      <c r="A22" s="270">
        <f>IF(AND($K22&lt;&gt;"",$K22&lt;&gt;"--",$K22&lt;&gt;"O3/CP",$K$14=A$18),IF(LEFT($K22,1)="P",VLOOKUP(CONCATENATE(LEFT($K22,2),"H"),$R$63:$T$91,3,FALSE),VLOOKUP($K22,$R$63:$T$91,3,FALSE)))+IF(AND($K22&lt;&gt;"",$K22&lt;&gt;"O3/CP",$K$15=A$18,MID($K22,4,1)="2",$K$15&lt;&gt;$K$14),VLOOKUP(CONCATENATE(LEFT($K22,2),"L"),$R$63:$T$91,3,FALSE),0)+IF(AND($K22="O3/CP",$K$14=A$18),VLOOKUP("O3",$R$63:$T$91,3,FALSE)+VLOOKUP("CP",$R$63:$T$91,3,FALSE),0)+IF(AND($L22&lt;&gt;"",$L22&lt;&gt;"--",$L22&lt;&gt;"O3/CP",$L$14=A$18),IF(LEFT($L22,1)="P",VLOOKUP(CONCATENATE(LEFT($L22,2),"H"),$R$63:$T$91,3,FALSE),VLOOKUP($L22,$R$63:$T$91,3,FALSE)))+IF(AND($L22&lt;&gt;"",$L22&lt;&gt;"O3/CP",$L$15=A$18,MID($L22,4,1)="2",$L$15&lt;&gt;$L$14),VLOOKUP(CONCATENATE(LEFT($L22,2),"L"),$R$63:$T$91,3,FALSE),0)+IF(AND($L22="O3/CP",$L$14=A$18),VLOOKUP("O3",$R$63:$T$91,3,FALSE)+VLOOKUP("CP",$R$63:$T$91,3,FALSE),0)+IF(AND($M22&lt;&gt;"",$M22&lt;&gt;"--",$M22&lt;&gt;"O3/CP",$M$14=A$18),IF(LEFT($M22,1)="P",VLOOKUP(CONCATENATE(LEFT($M22,2),"H"),$R$63:$T$91,3,FALSE),VLOOKUP($M22,$R$63:$T$91,3,FALSE)))+IF(AND($M22&lt;&gt;"",$M22&lt;&gt;"O3/CP",$M$15=A$18,MID($M22,4,1)="2",$M$15&lt;&gt;$M$14),VLOOKUP(CONCATENATE(LEFT($M22,2),"L"),$R$63:$T$91,3,FALSE),0)+IF(AND($M22="O3/CP",$M$14=A$18),VLOOKUP("O3",$R$63:$T$91,3,FALSE)+VLOOKUP("CP",$R$63:$T$91,3,FALSE),0)+IF(AND($N22&lt;&gt;"",$N22&lt;&gt;"--",$N22&lt;&gt;"O3/CP",$N$14=A$18),IF(LEFT($N22,1)="P",VLOOKUP(CONCATENATE(LEFT($N22,2),"H"),$R$63:$T$91,3,FALSE),VLOOKUP($N22,$R$63:$T$91,3,FALSE)))+IF(AND($N22&lt;&gt;"",$N22&lt;&gt;"O3/CP",$N$15=A$18,MID($N22,4,1)="2",$N$15&lt;&gt;$N$14),VLOOKUP(CONCATENATE(LEFT($N22,2),"L"),$R$63:$T$91,3,FALSE),0)+IF(AND($N22="O3/CP",$N$14=A$18),VLOOKUP("O3",$R$63:$T$91,3,FALSE)+VLOOKUP("CP",$R$63:$T$91,3,FALSE),0)+IF(AND($O22&lt;&gt;"",$O22&lt;&gt;"--",$O22&lt;&gt;"O3/CP",$O$14=A$18),IF(LEFT($O22,1)="P",VLOOKUP(CONCATENATE(LEFT($O22,2),"H"),$R$63:$T$91,3,FALSE),VLOOKUP($O22,$R$63:$T$91,3,FALSE)))+IF(AND($O22&lt;&gt;"",$O22&lt;&gt;"O3/CP",$O$15=A$18,MID($O22,4,1)="2",$O$15&lt;&gt;$O$14),VLOOKUP(CONCATENATE(LEFT($O22,2),"L"),$R$63:$T$91,3,FALSE),0)+IF(AND($O22="O3/CP",$O$14=A$18),VLOOKUP("O3",$R$63:$T$91,3,FALSE)+VLOOKUP("CP",$R$63:$T$91,3,FALSE),0)+IF(AND($P22&lt;&gt;"",$P22&lt;&gt;"--",$P22&lt;&gt;"O3/CP",$P$14=A$18),IF(LEFT($P22,1)="P",VLOOKUP(CONCATENATE(LEFT($P22,2),"H"),$R$63:$T$91,3,FALSE),VLOOKUP($P22,$R$63:$T$91,3,FALSE)))+IF(AND($P22&lt;&gt;"",$P22&lt;&gt;"O3/CP",$P$15=A$18,MID($P22,4,1)="2",$P$15&lt;&gt;$P$14),VLOOKUP(CONCATENATE(LEFT($P22,2),"L"),$R$63:$T$91,3,FALSE),0)+IF(AND($P22="O3/CP",$P$14=A$18),VLOOKUP("O3",$R$63:$T$91,3,FALSE)+VLOOKUP("CP",$R$63:$T$91,3,FALSE),0)+IF(AND($Q22&lt;&gt;"",$Q22&lt;&gt;"--",$Q22&lt;&gt;"O3/CP",$Q$14=A$18),IF(LEFT($Q22,1)="P",VLOOKUP(CONCATENATE(LEFT($Q22,2),"H"),$R$63:$T$91,3,FALSE),VLOOKUP($Q22,$R$63:$T$91,3,FALSE)))+IF(AND($Q22&lt;&gt;"",$Q22&lt;&gt;"O3/CP",$Q$15=A$18,MID($Q22,4,1)="2",$Q$15&lt;&gt;$Q$14),VLOOKUP(CONCATENATE(LEFT($Q22,2),"L"),$R$63:$T$91,3,FALSE),0)+IF(AND($Q22="O3/CP",$Q$14=A$18),VLOOKUP("O3",$R$63:$T$91,3,FALSE)+VLOOKUP("CP",$R$63:$T$91,3,FALSE),0)+IF(AND($R22&lt;&gt;"",$R22&lt;&gt;"--",$R22&lt;&gt;"O3/CP",$R$14=A$18),IF(LEFT($R22,1)="P",VLOOKUP(CONCATENATE(LEFT($R22,2),"H"),$R$63:$T$91,3,FALSE),VLOOKUP($R22,$R$63:$T$91,3,FALSE)))+IF(AND($R22&lt;&gt;"",$R22&lt;&gt;"O3/CP",$R$15=A$18,MID($R22,4,1)="2",$R$15&lt;&gt;$R$14),VLOOKUP(CONCATENATE(LEFT($R22,2),"L"),$R$63:$T$91,3,FALSE),0)+IF(AND($R22="O3/CP",$R$14=A$18),VLOOKUP("O3",$R$63:$T$91,3,FALSE)+VLOOKUP("CP",$R$63:$T$91,3,FALSE),0)+IF(AND($S22&lt;&gt;"",$S22&lt;&gt;"--",$S22&lt;&gt;"O3/CP",$S$14=A$18),IF(LEFT($S22,1)="P",VLOOKUP(CONCATENATE(LEFT($S22,2),"H"),$R$63:$T$91,3,FALSE),VLOOKUP($S22,$R$63:$T$91,3,FALSE)))+IF(AND($S22&lt;&gt;"",$S22&lt;&gt;"O3/CP",$S$15=A$18,MID($S22,4,1)="2",$S$15&lt;&gt;$S$14),VLOOKUP(CONCATENATE(LEFT($S22,2),"L"),$R$63:$T$91,3,FALSE),0)+IF(AND($S22="O3/CP",$S$14=A$18),VLOOKUP("O3",$R$63:$T$91,3,FALSE)+VLOOKUP("CP",$R$63:$T$91,3,FALSE),0)+IF(AND($T22&lt;&gt;"",$T22&lt;&gt;"--",$T22&lt;&gt;"O3/CP",$T$14=A$18),IF(LEFT($T22,1)="P",VLOOKUP(CONCATENATE(LEFT($T22,2),"H"),$R$63:$T$91,3,FALSE),VLOOKUP($T22,$R$63:$T$91,3,FALSE)))+IF(AND($T22&lt;&gt;"",$T22&lt;&gt;"O3/CP",$T$15=A$18,MID($T22,4,1)="2",$T$15&lt;&gt;$T$14),VLOOKUP(CONCATENATE(LEFT($T22,2),"L"),$R$63:$T$91,3,FALSE),0)+IF(AND($T22="O3/CP",$T$14=A$18),VLOOKUP("O3",$R$63:$T$91,3,FALSE)+VLOOKUP("CP",$R$63:$T$91,3,FALSE),0)+IF(AND($U22&lt;&gt;"",$U22&lt;&gt;"--",$U22&lt;&gt;"O3/CP",$U$14=A$18),IF(LEFT($U22,1)="P",VLOOKUP(CONCATENATE(LEFT($U22,2),"H"),$R$63:$T$91,3,FALSE),VLOOKUP($U22,$R$63:$T$91,3,FALSE)))+IF(AND($U22&lt;&gt;"",$U22&lt;&gt;"O3/CP",$U$15=A$18,MID($U22,4,1)="2",$U$15&lt;&gt;$U$14),VLOOKUP(CONCATENATE(LEFT($U22,2),"L"),$R$63:$T$91,3,FALSE),0)+IF(AND($U22="O3/CP",$T$14=A$18),VLOOKUP("O3",$R$63:$T$91,3,FALSE)+VLOOKUP("CP",$R$63:$T$91,3,FALSE),0)+IF(AND($V22&lt;&gt;"",$V22&lt;&gt;"--",$V22&lt;&gt;"O3/CP",$V$14=A$18),IF(LEFT($V22,1)="P",VLOOKUP(CONCATENATE(LEFT($V22,2),"H"),$R$63:$T$91,3,FALSE),VLOOKUP($V22,$R$63:$T$91,3,FALSE)))+IF(AND($V22&lt;&gt;"",$V22&lt;&gt;"O3/CP",$V$15=A$18,MID($V22,4,1)="2",$V$15&lt;&gt;$V$14),VLOOKUP(CONCATENATE(LEFT($V22,2),"L"),$R$63:$T$91,3,FALSE),0)+IF(AND($V22="O3/CP",$V$14=A$18),VLOOKUP("O3",$R$63:$T$91,3,FALSE)+VLOOKUP("CP",$R$63:$T$91,3,FALSE),0)+IF(AND($W22&lt;&gt;"",$W22&lt;&gt;"--",$W22&lt;&gt;"O3/CP",$W$14=A$18),IF(LEFT($W22,1)="P",VLOOKUP(CONCATENATE(LEFT($W22,2),"H"),$R$63:$T$91,3,FALSE),VLOOKUP($W22,$R$63:$T$91,3,FALSE)))+IF(AND($W22&lt;&gt;"",$W22&lt;&gt;"O3/CP",$W$15=A$18,MID($W22,4,1)="2",$W$15&lt;&gt;$W$14),VLOOKUP(CONCATENATE(LEFT($W22,2),"L"),$R$63:$T$91,3,FALSE),0)+IF(AND($W22="O3/CP",$W$14=A$18),VLOOKUP("O3",$R$63:$T$91,3,FALSE)+VLOOKUP("CP",$R$63:$T$91,3,FALSE),0)+IF(AND($X22&lt;&gt;"",$X22&lt;&gt;"--",$X22&lt;&gt;"O3/CP",$X$14=A$18),IF(LEFT($X22,1)="P",VLOOKUP(CONCATENATE(LEFT($X22,2),"H"),$R$63:$T$91,3,FALSE),VLOOKUP($X22,$R$63:$T$91,3,FALSE)))+IF(AND($X22&lt;&gt;"",$X22&lt;&gt;"O3/CP",$X$15=A$18,MID($X22,4,1)="2",$X$15&lt;&gt;$X$14),VLOOKUP(CONCATENATE(LEFT($X22,2),"L"),$R$63:$T$91,3,FALSE),0)+IF(AND($X22="O3/CP",$X$14=A$18),VLOOKUP("O3",$R$63:$T$91,3,FALSE)+VLOOKUP("CP",$R$63:$T$91,3,FALSE),0)+IF(AND($Y22&lt;&gt;"",$Y22&lt;&gt;"--",$Y22&lt;&gt;"O3/CP",$Y$14=A$18),IF(LEFT($Y22,1)="P",VLOOKUP(CONCATENATE(LEFT($Y22,2),"H"),$R$63:$T$91,3,FALSE),VLOOKUP($Y22,$R$63:$T$91,3,FALSE)))+IF(AND($Y22&lt;&gt;"",$Y22&lt;&gt;"O3/CP",$Y$15=A$18,MID($Y22,4,1)="2",$Y$15&lt;&gt;$Y$14),VLOOKUP(CONCATENATE(LEFT($Y22,2),"L"),$R$63:$T$91,3,FALSE),0)+IF(AND($Y22="O3/CP",$Y$14=A$18),VLOOKUP("O3",$R$63:$T$91,3,FALSE)+VLOOKUP("CP",$R$63:$T$91,3,FALSE),0)+IF(AND($K$6="CE",'[3]Supply Attribution'!$G$20=A$18),LEFT($S$90,2),0)+IF(AND($X$86&lt;&gt;"Not Set",$X$87=A$18),$X$86,0)</f>
        <v>13</v>
      </c>
      <c r="B22" s="269">
        <f>IF(AND($K22&lt;&gt;"",$K22&lt;&gt;"--",$K22&lt;&gt;"O3/CP",$K$14=B$18),IF(LEFT($K22,1)="P",VLOOKUP(CONCATENATE(LEFT($K22,2),"H"),$R$63:$T$91,3,FALSE),VLOOKUP($K22,$R$63:$T$91,3,FALSE)))+IF(AND($K22&lt;&gt;"",$K22&lt;&gt;"O3/CP",$K$15=B$18,MID($K22,4,1)="2",$K$15&lt;&gt;$K$14),VLOOKUP(CONCATENATE(LEFT($K22,2),"L"),$R$63:$T$91,3,FALSE),0)+IF(AND($K22="O3/CP",$K$14=B$18),VLOOKUP("O3",$R$63:$T$91,3,FALSE)+VLOOKUP("CP",$R$63:$T$91,3,FALSE),0)+IF(AND($L22&lt;&gt;"",$L22&lt;&gt;"--",$L22&lt;&gt;"O3/CP",$L$14=B$18),IF(LEFT($L22,1)="P",VLOOKUP(CONCATENATE(LEFT($L22,2),"H"),$R$63:$T$91,3,FALSE),VLOOKUP($L22,$R$63:$T$91,3,FALSE)))+IF(AND($L22&lt;&gt;"",$L22&lt;&gt;"O3/CP",$L$15=B$18,MID($L22,4,1)="2",$L$15&lt;&gt;$L$14),VLOOKUP(CONCATENATE(LEFT($L22,2),"L"),$R$63:$T$91,3,FALSE),0)+IF(AND($L22="O3/CP",$L$14=B$18),VLOOKUP("O3",$R$63:$T$91,3,FALSE)+VLOOKUP("CP",$R$63:$T$91,3,FALSE),0)+IF(AND($M22&lt;&gt;"",$M22&lt;&gt;"--",$M22&lt;&gt;"O3/CP",$M$14=B$18),IF(LEFT($M22,1)="P",VLOOKUP(CONCATENATE(LEFT($M22,2),"H"),$R$63:$T$91,3,FALSE),VLOOKUP($M22,$R$63:$T$91,3,FALSE)))+IF(AND($M22&lt;&gt;"",$M22&lt;&gt;"O3/CP",$M$15=B$18,MID($M22,4,1)="2",$M$15&lt;&gt;$M$14),VLOOKUP(CONCATENATE(LEFT($M22,2),"L"),$R$63:$T$91,3,FALSE),0)+IF(AND($M22="O3/CP",$M$14=B$18),VLOOKUP("O3",$R$63:$T$91,3,FALSE)+VLOOKUP("CP",$R$63:$T$91,3,FALSE),0)+IF(AND($N22&lt;&gt;"",$N22&lt;&gt;"--",$N22&lt;&gt;"O3/CP",$N$14=B$18),IF(LEFT($N22,1)="P",VLOOKUP(CONCATENATE(LEFT($N22,2),"H"),$R$63:$T$91,3,FALSE),VLOOKUP($N22,$R$63:$T$91,3,FALSE)))+IF(AND($N22&lt;&gt;"",$N22&lt;&gt;"O3/CP",$N$15=B$18,MID($N22,4,1)="2",$N$15&lt;&gt;$N$14),VLOOKUP(CONCATENATE(LEFT($N22,2),"L"),$R$63:$T$91,3,FALSE),0)+IF(AND($N22="O3/CP",$N$14=B$18),VLOOKUP("O3",$R$63:$T$91,3,FALSE)+VLOOKUP("CP",$R$63:$T$91,3,FALSE),0)+IF(AND($O22&lt;&gt;"",$O22&lt;&gt;"--",$O22&lt;&gt;"O3/CP",$O$14=B$18),IF(LEFT($O22,1)="P",VLOOKUP(CONCATENATE(LEFT($O22,2),"H"),$R$63:$T$91,3,FALSE),VLOOKUP($O22,$R$63:$T$91,3,FALSE)))+IF(AND($O22&lt;&gt;"",$O22&lt;&gt;"O3/CP",$O$15=B$18,MID($O22,4,1)="2",$O$15&lt;&gt;$O$14),VLOOKUP(CONCATENATE(LEFT($O22,2),"L"),$R$63:$T$91,3,FALSE),0)+IF(AND($O22="O3/CP",$O$14=B$18),VLOOKUP("O3",$R$63:$T$91,3,FALSE)+VLOOKUP("CP",$R$63:$T$91,3,FALSE),0)+IF(AND($P22&lt;&gt;"",$P22&lt;&gt;"--",$P22&lt;&gt;"O3/CP",$P$14=B$18),IF(LEFT($P22,1)="P",VLOOKUP(CONCATENATE(LEFT($P22,2),"H"),$R$63:$T$91,3,FALSE),VLOOKUP($P22,$R$63:$T$91,3,FALSE)))+IF(AND($P22&lt;&gt;"",$P22&lt;&gt;"O3/CP",$P$15=B$18,MID($P22,4,1)="2",$P$15&lt;&gt;$P$14),VLOOKUP(CONCATENATE(LEFT($P22,2),"L"),$R$63:$T$91,3,FALSE),0)+IF(AND($P22="O3/CP",$P$14=B$18),VLOOKUP("O3",$R$63:$T$91,3,FALSE)+VLOOKUP("CP",$R$63:$T$91,3,FALSE),0)+IF(AND($Q22&lt;&gt;"",$Q22&lt;&gt;"--",$Q22&lt;&gt;"O3/CP",$Q$14=B$18),IF(LEFT($Q22,1)="P",VLOOKUP(CONCATENATE(LEFT($Q22,2),"H"),$R$63:$T$91,3,FALSE),VLOOKUP($Q22,$R$63:$T$91,3,FALSE)))+IF(AND($Q22&lt;&gt;"",$Q22&lt;&gt;"O3/CP",$Q$15=B$18,MID($Q22,4,1)="2",$Q$15&lt;&gt;$Q$14),VLOOKUP(CONCATENATE(LEFT($Q22,2),"L"),$R$63:$T$91,3,FALSE),0)+IF(AND($Q22="O3/CP",$Q$14=B$18),VLOOKUP("O3",$R$63:$T$91,3,FALSE)+VLOOKUP("CP",$R$63:$T$91,3,FALSE),0)+IF(AND($R22&lt;&gt;"",$R22&lt;&gt;"--",$R22&lt;&gt;"O3/CP",$R$14=B$18),IF(LEFT($R22,1)="P",VLOOKUP(CONCATENATE(LEFT($R22,2),"H"),$R$63:$T$91,3,FALSE),VLOOKUP($R22,$R$63:$T$91,3,FALSE)))+IF(AND($R22&lt;&gt;"",$R22&lt;&gt;"O3/CP",$R$15=B$18,MID($R22,4,1)="2",$R$15&lt;&gt;$R$14),VLOOKUP(CONCATENATE(LEFT($R22,2),"L"),$R$63:$T$91,3,FALSE),0)+IF(AND($R22="O3/CP",$R$14=B$18),VLOOKUP("O3",$R$63:$T$91,3,FALSE)+VLOOKUP("CP",$R$63:$T$91,3,FALSE),0)+IF(AND($S22&lt;&gt;"",$S22&lt;&gt;"--",$S22&lt;&gt;"O3/CP",$S$14=B$18),IF(LEFT($S22,1)="P",VLOOKUP(CONCATENATE(LEFT($S22,2),"H"),$R$63:$T$91,3,FALSE),VLOOKUP($S22,$R$63:$T$91,3,FALSE)))+IF(AND($S22&lt;&gt;"",$S22&lt;&gt;"O3/CP",$S$15=B$18,MID($S22,4,1)="2",$S$15&lt;&gt;$S$14),VLOOKUP(CONCATENATE(LEFT($S22,2),"L"),$R$63:$T$91,3,FALSE),0)+IF(AND($S22="O3/CP",$S$14=B$18),VLOOKUP("O3",$R$63:$T$91,3,FALSE)+VLOOKUP("CP",$R$63:$T$91,3,FALSE),0)+IF(AND($T22&lt;&gt;"",$T22&lt;&gt;"--",$T22&lt;&gt;"O3/CP",$T$14=B$18),IF(LEFT($T22,1)="P",VLOOKUP(CONCATENATE(LEFT($T22,2),"H"),$R$63:$T$91,3,FALSE),VLOOKUP($T22,$R$63:$T$91,3,FALSE)))+IF(AND($T22&lt;&gt;"",$T22&lt;&gt;"O3/CP",$T$15=B$18,MID($T22,4,1)="2",$T$15&lt;&gt;$T$14),VLOOKUP(CONCATENATE(LEFT($T22,2),"L"),$R$63:$T$91,3,FALSE),0)+IF(AND($T22="O3/CP",$T$14=B$18),VLOOKUP("O3",$R$63:$T$91,3,FALSE)+VLOOKUP("CP",$R$63:$T$91,3,FALSE),0)+IF(AND($U22&lt;&gt;"",$U22&lt;&gt;"--",$U22&lt;&gt;"O3/CP",$U$14=B$18),IF(LEFT($U22,1)="P",VLOOKUP(CONCATENATE(LEFT($U22,2),"H"),$R$63:$T$91,3,FALSE),VLOOKUP($U22,$R$63:$T$91,3,FALSE)))+IF(AND($U22&lt;&gt;"",$U22&lt;&gt;"O3/CP",$U$15=B$18,MID($U22,4,1)="2",$U$15&lt;&gt;$U$14),VLOOKUP(CONCATENATE(LEFT($U22,2),"L"),$R$63:$T$91,3,FALSE),0)+IF(AND($U22="O3/CP",$T$14=B$18),VLOOKUP("O3",$R$63:$T$91,3,FALSE)+VLOOKUP("CP",$R$63:$T$91,3,FALSE),0)+IF(AND($V22&lt;&gt;"",$V22&lt;&gt;"--",$V22&lt;&gt;"O3/CP",$V$14=B$18),IF(LEFT($V22,1)="P",VLOOKUP(CONCATENATE(LEFT($V22,2),"H"),$R$63:$T$91,3,FALSE),VLOOKUP($V22,$R$63:$T$91,3,FALSE)))+IF(AND($V22&lt;&gt;"",$V22&lt;&gt;"O3/CP",$V$15=B$18,MID($V22,4,1)="2",$V$15&lt;&gt;$V$14),VLOOKUP(CONCATENATE(LEFT($V22,2),"L"),$R$63:$T$91,3,FALSE),0)+IF(AND($V22="O3/CP",$V$14=B$18),VLOOKUP("O3",$R$63:$T$91,3,FALSE)+VLOOKUP("CP",$R$63:$T$91,3,FALSE),0)+IF(AND($W22&lt;&gt;"",$W22&lt;&gt;"--",$W22&lt;&gt;"O3/CP",$W$14=B$18),IF(LEFT($W22,1)="P",VLOOKUP(CONCATENATE(LEFT($W22,2),"H"),$R$63:$T$91,3,FALSE),VLOOKUP($W22,$R$63:$T$91,3,FALSE)))+IF(AND($W22&lt;&gt;"",$W22&lt;&gt;"O3/CP",$W$15=B$18,MID($W22,4,1)="2",$W$15&lt;&gt;$W$14),VLOOKUP(CONCATENATE(LEFT($W22,2),"L"),$R$63:$T$91,3,FALSE),0)+IF(AND($W22="O3/CP",$W$14=B$18),VLOOKUP("O3",$R$63:$T$91,3,FALSE)+VLOOKUP("CP",$R$63:$T$91,3,FALSE),0)+IF(AND($X22&lt;&gt;"",$X22&lt;&gt;"--",$X22&lt;&gt;"O3/CP",$X$14=B$18),IF(LEFT($X22,1)="P",VLOOKUP(CONCATENATE(LEFT($X22,2),"H"),$R$63:$T$91,3,FALSE),VLOOKUP($X22,$R$63:$T$91,3,FALSE)))+IF(AND($X22&lt;&gt;"",$X22&lt;&gt;"O3/CP",$X$15=B$18,MID($X22,4,1)="2",$X$15&lt;&gt;$X$14),VLOOKUP(CONCATENATE(LEFT($X22,2),"L"),$R$63:$T$91,3,FALSE),0)+IF(AND($X22="O3/CP",$X$14=B$18),VLOOKUP("O3",$R$63:$T$91,3,FALSE)+VLOOKUP("CP",$R$63:$T$91,3,FALSE),0)+IF(AND($Y22&lt;&gt;"",$Y22&lt;&gt;"--",$Y22&lt;&gt;"O3/CP",$Y$14=B$18),IF(LEFT($Y22,1)="P",VLOOKUP(CONCATENATE(LEFT($Y22,2),"H"),$R$63:$T$91,3,FALSE),VLOOKUP($Y22,$R$63:$T$91,3,FALSE)))+IF(AND($Y22&lt;&gt;"",$Y22&lt;&gt;"O3/CP",$Y$15=B$18,MID($Y22,4,1)="2",$Y$15&lt;&gt;$Y$14),VLOOKUP(CONCATENATE(LEFT($Y22,2),"L"),$R$63:$T$91,3,FALSE),0)+IF(AND($Y22="O3/CP",$Y$14=B$18),VLOOKUP("O3",$R$63:$T$91,3,FALSE)+VLOOKUP("CP",$R$63:$T$91,3,FALSE),0)+IF(AND($K$6="CE",'[3]Supply Attribution'!$G$20=B$18),LEFT($S$90,2),0)+IF(AND($X$86&lt;&gt;"Not Set",$X$87=B$18),$X$86,0)</f>
        <v>5</v>
      </c>
      <c r="C22" s="269">
        <f>IF(AND($K22&lt;&gt;"",$K22&lt;&gt;"--",$K22&lt;&gt;"O3/CP",$K$14=C$18),IF(LEFT($K22,1)="P",VLOOKUP(CONCATENATE(LEFT($K22,2),"H"),$R$63:$T$91,3,FALSE),VLOOKUP($K22,$R$63:$T$91,3,FALSE)))+IF(AND($K22&lt;&gt;"",$K22&lt;&gt;"O3/CP",$K$15=C$18,MID($K22,4,1)="2",$K$15&lt;&gt;$K$14),VLOOKUP(CONCATENATE(LEFT($K22,2),"L"),$R$63:$T$91,3,FALSE),0)+IF(AND($K22="O3/CP",$K$14=C$18),VLOOKUP("O3",$R$63:$T$91,3,FALSE)+VLOOKUP("CP",$R$63:$T$91,3,FALSE),0)+IF(AND($L22&lt;&gt;"",$L22&lt;&gt;"--",$L22&lt;&gt;"O3/CP",$L$14=C$18),IF(LEFT($L22,1)="P",VLOOKUP(CONCATENATE(LEFT($L22,2),"H"),$R$63:$T$91,3,FALSE),VLOOKUP($L22,$R$63:$T$91,3,FALSE)))+IF(AND($L22&lt;&gt;"",$L22&lt;&gt;"O3/CP",$L$15=C$18,MID($L22,4,1)="2",$L$15&lt;&gt;$L$14),VLOOKUP(CONCATENATE(LEFT($L22,2),"L"),$R$63:$T$91,3,FALSE),0)+IF(AND($L22="O3/CP",$L$14=C$18),VLOOKUP("O3",$R$63:$T$91,3,FALSE)+VLOOKUP("CP",$R$63:$T$91,3,FALSE),0)+IF(AND($M22&lt;&gt;"",$M22&lt;&gt;"--",$M22&lt;&gt;"O3/CP",$M$14=C$18),IF(LEFT($M22,1)="P",VLOOKUP(CONCATENATE(LEFT($M22,2),"H"),$R$63:$T$91,3,FALSE),VLOOKUP($M22,$R$63:$T$91,3,FALSE)))+IF(AND($M22&lt;&gt;"",$M22&lt;&gt;"O3/CP",$M$15=C$18,MID($M22,4,1)="2",$M$15&lt;&gt;$M$14),VLOOKUP(CONCATENATE(LEFT($M22,2),"L"),$R$63:$T$91,3,FALSE),0)+IF(AND($M22="O3/CP",$M$14=C$18),VLOOKUP("O3",$R$63:$T$91,3,FALSE)+VLOOKUP("CP",$R$63:$T$91,3,FALSE),0)+IF(AND($N22&lt;&gt;"",$N22&lt;&gt;"--",$N22&lt;&gt;"O3/CP",$N$14=C$18),IF(LEFT($N22,1)="P",VLOOKUP(CONCATENATE(LEFT($N22,2),"H"),$R$63:$T$91,3,FALSE),VLOOKUP($N22,$R$63:$T$91,3,FALSE)))+IF(AND($N22&lt;&gt;"",$N22&lt;&gt;"O3/CP",$N$15=C$18,MID($N22,4,1)="2",$N$15&lt;&gt;$N$14),VLOOKUP(CONCATENATE(LEFT($N22,2),"L"),$R$63:$T$91,3,FALSE),0)+IF(AND($N22="O3/CP",$N$14=C$18),VLOOKUP("O3",$R$63:$T$91,3,FALSE)+VLOOKUP("CP",$R$63:$T$91,3,FALSE),0)+IF(AND($O22&lt;&gt;"",$O22&lt;&gt;"--",$O22&lt;&gt;"O3/CP",$O$14=C$18),IF(LEFT($O22,1)="P",VLOOKUP(CONCATENATE(LEFT($O22,2),"H"),$R$63:$T$91,3,FALSE),VLOOKUP($O22,$R$63:$T$91,3,FALSE)))+IF(AND($O22&lt;&gt;"",$O22&lt;&gt;"O3/CP",$O$15=C$18,MID($O22,4,1)="2",$O$15&lt;&gt;$O$14),VLOOKUP(CONCATENATE(LEFT($O22,2),"L"),$R$63:$T$91,3,FALSE),0)+IF(AND($O22="O3/CP",$O$14=C$18),VLOOKUP("O3",$R$63:$T$91,3,FALSE)+VLOOKUP("CP",$R$63:$T$91,3,FALSE),0)+IF(AND($P22&lt;&gt;"",$P22&lt;&gt;"--",$P22&lt;&gt;"O3/CP",$P$14=C$18),IF(LEFT($P22,1)="P",VLOOKUP(CONCATENATE(LEFT($P22,2),"H"),$R$63:$T$91,3,FALSE),VLOOKUP($P22,$R$63:$T$91,3,FALSE)))+IF(AND($P22&lt;&gt;"",$P22&lt;&gt;"O3/CP",$P$15=C$18,MID($P22,4,1)="2",$P$15&lt;&gt;$P$14),VLOOKUP(CONCATENATE(LEFT($P22,2),"L"),$R$63:$T$91,3,FALSE),0)+IF(AND($P22="O3/CP",$P$14=C$18),VLOOKUP("O3",$R$63:$T$91,3,FALSE)+VLOOKUP("CP",$R$63:$T$91,3,FALSE),0)+IF(AND($Q22&lt;&gt;"",$Q22&lt;&gt;"--",$Q22&lt;&gt;"O3/CP",$Q$14=C$18),IF(LEFT($Q22,1)="P",VLOOKUP(CONCATENATE(LEFT($Q22,2),"H"),$R$63:$T$91,3,FALSE),VLOOKUP($Q22,$R$63:$T$91,3,FALSE)))+IF(AND($Q22&lt;&gt;"",$Q22&lt;&gt;"O3/CP",$Q$15=C$18,MID($Q22,4,1)="2",$Q$15&lt;&gt;$Q$14),VLOOKUP(CONCATENATE(LEFT($Q22,2),"L"),$R$63:$T$91,3,FALSE),0)+IF(AND($Q22="O3/CP",$Q$14=C$18),VLOOKUP("O3",$R$63:$T$91,3,FALSE)+VLOOKUP("CP",$R$63:$T$91,3,FALSE),0)+IF(AND($R22&lt;&gt;"",$R22&lt;&gt;"--",$R22&lt;&gt;"O3/CP",$R$14=C$18),IF(LEFT($R22,1)="P",VLOOKUP(CONCATENATE(LEFT($R22,2),"H"),$R$63:$T$91,3,FALSE),VLOOKUP($R22,$R$63:$T$91,3,FALSE)))+IF(AND($R22&lt;&gt;"",$R22&lt;&gt;"O3/CP",$R$15=C$18,MID($R22,4,1)="2",$R$15&lt;&gt;$R$14),VLOOKUP(CONCATENATE(LEFT($R22,2),"L"),$R$63:$T$91,3,FALSE),0)+IF(AND($R22="O3/CP",$R$14=C$18),VLOOKUP("O3",$R$63:$T$91,3,FALSE)+VLOOKUP("CP",$R$63:$T$91,3,FALSE),0)+IF(AND($S22&lt;&gt;"",$S22&lt;&gt;"--",$S22&lt;&gt;"O3/CP",$S$14=C$18),IF(LEFT($S22,1)="P",VLOOKUP(CONCATENATE(LEFT($S22,2),"H"),$R$63:$T$91,3,FALSE),VLOOKUP($S22,$R$63:$T$91,3,FALSE)))+IF(AND($S22&lt;&gt;"",$S22&lt;&gt;"O3/CP",$S$15=C$18,MID($S22,4,1)="2",$S$15&lt;&gt;$S$14),VLOOKUP(CONCATENATE(LEFT($S22,2),"L"),$R$63:$T$91,3,FALSE),0)+IF(AND($S22="O3/CP",$S$14=C$18),VLOOKUP("O3",$R$63:$T$91,3,FALSE)+VLOOKUP("CP",$R$63:$T$91,3,FALSE),0)+IF(AND($T22&lt;&gt;"",$T22&lt;&gt;"--",$T22&lt;&gt;"O3/CP",$T$14=C$18),IF(LEFT($T22,1)="P",VLOOKUP(CONCATENATE(LEFT($T22,2),"H"),$R$63:$T$91,3,FALSE),VLOOKUP($T22,$R$63:$T$91,3,FALSE)))+IF(AND($T22&lt;&gt;"",$T22&lt;&gt;"O3/CP",$T$15=C$18,MID($T22,4,1)="2",$T$15&lt;&gt;$T$14),VLOOKUP(CONCATENATE(LEFT($T22,2),"L"),$R$63:$T$91,3,FALSE),0)+IF(AND($T22="O3/CP",$T$14=C$18),VLOOKUP("O3",$R$63:$T$91,3,FALSE)+VLOOKUP("CP",$R$63:$T$91,3,FALSE),0)+IF(AND($U22&lt;&gt;"",$U22&lt;&gt;"--",$U22&lt;&gt;"O3/CP",$U$14=C$18),IF(LEFT($U22,1)="P",VLOOKUP(CONCATENATE(LEFT($U22,2),"H"),$R$63:$T$91,3,FALSE),VLOOKUP($U22,$R$63:$T$91,3,FALSE)))+IF(AND($U22&lt;&gt;"",$U22&lt;&gt;"O3/CP",$U$15=C$18,MID($U22,4,1)="2",$U$15&lt;&gt;$U$14),VLOOKUP(CONCATENATE(LEFT($U22,2),"L"),$R$63:$T$91,3,FALSE),0)+IF(AND($U22="O3/CP",$T$14=C$18),VLOOKUP("O3",$R$63:$T$91,3,FALSE)+VLOOKUP("CP",$R$63:$T$91,3,FALSE),0)+IF(AND($V22&lt;&gt;"",$V22&lt;&gt;"--",$V22&lt;&gt;"O3/CP",$V$14=C$18),IF(LEFT($V22,1)="P",VLOOKUP(CONCATENATE(LEFT($V22,2),"H"),$R$63:$T$91,3,FALSE),VLOOKUP($V22,$R$63:$T$91,3,FALSE)))+IF(AND($V22&lt;&gt;"",$V22&lt;&gt;"O3/CP",$V$15=C$18,MID($V22,4,1)="2",$V$15&lt;&gt;$V$14),VLOOKUP(CONCATENATE(LEFT($V22,2),"L"),$R$63:$T$91,3,FALSE),0)+IF(AND($V22="O3/CP",$V$14=C$18),VLOOKUP("O3",$R$63:$T$91,3,FALSE)+VLOOKUP("CP",$R$63:$T$91,3,FALSE),0)+IF(AND($W22&lt;&gt;"",$W22&lt;&gt;"--",$W22&lt;&gt;"O3/CP",$W$14=C$18),IF(LEFT($W22,1)="P",VLOOKUP(CONCATENATE(LEFT($W22,2),"H"),$R$63:$T$91,3,FALSE),VLOOKUP($W22,$R$63:$T$91,3,FALSE)))+IF(AND($W22&lt;&gt;"",$W22&lt;&gt;"O3/CP",$W$15=C$18,MID($W22,4,1)="2",$W$15&lt;&gt;$W$14),VLOOKUP(CONCATENATE(LEFT($W22,2),"L"),$R$63:$T$91,3,FALSE),0)+IF(AND($W22="O3/CP",$W$14=C$18),VLOOKUP("O3",$R$63:$T$91,3,FALSE)+VLOOKUP("CP",$R$63:$T$91,3,FALSE),0)+IF(AND($X22&lt;&gt;"",$X22&lt;&gt;"--",$X22&lt;&gt;"O3/CP",$X$14=C$18),IF(LEFT($X22,1)="P",VLOOKUP(CONCATENATE(LEFT($X22,2),"H"),$R$63:$T$91,3,FALSE),VLOOKUP($X22,$R$63:$T$91,3,FALSE)))+IF(AND($X22&lt;&gt;"",$X22&lt;&gt;"O3/CP",$X$15=C$18,MID($X22,4,1)="2",$X$15&lt;&gt;$X$14),VLOOKUP(CONCATENATE(LEFT($X22,2),"L"),$R$63:$T$91,3,FALSE),0)+IF(AND($X22="O3/CP",$X$14=C$18),VLOOKUP("O3",$R$63:$T$91,3,FALSE)+VLOOKUP("CP",$R$63:$T$91,3,FALSE),0)+IF(AND($Y22&lt;&gt;"",$Y22&lt;&gt;"--",$Y22&lt;&gt;"O3/CP",$Y$14=C$18),IF(LEFT($Y22,1)="P",VLOOKUP(CONCATENATE(LEFT($Y22,2),"H"),$R$63:$T$91,3,FALSE),VLOOKUP($Y22,$R$63:$T$91,3,FALSE)))+IF(AND($Y22&lt;&gt;"",$Y22&lt;&gt;"O3/CP",$Y$15=C$18,MID($Y22,4,1)="2",$Y$15&lt;&gt;$Y$14),VLOOKUP(CONCATENATE(LEFT($Y22,2),"L"),$R$63:$T$91,3,FALSE),0)+IF(AND($Y22="O3/CP",$Y$14=C$18),VLOOKUP("O3",$R$63:$T$91,3,FALSE)+VLOOKUP("CP",$R$63:$T$91,3,FALSE),0)+IF(AND($K$6="CE",'[3]Supply Attribution'!$G$20=C$18),LEFT($S$90,2),0)+IF(AND($X$86&lt;&gt;"Not Set",$X$87=C$18),$X$86,0)</f>
        <v>12</v>
      </c>
      <c r="D22" s="269">
        <f>IF(AND($K22&lt;&gt;"",$K22&lt;&gt;"--",$K22&lt;&gt;"O3/CP",$K$14=D$18),IF(LEFT($K22,1)="P",VLOOKUP(CONCATENATE(LEFT($K22,2),"H"),$R$63:$T$91,3,FALSE),VLOOKUP($K22,$R$63:$T$91,3,FALSE)))+IF(AND($K22&lt;&gt;"",$K22&lt;&gt;"O3/CP",$K$15=D$18,MID($K22,4,1)="2",$K$15&lt;&gt;$K$14),VLOOKUP(CONCATENATE(LEFT($K22,2),"L"),$R$63:$T$91,3,FALSE),0)+IF(AND($K22="O3/CP",$K$14=D$18),VLOOKUP("O3",$R$63:$T$91,3,FALSE)+VLOOKUP("CP",$R$63:$T$91,3,FALSE),0)+IF(AND($L22&lt;&gt;"",$L22&lt;&gt;"--",$L22&lt;&gt;"O3/CP",$L$14=D$18),IF(LEFT($L22,1)="P",VLOOKUP(CONCATENATE(LEFT($L22,2),"H"),$R$63:$T$91,3,FALSE),VLOOKUP($L22,$R$63:$T$91,3,FALSE)))+IF(AND($L22&lt;&gt;"",$L22&lt;&gt;"O3/CP",$L$15=D$18,MID($L22,4,1)="2",$L$15&lt;&gt;$L$14),VLOOKUP(CONCATENATE(LEFT($L22,2),"L"),$R$63:$T$91,3,FALSE),0)+IF(AND($L22="O3/CP",$L$14=D$18),VLOOKUP("O3",$R$63:$T$91,3,FALSE)+VLOOKUP("CP",$R$63:$T$91,3,FALSE),0)+IF(AND($M22&lt;&gt;"",$M22&lt;&gt;"--",$M22&lt;&gt;"O3/CP",$M$14=D$18),IF(LEFT($M22,1)="P",VLOOKUP(CONCATENATE(LEFT($M22,2),"H"),$R$63:$T$91,3,FALSE),VLOOKUP($M22,$R$63:$T$91,3,FALSE)))+IF(AND($M22&lt;&gt;"",$M22&lt;&gt;"O3/CP",$M$15=D$18,MID($M22,4,1)="2",$M$15&lt;&gt;$M$14),VLOOKUP(CONCATENATE(LEFT($M22,2),"L"),$R$63:$T$91,3,FALSE),0)+IF(AND($M22="O3/CP",$M$14=D$18),VLOOKUP("O3",$R$63:$T$91,3,FALSE)+VLOOKUP("CP",$R$63:$T$91,3,FALSE),0)+IF(AND($N22&lt;&gt;"",$N22&lt;&gt;"--",$N22&lt;&gt;"O3/CP",$N$14=D$18),IF(LEFT($N22,1)="P",VLOOKUP(CONCATENATE(LEFT($N22,2),"H"),$R$63:$T$91,3,FALSE),VLOOKUP($N22,$R$63:$T$91,3,FALSE)))+IF(AND($N22&lt;&gt;"",$N22&lt;&gt;"O3/CP",$N$15=D$18,MID($N22,4,1)="2",$N$15&lt;&gt;$N$14),VLOOKUP(CONCATENATE(LEFT($N22,2),"L"),$R$63:$T$91,3,FALSE),0)+IF(AND($N22="O3/CP",$N$14=D$18),VLOOKUP("O3",$R$63:$T$91,3,FALSE)+VLOOKUP("CP",$R$63:$T$91,3,FALSE),0)+IF(AND($O22&lt;&gt;"",$O22&lt;&gt;"--",$O22&lt;&gt;"O3/CP",$O$14=D$18),IF(LEFT($O22,1)="P",VLOOKUP(CONCATENATE(LEFT($O22,2),"H"),$R$63:$T$91,3,FALSE),VLOOKUP($O22,$R$63:$T$91,3,FALSE)))+IF(AND($O22&lt;&gt;"",$O22&lt;&gt;"O3/CP",$O$15=D$18,MID($O22,4,1)="2",$O$15&lt;&gt;$O$14),VLOOKUP(CONCATENATE(LEFT($O22,2),"L"),$R$63:$T$91,3,FALSE),0)+IF(AND($O22="O3/CP",$O$14=D$18),VLOOKUP("O3",$R$63:$T$91,3,FALSE)+VLOOKUP("CP",$R$63:$T$91,3,FALSE),0)+IF(AND($P22&lt;&gt;"",$P22&lt;&gt;"--",$P22&lt;&gt;"O3/CP",$P$14=D$18),IF(LEFT($P22,1)="P",VLOOKUP(CONCATENATE(LEFT($P22,2),"H"),$R$63:$T$91,3,FALSE),VLOOKUP($P22,$R$63:$T$91,3,FALSE)))+IF(AND($P22&lt;&gt;"",$P22&lt;&gt;"O3/CP",$P$15=D$18,MID($P22,4,1)="2",$P$15&lt;&gt;$P$14),VLOOKUP(CONCATENATE(LEFT($P22,2),"L"),$R$63:$T$91,3,FALSE),0)+IF(AND($P22="O3/CP",$P$14=D$18),VLOOKUP("O3",$R$63:$T$91,3,FALSE)+VLOOKUP("CP",$R$63:$T$91,3,FALSE),0)+IF(AND($Q22&lt;&gt;"",$Q22&lt;&gt;"--",$Q22&lt;&gt;"O3/CP",$Q$14=D$18),IF(LEFT($Q22,1)="P",VLOOKUP(CONCATENATE(LEFT($Q22,2),"H"),$R$63:$T$91,3,FALSE),VLOOKUP($Q22,$R$63:$T$91,3,FALSE)))+IF(AND($Q22&lt;&gt;"",$Q22&lt;&gt;"O3/CP",$Q$15=D$18,MID($Q22,4,1)="2",$Q$15&lt;&gt;$Q$14),VLOOKUP(CONCATENATE(LEFT($Q22,2),"L"),$R$63:$T$91,3,FALSE),0)+IF(AND($Q22="O3/CP",$Q$14=D$18),VLOOKUP("O3",$R$63:$T$91,3,FALSE)+VLOOKUP("CP",$R$63:$T$91,3,FALSE),0)+IF(AND($R22&lt;&gt;"",$R22&lt;&gt;"--",$R22&lt;&gt;"O3/CP",$R$14=D$18),IF(LEFT($R22,1)="P",VLOOKUP(CONCATENATE(LEFT($R22,2),"H"),$R$63:$T$91,3,FALSE),VLOOKUP($R22,$R$63:$T$91,3,FALSE)))+IF(AND($R22&lt;&gt;"",$R22&lt;&gt;"O3/CP",$R$15=D$18,MID($R22,4,1)="2",$R$15&lt;&gt;$R$14),VLOOKUP(CONCATENATE(LEFT($R22,2),"L"),$R$63:$T$91,3,FALSE),0)+IF(AND($R22="O3/CP",$R$14=D$18),VLOOKUP("O3",$R$63:$T$91,3,FALSE)+VLOOKUP("CP",$R$63:$T$91,3,FALSE),0)+IF(AND($S22&lt;&gt;"",$S22&lt;&gt;"--",$S22&lt;&gt;"O3/CP",$S$14=D$18),IF(LEFT($S22,1)="P",VLOOKUP(CONCATENATE(LEFT($S22,2),"H"),$R$63:$T$91,3,FALSE),VLOOKUP($S22,$R$63:$T$91,3,FALSE)))+IF(AND($S22&lt;&gt;"",$S22&lt;&gt;"O3/CP",$S$15=D$18,MID($S22,4,1)="2",$S$15&lt;&gt;$S$14),VLOOKUP(CONCATENATE(LEFT($S22,2),"L"),$R$63:$T$91,3,FALSE),0)+IF(AND($S22="O3/CP",$S$14=D$18),VLOOKUP("O3",$R$63:$T$91,3,FALSE)+VLOOKUP("CP",$R$63:$T$91,3,FALSE),0)+IF(AND($T22&lt;&gt;"",$T22&lt;&gt;"--",$T22&lt;&gt;"O3/CP",$T$14=D$18),IF(LEFT($T22,1)="P",VLOOKUP(CONCATENATE(LEFT($T22,2),"H"),$R$63:$T$91,3,FALSE),VLOOKUP($T22,$R$63:$T$91,3,FALSE)))+IF(AND($T22&lt;&gt;"",$T22&lt;&gt;"O3/CP",$T$15=D$18,MID($T22,4,1)="2",$T$15&lt;&gt;$T$14),VLOOKUP(CONCATENATE(LEFT($T22,2),"L"),$R$63:$T$91,3,FALSE),0)+IF(AND($T22="O3/CP",$T$14=D$18),VLOOKUP("O3",$R$63:$T$91,3,FALSE)+VLOOKUP("CP",$R$63:$T$91,3,FALSE),0)+IF(AND($U22&lt;&gt;"",$U22&lt;&gt;"--",$U22&lt;&gt;"O3/CP",$U$14=D$18),IF(LEFT($U22,1)="P",VLOOKUP(CONCATENATE(LEFT($U22,2),"H"),$R$63:$T$91,3,FALSE),VLOOKUP($U22,$R$63:$T$91,3,FALSE)))+IF(AND($U22&lt;&gt;"",$U22&lt;&gt;"O3/CP",$U$15=D$18,MID($U22,4,1)="2",$U$15&lt;&gt;$U$14),VLOOKUP(CONCATENATE(LEFT($U22,2),"L"),$R$63:$T$91,3,FALSE),0)+IF(AND($U22="O3/CP",$T$14=D$18),VLOOKUP("O3",$R$63:$T$91,3,FALSE)+VLOOKUP("CP",$R$63:$T$91,3,FALSE),0)+IF(AND($V22&lt;&gt;"",$V22&lt;&gt;"--",$V22&lt;&gt;"O3/CP",$V$14=D$18),IF(LEFT($V22,1)="P",VLOOKUP(CONCATENATE(LEFT($V22,2),"H"),$R$63:$T$91,3,FALSE),VLOOKUP($V22,$R$63:$T$91,3,FALSE)))+IF(AND($V22&lt;&gt;"",$V22&lt;&gt;"O3/CP",$V$15=D$18,MID($V22,4,1)="2",$V$15&lt;&gt;$V$14),VLOOKUP(CONCATENATE(LEFT($V22,2),"L"),$R$63:$T$91,3,FALSE),0)+IF(AND($V22="O3/CP",$V$14=D$18),VLOOKUP("O3",$R$63:$T$91,3,FALSE)+VLOOKUP("CP",$R$63:$T$91,3,FALSE),0)+IF(AND($W22&lt;&gt;"",$W22&lt;&gt;"--",$W22&lt;&gt;"O3/CP",$W$14=D$18),IF(LEFT($W22,1)="P",VLOOKUP(CONCATENATE(LEFT($W22,2),"H"),$R$63:$T$91,3,FALSE),VLOOKUP($W22,$R$63:$T$91,3,FALSE)))+IF(AND($W22&lt;&gt;"",$W22&lt;&gt;"O3/CP",$W$15=D$18,MID($W22,4,1)="2",$W$15&lt;&gt;$W$14),VLOOKUP(CONCATENATE(LEFT($W22,2),"L"),$R$63:$T$91,3,FALSE),0)+IF(AND($W22="O3/CP",$W$14=D$18),VLOOKUP("O3",$R$63:$T$91,3,FALSE)+VLOOKUP("CP",$R$63:$T$91,3,FALSE),0)+IF(AND($X22&lt;&gt;"",$X22&lt;&gt;"--",$X22&lt;&gt;"O3/CP",$X$14=D$18),IF(LEFT($X22,1)="P",VLOOKUP(CONCATENATE(LEFT($X22,2),"H"),$R$63:$T$91,3,FALSE),VLOOKUP($X22,$R$63:$T$91,3,FALSE)))+IF(AND($X22&lt;&gt;"",$X22&lt;&gt;"O3/CP",$X$15=D$18,MID($X22,4,1)="2",$X$15&lt;&gt;$X$14),VLOOKUP(CONCATENATE(LEFT($X22,2),"L"),$R$63:$T$91,3,FALSE),0)+IF(AND($X22="O3/CP",$X$14=D$18),VLOOKUP("O3",$R$63:$T$91,3,FALSE)+VLOOKUP("CP",$R$63:$T$91,3,FALSE),0)+IF(AND($Y22&lt;&gt;"",$Y22&lt;&gt;"--",$Y22&lt;&gt;"O3/CP",$Y$14=D$18),IF(LEFT($Y22,1)="P",VLOOKUP(CONCATENATE(LEFT($Y22,2),"H"),$R$63:$T$91,3,FALSE),VLOOKUP($Y22,$R$63:$T$91,3,FALSE)))+IF(AND($Y22&lt;&gt;"",$Y22&lt;&gt;"O3/CP",$Y$15=D$18,MID($Y22,4,1)="2",$Y$15&lt;&gt;$Y$14),VLOOKUP(CONCATENATE(LEFT($Y22,2),"L"),$R$63:$T$91,3,FALSE),0)+IF(AND($Y22="O3/CP",$Y$14=D$18),VLOOKUP("O3",$R$63:$T$91,3,FALSE)+VLOOKUP("CP",$R$63:$T$91,3,FALSE),0)+IF(AND($K$6="CE",'[3]Supply Attribution'!$G$20=D$18),LEFT($S$90,2),0)+IF(AND($X$86&lt;&gt;"Not Set",$X$87=D$18),$X$86,0)</f>
        <v>0</v>
      </c>
      <c r="E22" s="269">
        <f>IF(AND($K22&lt;&gt;"",$K22&lt;&gt;"--",$K22&lt;&gt;"O3/CP",$K$14=E$18),IF(LEFT($K22,1)="P",VLOOKUP(CONCATENATE(LEFT($K22,2),"H"),$R$63:$T$91,3,FALSE),VLOOKUP($K22,$R$63:$T$91,3,FALSE)))+IF(AND($K22&lt;&gt;"",$K22&lt;&gt;"O3/CP",$K$15=E$18,MID($K22,4,1)="2",$K$15&lt;&gt;$K$14),VLOOKUP(CONCATENATE(LEFT($K22,2),"L"),$R$63:$T$91,3,FALSE),0)+IF(AND($K22="O3/CP",$K$14=E$18),VLOOKUP("O3",$R$63:$T$91,3,FALSE)+VLOOKUP("CP",$R$63:$T$91,3,FALSE),0)+IF(AND($L22&lt;&gt;"",$L22&lt;&gt;"--",$L22&lt;&gt;"O3/CP",$L$14=E$18),IF(LEFT($L22,1)="P",VLOOKUP(CONCATENATE(LEFT($L22,2),"H"),$R$63:$T$91,3,FALSE),VLOOKUP($L22,$R$63:$T$91,3,FALSE)))+IF(AND($L22&lt;&gt;"",$L22&lt;&gt;"O3/CP",$L$15=E$18,MID($L22,4,1)="2",$L$15&lt;&gt;$L$14),VLOOKUP(CONCATENATE(LEFT($L22,2),"L"),$R$63:$T$91,3,FALSE),0)+IF(AND($L22="O3/CP",$L$14=E$18),VLOOKUP("O3",$R$63:$T$91,3,FALSE)+VLOOKUP("CP",$R$63:$T$91,3,FALSE),0)+IF(AND($M22&lt;&gt;"",$M22&lt;&gt;"--",$M22&lt;&gt;"O3/CP",$M$14=E$18),IF(LEFT($M22,1)="P",VLOOKUP(CONCATENATE(LEFT($M22,2),"H"),$R$63:$T$91,3,FALSE),VLOOKUP($M22,$R$63:$T$91,3,FALSE)))+IF(AND($M22&lt;&gt;"",$M22&lt;&gt;"O3/CP",$M$15=E$18,MID($M22,4,1)="2",$M$15&lt;&gt;$M$14),VLOOKUP(CONCATENATE(LEFT($M22,2),"L"),$R$63:$T$91,3,FALSE),0)+IF(AND($M22="O3/CP",$M$14=E$18),VLOOKUP("O3",$R$63:$T$91,3,FALSE)+VLOOKUP("CP",$R$63:$T$91,3,FALSE),0)+IF(AND($N22&lt;&gt;"",$N22&lt;&gt;"--",$N22&lt;&gt;"O3/CP",$N$14=E$18),IF(LEFT($N22,1)="P",VLOOKUP(CONCATENATE(LEFT($N22,2),"H"),$R$63:$T$91,3,FALSE),VLOOKUP($N22,$R$63:$T$91,3,FALSE)))+IF(AND($N22&lt;&gt;"",$N22&lt;&gt;"O3/CP",$N$15=E$18,MID($N22,4,1)="2",$N$15&lt;&gt;$N$14),VLOOKUP(CONCATENATE(LEFT($N22,2),"L"),$R$63:$T$91,3,FALSE),0)+IF(AND($N22="O3/CP",$N$14=E$18),VLOOKUP("O3",$R$63:$T$91,3,FALSE)+VLOOKUP("CP",$R$63:$T$91,3,FALSE),0)+IF(AND($O22&lt;&gt;"",$O22&lt;&gt;"--",$O22&lt;&gt;"O3/CP",$O$14=E$18),IF(LEFT($O22,1)="P",VLOOKUP(CONCATENATE(LEFT($O22,2),"H"),$R$63:$T$91,3,FALSE),VLOOKUP($O22,$R$63:$T$91,3,FALSE)))+IF(AND($O22&lt;&gt;"",$O22&lt;&gt;"O3/CP",$O$15=E$18,MID($O22,4,1)="2",$O$15&lt;&gt;$O$14),VLOOKUP(CONCATENATE(LEFT($O22,2),"L"),$R$63:$T$91,3,FALSE),0)+IF(AND($O22="O3/CP",$O$14=E$18),VLOOKUP("O3",$R$63:$T$91,3,FALSE)+VLOOKUP("CP",$R$63:$T$91,3,FALSE),0)+IF(AND($P22&lt;&gt;"",$P22&lt;&gt;"--",$P22&lt;&gt;"O3/CP",$P$14=E$18),IF(LEFT($P22,1)="P",VLOOKUP(CONCATENATE(LEFT($P22,2),"H"),$R$63:$T$91,3,FALSE),VLOOKUP($P22,$R$63:$T$91,3,FALSE)))+IF(AND($P22&lt;&gt;"",$P22&lt;&gt;"O3/CP",$P$15=E$18,MID($P22,4,1)="2",$P$15&lt;&gt;$P$14),VLOOKUP(CONCATENATE(LEFT($P22,2),"L"),$R$63:$T$91,3,FALSE),0)+IF(AND($P22="O3/CP",$P$14=E$18),VLOOKUP("O3",$R$63:$T$91,3,FALSE)+VLOOKUP("CP",$R$63:$T$91,3,FALSE),0)+IF(AND($Q22&lt;&gt;"",$Q22&lt;&gt;"--",$Q22&lt;&gt;"O3/CP",$Q$14=E$18),IF(LEFT($Q22,1)="P",VLOOKUP(CONCATENATE(LEFT($Q22,2),"H"),$R$63:$T$91,3,FALSE),VLOOKUP($Q22,$R$63:$T$91,3,FALSE)))+IF(AND($Q22&lt;&gt;"",$Q22&lt;&gt;"O3/CP",$Q$15=E$18,MID($Q22,4,1)="2",$Q$15&lt;&gt;$Q$14),VLOOKUP(CONCATENATE(LEFT($Q22,2),"L"),$R$63:$T$91,3,FALSE),0)+IF(AND($Q22="O3/CP",$Q$14=E$18),VLOOKUP("O3",$R$63:$T$91,3,FALSE)+VLOOKUP("CP",$R$63:$T$91,3,FALSE),0)+IF(AND($R22&lt;&gt;"",$R22&lt;&gt;"--",$R22&lt;&gt;"O3/CP",$R$14=E$18),IF(LEFT($R22,1)="P",VLOOKUP(CONCATENATE(LEFT($R22,2),"H"),$R$63:$T$91,3,FALSE),VLOOKUP($R22,$R$63:$T$91,3,FALSE)))+IF(AND($R22&lt;&gt;"",$R22&lt;&gt;"O3/CP",$R$15=E$18,MID($R22,4,1)="2",$R$15&lt;&gt;$R$14),VLOOKUP(CONCATENATE(LEFT($R22,2),"L"),$R$63:$T$91,3,FALSE),0)+IF(AND($R22="O3/CP",$R$14=E$18),VLOOKUP("O3",$R$63:$T$91,3,FALSE)+VLOOKUP("CP",$R$63:$T$91,3,FALSE),0)+IF(AND($S22&lt;&gt;"",$S22&lt;&gt;"--",$S22&lt;&gt;"O3/CP",$S$14=E$18),IF(LEFT($S22,1)="P",VLOOKUP(CONCATENATE(LEFT($S22,2),"H"),$R$63:$T$91,3,FALSE),VLOOKUP($S22,$R$63:$T$91,3,FALSE)))+IF(AND($S22&lt;&gt;"",$S22&lt;&gt;"O3/CP",$S$15=E$18,MID($S22,4,1)="2",$S$15&lt;&gt;$S$14),VLOOKUP(CONCATENATE(LEFT($S22,2),"L"),$R$63:$T$91,3,FALSE),0)+IF(AND($S22="O3/CP",$S$14=E$18),VLOOKUP("O3",$R$63:$T$91,3,FALSE)+VLOOKUP("CP",$R$63:$T$91,3,FALSE),0)+IF(AND($T22&lt;&gt;"",$T22&lt;&gt;"--",$T22&lt;&gt;"O3/CP",$T$14=E$18),IF(LEFT($T22,1)="P",VLOOKUP(CONCATENATE(LEFT($T22,2),"H"),$R$63:$T$91,3,FALSE),VLOOKUP($T22,$R$63:$T$91,3,FALSE)))+IF(AND($T22&lt;&gt;"",$T22&lt;&gt;"O3/CP",$T$15=E$18,MID($T22,4,1)="2",$T$15&lt;&gt;$T$14),VLOOKUP(CONCATENATE(LEFT($T22,2),"L"),$R$63:$T$91,3,FALSE),0)+IF(AND($T22="O3/CP",$T$14=E$18),VLOOKUP("O3",$R$63:$T$91,3,FALSE)+VLOOKUP("CP",$R$63:$T$91,3,FALSE),0)+IF(AND($U22&lt;&gt;"",$U22&lt;&gt;"--",$U22&lt;&gt;"O3/CP",$U$14=E$18),IF(LEFT($U22,1)="P",VLOOKUP(CONCATENATE(LEFT($U22,2),"H"),$R$63:$T$91,3,FALSE),VLOOKUP($U22,$R$63:$T$91,3,FALSE)))+IF(AND($U22&lt;&gt;"",$U22&lt;&gt;"O3/CP",$U$15=E$18,MID($U22,4,1)="2",$U$15&lt;&gt;$U$14),VLOOKUP(CONCATENATE(LEFT($U22,2),"L"),$R$63:$T$91,3,FALSE),0)+IF(AND($U22="O3/CP",$T$14=E$18),VLOOKUP("O3",$R$63:$T$91,3,FALSE)+VLOOKUP("CP",$R$63:$T$91,3,FALSE),0)+IF(AND($V22&lt;&gt;"",$V22&lt;&gt;"--",$V22&lt;&gt;"O3/CP",$V$14=E$18),IF(LEFT($V22,1)="P",VLOOKUP(CONCATENATE(LEFT($V22,2),"H"),$R$63:$T$91,3,FALSE),VLOOKUP($V22,$R$63:$T$91,3,FALSE)))+IF(AND($V22&lt;&gt;"",$V22&lt;&gt;"O3/CP",$V$15=E$18,MID($V22,4,1)="2",$V$15&lt;&gt;$V$14),VLOOKUP(CONCATENATE(LEFT($V22,2),"L"),$R$63:$T$91,3,FALSE),0)+IF(AND($V22="O3/CP",$V$14=E$18),VLOOKUP("O3",$R$63:$T$91,3,FALSE)+VLOOKUP("CP",$R$63:$T$91,3,FALSE),0)+IF(AND($W22&lt;&gt;"",$W22&lt;&gt;"--",$W22&lt;&gt;"O3/CP",$W$14=E$18),IF(LEFT($W22,1)="P",VLOOKUP(CONCATENATE(LEFT($W22,2),"H"),$R$63:$T$91,3,FALSE),VLOOKUP($W22,$R$63:$T$91,3,FALSE)))+IF(AND($W22&lt;&gt;"",$W22&lt;&gt;"O3/CP",$W$15=E$18,MID($W22,4,1)="2",$W$15&lt;&gt;$W$14),VLOOKUP(CONCATENATE(LEFT($W22,2),"L"),$R$63:$T$91,3,FALSE),0)+IF(AND($W22="O3/CP",$W$14=E$18),VLOOKUP("O3",$R$63:$T$91,3,FALSE)+VLOOKUP("CP",$R$63:$T$91,3,FALSE),0)+IF(AND($X22&lt;&gt;"",$X22&lt;&gt;"--",$X22&lt;&gt;"O3/CP",$X$14=E$18),IF(LEFT($X22,1)="P",VLOOKUP(CONCATENATE(LEFT($X22,2),"H"),$R$63:$T$91,3,FALSE),VLOOKUP($X22,$R$63:$T$91,3,FALSE)))+IF(AND($X22&lt;&gt;"",$X22&lt;&gt;"O3/CP",$X$15=E$18,MID($X22,4,1)="2",$X$15&lt;&gt;$X$14),VLOOKUP(CONCATENATE(LEFT($X22,2),"L"),$R$63:$T$91,3,FALSE),0)+IF(AND($X22="O3/CP",$X$14=E$18),VLOOKUP("O3",$R$63:$T$91,3,FALSE)+VLOOKUP("CP",$R$63:$T$91,3,FALSE),0)+IF(AND($Y22&lt;&gt;"",$Y22&lt;&gt;"--",$Y22&lt;&gt;"O3/CP",$Y$14=E$18),IF(LEFT($Y22,1)="P",VLOOKUP(CONCATENATE(LEFT($Y22,2),"H"),$R$63:$T$91,3,FALSE),VLOOKUP($Y22,$R$63:$T$91,3,FALSE)))+IF(AND($Y22&lt;&gt;"",$Y22&lt;&gt;"O3/CP",$Y$15=E$18,MID($Y22,4,1)="2",$Y$15&lt;&gt;$Y$14),VLOOKUP(CONCATENATE(LEFT($Y22,2),"L"),$R$63:$T$91,3,FALSE),0)+IF(AND($Y22="O3/CP",$Y$14=E$18),VLOOKUP("O3",$R$63:$T$91,3,FALSE)+VLOOKUP("CP",$R$63:$T$91,3,FALSE),0)+IF(AND($K$6="CE",'[3]Supply Attribution'!$G$20=E$18),LEFT($S$90,2),0)+IF(AND($X$86&lt;&gt;"Not Set",$X$87=E$18),$X$86,0)</f>
        <v>0</v>
      </c>
      <c r="F22" s="268">
        <f>IF(AND($K22&lt;&gt;"",$K22&lt;&gt;"--",$K22&lt;&gt;"O3/CP",$K$14=F$18),IF(LEFT($K22,1)="P",VLOOKUP(CONCATENATE(LEFT($K22,2),"H"),$R$63:$T$91,3,FALSE),VLOOKUP($K22,$R$63:$T$91,3,FALSE)))+IF(AND($K22&lt;&gt;"",$K22&lt;&gt;"O3/CP",$K$15=F$18,MID($K22,4,1)="2",$K$15&lt;&gt;$K$14),VLOOKUP(CONCATENATE(LEFT($K22,2),"L"),$R$63:$T$91,3,FALSE),0)+IF(AND($K22="O3/CP",$K$14=F$18),VLOOKUP("O3",$R$63:$T$91,3,FALSE)+VLOOKUP("CP",$R$63:$T$91,3,FALSE),0)+IF(AND($L22&lt;&gt;"",$L22&lt;&gt;"--",$L22&lt;&gt;"O3/CP",$L$14=F$18),IF(LEFT($L22,1)="P",VLOOKUP(CONCATENATE(LEFT($L22,2),"H"),$R$63:$T$91,3,FALSE),VLOOKUP($L22,$R$63:$T$91,3,FALSE)))+IF(AND($L22&lt;&gt;"",$L22&lt;&gt;"O3/CP",$L$15=F$18,MID($L22,4,1)="2",$L$15&lt;&gt;$L$14),VLOOKUP(CONCATENATE(LEFT($L22,2),"L"),$R$63:$T$91,3,FALSE),0)+IF(AND($L22="O3/CP",$L$14=F$18),VLOOKUP("O3",$R$63:$T$91,3,FALSE)+VLOOKUP("CP",$R$63:$T$91,3,FALSE),0)+IF(AND($M22&lt;&gt;"",$M22&lt;&gt;"--",$M22&lt;&gt;"O3/CP",$M$14=F$18),IF(LEFT($M22,1)="P",VLOOKUP(CONCATENATE(LEFT($M22,2),"H"),$R$63:$T$91,3,FALSE),VLOOKUP($M22,$R$63:$T$91,3,FALSE)))+IF(AND($M22&lt;&gt;"",$M22&lt;&gt;"O3/CP",$M$15=F$18,MID($M22,4,1)="2",$M$15&lt;&gt;$M$14),VLOOKUP(CONCATENATE(LEFT($M22,2),"L"),$R$63:$T$91,3,FALSE),0)+IF(AND($M22="O3/CP",$M$14=F$18),VLOOKUP("O3",$R$63:$T$91,3,FALSE)+VLOOKUP("CP",$R$63:$T$91,3,FALSE),0)+IF(AND($N22&lt;&gt;"",$N22&lt;&gt;"--",$N22&lt;&gt;"O3/CP",$N$14=F$18),IF(LEFT($N22,1)="P",VLOOKUP(CONCATENATE(LEFT($N22,2),"H"),$R$63:$T$91,3,FALSE),VLOOKUP($N22,$R$63:$T$91,3,FALSE)))+IF(AND($N22&lt;&gt;"",$N22&lt;&gt;"O3/CP",$N$15=F$18,MID($N22,4,1)="2",$N$15&lt;&gt;$N$14),VLOOKUP(CONCATENATE(LEFT($N22,2),"L"),$R$63:$T$91,3,FALSE),0)+IF(AND($N22="O3/CP",$N$14=F$18),VLOOKUP("O3",$R$63:$T$91,3,FALSE)+VLOOKUP("CP",$R$63:$T$91,3,FALSE),0)+IF(AND($O22&lt;&gt;"",$O22&lt;&gt;"--",$O22&lt;&gt;"O3/CP",$O$14=F$18),IF(LEFT($O22,1)="P",VLOOKUP(CONCATENATE(LEFT($O22,2),"H"),$R$63:$T$91,3,FALSE),VLOOKUP($O22,$R$63:$T$91,3,FALSE)))+IF(AND($O22&lt;&gt;"",$O22&lt;&gt;"O3/CP",$O$15=F$18,MID($O22,4,1)="2",$O$15&lt;&gt;$O$14),VLOOKUP(CONCATENATE(LEFT($O22,2),"L"),$R$63:$T$91,3,FALSE),0)+IF(AND($O22="O3/CP",$O$14=F$18),VLOOKUP("O3",$R$63:$T$91,3,FALSE)+VLOOKUP("CP",$R$63:$T$91,3,FALSE),0)+IF(AND($P22&lt;&gt;"",$P22&lt;&gt;"--",$P22&lt;&gt;"O3/CP",$P$14=F$18),IF(LEFT($P22,1)="P",VLOOKUP(CONCATENATE(LEFT($P22,2),"H"),$R$63:$T$91,3,FALSE),VLOOKUP($P22,$R$63:$T$91,3,FALSE)))+IF(AND($P22&lt;&gt;"",$P22&lt;&gt;"O3/CP",$P$15=F$18,MID($P22,4,1)="2",$P$15&lt;&gt;$P$14),VLOOKUP(CONCATENATE(LEFT($P22,2),"L"),$R$63:$T$91,3,FALSE),0)+IF(AND($P22="O3/CP",$P$14=F$18),VLOOKUP("O3",$R$63:$T$91,3,FALSE)+VLOOKUP("CP",$R$63:$T$91,3,FALSE),0)+IF(AND($Q22&lt;&gt;"",$Q22&lt;&gt;"--",$Q22&lt;&gt;"O3/CP",$Q$14=F$18),IF(LEFT($Q22,1)="P",VLOOKUP(CONCATENATE(LEFT($Q22,2),"H"),$R$63:$T$91,3,FALSE),VLOOKUP($Q22,$R$63:$T$91,3,FALSE)))+IF(AND($Q22&lt;&gt;"",$Q22&lt;&gt;"O3/CP",$Q$15=F$18,MID($Q22,4,1)="2",$Q$15&lt;&gt;$Q$14),VLOOKUP(CONCATENATE(LEFT($Q22,2),"L"),$R$63:$T$91,3,FALSE),0)+IF(AND($Q22="O3/CP",$Q$14=F$18),VLOOKUP("O3",$R$63:$T$91,3,FALSE)+VLOOKUP("CP",$R$63:$T$91,3,FALSE),0)+IF(AND($R22&lt;&gt;"",$R22&lt;&gt;"--",$R22&lt;&gt;"O3/CP",$R$14=F$18),IF(LEFT($R22,1)="P",VLOOKUP(CONCATENATE(LEFT($R22,2),"H"),$R$63:$T$91,3,FALSE),VLOOKUP($R22,$R$63:$T$91,3,FALSE)))+IF(AND($R22&lt;&gt;"",$R22&lt;&gt;"O3/CP",$R$15=F$18,MID($R22,4,1)="2",$R$15&lt;&gt;$R$14),VLOOKUP(CONCATENATE(LEFT($R22,2),"L"),$R$63:$T$91,3,FALSE),0)+IF(AND($R22="O3/CP",$R$14=F$18),VLOOKUP("O3",$R$63:$T$91,3,FALSE)+VLOOKUP("CP",$R$63:$T$91,3,FALSE),0)+IF(AND($S22&lt;&gt;"",$S22&lt;&gt;"--",$S22&lt;&gt;"O3/CP",$S$14=F$18),IF(LEFT($S22,1)="P",VLOOKUP(CONCATENATE(LEFT($S22,2),"H"),$R$63:$T$91,3,FALSE),VLOOKUP($S22,$R$63:$T$91,3,FALSE)))+IF(AND($S22&lt;&gt;"",$S22&lt;&gt;"O3/CP",$S$15=F$18,MID($S22,4,1)="2",$S$15&lt;&gt;$S$14),VLOOKUP(CONCATENATE(LEFT($S22,2),"L"),$R$63:$T$91,3,FALSE),0)+IF(AND($S22="O3/CP",$S$14=F$18),VLOOKUP("O3",$R$63:$T$91,3,FALSE)+VLOOKUP("CP",$R$63:$T$91,3,FALSE),0)+IF(AND($T22&lt;&gt;"",$T22&lt;&gt;"--",$T22&lt;&gt;"O3/CP",$T$14=F$18),IF(LEFT($T22,1)="P",VLOOKUP(CONCATENATE(LEFT($T22,2),"H"),$R$63:$T$91,3,FALSE),VLOOKUP($T22,$R$63:$T$91,3,FALSE)))+IF(AND($T22&lt;&gt;"",$T22&lt;&gt;"O3/CP",$T$15=F$18,MID($T22,4,1)="2",$T$15&lt;&gt;$T$14),VLOOKUP(CONCATENATE(LEFT($T22,2),"L"),$R$63:$T$91,3,FALSE),0)+IF(AND($T22="O3/CP",$T$14=F$18),VLOOKUP("O3",$R$63:$T$91,3,FALSE)+VLOOKUP("CP",$R$63:$T$91,3,FALSE),0)+IF(AND($U22&lt;&gt;"",$U22&lt;&gt;"--",$U22&lt;&gt;"O3/CP",$U$14=F$18),IF(LEFT($U22,1)="P",VLOOKUP(CONCATENATE(LEFT($U22,2),"H"),$R$63:$T$91,3,FALSE),VLOOKUP($U22,$R$63:$T$91,3,FALSE)))+IF(AND($U22&lt;&gt;"",$U22&lt;&gt;"O3/CP",$U$15=F$18,MID($U22,4,1)="2",$U$15&lt;&gt;$U$14),VLOOKUP(CONCATENATE(LEFT($U22,2),"L"),$R$63:$T$91,3,FALSE),0)+IF(AND($U22="O3/CP",$T$14=F$18),VLOOKUP("O3",$R$63:$T$91,3,FALSE)+VLOOKUP("CP",$R$63:$T$91,3,FALSE),0)+IF(AND($V22&lt;&gt;"",$V22&lt;&gt;"--",$V22&lt;&gt;"O3/CP",$V$14=F$18),IF(LEFT($V22,1)="P",VLOOKUP(CONCATENATE(LEFT($V22,2),"H"),$R$63:$T$91,3,FALSE),VLOOKUP($V22,$R$63:$T$91,3,FALSE)))+IF(AND($V22&lt;&gt;"",$V22&lt;&gt;"O3/CP",$V$15=F$18,MID($V22,4,1)="2",$V$15&lt;&gt;$V$14),VLOOKUP(CONCATENATE(LEFT($V22,2),"L"),$R$63:$T$91,3,FALSE),0)+IF(AND($V22="O3/CP",$V$14=F$18),VLOOKUP("O3",$R$63:$T$91,3,FALSE)+VLOOKUP("CP",$R$63:$T$91,3,FALSE),0)+IF(AND($W22&lt;&gt;"",$W22&lt;&gt;"--",$W22&lt;&gt;"O3/CP",$W$14=F$18),IF(LEFT($W22,1)="P",VLOOKUP(CONCATENATE(LEFT($W22,2),"H"),$R$63:$T$91,3,FALSE),VLOOKUP($W22,$R$63:$T$91,3,FALSE)))+IF(AND($W22&lt;&gt;"",$W22&lt;&gt;"O3/CP",$W$15=F$18,MID($W22,4,1)="2",$W$15&lt;&gt;$W$14),VLOOKUP(CONCATENATE(LEFT($W22,2),"L"),$R$63:$T$91,3,FALSE),0)+IF(AND($W22="O3/CP",$W$14=F$18),VLOOKUP("O3",$R$63:$T$91,3,FALSE)+VLOOKUP("CP",$R$63:$T$91,3,FALSE),0)+IF(AND($X22&lt;&gt;"",$X22&lt;&gt;"--",$X22&lt;&gt;"O3/CP",$X$14=F$18),IF(LEFT($X22,1)="P",VLOOKUP(CONCATENATE(LEFT($X22,2),"H"),$R$63:$T$91,3,FALSE),VLOOKUP($X22,$R$63:$T$91,3,FALSE)))+IF(AND($X22&lt;&gt;"",$X22&lt;&gt;"O3/CP",$X$15=F$18,MID($X22,4,1)="2",$X$15&lt;&gt;$X$14),VLOOKUP(CONCATENATE(LEFT($X22,2),"L"),$R$63:$T$91,3,FALSE),0)+IF(AND($X22="O3/CP",$X$14=F$18),VLOOKUP("O3",$R$63:$T$91,3,FALSE)+VLOOKUP("CP",$R$63:$T$91,3,FALSE),0)+IF(AND($Y22&lt;&gt;"",$Y22&lt;&gt;"--",$Y22&lt;&gt;"O3/CP",$Y$14=F$18),IF(LEFT($Y22,1)="P",VLOOKUP(CONCATENATE(LEFT($Y22,2),"H"),$R$63:$T$91,3,FALSE),VLOOKUP($Y22,$R$63:$T$91,3,FALSE)))+IF(AND($Y22&lt;&gt;"",$Y22&lt;&gt;"O3/CP",$Y$15=F$18,MID($Y22,4,1)="2",$Y$15&lt;&gt;$Y$14),VLOOKUP(CONCATENATE(LEFT($Y22,2),"L"),$R$63:$T$91,3,FALSE),0)+IF(AND($Y22="O3/CP",$Y$14=F$18),VLOOKUP("O3",$R$63:$T$91,3,FALSE)+VLOOKUP("CP",$R$63:$T$91,3,FALSE),0)+IF(AND($K$6="CE",'[3]Supply Attribution'!$G$20=F$18),LEFT($S$90,2),0)+IF(AND($X$86&lt;&gt;"Not Set",$X$87=F$18),$X$86,0)</f>
        <v>0</v>
      </c>
      <c r="G22" s="269">
        <f>IF(AND($K$6="CE",$T$59="1 Phase"),SUM(A22:F22)-IF(AND($K$14&lt;&gt;$K$15,RIGHT($K22,3)="2SP"),VLOOKUP(CONCATENATE(LEFT($K22,2),"L"),$R$63:$T$90,3,FALSE),0)-IF(AND($L$14&lt;&gt;$L$15,RIGHT($L22,3)="2SP"),VLOOKUP(CONCATENATE(LEFT($L22,2),"L"),$R$63:$T$90,3,FALSE),0)-IF(AND($M$14&lt;&gt;$M$15,RIGHT($M22,3)="2SP"),VLOOKUP(CONCATENATE(LEFT($M22,2),"L"),$R$63:$T$90,3,FALSE),0)-IF(AND($N$14&lt;&gt;$N$15,RIGHT($N22,3)="2SP"),VLOOKUP(CONCATENATE(LEFT($N22,2),"L"),$R$63:$T$90,3,FALSE),0)-IF(AND($O$14&lt;&gt;$O$15,RIGHT($O22,3)="2SP"),VLOOKUP(CONCATENATE(LEFT($O22,2),"L"),$R$63:$T$90,3,FALSE),0)-IF(AND($P$14&lt;&gt;$P$15,RIGHT($P22,3)="2SP"),VLOOKUP(CONCATENATE(LEFT($P22,2),"L"),$R$63:$T$90,3,FALSE),0)-IF(AND($Q$14&lt;&gt;$Q$15,RIGHT($Q22,3)="2SP"),VLOOKUP(CONCATENATE(LEFT($Q22,2),"L"),$R$63:$T$90,3,FALSE),0)-IF(AND($R$14&lt;&gt;$R$15,RIGHT($T22,3)="2SP"),VLOOKUP(CONCATENATE(LEFT($R22,2),"L"),$R$63:$T$90,3,FALSE),0)-IF(AND($S$14&lt;&gt;$S$15,RIGHT($T22,3)="2SP"),VLOOKUP(CONCATENATE(LEFT($S22,2),"L"),$R$63:$T$90,3,FALSE),0)-IF(AND($T$14&lt;&gt;$T$15,RIGHT($T22,3)="2SP"),VLOOKUP(CONCATENATE(LEFT($T22,2),"L"),$R$63:$T$90,3,FALSE),0)-IF(AND($U$14&lt;&gt;$U$15,RIGHT($U22,3)="2SP"),VLOOKUP(CONCATENATE(LEFT($U22,2),"L"),$R$63:$T$90,3,FALSE),0)-IF(AND($V$14&lt;&gt;$V$15,RIGHT($V22,3)="2SP"),VLOOKUP(CONCATENATE(LEFT($V22,2),"L"),$R$63:$T$90,3,FALSE),0)-IF(AND($W$14&lt;&gt;$W$15,RIGHT($W22,3)="2SP"),VLOOKUP(CONCATENATE(LEFT($W22,2),"L"),$R$63:$T$90,3,FALSE),0)-IF(AND($X$14&lt;&gt;$X$15,RIGHT($X22,3)="2SP"),VLOOKUP(CONCATENATE(LEFT($X22,2),"L"),$R$63:$T$90,3,FALSE),0)-IF(AND($Y$14&lt;&gt;$Y$15,RIGHT($Y22,3)="2SP"),VLOOKUP(CONCATENATE(LEFT($Y22,2),"L"),$R$63:$T$90,3,FALSE),0),IF(VLOOKUP(CONCATENATE($A$18,"Line"),'[3]Supply Attribution'!$F$31:$G$37,2,FALSE)=G$18,$A22,0)+IF(VLOOKUP(CONCATENATE($B$18,"Line"),'[3]Supply Attribution'!$F$31:$G$37,2,FALSE)=G$18,$B22,0)+IF(VLOOKUP(CONCATENATE($C$18,"Line"),'[3]Supply Attribution'!$F$31:$G$37,2,FALSE)=G$18,$C22,0)+IF(VLOOKUP(CONCATENATE($D$18,"Line"),'[3]Supply Attribution'!$F$31:$G$37,2,FALSE)=G$18,$D22,0)+IF(VLOOKUP(CONCATENATE($E$18,"Line"),'[3]Supply Attribution'!$F$31:$G$37,2,FALSE)=G$18,$E22,0)+IF(VLOOKUP(CONCATENATE($F$18,"Line"),'[3]Supply Attribution'!$F$31:$G$37,2,FALSE)=G$18,$F22,0)+IF($K$6="UL",LEFT($S$90,2),0)-IF(AND($K$16=G$18,$K$14&lt;&gt;$K$15,$K$16=$K$17,RIGHT($K22,3)="2SP"),VLOOKUP(CONCATENATE(LEFT($K22,2),"L"),$R$63:$T$90,3,FALSE),0)-IF(AND($L$16=G$18,$L$14&lt;&gt;$L$15,$L$16=$L$17,RIGHT($L22,3)="2SP"),VLOOKUP(CONCATENATE(LEFT($L22,2),"L"),$R$63:$T$90,3,FALSE),0)-IF(AND($M$16=G$18,$M$14&lt;&gt;$M$15,$M$16=$M$17,RIGHT($M22,3)="2SP"),VLOOKUP(CONCATENATE(LEFT($M22,2),"L"),$R$63:$T$90,3,FALSE),0)-IF(AND($N$16=G$18,$N$14&lt;&gt;$N$15,$N$16=$N$17,RIGHT($N22,3)="2SP"),VLOOKUP(CONCATENATE(LEFT($N22,2),"L"),$R$63:$T$90,3,FALSE),0)-IF(AND($O$16=G$18,$O$14&lt;&gt;$O$15,$O$16=$O$17,RIGHT($O22,3)="2SP"),VLOOKUP(CONCATENATE(LEFT($O22,2),"L"),$R$63:$T$90,3,FALSE),0)-IF(AND($P$16=G$18,$P$14&lt;&gt;$P$15,$P$16=$P$17,RIGHT($P22,3)="2SP"),VLOOKUP(CONCATENATE(LEFT($P22,2),"L"),$R$63:$T$90,3,FALSE),0)-IF(AND($Q$16=G$18,$Q$14&lt;&gt;$Q$15,$Q$16=$Q$17,RIGHT($Q22,3)="2SP"),VLOOKUP(CONCATENATE(LEFT($Q22,2),"L"),$R$63:$T$90,3,FALSE),0)-IF(AND($R$16=G$18,$R$14&lt;&gt;$R$15,$R$16=$R$17,RIGHT($R22,3)="2SP"),VLOOKUP(CONCATENATE(LEFT($R22,2),"L"),$R$63:$T$90,3,FALSE),0)-IF(AND($S$16=G$18,$S$14&lt;&gt;$S$15,$S$16=$S$17,RIGHT($S22,3)="2SP"),VLOOKUP(CONCATENATE(LEFT($S22,2),"L"),$R$63:$T$90,3,FALSE),0)-IF(AND($T$16=G$18,$T$14&lt;&gt;$T$15,$T$16=$T$17,RIGHT($T22,3)="2SP"),VLOOKUP(CONCATENATE(LEFT($T22,2),"L"),$R$63:$T$90,3,FALSE),0)-IF(AND($U$16=G$18,$U$14&lt;&gt;$U$15,$U$16=$U$17,RIGHT($U22,3)="2SP"),VLOOKUP(CONCATENATE(LEFT($U22,2),"L"),$R$63:$T$90,3,FALSE),0)-IF(AND($V$16=G$18,$V$14&lt;&gt;$V$15,$V$16=$V$17,RIGHT($V22,3)="2SP"),VLOOKUP(CONCATENATE(LEFT($V22,2),"L"),$R$63:$T$90,3,FALSE),0)-IF(AND($W$16=G$18,$W$14&lt;&gt;$W$15,$W$16=$W$17,RIGHT($W22,3)="2SP"),VLOOKUP(CONCATENATE(LEFT($W22,2),"L"),$R$63:$T$90,3,FALSE),0)-IF(AND($X$16=G$18,$X$14&lt;&gt;$X$15,$X$16=$X$17,RIGHT($X22,3)="2SP"),VLOOKUP(CONCATENATE(LEFT($X22,2),"L"),$R$63:$T$90,3,FALSE),0)-IF(AND($Y$16=G$18,$Y$14&lt;&gt;$Y$15,$Y$16=$Y$17,RIGHT($Y22,3)="2SP"),VLOOKUP(CONCATENATE(LEFT($Y22,2),"L"),$R$63:$T$90,3,FALSE),0))</f>
        <v>43</v>
      </c>
      <c r="H22" s="269" t="str">
        <f>IF(H$18&lt;&gt;"",IF(VLOOKUP(CONCATENATE($A$18,"Line"),'Supply Attribution'!$F$31:$G$37,2,FALSE)=H$18,$A22,0)+IF(VLOOKUP(CONCATENATE($B$18,"Line"),'Supply Attribution'!$F$31:$G$37,2,FALSE)=H$18,$B22,0)+IF(VLOOKUP(CONCATENATE($C$18,"Line"),'Supply Attribution'!$F$31:$G$37,2,FALSE)=H$18,$C22,0)+IF(VLOOKUP(CONCATENATE($D$18,"Line"),'Supply Attribution'!$F$31:$G$37,2,FALSE)=H$18,$D22,0)+IF(VLOOKUP(CONCATENATE($E$18,"Line"),'Supply Attribution'!$F$31:$G$37,2,FALSE)=H$18,$E22,0)+IF(VLOOKUP(CONCATENATE($F$18,"Line"),'Supply Attribution'!$F$31:$G$37,2,FALSE)=H$18,$F22,0)+IF($K$6="UL",LEFT($S$90,2),0)-IF(AND($K$16=H$18,$K$14&lt;&gt;$K$15,$K$16=$K$17,RIGHT($K22,3)="2SP"),VLOOKUP(CONCATENATE(LEFT($K22,2),"L"),$R$63:$T$90,3,FALSE),0)-IF(AND($L$16=H$18,$L$14&lt;&gt;$L$15,$L$16=$L$17,RIGHT($L22,3)="2SP"),VLOOKUP(CONCATENATE(LEFT($L22,2),"L"),$R$63:$T$90,3,FALSE),0)-IF(AND($M$16=H$18,$M$14&lt;&gt;$M$15,$M$16=$M$17,RIGHT($M22,3)="2SP"),VLOOKUP(CONCATENATE(LEFT($M22,2),"L"),$R$63:$T$90,3,FALSE),0)-IF(AND($N$16=H$18,$N$14&lt;&gt;$N$15,$N$16=$N$17,RIGHT($N22,3)="2SP"),VLOOKUP(CONCATENATE(LEFT($N22,2),"L"),$R$63:$T$90,3,FALSE),0)-IF(AND($O$16=H$18,$O$14&lt;&gt;$O$15,$O$16=$O$17,RIGHT($O22,3)="2SP"),VLOOKUP(CONCATENATE(LEFT($O22,2),"L"),$R$63:$T$90,3,FALSE),0)-IF(AND($P$16=H$18,$P$14&lt;&gt;$P$15,$P$16=$P$17,RIGHT($P22,3)="2SP"),VLOOKUP(CONCATENATE(LEFT($P22,2),"L"),$R$63:$T$90,3,FALSE),0)-IF(AND($Q$16=H$18,$Q$14&lt;&gt;$Q$15,$Q$16=$Q$17,RIGHT($Q22,3)="2SP"),VLOOKUP(CONCATENATE(LEFT($Q22,2),"L"),$R$63:$T$90,3,FALSE),0)-IF(AND($T$16=H$18,$T$14&lt;&gt;$T$15,$T$16=$T$17,RIGHT($T22,3)="2SP"),VLOOKUP(CONCATENATE(LEFT($T22,2),"L"),$R$63:$T$90,3,FALSE),0)-IF(AND($U$16=H$18,$U$14&lt;&gt;$U$15,$U$16=$U$17,RIGHT($U22,3)="2SP"),VLOOKUP(CONCATENATE(LEFT($U22,2),"L"),$R$63:$T$90,3,FALSE),0)-IF(AND($V$16=H$18,$V$14&lt;&gt;$V$15,$V$16=$V$17,RIGHT($V22,3)="2SP"),VLOOKUP(CONCATENATE(LEFT($V22,2),"L"),$R$63:$T$90,3,FALSE),0)-IF(AND($W$16=H$18,$W$14&lt;&gt;$W$15,$W$16=$W$17,RIGHT($W22,3)="2SP"),VLOOKUP(CONCATENATE(LEFT($W22,2),"L"),$R$63:$T$90,3,FALSE),0)-IF(AND($X$16=H$18,$X$14&lt;&gt;$X$15,$X$16=$X$17,RIGHT($X22,3)="2SP"),VLOOKUP(CONCATENATE(LEFT($X22,2),"L"),$R$63:$T$90,3,FALSE),0)-IF(AND($Y$16=H$18,$Y$14&lt;&gt;$Y$15,$Y$16=$Y$17,RIGHT($Y22,3)="2SP"),VLOOKUP(CONCATENATE(LEFT($Y22,2),"L"),$R$63:$T$90,3,FALSE),0)+IF(AND($K$6="CE",$T$59="2 Phases",H$18&lt;&gt;""),IF(VLOOKUP(CONCATENATE($A$18,"Line"),'Supply Attribution'!$F$31:$G$37,2,FALSE)="Line3",$A22,0)+IF(VLOOKUP(CONCATENATE($B$18,"Line"),'Supply Attribution'!$F$31:$G$37,2,FALSE)="Line3",$B22,0)+IF(VLOOKUP(CONCATENATE($C$18,"Line"),'Supply Attribution'!$F$31:$G$37,2,FALSE)="Line3",$C22,0)+IF(VLOOKUP(CONCATENATE($D$18,"Line"),'Supply Attribution'!$F$31:$G$37,2,FALSE)="Line3",$D22,0)+IF(VLOOKUP(CONCATENATE($E$18,"Line"),'Supply Attribution'!$F$31:$G$37,2,FALSE)="Line3",$E22,0)+IF(VLOOKUP(CONCATENATE($F$18,"Line"),'Supply Attribution'!$F$31:$G$37,2,FALSE)="Line3",$F22,0)-IF(AND($K$16=I$18,$K$14&lt;&gt;$K$15,$K$16=$K$17,RIGHT($K22,3)="2SP"),VLOOKUP(CONCATENATE(LEFT($K22,2),"L"),$R$63:$T$90,3,FALSE),0)-IF(AND($L$16=I$18,$L$14&lt;&gt;$L$15,$L$16=$L$17,RIGHT($L22,3)="2SP"),VLOOKUP(CONCATENATE(LEFT($L22,2),"L"),$R$63:$T$90,3,FALSE),0)-IF(AND($M$16=I$18,$M$14&lt;&gt;$M$15,$M$16=$M$17,RIGHT($M22,3)="2SP"),VLOOKUP(CONCATENATE(LEFT($M22,2),"L"),$R$63:$T$90,3,FALSE),0)-IF(AND($N$16=I$18,$N$14&lt;&gt;$N$15,$N$16=$N$17,RIGHT($N22,3)="2SP"),VLOOKUP(CONCATENATE(LEFT($N22,2),"L"),$R$63:$T$90,3,FALSE),0)-IF(AND($O$16=I$18,$O$14&lt;&gt;$O$15,$O$16=$O$17,RIGHT($O22,3)="2SP"),VLOOKUP(CONCATENATE(LEFT($O22,2),"L"),$R$63:$T$90,3,FALSE),0)-IF(AND($P$16=I$18,$P$14&lt;&gt;$P$15,$P$16=$P$17,RIGHT($P22,3)="2SP"),VLOOKUP(CONCATENATE(LEFT($P22,2),"L"),$R$63:$T$90,3,FALSE),0)-IF(AND($Q$16=I$18,$Q$14&lt;&gt;$Q$15,$Q$16=$Q$17,RIGHT($Q22,3)="2SP"),VLOOKUP(CONCATENATE(LEFT($Q22,2),"L"),$R$63:$T$90,3,FALSE),0)-IF(AND($T$16=I$18,$T$14&lt;&gt;$T$15,$T$16=$T$17,RIGHT($T22,3)="2SP"),VLOOKUP(CONCATENATE(LEFT($T22,2),"L"),$R$63:$T$90,3,FALSE),0)-IF(AND($U$16=I$18,$U$14&lt;&gt;$U$15,$U$16=$U$17,RIGHT($U22,3)="2SP"),VLOOKUP(CONCATENATE(LEFT($U22,2),"L"),$R$63:$T$90,3,FALSE),0)-IF(AND($V$16=I$18,$V$14&lt;&gt;$V$15,$V$16=$V$17,RIGHT($V22,3)="2SP"),VLOOKUP(CONCATENATE(LEFT($V22,2),"L"),$R$63:$T$90,3,FALSE),0)-IF(AND($W$16=I$18,$W$14&lt;&gt;$W$15,$W$16=$W$17,RIGHT($W22,3)="2SP"),VLOOKUP(CONCATENATE(LEFT($W22,2),"L"),$R$63:$T$90,3,FALSE),0)-IF(AND($X$16=I$18,$X$14&lt;&gt;$X$15,$X$16=$X$17,RIGHT($X22,3)="2SP"),VLOOKUP(CONCATENATE(LEFT($X22,2),"L"),$R$63:$T$90,3,FALSE),0)-IF(AND($Y$16=I$18,$Y$14&lt;&gt;$Y$15,$Y$16=$Y$17,RIGHT($Y22,3)="2SP"),VLOOKUP(CONCATENATE(LEFT($Y22,2),"L"),$R$63:$T$90,3,FALSE),0),0),"")</f>
        <v/>
      </c>
      <c r="I22" s="269" t="str">
        <f>IF(I$18&lt;&gt;"",IF(VLOOKUP(CONCATENATE($A$18,"Line"),'Supply Attribution'!$F$31:$G$37,2,FALSE)=I$18,$A22,0)+IF(VLOOKUP(CONCATENATE($B$18,"Line"),'Supply Attribution'!$F$31:$G$37,2,FALSE)=I$18,$B22,0)+IF(VLOOKUP(CONCATENATE($C$18,"Line"),'Supply Attribution'!$F$31:$G$37,2,FALSE)=I$18,$C22,0)+IF(VLOOKUP(CONCATENATE($D$18,"Line"),'Supply Attribution'!$F$31:$G$37,2,FALSE)=I$18,$D22,0)+IF(VLOOKUP(CONCATENATE($E$18,"Line"),'Supply Attribution'!$F$31:$G$37,2,FALSE)=I$18,$E22,0)+IF(VLOOKUP(CONCATENATE($F$18,"Line"),'Supply Attribution'!$F$31:$G$37,2,FALSE)=I$18,$F22,0)+IF($K$6="UL",LEFT($S$90,2),0)-IF(AND($K$16=I$18,$K$14&lt;&gt;$K$15,$K$16=$K$17,RIGHT($K22,3)="2SP"),VLOOKUP(CONCATENATE(LEFT($K22,2),"L"),$R$63:$T$90,3,FALSE),0)-IF(AND($L$16=I$18,$L$14&lt;&gt;$L$15,$L$16=$L$17,RIGHT($L22,3)="2SP"),VLOOKUP(CONCATENATE(LEFT($L22,2),"L"),$R$63:$T$90,3,FALSE),0)-IF(AND($M$16=I$18,$M$14&lt;&gt;$M$15,$M$16=$M$17,RIGHT($M22,3)="2SP"),VLOOKUP(CONCATENATE(LEFT($M22,2),"L"),$R$63:$T$90,3,FALSE),0)-IF(AND($N$16=I$18,$N$14&lt;&gt;$N$15,$N$16=$N$17,RIGHT($N22,3)="2SP"),VLOOKUP(CONCATENATE(LEFT($N22,2),"L"),$R$63:$T$90,3,FALSE),0)-IF(AND($O$16=I$18,$O$14&lt;&gt;$O$15,$O$16=$O$17,RIGHT($O22,3)="2SP"),VLOOKUP(CONCATENATE(LEFT($O22,2),"L"),$R$63:$T$90,3,FALSE),0)-IF(AND($P$16=I$18,$P$14&lt;&gt;$P$15,$P$16=$P$17,RIGHT($P22,3)="2SP"),VLOOKUP(CONCATENATE(LEFT($P22,2),"L"),$R$63:$T$90,3,FALSE),0)-IF(AND($Q$16=I$18,$Q$14&lt;&gt;$Q$15,$Q$16=$Q$17,RIGHT($Q22,3)="2SP"),VLOOKUP(CONCATENATE(LEFT($Q22,2),"L"),$R$63:$T$90,3,FALSE),0)-IF(AND($T$16=I$18,$T$14&lt;&gt;$T$15,$T$16=$T$17,RIGHT($T22,3)="2SP"),VLOOKUP(CONCATENATE(LEFT($T22,2),"L"),$R$63:$T$90,3,FALSE),0)-IF(AND($U$16=I$18,$U$14&lt;&gt;$U$15,$U$16=$U$17,RIGHT($U22,3)="2SP"),VLOOKUP(CONCATENATE(LEFT($U22,2),"L"),$R$63:$T$90,3,FALSE),0)-IF(AND($V$16=I$18,$V$14&lt;&gt;$V$15,$V$16=$V$17,RIGHT($V22,3)="2SP"),VLOOKUP(CONCATENATE(LEFT($V22,2),"L"),$R$63:$T$90,3,FALSE),0)-IF(AND($W$16=I$18,$W$14&lt;&gt;$W$15,$W$16=$W$17,RIGHT($W22,3)="2SP"),VLOOKUP(CONCATENATE(LEFT($W22,2),"L"),$R$63:$T$90,3,FALSE),0)-IF(AND($X$16=I$18,$X$14&lt;&gt;$X$15,$X$16=$X$17,RIGHT($X22,3)="2SP"),VLOOKUP(CONCATENATE(LEFT($X22,2),"L"),$R$63:$T$90,3,FALSE),0)-IF(AND($Y$16=I$18,$Y$14&lt;&gt;$Y$15,$Y$16=$Y$17,RIGHT($Y22,3)="2SP"),VLOOKUP(CONCATENATE(LEFT($Y22,2),"L"),$R$63:$T$90,3,FALSE),0),"")</f>
        <v/>
      </c>
      <c r="J22" s="134">
        <f>J21+1</f>
        <v>2</v>
      </c>
      <c r="K22" s="135" t="s">
        <v>22</v>
      </c>
      <c r="L22" s="135" t="s">
        <v>390</v>
      </c>
      <c r="M22" s="135" t="s">
        <v>391</v>
      </c>
      <c r="N22" s="135" t="s">
        <v>24</v>
      </c>
      <c r="O22" s="135" t="s">
        <v>286</v>
      </c>
      <c r="P22" s="135"/>
      <c r="Q22" s="135"/>
      <c r="R22" s="135"/>
      <c r="S22" s="135"/>
      <c r="T22" s="135"/>
      <c r="U22" s="135"/>
      <c r="V22" s="135"/>
      <c r="W22" s="135"/>
      <c r="X22" s="135"/>
      <c r="Y22" s="135"/>
      <c r="Z22" s="136" t="s">
        <v>24</v>
      </c>
      <c r="AA22" s="136" t="s">
        <v>357</v>
      </c>
      <c r="AB22" s="137" t="s">
        <v>164</v>
      </c>
      <c r="AC22" s="137" t="s">
        <v>568</v>
      </c>
      <c r="AD22" s="137" t="s">
        <v>164</v>
      </c>
      <c r="AE22" s="138">
        <f t="shared" si="0"/>
        <v>2</v>
      </c>
      <c r="AF22" s="78"/>
    </row>
    <row r="23" spans="1:32" ht="13.15" customHeight="1">
      <c r="A23" s="264">
        <f>IF(AND($K23&lt;&gt;"",$K23&lt;&gt;"--",$K23&lt;&gt;"O3/CP",$K$14=A$18),IF(LEFT($K23,1)="P",VLOOKUP(CONCATENATE(LEFT($K23,2),"H"),$R$63:$T$91,3,FALSE),VLOOKUP($K23,$R$63:$T$91,3,FALSE)))+IF(AND($K23&lt;&gt;"",$K23&lt;&gt;"O3/CP",$K$15=A$18,MID($K23,4,1)="2",$K$15&lt;&gt;$K$14),VLOOKUP(CONCATENATE(LEFT($K23,2),"L"),$R$63:$T$91,3,FALSE),0)+IF(AND($K23="O3/CP",$K$14=A$18),VLOOKUP("O3",$R$63:$T$91,3,FALSE)+VLOOKUP("CP",$R$63:$T$91,3,FALSE),0)+IF(AND($L23&lt;&gt;"",$L23&lt;&gt;"--",$L23&lt;&gt;"O3/CP",$L$14=A$18),IF(LEFT($L23,1)="P",VLOOKUP(CONCATENATE(LEFT($L23,2),"H"),$R$63:$T$91,3,FALSE),VLOOKUP($L23,$R$63:$T$91,3,FALSE)))+IF(AND($L23&lt;&gt;"",$L23&lt;&gt;"O3/CP",$L$15=A$18,MID($L23,4,1)="2",$L$15&lt;&gt;$L$14),VLOOKUP(CONCATENATE(LEFT($L23,2),"L"),$R$63:$T$91,3,FALSE),0)+IF(AND($L23="O3/CP",$L$14=A$18),VLOOKUP("O3",$R$63:$T$91,3,FALSE)+VLOOKUP("CP",$R$63:$T$91,3,FALSE),0)+IF(AND($M23&lt;&gt;"",$M23&lt;&gt;"--",$M23&lt;&gt;"O3/CP",$M$14=A$18),IF(LEFT($M23,1)="P",VLOOKUP(CONCATENATE(LEFT($M23,2),"H"),$R$63:$T$91,3,FALSE),VLOOKUP($M23,$R$63:$T$91,3,FALSE)))+IF(AND($M23&lt;&gt;"",$M23&lt;&gt;"O3/CP",$M$15=A$18,MID($M23,4,1)="2",$M$15&lt;&gt;$M$14),VLOOKUP(CONCATENATE(LEFT($M23,2),"L"),$R$63:$T$91,3,FALSE),0)+IF(AND($M23="O3/CP",$M$14=A$18),VLOOKUP("O3",$R$63:$T$91,3,FALSE)+VLOOKUP("CP",$R$63:$T$91,3,FALSE),0)+IF(AND($N23&lt;&gt;"",$N23&lt;&gt;"--",$N23&lt;&gt;"O3/CP",$N$14=A$18),IF(LEFT($N23,1)="P",VLOOKUP(CONCATENATE(LEFT($N23,2),"H"),$R$63:$T$91,3,FALSE),VLOOKUP($N23,$R$63:$T$91,3,FALSE)))+IF(AND($N23&lt;&gt;"",$N23&lt;&gt;"O3/CP",$N$15=A$18,MID($N23,4,1)="2",$N$15&lt;&gt;$N$14),VLOOKUP(CONCATENATE(LEFT($N23,2),"L"),$R$63:$T$91,3,FALSE),0)+IF(AND($N23="O3/CP",$N$14=A$18),VLOOKUP("O3",$R$63:$T$91,3,FALSE)+VLOOKUP("CP",$R$63:$T$91,3,FALSE),0)+IF(AND($O23&lt;&gt;"",$O23&lt;&gt;"--",$O23&lt;&gt;"O3/CP",$O$14=A$18),IF(LEFT($O23,1)="P",VLOOKUP(CONCATENATE(LEFT($O23,2),"H"),$R$63:$T$91,3,FALSE),VLOOKUP($O23,$R$63:$T$91,3,FALSE)))+IF(AND($O23&lt;&gt;"",$O23&lt;&gt;"O3/CP",$O$15=A$18,MID($O23,4,1)="2",$O$15&lt;&gt;$O$14),VLOOKUP(CONCATENATE(LEFT($O23,2),"L"),$R$63:$T$91,3,FALSE),0)+IF(AND($O23="O3/CP",$O$14=A$18),VLOOKUP("O3",$R$63:$T$91,3,FALSE)+VLOOKUP("CP",$R$63:$T$91,3,FALSE),0)+IF(AND($P23&lt;&gt;"",$P23&lt;&gt;"--",$P23&lt;&gt;"O3/CP",$P$14=A$18),IF(LEFT($P23,1)="P",VLOOKUP(CONCATENATE(LEFT($P23,2),"H"),$R$63:$T$91,3,FALSE),VLOOKUP($P23,$R$63:$T$91,3,FALSE)))+IF(AND($P23&lt;&gt;"",$P23&lt;&gt;"O3/CP",$P$15=A$18,MID($P23,4,1)="2",$P$15&lt;&gt;$P$14),VLOOKUP(CONCATENATE(LEFT($P23,2),"L"),$R$63:$T$91,3,FALSE),0)+IF(AND($P23="O3/CP",$P$14=A$18),VLOOKUP("O3",$R$63:$T$91,3,FALSE)+VLOOKUP("CP",$R$63:$T$91,3,FALSE),0)+IF(AND($Q23&lt;&gt;"",$Q23&lt;&gt;"--",$Q23&lt;&gt;"O3/CP",$Q$14=A$18),IF(LEFT($Q23,1)="P",VLOOKUP(CONCATENATE(LEFT($Q23,2),"H"),$R$63:$T$91,3,FALSE),VLOOKUP($Q23,$R$63:$T$91,3,FALSE)))+IF(AND($Q23&lt;&gt;"",$Q23&lt;&gt;"O3/CP",$Q$15=A$18,MID($Q23,4,1)="2",$Q$15&lt;&gt;$Q$14),VLOOKUP(CONCATENATE(LEFT($Q23,2),"L"),$R$63:$T$91,3,FALSE),0)+IF(AND($Q23="O3/CP",$Q$14=A$18),VLOOKUP("O3",$R$63:$T$91,3,FALSE)+VLOOKUP("CP",$R$63:$T$91,3,FALSE),0)+IF(AND($R23&lt;&gt;"",$R23&lt;&gt;"--",$R23&lt;&gt;"O3/CP",$R$14=A$18),IF(LEFT($R23,1)="P",VLOOKUP(CONCATENATE(LEFT($R23,2),"H"),$R$63:$T$91,3,FALSE),VLOOKUP($R23,$R$63:$T$91,3,FALSE)))+IF(AND($R23&lt;&gt;"",$R23&lt;&gt;"O3/CP",$R$15=A$18,MID($R23,4,1)="2",$R$15&lt;&gt;$R$14),VLOOKUP(CONCATENATE(LEFT($R23,2),"L"),$R$63:$T$91,3,FALSE),0)+IF(AND($R23="O3/CP",$R$14=A$18),VLOOKUP("O3",$R$63:$T$91,3,FALSE)+VLOOKUP("CP",$R$63:$T$91,3,FALSE),0)+IF(AND($S23&lt;&gt;"",$S23&lt;&gt;"--",$S23&lt;&gt;"O3/CP",$S$14=A$18),IF(LEFT($S23,1)="P",VLOOKUP(CONCATENATE(LEFT($S23,2),"H"),$R$63:$T$91,3,FALSE),VLOOKUP($S23,$R$63:$T$91,3,FALSE)))+IF(AND($S23&lt;&gt;"",$S23&lt;&gt;"O3/CP",$S$15=A$18,MID($S23,4,1)="2",$S$15&lt;&gt;$S$14),VLOOKUP(CONCATENATE(LEFT($S23,2),"L"),$R$63:$T$91,3,FALSE),0)+IF(AND($S23="O3/CP",$S$14=A$18),VLOOKUP("O3",$R$63:$T$91,3,FALSE)+VLOOKUP("CP",$R$63:$T$91,3,FALSE),0)+IF(AND($T23&lt;&gt;"",$T23&lt;&gt;"--",$T23&lt;&gt;"O3/CP",$T$14=A$18),IF(LEFT($T23,1)="P",VLOOKUP(CONCATENATE(LEFT($T23,2),"H"),$R$63:$T$91,3,FALSE),VLOOKUP($T23,$R$63:$T$91,3,FALSE)))+IF(AND($T23&lt;&gt;"",$T23&lt;&gt;"O3/CP",$T$15=A$18,MID($T23,4,1)="2",$T$15&lt;&gt;$T$14),VLOOKUP(CONCATENATE(LEFT($T23,2),"L"),$R$63:$T$91,3,FALSE),0)+IF(AND($T23="O3/CP",$T$14=A$18),VLOOKUP("O3",$R$63:$T$91,3,FALSE)+VLOOKUP("CP",$R$63:$T$91,3,FALSE),0)+IF(AND($U23&lt;&gt;"",$U23&lt;&gt;"--",$U23&lt;&gt;"O3/CP",$U$14=A$18),IF(LEFT($U23,1)="P",VLOOKUP(CONCATENATE(LEFT($U23,2),"H"),$R$63:$T$91,3,FALSE),VLOOKUP($U23,$R$63:$T$91,3,FALSE)))+IF(AND($U23&lt;&gt;"",$U23&lt;&gt;"O3/CP",$U$15=A$18,MID($U23,4,1)="2",$U$15&lt;&gt;$U$14),VLOOKUP(CONCATENATE(LEFT($U23,2),"L"),$R$63:$T$91,3,FALSE),0)+IF(AND($U23="O3/CP",$T$14=A$18),VLOOKUP("O3",$R$63:$T$91,3,FALSE)+VLOOKUP("CP",$R$63:$T$91,3,FALSE),0)+IF(AND($V23&lt;&gt;"",$V23&lt;&gt;"--",$V23&lt;&gt;"O3/CP",$V$14=A$18),IF(LEFT($V23,1)="P",VLOOKUP(CONCATENATE(LEFT($V23,2),"H"),$R$63:$T$91,3,FALSE),VLOOKUP($V23,$R$63:$T$91,3,FALSE)))+IF(AND($V23&lt;&gt;"",$V23&lt;&gt;"O3/CP",$V$15=A$18,MID($V23,4,1)="2",$V$15&lt;&gt;$V$14),VLOOKUP(CONCATENATE(LEFT($V23,2),"L"),$R$63:$T$91,3,FALSE),0)+IF(AND($V23="O3/CP",$V$14=A$18),VLOOKUP("O3",$R$63:$T$91,3,FALSE)+VLOOKUP("CP",$R$63:$T$91,3,FALSE),0)+IF(AND($W23&lt;&gt;"",$W23&lt;&gt;"--",$W23&lt;&gt;"O3/CP",$W$14=A$18),IF(LEFT($W23,1)="P",VLOOKUP(CONCATENATE(LEFT($W23,2),"H"),$R$63:$T$91,3,FALSE),VLOOKUP($W23,$R$63:$T$91,3,FALSE)))+IF(AND($W23&lt;&gt;"",$W23&lt;&gt;"O3/CP",$W$15=A$18,MID($W23,4,1)="2",$W$15&lt;&gt;$W$14),VLOOKUP(CONCATENATE(LEFT($W23,2),"L"),$R$63:$T$91,3,FALSE),0)+IF(AND($W23="O3/CP",$W$14=A$18),VLOOKUP("O3",$R$63:$T$91,3,FALSE)+VLOOKUP("CP",$R$63:$T$91,3,FALSE),0)+IF(AND($X23&lt;&gt;"",$X23&lt;&gt;"--",$X23&lt;&gt;"O3/CP",$X$14=A$18),IF(LEFT($X23,1)="P",VLOOKUP(CONCATENATE(LEFT($X23,2),"H"),$R$63:$T$91,3,FALSE),VLOOKUP($X23,$R$63:$T$91,3,FALSE)))+IF(AND($X23&lt;&gt;"",$X23&lt;&gt;"O3/CP",$X$15=A$18,MID($X23,4,1)="2",$X$15&lt;&gt;$X$14),VLOOKUP(CONCATENATE(LEFT($X23,2),"L"),$R$63:$T$91,3,FALSE),0)+IF(AND($X23="O3/CP",$X$14=A$18),VLOOKUP("O3",$R$63:$T$91,3,FALSE)+VLOOKUP("CP",$R$63:$T$91,3,FALSE),0)+IF(AND($Y23&lt;&gt;"",$Y23&lt;&gt;"--",$Y23&lt;&gt;"O3/CP",$Y$14=A$18),IF(LEFT($Y23,1)="P",VLOOKUP(CONCATENATE(LEFT($Y23,2),"H"),$R$63:$T$91,3,FALSE),VLOOKUP($Y23,$R$63:$T$91,3,FALSE)))+IF(AND($Y23&lt;&gt;"",$Y23&lt;&gt;"O3/CP",$Y$15=A$18,MID($Y23,4,1)="2",$Y$15&lt;&gt;$Y$14),VLOOKUP(CONCATENATE(LEFT($Y23,2),"L"),$R$63:$T$91,3,FALSE),0)+IF(AND($Y23="O3/CP",$Y$14=A$18),VLOOKUP("O3",$R$63:$T$91,3,FALSE)+VLOOKUP("CP",$R$63:$T$91,3,FALSE),0)+IF(AND($K$6="CE",'[3]Supply Attribution'!$G$20=A$18),LEFT($S$90,2),0)+IF(AND($X$86&lt;&gt;"Not Set",$X$87=A$18),$X$86,0)</f>
        <v>13</v>
      </c>
      <c r="B23" s="271">
        <f>IF(AND($K23&lt;&gt;"",$K23&lt;&gt;"--",$K23&lt;&gt;"O3/CP",$K$14=B$18),IF(LEFT($K23,1)="P",VLOOKUP(CONCATENATE(LEFT($K23,2),"H"),$R$63:$T$91,3,FALSE),VLOOKUP($K23,$R$63:$T$91,3,FALSE)))+IF(AND($K23&lt;&gt;"",$K23&lt;&gt;"O3/CP",$K$15=B$18,MID($K23,4,1)="2",$K$15&lt;&gt;$K$14),VLOOKUP(CONCATENATE(LEFT($K23,2),"L"),$R$63:$T$91,3,FALSE),0)+IF(AND($K23="O3/CP",$K$14=B$18),VLOOKUP("O3",$R$63:$T$91,3,FALSE)+VLOOKUP("CP",$R$63:$T$91,3,FALSE),0)+IF(AND($L23&lt;&gt;"",$L23&lt;&gt;"--",$L23&lt;&gt;"O3/CP",$L$14=B$18),IF(LEFT($L23,1)="P",VLOOKUP(CONCATENATE(LEFT($L23,2),"H"),$R$63:$T$91,3,FALSE),VLOOKUP($L23,$R$63:$T$91,3,FALSE)))+IF(AND($L23&lt;&gt;"",$L23&lt;&gt;"O3/CP",$L$15=B$18,MID($L23,4,1)="2",$L$15&lt;&gt;$L$14),VLOOKUP(CONCATENATE(LEFT($L23,2),"L"),$R$63:$T$91,3,FALSE),0)+IF(AND($L23="O3/CP",$L$14=B$18),VLOOKUP("O3",$R$63:$T$91,3,FALSE)+VLOOKUP("CP",$R$63:$T$91,3,FALSE),0)+IF(AND($M23&lt;&gt;"",$M23&lt;&gt;"--",$M23&lt;&gt;"O3/CP",$M$14=B$18),IF(LEFT($M23,1)="P",VLOOKUP(CONCATENATE(LEFT($M23,2),"H"),$R$63:$T$91,3,FALSE),VLOOKUP($M23,$R$63:$T$91,3,FALSE)))+IF(AND($M23&lt;&gt;"",$M23&lt;&gt;"O3/CP",$M$15=B$18,MID($M23,4,1)="2",$M$15&lt;&gt;$M$14),VLOOKUP(CONCATENATE(LEFT($M23,2),"L"),$R$63:$T$91,3,FALSE),0)+IF(AND($M23="O3/CP",$M$14=B$18),VLOOKUP("O3",$R$63:$T$91,3,FALSE)+VLOOKUP("CP",$R$63:$T$91,3,FALSE),0)+IF(AND($N23&lt;&gt;"",$N23&lt;&gt;"--",$N23&lt;&gt;"O3/CP",$N$14=B$18),IF(LEFT($N23,1)="P",VLOOKUP(CONCATENATE(LEFT($N23,2),"H"),$R$63:$T$91,3,FALSE),VLOOKUP($N23,$R$63:$T$91,3,FALSE)))+IF(AND($N23&lt;&gt;"",$N23&lt;&gt;"O3/CP",$N$15=B$18,MID($N23,4,1)="2",$N$15&lt;&gt;$N$14),VLOOKUP(CONCATENATE(LEFT($N23,2),"L"),$R$63:$T$91,3,FALSE),0)+IF(AND($N23="O3/CP",$N$14=B$18),VLOOKUP("O3",$R$63:$T$91,3,FALSE)+VLOOKUP("CP",$R$63:$T$91,3,FALSE),0)+IF(AND($O23&lt;&gt;"",$O23&lt;&gt;"--",$O23&lt;&gt;"O3/CP",$O$14=B$18),IF(LEFT($O23,1)="P",VLOOKUP(CONCATENATE(LEFT($O23,2),"H"),$R$63:$T$91,3,FALSE),VLOOKUP($O23,$R$63:$T$91,3,FALSE)))+IF(AND($O23&lt;&gt;"",$O23&lt;&gt;"O3/CP",$O$15=B$18,MID($O23,4,1)="2",$O$15&lt;&gt;$O$14),VLOOKUP(CONCATENATE(LEFT($O23,2),"L"),$R$63:$T$91,3,FALSE),0)+IF(AND($O23="O3/CP",$O$14=B$18),VLOOKUP("O3",$R$63:$T$91,3,FALSE)+VLOOKUP("CP",$R$63:$T$91,3,FALSE),0)+IF(AND($P23&lt;&gt;"",$P23&lt;&gt;"--",$P23&lt;&gt;"O3/CP",$P$14=B$18),IF(LEFT($P23,1)="P",VLOOKUP(CONCATENATE(LEFT($P23,2),"H"),$R$63:$T$91,3,FALSE),VLOOKUP($P23,$R$63:$T$91,3,FALSE)))+IF(AND($P23&lt;&gt;"",$P23&lt;&gt;"O3/CP",$P$15=B$18,MID($P23,4,1)="2",$P$15&lt;&gt;$P$14),VLOOKUP(CONCATENATE(LEFT($P23,2),"L"),$R$63:$T$91,3,FALSE),0)+IF(AND($P23="O3/CP",$P$14=B$18),VLOOKUP("O3",$R$63:$T$91,3,FALSE)+VLOOKUP("CP",$R$63:$T$91,3,FALSE),0)+IF(AND($Q23&lt;&gt;"",$Q23&lt;&gt;"--",$Q23&lt;&gt;"O3/CP",$Q$14=B$18),IF(LEFT($Q23,1)="P",VLOOKUP(CONCATENATE(LEFT($Q23,2),"H"),$R$63:$T$91,3,FALSE),VLOOKUP($Q23,$R$63:$T$91,3,FALSE)))+IF(AND($Q23&lt;&gt;"",$Q23&lt;&gt;"O3/CP",$Q$15=B$18,MID($Q23,4,1)="2",$Q$15&lt;&gt;$Q$14),VLOOKUP(CONCATENATE(LEFT($Q23,2),"L"),$R$63:$T$91,3,FALSE),0)+IF(AND($Q23="O3/CP",$Q$14=B$18),VLOOKUP("O3",$R$63:$T$91,3,FALSE)+VLOOKUP("CP",$R$63:$T$91,3,FALSE),0)+IF(AND($R23&lt;&gt;"",$R23&lt;&gt;"--",$R23&lt;&gt;"O3/CP",$R$14=B$18),IF(LEFT($R23,1)="P",VLOOKUP(CONCATENATE(LEFT($R23,2),"H"),$R$63:$T$91,3,FALSE),VLOOKUP($R23,$R$63:$T$91,3,FALSE)))+IF(AND($R23&lt;&gt;"",$R23&lt;&gt;"O3/CP",$R$15=B$18,MID($R23,4,1)="2",$R$15&lt;&gt;$R$14),VLOOKUP(CONCATENATE(LEFT($R23,2),"L"),$R$63:$T$91,3,FALSE),0)+IF(AND($R23="O3/CP",$R$14=B$18),VLOOKUP("O3",$R$63:$T$91,3,FALSE)+VLOOKUP("CP",$R$63:$T$91,3,FALSE),0)+IF(AND($S23&lt;&gt;"",$S23&lt;&gt;"--",$S23&lt;&gt;"O3/CP",$S$14=B$18),IF(LEFT($S23,1)="P",VLOOKUP(CONCATENATE(LEFT($S23,2),"H"),$R$63:$T$91,3,FALSE),VLOOKUP($S23,$R$63:$T$91,3,FALSE)))+IF(AND($S23&lt;&gt;"",$S23&lt;&gt;"O3/CP",$S$15=B$18,MID($S23,4,1)="2",$S$15&lt;&gt;$S$14),VLOOKUP(CONCATENATE(LEFT($S23,2),"L"),$R$63:$T$91,3,FALSE),0)+IF(AND($S23="O3/CP",$S$14=B$18),VLOOKUP("O3",$R$63:$T$91,3,FALSE)+VLOOKUP("CP",$R$63:$T$91,3,FALSE),0)+IF(AND($T23&lt;&gt;"",$T23&lt;&gt;"--",$T23&lt;&gt;"O3/CP",$T$14=B$18),IF(LEFT($T23,1)="P",VLOOKUP(CONCATENATE(LEFT($T23,2),"H"),$R$63:$T$91,3,FALSE),VLOOKUP($T23,$R$63:$T$91,3,FALSE)))+IF(AND($T23&lt;&gt;"",$T23&lt;&gt;"O3/CP",$T$15=B$18,MID($T23,4,1)="2",$T$15&lt;&gt;$T$14),VLOOKUP(CONCATENATE(LEFT($T23,2),"L"),$R$63:$T$91,3,FALSE),0)+IF(AND($T23="O3/CP",$T$14=B$18),VLOOKUP("O3",$R$63:$T$91,3,FALSE)+VLOOKUP("CP",$R$63:$T$91,3,FALSE),0)+IF(AND($U23&lt;&gt;"",$U23&lt;&gt;"--",$U23&lt;&gt;"O3/CP",$U$14=B$18),IF(LEFT($U23,1)="P",VLOOKUP(CONCATENATE(LEFT($U23,2),"H"),$R$63:$T$91,3,FALSE),VLOOKUP($U23,$R$63:$T$91,3,FALSE)))+IF(AND($U23&lt;&gt;"",$U23&lt;&gt;"O3/CP",$U$15=B$18,MID($U23,4,1)="2",$U$15&lt;&gt;$U$14),VLOOKUP(CONCATENATE(LEFT($U23,2),"L"),$R$63:$T$91,3,FALSE),0)+IF(AND($U23="O3/CP",$T$14=B$18),VLOOKUP("O3",$R$63:$T$91,3,FALSE)+VLOOKUP("CP",$R$63:$T$91,3,FALSE),0)+IF(AND($V23&lt;&gt;"",$V23&lt;&gt;"--",$V23&lt;&gt;"O3/CP",$V$14=B$18),IF(LEFT($V23,1)="P",VLOOKUP(CONCATENATE(LEFT($V23,2),"H"),$R$63:$T$91,3,FALSE),VLOOKUP($V23,$R$63:$T$91,3,FALSE)))+IF(AND($V23&lt;&gt;"",$V23&lt;&gt;"O3/CP",$V$15=B$18,MID($V23,4,1)="2",$V$15&lt;&gt;$V$14),VLOOKUP(CONCATENATE(LEFT($V23,2),"L"),$R$63:$T$91,3,FALSE),0)+IF(AND($V23="O3/CP",$V$14=B$18),VLOOKUP("O3",$R$63:$T$91,3,FALSE)+VLOOKUP("CP",$R$63:$T$91,3,FALSE),0)+IF(AND($W23&lt;&gt;"",$W23&lt;&gt;"--",$W23&lt;&gt;"O3/CP",$W$14=B$18),IF(LEFT($W23,1)="P",VLOOKUP(CONCATENATE(LEFT($W23,2),"H"),$R$63:$T$91,3,FALSE),VLOOKUP($W23,$R$63:$T$91,3,FALSE)))+IF(AND($W23&lt;&gt;"",$W23&lt;&gt;"O3/CP",$W$15=B$18,MID($W23,4,1)="2",$W$15&lt;&gt;$W$14),VLOOKUP(CONCATENATE(LEFT($W23,2),"L"),$R$63:$T$91,3,FALSE),0)+IF(AND($W23="O3/CP",$W$14=B$18),VLOOKUP("O3",$R$63:$T$91,3,FALSE)+VLOOKUP("CP",$R$63:$T$91,3,FALSE),0)+IF(AND($X23&lt;&gt;"",$X23&lt;&gt;"--",$X23&lt;&gt;"O3/CP",$X$14=B$18),IF(LEFT($X23,1)="P",VLOOKUP(CONCATENATE(LEFT($X23,2),"H"),$R$63:$T$91,3,FALSE),VLOOKUP($X23,$R$63:$T$91,3,FALSE)))+IF(AND($X23&lt;&gt;"",$X23&lt;&gt;"O3/CP",$X$15=B$18,MID($X23,4,1)="2",$X$15&lt;&gt;$X$14),VLOOKUP(CONCATENATE(LEFT($X23,2),"L"),$R$63:$T$91,3,FALSE),0)+IF(AND($X23="O3/CP",$X$14=B$18),VLOOKUP("O3",$R$63:$T$91,3,FALSE)+VLOOKUP("CP",$R$63:$T$91,3,FALSE),0)+IF(AND($Y23&lt;&gt;"",$Y23&lt;&gt;"--",$Y23&lt;&gt;"O3/CP",$Y$14=B$18),IF(LEFT($Y23,1)="P",VLOOKUP(CONCATENATE(LEFT($Y23,2),"H"),$R$63:$T$91,3,FALSE),VLOOKUP($Y23,$R$63:$T$91,3,FALSE)))+IF(AND($Y23&lt;&gt;"",$Y23&lt;&gt;"O3/CP",$Y$15=B$18,MID($Y23,4,1)="2",$Y$15&lt;&gt;$Y$14),VLOOKUP(CONCATENATE(LEFT($Y23,2),"L"),$R$63:$T$91,3,FALSE),0)+IF(AND($Y23="O3/CP",$Y$14=B$18),VLOOKUP("O3",$R$63:$T$91,3,FALSE)+VLOOKUP("CP",$R$63:$T$91,3,FALSE),0)+IF(AND($K$6="CE",'[3]Supply Attribution'!$G$20=B$18),LEFT($S$90,2),0)+IF(AND($X$86&lt;&gt;"Not Set",$X$87=B$18),$X$86,0)</f>
        <v>6</v>
      </c>
      <c r="C23" s="271">
        <f>IF(AND($K23&lt;&gt;"",$K23&lt;&gt;"--",$K23&lt;&gt;"O3/CP",$K$14=C$18),IF(LEFT($K23,1)="P",VLOOKUP(CONCATENATE(LEFT($K23,2),"H"),$R$63:$T$91,3,FALSE),VLOOKUP($K23,$R$63:$T$91,3,FALSE)))+IF(AND($K23&lt;&gt;"",$K23&lt;&gt;"O3/CP",$K$15=C$18,MID($K23,4,1)="2",$K$15&lt;&gt;$K$14),VLOOKUP(CONCATENATE(LEFT($K23,2),"L"),$R$63:$T$91,3,FALSE),0)+IF(AND($K23="O3/CP",$K$14=C$18),VLOOKUP("O3",$R$63:$T$91,3,FALSE)+VLOOKUP("CP",$R$63:$T$91,3,FALSE),0)+IF(AND($L23&lt;&gt;"",$L23&lt;&gt;"--",$L23&lt;&gt;"O3/CP",$L$14=C$18),IF(LEFT($L23,1)="P",VLOOKUP(CONCATENATE(LEFT($L23,2),"H"),$R$63:$T$91,3,FALSE),VLOOKUP($L23,$R$63:$T$91,3,FALSE)))+IF(AND($L23&lt;&gt;"",$L23&lt;&gt;"O3/CP",$L$15=C$18,MID($L23,4,1)="2",$L$15&lt;&gt;$L$14),VLOOKUP(CONCATENATE(LEFT($L23,2),"L"),$R$63:$T$91,3,FALSE),0)+IF(AND($L23="O3/CP",$L$14=C$18),VLOOKUP("O3",$R$63:$T$91,3,FALSE)+VLOOKUP("CP",$R$63:$T$91,3,FALSE),0)+IF(AND($M23&lt;&gt;"",$M23&lt;&gt;"--",$M23&lt;&gt;"O3/CP",$M$14=C$18),IF(LEFT($M23,1)="P",VLOOKUP(CONCATENATE(LEFT($M23,2),"H"),$R$63:$T$91,3,FALSE),VLOOKUP($M23,$R$63:$T$91,3,FALSE)))+IF(AND($M23&lt;&gt;"",$M23&lt;&gt;"O3/CP",$M$15=C$18,MID($M23,4,1)="2",$M$15&lt;&gt;$M$14),VLOOKUP(CONCATENATE(LEFT($M23,2),"L"),$R$63:$T$91,3,FALSE),0)+IF(AND($M23="O3/CP",$M$14=C$18),VLOOKUP("O3",$R$63:$T$91,3,FALSE)+VLOOKUP("CP",$R$63:$T$91,3,FALSE),0)+IF(AND($N23&lt;&gt;"",$N23&lt;&gt;"--",$N23&lt;&gt;"O3/CP",$N$14=C$18),IF(LEFT($N23,1)="P",VLOOKUP(CONCATENATE(LEFT($N23,2),"H"),$R$63:$T$91,3,FALSE),VLOOKUP($N23,$R$63:$T$91,3,FALSE)))+IF(AND($N23&lt;&gt;"",$N23&lt;&gt;"O3/CP",$N$15=C$18,MID($N23,4,1)="2",$N$15&lt;&gt;$N$14),VLOOKUP(CONCATENATE(LEFT($N23,2),"L"),$R$63:$T$91,3,FALSE),0)+IF(AND($N23="O3/CP",$N$14=C$18),VLOOKUP("O3",$R$63:$T$91,3,FALSE)+VLOOKUP("CP",$R$63:$T$91,3,FALSE),0)+IF(AND($O23&lt;&gt;"",$O23&lt;&gt;"--",$O23&lt;&gt;"O3/CP",$O$14=C$18),IF(LEFT($O23,1)="P",VLOOKUP(CONCATENATE(LEFT($O23,2),"H"),$R$63:$T$91,3,FALSE),VLOOKUP($O23,$R$63:$T$91,3,FALSE)))+IF(AND($O23&lt;&gt;"",$O23&lt;&gt;"O3/CP",$O$15=C$18,MID($O23,4,1)="2",$O$15&lt;&gt;$O$14),VLOOKUP(CONCATENATE(LEFT($O23,2),"L"),$R$63:$T$91,3,FALSE),0)+IF(AND($O23="O3/CP",$O$14=C$18),VLOOKUP("O3",$R$63:$T$91,3,FALSE)+VLOOKUP("CP",$R$63:$T$91,3,FALSE),0)+IF(AND($P23&lt;&gt;"",$P23&lt;&gt;"--",$P23&lt;&gt;"O3/CP",$P$14=C$18),IF(LEFT($P23,1)="P",VLOOKUP(CONCATENATE(LEFT($P23,2),"H"),$R$63:$T$91,3,FALSE),VLOOKUP($P23,$R$63:$T$91,3,FALSE)))+IF(AND($P23&lt;&gt;"",$P23&lt;&gt;"O3/CP",$P$15=C$18,MID($P23,4,1)="2",$P$15&lt;&gt;$P$14),VLOOKUP(CONCATENATE(LEFT($P23,2),"L"),$R$63:$T$91,3,FALSE),0)+IF(AND($P23="O3/CP",$P$14=C$18),VLOOKUP("O3",$R$63:$T$91,3,FALSE)+VLOOKUP("CP",$R$63:$T$91,3,FALSE),0)+IF(AND($Q23&lt;&gt;"",$Q23&lt;&gt;"--",$Q23&lt;&gt;"O3/CP",$Q$14=C$18),IF(LEFT($Q23,1)="P",VLOOKUP(CONCATENATE(LEFT($Q23,2),"H"),$R$63:$T$91,3,FALSE),VLOOKUP($Q23,$R$63:$T$91,3,FALSE)))+IF(AND($Q23&lt;&gt;"",$Q23&lt;&gt;"O3/CP",$Q$15=C$18,MID($Q23,4,1)="2",$Q$15&lt;&gt;$Q$14),VLOOKUP(CONCATENATE(LEFT($Q23,2),"L"),$R$63:$T$91,3,FALSE),0)+IF(AND($Q23="O3/CP",$Q$14=C$18),VLOOKUP("O3",$R$63:$T$91,3,FALSE)+VLOOKUP("CP",$R$63:$T$91,3,FALSE),0)+IF(AND($R23&lt;&gt;"",$R23&lt;&gt;"--",$R23&lt;&gt;"O3/CP",$R$14=C$18),IF(LEFT($R23,1)="P",VLOOKUP(CONCATENATE(LEFT($R23,2),"H"),$R$63:$T$91,3,FALSE),VLOOKUP($R23,$R$63:$T$91,3,FALSE)))+IF(AND($R23&lt;&gt;"",$R23&lt;&gt;"O3/CP",$R$15=C$18,MID($R23,4,1)="2",$R$15&lt;&gt;$R$14),VLOOKUP(CONCATENATE(LEFT($R23,2),"L"),$R$63:$T$91,3,FALSE),0)+IF(AND($R23="O3/CP",$R$14=C$18),VLOOKUP("O3",$R$63:$T$91,3,FALSE)+VLOOKUP("CP",$R$63:$T$91,3,FALSE),0)+IF(AND($S23&lt;&gt;"",$S23&lt;&gt;"--",$S23&lt;&gt;"O3/CP",$S$14=C$18),IF(LEFT($S23,1)="P",VLOOKUP(CONCATENATE(LEFT($S23,2),"H"),$R$63:$T$91,3,FALSE),VLOOKUP($S23,$R$63:$T$91,3,FALSE)))+IF(AND($S23&lt;&gt;"",$S23&lt;&gt;"O3/CP",$S$15=C$18,MID($S23,4,1)="2",$S$15&lt;&gt;$S$14),VLOOKUP(CONCATENATE(LEFT($S23,2),"L"),$R$63:$T$91,3,FALSE),0)+IF(AND($S23="O3/CP",$S$14=C$18),VLOOKUP("O3",$R$63:$T$91,3,FALSE)+VLOOKUP("CP",$R$63:$T$91,3,FALSE),0)+IF(AND($T23&lt;&gt;"",$T23&lt;&gt;"--",$T23&lt;&gt;"O3/CP",$T$14=C$18),IF(LEFT($T23,1)="P",VLOOKUP(CONCATENATE(LEFT($T23,2),"H"),$R$63:$T$91,3,FALSE),VLOOKUP($T23,$R$63:$T$91,3,FALSE)))+IF(AND($T23&lt;&gt;"",$T23&lt;&gt;"O3/CP",$T$15=C$18,MID($T23,4,1)="2",$T$15&lt;&gt;$T$14),VLOOKUP(CONCATENATE(LEFT($T23,2),"L"),$R$63:$T$91,3,FALSE),0)+IF(AND($T23="O3/CP",$T$14=C$18),VLOOKUP("O3",$R$63:$T$91,3,FALSE)+VLOOKUP("CP",$R$63:$T$91,3,FALSE),0)+IF(AND($U23&lt;&gt;"",$U23&lt;&gt;"--",$U23&lt;&gt;"O3/CP",$U$14=C$18),IF(LEFT($U23,1)="P",VLOOKUP(CONCATENATE(LEFT($U23,2),"H"),$R$63:$T$91,3,FALSE),VLOOKUP($U23,$R$63:$T$91,3,FALSE)))+IF(AND($U23&lt;&gt;"",$U23&lt;&gt;"O3/CP",$U$15=C$18,MID($U23,4,1)="2",$U$15&lt;&gt;$U$14),VLOOKUP(CONCATENATE(LEFT($U23,2),"L"),$R$63:$T$91,3,FALSE),0)+IF(AND($U23="O3/CP",$T$14=C$18),VLOOKUP("O3",$R$63:$T$91,3,FALSE)+VLOOKUP("CP",$R$63:$T$91,3,FALSE),0)+IF(AND($V23&lt;&gt;"",$V23&lt;&gt;"--",$V23&lt;&gt;"O3/CP",$V$14=C$18),IF(LEFT($V23,1)="P",VLOOKUP(CONCATENATE(LEFT($V23,2),"H"),$R$63:$T$91,3,FALSE),VLOOKUP($V23,$R$63:$T$91,3,FALSE)))+IF(AND($V23&lt;&gt;"",$V23&lt;&gt;"O3/CP",$V$15=C$18,MID($V23,4,1)="2",$V$15&lt;&gt;$V$14),VLOOKUP(CONCATENATE(LEFT($V23,2),"L"),$R$63:$T$91,3,FALSE),0)+IF(AND($V23="O3/CP",$V$14=C$18),VLOOKUP("O3",$R$63:$T$91,3,FALSE)+VLOOKUP("CP",$R$63:$T$91,3,FALSE),0)+IF(AND($W23&lt;&gt;"",$W23&lt;&gt;"--",$W23&lt;&gt;"O3/CP",$W$14=C$18),IF(LEFT($W23,1)="P",VLOOKUP(CONCATENATE(LEFT($W23,2),"H"),$R$63:$T$91,3,FALSE),VLOOKUP($W23,$R$63:$T$91,3,FALSE)))+IF(AND($W23&lt;&gt;"",$W23&lt;&gt;"O3/CP",$W$15=C$18,MID($W23,4,1)="2",$W$15&lt;&gt;$W$14),VLOOKUP(CONCATENATE(LEFT($W23,2),"L"),$R$63:$T$91,3,FALSE),0)+IF(AND($W23="O3/CP",$W$14=C$18),VLOOKUP("O3",$R$63:$T$91,3,FALSE)+VLOOKUP("CP",$R$63:$T$91,3,FALSE),0)+IF(AND($X23&lt;&gt;"",$X23&lt;&gt;"--",$X23&lt;&gt;"O3/CP",$X$14=C$18),IF(LEFT($X23,1)="P",VLOOKUP(CONCATENATE(LEFT($X23,2),"H"),$R$63:$T$91,3,FALSE),VLOOKUP($X23,$R$63:$T$91,3,FALSE)))+IF(AND($X23&lt;&gt;"",$X23&lt;&gt;"O3/CP",$X$15=C$18,MID($X23,4,1)="2",$X$15&lt;&gt;$X$14),VLOOKUP(CONCATENATE(LEFT($X23,2),"L"),$R$63:$T$91,3,FALSE),0)+IF(AND($X23="O3/CP",$X$14=C$18),VLOOKUP("O3",$R$63:$T$91,3,FALSE)+VLOOKUP("CP",$R$63:$T$91,3,FALSE),0)+IF(AND($Y23&lt;&gt;"",$Y23&lt;&gt;"--",$Y23&lt;&gt;"O3/CP",$Y$14=C$18),IF(LEFT($Y23,1)="P",VLOOKUP(CONCATENATE(LEFT($Y23,2),"H"),$R$63:$T$91,3,FALSE),VLOOKUP($Y23,$R$63:$T$91,3,FALSE)))+IF(AND($Y23&lt;&gt;"",$Y23&lt;&gt;"O3/CP",$Y$15=C$18,MID($Y23,4,1)="2",$Y$15&lt;&gt;$Y$14),VLOOKUP(CONCATENATE(LEFT($Y23,2),"L"),$R$63:$T$91,3,FALSE),0)+IF(AND($Y23="O3/CP",$Y$14=C$18),VLOOKUP("O3",$R$63:$T$91,3,FALSE)+VLOOKUP("CP",$R$63:$T$91,3,FALSE),0)+IF(AND($K$6="CE",'[3]Supply Attribution'!$G$20=C$18),LEFT($S$90,2),0)+IF(AND($X$86&lt;&gt;"Not Set",$X$87=C$18),$X$86,0)</f>
        <v>12</v>
      </c>
      <c r="D23" s="271">
        <f>IF(AND($K23&lt;&gt;"",$K23&lt;&gt;"--",$K23&lt;&gt;"O3/CP",$K$14=D$18),IF(LEFT($K23,1)="P",VLOOKUP(CONCATENATE(LEFT($K23,2),"H"),$R$63:$T$91,3,FALSE),VLOOKUP($K23,$R$63:$T$91,3,FALSE)))+IF(AND($K23&lt;&gt;"",$K23&lt;&gt;"O3/CP",$K$15=D$18,MID($K23,4,1)="2",$K$15&lt;&gt;$K$14),VLOOKUP(CONCATENATE(LEFT($K23,2),"L"),$R$63:$T$91,3,FALSE),0)+IF(AND($K23="O3/CP",$K$14=D$18),VLOOKUP("O3",$R$63:$T$91,3,FALSE)+VLOOKUP("CP",$R$63:$T$91,3,FALSE),0)+IF(AND($L23&lt;&gt;"",$L23&lt;&gt;"--",$L23&lt;&gt;"O3/CP",$L$14=D$18),IF(LEFT($L23,1)="P",VLOOKUP(CONCATENATE(LEFT($L23,2),"H"),$R$63:$T$91,3,FALSE),VLOOKUP($L23,$R$63:$T$91,3,FALSE)))+IF(AND($L23&lt;&gt;"",$L23&lt;&gt;"O3/CP",$L$15=D$18,MID($L23,4,1)="2",$L$15&lt;&gt;$L$14),VLOOKUP(CONCATENATE(LEFT($L23,2),"L"),$R$63:$T$91,3,FALSE),0)+IF(AND($L23="O3/CP",$L$14=D$18),VLOOKUP("O3",$R$63:$T$91,3,FALSE)+VLOOKUP("CP",$R$63:$T$91,3,FALSE),0)+IF(AND($M23&lt;&gt;"",$M23&lt;&gt;"--",$M23&lt;&gt;"O3/CP",$M$14=D$18),IF(LEFT($M23,1)="P",VLOOKUP(CONCATENATE(LEFT($M23,2),"H"),$R$63:$T$91,3,FALSE),VLOOKUP($M23,$R$63:$T$91,3,FALSE)))+IF(AND($M23&lt;&gt;"",$M23&lt;&gt;"O3/CP",$M$15=D$18,MID($M23,4,1)="2",$M$15&lt;&gt;$M$14),VLOOKUP(CONCATENATE(LEFT($M23,2),"L"),$R$63:$T$91,3,FALSE),0)+IF(AND($M23="O3/CP",$M$14=D$18),VLOOKUP("O3",$R$63:$T$91,3,FALSE)+VLOOKUP("CP",$R$63:$T$91,3,FALSE),0)+IF(AND($N23&lt;&gt;"",$N23&lt;&gt;"--",$N23&lt;&gt;"O3/CP",$N$14=D$18),IF(LEFT($N23,1)="P",VLOOKUP(CONCATENATE(LEFT($N23,2),"H"),$R$63:$T$91,3,FALSE),VLOOKUP($N23,$R$63:$T$91,3,FALSE)))+IF(AND($N23&lt;&gt;"",$N23&lt;&gt;"O3/CP",$N$15=D$18,MID($N23,4,1)="2",$N$15&lt;&gt;$N$14),VLOOKUP(CONCATENATE(LEFT($N23,2),"L"),$R$63:$T$91,3,FALSE),0)+IF(AND($N23="O3/CP",$N$14=D$18),VLOOKUP("O3",$R$63:$T$91,3,FALSE)+VLOOKUP("CP",$R$63:$T$91,3,FALSE),0)+IF(AND($O23&lt;&gt;"",$O23&lt;&gt;"--",$O23&lt;&gt;"O3/CP",$O$14=D$18),IF(LEFT($O23,1)="P",VLOOKUP(CONCATENATE(LEFT($O23,2),"H"),$R$63:$T$91,3,FALSE),VLOOKUP($O23,$R$63:$T$91,3,FALSE)))+IF(AND($O23&lt;&gt;"",$O23&lt;&gt;"O3/CP",$O$15=D$18,MID($O23,4,1)="2",$O$15&lt;&gt;$O$14),VLOOKUP(CONCATENATE(LEFT($O23,2),"L"),$R$63:$T$91,3,FALSE),0)+IF(AND($O23="O3/CP",$O$14=D$18),VLOOKUP("O3",$R$63:$T$91,3,FALSE)+VLOOKUP("CP",$R$63:$T$91,3,FALSE),0)+IF(AND($P23&lt;&gt;"",$P23&lt;&gt;"--",$P23&lt;&gt;"O3/CP",$P$14=D$18),IF(LEFT($P23,1)="P",VLOOKUP(CONCATENATE(LEFT($P23,2),"H"),$R$63:$T$91,3,FALSE),VLOOKUP($P23,$R$63:$T$91,3,FALSE)))+IF(AND($P23&lt;&gt;"",$P23&lt;&gt;"O3/CP",$P$15=D$18,MID($P23,4,1)="2",$P$15&lt;&gt;$P$14),VLOOKUP(CONCATENATE(LEFT($P23,2),"L"),$R$63:$T$91,3,FALSE),0)+IF(AND($P23="O3/CP",$P$14=D$18),VLOOKUP("O3",$R$63:$T$91,3,FALSE)+VLOOKUP("CP",$R$63:$T$91,3,FALSE),0)+IF(AND($Q23&lt;&gt;"",$Q23&lt;&gt;"--",$Q23&lt;&gt;"O3/CP",$Q$14=D$18),IF(LEFT($Q23,1)="P",VLOOKUP(CONCATENATE(LEFT($Q23,2),"H"),$R$63:$T$91,3,FALSE),VLOOKUP($Q23,$R$63:$T$91,3,FALSE)))+IF(AND($Q23&lt;&gt;"",$Q23&lt;&gt;"O3/CP",$Q$15=D$18,MID($Q23,4,1)="2",$Q$15&lt;&gt;$Q$14),VLOOKUP(CONCATENATE(LEFT($Q23,2),"L"),$R$63:$T$91,3,FALSE),0)+IF(AND($Q23="O3/CP",$Q$14=D$18),VLOOKUP("O3",$R$63:$T$91,3,FALSE)+VLOOKUP("CP",$R$63:$T$91,3,FALSE),0)+IF(AND($R23&lt;&gt;"",$R23&lt;&gt;"--",$R23&lt;&gt;"O3/CP",$R$14=D$18),IF(LEFT($R23,1)="P",VLOOKUP(CONCATENATE(LEFT($R23,2),"H"),$R$63:$T$91,3,FALSE),VLOOKUP($R23,$R$63:$T$91,3,FALSE)))+IF(AND($R23&lt;&gt;"",$R23&lt;&gt;"O3/CP",$R$15=D$18,MID($R23,4,1)="2",$R$15&lt;&gt;$R$14),VLOOKUP(CONCATENATE(LEFT($R23,2),"L"),$R$63:$T$91,3,FALSE),0)+IF(AND($R23="O3/CP",$R$14=D$18),VLOOKUP("O3",$R$63:$T$91,3,FALSE)+VLOOKUP("CP",$R$63:$T$91,3,FALSE),0)+IF(AND($S23&lt;&gt;"",$S23&lt;&gt;"--",$S23&lt;&gt;"O3/CP",$S$14=D$18),IF(LEFT($S23,1)="P",VLOOKUP(CONCATENATE(LEFT($S23,2),"H"),$R$63:$T$91,3,FALSE),VLOOKUP($S23,$R$63:$T$91,3,FALSE)))+IF(AND($S23&lt;&gt;"",$S23&lt;&gt;"O3/CP",$S$15=D$18,MID($S23,4,1)="2",$S$15&lt;&gt;$S$14),VLOOKUP(CONCATENATE(LEFT($S23,2),"L"),$R$63:$T$91,3,FALSE),0)+IF(AND($S23="O3/CP",$S$14=D$18),VLOOKUP("O3",$R$63:$T$91,3,FALSE)+VLOOKUP("CP",$R$63:$T$91,3,FALSE),0)+IF(AND($T23&lt;&gt;"",$T23&lt;&gt;"--",$T23&lt;&gt;"O3/CP",$T$14=D$18),IF(LEFT($T23,1)="P",VLOOKUP(CONCATENATE(LEFT($T23,2),"H"),$R$63:$T$91,3,FALSE),VLOOKUP($T23,$R$63:$T$91,3,FALSE)))+IF(AND($T23&lt;&gt;"",$T23&lt;&gt;"O3/CP",$T$15=D$18,MID($T23,4,1)="2",$T$15&lt;&gt;$T$14),VLOOKUP(CONCATENATE(LEFT($T23,2),"L"),$R$63:$T$91,3,FALSE),0)+IF(AND($T23="O3/CP",$T$14=D$18),VLOOKUP("O3",$R$63:$T$91,3,FALSE)+VLOOKUP("CP",$R$63:$T$91,3,FALSE),0)+IF(AND($U23&lt;&gt;"",$U23&lt;&gt;"--",$U23&lt;&gt;"O3/CP",$U$14=D$18),IF(LEFT($U23,1)="P",VLOOKUP(CONCATENATE(LEFT($U23,2),"H"),$R$63:$T$91,3,FALSE),VLOOKUP($U23,$R$63:$T$91,3,FALSE)))+IF(AND($U23&lt;&gt;"",$U23&lt;&gt;"O3/CP",$U$15=D$18,MID($U23,4,1)="2",$U$15&lt;&gt;$U$14),VLOOKUP(CONCATENATE(LEFT($U23,2),"L"),$R$63:$T$91,3,FALSE),0)+IF(AND($U23="O3/CP",$T$14=D$18),VLOOKUP("O3",$R$63:$T$91,3,FALSE)+VLOOKUP("CP",$R$63:$T$91,3,FALSE),0)+IF(AND($V23&lt;&gt;"",$V23&lt;&gt;"--",$V23&lt;&gt;"O3/CP",$V$14=D$18),IF(LEFT($V23,1)="P",VLOOKUP(CONCATENATE(LEFT($V23,2),"H"),$R$63:$T$91,3,FALSE),VLOOKUP($V23,$R$63:$T$91,3,FALSE)))+IF(AND($V23&lt;&gt;"",$V23&lt;&gt;"O3/CP",$V$15=D$18,MID($V23,4,1)="2",$V$15&lt;&gt;$V$14),VLOOKUP(CONCATENATE(LEFT($V23,2),"L"),$R$63:$T$91,3,FALSE),0)+IF(AND($V23="O3/CP",$V$14=D$18),VLOOKUP("O3",$R$63:$T$91,3,FALSE)+VLOOKUP("CP",$R$63:$T$91,3,FALSE),0)+IF(AND($W23&lt;&gt;"",$W23&lt;&gt;"--",$W23&lt;&gt;"O3/CP",$W$14=D$18),IF(LEFT($W23,1)="P",VLOOKUP(CONCATENATE(LEFT($W23,2),"H"),$R$63:$T$91,3,FALSE),VLOOKUP($W23,$R$63:$T$91,3,FALSE)))+IF(AND($W23&lt;&gt;"",$W23&lt;&gt;"O3/CP",$W$15=D$18,MID($W23,4,1)="2",$W$15&lt;&gt;$W$14),VLOOKUP(CONCATENATE(LEFT($W23,2),"L"),$R$63:$T$91,3,FALSE),0)+IF(AND($W23="O3/CP",$W$14=D$18),VLOOKUP("O3",$R$63:$T$91,3,FALSE)+VLOOKUP("CP",$R$63:$T$91,3,FALSE),0)+IF(AND($X23&lt;&gt;"",$X23&lt;&gt;"--",$X23&lt;&gt;"O3/CP",$X$14=D$18),IF(LEFT($X23,1)="P",VLOOKUP(CONCATENATE(LEFT($X23,2),"H"),$R$63:$T$91,3,FALSE),VLOOKUP($X23,$R$63:$T$91,3,FALSE)))+IF(AND($X23&lt;&gt;"",$X23&lt;&gt;"O3/CP",$X$15=D$18,MID($X23,4,1)="2",$X$15&lt;&gt;$X$14),VLOOKUP(CONCATENATE(LEFT($X23,2),"L"),$R$63:$T$91,3,FALSE),0)+IF(AND($X23="O3/CP",$X$14=D$18),VLOOKUP("O3",$R$63:$T$91,3,FALSE)+VLOOKUP("CP",$R$63:$T$91,3,FALSE),0)+IF(AND($Y23&lt;&gt;"",$Y23&lt;&gt;"--",$Y23&lt;&gt;"O3/CP",$Y$14=D$18),IF(LEFT($Y23,1)="P",VLOOKUP(CONCATENATE(LEFT($Y23,2),"H"),$R$63:$T$91,3,FALSE),VLOOKUP($Y23,$R$63:$T$91,3,FALSE)))+IF(AND($Y23&lt;&gt;"",$Y23&lt;&gt;"O3/CP",$Y$15=D$18,MID($Y23,4,1)="2",$Y$15&lt;&gt;$Y$14),VLOOKUP(CONCATENATE(LEFT($Y23,2),"L"),$R$63:$T$91,3,FALSE),0)+IF(AND($Y23="O3/CP",$Y$14=D$18),VLOOKUP("O3",$R$63:$T$91,3,FALSE)+VLOOKUP("CP",$R$63:$T$91,3,FALSE),0)+IF(AND($K$6="CE",'[3]Supply Attribution'!$G$20=D$18),LEFT($S$90,2),0)+IF(AND($X$86&lt;&gt;"Not Set",$X$87=D$18),$X$86,0)</f>
        <v>0</v>
      </c>
      <c r="E23" s="271">
        <f>IF(AND($K23&lt;&gt;"",$K23&lt;&gt;"--",$K23&lt;&gt;"O3/CP",$K$14=E$18),IF(LEFT($K23,1)="P",VLOOKUP(CONCATENATE(LEFT($K23,2),"H"),$R$63:$T$91,3,FALSE),VLOOKUP($K23,$R$63:$T$91,3,FALSE)))+IF(AND($K23&lt;&gt;"",$K23&lt;&gt;"O3/CP",$K$15=E$18,MID($K23,4,1)="2",$K$15&lt;&gt;$K$14),VLOOKUP(CONCATENATE(LEFT($K23,2),"L"),$R$63:$T$91,3,FALSE),0)+IF(AND($K23="O3/CP",$K$14=E$18),VLOOKUP("O3",$R$63:$T$91,3,FALSE)+VLOOKUP("CP",$R$63:$T$91,3,FALSE),0)+IF(AND($L23&lt;&gt;"",$L23&lt;&gt;"--",$L23&lt;&gt;"O3/CP",$L$14=E$18),IF(LEFT($L23,1)="P",VLOOKUP(CONCATENATE(LEFT($L23,2),"H"),$R$63:$T$91,3,FALSE),VLOOKUP($L23,$R$63:$T$91,3,FALSE)))+IF(AND($L23&lt;&gt;"",$L23&lt;&gt;"O3/CP",$L$15=E$18,MID($L23,4,1)="2",$L$15&lt;&gt;$L$14),VLOOKUP(CONCATENATE(LEFT($L23,2),"L"),$R$63:$T$91,3,FALSE),0)+IF(AND($L23="O3/CP",$L$14=E$18),VLOOKUP("O3",$R$63:$T$91,3,FALSE)+VLOOKUP("CP",$R$63:$T$91,3,FALSE),0)+IF(AND($M23&lt;&gt;"",$M23&lt;&gt;"--",$M23&lt;&gt;"O3/CP",$M$14=E$18),IF(LEFT($M23,1)="P",VLOOKUP(CONCATENATE(LEFT($M23,2),"H"),$R$63:$T$91,3,FALSE),VLOOKUP($M23,$R$63:$T$91,3,FALSE)))+IF(AND($M23&lt;&gt;"",$M23&lt;&gt;"O3/CP",$M$15=E$18,MID($M23,4,1)="2",$M$15&lt;&gt;$M$14),VLOOKUP(CONCATENATE(LEFT($M23,2),"L"),$R$63:$T$91,3,FALSE),0)+IF(AND($M23="O3/CP",$M$14=E$18),VLOOKUP("O3",$R$63:$T$91,3,FALSE)+VLOOKUP("CP",$R$63:$T$91,3,FALSE),0)+IF(AND($N23&lt;&gt;"",$N23&lt;&gt;"--",$N23&lt;&gt;"O3/CP",$N$14=E$18),IF(LEFT($N23,1)="P",VLOOKUP(CONCATENATE(LEFT($N23,2),"H"),$R$63:$T$91,3,FALSE),VLOOKUP($N23,$R$63:$T$91,3,FALSE)))+IF(AND($N23&lt;&gt;"",$N23&lt;&gt;"O3/CP",$N$15=E$18,MID($N23,4,1)="2",$N$15&lt;&gt;$N$14),VLOOKUP(CONCATENATE(LEFT($N23,2),"L"),$R$63:$T$91,3,FALSE),0)+IF(AND($N23="O3/CP",$N$14=E$18),VLOOKUP("O3",$R$63:$T$91,3,FALSE)+VLOOKUP("CP",$R$63:$T$91,3,FALSE),0)+IF(AND($O23&lt;&gt;"",$O23&lt;&gt;"--",$O23&lt;&gt;"O3/CP",$O$14=E$18),IF(LEFT($O23,1)="P",VLOOKUP(CONCATENATE(LEFT($O23,2),"H"),$R$63:$T$91,3,FALSE),VLOOKUP($O23,$R$63:$T$91,3,FALSE)))+IF(AND($O23&lt;&gt;"",$O23&lt;&gt;"O3/CP",$O$15=E$18,MID($O23,4,1)="2",$O$15&lt;&gt;$O$14),VLOOKUP(CONCATENATE(LEFT($O23,2),"L"),$R$63:$T$91,3,FALSE),0)+IF(AND($O23="O3/CP",$O$14=E$18),VLOOKUP("O3",$R$63:$T$91,3,FALSE)+VLOOKUP("CP",$R$63:$T$91,3,FALSE),0)+IF(AND($P23&lt;&gt;"",$P23&lt;&gt;"--",$P23&lt;&gt;"O3/CP",$P$14=E$18),IF(LEFT($P23,1)="P",VLOOKUP(CONCATENATE(LEFT($P23,2),"H"),$R$63:$T$91,3,FALSE),VLOOKUP($P23,$R$63:$T$91,3,FALSE)))+IF(AND($P23&lt;&gt;"",$P23&lt;&gt;"O3/CP",$P$15=E$18,MID($P23,4,1)="2",$P$15&lt;&gt;$P$14),VLOOKUP(CONCATENATE(LEFT($P23,2),"L"),$R$63:$T$91,3,FALSE),0)+IF(AND($P23="O3/CP",$P$14=E$18),VLOOKUP("O3",$R$63:$T$91,3,FALSE)+VLOOKUP("CP",$R$63:$T$91,3,FALSE),0)+IF(AND($Q23&lt;&gt;"",$Q23&lt;&gt;"--",$Q23&lt;&gt;"O3/CP",$Q$14=E$18),IF(LEFT($Q23,1)="P",VLOOKUP(CONCATENATE(LEFT($Q23,2),"H"),$R$63:$T$91,3,FALSE),VLOOKUP($Q23,$R$63:$T$91,3,FALSE)))+IF(AND($Q23&lt;&gt;"",$Q23&lt;&gt;"O3/CP",$Q$15=E$18,MID($Q23,4,1)="2",$Q$15&lt;&gt;$Q$14),VLOOKUP(CONCATENATE(LEFT($Q23,2),"L"),$R$63:$T$91,3,FALSE),0)+IF(AND($Q23="O3/CP",$Q$14=E$18),VLOOKUP("O3",$R$63:$T$91,3,FALSE)+VLOOKUP("CP",$R$63:$T$91,3,FALSE),0)+IF(AND($R23&lt;&gt;"",$R23&lt;&gt;"--",$R23&lt;&gt;"O3/CP",$R$14=E$18),IF(LEFT($R23,1)="P",VLOOKUP(CONCATENATE(LEFT($R23,2),"H"),$R$63:$T$91,3,FALSE),VLOOKUP($R23,$R$63:$T$91,3,FALSE)))+IF(AND($R23&lt;&gt;"",$R23&lt;&gt;"O3/CP",$R$15=E$18,MID($R23,4,1)="2",$R$15&lt;&gt;$R$14),VLOOKUP(CONCATENATE(LEFT($R23,2),"L"),$R$63:$T$91,3,FALSE),0)+IF(AND($R23="O3/CP",$R$14=E$18),VLOOKUP("O3",$R$63:$T$91,3,FALSE)+VLOOKUP("CP",$R$63:$T$91,3,FALSE),0)+IF(AND($S23&lt;&gt;"",$S23&lt;&gt;"--",$S23&lt;&gt;"O3/CP",$S$14=E$18),IF(LEFT($S23,1)="P",VLOOKUP(CONCATENATE(LEFT($S23,2),"H"),$R$63:$T$91,3,FALSE),VLOOKUP($S23,$R$63:$T$91,3,FALSE)))+IF(AND($S23&lt;&gt;"",$S23&lt;&gt;"O3/CP",$S$15=E$18,MID($S23,4,1)="2",$S$15&lt;&gt;$S$14),VLOOKUP(CONCATENATE(LEFT($S23,2),"L"),$R$63:$T$91,3,FALSE),0)+IF(AND($S23="O3/CP",$S$14=E$18),VLOOKUP("O3",$R$63:$T$91,3,FALSE)+VLOOKUP("CP",$R$63:$T$91,3,FALSE),0)+IF(AND($T23&lt;&gt;"",$T23&lt;&gt;"--",$T23&lt;&gt;"O3/CP",$T$14=E$18),IF(LEFT($T23,1)="P",VLOOKUP(CONCATENATE(LEFT($T23,2),"H"),$R$63:$T$91,3,FALSE),VLOOKUP($T23,$R$63:$T$91,3,FALSE)))+IF(AND($T23&lt;&gt;"",$T23&lt;&gt;"O3/CP",$T$15=E$18,MID($T23,4,1)="2",$T$15&lt;&gt;$T$14),VLOOKUP(CONCATENATE(LEFT($T23,2),"L"),$R$63:$T$91,3,FALSE),0)+IF(AND($T23="O3/CP",$T$14=E$18),VLOOKUP("O3",$R$63:$T$91,3,FALSE)+VLOOKUP("CP",$R$63:$T$91,3,FALSE),0)+IF(AND($U23&lt;&gt;"",$U23&lt;&gt;"--",$U23&lt;&gt;"O3/CP",$U$14=E$18),IF(LEFT($U23,1)="P",VLOOKUP(CONCATENATE(LEFT($U23,2),"H"),$R$63:$T$91,3,FALSE),VLOOKUP($U23,$R$63:$T$91,3,FALSE)))+IF(AND($U23&lt;&gt;"",$U23&lt;&gt;"O3/CP",$U$15=E$18,MID($U23,4,1)="2",$U$15&lt;&gt;$U$14),VLOOKUP(CONCATENATE(LEFT($U23,2),"L"),$R$63:$T$91,3,FALSE),0)+IF(AND($U23="O3/CP",$T$14=E$18),VLOOKUP("O3",$R$63:$T$91,3,FALSE)+VLOOKUP("CP",$R$63:$T$91,3,FALSE),0)+IF(AND($V23&lt;&gt;"",$V23&lt;&gt;"--",$V23&lt;&gt;"O3/CP",$V$14=E$18),IF(LEFT($V23,1)="P",VLOOKUP(CONCATENATE(LEFT($V23,2),"H"),$R$63:$T$91,3,FALSE),VLOOKUP($V23,$R$63:$T$91,3,FALSE)))+IF(AND($V23&lt;&gt;"",$V23&lt;&gt;"O3/CP",$V$15=E$18,MID($V23,4,1)="2",$V$15&lt;&gt;$V$14),VLOOKUP(CONCATENATE(LEFT($V23,2),"L"),$R$63:$T$91,3,FALSE),0)+IF(AND($V23="O3/CP",$V$14=E$18),VLOOKUP("O3",$R$63:$T$91,3,FALSE)+VLOOKUP("CP",$R$63:$T$91,3,FALSE),0)+IF(AND($W23&lt;&gt;"",$W23&lt;&gt;"--",$W23&lt;&gt;"O3/CP",$W$14=E$18),IF(LEFT($W23,1)="P",VLOOKUP(CONCATENATE(LEFT($W23,2),"H"),$R$63:$T$91,3,FALSE),VLOOKUP($W23,$R$63:$T$91,3,FALSE)))+IF(AND($W23&lt;&gt;"",$W23&lt;&gt;"O3/CP",$W$15=E$18,MID($W23,4,1)="2",$W$15&lt;&gt;$W$14),VLOOKUP(CONCATENATE(LEFT($W23,2),"L"),$R$63:$T$91,3,FALSE),0)+IF(AND($W23="O3/CP",$W$14=E$18),VLOOKUP("O3",$R$63:$T$91,3,FALSE)+VLOOKUP("CP",$R$63:$T$91,3,FALSE),0)+IF(AND($X23&lt;&gt;"",$X23&lt;&gt;"--",$X23&lt;&gt;"O3/CP",$X$14=E$18),IF(LEFT($X23,1)="P",VLOOKUP(CONCATENATE(LEFT($X23,2),"H"),$R$63:$T$91,3,FALSE),VLOOKUP($X23,$R$63:$T$91,3,FALSE)))+IF(AND($X23&lt;&gt;"",$X23&lt;&gt;"O3/CP",$X$15=E$18,MID($X23,4,1)="2",$X$15&lt;&gt;$X$14),VLOOKUP(CONCATENATE(LEFT($X23,2),"L"),$R$63:$T$91,3,FALSE),0)+IF(AND($X23="O3/CP",$X$14=E$18),VLOOKUP("O3",$R$63:$T$91,3,FALSE)+VLOOKUP("CP",$R$63:$T$91,3,FALSE),0)+IF(AND($Y23&lt;&gt;"",$Y23&lt;&gt;"--",$Y23&lt;&gt;"O3/CP",$Y$14=E$18),IF(LEFT($Y23,1)="P",VLOOKUP(CONCATENATE(LEFT($Y23,2),"H"),$R$63:$T$91,3,FALSE),VLOOKUP($Y23,$R$63:$T$91,3,FALSE)))+IF(AND($Y23&lt;&gt;"",$Y23&lt;&gt;"O3/CP",$Y$15=E$18,MID($Y23,4,1)="2",$Y$15&lt;&gt;$Y$14),VLOOKUP(CONCATENATE(LEFT($Y23,2),"L"),$R$63:$T$91,3,FALSE),0)+IF(AND($Y23="O3/CP",$Y$14=E$18),VLOOKUP("O3",$R$63:$T$91,3,FALSE)+VLOOKUP("CP",$R$63:$T$91,3,FALSE),0)+IF(AND($K$6="CE",'[3]Supply Attribution'!$G$20=E$18),LEFT($S$90,2),0)+IF(AND($X$86&lt;&gt;"Not Set",$X$87=E$18),$X$86,0)</f>
        <v>0</v>
      </c>
      <c r="F23" s="272">
        <f>IF(AND($K23&lt;&gt;"",$K23&lt;&gt;"--",$K23&lt;&gt;"O3/CP",$K$14=F$18),IF(LEFT($K23,1)="P",VLOOKUP(CONCATENATE(LEFT($K23,2),"H"),$R$63:$T$91,3,FALSE),VLOOKUP($K23,$R$63:$T$91,3,FALSE)))+IF(AND($K23&lt;&gt;"",$K23&lt;&gt;"O3/CP",$K$15=F$18,MID($K23,4,1)="2",$K$15&lt;&gt;$K$14),VLOOKUP(CONCATENATE(LEFT($K23,2),"L"),$R$63:$T$91,3,FALSE),0)+IF(AND($K23="O3/CP",$K$14=F$18),VLOOKUP("O3",$R$63:$T$91,3,FALSE)+VLOOKUP("CP",$R$63:$T$91,3,FALSE),0)+IF(AND($L23&lt;&gt;"",$L23&lt;&gt;"--",$L23&lt;&gt;"O3/CP",$L$14=F$18),IF(LEFT($L23,1)="P",VLOOKUP(CONCATENATE(LEFT($L23,2),"H"),$R$63:$T$91,3,FALSE),VLOOKUP($L23,$R$63:$T$91,3,FALSE)))+IF(AND($L23&lt;&gt;"",$L23&lt;&gt;"O3/CP",$L$15=F$18,MID($L23,4,1)="2",$L$15&lt;&gt;$L$14),VLOOKUP(CONCATENATE(LEFT($L23,2),"L"),$R$63:$T$91,3,FALSE),0)+IF(AND($L23="O3/CP",$L$14=F$18),VLOOKUP("O3",$R$63:$T$91,3,FALSE)+VLOOKUP("CP",$R$63:$T$91,3,FALSE),0)+IF(AND($M23&lt;&gt;"",$M23&lt;&gt;"--",$M23&lt;&gt;"O3/CP",$M$14=F$18),IF(LEFT($M23,1)="P",VLOOKUP(CONCATENATE(LEFT($M23,2),"H"),$R$63:$T$91,3,FALSE),VLOOKUP($M23,$R$63:$T$91,3,FALSE)))+IF(AND($M23&lt;&gt;"",$M23&lt;&gt;"O3/CP",$M$15=F$18,MID($M23,4,1)="2",$M$15&lt;&gt;$M$14),VLOOKUP(CONCATENATE(LEFT($M23,2),"L"),$R$63:$T$91,3,FALSE),0)+IF(AND($M23="O3/CP",$M$14=F$18),VLOOKUP("O3",$R$63:$T$91,3,FALSE)+VLOOKUP("CP",$R$63:$T$91,3,FALSE),0)+IF(AND($N23&lt;&gt;"",$N23&lt;&gt;"--",$N23&lt;&gt;"O3/CP",$N$14=F$18),IF(LEFT($N23,1)="P",VLOOKUP(CONCATENATE(LEFT($N23,2),"H"),$R$63:$T$91,3,FALSE),VLOOKUP($N23,$R$63:$T$91,3,FALSE)))+IF(AND($N23&lt;&gt;"",$N23&lt;&gt;"O3/CP",$N$15=F$18,MID($N23,4,1)="2",$N$15&lt;&gt;$N$14),VLOOKUP(CONCATENATE(LEFT($N23,2),"L"),$R$63:$T$91,3,FALSE),0)+IF(AND($N23="O3/CP",$N$14=F$18),VLOOKUP("O3",$R$63:$T$91,3,FALSE)+VLOOKUP("CP",$R$63:$T$91,3,FALSE),0)+IF(AND($O23&lt;&gt;"",$O23&lt;&gt;"--",$O23&lt;&gt;"O3/CP",$O$14=F$18),IF(LEFT($O23,1)="P",VLOOKUP(CONCATENATE(LEFT($O23,2),"H"),$R$63:$T$91,3,FALSE),VLOOKUP($O23,$R$63:$T$91,3,FALSE)))+IF(AND($O23&lt;&gt;"",$O23&lt;&gt;"O3/CP",$O$15=F$18,MID($O23,4,1)="2",$O$15&lt;&gt;$O$14),VLOOKUP(CONCATENATE(LEFT($O23,2),"L"),$R$63:$T$91,3,FALSE),0)+IF(AND($O23="O3/CP",$O$14=F$18),VLOOKUP("O3",$R$63:$T$91,3,FALSE)+VLOOKUP("CP",$R$63:$T$91,3,FALSE),0)+IF(AND($P23&lt;&gt;"",$P23&lt;&gt;"--",$P23&lt;&gt;"O3/CP",$P$14=F$18),IF(LEFT($P23,1)="P",VLOOKUP(CONCATENATE(LEFT($P23,2),"H"),$R$63:$T$91,3,FALSE),VLOOKUP($P23,$R$63:$T$91,3,FALSE)))+IF(AND($P23&lt;&gt;"",$P23&lt;&gt;"O3/CP",$P$15=F$18,MID($P23,4,1)="2",$P$15&lt;&gt;$P$14),VLOOKUP(CONCATENATE(LEFT($P23,2),"L"),$R$63:$T$91,3,FALSE),0)+IF(AND($P23="O3/CP",$P$14=F$18),VLOOKUP("O3",$R$63:$T$91,3,FALSE)+VLOOKUP("CP",$R$63:$T$91,3,FALSE),0)+IF(AND($Q23&lt;&gt;"",$Q23&lt;&gt;"--",$Q23&lt;&gt;"O3/CP",$Q$14=F$18),IF(LEFT($Q23,1)="P",VLOOKUP(CONCATENATE(LEFT($Q23,2),"H"),$R$63:$T$91,3,FALSE),VLOOKUP($Q23,$R$63:$T$91,3,FALSE)))+IF(AND($Q23&lt;&gt;"",$Q23&lt;&gt;"O3/CP",$Q$15=F$18,MID($Q23,4,1)="2",$Q$15&lt;&gt;$Q$14),VLOOKUP(CONCATENATE(LEFT($Q23,2),"L"),$R$63:$T$91,3,FALSE),0)+IF(AND($Q23="O3/CP",$Q$14=F$18),VLOOKUP("O3",$R$63:$T$91,3,FALSE)+VLOOKUP("CP",$R$63:$T$91,3,FALSE),0)+IF(AND($R23&lt;&gt;"",$R23&lt;&gt;"--",$R23&lt;&gt;"O3/CP",$R$14=F$18),IF(LEFT($R23,1)="P",VLOOKUP(CONCATENATE(LEFT($R23,2),"H"),$R$63:$T$91,3,FALSE),VLOOKUP($R23,$R$63:$T$91,3,FALSE)))+IF(AND($R23&lt;&gt;"",$R23&lt;&gt;"O3/CP",$R$15=F$18,MID($R23,4,1)="2",$R$15&lt;&gt;$R$14),VLOOKUP(CONCATENATE(LEFT($R23,2),"L"),$R$63:$T$91,3,FALSE),0)+IF(AND($R23="O3/CP",$R$14=F$18),VLOOKUP("O3",$R$63:$T$91,3,FALSE)+VLOOKUP("CP",$R$63:$T$91,3,FALSE),0)+IF(AND($S23&lt;&gt;"",$S23&lt;&gt;"--",$S23&lt;&gt;"O3/CP",$S$14=F$18),IF(LEFT($S23,1)="P",VLOOKUP(CONCATENATE(LEFT($S23,2),"H"),$R$63:$T$91,3,FALSE),VLOOKUP($S23,$R$63:$T$91,3,FALSE)))+IF(AND($S23&lt;&gt;"",$S23&lt;&gt;"O3/CP",$S$15=F$18,MID($S23,4,1)="2",$S$15&lt;&gt;$S$14),VLOOKUP(CONCATENATE(LEFT($S23,2),"L"),$R$63:$T$91,3,FALSE),0)+IF(AND($S23="O3/CP",$S$14=F$18),VLOOKUP("O3",$R$63:$T$91,3,FALSE)+VLOOKUP("CP",$R$63:$T$91,3,FALSE),0)+IF(AND($T23&lt;&gt;"",$T23&lt;&gt;"--",$T23&lt;&gt;"O3/CP",$T$14=F$18),IF(LEFT($T23,1)="P",VLOOKUP(CONCATENATE(LEFT($T23,2),"H"),$R$63:$T$91,3,FALSE),VLOOKUP($T23,$R$63:$T$91,3,FALSE)))+IF(AND($T23&lt;&gt;"",$T23&lt;&gt;"O3/CP",$T$15=F$18,MID($T23,4,1)="2",$T$15&lt;&gt;$T$14),VLOOKUP(CONCATENATE(LEFT($T23,2),"L"),$R$63:$T$91,3,FALSE),0)+IF(AND($T23="O3/CP",$T$14=F$18),VLOOKUP("O3",$R$63:$T$91,3,FALSE)+VLOOKUP("CP",$R$63:$T$91,3,FALSE),0)+IF(AND($U23&lt;&gt;"",$U23&lt;&gt;"--",$U23&lt;&gt;"O3/CP",$U$14=F$18),IF(LEFT($U23,1)="P",VLOOKUP(CONCATENATE(LEFT($U23,2),"H"),$R$63:$T$91,3,FALSE),VLOOKUP($U23,$R$63:$T$91,3,FALSE)))+IF(AND($U23&lt;&gt;"",$U23&lt;&gt;"O3/CP",$U$15=F$18,MID($U23,4,1)="2",$U$15&lt;&gt;$U$14),VLOOKUP(CONCATENATE(LEFT($U23,2),"L"),$R$63:$T$91,3,FALSE),0)+IF(AND($U23="O3/CP",$T$14=F$18),VLOOKUP("O3",$R$63:$T$91,3,FALSE)+VLOOKUP("CP",$R$63:$T$91,3,FALSE),0)+IF(AND($V23&lt;&gt;"",$V23&lt;&gt;"--",$V23&lt;&gt;"O3/CP",$V$14=F$18),IF(LEFT($V23,1)="P",VLOOKUP(CONCATENATE(LEFT($V23,2),"H"),$R$63:$T$91,3,FALSE),VLOOKUP($V23,$R$63:$T$91,3,FALSE)))+IF(AND($V23&lt;&gt;"",$V23&lt;&gt;"O3/CP",$V$15=F$18,MID($V23,4,1)="2",$V$15&lt;&gt;$V$14),VLOOKUP(CONCATENATE(LEFT($V23,2),"L"),$R$63:$T$91,3,FALSE),0)+IF(AND($V23="O3/CP",$V$14=F$18),VLOOKUP("O3",$R$63:$T$91,3,FALSE)+VLOOKUP("CP",$R$63:$T$91,3,FALSE),0)+IF(AND($W23&lt;&gt;"",$W23&lt;&gt;"--",$W23&lt;&gt;"O3/CP",$W$14=F$18),IF(LEFT($W23,1)="P",VLOOKUP(CONCATENATE(LEFT($W23,2),"H"),$R$63:$T$91,3,FALSE),VLOOKUP($W23,$R$63:$T$91,3,FALSE)))+IF(AND($W23&lt;&gt;"",$W23&lt;&gt;"O3/CP",$W$15=F$18,MID($W23,4,1)="2",$W$15&lt;&gt;$W$14),VLOOKUP(CONCATENATE(LEFT($W23,2),"L"),$R$63:$T$91,3,FALSE),0)+IF(AND($W23="O3/CP",$W$14=F$18),VLOOKUP("O3",$R$63:$T$91,3,FALSE)+VLOOKUP("CP",$R$63:$T$91,3,FALSE),0)+IF(AND($X23&lt;&gt;"",$X23&lt;&gt;"--",$X23&lt;&gt;"O3/CP",$X$14=F$18),IF(LEFT($X23,1)="P",VLOOKUP(CONCATENATE(LEFT($X23,2),"H"),$R$63:$T$91,3,FALSE),VLOOKUP($X23,$R$63:$T$91,3,FALSE)))+IF(AND($X23&lt;&gt;"",$X23&lt;&gt;"O3/CP",$X$15=F$18,MID($X23,4,1)="2",$X$15&lt;&gt;$X$14),VLOOKUP(CONCATENATE(LEFT($X23,2),"L"),$R$63:$T$91,3,FALSE),0)+IF(AND($X23="O3/CP",$X$14=F$18),VLOOKUP("O3",$R$63:$T$91,3,FALSE)+VLOOKUP("CP",$R$63:$T$91,3,FALSE),0)+IF(AND($Y23&lt;&gt;"",$Y23&lt;&gt;"--",$Y23&lt;&gt;"O3/CP",$Y$14=F$18),IF(LEFT($Y23,1)="P",VLOOKUP(CONCATENATE(LEFT($Y23,2),"H"),$R$63:$T$91,3,FALSE),VLOOKUP($Y23,$R$63:$T$91,3,FALSE)))+IF(AND($Y23&lt;&gt;"",$Y23&lt;&gt;"O3/CP",$Y$15=F$18,MID($Y23,4,1)="2",$Y$15&lt;&gt;$Y$14),VLOOKUP(CONCATENATE(LEFT($Y23,2),"L"),$R$63:$T$91,3,FALSE),0)+IF(AND($Y23="O3/CP",$Y$14=F$18),VLOOKUP("O3",$R$63:$T$91,3,FALSE)+VLOOKUP("CP",$R$63:$T$91,3,FALSE),0)+IF(AND($K$6="CE",'[3]Supply Attribution'!$G$20=F$18),LEFT($S$90,2),0)+IF(AND($X$86&lt;&gt;"Not Set",$X$87=F$18),$X$86,0)</f>
        <v>0</v>
      </c>
      <c r="G23" s="271">
        <f>IF(AND($K$6="CE",$T$59="1 Phase"),SUM(A23:F23)-IF(AND($K$14&lt;&gt;$K$15,RIGHT($K23,3)="2SP"),VLOOKUP(CONCATENATE(LEFT($K23,2),"L"),$R$63:$T$90,3,FALSE),0)-IF(AND($L$14&lt;&gt;$L$15,RIGHT($L23,3)="2SP"),VLOOKUP(CONCATENATE(LEFT($L23,2),"L"),$R$63:$T$90,3,FALSE),0)-IF(AND($M$14&lt;&gt;$M$15,RIGHT($M23,3)="2SP"),VLOOKUP(CONCATENATE(LEFT($M23,2),"L"),$R$63:$T$90,3,FALSE),0)-IF(AND($N$14&lt;&gt;$N$15,RIGHT($N23,3)="2SP"),VLOOKUP(CONCATENATE(LEFT($N23,2),"L"),$R$63:$T$90,3,FALSE),0)-IF(AND($O$14&lt;&gt;$O$15,RIGHT($O23,3)="2SP"),VLOOKUP(CONCATENATE(LEFT($O23,2),"L"),$R$63:$T$90,3,FALSE),0)-IF(AND($P$14&lt;&gt;$P$15,RIGHT($P23,3)="2SP"),VLOOKUP(CONCATENATE(LEFT($P23,2),"L"),$R$63:$T$90,3,FALSE),0)-IF(AND($Q$14&lt;&gt;$Q$15,RIGHT($Q23,3)="2SP"),VLOOKUP(CONCATENATE(LEFT($Q23,2),"L"),$R$63:$T$90,3,FALSE),0)-IF(AND($R$14&lt;&gt;$R$15,RIGHT($T23,3)="2SP"),VLOOKUP(CONCATENATE(LEFT($R23,2),"L"),$R$63:$T$90,3,FALSE),0)-IF(AND($S$14&lt;&gt;$S$15,RIGHT($T23,3)="2SP"),VLOOKUP(CONCATENATE(LEFT($S23,2),"L"),$R$63:$T$90,3,FALSE),0)-IF(AND($T$14&lt;&gt;$T$15,RIGHT($T23,3)="2SP"),VLOOKUP(CONCATENATE(LEFT($T23,2),"L"),$R$63:$T$90,3,FALSE),0)-IF(AND($U$14&lt;&gt;$U$15,RIGHT($U23,3)="2SP"),VLOOKUP(CONCATENATE(LEFT($U23,2),"L"),$R$63:$T$90,3,FALSE),0)-IF(AND($V$14&lt;&gt;$V$15,RIGHT($V23,3)="2SP"),VLOOKUP(CONCATENATE(LEFT($V23,2),"L"),$R$63:$T$90,3,FALSE),0)-IF(AND($W$14&lt;&gt;$W$15,RIGHT($W23,3)="2SP"),VLOOKUP(CONCATENATE(LEFT($W23,2),"L"),$R$63:$T$90,3,FALSE),0)-IF(AND($X$14&lt;&gt;$X$15,RIGHT($X23,3)="2SP"),VLOOKUP(CONCATENATE(LEFT($X23,2),"L"),$R$63:$T$90,3,FALSE),0)-IF(AND($Y$14&lt;&gt;$Y$15,RIGHT($Y23,3)="2SP"),VLOOKUP(CONCATENATE(LEFT($Y23,2),"L"),$R$63:$T$90,3,FALSE),0),IF(VLOOKUP(CONCATENATE($A$18,"Line"),'[3]Supply Attribution'!$F$31:$G$37,2,FALSE)=G$18,$A23,0)+IF(VLOOKUP(CONCATENATE($B$18,"Line"),'[3]Supply Attribution'!$F$31:$G$37,2,FALSE)=G$18,$B23,0)+IF(VLOOKUP(CONCATENATE($C$18,"Line"),'[3]Supply Attribution'!$F$31:$G$37,2,FALSE)=G$18,$C23,0)+IF(VLOOKUP(CONCATENATE($D$18,"Line"),'[3]Supply Attribution'!$F$31:$G$37,2,FALSE)=G$18,$D23,0)+IF(VLOOKUP(CONCATENATE($E$18,"Line"),'[3]Supply Attribution'!$F$31:$G$37,2,FALSE)=G$18,$E23,0)+IF(VLOOKUP(CONCATENATE($F$18,"Line"),'[3]Supply Attribution'!$F$31:$G$37,2,FALSE)=G$18,$F23,0)+IF($K$6="UL",LEFT($S$90,2),0)-IF(AND($K$16=G$18,$K$14&lt;&gt;$K$15,$K$16=$K$17,RIGHT($K23,3)="2SP"),VLOOKUP(CONCATENATE(LEFT($K23,2),"L"),$R$63:$T$90,3,FALSE),0)-IF(AND($L$16=G$18,$L$14&lt;&gt;$L$15,$L$16=$L$17,RIGHT($L23,3)="2SP"),VLOOKUP(CONCATENATE(LEFT($L23,2),"L"),$R$63:$T$90,3,FALSE),0)-IF(AND($M$16=G$18,$M$14&lt;&gt;$M$15,$M$16=$M$17,RIGHT($M23,3)="2SP"),VLOOKUP(CONCATENATE(LEFT($M23,2),"L"),$R$63:$T$90,3,FALSE),0)-IF(AND($N$16=G$18,$N$14&lt;&gt;$N$15,$N$16=$N$17,RIGHT($N23,3)="2SP"),VLOOKUP(CONCATENATE(LEFT($N23,2),"L"),$R$63:$T$90,3,FALSE),0)-IF(AND($O$16=G$18,$O$14&lt;&gt;$O$15,$O$16=$O$17,RIGHT($O23,3)="2SP"),VLOOKUP(CONCATENATE(LEFT($O23,2),"L"),$R$63:$T$90,3,FALSE),0)-IF(AND($P$16=G$18,$P$14&lt;&gt;$P$15,$P$16=$P$17,RIGHT($P23,3)="2SP"),VLOOKUP(CONCATENATE(LEFT($P23,2),"L"),$R$63:$T$90,3,FALSE),0)-IF(AND($Q$16=G$18,$Q$14&lt;&gt;$Q$15,$Q$16=$Q$17,RIGHT($Q23,3)="2SP"),VLOOKUP(CONCATENATE(LEFT($Q23,2),"L"),$R$63:$T$90,3,FALSE),0)-IF(AND($R$16=G$18,$R$14&lt;&gt;$R$15,$R$16=$R$17,RIGHT($R23,3)="2SP"),VLOOKUP(CONCATENATE(LEFT($R23,2),"L"),$R$63:$T$90,3,FALSE),0)-IF(AND($S$16=G$18,$S$14&lt;&gt;$S$15,$S$16=$S$17,RIGHT($S23,3)="2SP"),VLOOKUP(CONCATENATE(LEFT($S23,2),"L"),$R$63:$T$90,3,FALSE),0)-IF(AND($T$16=G$18,$T$14&lt;&gt;$T$15,$T$16=$T$17,RIGHT($T23,3)="2SP"),VLOOKUP(CONCATENATE(LEFT($T23,2),"L"),$R$63:$T$90,3,FALSE),0)-IF(AND($U$16=G$18,$U$14&lt;&gt;$U$15,$U$16=$U$17,RIGHT($U23,3)="2SP"),VLOOKUP(CONCATENATE(LEFT($U23,2),"L"),$R$63:$T$90,3,FALSE),0)-IF(AND($V$16=G$18,$V$14&lt;&gt;$V$15,$V$16=$V$17,RIGHT($V23,3)="2SP"),VLOOKUP(CONCATENATE(LEFT($V23,2),"L"),$R$63:$T$90,3,FALSE),0)-IF(AND($W$16=G$18,$W$14&lt;&gt;$W$15,$W$16=$W$17,RIGHT($W23,3)="2SP"),VLOOKUP(CONCATENATE(LEFT($W23,2),"L"),$R$63:$T$90,3,FALSE),0)-IF(AND($X$16=G$18,$X$14&lt;&gt;$X$15,$X$16=$X$17,RIGHT($X23,3)="2SP"),VLOOKUP(CONCATENATE(LEFT($X23,2),"L"),$R$63:$T$90,3,FALSE),0)-IF(AND($Y$16=G$18,$Y$14&lt;&gt;$Y$15,$Y$16=$Y$17,RIGHT($Y23,3)="2SP"),VLOOKUP(CONCATENATE(LEFT($Y23,2),"L"),$R$63:$T$90,3,FALSE),0))</f>
        <v>44</v>
      </c>
      <c r="H23" s="271" t="str">
        <f>IF(H$18&lt;&gt;"",IF(VLOOKUP(CONCATENATE($A$18,"Line"),'Supply Attribution'!$F$31:$G$37,2,FALSE)=H$18,$A23,0)+IF(VLOOKUP(CONCATENATE($B$18,"Line"),'Supply Attribution'!$F$31:$G$37,2,FALSE)=H$18,$B23,0)+IF(VLOOKUP(CONCATENATE($C$18,"Line"),'Supply Attribution'!$F$31:$G$37,2,FALSE)=H$18,$C23,0)+IF(VLOOKUP(CONCATENATE($D$18,"Line"),'Supply Attribution'!$F$31:$G$37,2,FALSE)=H$18,$D23,0)+IF(VLOOKUP(CONCATENATE($E$18,"Line"),'Supply Attribution'!$F$31:$G$37,2,FALSE)=H$18,$E23,0)+IF(VLOOKUP(CONCATENATE($F$18,"Line"),'Supply Attribution'!$F$31:$G$37,2,FALSE)=H$18,$F23,0)+IF($K$6="UL",LEFT($S$90,2),0)-IF(AND($K$16=H$18,$K$14&lt;&gt;$K$15,$K$16=$K$17,RIGHT($K23,3)="2SP"),VLOOKUP(CONCATENATE(LEFT($K23,2),"L"),$R$63:$T$90,3,FALSE),0)-IF(AND($L$16=H$18,$L$14&lt;&gt;$L$15,$L$16=$L$17,RIGHT($L23,3)="2SP"),VLOOKUP(CONCATENATE(LEFT($L23,2),"L"),$R$63:$T$90,3,FALSE),0)-IF(AND($M$16=H$18,$M$14&lt;&gt;$M$15,$M$16=$M$17,RIGHT($M23,3)="2SP"),VLOOKUP(CONCATENATE(LEFT($M23,2),"L"),$R$63:$T$90,3,FALSE),0)-IF(AND($N$16=H$18,$N$14&lt;&gt;$N$15,$N$16=$N$17,RIGHT($N23,3)="2SP"),VLOOKUP(CONCATENATE(LEFT($N23,2),"L"),$R$63:$T$90,3,FALSE),0)-IF(AND($O$16=H$18,$O$14&lt;&gt;$O$15,$O$16=$O$17,RIGHT($O23,3)="2SP"),VLOOKUP(CONCATENATE(LEFT($O23,2),"L"),$R$63:$T$90,3,FALSE),0)-IF(AND($P$16=H$18,$P$14&lt;&gt;$P$15,$P$16=$P$17,RIGHT($P23,3)="2SP"),VLOOKUP(CONCATENATE(LEFT($P23,2),"L"),$R$63:$T$90,3,FALSE),0)-IF(AND($Q$16=H$18,$Q$14&lt;&gt;$Q$15,$Q$16=$Q$17,RIGHT($Q23,3)="2SP"),VLOOKUP(CONCATENATE(LEFT($Q23,2),"L"),$R$63:$T$90,3,FALSE),0)-IF(AND($T$16=H$18,$T$14&lt;&gt;$T$15,$T$16=$T$17,RIGHT($T23,3)="2SP"),VLOOKUP(CONCATENATE(LEFT($T23,2),"L"),$R$63:$T$90,3,FALSE),0)-IF(AND($U$16=H$18,$U$14&lt;&gt;$U$15,$U$16=$U$17,RIGHT($U23,3)="2SP"),VLOOKUP(CONCATENATE(LEFT($U23,2),"L"),$R$63:$T$90,3,FALSE),0)-IF(AND($V$16=H$18,$V$14&lt;&gt;$V$15,$V$16=$V$17,RIGHT($V23,3)="2SP"),VLOOKUP(CONCATENATE(LEFT($V23,2),"L"),$R$63:$T$90,3,FALSE),0)-IF(AND($W$16=H$18,$W$14&lt;&gt;$W$15,$W$16=$W$17,RIGHT($W23,3)="2SP"),VLOOKUP(CONCATENATE(LEFT($W23,2),"L"),$R$63:$T$90,3,FALSE),0)-IF(AND($X$16=H$18,$X$14&lt;&gt;$X$15,$X$16=$X$17,RIGHT($X23,3)="2SP"),VLOOKUP(CONCATENATE(LEFT($X23,2),"L"),$R$63:$T$90,3,FALSE),0)-IF(AND($Y$16=H$18,$Y$14&lt;&gt;$Y$15,$Y$16=$Y$17,RIGHT($Y23,3)="2SP"),VLOOKUP(CONCATENATE(LEFT($Y23,2),"L"),$R$63:$T$90,3,FALSE),0)+IF(AND($K$6="CE",$T$59="2 Phases",H$18&lt;&gt;""),IF(VLOOKUP(CONCATENATE($A$18,"Line"),'Supply Attribution'!$F$31:$G$37,2,FALSE)="Line3",$A23,0)+IF(VLOOKUP(CONCATENATE($B$18,"Line"),'Supply Attribution'!$F$31:$G$37,2,FALSE)="Line3",$B23,0)+IF(VLOOKUP(CONCATENATE($C$18,"Line"),'Supply Attribution'!$F$31:$G$37,2,FALSE)="Line3",$C23,0)+IF(VLOOKUP(CONCATENATE($D$18,"Line"),'Supply Attribution'!$F$31:$G$37,2,FALSE)="Line3",$D23,0)+IF(VLOOKUP(CONCATENATE($E$18,"Line"),'Supply Attribution'!$F$31:$G$37,2,FALSE)="Line3",$E23,0)+IF(VLOOKUP(CONCATENATE($F$18,"Line"),'Supply Attribution'!$F$31:$G$37,2,FALSE)="Line3",$F23,0)-IF(AND($K$16=I$18,$K$14&lt;&gt;$K$15,$K$16=$K$17,RIGHT($K23,3)="2SP"),VLOOKUP(CONCATENATE(LEFT($K23,2),"L"),$R$63:$T$90,3,FALSE),0)-IF(AND($L$16=I$18,$L$14&lt;&gt;$L$15,$L$16=$L$17,RIGHT($L23,3)="2SP"),VLOOKUP(CONCATENATE(LEFT($L23,2),"L"),$R$63:$T$90,3,FALSE),0)-IF(AND($M$16=I$18,$M$14&lt;&gt;$M$15,$M$16=$M$17,RIGHT($M23,3)="2SP"),VLOOKUP(CONCATENATE(LEFT($M23,2),"L"),$R$63:$T$90,3,FALSE),0)-IF(AND($N$16=I$18,$N$14&lt;&gt;$N$15,$N$16=$N$17,RIGHT($N23,3)="2SP"),VLOOKUP(CONCATENATE(LEFT($N23,2),"L"),$R$63:$T$90,3,FALSE),0)-IF(AND($O$16=I$18,$O$14&lt;&gt;$O$15,$O$16=$O$17,RIGHT($O23,3)="2SP"),VLOOKUP(CONCATENATE(LEFT($O23,2),"L"),$R$63:$T$90,3,FALSE),0)-IF(AND($P$16=I$18,$P$14&lt;&gt;$P$15,$P$16=$P$17,RIGHT($P23,3)="2SP"),VLOOKUP(CONCATENATE(LEFT($P23,2),"L"),$R$63:$T$90,3,FALSE),0)-IF(AND($Q$16=I$18,$Q$14&lt;&gt;$Q$15,$Q$16=$Q$17,RIGHT($Q23,3)="2SP"),VLOOKUP(CONCATENATE(LEFT($Q23,2),"L"),$R$63:$T$90,3,FALSE),0)-IF(AND($T$16=I$18,$T$14&lt;&gt;$T$15,$T$16=$T$17,RIGHT($T23,3)="2SP"),VLOOKUP(CONCATENATE(LEFT($T23,2),"L"),$R$63:$T$90,3,FALSE),0)-IF(AND($U$16=I$18,$U$14&lt;&gt;$U$15,$U$16=$U$17,RIGHT($U23,3)="2SP"),VLOOKUP(CONCATENATE(LEFT($U23,2),"L"),$R$63:$T$90,3,FALSE),0)-IF(AND($V$16=I$18,$V$14&lt;&gt;$V$15,$V$16=$V$17,RIGHT($V23,3)="2SP"),VLOOKUP(CONCATENATE(LEFT($V23,2),"L"),$R$63:$T$90,3,FALSE),0)-IF(AND($W$16=I$18,$W$14&lt;&gt;$W$15,$W$16=$W$17,RIGHT($W23,3)="2SP"),VLOOKUP(CONCATENATE(LEFT($W23,2),"L"),$R$63:$T$90,3,FALSE),0)-IF(AND($X$16=I$18,$X$14&lt;&gt;$X$15,$X$16=$X$17,RIGHT($X23,3)="2SP"),VLOOKUP(CONCATENATE(LEFT($X23,2),"L"),$R$63:$T$90,3,FALSE),0)-IF(AND($Y$16=I$18,$Y$14&lt;&gt;$Y$15,$Y$16=$Y$17,RIGHT($Y23,3)="2SP"),VLOOKUP(CONCATENATE(LEFT($Y23,2),"L"),$R$63:$T$90,3,FALSE),0),0),"")</f>
        <v/>
      </c>
      <c r="I23" s="271" t="str">
        <f>IF(I$18&lt;&gt;"",IF(VLOOKUP(CONCATENATE($A$18,"Line"),'Supply Attribution'!$F$31:$G$37,2,FALSE)=I$18,$A23,0)+IF(VLOOKUP(CONCATENATE($B$18,"Line"),'Supply Attribution'!$F$31:$G$37,2,FALSE)=I$18,$B23,0)+IF(VLOOKUP(CONCATENATE($C$18,"Line"),'Supply Attribution'!$F$31:$G$37,2,FALSE)=I$18,$C23,0)+IF(VLOOKUP(CONCATENATE($D$18,"Line"),'Supply Attribution'!$F$31:$G$37,2,FALSE)=I$18,$D23,0)+IF(VLOOKUP(CONCATENATE($E$18,"Line"),'Supply Attribution'!$F$31:$G$37,2,FALSE)=I$18,$E23,0)+IF(VLOOKUP(CONCATENATE($F$18,"Line"),'Supply Attribution'!$F$31:$G$37,2,FALSE)=I$18,$F23,0)+IF($K$6="UL",LEFT($S$90,2),0)-IF(AND($K$16=I$18,$K$14&lt;&gt;$K$15,$K$16=$K$17,RIGHT($K23,3)="2SP"),VLOOKUP(CONCATENATE(LEFT($K23,2),"L"),$R$63:$T$90,3,FALSE),0)-IF(AND($L$16=I$18,$L$14&lt;&gt;$L$15,$L$16=$L$17,RIGHT($L23,3)="2SP"),VLOOKUP(CONCATENATE(LEFT($L23,2),"L"),$R$63:$T$90,3,FALSE),0)-IF(AND($M$16=I$18,$M$14&lt;&gt;$M$15,$M$16=$M$17,RIGHT($M23,3)="2SP"),VLOOKUP(CONCATENATE(LEFT($M23,2),"L"),$R$63:$T$90,3,FALSE),0)-IF(AND($N$16=I$18,$N$14&lt;&gt;$N$15,$N$16=$N$17,RIGHT($N23,3)="2SP"),VLOOKUP(CONCATENATE(LEFT($N23,2),"L"),$R$63:$T$90,3,FALSE),0)-IF(AND($O$16=I$18,$O$14&lt;&gt;$O$15,$O$16=$O$17,RIGHT($O23,3)="2SP"),VLOOKUP(CONCATENATE(LEFT($O23,2),"L"),$R$63:$T$90,3,FALSE),0)-IF(AND($P$16=I$18,$P$14&lt;&gt;$P$15,$P$16=$P$17,RIGHT($P23,3)="2SP"),VLOOKUP(CONCATENATE(LEFT($P23,2),"L"),$R$63:$T$90,3,FALSE),0)-IF(AND($Q$16=I$18,$Q$14&lt;&gt;$Q$15,$Q$16=$Q$17,RIGHT($Q23,3)="2SP"),VLOOKUP(CONCATENATE(LEFT($Q23,2),"L"),$R$63:$T$90,3,FALSE),0)-IF(AND($T$16=I$18,$T$14&lt;&gt;$T$15,$T$16=$T$17,RIGHT($T23,3)="2SP"),VLOOKUP(CONCATENATE(LEFT($T23,2),"L"),$R$63:$T$90,3,FALSE),0)-IF(AND($U$16=I$18,$U$14&lt;&gt;$U$15,$U$16=$U$17,RIGHT($U23,3)="2SP"),VLOOKUP(CONCATENATE(LEFT($U23,2),"L"),$R$63:$T$90,3,FALSE),0)-IF(AND($V$16=I$18,$V$14&lt;&gt;$V$15,$V$16=$V$17,RIGHT($V23,3)="2SP"),VLOOKUP(CONCATENATE(LEFT($V23,2),"L"),$R$63:$T$90,3,FALSE),0)-IF(AND($W$16=I$18,$W$14&lt;&gt;$W$15,$W$16=$W$17,RIGHT($W23,3)="2SP"),VLOOKUP(CONCATENATE(LEFT($W23,2),"L"),$R$63:$T$90,3,FALSE),0)-IF(AND($X$16=I$18,$X$14&lt;&gt;$X$15,$X$16=$X$17,RIGHT($X23,3)="2SP"),VLOOKUP(CONCATENATE(LEFT($X23,2),"L"),$R$63:$T$90,3,FALSE),0)-IF(AND($Y$16=I$18,$Y$14&lt;&gt;$Y$15,$Y$16=$Y$17,RIGHT($Y23,3)="2SP"),VLOOKUP(CONCATENATE(LEFT($Y23,2),"L"),$R$63:$T$90,3,FALSE),0),"")</f>
        <v/>
      </c>
      <c r="J23" s="129">
        <f>J22+1</f>
        <v>3</v>
      </c>
      <c r="K23" s="130" t="s">
        <v>389</v>
      </c>
      <c r="L23" s="130" t="s">
        <v>390</v>
      </c>
      <c r="M23" s="130" t="s">
        <v>391</v>
      </c>
      <c r="N23" s="130" t="s">
        <v>24</v>
      </c>
      <c r="O23" s="130" t="s">
        <v>286</v>
      </c>
      <c r="P23" s="130"/>
      <c r="Q23" s="130"/>
      <c r="R23" s="130"/>
      <c r="S23" s="130"/>
      <c r="T23" s="130"/>
      <c r="U23" s="130"/>
      <c r="V23" s="130"/>
      <c r="W23" s="130"/>
      <c r="X23" s="130"/>
      <c r="Y23" s="130"/>
      <c r="Z23" s="131" t="s">
        <v>7</v>
      </c>
      <c r="AA23" s="131" t="s">
        <v>357</v>
      </c>
      <c r="AB23" s="132" t="s">
        <v>18</v>
      </c>
      <c r="AC23" s="132" t="s">
        <v>183</v>
      </c>
      <c r="AD23" s="132" t="s">
        <v>18</v>
      </c>
      <c r="AE23" s="133">
        <f t="shared" si="0"/>
        <v>3</v>
      </c>
      <c r="AF23" s="78"/>
    </row>
    <row r="24" spans="1:32" ht="13.15" customHeight="1">
      <c r="A24" s="270">
        <f>IF(AND($K24&lt;&gt;"",$K24&lt;&gt;"--",$K24&lt;&gt;"O3/CP",$K$14=A$18),IF(LEFT($K24,1)="P",VLOOKUP(CONCATENATE(LEFT($K24,2),"H"),$R$63:$T$91,3,FALSE),VLOOKUP($K24,$R$63:$T$91,3,FALSE)))+IF(AND($K24&lt;&gt;"",$K24&lt;&gt;"O3/CP",$K$15=A$18,MID($K24,4,1)="2",$K$15&lt;&gt;$K$14),VLOOKUP(CONCATENATE(LEFT($K24,2),"L"),$R$63:$T$91,3,FALSE),0)+IF(AND($K24="O3/CP",$K$14=A$18),VLOOKUP("O3",$R$63:$T$91,3,FALSE)+VLOOKUP("CP",$R$63:$T$91,3,FALSE),0)+IF(AND($L24&lt;&gt;"",$L24&lt;&gt;"--",$L24&lt;&gt;"O3/CP",$L$14=A$18),IF(LEFT($L24,1)="P",VLOOKUP(CONCATENATE(LEFT($L24,2),"H"),$R$63:$T$91,3,FALSE),VLOOKUP($L24,$R$63:$T$91,3,FALSE)))+IF(AND($L24&lt;&gt;"",$L24&lt;&gt;"O3/CP",$L$15=A$18,MID($L24,4,1)="2",$L$15&lt;&gt;$L$14),VLOOKUP(CONCATENATE(LEFT($L24,2),"L"),$R$63:$T$91,3,FALSE),0)+IF(AND($L24="O3/CP",$L$14=A$18),VLOOKUP("O3",$R$63:$T$91,3,FALSE)+VLOOKUP("CP",$R$63:$T$91,3,FALSE),0)+IF(AND($M24&lt;&gt;"",$M24&lt;&gt;"--",$M24&lt;&gt;"O3/CP",$M$14=A$18),IF(LEFT($M24,1)="P",VLOOKUP(CONCATENATE(LEFT($M24,2),"H"),$R$63:$T$91,3,FALSE),VLOOKUP($M24,$R$63:$T$91,3,FALSE)))+IF(AND($M24&lt;&gt;"",$M24&lt;&gt;"O3/CP",$M$15=A$18,MID($M24,4,1)="2",$M$15&lt;&gt;$M$14),VLOOKUP(CONCATENATE(LEFT($M24,2),"L"),$R$63:$T$91,3,FALSE),0)+IF(AND($M24="O3/CP",$M$14=A$18),VLOOKUP("O3",$R$63:$T$91,3,FALSE)+VLOOKUP("CP",$R$63:$T$91,3,FALSE),0)+IF(AND($N24&lt;&gt;"",$N24&lt;&gt;"--",$N24&lt;&gt;"O3/CP",$N$14=A$18),IF(LEFT($N24,1)="P",VLOOKUP(CONCATENATE(LEFT($N24,2),"H"),$R$63:$T$91,3,FALSE),VLOOKUP($N24,$R$63:$T$91,3,FALSE)))+IF(AND($N24&lt;&gt;"",$N24&lt;&gt;"O3/CP",$N$15=A$18,MID($N24,4,1)="2",$N$15&lt;&gt;$N$14),VLOOKUP(CONCATENATE(LEFT($N24,2),"L"),$R$63:$T$91,3,FALSE),0)+IF(AND($N24="O3/CP",$N$14=A$18),VLOOKUP("O3",$R$63:$T$91,3,FALSE)+VLOOKUP("CP",$R$63:$T$91,3,FALSE),0)+IF(AND($O24&lt;&gt;"",$O24&lt;&gt;"--",$O24&lt;&gt;"O3/CP",$O$14=A$18),IF(LEFT($O24,1)="P",VLOOKUP(CONCATENATE(LEFT($O24,2),"H"),$R$63:$T$91,3,FALSE),VLOOKUP($O24,$R$63:$T$91,3,FALSE)))+IF(AND($O24&lt;&gt;"",$O24&lt;&gt;"O3/CP",$O$15=A$18,MID($O24,4,1)="2",$O$15&lt;&gt;$O$14),VLOOKUP(CONCATENATE(LEFT($O24,2),"L"),$R$63:$T$91,3,FALSE),0)+IF(AND($O24="O3/CP",$O$14=A$18),VLOOKUP("O3",$R$63:$T$91,3,FALSE)+VLOOKUP("CP",$R$63:$T$91,3,FALSE),0)+IF(AND($P24&lt;&gt;"",$P24&lt;&gt;"--",$P24&lt;&gt;"O3/CP",$P$14=A$18),IF(LEFT($P24,1)="P",VLOOKUP(CONCATENATE(LEFT($P24,2),"H"),$R$63:$T$91,3,FALSE),VLOOKUP($P24,$R$63:$T$91,3,FALSE)))+IF(AND($P24&lt;&gt;"",$P24&lt;&gt;"O3/CP",$P$15=A$18,MID($P24,4,1)="2",$P$15&lt;&gt;$P$14),VLOOKUP(CONCATENATE(LEFT($P24,2),"L"),$R$63:$T$91,3,FALSE),0)+IF(AND($P24="O3/CP",$P$14=A$18),VLOOKUP("O3",$R$63:$T$91,3,FALSE)+VLOOKUP("CP",$R$63:$T$91,3,FALSE),0)+IF(AND($Q24&lt;&gt;"",$Q24&lt;&gt;"--",$Q24&lt;&gt;"O3/CP",$Q$14=A$18),IF(LEFT($Q24,1)="P",VLOOKUP(CONCATENATE(LEFT($Q24,2),"H"),$R$63:$T$91,3,FALSE),VLOOKUP($Q24,$R$63:$T$91,3,FALSE)))+IF(AND($Q24&lt;&gt;"",$Q24&lt;&gt;"O3/CP",$Q$15=A$18,MID($Q24,4,1)="2",$Q$15&lt;&gt;$Q$14),VLOOKUP(CONCATENATE(LEFT($Q24,2),"L"),$R$63:$T$91,3,FALSE),0)+IF(AND($Q24="O3/CP",$Q$14=A$18),VLOOKUP("O3",$R$63:$T$91,3,FALSE)+VLOOKUP("CP",$R$63:$T$91,3,FALSE),0)+IF(AND($R24&lt;&gt;"",$R24&lt;&gt;"--",$R24&lt;&gt;"O3/CP",$R$14=A$18),IF(LEFT($R24,1)="P",VLOOKUP(CONCATENATE(LEFT($R24,2),"H"),$R$63:$T$91,3,FALSE),VLOOKUP($R24,$R$63:$T$91,3,FALSE)))+IF(AND($R24&lt;&gt;"",$R24&lt;&gt;"O3/CP",$R$15=A$18,MID($R24,4,1)="2",$R$15&lt;&gt;$R$14),VLOOKUP(CONCATENATE(LEFT($R24,2),"L"),$R$63:$T$91,3,FALSE),0)+IF(AND($R24="O3/CP",$R$14=A$18),VLOOKUP("O3",$R$63:$T$91,3,FALSE)+VLOOKUP("CP",$R$63:$T$91,3,FALSE),0)+IF(AND($S24&lt;&gt;"",$S24&lt;&gt;"--",$S24&lt;&gt;"O3/CP",$S$14=A$18),IF(LEFT($S24,1)="P",VLOOKUP(CONCATENATE(LEFT($S24,2),"H"),$R$63:$T$91,3,FALSE),VLOOKUP($S24,$R$63:$T$91,3,FALSE)))+IF(AND($S24&lt;&gt;"",$S24&lt;&gt;"O3/CP",$S$15=A$18,MID($S24,4,1)="2",$S$15&lt;&gt;$S$14),VLOOKUP(CONCATENATE(LEFT($S24,2),"L"),$R$63:$T$91,3,FALSE),0)+IF(AND($S24="O3/CP",$S$14=A$18),VLOOKUP("O3",$R$63:$T$91,3,FALSE)+VLOOKUP("CP",$R$63:$T$91,3,FALSE),0)+IF(AND($T24&lt;&gt;"",$T24&lt;&gt;"--",$T24&lt;&gt;"O3/CP",$T$14=A$18),IF(LEFT($T24,1)="P",VLOOKUP(CONCATENATE(LEFT($T24,2),"H"),$R$63:$T$91,3,FALSE),VLOOKUP($T24,$R$63:$T$91,3,FALSE)))+IF(AND($T24&lt;&gt;"",$T24&lt;&gt;"O3/CP",$T$15=A$18,MID($T24,4,1)="2",$T$15&lt;&gt;$T$14),VLOOKUP(CONCATENATE(LEFT($T24,2),"L"),$R$63:$T$91,3,FALSE),0)+IF(AND($T24="O3/CP",$T$14=A$18),VLOOKUP("O3",$R$63:$T$91,3,FALSE)+VLOOKUP("CP",$R$63:$T$91,3,FALSE),0)+IF(AND($U24&lt;&gt;"",$U24&lt;&gt;"--",$U24&lt;&gt;"O3/CP",$U$14=A$18),IF(LEFT($U24,1)="P",VLOOKUP(CONCATENATE(LEFT($U24,2),"H"),$R$63:$T$91,3,FALSE),VLOOKUP($U24,$R$63:$T$91,3,FALSE)))+IF(AND($U24&lt;&gt;"",$U24&lt;&gt;"O3/CP",$U$15=A$18,MID($U24,4,1)="2",$U$15&lt;&gt;$U$14),VLOOKUP(CONCATENATE(LEFT($U24,2),"L"),$R$63:$T$91,3,FALSE),0)+IF(AND($U24="O3/CP",$T$14=A$18),VLOOKUP("O3",$R$63:$T$91,3,FALSE)+VLOOKUP("CP",$R$63:$T$91,3,FALSE),0)+IF(AND($V24&lt;&gt;"",$V24&lt;&gt;"--",$V24&lt;&gt;"O3/CP",$V$14=A$18),IF(LEFT($V24,1)="P",VLOOKUP(CONCATENATE(LEFT($V24,2),"H"),$R$63:$T$91,3,FALSE),VLOOKUP($V24,$R$63:$T$91,3,FALSE)))+IF(AND($V24&lt;&gt;"",$V24&lt;&gt;"O3/CP",$V$15=A$18,MID($V24,4,1)="2",$V$15&lt;&gt;$V$14),VLOOKUP(CONCATENATE(LEFT($V24,2),"L"),$R$63:$T$91,3,FALSE),0)+IF(AND($V24="O3/CP",$V$14=A$18),VLOOKUP("O3",$R$63:$T$91,3,FALSE)+VLOOKUP("CP",$R$63:$T$91,3,FALSE),0)+IF(AND($W24&lt;&gt;"",$W24&lt;&gt;"--",$W24&lt;&gt;"O3/CP",$W$14=A$18),IF(LEFT($W24,1)="P",VLOOKUP(CONCATENATE(LEFT($W24,2),"H"),$R$63:$T$91,3,FALSE),VLOOKUP($W24,$R$63:$T$91,3,FALSE)))+IF(AND($W24&lt;&gt;"",$W24&lt;&gt;"O3/CP",$W$15=A$18,MID($W24,4,1)="2",$W$15&lt;&gt;$W$14),VLOOKUP(CONCATENATE(LEFT($W24,2),"L"),$R$63:$T$91,3,FALSE),0)+IF(AND($W24="O3/CP",$W$14=A$18),VLOOKUP("O3",$R$63:$T$91,3,FALSE)+VLOOKUP("CP",$R$63:$T$91,3,FALSE),0)+IF(AND($X24&lt;&gt;"",$X24&lt;&gt;"--",$X24&lt;&gt;"O3/CP",$X$14=A$18),IF(LEFT($X24,1)="P",VLOOKUP(CONCATENATE(LEFT($X24,2),"H"),$R$63:$T$91,3,FALSE),VLOOKUP($X24,$R$63:$T$91,3,FALSE)))+IF(AND($X24&lt;&gt;"",$X24&lt;&gt;"O3/CP",$X$15=A$18,MID($X24,4,1)="2",$X$15&lt;&gt;$X$14),VLOOKUP(CONCATENATE(LEFT($X24,2),"L"),$R$63:$T$91,3,FALSE),0)+IF(AND($X24="O3/CP",$X$14=A$18),VLOOKUP("O3",$R$63:$T$91,3,FALSE)+VLOOKUP("CP",$R$63:$T$91,3,FALSE),0)+IF(AND($Y24&lt;&gt;"",$Y24&lt;&gt;"--",$Y24&lt;&gt;"O3/CP",$Y$14=A$18),IF(LEFT($Y24,1)="P",VLOOKUP(CONCATENATE(LEFT($Y24,2),"H"),$R$63:$T$91,3,FALSE),VLOOKUP($Y24,$R$63:$T$91,3,FALSE)))+IF(AND($Y24&lt;&gt;"",$Y24&lt;&gt;"O3/CP",$Y$15=A$18,MID($Y24,4,1)="2",$Y$15&lt;&gt;$Y$14),VLOOKUP(CONCATENATE(LEFT($Y24,2),"L"),$R$63:$T$91,3,FALSE),0)+IF(AND($Y24="O3/CP",$Y$14=A$18),VLOOKUP("O3",$R$63:$T$91,3,FALSE)+VLOOKUP("CP",$R$63:$T$91,3,FALSE),0)+IF(AND($K$6="CE",'[3]Supply Attribution'!$G$20=A$18),LEFT($S$90,2),0)+IF(AND($X$86&lt;&gt;"Not Set",$X$87=A$18),$X$86,0)</f>
        <v>13</v>
      </c>
      <c r="B24" s="269">
        <f>IF(AND($K24&lt;&gt;"",$K24&lt;&gt;"--",$K24&lt;&gt;"O3/CP",$K$14=B$18),IF(LEFT($K24,1)="P",VLOOKUP(CONCATENATE(LEFT($K24,2),"H"),$R$63:$T$91,3,FALSE),VLOOKUP($K24,$R$63:$T$91,3,FALSE)))+IF(AND($K24&lt;&gt;"",$K24&lt;&gt;"O3/CP",$K$15=B$18,MID($K24,4,1)="2",$K$15&lt;&gt;$K$14),VLOOKUP(CONCATENATE(LEFT($K24,2),"L"),$R$63:$T$91,3,FALSE),0)+IF(AND($K24="O3/CP",$K$14=B$18),VLOOKUP("O3",$R$63:$T$91,3,FALSE)+VLOOKUP("CP",$R$63:$T$91,3,FALSE),0)+IF(AND($L24&lt;&gt;"",$L24&lt;&gt;"--",$L24&lt;&gt;"O3/CP",$L$14=B$18),IF(LEFT($L24,1)="P",VLOOKUP(CONCATENATE(LEFT($L24,2),"H"),$R$63:$T$91,3,FALSE),VLOOKUP($L24,$R$63:$T$91,3,FALSE)))+IF(AND($L24&lt;&gt;"",$L24&lt;&gt;"O3/CP",$L$15=B$18,MID($L24,4,1)="2",$L$15&lt;&gt;$L$14),VLOOKUP(CONCATENATE(LEFT($L24,2),"L"),$R$63:$T$91,3,FALSE),0)+IF(AND($L24="O3/CP",$L$14=B$18),VLOOKUP("O3",$R$63:$T$91,3,FALSE)+VLOOKUP("CP",$R$63:$T$91,3,FALSE),0)+IF(AND($M24&lt;&gt;"",$M24&lt;&gt;"--",$M24&lt;&gt;"O3/CP",$M$14=B$18),IF(LEFT($M24,1)="P",VLOOKUP(CONCATENATE(LEFT($M24,2),"H"),$R$63:$T$91,3,FALSE),VLOOKUP($M24,$R$63:$T$91,3,FALSE)))+IF(AND($M24&lt;&gt;"",$M24&lt;&gt;"O3/CP",$M$15=B$18,MID($M24,4,1)="2",$M$15&lt;&gt;$M$14),VLOOKUP(CONCATENATE(LEFT($M24,2),"L"),$R$63:$T$91,3,FALSE),0)+IF(AND($M24="O3/CP",$M$14=B$18),VLOOKUP("O3",$R$63:$T$91,3,FALSE)+VLOOKUP("CP",$R$63:$T$91,3,FALSE),0)+IF(AND($N24&lt;&gt;"",$N24&lt;&gt;"--",$N24&lt;&gt;"O3/CP",$N$14=B$18),IF(LEFT($N24,1)="P",VLOOKUP(CONCATENATE(LEFT($N24,2),"H"),$R$63:$T$91,3,FALSE),VLOOKUP($N24,$R$63:$T$91,3,FALSE)))+IF(AND($N24&lt;&gt;"",$N24&lt;&gt;"O3/CP",$N$15=B$18,MID($N24,4,1)="2",$N$15&lt;&gt;$N$14),VLOOKUP(CONCATENATE(LEFT($N24,2),"L"),$R$63:$T$91,3,FALSE),0)+IF(AND($N24="O3/CP",$N$14=B$18),VLOOKUP("O3",$R$63:$T$91,3,FALSE)+VLOOKUP("CP",$R$63:$T$91,3,FALSE),0)+IF(AND($O24&lt;&gt;"",$O24&lt;&gt;"--",$O24&lt;&gt;"O3/CP",$O$14=B$18),IF(LEFT($O24,1)="P",VLOOKUP(CONCATENATE(LEFT($O24,2),"H"),$R$63:$T$91,3,FALSE),VLOOKUP($O24,$R$63:$T$91,3,FALSE)))+IF(AND($O24&lt;&gt;"",$O24&lt;&gt;"O3/CP",$O$15=B$18,MID($O24,4,1)="2",$O$15&lt;&gt;$O$14),VLOOKUP(CONCATENATE(LEFT($O24,2),"L"),$R$63:$T$91,3,FALSE),0)+IF(AND($O24="O3/CP",$O$14=B$18),VLOOKUP("O3",$R$63:$T$91,3,FALSE)+VLOOKUP("CP",$R$63:$T$91,3,FALSE),0)+IF(AND($P24&lt;&gt;"",$P24&lt;&gt;"--",$P24&lt;&gt;"O3/CP",$P$14=B$18),IF(LEFT($P24,1)="P",VLOOKUP(CONCATENATE(LEFT($P24,2),"H"),$R$63:$T$91,3,FALSE),VLOOKUP($P24,$R$63:$T$91,3,FALSE)))+IF(AND($P24&lt;&gt;"",$P24&lt;&gt;"O3/CP",$P$15=B$18,MID($P24,4,1)="2",$P$15&lt;&gt;$P$14),VLOOKUP(CONCATENATE(LEFT($P24,2),"L"),$R$63:$T$91,3,FALSE),0)+IF(AND($P24="O3/CP",$P$14=B$18),VLOOKUP("O3",$R$63:$T$91,3,FALSE)+VLOOKUP("CP",$R$63:$T$91,3,FALSE),0)+IF(AND($Q24&lt;&gt;"",$Q24&lt;&gt;"--",$Q24&lt;&gt;"O3/CP",$Q$14=B$18),IF(LEFT($Q24,1)="P",VLOOKUP(CONCATENATE(LEFT($Q24,2),"H"),$R$63:$T$91,3,FALSE),VLOOKUP($Q24,$R$63:$T$91,3,FALSE)))+IF(AND($Q24&lt;&gt;"",$Q24&lt;&gt;"O3/CP",$Q$15=B$18,MID($Q24,4,1)="2",$Q$15&lt;&gt;$Q$14),VLOOKUP(CONCATENATE(LEFT($Q24,2),"L"),$R$63:$T$91,3,FALSE),0)+IF(AND($Q24="O3/CP",$Q$14=B$18),VLOOKUP("O3",$R$63:$T$91,3,FALSE)+VLOOKUP("CP",$R$63:$T$91,3,FALSE),0)+IF(AND($R24&lt;&gt;"",$R24&lt;&gt;"--",$R24&lt;&gt;"O3/CP",$R$14=B$18),IF(LEFT($R24,1)="P",VLOOKUP(CONCATENATE(LEFT($R24,2),"H"),$R$63:$T$91,3,FALSE),VLOOKUP($R24,$R$63:$T$91,3,FALSE)))+IF(AND($R24&lt;&gt;"",$R24&lt;&gt;"O3/CP",$R$15=B$18,MID($R24,4,1)="2",$R$15&lt;&gt;$R$14),VLOOKUP(CONCATENATE(LEFT($R24,2),"L"),$R$63:$T$91,3,FALSE),0)+IF(AND($R24="O3/CP",$R$14=B$18),VLOOKUP("O3",$R$63:$T$91,3,FALSE)+VLOOKUP("CP",$R$63:$T$91,3,FALSE),0)+IF(AND($S24&lt;&gt;"",$S24&lt;&gt;"--",$S24&lt;&gt;"O3/CP",$S$14=B$18),IF(LEFT($S24,1)="P",VLOOKUP(CONCATENATE(LEFT($S24,2),"H"),$R$63:$T$91,3,FALSE),VLOOKUP($S24,$R$63:$T$91,3,FALSE)))+IF(AND($S24&lt;&gt;"",$S24&lt;&gt;"O3/CP",$S$15=B$18,MID($S24,4,1)="2",$S$15&lt;&gt;$S$14),VLOOKUP(CONCATENATE(LEFT($S24,2),"L"),$R$63:$T$91,3,FALSE),0)+IF(AND($S24="O3/CP",$S$14=B$18),VLOOKUP("O3",$R$63:$T$91,3,FALSE)+VLOOKUP("CP",$R$63:$T$91,3,FALSE),0)+IF(AND($T24&lt;&gt;"",$T24&lt;&gt;"--",$T24&lt;&gt;"O3/CP",$T$14=B$18),IF(LEFT($T24,1)="P",VLOOKUP(CONCATENATE(LEFT($T24,2),"H"),$R$63:$T$91,3,FALSE),VLOOKUP($T24,$R$63:$T$91,3,FALSE)))+IF(AND($T24&lt;&gt;"",$T24&lt;&gt;"O3/CP",$T$15=B$18,MID($T24,4,1)="2",$T$15&lt;&gt;$T$14),VLOOKUP(CONCATENATE(LEFT($T24,2),"L"),$R$63:$T$91,3,FALSE),0)+IF(AND($T24="O3/CP",$T$14=B$18),VLOOKUP("O3",$R$63:$T$91,3,FALSE)+VLOOKUP("CP",$R$63:$T$91,3,FALSE),0)+IF(AND($U24&lt;&gt;"",$U24&lt;&gt;"--",$U24&lt;&gt;"O3/CP",$U$14=B$18),IF(LEFT($U24,1)="P",VLOOKUP(CONCATENATE(LEFT($U24,2),"H"),$R$63:$T$91,3,FALSE),VLOOKUP($U24,$R$63:$T$91,3,FALSE)))+IF(AND($U24&lt;&gt;"",$U24&lt;&gt;"O3/CP",$U$15=B$18,MID($U24,4,1)="2",$U$15&lt;&gt;$U$14),VLOOKUP(CONCATENATE(LEFT($U24,2),"L"),$R$63:$T$91,3,FALSE),0)+IF(AND($U24="O3/CP",$T$14=B$18),VLOOKUP("O3",$R$63:$T$91,3,FALSE)+VLOOKUP("CP",$R$63:$T$91,3,FALSE),0)+IF(AND($V24&lt;&gt;"",$V24&lt;&gt;"--",$V24&lt;&gt;"O3/CP",$V$14=B$18),IF(LEFT($V24,1)="P",VLOOKUP(CONCATENATE(LEFT($V24,2),"H"),$R$63:$T$91,3,FALSE),VLOOKUP($V24,$R$63:$T$91,3,FALSE)))+IF(AND($V24&lt;&gt;"",$V24&lt;&gt;"O3/CP",$V$15=B$18,MID($V24,4,1)="2",$V$15&lt;&gt;$V$14),VLOOKUP(CONCATENATE(LEFT($V24,2),"L"),$R$63:$T$91,3,FALSE),0)+IF(AND($V24="O3/CP",$V$14=B$18),VLOOKUP("O3",$R$63:$T$91,3,FALSE)+VLOOKUP("CP",$R$63:$T$91,3,FALSE),0)+IF(AND($W24&lt;&gt;"",$W24&lt;&gt;"--",$W24&lt;&gt;"O3/CP",$W$14=B$18),IF(LEFT($W24,1)="P",VLOOKUP(CONCATENATE(LEFT($W24,2),"H"),$R$63:$T$91,3,FALSE),VLOOKUP($W24,$R$63:$T$91,3,FALSE)))+IF(AND($W24&lt;&gt;"",$W24&lt;&gt;"O3/CP",$W$15=B$18,MID($W24,4,1)="2",$W$15&lt;&gt;$W$14),VLOOKUP(CONCATENATE(LEFT($W24,2),"L"),$R$63:$T$91,3,FALSE),0)+IF(AND($W24="O3/CP",$W$14=B$18),VLOOKUP("O3",$R$63:$T$91,3,FALSE)+VLOOKUP("CP",$R$63:$T$91,3,FALSE),0)+IF(AND($X24&lt;&gt;"",$X24&lt;&gt;"--",$X24&lt;&gt;"O3/CP",$X$14=B$18),IF(LEFT($X24,1)="P",VLOOKUP(CONCATENATE(LEFT($X24,2),"H"),$R$63:$T$91,3,FALSE),VLOOKUP($X24,$R$63:$T$91,3,FALSE)))+IF(AND($X24&lt;&gt;"",$X24&lt;&gt;"O3/CP",$X$15=B$18,MID($X24,4,1)="2",$X$15&lt;&gt;$X$14),VLOOKUP(CONCATENATE(LEFT($X24,2),"L"),$R$63:$T$91,3,FALSE),0)+IF(AND($X24="O3/CP",$X$14=B$18),VLOOKUP("O3",$R$63:$T$91,3,FALSE)+VLOOKUP("CP",$R$63:$T$91,3,FALSE),0)+IF(AND($Y24&lt;&gt;"",$Y24&lt;&gt;"--",$Y24&lt;&gt;"O3/CP",$Y$14=B$18),IF(LEFT($Y24,1)="P",VLOOKUP(CONCATENATE(LEFT($Y24,2),"H"),$R$63:$T$91,3,FALSE),VLOOKUP($Y24,$R$63:$T$91,3,FALSE)))+IF(AND($Y24&lt;&gt;"",$Y24&lt;&gt;"O3/CP",$Y$15=B$18,MID($Y24,4,1)="2",$Y$15&lt;&gt;$Y$14),VLOOKUP(CONCATENATE(LEFT($Y24,2),"L"),$R$63:$T$91,3,FALSE),0)+IF(AND($Y24="O3/CP",$Y$14=B$18),VLOOKUP("O3",$R$63:$T$91,3,FALSE)+VLOOKUP("CP",$R$63:$T$91,3,FALSE),0)+IF(AND($K$6="CE",'[3]Supply Attribution'!$G$20=B$18),LEFT($S$90,2),0)+IF(AND($X$86&lt;&gt;"Not Set",$X$87=B$18),$X$86,0)</f>
        <v>5</v>
      </c>
      <c r="C24" s="269">
        <f>IF(AND($K24&lt;&gt;"",$K24&lt;&gt;"--",$K24&lt;&gt;"O3/CP",$K$14=C$18),IF(LEFT($K24,1)="P",VLOOKUP(CONCATENATE(LEFT($K24,2),"H"),$R$63:$T$91,3,FALSE),VLOOKUP($K24,$R$63:$T$91,3,FALSE)))+IF(AND($K24&lt;&gt;"",$K24&lt;&gt;"O3/CP",$K$15=C$18,MID($K24,4,1)="2",$K$15&lt;&gt;$K$14),VLOOKUP(CONCATENATE(LEFT($K24,2),"L"),$R$63:$T$91,3,FALSE),0)+IF(AND($K24="O3/CP",$K$14=C$18),VLOOKUP("O3",$R$63:$T$91,3,FALSE)+VLOOKUP("CP",$R$63:$T$91,3,FALSE),0)+IF(AND($L24&lt;&gt;"",$L24&lt;&gt;"--",$L24&lt;&gt;"O3/CP",$L$14=C$18),IF(LEFT($L24,1)="P",VLOOKUP(CONCATENATE(LEFT($L24,2),"H"),$R$63:$T$91,3,FALSE),VLOOKUP($L24,$R$63:$T$91,3,FALSE)))+IF(AND($L24&lt;&gt;"",$L24&lt;&gt;"O3/CP",$L$15=C$18,MID($L24,4,1)="2",$L$15&lt;&gt;$L$14),VLOOKUP(CONCATENATE(LEFT($L24,2),"L"),$R$63:$T$91,3,FALSE),0)+IF(AND($L24="O3/CP",$L$14=C$18),VLOOKUP("O3",$R$63:$T$91,3,FALSE)+VLOOKUP("CP",$R$63:$T$91,3,FALSE),0)+IF(AND($M24&lt;&gt;"",$M24&lt;&gt;"--",$M24&lt;&gt;"O3/CP",$M$14=C$18),IF(LEFT($M24,1)="P",VLOOKUP(CONCATENATE(LEFT($M24,2),"H"),$R$63:$T$91,3,FALSE),VLOOKUP($M24,$R$63:$T$91,3,FALSE)))+IF(AND($M24&lt;&gt;"",$M24&lt;&gt;"O3/CP",$M$15=C$18,MID($M24,4,1)="2",$M$15&lt;&gt;$M$14),VLOOKUP(CONCATENATE(LEFT($M24,2),"L"),$R$63:$T$91,3,FALSE),0)+IF(AND($M24="O3/CP",$M$14=C$18),VLOOKUP("O3",$R$63:$T$91,3,FALSE)+VLOOKUP("CP",$R$63:$T$91,3,FALSE),0)+IF(AND($N24&lt;&gt;"",$N24&lt;&gt;"--",$N24&lt;&gt;"O3/CP",$N$14=C$18),IF(LEFT($N24,1)="P",VLOOKUP(CONCATENATE(LEFT($N24,2),"H"),$R$63:$T$91,3,FALSE),VLOOKUP($N24,$R$63:$T$91,3,FALSE)))+IF(AND($N24&lt;&gt;"",$N24&lt;&gt;"O3/CP",$N$15=C$18,MID($N24,4,1)="2",$N$15&lt;&gt;$N$14),VLOOKUP(CONCATENATE(LEFT($N24,2),"L"),$R$63:$T$91,3,FALSE),0)+IF(AND($N24="O3/CP",$N$14=C$18),VLOOKUP("O3",$R$63:$T$91,3,FALSE)+VLOOKUP("CP",$R$63:$T$91,3,FALSE),0)+IF(AND($O24&lt;&gt;"",$O24&lt;&gt;"--",$O24&lt;&gt;"O3/CP",$O$14=C$18),IF(LEFT($O24,1)="P",VLOOKUP(CONCATENATE(LEFT($O24,2),"H"),$R$63:$T$91,3,FALSE),VLOOKUP($O24,$R$63:$T$91,3,FALSE)))+IF(AND($O24&lt;&gt;"",$O24&lt;&gt;"O3/CP",$O$15=C$18,MID($O24,4,1)="2",$O$15&lt;&gt;$O$14),VLOOKUP(CONCATENATE(LEFT($O24,2),"L"),$R$63:$T$91,3,FALSE),0)+IF(AND($O24="O3/CP",$O$14=C$18),VLOOKUP("O3",$R$63:$T$91,3,FALSE)+VLOOKUP("CP",$R$63:$T$91,3,FALSE),0)+IF(AND($P24&lt;&gt;"",$P24&lt;&gt;"--",$P24&lt;&gt;"O3/CP",$P$14=C$18),IF(LEFT($P24,1)="P",VLOOKUP(CONCATENATE(LEFT($P24,2),"H"),$R$63:$T$91,3,FALSE),VLOOKUP($P24,$R$63:$T$91,3,FALSE)))+IF(AND($P24&lt;&gt;"",$P24&lt;&gt;"O3/CP",$P$15=C$18,MID($P24,4,1)="2",$P$15&lt;&gt;$P$14),VLOOKUP(CONCATENATE(LEFT($P24,2),"L"),$R$63:$T$91,3,FALSE),0)+IF(AND($P24="O3/CP",$P$14=C$18),VLOOKUP("O3",$R$63:$T$91,3,FALSE)+VLOOKUP("CP",$R$63:$T$91,3,FALSE),0)+IF(AND($Q24&lt;&gt;"",$Q24&lt;&gt;"--",$Q24&lt;&gt;"O3/CP",$Q$14=C$18),IF(LEFT($Q24,1)="P",VLOOKUP(CONCATENATE(LEFT($Q24,2),"H"),$R$63:$T$91,3,FALSE),VLOOKUP($Q24,$R$63:$T$91,3,FALSE)))+IF(AND($Q24&lt;&gt;"",$Q24&lt;&gt;"O3/CP",$Q$15=C$18,MID($Q24,4,1)="2",$Q$15&lt;&gt;$Q$14),VLOOKUP(CONCATENATE(LEFT($Q24,2),"L"),$R$63:$T$91,3,FALSE),0)+IF(AND($Q24="O3/CP",$Q$14=C$18),VLOOKUP("O3",$R$63:$T$91,3,FALSE)+VLOOKUP("CP",$R$63:$T$91,3,FALSE),0)+IF(AND($R24&lt;&gt;"",$R24&lt;&gt;"--",$R24&lt;&gt;"O3/CP",$R$14=C$18),IF(LEFT($R24,1)="P",VLOOKUP(CONCATENATE(LEFT($R24,2),"H"),$R$63:$T$91,3,FALSE),VLOOKUP($R24,$R$63:$T$91,3,FALSE)))+IF(AND($R24&lt;&gt;"",$R24&lt;&gt;"O3/CP",$R$15=C$18,MID($R24,4,1)="2",$R$15&lt;&gt;$R$14),VLOOKUP(CONCATENATE(LEFT($R24,2),"L"),$R$63:$T$91,3,FALSE),0)+IF(AND($R24="O3/CP",$R$14=C$18),VLOOKUP("O3",$R$63:$T$91,3,FALSE)+VLOOKUP("CP",$R$63:$T$91,3,FALSE),0)+IF(AND($S24&lt;&gt;"",$S24&lt;&gt;"--",$S24&lt;&gt;"O3/CP",$S$14=C$18),IF(LEFT($S24,1)="P",VLOOKUP(CONCATENATE(LEFT($S24,2),"H"),$R$63:$T$91,3,FALSE),VLOOKUP($S24,$R$63:$T$91,3,FALSE)))+IF(AND($S24&lt;&gt;"",$S24&lt;&gt;"O3/CP",$S$15=C$18,MID($S24,4,1)="2",$S$15&lt;&gt;$S$14),VLOOKUP(CONCATENATE(LEFT($S24,2),"L"),$R$63:$T$91,3,FALSE),0)+IF(AND($S24="O3/CP",$S$14=C$18),VLOOKUP("O3",$R$63:$T$91,3,FALSE)+VLOOKUP("CP",$R$63:$T$91,3,FALSE),0)+IF(AND($T24&lt;&gt;"",$T24&lt;&gt;"--",$T24&lt;&gt;"O3/CP",$T$14=C$18),IF(LEFT($T24,1)="P",VLOOKUP(CONCATENATE(LEFT($T24,2),"H"),$R$63:$T$91,3,FALSE),VLOOKUP($T24,$R$63:$T$91,3,FALSE)))+IF(AND($T24&lt;&gt;"",$T24&lt;&gt;"O3/CP",$T$15=C$18,MID($T24,4,1)="2",$T$15&lt;&gt;$T$14),VLOOKUP(CONCATENATE(LEFT($T24,2),"L"),$R$63:$T$91,3,FALSE),0)+IF(AND($T24="O3/CP",$T$14=C$18),VLOOKUP("O3",$R$63:$T$91,3,FALSE)+VLOOKUP("CP",$R$63:$T$91,3,FALSE),0)+IF(AND($U24&lt;&gt;"",$U24&lt;&gt;"--",$U24&lt;&gt;"O3/CP",$U$14=C$18),IF(LEFT($U24,1)="P",VLOOKUP(CONCATENATE(LEFT($U24,2),"H"),$R$63:$T$91,3,FALSE),VLOOKUP($U24,$R$63:$T$91,3,FALSE)))+IF(AND($U24&lt;&gt;"",$U24&lt;&gt;"O3/CP",$U$15=C$18,MID($U24,4,1)="2",$U$15&lt;&gt;$U$14),VLOOKUP(CONCATENATE(LEFT($U24,2),"L"),$R$63:$T$91,3,FALSE),0)+IF(AND($U24="O3/CP",$T$14=C$18),VLOOKUP("O3",$R$63:$T$91,3,FALSE)+VLOOKUP("CP",$R$63:$T$91,3,FALSE),0)+IF(AND($V24&lt;&gt;"",$V24&lt;&gt;"--",$V24&lt;&gt;"O3/CP",$V$14=C$18),IF(LEFT($V24,1)="P",VLOOKUP(CONCATENATE(LEFT($V24,2),"H"),$R$63:$T$91,3,FALSE),VLOOKUP($V24,$R$63:$T$91,3,FALSE)))+IF(AND($V24&lt;&gt;"",$V24&lt;&gt;"O3/CP",$V$15=C$18,MID($V24,4,1)="2",$V$15&lt;&gt;$V$14),VLOOKUP(CONCATENATE(LEFT($V24,2),"L"),$R$63:$T$91,3,FALSE),0)+IF(AND($V24="O3/CP",$V$14=C$18),VLOOKUP("O3",$R$63:$T$91,3,FALSE)+VLOOKUP("CP",$R$63:$T$91,3,FALSE),0)+IF(AND($W24&lt;&gt;"",$W24&lt;&gt;"--",$W24&lt;&gt;"O3/CP",$W$14=C$18),IF(LEFT($W24,1)="P",VLOOKUP(CONCATENATE(LEFT($W24,2),"H"),$R$63:$T$91,3,FALSE),VLOOKUP($W24,$R$63:$T$91,3,FALSE)))+IF(AND($W24&lt;&gt;"",$W24&lt;&gt;"O3/CP",$W$15=C$18,MID($W24,4,1)="2",$W$15&lt;&gt;$W$14),VLOOKUP(CONCATENATE(LEFT($W24,2),"L"),$R$63:$T$91,3,FALSE),0)+IF(AND($W24="O3/CP",$W$14=C$18),VLOOKUP("O3",$R$63:$T$91,3,FALSE)+VLOOKUP("CP",$R$63:$T$91,3,FALSE),0)+IF(AND($X24&lt;&gt;"",$X24&lt;&gt;"--",$X24&lt;&gt;"O3/CP",$X$14=C$18),IF(LEFT($X24,1)="P",VLOOKUP(CONCATENATE(LEFT($X24,2),"H"),$R$63:$T$91,3,FALSE),VLOOKUP($X24,$R$63:$T$91,3,FALSE)))+IF(AND($X24&lt;&gt;"",$X24&lt;&gt;"O3/CP",$X$15=C$18,MID($X24,4,1)="2",$X$15&lt;&gt;$X$14),VLOOKUP(CONCATENATE(LEFT($X24,2),"L"),$R$63:$T$91,3,FALSE),0)+IF(AND($X24="O3/CP",$X$14=C$18),VLOOKUP("O3",$R$63:$T$91,3,FALSE)+VLOOKUP("CP",$R$63:$T$91,3,FALSE),0)+IF(AND($Y24&lt;&gt;"",$Y24&lt;&gt;"--",$Y24&lt;&gt;"O3/CP",$Y$14=C$18),IF(LEFT($Y24,1)="P",VLOOKUP(CONCATENATE(LEFT($Y24,2),"H"),$R$63:$T$91,3,FALSE),VLOOKUP($Y24,$R$63:$T$91,3,FALSE)))+IF(AND($Y24&lt;&gt;"",$Y24&lt;&gt;"O3/CP",$Y$15=C$18,MID($Y24,4,1)="2",$Y$15&lt;&gt;$Y$14),VLOOKUP(CONCATENATE(LEFT($Y24,2),"L"),$R$63:$T$91,3,FALSE),0)+IF(AND($Y24="O3/CP",$Y$14=C$18),VLOOKUP("O3",$R$63:$T$91,3,FALSE)+VLOOKUP("CP",$R$63:$T$91,3,FALSE),0)+IF(AND($K$6="CE",'[3]Supply Attribution'!$G$20=C$18),LEFT($S$90,2),0)+IF(AND($X$86&lt;&gt;"Not Set",$X$87=C$18),$X$86,0)</f>
        <v>12</v>
      </c>
      <c r="D24" s="269">
        <f>IF(AND($K24&lt;&gt;"",$K24&lt;&gt;"--",$K24&lt;&gt;"O3/CP",$K$14=D$18),IF(LEFT($K24,1)="P",VLOOKUP(CONCATENATE(LEFT($K24,2),"H"),$R$63:$T$91,3,FALSE),VLOOKUP($K24,$R$63:$T$91,3,FALSE)))+IF(AND($K24&lt;&gt;"",$K24&lt;&gt;"O3/CP",$K$15=D$18,MID($K24,4,1)="2",$K$15&lt;&gt;$K$14),VLOOKUP(CONCATENATE(LEFT($K24,2),"L"),$R$63:$T$91,3,FALSE),0)+IF(AND($K24="O3/CP",$K$14=D$18),VLOOKUP("O3",$R$63:$T$91,3,FALSE)+VLOOKUP("CP",$R$63:$T$91,3,FALSE),0)+IF(AND($L24&lt;&gt;"",$L24&lt;&gt;"--",$L24&lt;&gt;"O3/CP",$L$14=D$18),IF(LEFT($L24,1)="P",VLOOKUP(CONCATENATE(LEFT($L24,2),"H"),$R$63:$T$91,3,FALSE),VLOOKUP($L24,$R$63:$T$91,3,FALSE)))+IF(AND($L24&lt;&gt;"",$L24&lt;&gt;"O3/CP",$L$15=D$18,MID($L24,4,1)="2",$L$15&lt;&gt;$L$14),VLOOKUP(CONCATENATE(LEFT($L24,2),"L"),$R$63:$T$91,3,FALSE),0)+IF(AND($L24="O3/CP",$L$14=D$18),VLOOKUP("O3",$R$63:$T$91,3,FALSE)+VLOOKUP("CP",$R$63:$T$91,3,FALSE),0)+IF(AND($M24&lt;&gt;"",$M24&lt;&gt;"--",$M24&lt;&gt;"O3/CP",$M$14=D$18),IF(LEFT($M24,1)="P",VLOOKUP(CONCATENATE(LEFT($M24,2),"H"),$R$63:$T$91,3,FALSE),VLOOKUP($M24,$R$63:$T$91,3,FALSE)))+IF(AND($M24&lt;&gt;"",$M24&lt;&gt;"O3/CP",$M$15=D$18,MID($M24,4,1)="2",$M$15&lt;&gt;$M$14),VLOOKUP(CONCATENATE(LEFT($M24,2),"L"),$R$63:$T$91,3,FALSE),0)+IF(AND($M24="O3/CP",$M$14=D$18),VLOOKUP("O3",$R$63:$T$91,3,FALSE)+VLOOKUP("CP",$R$63:$T$91,3,FALSE),0)+IF(AND($N24&lt;&gt;"",$N24&lt;&gt;"--",$N24&lt;&gt;"O3/CP",$N$14=D$18),IF(LEFT($N24,1)="P",VLOOKUP(CONCATENATE(LEFT($N24,2),"H"),$R$63:$T$91,3,FALSE),VLOOKUP($N24,$R$63:$T$91,3,FALSE)))+IF(AND($N24&lt;&gt;"",$N24&lt;&gt;"O3/CP",$N$15=D$18,MID($N24,4,1)="2",$N$15&lt;&gt;$N$14),VLOOKUP(CONCATENATE(LEFT($N24,2),"L"),$R$63:$T$91,3,FALSE),0)+IF(AND($N24="O3/CP",$N$14=D$18),VLOOKUP("O3",$R$63:$T$91,3,FALSE)+VLOOKUP("CP",$R$63:$T$91,3,FALSE),0)+IF(AND($O24&lt;&gt;"",$O24&lt;&gt;"--",$O24&lt;&gt;"O3/CP",$O$14=D$18),IF(LEFT($O24,1)="P",VLOOKUP(CONCATENATE(LEFT($O24,2),"H"),$R$63:$T$91,3,FALSE),VLOOKUP($O24,$R$63:$T$91,3,FALSE)))+IF(AND($O24&lt;&gt;"",$O24&lt;&gt;"O3/CP",$O$15=D$18,MID($O24,4,1)="2",$O$15&lt;&gt;$O$14),VLOOKUP(CONCATENATE(LEFT($O24,2),"L"),$R$63:$T$91,3,FALSE),0)+IF(AND($O24="O3/CP",$O$14=D$18),VLOOKUP("O3",$R$63:$T$91,3,FALSE)+VLOOKUP("CP",$R$63:$T$91,3,FALSE),0)+IF(AND($P24&lt;&gt;"",$P24&lt;&gt;"--",$P24&lt;&gt;"O3/CP",$P$14=D$18),IF(LEFT($P24,1)="P",VLOOKUP(CONCATENATE(LEFT($P24,2),"H"),$R$63:$T$91,3,FALSE),VLOOKUP($P24,$R$63:$T$91,3,FALSE)))+IF(AND($P24&lt;&gt;"",$P24&lt;&gt;"O3/CP",$P$15=D$18,MID($P24,4,1)="2",$P$15&lt;&gt;$P$14),VLOOKUP(CONCATENATE(LEFT($P24,2),"L"),$R$63:$T$91,3,FALSE),0)+IF(AND($P24="O3/CP",$P$14=D$18),VLOOKUP("O3",$R$63:$T$91,3,FALSE)+VLOOKUP("CP",$R$63:$T$91,3,FALSE),0)+IF(AND($Q24&lt;&gt;"",$Q24&lt;&gt;"--",$Q24&lt;&gt;"O3/CP",$Q$14=D$18),IF(LEFT($Q24,1)="P",VLOOKUP(CONCATENATE(LEFT($Q24,2),"H"),$R$63:$T$91,3,FALSE),VLOOKUP($Q24,$R$63:$T$91,3,FALSE)))+IF(AND($Q24&lt;&gt;"",$Q24&lt;&gt;"O3/CP",$Q$15=D$18,MID($Q24,4,1)="2",$Q$15&lt;&gt;$Q$14),VLOOKUP(CONCATENATE(LEFT($Q24,2),"L"),$R$63:$T$91,3,FALSE),0)+IF(AND($Q24="O3/CP",$Q$14=D$18),VLOOKUP("O3",$R$63:$T$91,3,FALSE)+VLOOKUP("CP",$R$63:$T$91,3,FALSE),0)+IF(AND($R24&lt;&gt;"",$R24&lt;&gt;"--",$R24&lt;&gt;"O3/CP",$R$14=D$18),IF(LEFT($R24,1)="P",VLOOKUP(CONCATENATE(LEFT($R24,2),"H"),$R$63:$T$91,3,FALSE),VLOOKUP($R24,$R$63:$T$91,3,FALSE)))+IF(AND($R24&lt;&gt;"",$R24&lt;&gt;"O3/CP",$R$15=D$18,MID($R24,4,1)="2",$R$15&lt;&gt;$R$14),VLOOKUP(CONCATENATE(LEFT($R24,2),"L"),$R$63:$T$91,3,FALSE),0)+IF(AND($R24="O3/CP",$R$14=D$18),VLOOKUP("O3",$R$63:$T$91,3,FALSE)+VLOOKUP("CP",$R$63:$T$91,3,FALSE),0)+IF(AND($S24&lt;&gt;"",$S24&lt;&gt;"--",$S24&lt;&gt;"O3/CP",$S$14=D$18),IF(LEFT($S24,1)="P",VLOOKUP(CONCATENATE(LEFT($S24,2),"H"),$R$63:$T$91,3,FALSE),VLOOKUP($S24,$R$63:$T$91,3,FALSE)))+IF(AND($S24&lt;&gt;"",$S24&lt;&gt;"O3/CP",$S$15=D$18,MID($S24,4,1)="2",$S$15&lt;&gt;$S$14),VLOOKUP(CONCATENATE(LEFT($S24,2),"L"),$R$63:$T$91,3,FALSE),0)+IF(AND($S24="O3/CP",$S$14=D$18),VLOOKUP("O3",$R$63:$T$91,3,FALSE)+VLOOKUP("CP",$R$63:$T$91,3,FALSE),0)+IF(AND($T24&lt;&gt;"",$T24&lt;&gt;"--",$T24&lt;&gt;"O3/CP",$T$14=D$18),IF(LEFT($T24,1)="P",VLOOKUP(CONCATENATE(LEFT($T24,2),"H"),$R$63:$T$91,3,FALSE),VLOOKUP($T24,$R$63:$T$91,3,FALSE)))+IF(AND($T24&lt;&gt;"",$T24&lt;&gt;"O3/CP",$T$15=D$18,MID($T24,4,1)="2",$T$15&lt;&gt;$T$14),VLOOKUP(CONCATENATE(LEFT($T24,2),"L"),$R$63:$T$91,3,FALSE),0)+IF(AND($T24="O3/CP",$T$14=D$18),VLOOKUP("O3",$R$63:$T$91,3,FALSE)+VLOOKUP("CP",$R$63:$T$91,3,FALSE),0)+IF(AND($U24&lt;&gt;"",$U24&lt;&gt;"--",$U24&lt;&gt;"O3/CP",$U$14=D$18),IF(LEFT($U24,1)="P",VLOOKUP(CONCATENATE(LEFT($U24,2),"H"),$R$63:$T$91,3,FALSE),VLOOKUP($U24,$R$63:$T$91,3,FALSE)))+IF(AND($U24&lt;&gt;"",$U24&lt;&gt;"O3/CP",$U$15=D$18,MID($U24,4,1)="2",$U$15&lt;&gt;$U$14),VLOOKUP(CONCATENATE(LEFT($U24,2),"L"),$R$63:$T$91,3,FALSE),0)+IF(AND($U24="O3/CP",$T$14=D$18),VLOOKUP("O3",$R$63:$T$91,3,FALSE)+VLOOKUP("CP",$R$63:$T$91,3,FALSE),0)+IF(AND($V24&lt;&gt;"",$V24&lt;&gt;"--",$V24&lt;&gt;"O3/CP",$V$14=D$18),IF(LEFT($V24,1)="P",VLOOKUP(CONCATENATE(LEFT($V24,2),"H"),$R$63:$T$91,3,FALSE),VLOOKUP($V24,$R$63:$T$91,3,FALSE)))+IF(AND($V24&lt;&gt;"",$V24&lt;&gt;"O3/CP",$V$15=D$18,MID($V24,4,1)="2",$V$15&lt;&gt;$V$14),VLOOKUP(CONCATENATE(LEFT($V24,2),"L"),$R$63:$T$91,3,FALSE),0)+IF(AND($V24="O3/CP",$V$14=D$18),VLOOKUP("O3",$R$63:$T$91,3,FALSE)+VLOOKUP("CP",$R$63:$T$91,3,FALSE),0)+IF(AND($W24&lt;&gt;"",$W24&lt;&gt;"--",$W24&lt;&gt;"O3/CP",$W$14=D$18),IF(LEFT($W24,1)="P",VLOOKUP(CONCATENATE(LEFT($W24,2),"H"),$R$63:$T$91,3,FALSE),VLOOKUP($W24,$R$63:$T$91,3,FALSE)))+IF(AND($W24&lt;&gt;"",$W24&lt;&gt;"O3/CP",$W$15=D$18,MID($W24,4,1)="2",$W$15&lt;&gt;$W$14),VLOOKUP(CONCATENATE(LEFT($W24,2),"L"),$R$63:$T$91,3,FALSE),0)+IF(AND($W24="O3/CP",$W$14=D$18),VLOOKUP("O3",$R$63:$T$91,3,FALSE)+VLOOKUP("CP",$R$63:$T$91,3,FALSE),0)+IF(AND($X24&lt;&gt;"",$X24&lt;&gt;"--",$X24&lt;&gt;"O3/CP",$X$14=D$18),IF(LEFT($X24,1)="P",VLOOKUP(CONCATENATE(LEFT($X24,2),"H"),$R$63:$T$91,3,FALSE),VLOOKUP($X24,$R$63:$T$91,3,FALSE)))+IF(AND($X24&lt;&gt;"",$X24&lt;&gt;"O3/CP",$X$15=D$18,MID($X24,4,1)="2",$X$15&lt;&gt;$X$14),VLOOKUP(CONCATENATE(LEFT($X24,2),"L"),$R$63:$T$91,3,FALSE),0)+IF(AND($X24="O3/CP",$X$14=D$18),VLOOKUP("O3",$R$63:$T$91,3,FALSE)+VLOOKUP("CP",$R$63:$T$91,3,FALSE),0)+IF(AND($Y24&lt;&gt;"",$Y24&lt;&gt;"--",$Y24&lt;&gt;"O3/CP",$Y$14=D$18),IF(LEFT($Y24,1)="P",VLOOKUP(CONCATENATE(LEFT($Y24,2),"H"),$R$63:$T$91,3,FALSE),VLOOKUP($Y24,$R$63:$T$91,3,FALSE)))+IF(AND($Y24&lt;&gt;"",$Y24&lt;&gt;"O3/CP",$Y$15=D$18,MID($Y24,4,1)="2",$Y$15&lt;&gt;$Y$14),VLOOKUP(CONCATENATE(LEFT($Y24,2),"L"),$R$63:$T$91,3,FALSE),0)+IF(AND($Y24="O3/CP",$Y$14=D$18),VLOOKUP("O3",$R$63:$T$91,3,FALSE)+VLOOKUP("CP",$R$63:$T$91,3,FALSE),0)+IF(AND($K$6="CE",'[3]Supply Attribution'!$G$20=D$18),LEFT($S$90,2),0)+IF(AND($X$86&lt;&gt;"Not Set",$X$87=D$18),$X$86,0)</f>
        <v>0</v>
      </c>
      <c r="E24" s="269">
        <f>IF(AND($K24&lt;&gt;"",$K24&lt;&gt;"--",$K24&lt;&gt;"O3/CP",$K$14=E$18),IF(LEFT($K24,1)="P",VLOOKUP(CONCATENATE(LEFT($K24,2),"H"),$R$63:$T$91,3,FALSE),VLOOKUP($K24,$R$63:$T$91,3,FALSE)))+IF(AND($K24&lt;&gt;"",$K24&lt;&gt;"O3/CP",$K$15=E$18,MID($K24,4,1)="2",$K$15&lt;&gt;$K$14),VLOOKUP(CONCATENATE(LEFT($K24,2),"L"),$R$63:$T$91,3,FALSE),0)+IF(AND($K24="O3/CP",$K$14=E$18),VLOOKUP("O3",$R$63:$T$91,3,FALSE)+VLOOKUP("CP",$R$63:$T$91,3,FALSE),0)+IF(AND($L24&lt;&gt;"",$L24&lt;&gt;"--",$L24&lt;&gt;"O3/CP",$L$14=E$18),IF(LEFT($L24,1)="P",VLOOKUP(CONCATENATE(LEFT($L24,2),"H"),$R$63:$T$91,3,FALSE),VLOOKUP($L24,$R$63:$T$91,3,FALSE)))+IF(AND($L24&lt;&gt;"",$L24&lt;&gt;"O3/CP",$L$15=E$18,MID($L24,4,1)="2",$L$15&lt;&gt;$L$14),VLOOKUP(CONCATENATE(LEFT($L24,2),"L"),$R$63:$T$91,3,FALSE),0)+IF(AND($L24="O3/CP",$L$14=E$18),VLOOKUP("O3",$R$63:$T$91,3,FALSE)+VLOOKUP("CP",$R$63:$T$91,3,FALSE),0)+IF(AND($M24&lt;&gt;"",$M24&lt;&gt;"--",$M24&lt;&gt;"O3/CP",$M$14=E$18),IF(LEFT($M24,1)="P",VLOOKUP(CONCATENATE(LEFT($M24,2),"H"),$R$63:$T$91,3,FALSE),VLOOKUP($M24,$R$63:$T$91,3,FALSE)))+IF(AND($M24&lt;&gt;"",$M24&lt;&gt;"O3/CP",$M$15=E$18,MID($M24,4,1)="2",$M$15&lt;&gt;$M$14),VLOOKUP(CONCATENATE(LEFT($M24,2),"L"),$R$63:$T$91,3,FALSE),0)+IF(AND($M24="O3/CP",$M$14=E$18),VLOOKUP("O3",$R$63:$T$91,3,FALSE)+VLOOKUP("CP",$R$63:$T$91,3,FALSE),0)+IF(AND($N24&lt;&gt;"",$N24&lt;&gt;"--",$N24&lt;&gt;"O3/CP",$N$14=E$18),IF(LEFT($N24,1)="P",VLOOKUP(CONCATENATE(LEFT($N24,2),"H"),$R$63:$T$91,3,FALSE),VLOOKUP($N24,$R$63:$T$91,3,FALSE)))+IF(AND($N24&lt;&gt;"",$N24&lt;&gt;"O3/CP",$N$15=E$18,MID($N24,4,1)="2",$N$15&lt;&gt;$N$14),VLOOKUP(CONCATENATE(LEFT($N24,2),"L"),$R$63:$T$91,3,FALSE),0)+IF(AND($N24="O3/CP",$N$14=E$18),VLOOKUP("O3",$R$63:$T$91,3,FALSE)+VLOOKUP("CP",$R$63:$T$91,3,FALSE),0)+IF(AND($O24&lt;&gt;"",$O24&lt;&gt;"--",$O24&lt;&gt;"O3/CP",$O$14=E$18),IF(LEFT($O24,1)="P",VLOOKUP(CONCATENATE(LEFT($O24,2),"H"),$R$63:$T$91,3,FALSE),VLOOKUP($O24,$R$63:$T$91,3,FALSE)))+IF(AND($O24&lt;&gt;"",$O24&lt;&gt;"O3/CP",$O$15=E$18,MID($O24,4,1)="2",$O$15&lt;&gt;$O$14),VLOOKUP(CONCATENATE(LEFT($O24,2),"L"),$R$63:$T$91,3,FALSE),0)+IF(AND($O24="O3/CP",$O$14=E$18),VLOOKUP("O3",$R$63:$T$91,3,FALSE)+VLOOKUP("CP",$R$63:$T$91,3,FALSE),0)+IF(AND($P24&lt;&gt;"",$P24&lt;&gt;"--",$P24&lt;&gt;"O3/CP",$P$14=E$18),IF(LEFT($P24,1)="P",VLOOKUP(CONCATENATE(LEFT($P24,2),"H"),$R$63:$T$91,3,FALSE),VLOOKUP($P24,$R$63:$T$91,3,FALSE)))+IF(AND($P24&lt;&gt;"",$P24&lt;&gt;"O3/CP",$P$15=E$18,MID($P24,4,1)="2",$P$15&lt;&gt;$P$14),VLOOKUP(CONCATENATE(LEFT($P24,2),"L"),$R$63:$T$91,3,FALSE),0)+IF(AND($P24="O3/CP",$P$14=E$18),VLOOKUP("O3",$R$63:$T$91,3,FALSE)+VLOOKUP("CP",$R$63:$T$91,3,FALSE),0)+IF(AND($Q24&lt;&gt;"",$Q24&lt;&gt;"--",$Q24&lt;&gt;"O3/CP",$Q$14=E$18),IF(LEFT($Q24,1)="P",VLOOKUP(CONCATENATE(LEFT($Q24,2),"H"),$R$63:$T$91,3,FALSE),VLOOKUP($Q24,$R$63:$T$91,3,FALSE)))+IF(AND($Q24&lt;&gt;"",$Q24&lt;&gt;"O3/CP",$Q$15=E$18,MID($Q24,4,1)="2",$Q$15&lt;&gt;$Q$14),VLOOKUP(CONCATENATE(LEFT($Q24,2),"L"),$R$63:$T$91,3,FALSE),0)+IF(AND($Q24="O3/CP",$Q$14=E$18),VLOOKUP("O3",$R$63:$T$91,3,FALSE)+VLOOKUP("CP",$R$63:$T$91,3,FALSE),0)+IF(AND($R24&lt;&gt;"",$R24&lt;&gt;"--",$R24&lt;&gt;"O3/CP",$R$14=E$18),IF(LEFT($R24,1)="P",VLOOKUP(CONCATENATE(LEFT($R24,2),"H"),$R$63:$T$91,3,FALSE),VLOOKUP($R24,$R$63:$T$91,3,FALSE)))+IF(AND($R24&lt;&gt;"",$R24&lt;&gt;"O3/CP",$R$15=E$18,MID($R24,4,1)="2",$R$15&lt;&gt;$R$14),VLOOKUP(CONCATENATE(LEFT($R24,2),"L"),$R$63:$T$91,3,FALSE),0)+IF(AND($R24="O3/CP",$R$14=E$18),VLOOKUP("O3",$R$63:$T$91,3,FALSE)+VLOOKUP("CP",$R$63:$T$91,3,FALSE),0)+IF(AND($S24&lt;&gt;"",$S24&lt;&gt;"--",$S24&lt;&gt;"O3/CP",$S$14=E$18),IF(LEFT($S24,1)="P",VLOOKUP(CONCATENATE(LEFT($S24,2),"H"),$R$63:$T$91,3,FALSE),VLOOKUP($S24,$R$63:$T$91,3,FALSE)))+IF(AND($S24&lt;&gt;"",$S24&lt;&gt;"O3/CP",$S$15=E$18,MID($S24,4,1)="2",$S$15&lt;&gt;$S$14),VLOOKUP(CONCATENATE(LEFT($S24,2),"L"),$R$63:$T$91,3,FALSE),0)+IF(AND($S24="O3/CP",$S$14=E$18),VLOOKUP("O3",$R$63:$T$91,3,FALSE)+VLOOKUP("CP",$R$63:$T$91,3,FALSE),0)+IF(AND($T24&lt;&gt;"",$T24&lt;&gt;"--",$T24&lt;&gt;"O3/CP",$T$14=E$18),IF(LEFT($T24,1)="P",VLOOKUP(CONCATENATE(LEFT($T24,2),"H"),$R$63:$T$91,3,FALSE),VLOOKUP($T24,$R$63:$T$91,3,FALSE)))+IF(AND($T24&lt;&gt;"",$T24&lt;&gt;"O3/CP",$T$15=E$18,MID($T24,4,1)="2",$T$15&lt;&gt;$T$14),VLOOKUP(CONCATENATE(LEFT($T24,2),"L"),$R$63:$T$91,3,FALSE),0)+IF(AND($T24="O3/CP",$T$14=E$18),VLOOKUP("O3",$R$63:$T$91,3,FALSE)+VLOOKUP("CP",$R$63:$T$91,3,FALSE),0)+IF(AND($U24&lt;&gt;"",$U24&lt;&gt;"--",$U24&lt;&gt;"O3/CP",$U$14=E$18),IF(LEFT($U24,1)="P",VLOOKUP(CONCATENATE(LEFT($U24,2),"H"),$R$63:$T$91,3,FALSE),VLOOKUP($U24,$R$63:$T$91,3,FALSE)))+IF(AND($U24&lt;&gt;"",$U24&lt;&gt;"O3/CP",$U$15=E$18,MID($U24,4,1)="2",$U$15&lt;&gt;$U$14),VLOOKUP(CONCATENATE(LEFT($U24,2),"L"),$R$63:$T$91,3,FALSE),0)+IF(AND($U24="O3/CP",$T$14=E$18),VLOOKUP("O3",$R$63:$T$91,3,FALSE)+VLOOKUP("CP",$R$63:$T$91,3,FALSE),0)+IF(AND($V24&lt;&gt;"",$V24&lt;&gt;"--",$V24&lt;&gt;"O3/CP",$V$14=E$18),IF(LEFT($V24,1)="P",VLOOKUP(CONCATENATE(LEFT($V24,2),"H"),$R$63:$T$91,3,FALSE),VLOOKUP($V24,$R$63:$T$91,3,FALSE)))+IF(AND($V24&lt;&gt;"",$V24&lt;&gt;"O3/CP",$V$15=E$18,MID($V24,4,1)="2",$V$15&lt;&gt;$V$14),VLOOKUP(CONCATENATE(LEFT($V24,2),"L"),$R$63:$T$91,3,FALSE),0)+IF(AND($V24="O3/CP",$V$14=E$18),VLOOKUP("O3",$R$63:$T$91,3,FALSE)+VLOOKUP("CP",$R$63:$T$91,3,FALSE),0)+IF(AND($W24&lt;&gt;"",$W24&lt;&gt;"--",$W24&lt;&gt;"O3/CP",$W$14=E$18),IF(LEFT($W24,1)="P",VLOOKUP(CONCATENATE(LEFT($W24,2),"H"),$R$63:$T$91,3,FALSE),VLOOKUP($W24,$R$63:$T$91,3,FALSE)))+IF(AND($W24&lt;&gt;"",$W24&lt;&gt;"O3/CP",$W$15=E$18,MID($W24,4,1)="2",$W$15&lt;&gt;$W$14),VLOOKUP(CONCATENATE(LEFT($W24,2),"L"),$R$63:$T$91,3,FALSE),0)+IF(AND($W24="O3/CP",$W$14=E$18),VLOOKUP("O3",$R$63:$T$91,3,FALSE)+VLOOKUP("CP",$R$63:$T$91,3,FALSE),0)+IF(AND($X24&lt;&gt;"",$X24&lt;&gt;"--",$X24&lt;&gt;"O3/CP",$X$14=E$18),IF(LEFT($X24,1)="P",VLOOKUP(CONCATENATE(LEFT($X24,2),"H"),$R$63:$T$91,3,FALSE),VLOOKUP($X24,$R$63:$T$91,3,FALSE)))+IF(AND($X24&lt;&gt;"",$X24&lt;&gt;"O3/CP",$X$15=E$18,MID($X24,4,1)="2",$X$15&lt;&gt;$X$14),VLOOKUP(CONCATENATE(LEFT($X24,2),"L"),$R$63:$T$91,3,FALSE),0)+IF(AND($X24="O3/CP",$X$14=E$18),VLOOKUP("O3",$R$63:$T$91,3,FALSE)+VLOOKUP("CP",$R$63:$T$91,3,FALSE),0)+IF(AND($Y24&lt;&gt;"",$Y24&lt;&gt;"--",$Y24&lt;&gt;"O3/CP",$Y$14=E$18),IF(LEFT($Y24,1)="P",VLOOKUP(CONCATENATE(LEFT($Y24,2),"H"),$R$63:$T$91,3,FALSE),VLOOKUP($Y24,$R$63:$T$91,3,FALSE)))+IF(AND($Y24&lt;&gt;"",$Y24&lt;&gt;"O3/CP",$Y$15=E$18,MID($Y24,4,1)="2",$Y$15&lt;&gt;$Y$14),VLOOKUP(CONCATENATE(LEFT($Y24,2),"L"),$R$63:$T$91,3,FALSE),0)+IF(AND($Y24="O3/CP",$Y$14=E$18),VLOOKUP("O3",$R$63:$T$91,3,FALSE)+VLOOKUP("CP",$R$63:$T$91,3,FALSE),0)+IF(AND($K$6="CE",'[3]Supply Attribution'!$G$20=E$18),LEFT($S$90,2),0)+IF(AND($X$86&lt;&gt;"Not Set",$X$87=E$18),$X$86,0)</f>
        <v>0</v>
      </c>
      <c r="F24" s="268">
        <f>IF(AND($K24&lt;&gt;"",$K24&lt;&gt;"--",$K24&lt;&gt;"O3/CP",$K$14=F$18),IF(LEFT($K24,1)="P",VLOOKUP(CONCATENATE(LEFT($K24,2),"H"),$R$63:$T$91,3,FALSE),VLOOKUP($K24,$R$63:$T$91,3,FALSE)))+IF(AND($K24&lt;&gt;"",$K24&lt;&gt;"O3/CP",$K$15=F$18,MID($K24,4,1)="2",$K$15&lt;&gt;$K$14),VLOOKUP(CONCATENATE(LEFT($K24,2),"L"),$R$63:$T$91,3,FALSE),0)+IF(AND($K24="O3/CP",$K$14=F$18),VLOOKUP("O3",$R$63:$T$91,3,FALSE)+VLOOKUP("CP",$R$63:$T$91,3,FALSE),0)+IF(AND($L24&lt;&gt;"",$L24&lt;&gt;"--",$L24&lt;&gt;"O3/CP",$L$14=F$18),IF(LEFT($L24,1)="P",VLOOKUP(CONCATENATE(LEFT($L24,2),"H"),$R$63:$T$91,3,FALSE),VLOOKUP($L24,$R$63:$T$91,3,FALSE)))+IF(AND($L24&lt;&gt;"",$L24&lt;&gt;"O3/CP",$L$15=F$18,MID($L24,4,1)="2",$L$15&lt;&gt;$L$14),VLOOKUP(CONCATENATE(LEFT($L24,2),"L"),$R$63:$T$91,3,FALSE),0)+IF(AND($L24="O3/CP",$L$14=F$18),VLOOKUP("O3",$R$63:$T$91,3,FALSE)+VLOOKUP("CP",$R$63:$T$91,3,FALSE),0)+IF(AND($M24&lt;&gt;"",$M24&lt;&gt;"--",$M24&lt;&gt;"O3/CP",$M$14=F$18),IF(LEFT($M24,1)="P",VLOOKUP(CONCATENATE(LEFT($M24,2),"H"),$R$63:$T$91,3,FALSE),VLOOKUP($M24,$R$63:$T$91,3,FALSE)))+IF(AND($M24&lt;&gt;"",$M24&lt;&gt;"O3/CP",$M$15=F$18,MID($M24,4,1)="2",$M$15&lt;&gt;$M$14),VLOOKUP(CONCATENATE(LEFT($M24,2),"L"),$R$63:$T$91,3,FALSE),0)+IF(AND($M24="O3/CP",$M$14=F$18),VLOOKUP("O3",$R$63:$T$91,3,FALSE)+VLOOKUP("CP",$R$63:$T$91,3,FALSE),0)+IF(AND($N24&lt;&gt;"",$N24&lt;&gt;"--",$N24&lt;&gt;"O3/CP",$N$14=F$18),IF(LEFT($N24,1)="P",VLOOKUP(CONCATENATE(LEFT($N24,2),"H"),$R$63:$T$91,3,FALSE),VLOOKUP($N24,$R$63:$T$91,3,FALSE)))+IF(AND($N24&lt;&gt;"",$N24&lt;&gt;"O3/CP",$N$15=F$18,MID($N24,4,1)="2",$N$15&lt;&gt;$N$14),VLOOKUP(CONCATENATE(LEFT($N24,2),"L"),$R$63:$T$91,3,FALSE),0)+IF(AND($N24="O3/CP",$N$14=F$18),VLOOKUP("O3",$R$63:$T$91,3,FALSE)+VLOOKUP("CP",$R$63:$T$91,3,FALSE),0)+IF(AND($O24&lt;&gt;"",$O24&lt;&gt;"--",$O24&lt;&gt;"O3/CP",$O$14=F$18),IF(LEFT($O24,1)="P",VLOOKUP(CONCATENATE(LEFT($O24,2),"H"),$R$63:$T$91,3,FALSE),VLOOKUP($O24,$R$63:$T$91,3,FALSE)))+IF(AND($O24&lt;&gt;"",$O24&lt;&gt;"O3/CP",$O$15=F$18,MID($O24,4,1)="2",$O$15&lt;&gt;$O$14),VLOOKUP(CONCATENATE(LEFT($O24,2),"L"),$R$63:$T$91,3,FALSE),0)+IF(AND($O24="O3/CP",$O$14=F$18),VLOOKUP("O3",$R$63:$T$91,3,FALSE)+VLOOKUP("CP",$R$63:$T$91,3,FALSE),0)+IF(AND($P24&lt;&gt;"",$P24&lt;&gt;"--",$P24&lt;&gt;"O3/CP",$P$14=F$18),IF(LEFT($P24,1)="P",VLOOKUP(CONCATENATE(LEFT($P24,2),"H"),$R$63:$T$91,3,FALSE),VLOOKUP($P24,$R$63:$T$91,3,FALSE)))+IF(AND($P24&lt;&gt;"",$P24&lt;&gt;"O3/CP",$P$15=F$18,MID($P24,4,1)="2",$P$15&lt;&gt;$P$14),VLOOKUP(CONCATENATE(LEFT($P24,2),"L"),$R$63:$T$91,3,FALSE),0)+IF(AND($P24="O3/CP",$P$14=F$18),VLOOKUP("O3",$R$63:$T$91,3,FALSE)+VLOOKUP("CP",$R$63:$T$91,3,FALSE),0)+IF(AND($Q24&lt;&gt;"",$Q24&lt;&gt;"--",$Q24&lt;&gt;"O3/CP",$Q$14=F$18),IF(LEFT($Q24,1)="P",VLOOKUP(CONCATENATE(LEFT($Q24,2),"H"),$R$63:$T$91,3,FALSE),VLOOKUP($Q24,$R$63:$T$91,3,FALSE)))+IF(AND($Q24&lt;&gt;"",$Q24&lt;&gt;"O3/CP",$Q$15=F$18,MID($Q24,4,1)="2",$Q$15&lt;&gt;$Q$14),VLOOKUP(CONCATENATE(LEFT($Q24,2),"L"),$R$63:$T$91,3,FALSE),0)+IF(AND($Q24="O3/CP",$Q$14=F$18),VLOOKUP("O3",$R$63:$T$91,3,FALSE)+VLOOKUP("CP",$R$63:$T$91,3,FALSE),0)+IF(AND($R24&lt;&gt;"",$R24&lt;&gt;"--",$R24&lt;&gt;"O3/CP",$R$14=F$18),IF(LEFT($R24,1)="P",VLOOKUP(CONCATENATE(LEFT($R24,2),"H"),$R$63:$T$91,3,FALSE),VLOOKUP($R24,$R$63:$T$91,3,FALSE)))+IF(AND($R24&lt;&gt;"",$R24&lt;&gt;"O3/CP",$R$15=F$18,MID($R24,4,1)="2",$R$15&lt;&gt;$R$14),VLOOKUP(CONCATENATE(LEFT($R24,2),"L"),$R$63:$T$91,3,FALSE),0)+IF(AND($R24="O3/CP",$R$14=F$18),VLOOKUP("O3",$R$63:$T$91,3,FALSE)+VLOOKUP("CP",$R$63:$T$91,3,FALSE),0)+IF(AND($S24&lt;&gt;"",$S24&lt;&gt;"--",$S24&lt;&gt;"O3/CP",$S$14=F$18),IF(LEFT($S24,1)="P",VLOOKUP(CONCATENATE(LEFT($S24,2),"H"),$R$63:$T$91,3,FALSE),VLOOKUP($S24,$R$63:$T$91,3,FALSE)))+IF(AND($S24&lt;&gt;"",$S24&lt;&gt;"O3/CP",$S$15=F$18,MID($S24,4,1)="2",$S$15&lt;&gt;$S$14),VLOOKUP(CONCATENATE(LEFT($S24,2),"L"),$R$63:$T$91,3,FALSE),0)+IF(AND($S24="O3/CP",$S$14=F$18),VLOOKUP("O3",$R$63:$T$91,3,FALSE)+VLOOKUP("CP",$R$63:$T$91,3,FALSE),0)+IF(AND($T24&lt;&gt;"",$T24&lt;&gt;"--",$T24&lt;&gt;"O3/CP",$T$14=F$18),IF(LEFT($T24,1)="P",VLOOKUP(CONCATENATE(LEFT($T24,2),"H"),$R$63:$T$91,3,FALSE),VLOOKUP($T24,$R$63:$T$91,3,FALSE)))+IF(AND($T24&lt;&gt;"",$T24&lt;&gt;"O3/CP",$T$15=F$18,MID($T24,4,1)="2",$T$15&lt;&gt;$T$14),VLOOKUP(CONCATENATE(LEFT($T24,2),"L"),$R$63:$T$91,3,FALSE),0)+IF(AND($T24="O3/CP",$T$14=F$18),VLOOKUP("O3",$R$63:$T$91,3,FALSE)+VLOOKUP("CP",$R$63:$T$91,3,FALSE),0)+IF(AND($U24&lt;&gt;"",$U24&lt;&gt;"--",$U24&lt;&gt;"O3/CP",$U$14=F$18),IF(LEFT($U24,1)="P",VLOOKUP(CONCATENATE(LEFT($U24,2),"H"),$R$63:$T$91,3,FALSE),VLOOKUP($U24,$R$63:$T$91,3,FALSE)))+IF(AND($U24&lt;&gt;"",$U24&lt;&gt;"O3/CP",$U$15=F$18,MID($U24,4,1)="2",$U$15&lt;&gt;$U$14),VLOOKUP(CONCATENATE(LEFT($U24,2),"L"),$R$63:$T$91,3,FALSE),0)+IF(AND($U24="O3/CP",$T$14=F$18),VLOOKUP("O3",$R$63:$T$91,3,FALSE)+VLOOKUP("CP",$R$63:$T$91,3,FALSE),0)+IF(AND($V24&lt;&gt;"",$V24&lt;&gt;"--",$V24&lt;&gt;"O3/CP",$V$14=F$18),IF(LEFT($V24,1)="P",VLOOKUP(CONCATENATE(LEFT($V24,2),"H"),$R$63:$T$91,3,FALSE),VLOOKUP($V24,$R$63:$T$91,3,FALSE)))+IF(AND($V24&lt;&gt;"",$V24&lt;&gt;"O3/CP",$V$15=F$18,MID($V24,4,1)="2",$V$15&lt;&gt;$V$14),VLOOKUP(CONCATENATE(LEFT($V24,2),"L"),$R$63:$T$91,3,FALSE),0)+IF(AND($V24="O3/CP",$V$14=F$18),VLOOKUP("O3",$R$63:$T$91,3,FALSE)+VLOOKUP("CP",$R$63:$T$91,3,FALSE),0)+IF(AND($W24&lt;&gt;"",$W24&lt;&gt;"--",$W24&lt;&gt;"O3/CP",$W$14=F$18),IF(LEFT($W24,1)="P",VLOOKUP(CONCATENATE(LEFT($W24,2),"H"),$R$63:$T$91,3,FALSE),VLOOKUP($W24,$R$63:$T$91,3,FALSE)))+IF(AND($W24&lt;&gt;"",$W24&lt;&gt;"O3/CP",$W$15=F$18,MID($W24,4,1)="2",$W$15&lt;&gt;$W$14),VLOOKUP(CONCATENATE(LEFT($W24,2),"L"),$R$63:$T$91,3,FALSE),0)+IF(AND($W24="O3/CP",$W$14=F$18),VLOOKUP("O3",$R$63:$T$91,3,FALSE)+VLOOKUP("CP",$R$63:$T$91,3,FALSE),0)+IF(AND($X24&lt;&gt;"",$X24&lt;&gt;"--",$X24&lt;&gt;"O3/CP",$X$14=F$18),IF(LEFT($X24,1)="P",VLOOKUP(CONCATENATE(LEFT($X24,2),"H"),$R$63:$T$91,3,FALSE),VLOOKUP($X24,$R$63:$T$91,3,FALSE)))+IF(AND($X24&lt;&gt;"",$X24&lt;&gt;"O3/CP",$X$15=F$18,MID($X24,4,1)="2",$X$15&lt;&gt;$X$14),VLOOKUP(CONCATENATE(LEFT($X24,2),"L"),$R$63:$T$91,3,FALSE),0)+IF(AND($X24="O3/CP",$X$14=F$18),VLOOKUP("O3",$R$63:$T$91,3,FALSE)+VLOOKUP("CP",$R$63:$T$91,3,FALSE),0)+IF(AND($Y24&lt;&gt;"",$Y24&lt;&gt;"--",$Y24&lt;&gt;"O3/CP",$Y$14=F$18),IF(LEFT($Y24,1)="P",VLOOKUP(CONCATENATE(LEFT($Y24,2),"H"),$R$63:$T$91,3,FALSE),VLOOKUP($Y24,$R$63:$T$91,3,FALSE)))+IF(AND($Y24&lt;&gt;"",$Y24&lt;&gt;"O3/CP",$Y$15=F$18,MID($Y24,4,1)="2",$Y$15&lt;&gt;$Y$14),VLOOKUP(CONCATENATE(LEFT($Y24,2),"L"),$R$63:$T$91,3,FALSE),0)+IF(AND($Y24="O3/CP",$Y$14=F$18),VLOOKUP("O3",$R$63:$T$91,3,FALSE)+VLOOKUP("CP",$R$63:$T$91,3,FALSE),0)+IF(AND($K$6="CE",'[3]Supply Attribution'!$G$20=F$18),LEFT($S$90,2),0)+IF(AND($X$86&lt;&gt;"Not Set",$X$87=F$18),$X$86,0)</f>
        <v>5</v>
      </c>
      <c r="G24" s="269">
        <f>IF(AND($K$6="CE",$T$59="1 Phase"),SUM(A24:F24)-IF(AND($K$14&lt;&gt;$K$15,RIGHT($K24,3)="2SP"),VLOOKUP(CONCATENATE(LEFT($K24,2),"L"),$R$63:$T$90,3,FALSE),0)-IF(AND($L$14&lt;&gt;$L$15,RIGHT($L24,3)="2SP"),VLOOKUP(CONCATENATE(LEFT($L24,2),"L"),$R$63:$T$90,3,FALSE),0)-IF(AND($M$14&lt;&gt;$M$15,RIGHT($M24,3)="2SP"),VLOOKUP(CONCATENATE(LEFT($M24,2),"L"),$R$63:$T$90,3,FALSE),0)-IF(AND($N$14&lt;&gt;$N$15,RIGHT($N24,3)="2SP"),VLOOKUP(CONCATENATE(LEFT($N24,2),"L"),$R$63:$T$90,3,FALSE),0)-IF(AND($O$14&lt;&gt;$O$15,RIGHT($O24,3)="2SP"),VLOOKUP(CONCATENATE(LEFT($O24,2),"L"),$R$63:$T$90,3,FALSE),0)-IF(AND($P$14&lt;&gt;$P$15,RIGHT($P24,3)="2SP"),VLOOKUP(CONCATENATE(LEFT($P24,2),"L"),$R$63:$T$90,3,FALSE),0)-IF(AND($Q$14&lt;&gt;$Q$15,RIGHT($Q24,3)="2SP"),VLOOKUP(CONCATENATE(LEFT($Q24,2),"L"),$R$63:$T$90,3,FALSE),0)-IF(AND($R$14&lt;&gt;$R$15,RIGHT($T24,3)="2SP"),VLOOKUP(CONCATENATE(LEFT($R24,2),"L"),$R$63:$T$90,3,FALSE),0)-IF(AND($S$14&lt;&gt;$S$15,RIGHT($T24,3)="2SP"),VLOOKUP(CONCATENATE(LEFT($S24,2),"L"),$R$63:$T$90,3,FALSE),0)-IF(AND($T$14&lt;&gt;$T$15,RIGHT($T24,3)="2SP"),VLOOKUP(CONCATENATE(LEFT($T24,2),"L"),$R$63:$T$90,3,FALSE),0)-IF(AND($U$14&lt;&gt;$U$15,RIGHT($U24,3)="2SP"),VLOOKUP(CONCATENATE(LEFT($U24,2),"L"),$R$63:$T$90,3,FALSE),0)-IF(AND($V$14&lt;&gt;$V$15,RIGHT($V24,3)="2SP"),VLOOKUP(CONCATENATE(LEFT($V24,2),"L"),$R$63:$T$90,3,FALSE),0)-IF(AND($W$14&lt;&gt;$W$15,RIGHT($W24,3)="2SP"),VLOOKUP(CONCATENATE(LEFT($W24,2),"L"),$R$63:$T$90,3,FALSE),0)-IF(AND($X$14&lt;&gt;$X$15,RIGHT($X24,3)="2SP"),VLOOKUP(CONCATENATE(LEFT($X24,2),"L"),$R$63:$T$90,3,FALSE),0)-IF(AND($Y$14&lt;&gt;$Y$15,RIGHT($Y24,3)="2SP"),VLOOKUP(CONCATENATE(LEFT($Y24,2),"L"),$R$63:$T$90,3,FALSE),0),IF(VLOOKUP(CONCATENATE($A$18,"Line"),'[3]Supply Attribution'!$F$31:$G$37,2,FALSE)=G$18,$A24,0)+IF(VLOOKUP(CONCATENATE($B$18,"Line"),'[3]Supply Attribution'!$F$31:$G$37,2,FALSE)=G$18,$B24,0)+IF(VLOOKUP(CONCATENATE($C$18,"Line"),'[3]Supply Attribution'!$F$31:$G$37,2,FALSE)=G$18,$C24,0)+IF(VLOOKUP(CONCATENATE($D$18,"Line"),'[3]Supply Attribution'!$F$31:$G$37,2,FALSE)=G$18,$D24,0)+IF(VLOOKUP(CONCATENATE($E$18,"Line"),'[3]Supply Attribution'!$F$31:$G$37,2,FALSE)=G$18,$E24,0)+IF(VLOOKUP(CONCATENATE($F$18,"Line"),'[3]Supply Attribution'!$F$31:$G$37,2,FALSE)=G$18,$F24,0)+IF($K$6="UL",LEFT($S$90,2),0)-IF(AND($K$16=G$18,$K$14&lt;&gt;$K$15,$K$16=$K$17,RIGHT($K24,3)="2SP"),VLOOKUP(CONCATENATE(LEFT($K24,2),"L"),$R$63:$T$90,3,FALSE),0)-IF(AND($L$16=G$18,$L$14&lt;&gt;$L$15,$L$16=$L$17,RIGHT($L24,3)="2SP"),VLOOKUP(CONCATENATE(LEFT($L24,2),"L"),$R$63:$T$90,3,FALSE),0)-IF(AND($M$16=G$18,$M$14&lt;&gt;$M$15,$M$16=$M$17,RIGHT($M24,3)="2SP"),VLOOKUP(CONCATENATE(LEFT($M24,2),"L"),$R$63:$T$90,3,FALSE),0)-IF(AND($N$16=G$18,$N$14&lt;&gt;$N$15,$N$16=$N$17,RIGHT($N24,3)="2SP"),VLOOKUP(CONCATENATE(LEFT($N24,2),"L"),$R$63:$T$90,3,FALSE),0)-IF(AND($O$16=G$18,$O$14&lt;&gt;$O$15,$O$16=$O$17,RIGHT($O24,3)="2SP"),VLOOKUP(CONCATENATE(LEFT($O24,2),"L"),$R$63:$T$90,3,FALSE),0)-IF(AND($P$16=G$18,$P$14&lt;&gt;$P$15,$P$16=$P$17,RIGHT($P24,3)="2SP"),VLOOKUP(CONCATENATE(LEFT($P24,2),"L"),$R$63:$T$90,3,FALSE),0)-IF(AND($Q$16=G$18,$Q$14&lt;&gt;$Q$15,$Q$16=$Q$17,RIGHT($Q24,3)="2SP"),VLOOKUP(CONCATENATE(LEFT($Q24,2),"L"),$R$63:$T$90,3,FALSE),0)-IF(AND($R$16=G$18,$R$14&lt;&gt;$R$15,$R$16=$R$17,RIGHT($R24,3)="2SP"),VLOOKUP(CONCATENATE(LEFT($R24,2),"L"),$R$63:$T$90,3,FALSE),0)-IF(AND($S$16=G$18,$S$14&lt;&gt;$S$15,$S$16=$S$17,RIGHT($S24,3)="2SP"),VLOOKUP(CONCATENATE(LEFT($S24,2),"L"),$R$63:$T$90,3,FALSE),0)-IF(AND($T$16=G$18,$T$14&lt;&gt;$T$15,$T$16=$T$17,RIGHT($T24,3)="2SP"),VLOOKUP(CONCATENATE(LEFT($T24,2),"L"),$R$63:$T$90,3,FALSE),0)-IF(AND($U$16=G$18,$U$14&lt;&gt;$U$15,$U$16=$U$17,RIGHT($U24,3)="2SP"),VLOOKUP(CONCATENATE(LEFT($U24,2),"L"),$R$63:$T$90,3,FALSE),0)-IF(AND($V$16=G$18,$V$14&lt;&gt;$V$15,$V$16=$V$17,RIGHT($V24,3)="2SP"),VLOOKUP(CONCATENATE(LEFT($V24,2),"L"),$R$63:$T$90,3,FALSE),0)-IF(AND($W$16=G$18,$W$14&lt;&gt;$W$15,$W$16=$W$17,RIGHT($W24,3)="2SP"),VLOOKUP(CONCATENATE(LEFT($W24,2),"L"),$R$63:$T$90,3,FALSE),0)-IF(AND($X$16=G$18,$X$14&lt;&gt;$X$15,$X$16=$X$17,RIGHT($X24,3)="2SP"),VLOOKUP(CONCATENATE(LEFT($X24,2),"L"),$R$63:$T$90,3,FALSE),0)-IF(AND($Y$16=G$18,$Y$14&lt;&gt;$Y$15,$Y$16=$Y$17,RIGHT($Y24,3)="2SP"),VLOOKUP(CONCATENATE(LEFT($Y24,2),"L"),$R$63:$T$90,3,FALSE),0))</f>
        <v>48</v>
      </c>
      <c r="H24" s="269" t="str">
        <f>IF(H$18&lt;&gt;"",IF(VLOOKUP(CONCATENATE($A$18,"Line"),'Supply Attribution'!$F$31:$G$37,2,FALSE)=H$18,$A24,0)+IF(VLOOKUP(CONCATENATE($B$18,"Line"),'Supply Attribution'!$F$31:$G$37,2,FALSE)=H$18,$B24,0)+IF(VLOOKUP(CONCATENATE($C$18,"Line"),'Supply Attribution'!$F$31:$G$37,2,FALSE)=H$18,$C24,0)+IF(VLOOKUP(CONCATENATE($D$18,"Line"),'Supply Attribution'!$F$31:$G$37,2,FALSE)=H$18,$D24,0)+IF(VLOOKUP(CONCATENATE($E$18,"Line"),'Supply Attribution'!$F$31:$G$37,2,FALSE)=H$18,$E24,0)+IF(VLOOKUP(CONCATENATE($F$18,"Line"),'Supply Attribution'!$F$31:$G$37,2,FALSE)=H$18,$F24,0)+IF($K$6="UL",LEFT($S$90,2),0)-IF(AND($K$16=H$18,$K$14&lt;&gt;$K$15,$K$16=$K$17,RIGHT($K24,3)="2SP"),VLOOKUP(CONCATENATE(LEFT($K24,2),"L"),$R$63:$T$90,3,FALSE),0)-IF(AND($L$16=H$18,$L$14&lt;&gt;$L$15,$L$16=$L$17,RIGHT($L24,3)="2SP"),VLOOKUP(CONCATENATE(LEFT($L24,2),"L"),$R$63:$T$90,3,FALSE),0)-IF(AND($M$16=H$18,$M$14&lt;&gt;$M$15,$M$16=$M$17,RIGHT($M24,3)="2SP"),VLOOKUP(CONCATENATE(LEFT($M24,2),"L"),$R$63:$T$90,3,FALSE),0)-IF(AND($N$16=H$18,$N$14&lt;&gt;$N$15,$N$16=$N$17,RIGHT($N24,3)="2SP"),VLOOKUP(CONCATENATE(LEFT($N24,2),"L"),$R$63:$T$90,3,FALSE),0)-IF(AND($O$16=H$18,$O$14&lt;&gt;$O$15,$O$16=$O$17,RIGHT($O24,3)="2SP"),VLOOKUP(CONCATENATE(LEFT($O24,2),"L"),$R$63:$T$90,3,FALSE),0)-IF(AND($P$16=H$18,$P$14&lt;&gt;$P$15,$P$16=$P$17,RIGHT($P24,3)="2SP"),VLOOKUP(CONCATENATE(LEFT($P24,2),"L"),$R$63:$T$90,3,FALSE),0)-IF(AND($Q$16=H$18,$Q$14&lt;&gt;$Q$15,$Q$16=$Q$17,RIGHT($Q24,3)="2SP"),VLOOKUP(CONCATENATE(LEFT($Q24,2),"L"),$R$63:$T$90,3,FALSE),0)-IF(AND($T$16=H$18,$T$14&lt;&gt;$T$15,$T$16=$T$17,RIGHT($T24,3)="2SP"),VLOOKUP(CONCATENATE(LEFT($T24,2),"L"),$R$63:$T$90,3,FALSE),0)-IF(AND($U$16=H$18,$U$14&lt;&gt;$U$15,$U$16=$U$17,RIGHT($U24,3)="2SP"),VLOOKUP(CONCATENATE(LEFT($U24,2),"L"),$R$63:$T$90,3,FALSE),0)-IF(AND($V$16=H$18,$V$14&lt;&gt;$V$15,$V$16=$V$17,RIGHT($V24,3)="2SP"),VLOOKUP(CONCATENATE(LEFT($V24,2),"L"),$R$63:$T$90,3,FALSE),0)-IF(AND($W$16=H$18,$W$14&lt;&gt;$W$15,$W$16=$W$17,RIGHT($W24,3)="2SP"),VLOOKUP(CONCATENATE(LEFT($W24,2),"L"),$R$63:$T$90,3,FALSE),0)-IF(AND($X$16=H$18,$X$14&lt;&gt;$X$15,$X$16=$X$17,RIGHT($X24,3)="2SP"),VLOOKUP(CONCATENATE(LEFT($X24,2),"L"),$R$63:$T$90,3,FALSE),0)-IF(AND($Y$16=H$18,$Y$14&lt;&gt;$Y$15,$Y$16=$Y$17,RIGHT($Y24,3)="2SP"),VLOOKUP(CONCATENATE(LEFT($Y24,2),"L"),$R$63:$T$90,3,FALSE),0)+IF(AND($K$6="CE",$T$59="2 Phases",H$18&lt;&gt;""),IF(VLOOKUP(CONCATENATE($A$18,"Line"),'Supply Attribution'!$F$31:$G$37,2,FALSE)="Line3",$A24,0)+IF(VLOOKUP(CONCATENATE($B$18,"Line"),'Supply Attribution'!$F$31:$G$37,2,FALSE)="Line3",$B24,0)+IF(VLOOKUP(CONCATENATE($C$18,"Line"),'Supply Attribution'!$F$31:$G$37,2,FALSE)="Line3",$C24,0)+IF(VLOOKUP(CONCATENATE($D$18,"Line"),'Supply Attribution'!$F$31:$G$37,2,FALSE)="Line3",$D24,0)+IF(VLOOKUP(CONCATENATE($E$18,"Line"),'Supply Attribution'!$F$31:$G$37,2,FALSE)="Line3",$E24,0)+IF(VLOOKUP(CONCATENATE($F$18,"Line"),'Supply Attribution'!$F$31:$G$37,2,FALSE)="Line3",$F24,0)-IF(AND($K$16=I$18,$K$14&lt;&gt;$K$15,$K$16=$K$17,RIGHT($K24,3)="2SP"),VLOOKUP(CONCATENATE(LEFT($K24,2),"L"),$R$63:$T$90,3,FALSE),0)-IF(AND($L$16=I$18,$L$14&lt;&gt;$L$15,$L$16=$L$17,RIGHT($L24,3)="2SP"),VLOOKUP(CONCATENATE(LEFT($L24,2),"L"),$R$63:$T$90,3,FALSE),0)-IF(AND($M$16=I$18,$M$14&lt;&gt;$M$15,$M$16=$M$17,RIGHT($M24,3)="2SP"),VLOOKUP(CONCATENATE(LEFT($M24,2),"L"),$R$63:$T$90,3,FALSE),0)-IF(AND($N$16=I$18,$N$14&lt;&gt;$N$15,$N$16=$N$17,RIGHT($N24,3)="2SP"),VLOOKUP(CONCATENATE(LEFT($N24,2),"L"),$R$63:$T$90,3,FALSE),0)-IF(AND($O$16=I$18,$O$14&lt;&gt;$O$15,$O$16=$O$17,RIGHT($O24,3)="2SP"),VLOOKUP(CONCATENATE(LEFT($O24,2),"L"),$R$63:$T$90,3,FALSE),0)-IF(AND($P$16=I$18,$P$14&lt;&gt;$P$15,$P$16=$P$17,RIGHT($P24,3)="2SP"),VLOOKUP(CONCATENATE(LEFT($P24,2),"L"),$R$63:$T$90,3,FALSE),0)-IF(AND($Q$16=I$18,$Q$14&lt;&gt;$Q$15,$Q$16=$Q$17,RIGHT($Q24,3)="2SP"),VLOOKUP(CONCATENATE(LEFT($Q24,2),"L"),$R$63:$T$90,3,FALSE),0)-IF(AND($T$16=I$18,$T$14&lt;&gt;$T$15,$T$16=$T$17,RIGHT($T24,3)="2SP"),VLOOKUP(CONCATENATE(LEFT($T24,2),"L"),$R$63:$T$90,3,FALSE),0)-IF(AND($U$16=I$18,$U$14&lt;&gt;$U$15,$U$16=$U$17,RIGHT($U24,3)="2SP"),VLOOKUP(CONCATENATE(LEFT($U24,2),"L"),$R$63:$T$90,3,FALSE),0)-IF(AND($V$16=I$18,$V$14&lt;&gt;$V$15,$V$16=$V$17,RIGHT($V24,3)="2SP"),VLOOKUP(CONCATENATE(LEFT($V24,2),"L"),$R$63:$T$90,3,FALSE),0)-IF(AND($W$16=I$18,$W$14&lt;&gt;$W$15,$W$16=$W$17,RIGHT($W24,3)="2SP"),VLOOKUP(CONCATENATE(LEFT($W24,2),"L"),$R$63:$T$90,3,FALSE),0)-IF(AND($X$16=I$18,$X$14&lt;&gt;$X$15,$X$16=$X$17,RIGHT($X24,3)="2SP"),VLOOKUP(CONCATENATE(LEFT($X24,2),"L"),$R$63:$T$90,3,FALSE),0)-IF(AND($Y$16=I$18,$Y$14&lt;&gt;$Y$15,$Y$16=$Y$17,RIGHT($Y24,3)="2SP"),VLOOKUP(CONCATENATE(LEFT($Y24,2),"L"),$R$63:$T$90,3,FALSE),0),0),"")</f>
        <v/>
      </c>
      <c r="I24" s="269" t="str">
        <f>IF(I$18&lt;&gt;"",IF(VLOOKUP(CONCATENATE($A$18,"Line"),'Supply Attribution'!$F$31:$G$37,2,FALSE)=I$18,$A24,0)+IF(VLOOKUP(CONCATENATE($B$18,"Line"),'Supply Attribution'!$F$31:$G$37,2,FALSE)=I$18,$B24,0)+IF(VLOOKUP(CONCATENATE($C$18,"Line"),'Supply Attribution'!$F$31:$G$37,2,FALSE)=I$18,$C24,0)+IF(VLOOKUP(CONCATENATE($D$18,"Line"),'Supply Attribution'!$F$31:$G$37,2,FALSE)=I$18,$D24,0)+IF(VLOOKUP(CONCATENATE($E$18,"Line"),'Supply Attribution'!$F$31:$G$37,2,FALSE)=I$18,$E24,0)+IF(VLOOKUP(CONCATENATE($F$18,"Line"),'Supply Attribution'!$F$31:$G$37,2,FALSE)=I$18,$F24,0)+IF($K$6="UL",LEFT($S$90,2),0)-IF(AND($K$16=I$18,$K$14&lt;&gt;$K$15,$K$16=$K$17,RIGHT($K24,3)="2SP"),VLOOKUP(CONCATENATE(LEFT($K24,2),"L"),$R$63:$T$90,3,FALSE),0)-IF(AND($L$16=I$18,$L$14&lt;&gt;$L$15,$L$16=$L$17,RIGHT($L24,3)="2SP"),VLOOKUP(CONCATENATE(LEFT($L24,2),"L"),$R$63:$T$90,3,FALSE),0)-IF(AND($M$16=I$18,$M$14&lt;&gt;$M$15,$M$16=$M$17,RIGHT($M24,3)="2SP"),VLOOKUP(CONCATENATE(LEFT($M24,2),"L"),$R$63:$T$90,3,FALSE),0)-IF(AND($N$16=I$18,$N$14&lt;&gt;$N$15,$N$16=$N$17,RIGHT($N24,3)="2SP"),VLOOKUP(CONCATENATE(LEFT($N24,2),"L"),$R$63:$T$90,3,FALSE),0)-IF(AND($O$16=I$18,$O$14&lt;&gt;$O$15,$O$16=$O$17,RIGHT($O24,3)="2SP"),VLOOKUP(CONCATENATE(LEFT($O24,2),"L"),$R$63:$T$90,3,FALSE),0)-IF(AND($P$16=I$18,$P$14&lt;&gt;$P$15,$P$16=$P$17,RIGHT($P24,3)="2SP"),VLOOKUP(CONCATENATE(LEFT($P24,2),"L"),$R$63:$T$90,3,FALSE),0)-IF(AND($Q$16=I$18,$Q$14&lt;&gt;$Q$15,$Q$16=$Q$17,RIGHT($Q24,3)="2SP"),VLOOKUP(CONCATENATE(LEFT($Q24,2),"L"),$R$63:$T$90,3,FALSE),0)-IF(AND($T$16=I$18,$T$14&lt;&gt;$T$15,$T$16=$T$17,RIGHT($T24,3)="2SP"),VLOOKUP(CONCATENATE(LEFT($T24,2),"L"),$R$63:$T$90,3,FALSE),0)-IF(AND($U$16=I$18,$U$14&lt;&gt;$U$15,$U$16=$U$17,RIGHT($U24,3)="2SP"),VLOOKUP(CONCATENATE(LEFT($U24,2),"L"),$R$63:$T$90,3,FALSE),0)-IF(AND($V$16=I$18,$V$14&lt;&gt;$V$15,$V$16=$V$17,RIGHT($V24,3)="2SP"),VLOOKUP(CONCATENATE(LEFT($V24,2),"L"),$R$63:$T$90,3,FALSE),0)-IF(AND($W$16=I$18,$W$14&lt;&gt;$W$15,$W$16=$W$17,RIGHT($W24,3)="2SP"),VLOOKUP(CONCATENATE(LEFT($W24,2),"L"),$R$63:$T$90,3,FALSE),0)-IF(AND($X$16=I$18,$X$14&lt;&gt;$X$15,$X$16=$X$17,RIGHT($X24,3)="2SP"),VLOOKUP(CONCATENATE(LEFT($X24,2),"L"),$R$63:$T$90,3,FALSE),0)-IF(AND($Y$16=I$18,$Y$14&lt;&gt;$Y$15,$Y$16=$Y$17,RIGHT($Y24,3)="2SP"),VLOOKUP(CONCATENATE(LEFT($Y24,2),"L"),$R$63:$T$90,3,FALSE),0),"")</f>
        <v/>
      </c>
      <c r="J24" s="134">
        <f t="shared" ref="J24:J30" si="1">J23+1</f>
        <v>4</v>
      </c>
      <c r="K24" s="135" t="s">
        <v>22</v>
      </c>
      <c r="L24" s="135" t="s">
        <v>390</v>
      </c>
      <c r="M24" s="135" t="s">
        <v>391</v>
      </c>
      <c r="N24" s="135" t="s">
        <v>24</v>
      </c>
      <c r="O24" s="135" t="s">
        <v>286</v>
      </c>
      <c r="P24" s="724" t="s">
        <v>3</v>
      </c>
      <c r="Q24" s="135"/>
      <c r="R24" s="135"/>
      <c r="S24" s="135"/>
      <c r="T24" s="135"/>
      <c r="U24" s="135"/>
      <c r="V24" s="135"/>
      <c r="W24" s="135"/>
      <c r="X24" s="135"/>
      <c r="Y24" s="135"/>
      <c r="Z24" s="136" t="s">
        <v>24</v>
      </c>
      <c r="AA24" s="136" t="s">
        <v>357</v>
      </c>
      <c r="AB24" s="137" t="s">
        <v>164</v>
      </c>
      <c r="AC24" s="137" t="s">
        <v>568</v>
      </c>
      <c r="AD24" s="137" t="s">
        <v>164</v>
      </c>
      <c r="AE24" s="138">
        <f t="shared" si="0"/>
        <v>4</v>
      </c>
      <c r="AF24" s="78"/>
    </row>
    <row r="25" spans="1:32" ht="13.15" customHeight="1">
      <c r="A25" s="264">
        <f>IF(AND($K25&lt;&gt;"",$K25&lt;&gt;"--",$K25&lt;&gt;"O3/CP",$K$14=A$18),IF(LEFT($K25,1)="P",VLOOKUP(CONCATENATE(LEFT($K25,2),"H"),$R$63:$T$91,3,FALSE),VLOOKUP($K25,$R$63:$T$91,3,FALSE)))+IF(AND($K25&lt;&gt;"",$K25&lt;&gt;"O3/CP",$K$15=A$18,MID($K25,4,1)="2",$K$15&lt;&gt;$K$14),VLOOKUP(CONCATENATE(LEFT($K25,2),"L"),$R$63:$T$91,3,FALSE),0)+IF(AND($K25="O3/CP",$K$14=A$18),VLOOKUP("O3",$R$63:$T$91,3,FALSE)+VLOOKUP("CP",$R$63:$T$91,3,FALSE),0)+IF(AND($L25&lt;&gt;"",$L25&lt;&gt;"--",$L25&lt;&gt;"O3/CP",$L$14=A$18),IF(LEFT($L25,1)="P",VLOOKUP(CONCATENATE(LEFT($L25,2),"H"),$R$63:$T$91,3,FALSE),VLOOKUP($L25,$R$63:$T$91,3,FALSE)))+IF(AND($L25&lt;&gt;"",$L25&lt;&gt;"O3/CP",$L$15=A$18,MID($L25,4,1)="2",$L$15&lt;&gt;$L$14),VLOOKUP(CONCATENATE(LEFT($L25,2),"L"),$R$63:$T$91,3,FALSE),0)+IF(AND($L25="O3/CP",$L$14=A$18),VLOOKUP("O3",$R$63:$T$91,3,FALSE)+VLOOKUP("CP",$R$63:$T$91,3,FALSE),0)+IF(AND($M25&lt;&gt;"",$M25&lt;&gt;"--",$M25&lt;&gt;"O3/CP",$M$14=A$18),IF(LEFT($M25,1)="P",VLOOKUP(CONCATENATE(LEFT($M25,2),"H"),$R$63:$T$91,3,FALSE),VLOOKUP($M25,$R$63:$T$91,3,FALSE)))+IF(AND($M25&lt;&gt;"",$M25&lt;&gt;"O3/CP",$M$15=A$18,MID($M25,4,1)="2",$M$15&lt;&gt;$M$14),VLOOKUP(CONCATENATE(LEFT($M25,2),"L"),$R$63:$T$91,3,FALSE),0)+IF(AND($M25="O3/CP",$M$14=A$18),VLOOKUP("O3",$R$63:$T$91,3,FALSE)+VLOOKUP("CP",$R$63:$T$91,3,FALSE),0)+IF(AND($N25&lt;&gt;"",$N25&lt;&gt;"--",$N25&lt;&gt;"O3/CP",$N$14=A$18),IF(LEFT($N25,1)="P",VLOOKUP(CONCATENATE(LEFT($N25,2),"H"),$R$63:$T$91,3,FALSE),VLOOKUP($N25,$R$63:$T$91,3,FALSE)))+IF(AND($N25&lt;&gt;"",$N25&lt;&gt;"O3/CP",$N$15=A$18,MID($N25,4,1)="2",$N$15&lt;&gt;$N$14),VLOOKUP(CONCATENATE(LEFT($N25,2),"L"),$R$63:$T$91,3,FALSE),0)+IF(AND($N25="O3/CP",$N$14=A$18),VLOOKUP("O3",$R$63:$T$91,3,FALSE)+VLOOKUP("CP",$R$63:$T$91,3,FALSE),0)+IF(AND($O25&lt;&gt;"",$O25&lt;&gt;"--",$O25&lt;&gt;"O3/CP",$O$14=A$18),IF(LEFT($O25,1)="P",VLOOKUP(CONCATENATE(LEFT($O25,2),"H"),$R$63:$T$91,3,FALSE),VLOOKUP($O25,$R$63:$T$91,3,FALSE)))+IF(AND($O25&lt;&gt;"",$O25&lt;&gt;"O3/CP",$O$15=A$18,MID($O25,4,1)="2",$O$15&lt;&gt;$O$14),VLOOKUP(CONCATENATE(LEFT($O25,2),"L"),$R$63:$T$91,3,FALSE),0)+IF(AND($O25="O3/CP",$O$14=A$18),VLOOKUP("O3",$R$63:$T$91,3,FALSE)+VLOOKUP("CP",$R$63:$T$91,3,FALSE),0)+IF(AND($P25&lt;&gt;"",$P25&lt;&gt;"--",$P25&lt;&gt;"O3/CP",$P$14=A$18),IF(LEFT($P25,1)="P",VLOOKUP(CONCATENATE(LEFT($P25,2),"H"),$R$63:$T$91,3,FALSE),VLOOKUP($P25,$R$63:$T$91,3,FALSE)))+IF(AND($P25&lt;&gt;"",$P25&lt;&gt;"O3/CP",$P$15=A$18,MID($P25,4,1)="2",$P$15&lt;&gt;$P$14),VLOOKUP(CONCATENATE(LEFT($P25,2),"L"),$R$63:$T$91,3,FALSE),0)+IF(AND($P25="O3/CP",$P$14=A$18),VLOOKUP("O3",$R$63:$T$91,3,FALSE)+VLOOKUP("CP",$R$63:$T$91,3,FALSE),0)+IF(AND($Q25&lt;&gt;"",$Q25&lt;&gt;"--",$Q25&lt;&gt;"O3/CP",$Q$14=A$18),IF(LEFT($Q25,1)="P",VLOOKUP(CONCATENATE(LEFT($Q25,2),"H"),$R$63:$T$91,3,FALSE),VLOOKUP($Q25,$R$63:$T$91,3,FALSE)))+IF(AND($Q25&lt;&gt;"",$Q25&lt;&gt;"O3/CP",$Q$15=A$18,MID($Q25,4,1)="2",$Q$15&lt;&gt;$Q$14),VLOOKUP(CONCATENATE(LEFT($Q25,2),"L"),$R$63:$T$91,3,FALSE),0)+IF(AND($Q25="O3/CP",$Q$14=A$18),VLOOKUP("O3",$R$63:$T$91,3,FALSE)+VLOOKUP("CP",$R$63:$T$91,3,FALSE),0)+IF(AND($R25&lt;&gt;"",$R25&lt;&gt;"--",$R25&lt;&gt;"O3/CP",$R$14=A$18),IF(LEFT($R25,1)="P",VLOOKUP(CONCATENATE(LEFT($R25,2),"H"),$R$63:$T$91,3,FALSE),VLOOKUP($R25,$R$63:$T$91,3,FALSE)))+IF(AND($R25&lt;&gt;"",$R25&lt;&gt;"O3/CP",$R$15=A$18,MID($R25,4,1)="2",$R$15&lt;&gt;$R$14),VLOOKUP(CONCATENATE(LEFT($R25,2),"L"),$R$63:$T$91,3,FALSE),0)+IF(AND($R25="O3/CP",$R$14=A$18),VLOOKUP("O3",$R$63:$T$91,3,FALSE)+VLOOKUP("CP",$R$63:$T$91,3,FALSE),0)+IF(AND($S25&lt;&gt;"",$S25&lt;&gt;"--",$S25&lt;&gt;"O3/CP",$S$14=A$18),IF(LEFT($S25,1)="P",VLOOKUP(CONCATENATE(LEFT($S25,2),"H"),$R$63:$T$91,3,FALSE),VLOOKUP($S25,$R$63:$T$91,3,FALSE)))+IF(AND($S25&lt;&gt;"",$S25&lt;&gt;"O3/CP",$S$15=A$18,MID($S25,4,1)="2",$S$15&lt;&gt;$S$14),VLOOKUP(CONCATENATE(LEFT($S25,2),"L"),$R$63:$T$91,3,FALSE),0)+IF(AND($S25="O3/CP",$S$14=A$18),VLOOKUP("O3",$R$63:$T$91,3,FALSE)+VLOOKUP("CP",$R$63:$T$91,3,FALSE),0)+IF(AND($T25&lt;&gt;"",$T25&lt;&gt;"--",$T25&lt;&gt;"O3/CP",$T$14=A$18),IF(LEFT($T25,1)="P",VLOOKUP(CONCATENATE(LEFT($T25,2),"H"),$R$63:$T$91,3,FALSE),VLOOKUP($T25,$R$63:$T$91,3,FALSE)))+IF(AND($T25&lt;&gt;"",$T25&lt;&gt;"O3/CP",$T$15=A$18,MID($T25,4,1)="2",$T$15&lt;&gt;$T$14),VLOOKUP(CONCATENATE(LEFT($T25,2),"L"),$R$63:$T$91,3,FALSE),0)+IF(AND($T25="O3/CP",$T$14=A$18),VLOOKUP("O3",$R$63:$T$91,3,FALSE)+VLOOKUP("CP",$R$63:$T$91,3,FALSE),0)+IF(AND($U25&lt;&gt;"",$U25&lt;&gt;"--",$U25&lt;&gt;"O3/CP",$U$14=A$18),IF(LEFT($U25,1)="P",VLOOKUP(CONCATENATE(LEFT($U25,2),"H"),$R$63:$T$91,3,FALSE),VLOOKUP($U25,$R$63:$T$91,3,FALSE)))+IF(AND($U25&lt;&gt;"",$U25&lt;&gt;"O3/CP",$U$15=A$18,MID($U25,4,1)="2",$U$15&lt;&gt;$U$14),VLOOKUP(CONCATENATE(LEFT($U25,2),"L"),$R$63:$T$91,3,FALSE),0)+IF(AND($U25="O3/CP",$T$14=A$18),VLOOKUP("O3",$R$63:$T$91,3,FALSE)+VLOOKUP("CP",$R$63:$T$91,3,FALSE),0)+IF(AND($V25&lt;&gt;"",$V25&lt;&gt;"--",$V25&lt;&gt;"O3/CP",$V$14=A$18),IF(LEFT($V25,1)="P",VLOOKUP(CONCATENATE(LEFT($V25,2),"H"),$R$63:$T$91,3,FALSE),VLOOKUP($V25,$R$63:$T$91,3,FALSE)))+IF(AND($V25&lt;&gt;"",$V25&lt;&gt;"O3/CP",$V$15=A$18,MID($V25,4,1)="2",$V$15&lt;&gt;$V$14),VLOOKUP(CONCATENATE(LEFT($V25,2),"L"),$R$63:$T$91,3,FALSE),0)+IF(AND($V25="O3/CP",$V$14=A$18),VLOOKUP("O3",$R$63:$T$91,3,FALSE)+VLOOKUP("CP",$R$63:$T$91,3,FALSE),0)+IF(AND($W25&lt;&gt;"",$W25&lt;&gt;"--",$W25&lt;&gt;"O3/CP",$W$14=A$18),IF(LEFT($W25,1)="P",VLOOKUP(CONCATENATE(LEFT($W25,2),"H"),$R$63:$T$91,3,FALSE),VLOOKUP($W25,$R$63:$T$91,3,FALSE)))+IF(AND($W25&lt;&gt;"",$W25&lt;&gt;"O3/CP",$W$15=A$18,MID($W25,4,1)="2",$W$15&lt;&gt;$W$14),VLOOKUP(CONCATENATE(LEFT($W25,2),"L"),$R$63:$T$91,3,FALSE),0)+IF(AND($W25="O3/CP",$W$14=A$18),VLOOKUP("O3",$R$63:$T$91,3,FALSE)+VLOOKUP("CP",$R$63:$T$91,3,FALSE),0)+IF(AND($X25&lt;&gt;"",$X25&lt;&gt;"--",$X25&lt;&gt;"O3/CP",$X$14=A$18),IF(LEFT($X25,1)="P",VLOOKUP(CONCATENATE(LEFT($X25,2),"H"),$R$63:$T$91,3,FALSE),VLOOKUP($X25,$R$63:$T$91,3,FALSE)))+IF(AND($X25&lt;&gt;"",$X25&lt;&gt;"O3/CP",$X$15=A$18,MID($X25,4,1)="2",$X$15&lt;&gt;$X$14),VLOOKUP(CONCATENATE(LEFT($X25,2),"L"),$R$63:$T$91,3,FALSE),0)+IF(AND($X25="O3/CP",$X$14=A$18),VLOOKUP("O3",$R$63:$T$91,3,FALSE)+VLOOKUP("CP",$R$63:$T$91,3,FALSE),0)+IF(AND($Y25&lt;&gt;"",$Y25&lt;&gt;"--",$Y25&lt;&gt;"O3/CP",$Y$14=A$18),IF(LEFT($Y25,1)="P",VLOOKUP(CONCATENATE(LEFT($Y25,2),"H"),$R$63:$T$91,3,FALSE),VLOOKUP($Y25,$R$63:$T$91,3,FALSE)))+IF(AND($Y25&lt;&gt;"",$Y25&lt;&gt;"O3/CP",$Y$15=A$18,MID($Y25,4,1)="2",$Y$15&lt;&gt;$Y$14),VLOOKUP(CONCATENATE(LEFT($Y25,2),"L"),$R$63:$T$91,3,FALSE),0)+IF(AND($Y25="O3/CP",$Y$14=A$18),VLOOKUP("O3",$R$63:$T$91,3,FALSE)+VLOOKUP("CP",$R$63:$T$91,3,FALSE),0)+IF(AND($K$6="CE",'[3]Supply Attribution'!$G$20=A$18),LEFT($S$90,2),0)+IF(AND($X$86&lt;&gt;"Not Set",$X$87=A$18),$X$86,0)</f>
        <v>13</v>
      </c>
      <c r="B25" s="271">
        <f>IF(AND($K25&lt;&gt;"",$K25&lt;&gt;"--",$K25&lt;&gt;"O3/CP",$K$14=B$18),IF(LEFT($K25,1)="P",VLOOKUP(CONCATENATE(LEFT($K25,2),"H"),$R$63:$T$91,3,FALSE),VLOOKUP($K25,$R$63:$T$91,3,FALSE)))+IF(AND($K25&lt;&gt;"",$K25&lt;&gt;"O3/CP",$K$15=B$18,MID($K25,4,1)="2",$K$15&lt;&gt;$K$14),VLOOKUP(CONCATENATE(LEFT($K25,2),"L"),$R$63:$T$91,3,FALSE),0)+IF(AND($K25="O3/CP",$K$14=B$18),VLOOKUP("O3",$R$63:$T$91,3,FALSE)+VLOOKUP("CP",$R$63:$T$91,3,FALSE),0)+IF(AND($L25&lt;&gt;"",$L25&lt;&gt;"--",$L25&lt;&gt;"O3/CP",$L$14=B$18),IF(LEFT($L25,1)="P",VLOOKUP(CONCATENATE(LEFT($L25,2),"H"),$R$63:$T$91,3,FALSE),VLOOKUP($L25,$R$63:$T$91,3,FALSE)))+IF(AND($L25&lt;&gt;"",$L25&lt;&gt;"O3/CP",$L$15=B$18,MID($L25,4,1)="2",$L$15&lt;&gt;$L$14),VLOOKUP(CONCATENATE(LEFT($L25,2),"L"),$R$63:$T$91,3,FALSE),0)+IF(AND($L25="O3/CP",$L$14=B$18),VLOOKUP("O3",$R$63:$T$91,3,FALSE)+VLOOKUP("CP",$R$63:$T$91,3,FALSE),0)+IF(AND($M25&lt;&gt;"",$M25&lt;&gt;"--",$M25&lt;&gt;"O3/CP",$M$14=B$18),IF(LEFT($M25,1)="P",VLOOKUP(CONCATENATE(LEFT($M25,2),"H"),$R$63:$T$91,3,FALSE),VLOOKUP($M25,$R$63:$T$91,3,FALSE)))+IF(AND($M25&lt;&gt;"",$M25&lt;&gt;"O3/CP",$M$15=B$18,MID($M25,4,1)="2",$M$15&lt;&gt;$M$14),VLOOKUP(CONCATENATE(LEFT($M25,2),"L"),$R$63:$T$91,3,FALSE),0)+IF(AND($M25="O3/CP",$M$14=B$18),VLOOKUP("O3",$R$63:$T$91,3,FALSE)+VLOOKUP("CP",$R$63:$T$91,3,FALSE),0)+IF(AND($N25&lt;&gt;"",$N25&lt;&gt;"--",$N25&lt;&gt;"O3/CP",$N$14=B$18),IF(LEFT($N25,1)="P",VLOOKUP(CONCATENATE(LEFT($N25,2),"H"),$R$63:$T$91,3,FALSE),VLOOKUP($N25,$R$63:$T$91,3,FALSE)))+IF(AND($N25&lt;&gt;"",$N25&lt;&gt;"O3/CP",$N$15=B$18,MID($N25,4,1)="2",$N$15&lt;&gt;$N$14),VLOOKUP(CONCATENATE(LEFT($N25,2),"L"),$R$63:$T$91,3,FALSE),0)+IF(AND($N25="O3/CP",$N$14=B$18),VLOOKUP("O3",$R$63:$T$91,3,FALSE)+VLOOKUP("CP",$R$63:$T$91,3,FALSE),0)+IF(AND($O25&lt;&gt;"",$O25&lt;&gt;"--",$O25&lt;&gt;"O3/CP",$O$14=B$18),IF(LEFT($O25,1)="P",VLOOKUP(CONCATENATE(LEFT($O25,2),"H"),$R$63:$T$91,3,FALSE),VLOOKUP($O25,$R$63:$T$91,3,FALSE)))+IF(AND($O25&lt;&gt;"",$O25&lt;&gt;"O3/CP",$O$15=B$18,MID($O25,4,1)="2",$O$15&lt;&gt;$O$14),VLOOKUP(CONCATENATE(LEFT($O25,2),"L"),$R$63:$T$91,3,FALSE),0)+IF(AND($O25="O3/CP",$O$14=B$18),VLOOKUP("O3",$R$63:$T$91,3,FALSE)+VLOOKUP("CP",$R$63:$T$91,3,FALSE),0)+IF(AND($P25&lt;&gt;"",$P25&lt;&gt;"--",$P25&lt;&gt;"O3/CP",$P$14=B$18),IF(LEFT($P25,1)="P",VLOOKUP(CONCATENATE(LEFT($P25,2),"H"),$R$63:$T$91,3,FALSE),VLOOKUP($P25,$R$63:$T$91,3,FALSE)))+IF(AND($P25&lt;&gt;"",$P25&lt;&gt;"O3/CP",$P$15=B$18,MID($P25,4,1)="2",$P$15&lt;&gt;$P$14),VLOOKUP(CONCATENATE(LEFT($P25,2),"L"),$R$63:$T$91,3,FALSE),0)+IF(AND($P25="O3/CP",$P$14=B$18),VLOOKUP("O3",$R$63:$T$91,3,FALSE)+VLOOKUP("CP",$R$63:$T$91,3,FALSE),0)+IF(AND($Q25&lt;&gt;"",$Q25&lt;&gt;"--",$Q25&lt;&gt;"O3/CP",$Q$14=B$18),IF(LEFT($Q25,1)="P",VLOOKUP(CONCATENATE(LEFT($Q25,2),"H"),$R$63:$T$91,3,FALSE),VLOOKUP($Q25,$R$63:$T$91,3,FALSE)))+IF(AND($Q25&lt;&gt;"",$Q25&lt;&gt;"O3/CP",$Q$15=B$18,MID($Q25,4,1)="2",$Q$15&lt;&gt;$Q$14),VLOOKUP(CONCATENATE(LEFT($Q25,2),"L"),$R$63:$T$91,3,FALSE),0)+IF(AND($Q25="O3/CP",$Q$14=B$18),VLOOKUP("O3",$R$63:$T$91,3,FALSE)+VLOOKUP("CP",$R$63:$T$91,3,FALSE),0)+IF(AND($R25&lt;&gt;"",$R25&lt;&gt;"--",$R25&lt;&gt;"O3/CP",$R$14=B$18),IF(LEFT($R25,1)="P",VLOOKUP(CONCATENATE(LEFT($R25,2),"H"),$R$63:$T$91,3,FALSE),VLOOKUP($R25,$R$63:$T$91,3,FALSE)))+IF(AND($R25&lt;&gt;"",$R25&lt;&gt;"O3/CP",$R$15=B$18,MID($R25,4,1)="2",$R$15&lt;&gt;$R$14),VLOOKUP(CONCATENATE(LEFT($R25,2),"L"),$R$63:$T$91,3,FALSE),0)+IF(AND($R25="O3/CP",$R$14=B$18),VLOOKUP("O3",$R$63:$T$91,3,FALSE)+VLOOKUP("CP",$R$63:$T$91,3,FALSE),0)+IF(AND($S25&lt;&gt;"",$S25&lt;&gt;"--",$S25&lt;&gt;"O3/CP",$S$14=B$18),IF(LEFT($S25,1)="P",VLOOKUP(CONCATENATE(LEFT($S25,2),"H"),$R$63:$T$91,3,FALSE),VLOOKUP($S25,$R$63:$T$91,3,FALSE)))+IF(AND($S25&lt;&gt;"",$S25&lt;&gt;"O3/CP",$S$15=B$18,MID($S25,4,1)="2",$S$15&lt;&gt;$S$14),VLOOKUP(CONCATENATE(LEFT($S25,2),"L"),$R$63:$T$91,3,FALSE),0)+IF(AND($S25="O3/CP",$S$14=B$18),VLOOKUP("O3",$R$63:$T$91,3,FALSE)+VLOOKUP("CP",$R$63:$T$91,3,FALSE),0)+IF(AND($T25&lt;&gt;"",$T25&lt;&gt;"--",$T25&lt;&gt;"O3/CP",$T$14=B$18),IF(LEFT($T25,1)="P",VLOOKUP(CONCATENATE(LEFT($T25,2),"H"),$R$63:$T$91,3,FALSE),VLOOKUP($T25,$R$63:$T$91,3,FALSE)))+IF(AND($T25&lt;&gt;"",$T25&lt;&gt;"O3/CP",$T$15=B$18,MID($T25,4,1)="2",$T$15&lt;&gt;$T$14),VLOOKUP(CONCATENATE(LEFT($T25,2),"L"),$R$63:$T$91,3,FALSE),0)+IF(AND($T25="O3/CP",$T$14=B$18),VLOOKUP("O3",$R$63:$T$91,3,FALSE)+VLOOKUP("CP",$R$63:$T$91,3,FALSE),0)+IF(AND($U25&lt;&gt;"",$U25&lt;&gt;"--",$U25&lt;&gt;"O3/CP",$U$14=B$18),IF(LEFT($U25,1)="P",VLOOKUP(CONCATENATE(LEFT($U25,2),"H"),$R$63:$T$91,3,FALSE),VLOOKUP($U25,$R$63:$T$91,3,FALSE)))+IF(AND($U25&lt;&gt;"",$U25&lt;&gt;"O3/CP",$U$15=B$18,MID($U25,4,1)="2",$U$15&lt;&gt;$U$14),VLOOKUP(CONCATENATE(LEFT($U25,2),"L"),$R$63:$T$91,3,FALSE),0)+IF(AND($U25="O3/CP",$T$14=B$18),VLOOKUP("O3",$R$63:$T$91,3,FALSE)+VLOOKUP("CP",$R$63:$T$91,3,FALSE),0)+IF(AND($V25&lt;&gt;"",$V25&lt;&gt;"--",$V25&lt;&gt;"O3/CP",$V$14=B$18),IF(LEFT($V25,1)="P",VLOOKUP(CONCATENATE(LEFT($V25,2),"H"),$R$63:$T$91,3,FALSE),VLOOKUP($V25,$R$63:$T$91,3,FALSE)))+IF(AND($V25&lt;&gt;"",$V25&lt;&gt;"O3/CP",$V$15=B$18,MID($V25,4,1)="2",$V$15&lt;&gt;$V$14),VLOOKUP(CONCATENATE(LEFT($V25,2),"L"),$R$63:$T$91,3,FALSE),0)+IF(AND($V25="O3/CP",$V$14=B$18),VLOOKUP("O3",$R$63:$T$91,3,FALSE)+VLOOKUP("CP",$R$63:$T$91,3,FALSE),0)+IF(AND($W25&lt;&gt;"",$W25&lt;&gt;"--",$W25&lt;&gt;"O3/CP",$W$14=B$18),IF(LEFT($W25,1)="P",VLOOKUP(CONCATENATE(LEFT($W25,2),"H"),$R$63:$T$91,3,FALSE),VLOOKUP($W25,$R$63:$T$91,3,FALSE)))+IF(AND($W25&lt;&gt;"",$W25&lt;&gt;"O3/CP",$W$15=B$18,MID($W25,4,1)="2",$W$15&lt;&gt;$W$14),VLOOKUP(CONCATENATE(LEFT($W25,2),"L"),$R$63:$T$91,3,FALSE),0)+IF(AND($W25="O3/CP",$W$14=B$18),VLOOKUP("O3",$R$63:$T$91,3,FALSE)+VLOOKUP("CP",$R$63:$T$91,3,FALSE),0)+IF(AND($X25&lt;&gt;"",$X25&lt;&gt;"--",$X25&lt;&gt;"O3/CP",$X$14=B$18),IF(LEFT($X25,1)="P",VLOOKUP(CONCATENATE(LEFT($X25,2),"H"),$R$63:$T$91,3,FALSE),VLOOKUP($X25,$R$63:$T$91,3,FALSE)))+IF(AND($X25&lt;&gt;"",$X25&lt;&gt;"O3/CP",$X$15=B$18,MID($X25,4,1)="2",$X$15&lt;&gt;$X$14),VLOOKUP(CONCATENATE(LEFT($X25,2),"L"),$R$63:$T$91,3,FALSE),0)+IF(AND($X25="O3/CP",$X$14=B$18),VLOOKUP("O3",$R$63:$T$91,3,FALSE)+VLOOKUP("CP",$R$63:$T$91,3,FALSE),0)+IF(AND($Y25&lt;&gt;"",$Y25&lt;&gt;"--",$Y25&lt;&gt;"O3/CP",$Y$14=B$18),IF(LEFT($Y25,1)="P",VLOOKUP(CONCATENATE(LEFT($Y25,2),"H"),$R$63:$T$91,3,FALSE),VLOOKUP($Y25,$R$63:$T$91,3,FALSE)))+IF(AND($Y25&lt;&gt;"",$Y25&lt;&gt;"O3/CP",$Y$15=B$18,MID($Y25,4,1)="2",$Y$15&lt;&gt;$Y$14),VLOOKUP(CONCATENATE(LEFT($Y25,2),"L"),$R$63:$T$91,3,FALSE),0)+IF(AND($Y25="O3/CP",$Y$14=B$18),VLOOKUP("O3",$R$63:$T$91,3,FALSE)+VLOOKUP("CP",$R$63:$T$91,3,FALSE),0)+IF(AND($K$6="CE",'[3]Supply Attribution'!$G$20=B$18),LEFT($S$90,2),0)+IF(AND($X$86&lt;&gt;"Not Set",$X$87=B$18),$X$86,0)</f>
        <v>6</v>
      </c>
      <c r="C25" s="271">
        <f>IF(AND($K25&lt;&gt;"",$K25&lt;&gt;"--",$K25&lt;&gt;"O3/CP",$K$14=C$18),IF(LEFT($K25,1)="P",VLOOKUP(CONCATENATE(LEFT($K25,2),"H"),$R$63:$T$91,3,FALSE),VLOOKUP($K25,$R$63:$T$91,3,FALSE)))+IF(AND($K25&lt;&gt;"",$K25&lt;&gt;"O3/CP",$K$15=C$18,MID($K25,4,1)="2",$K$15&lt;&gt;$K$14),VLOOKUP(CONCATENATE(LEFT($K25,2),"L"),$R$63:$T$91,3,FALSE),0)+IF(AND($K25="O3/CP",$K$14=C$18),VLOOKUP("O3",$R$63:$T$91,3,FALSE)+VLOOKUP("CP",$R$63:$T$91,3,FALSE),0)+IF(AND($L25&lt;&gt;"",$L25&lt;&gt;"--",$L25&lt;&gt;"O3/CP",$L$14=C$18),IF(LEFT($L25,1)="P",VLOOKUP(CONCATENATE(LEFT($L25,2),"H"),$R$63:$T$91,3,FALSE),VLOOKUP($L25,$R$63:$T$91,3,FALSE)))+IF(AND($L25&lt;&gt;"",$L25&lt;&gt;"O3/CP",$L$15=C$18,MID($L25,4,1)="2",$L$15&lt;&gt;$L$14),VLOOKUP(CONCATENATE(LEFT($L25,2),"L"),$R$63:$T$91,3,FALSE),0)+IF(AND($L25="O3/CP",$L$14=C$18),VLOOKUP("O3",$R$63:$T$91,3,FALSE)+VLOOKUP("CP",$R$63:$T$91,3,FALSE),0)+IF(AND($M25&lt;&gt;"",$M25&lt;&gt;"--",$M25&lt;&gt;"O3/CP",$M$14=C$18),IF(LEFT($M25,1)="P",VLOOKUP(CONCATENATE(LEFT($M25,2),"H"),$R$63:$T$91,3,FALSE),VLOOKUP($M25,$R$63:$T$91,3,FALSE)))+IF(AND($M25&lt;&gt;"",$M25&lt;&gt;"O3/CP",$M$15=C$18,MID($M25,4,1)="2",$M$15&lt;&gt;$M$14),VLOOKUP(CONCATENATE(LEFT($M25,2),"L"),$R$63:$T$91,3,FALSE),0)+IF(AND($M25="O3/CP",$M$14=C$18),VLOOKUP("O3",$R$63:$T$91,3,FALSE)+VLOOKUP("CP",$R$63:$T$91,3,FALSE),0)+IF(AND($N25&lt;&gt;"",$N25&lt;&gt;"--",$N25&lt;&gt;"O3/CP",$N$14=C$18),IF(LEFT($N25,1)="P",VLOOKUP(CONCATENATE(LEFT($N25,2),"H"),$R$63:$T$91,3,FALSE),VLOOKUP($N25,$R$63:$T$91,3,FALSE)))+IF(AND($N25&lt;&gt;"",$N25&lt;&gt;"O3/CP",$N$15=C$18,MID($N25,4,1)="2",$N$15&lt;&gt;$N$14),VLOOKUP(CONCATENATE(LEFT($N25,2),"L"),$R$63:$T$91,3,FALSE),0)+IF(AND($N25="O3/CP",$N$14=C$18),VLOOKUP("O3",$R$63:$T$91,3,FALSE)+VLOOKUP("CP",$R$63:$T$91,3,FALSE),0)+IF(AND($O25&lt;&gt;"",$O25&lt;&gt;"--",$O25&lt;&gt;"O3/CP",$O$14=C$18),IF(LEFT($O25,1)="P",VLOOKUP(CONCATENATE(LEFT($O25,2),"H"),$R$63:$T$91,3,FALSE),VLOOKUP($O25,$R$63:$T$91,3,FALSE)))+IF(AND($O25&lt;&gt;"",$O25&lt;&gt;"O3/CP",$O$15=C$18,MID($O25,4,1)="2",$O$15&lt;&gt;$O$14),VLOOKUP(CONCATENATE(LEFT($O25,2),"L"),$R$63:$T$91,3,FALSE),0)+IF(AND($O25="O3/CP",$O$14=C$18),VLOOKUP("O3",$R$63:$T$91,3,FALSE)+VLOOKUP("CP",$R$63:$T$91,3,FALSE),0)+IF(AND($P25&lt;&gt;"",$P25&lt;&gt;"--",$P25&lt;&gt;"O3/CP",$P$14=C$18),IF(LEFT($P25,1)="P",VLOOKUP(CONCATENATE(LEFT($P25,2),"H"),$R$63:$T$91,3,FALSE),VLOOKUP($P25,$R$63:$T$91,3,FALSE)))+IF(AND($P25&lt;&gt;"",$P25&lt;&gt;"O3/CP",$P$15=C$18,MID($P25,4,1)="2",$P$15&lt;&gt;$P$14),VLOOKUP(CONCATENATE(LEFT($P25,2),"L"),$R$63:$T$91,3,FALSE),0)+IF(AND($P25="O3/CP",$P$14=C$18),VLOOKUP("O3",$R$63:$T$91,3,FALSE)+VLOOKUP("CP",$R$63:$T$91,3,FALSE),0)+IF(AND($Q25&lt;&gt;"",$Q25&lt;&gt;"--",$Q25&lt;&gt;"O3/CP",$Q$14=C$18),IF(LEFT($Q25,1)="P",VLOOKUP(CONCATENATE(LEFT($Q25,2),"H"),$R$63:$T$91,3,FALSE),VLOOKUP($Q25,$R$63:$T$91,3,FALSE)))+IF(AND($Q25&lt;&gt;"",$Q25&lt;&gt;"O3/CP",$Q$15=C$18,MID($Q25,4,1)="2",$Q$15&lt;&gt;$Q$14),VLOOKUP(CONCATENATE(LEFT($Q25,2),"L"),$R$63:$T$91,3,FALSE),0)+IF(AND($Q25="O3/CP",$Q$14=C$18),VLOOKUP("O3",$R$63:$T$91,3,FALSE)+VLOOKUP("CP",$R$63:$T$91,3,FALSE),0)+IF(AND($R25&lt;&gt;"",$R25&lt;&gt;"--",$R25&lt;&gt;"O3/CP",$R$14=C$18),IF(LEFT($R25,1)="P",VLOOKUP(CONCATENATE(LEFT($R25,2),"H"),$R$63:$T$91,3,FALSE),VLOOKUP($R25,$R$63:$T$91,3,FALSE)))+IF(AND($R25&lt;&gt;"",$R25&lt;&gt;"O3/CP",$R$15=C$18,MID($R25,4,1)="2",$R$15&lt;&gt;$R$14),VLOOKUP(CONCATENATE(LEFT($R25,2),"L"),$R$63:$T$91,3,FALSE),0)+IF(AND($R25="O3/CP",$R$14=C$18),VLOOKUP("O3",$R$63:$T$91,3,FALSE)+VLOOKUP("CP",$R$63:$T$91,3,FALSE),0)+IF(AND($S25&lt;&gt;"",$S25&lt;&gt;"--",$S25&lt;&gt;"O3/CP",$S$14=C$18),IF(LEFT($S25,1)="P",VLOOKUP(CONCATENATE(LEFT($S25,2),"H"),$R$63:$T$91,3,FALSE),VLOOKUP($S25,$R$63:$T$91,3,FALSE)))+IF(AND($S25&lt;&gt;"",$S25&lt;&gt;"O3/CP",$S$15=C$18,MID($S25,4,1)="2",$S$15&lt;&gt;$S$14),VLOOKUP(CONCATENATE(LEFT($S25,2),"L"),$R$63:$T$91,3,FALSE),0)+IF(AND($S25="O3/CP",$S$14=C$18),VLOOKUP("O3",$R$63:$T$91,3,FALSE)+VLOOKUP("CP",$R$63:$T$91,3,FALSE),0)+IF(AND($T25&lt;&gt;"",$T25&lt;&gt;"--",$T25&lt;&gt;"O3/CP",$T$14=C$18),IF(LEFT($T25,1)="P",VLOOKUP(CONCATENATE(LEFT($T25,2),"H"),$R$63:$T$91,3,FALSE),VLOOKUP($T25,$R$63:$T$91,3,FALSE)))+IF(AND($T25&lt;&gt;"",$T25&lt;&gt;"O3/CP",$T$15=C$18,MID($T25,4,1)="2",$T$15&lt;&gt;$T$14),VLOOKUP(CONCATENATE(LEFT($T25,2),"L"),$R$63:$T$91,3,FALSE),0)+IF(AND($T25="O3/CP",$T$14=C$18),VLOOKUP("O3",$R$63:$T$91,3,FALSE)+VLOOKUP("CP",$R$63:$T$91,3,FALSE),0)+IF(AND($U25&lt;&gt;"",$U25&lt;&gt;"--",$U25&lt;&gt;"O3/CP",$U$14=C$18),IF(LEFT($U25,1)="P",VLOOKUP(CONCATENATE(LEFT($U25,2),"H"),$R$63:$T$91,3,FALSE),VLOOKUP($U25,$R$63:$T$91,3,FALSE)))+IF(AND($U25&lt;&gt;"",$U25&lt;&gt;"O3/CP",$U$15=C$18,MID($U25,4,1)="2",$U$15&lt;&gt;$U$14),VLOOKUP(CONCATENATE(LEFT($U25,2),"L"),$R$63:$T$91,3,FALSE),0)+IF(AND($U25="O3/CP",$T$14=C$18),VLOOKUP("O3",$R$63:$T$91,3,FALSE)+VLOOKUP("CP",$R$63:$T$91,3,FALSE),0)+IF(AND($V25&lt;&gt;"",$V25&lt;&gt;"--",$V25&lt;&gt;"O3/CP",$V$14=C$18),IF(LEFT($V25,1)="P",VLOOKUP(CONCATENATE(LEFT($V25,2),"H"),$R$63:$T$91,3,FALSE),VLOOKUP($V25,$R$63:$T$91,3,FALSE)))+IF(AND($V25&lt;&gt;"",$V25&lt;&gt;"O3/CP",$V$15=C$18,MID($V25,4,1)="2",$V$15&lt;&gt;$V$14),VLOOKUP(CONCATENATE(LEFT($V25,2),"L"),$R$63:$T$91,3,FALSE),0)+IF(AND($V25="O3/CP",$V$14=C$18),VLOOKUP("O3",$R$63:$T$91,3,FALSE)+VLOOKUP("CP",$R$63:$T$91,3,FALSE),0)+IF(AND($W25&lt;&gt;"",$W25&lt;&gt;"--",$W25&lt;&gt;"O3/CP",$W$14=C$18),IF(LEFT($W25,1)="P",VLOOKUP(CONCATENATE(LEFT($W25,2),"H"),$R$63:$T$91,3,FALSE),VLOOKUP($W25,$R$63:$T$91,3,FALSE)))+IF(AND($W25&lt;&gt;"",$W25&lt;&gt;"O3/CP",$W$15=C$18,MID($W25,4,1)="2",$W$15&lt;&gt;$W$14),VLOOKUP(CONCATENATE(LEFT($W25,2),"L"),$R$63:$T$91,3,FALSE),0)+IF(AND($W25="O3/CP",$W$14=C$18),VLOOKUP("O3",$R$63:$T$91,3,FALSE)+VLOOKUP("CP",$R$63:$T$91,3,FALSE),0)+IF(AND($X25&lt;&gt;"",$X25&lt;&gt;"--",$X25&lt;&gt;"O3/CP",$X$14=C$18),IF(LEFT($X25,1)="P",VLOOKUP(CONCATENATE(LEFT($X25,2),"H"),$R$63:$T$91,3,FALSE),VLOOKUP($X25,$R$63:$T$91,3,FALSE)))+IF(AND($X25&lt;&gt;"",$X25&lt;&gt;"O3/CP",$X$15=C$18,MID($X25,4,1)="2",$X$15&lt;&gt;$X$14),VLOOKUP(CONCATENATE(LEFT($X25,2),"L"),$R$63:$T$91,3,FALSE),0)+IF(AND($X25="O3/CP",$X$14=C$18),VLOOKUP("O3",$R$63:$T$91,3,FALSE)+VLOOKUP("CP",$R$63:$T$91,3,FALSE),0)+IF(AND($Y25&lt;&gt;"",$Y25&lt;&gt;"--",$Y25&lt;&gt;"O3/CP",$Y$14=C$18),IF(LEFT($Y25,1)="P",VLOOKUP(CONCATENATE(LEFT($Y25,2),"H"),$R$63:$T$91,3,FALSE),VLOOKUP($Y25,$R$63:$T$91,3,FALSE)))+IF(AND($Y25&lt;&gt;"",$Y25&lt;&gt;"O3/CP",$Y$15=C$18,MID($Y25,4,1)="2",$Y$15&lt;&gt;$Y$14),VLOOKUP(CONCATENATE(LEFT($Y25,2),"L"),$R$63:$T$91,3,FALSE),0)+IF(AND($Y25="O3/CP",$Y$14=C$18),VLOOKUP("O3",$R$63:$T$91,3,FALSE)+VLOOKUP("CP",$R$63:$T$91,3,FALSE),0)+IF(AND($K$6="CE",'[3]Supply Attribution'!$G$20=C$18),LEFT($S$90,2),0)+IF(AND($X$86&lt;&gt;"Not Set",$X$87=C$18),$X$86,0)</f>
        <v>12</v>
      </c>
      <c r="D25" s="271">
        <f>IF(AND($K25&lt;&gt;"",$K25&lt;&gt;"--",$K25&lt;&gt;"O3/CP",$K$14=D$18),IF(LEFT($K25,1)="P",VLOOKUP(CONCATENATE(LEFT($K25,2),"H"),$R$63:$T$91,3,FALSE),VLOOKUP($K25,$R$63:$T$91,3,FALSE)))+IF(AND($K25&lt;&gt;"",$K25&lt;&gt;"O3/CP",$K$15=D$18,MID($K25,4,1)="2",$K$15&lt;&gt;$K$14),VLOOKUP(CONCATENATE(LEFT($K25,2),"L"),$R$63:$T$91,3,FALSE),0)+IF(AND($K25="O3/CP",$K$14=D$18),VLOOKUP("O3",$R$63:$T$91,3,FALSE)+VLOOKUP("CP",$R$63:$T$91,3,FALSE),0)+IF(AND($L25&lt;&gt;"",$L25&lt;&gt;"--",$L25&lt;&gt;"O3/CP",$L$14=D$18),IF(LEFT($L25,1)="P",VLOOKUP(CONCATENATE(LEFT($L25,2),"H"),$R$63:$T$91,3,FALSE),VLOOKUP($L25,$R$63:$T$91,3,FALSE)))+IF(AND($L25&lt;&gt;"",$L25&lt;&gt;"O3/CP",$L$15=D$18,MID($L25,4,1)="2",$L$15&lt;&gt;$L$14),VLOOKUP(CONCATENATE(LEFT($L25,2),"L"),$R$63:$T$91,3,FALSE),0)+IF(AND($L25="O3/CP",$L$14=D$18),VLOOKUP("O3",$R$63:$T$91,3,FALSE)+VLOOKUP("CP",$R$63:$T$91,3,FALSE),0)+IF(AND($M25&lt;&gt;"",$M25&lt;&gt;"--",$M25&lt;&gt;"O3/CP",$M$14=D$18),IF(LEFT($M25,1)="P",VLOOKUP(CONCATENATE(LEFT($M25,2),"H"),$R$63:$T$91,3,FALSE),VLOOKUP($M25,$R$63:$T$91,3,FALSE)))+IF(AND($M25&lt;&gt;"",$M25&lt;&gt;"O3/CP",$M$15=D$18,MID($M25,4,1)="2",$M$15&lt;&gt;$M$14),VLOOKUP(CONCATENATE(LEFT($M25,2),"L"),$R$63:$T$91,3,FALSE),0)+IF(AND($M25="O3/CP",$M$14=D$18),VLOOKUP("O3",$R$63:$T$91,3,FALSE)+VLOOKUP("CP",$R$63:$T$91,3,FALSE),0)+IF(AND($N25&lt;&gt;"",$N25&lt;&gt;"--",$N25&lt;&gt;"O3/CP",$N$14=D$18),IF(LEFT($N25,1)="P",VLOOKUP(CONCATENATE(LEFT($N25,2),"H"),$R$63:$T$91,3,FALSE),VLOOKUP($N25,$R$63:$T$91,3,FALSE)))+IF(AND($N25&lt;&gt;"",$N25&lt;&gt;"O3/CP",$N$15=D$18,MID($N25,4,1)="2",$N$15&lt;&gt;$N$14),VLOOKUP(CONCATENATE(LEFT($N25,2),"L"),$R$63:$T$91,3,FALSE),0)+IF(AND($N25="O3/CP",$N$14=D$18),VLOOKUP("O3",$R$63:$T$91,3,FALSE)+VLOOKUP("CP",$R$63:$T$91,3,FALSE),0)+IF(AND($O25&lt;&gt;"",$O25&lt;&gt;"--",$O25&lt;&gt;"O3/CP",$O$14=D$18),IF(LEFT($O25,1)="P",VLOOKUP(CONCATENATE(LEFT($O25,2),"H"),$R$63:$T$91,3,FALSE),VLOOKUP($O25,$R$63:$T$91,3,FALSE)))+IF(AND($O25&lt;&gt;"",$O25&lt;&gt;"O3/CP",$O$15=D$18,MID($O25,4,1)="2",$O$15&lt;&gt;$O$14),VLOOKUP(CONCATENATE(LEFT($O25,2),"L"),$R$63:$T$91,3,FALSE),0)+IF(AND($O25="O3/CP",$O$14=D$18),VLOOKUP("O3",$R$63:$T$91,3,FALSE)+VLOOKUP("CP",$R$63:$T$91,3,FALSE),0)+IF(AND($P25&lt;&gt;"",$P25&lt;&gt;"--",$P25&lt;&gt;"O3/CP",$P$14=D$18),IF(LEFT($P25,1)="P",VLOOKUP(CONCATENATE(LEFT($P25,2),"H"),$R$63:$T$91,3,FALSE),VLOOKUP($P25,$R$63:$T$91,3,FALSE)))+IF(AND($P25&lt;&gt;"",$P25&lt;&gt;"O3/CP",$P$15=D$18,MID($P25,4,1)="2",$P$15&lt;&gt;$P$14),VLOOKUP(CONCATENATE(LEFT($P25,2),"L"),$R$63:$T$91,3,FALSE),0)+IF(AND($P25="O3/CP",$P$14=D$18),VLOOKUP("O3",$R$63:$T$91,3,FALSE)+VLOOKUP("CP",$R$63:$T$91,3,FALSE),0)+IF(AND($Q25&lt;&gt;"",$Q25&lt;&gt;"--",$Q25&lt;&gt;"O3/CP",$Q$14=D$18),IF(LEFT($Q25,1)="P",VLOOKUP(CONCATENATE(LEFT($Q25,2),"H"),$R$63:$T$91,3,FALSE),VLOOKUP($Q25,$R$63:$T$91,3,FALSE)))+IF(AND($Q25&lt;&gt;"",$Q25&lt;&gt;"O3/CP",$Q$15=D$18,MID($Q25,4,1)="2",$Q$15&lt;&gt;$Q$14),VLOOKUP(CONCATENATE(LEFT($Q25,2),"L"),$R$63:$T$91,3,FALSE),0)+IF(AND($Q25="O3/CP",$Q$14=D$18),VLOOKUP("O3",$R$63:$T$91,3,FALSE)+VLOOKUP("CP",$R$63:$T$91,3,FALSE),0)+IF(AND($R25&lt;&gt;"",$R25&lt;&gt;"--",$R25&lt;&gt;"O3/CP",$R$14=D$18),IF(LEFT($R25,1)="P",VLOOKUP(CONCATENATE(LEFT($R25,2),"H"),$R$63:$T$91,3,FALSE),VLOOKUP($R25,$R$63:$T$91,3,FALSE)))+IF(AND($R25&lt;&gt;"",$R25&lt;&gt;"O3/CP",$R$15=D$18,MID($R25,4,1)="2",$R$15&lt;&gt;$R$14),VLOOKUP(CONCATENATE(LEFT($R25,2),"L"),$R$63:$T$91,3,FALSE),0)+IF(AND($R25="O3/CP",$R$14=D$18),VLOOKUP("O3",$R$63:$T$91,3,FALSE)+VLOOKUP("CP",$R$63:$T$91,3,FALSE),0)+IF(AND($S25&lt;&gt;"",$S25&lt;&gt;"--",$S25&lt;&gt;"O3/CP",$S$14=D$18),IF(LEFT($S25,1)="P",VLOOKUP(CONCATENATE(LEFT($S25,2),"H"),$R$63:$T$91,3,FALSE),VLOOKUP($S25,$R$63:$T$91,3,FALSE)))+IF(AND($S25&lt;&gt;"",$S25&lt;&gt;"O3/CP",$S$15=D$18,MID($S25,4,1)="2",$S$15&lt;&gt;$S$14),VLOOKUP(CONCATENATE(LEFT($S25,2),"L"),$R$63:$T$91,3,FALSE),0)+IF(AND($S25="O3/CP",$S$14=D$18),VLOOKUP("O3",$R$63:$T$91,3,FALSE)+VLOOKUP("CP",$R$63:$T$91,3,FALSE),0)+IF(AND($T25&lt;&gt;"",$T25&lt;&gt;"--",$T25&lt;&gt;"O3/CP",$T$14=D$18),IF(LEFT($T25,1)="P",VLOOKUP(CONCATENATE(LEFT($T25,2),"H"),$R$63:$T$91,3,FALSE),VLOOKUP($T25,$R$63:$T$91,3,FALSE)))+IF(AND($T25&lt;&gt;"",$T25&lt;&gt;"O3/CP",$T$15=D$18,MID($T25,4,1)="2",$T$15&lt;&gt;$T$14),VLOOKUP(CONCATENATE(LEFT($T25,2),"L"),$R$63:$T$91,3,FALSE),0)+IF(AND($T25="O3/CP",$T$14=D$18),VLOOKUP("O3",$R$63:$T$91,3,FALSE)+VLOOKUP("CP",$R$63:$T$91,3,FALSE),0)+IF(AND($U25&lt;&gt;"",$U25&lt;&gt;"--",$U25&lt;&gt;"O3/CP",$U$14=D$18),IF(LEFT($U25,1)="P",VLOOKUP(CONCATENATE(LEFT($U25,2),"H"),$R$63:$T$91,3,FALSE),VLOOKUP($U25,$R$63:$T$91,3,FALSE)))+IF(AND($U25&lt;&gt;"",$U25&lt;&gt;"O3/CP",$U$15=D$18,MID($U25,4,1)="2",$U$15&lt;&gt;$U$14),VLOOKUP(CONCATENATE(LEFT($U25,2),"L"),$R$63:$T$91,3,FALSE),0)+IF(AND($U25="O3/CP",$T$14=D$18),VLOOKUP("O3",$R$63:$T$91,3,FALSE)+VLOOKUP("CP",$R$63:$T$91,3,FALSE),0)+IF(AND($V25&lt;&gt;"",$V25&lt;&gt;"--",$V25&lt;&gt;"O3/CP",$V$14=D$18),IF(LEFT($V25,1)="P",VLOOKUP(CONCATENATE(LEFT($V25,2),"H"),$R$63:$T$91,3,FALSE),VLOOKUP($V25,$R$63:$T$91,3,FALSE)))+IF(AND($V25&lt;&gt;"",$V25&lt;&gt;"O3/CP",$V$15=D$18,MID($V25,4,1)="2",$V$15&lt;&gt;$V$14),VLOOKUP(CONCATENATE(LEFT($V25,2),"L"),$R$63:$T$91,3,FALSE),0)+IF(AND($V25="O3/CP",$V$14=D$18),VLOOKUP("O3",$R$63:$T$91,3,FALSE)+VLOOKUP("CP",$R$63:$T$91,3,FALSE),0)+IF(AND($W25&lt;&gt;"",$W25&lt;&gt;"--",$W25&lt;&gt;"O3/CP",$W$14=D$18),IF(LEFT($W25,1)="P",VLOOKUP(CONCATENATE(LEFT($W25,2),"H"),$R$63:$T$91,3,FALSE),VLOOKUP($W25,$R$63:$T$91,3,FALSE)))+IF(AND($W25&lt;&gt;"",$W25&lt;&gt;"O3/CP",$W$15=D$18,MID($W25,4,1)="2",$W$15&lt;&gt;$W$14),VLOOKUP(CONCATENATE(LEFT($W25,2),"L"),$R$63:$T$91,3,FALSE),0)+IF(AND($W25="O3/CP",$W$14=D$18),VLOOKUP("O3",$R$63:$T$91,3,FALSE)+VLOOKUP("CP",$R$63:$T$91,3,FALSE),0)+IF(AND($X25&lt;&gt;"",$X25&lt;&gt;"--",$X25&lt;&gt;"O3/CP",$X$14=D$18),IF(LEFT($X25,1)="P",VLOOKUP(CONCATENATE(LEFT($X25,2),"H"),$R$63:$T$91,3,FALSE),VLOOKUP($X25,$R$63:$T$91,3,FALSE)))+IF(AND($X25&lt;&gt;"",$X25&lt;&gt;"O3/CP",$X$15=D$18,MID($X25,4,1)="2",$X$15&lt;&gt;$X$14),VLOOKUP(CONCATENATE(LEFT($X25,2),"L"),$R$63:$T$91,3,FALSE),0)+IF(AND($X25="O3/CP",$X$14=D$18),VLOOKUP("O3",$R$63:$T$91,3,FALSE)+VLOOKUP("CP",$R$63:$T$91,3,FALSE),0)+IF(AND($Y25&lt;&gt;"",$Y25&lt;&gt;"--",$Y25&lt;&gt;"O3/CP",$Y$14=D$18),IF(LEFT($Y25,1)="P",VLOOKUP(CONCATENATE(LEFT($Y25,2),"H"),$R$63:$T$91,3,FALSE),VLOOKUP($Y25,$R$63:$T$91,3,FALSE)))+IF(AND($Y25&lt;&gt;"",$Y25&lt;&gt;"O3/CP",$Y$15=D$18,MID($Y25,4,1)="2",$Y$15&lt;&gt;$Y$14),VLOOKUP(CONCATENATE(LEFT($Y25,2),"L"),$R$63:$T$91,3,FALSE),0)+IF(AND($Y25="O3/CP",$Y$14=D$18),VLOOKUP("O3",$R$63:$T$91,3,FALSE)+VLOOKUP("CP",$R$63:$T$91,3,FALSE),0)+IF(AND($K$6="CE",'[3]Supply Attribution'!$G$20=D$18),LEFT($S$90,2),0)+IF(AND($X$86&lt;&gt;"Not Set",$X$87=D$18),$X$86,0)</f>
        <v>0</v>
      </c>
      <c r="E25" s="271">
        <f>IF(AND($K25&lt;&gt;"",$K25&lt;&gt;"--",$K25&lt;&gt;"O3/CP",$K$14=E$18),IF(LEFT($K25,1)="P",VLOOKUP(CONCATENATE(LEFT($K25,2),"H"),$R$63:$T$91,3,FALSE),VLOOKUP($K25,$R$63:$T$91,3,FALSE)))+IF(AND($K25&lt;&gt;"",$K25&lt;&gt;"O3/CP",$K$15=E$18,MID($K25,4,1)="2",$K$15&lt;&gt;$K$14),VLOOKUP(CONCATENATE(LEFT($K25,2),"L"),$R$63:$T$91,3,FALSE),0)+IF(AND($K25="O3/CP",$K$14=E$18),VLOOKUP("O3",$R$63:$T$91,3,FALSE)+VLOOKUP("CP",$R$63:$T$91,3,FALSE),0)+IF(AND($L25&lt;&gt;"",$L25&lt;&gt;"--",$L25&lt;&gt;"O3/CP",$L$14=E$18),IF(LEFT($L25,1)="P",VLOOKUP(CONCATENATE(LEFT($L25,2),"H"),$R$63:$T$91,3,FALSE),VLOOKUP($L25,$R$63:$T$91,3,FALSE)))+IF(AND($L25&lt;&gt;"",$L25&lt;&gt;"O3/CP",$L$15=E$18,MID($L25,4,1)="2",$L$15&lt;&gt;$L$14),VLOOKUP(CONCATENATE(LEFT($L25,2),"L"),$R$63:$T$91,3,FALSE),0)+IF(AND($L25="O3/CP",$L$14=E$18),VLOOKUP("O3",$R$63:$T$91,3,FALSE)+VLOOKUP("CP",$R$63:$T$91,3,FALSE),0)+IF(AND($M25&lt;&gt;"",$M25&lt;&gt;"--",$M25&lt;&gt;"O3/CP",$M$14=E$18),IF(LEFT($M25,1)="P",VLOOKUP(CONCATENATE(LEFT($M25,2),"H"),$R$63:$T$91,3,FALSE),VLOOKUP($M25,$R$63:$T$91,3,FALSE)))+IF(AND($M25&lt;&gt;"",$M25&lt;&gt;"O3/CP",$M$15=E$18,MID($M25,4,1)="2",$M$15&lt;&gt;$M$14),VLOOKUP(CONCATENATE(LEFT($M25,2),"L"),$R$63:$T$91,3,FALSE),0)+IF(AND($M25="O3/CP",$M$14=E$18),VLOOKUP("O3",$R$63:$T$91,3,FALSE)+VLOOKUP("CP",$R$63:$T$91,3,FALSE),0)+IF(AND($N25&lt;&gt;"",$N25&lt;&gt;"--",$N25&lt;&gt;"O3/CP",$N$14=E$18),IF(LEFT($N25,1)="P",VLOOKUP(CONCATENATE(LEFT($N25,2),"H"),$R$63:$T$91,3,FALSE),VLOOKUP($N25,$R$63:$T$91,3,FALSE)))+IF(AND($N25&lt;&gt;"",$N25&lt;&gt;"O3/CP",$N$15=E$18,MID($N25,4,1)="2",$N$15&lt;&gt;$N$14),VLOOKUP(CONCATENATE(LEFT($N25,2),"L"),$R$63:$T$91,3,FALSE),0)+IF(AND($N25="O3/CP",$N$14=E$18),VLOOKUP("O3",$R$63:$T$91,3,FALSE)+VLOOKUP("CP",$R$63:$T$91,3,FALSE),0)+IF(AND($O25&lt;&gt;"",$O25&lt;&gt;"--",$O25&lt;&gt;"O3/CP",$O$14=E$18),IF(LEFT($O25,1)="P",VLOOKUP(CONCATENATE(LEFT($O25,2),"H"),$R$63:$T$91,3,FALSE),VLOOKUP($O25,$R$63:$T$91,3,FALSE)))+IF(AND($O25&lt;&gt;"",$O25&lt;&gt;"O3/CP",$O$15=E$18,MID($O25,4,1)="2",$O$15&lt;&gt;$O$14),VLOOKUP(CONCATENATE(LEFT($O25,2),"L"),$R$63:$T$91,3,FALSE),0)+IF(AND($O25="O3/CP",$O$14=E$18),VLOOKUP("O3",$R$63:$T$91,3,FALSE)+VLOOKUP("CP",$R$63:$T$91,3,FALSE),0)+IF(AND($P25&lt;&gt;"",$P25&lt;&gt;"--",$P25&lt;&gt;"O3/CP",$P$14=E$18),IF(LEFT($P25,1)="P",VLOOKUP(CONCATENATE(LEFT($P25,2),"H"),$R$63:$T$91,3,FALSE),VLOOKUP($P25,$R$63:$T$91,3,FALSE)))+IF(AND($P25&lt;&gt;"",$P25&lt;&gt;"O3/CP",$P$15=E$18,MID($P25,4,1)="2",$P$15&lt;&gt;$P$14),VLOOKUP(CONCATENATE(LEFT($P25,2),"L"),$R$63:$T$91,3,FALSE),0)+IF(AND($P25="O3/CP",$P$14=E$18),VLOOKUP("O3",$R$63:$T$91,3,FALSE)+VLOOKUP("CP",$R$63:$T$91,3,FALSE),0)+IF(AND($Q25&lt;&gt;"",$Q25&lt;&gt;"--",$Q25&lt;&gt;"O3/CP",$Q$14=E$18),IF(LEFT($Q25,1)="P",VLOOKUP(CONCATENATE(LEFT($Q25,2),"H"),$R$63:$T$91,3,FALSE),VLOOKUP($Q25,$R$63:$T$91,3,FALSE)))+IF(AND($Q25&lt;&gt;"",$Q25&lt;&gt;"O3/CP",$Q$15=E$18,MID($Q25,4,1)="2",$Q$15&lt;&gt;$Q$14),VLOOKUP(CONCATENATE(LEFT($Q25,2),"L"),$R$63:$T$91,3,FALSE),0)+IF(AND($Q25="O3/CP",$Q$14=E$18),VLOOKUP("O3",$R$63:$T$91,3,FALSE)+VLOOKUP("CP",$R$63:$T$91,3,FALSE),0)+IF(AND($R25&lt;&gt;"",$R25&lt;&gt;"--",$R25&lt;&gt;"O3/CP",$R$14=E$18),IF(LEFT($R25,1)="P",VLOOKUP(CONCATENATE(LEFT($R25,2),"H"),$R$63:$T$91,3,FALSE),VLOOKUP($R25,$R$63:$T$91,3,FALSE)))+IF(AND($R25&lt;&gt;"",$R25&lt;&gt;"O3/CP",$R$15=E$18,MID($R25,4,1)="2",$R$15&lt;&gt;$R$14),VLOOKUP(CONCATENATE(LEFT($R25,2),"L"),$R$63:$T$91,3,FALSE),0)+IF(AND($R25="O3/CP",$R$14=E$18),VLOOKUP("O3",$R$63:$T$91,3,FALSE)+VLOOKUP("CP",$R$63:$T$91,3,FALSE),0)+IF(AND($S25&lt;&gt;"",$S25&lt;&gt;"--",$S25&lt;&gt;"O3/CP",$S$14=E$18),IF(LEFT($S25,1)="P",VLOOKUP(CONCATENATE(LEFT($S25,2),"H"),$R$63:$T$91,3,FALSE),VLOOKUP($S25,$R$63:$T$91,3,FALSE)))+IF(AND($S25&lt;&gt;"",$S25&lt;&gt;"O3/CP",$S$15=E$18,MID($S25,4,1)="2",$S$15&lt;&gt;$S$14),VLOOKUP(CONCATENATE(LEFT($S25,2),"L"),$R$63:$T$91,3,FALSE),0)+IF(AND($S25="O3/CP",$S$14=E$18),VLOOKUP("O3",$R$63:$T$91,3,FALSE)+VLOOKUP("CP",$R$63:$T$91,3,FALSE),0)+IF(AND($T25&lt;&gt;"",$T25&lt;&gt;"--",$T25&lt;&gt;"O3/CP",$T$14=E$18),IF(LEFT($T25,1)="P",VLOOKUP(CONCATENATE(LEFT($T25,2),"H"),$R$63:$T$91,3,FALSE),VLOOKUP($T25,$R$63:$T$91,3,FALSE)))+IF(AND($T25&lt;&gt;"",$T25&lt;&gt;"O3/CP",$T$15=E$18,MID($T25,4,1)="2",$T$15&lt;&gt;$T$14),VLOOKUP(CONCATENATE(LEFT($T25,2),"L"),$R$63:$T$91,3,FALSE),0)+IF(AND($T25="O3/CP",$T$14=E$18),VLOOKUP("O3",$R$63:$T$91,3,FALSE)+VLOOKUP("CP",$R$63:$T$91,3,FALSE),0)+IF(AND($U25&lt;&gt;"",$U25&lt;&gt;"--",$U25&lt;&gt;"O3/CP",$U$14=E$18),IF(LEFT($U25,1)="P",VLOOKUP(CONCATENATE(LEFT($U25,2),"H"),$R$63:$T$91,3,FALSE),VLOOKUP($U25,$R$63:$T$91,3,FALSE)))+IF(AND($U25&lt;&gt;"",$U25&lt;&gt;"O3/CP",$U$15=E$18,MID($U25,4,1)="2",$U$15&lt;&gt;$U$14),VLOOKUP(CONCATENATE(LEFT($U25,2),"L"),$R$63:$T$91,3,FALSE),0)+IF(AND($U25="O3/CP",$T$14=E$18),VLOOKUP("O3",$R$63:$T$91,3,FALSE)+VLOOKUP("CP",$R$63:$T$91,3,FALSE),0)+IF(AND($V25&lt;&gt;"",$V25&lt;&gt;"--",$V25&lt;&gt;"O3/CP",$V$14=E$18),IF(LEFT($V25,1)="P",VLOOKUP(CONCATENATE(LEFT($V25,2),"H"),$R$63:$T$91,3,FALSE),VLOOKUP($V25,$R$63:$T$91,3,FALSE)))+IF(AND($V25&lt;&gt;"",$V25&lt;&gt;"O3/CP",$V$15=E$18,MID($V25,4,1)="2",$V$15&lt;&gt;$V$14),VLOOKUP(CONCATENATE(LEFT($V25,2),"L"),$R$63:$T$91,3,FALSE),0)+IF(AND($V25="O3/CP",$V$14=E$18),VLOOKUP("O3",$R$63:$T$91,3,FALSE)+VLOOKUP("CP",$R$63:$T$91,3,FALSE),0)+IF(AND($W25&lt;&gt;"",$W25&lt;&gt;"--",$W25&lt;&gt;"O3/CP",$W$14=E$18),IF(LEFT($W25,1)="P",VLOOKUP(CONCATENATE(LEFT($W25,2),"H"),$R$63:$T$91,3,FALSE),VLOOKUP($W25,$R$63:$T$91,3,FALSE)))+IF(AND($W25&lt;&gt;"",$W25&lt;&gt;"O3/CP",$W$15=E$18,MID($W25,4,1)="2",$W$15&lt;&gt;$W$14),VLOOKUP(CONCATENATE(LEFT($W25,2),"L"),$R$63:$T$91,3,FALSE),0)+IF(AND($W25="O3/CP",$W$14=E$18),VLOOKUP("O3",$R$63:$T$91,3,FALSE)+VLOOKUP("CP",$R$63:$T$91,3,FALSE),0)+IF(AND($X25&lt;&gt;"",$X25&lt;&gt;"--",$X25&lt;&gt;"O3/CP",$X$14=E$18),IF(LEFT($X25,1)="P",VLOOKUP(CONCATENATE(LEFT($X25,2),"H"),$R$63:$T$91,3,FALSE),VLOOKUP($X25,$R$63:$T$91,3,FALSE)))+IF(AND($X25&lt;&gt;"",$X25&lt;&gt;"O3/CP",$X$15=E$18,MID($X25,4,1)="2",$X$15&lt;&gt;$X$14),VLOOKUP(CONCATENATE(LEFT($X25,2),"L"),$R$63:$T$91,3,FALSE),0)+IF(AND($X25="O3/CP",$X$14=E$18),VLOOKUP("O3",$R$63:$T$91,3,FALSE)+VLOOKUP("CP",$R$63:$T$91,3,FALSE),0)+IF(AND($Y25&lt;&gt;"",$Y25&lt;&gt;"--",$Y25&lt;&gt;"O3/CP",$Y$14=E$18),IF(LEFT($Y25,1)="P",VLOOKUP(CONCATENATE(LEFT($Y25,2),"H"),$R$63:$T$91,3,FALSE),VLOOKUP($Y25,$R$63:$T$91,3,FALSE)))+IF(AND($Y25&lt;&gt;"",$Y25&lt;&gt;"O3/CP",$Y$15=E$18,MID($Y25,4,1)="2",$Y$15&lt;&gt;$Y$14),VLOOKUP(CONCATENATE(LEFT($Y25,2),"L"),$R$63:$T$91,3,FALSE),0)+IF(AND($Y25="O3/CP",$Y$14=E$18),VLOOKUP("O3",$R$63:$T$91,3,FALSE)+VLOOKUP("CP",$R$63:$T$91,3,FALSE),0)+IF(AND($K$6="CE",'[3]Supply Attribution'!$G$20=E$18),LEFT($S$90,2),0)+IF(AND($X$86&lt;&gt;"Not Set",$X$87=E$18),$X$86,0)</f>
        <v>0</v>
      </c>
      <c r="F25" s="272">
        <f>IF(AND($K25&lt;&gt;"",$K25&lt;&gt;"--",$K25&lt;&gt;"O3/CP",$K$14=F$18),IF(LEFT($K25,1)="P",VLOOKUP(CONCATENATE(LEFT($K25,2),"H"),$R$63:$T$91,3,FALSE),VLOOKUP($K25,$R$63:$T$91,3,FALSE)))+IF(AND($K25&lt;&gt;"",$K25&lt;&gt;"O3/CP",$K$15=F$18,MID($K25,4,1)="2",$K$15&lt;&gt;$K$14),VLOOKUP(CONCATENATE(LEFT($K25,2),"L"),$R$63:$T$91,3,FALSE),0)+IF(AND($K25="O3/CP",$K$14=F$18),VLOOKUP("O3",$R$63:$T$91,3,FALSE)+VLOOKUP("CP",$R$63:$T$91,3,FALSE),0)+IF(AND($L25&lt;&gt;"",$L25&lt;&gt;"--",$L25&lt;&gt;"O3/CP",$L$14=F$18),IF(LEFT($L25,1)="P",VLOOKUP(CONCATENATE(LEFT($L25,2),"H"),$R$63:$T$91,3,FALSE),VLOOKUP($L25,$R$63:$T$91,3,FALSE)))+IF(AND($L25&lt;&gt;"",$L25&lt;&gt;"O3/CP",$L$15=F$18,MID($L25,4,1)="2",$L$15&lt;&gt;$L$14),VLOOKUP(CONCATENATE(LEFT($L25,2),"L"),$R$63:$T$91,3,FALSE),0)+IF(AND($L25="O3/CP",$L$14=F$18),VLOOKUP("O3",$R$63:$T$91,3,FALSE)+VLOOKUP("CP",$R$63:$T$91,3,FALSE),0)+IF(AND($M25&lt;&gt;"",$M25&lt;&gt;"--",$M25&lt;&gt;"O3/CP",$M$14=F$18),IF(LEFT($M25,1)="P",VLOOKUP(CONCATENATE(LEFT($M25,2),"H"),$R$63:$T$91,3,FALSE),VLOOKUP($M25,$R$63:$T$91,3,FALSE)))+IF(AND($M25&lt;&gt;"",$M25&lt;&gt;"O3/CP",$M$15=F$18,MID($M25,4,1)="2",$M$15&lt;&gt;$M$14),VLOOKUP(CONCATENATE(LEFT($M25,2),"L"),$R$63:$T$91,3,FALSE),0)+IF(AND($M25="O3/CP",$M$14=F$18),VLOOKUP("O3",$R$63:$T$91,3,FALSE)+VLOOKUP("CP",$R$63:$T$91,3,FALSE),0)+IF(AND($N25&lt;&gt;"",$N25&lt;&gt;"--",$N25&lt;&gt;"O3/CP",$N$14=F$18),IF(LEFT($N25,1)="P",VLOOKUP(CONCATENATE(LEFT($N25,2),"H"),$R$63:$T$91,3,FALSE),VLOOKUP($N25,$R$63:$T$91,3,FALSE)))+IF(AND($N25&lt;&gt;"",$N25&lt;&gt;"O3/CP",$N$15=F$18,MID($N25,4,1)="2",$N$15&lt;&gt;$N$14),VLOOKUP(CONCATENATE(LEFT($N25,2),"L"),$R$63:$T$91,3,FALSE),0)+IF(AND($N25="O3/CP",$N$14=F$18),VLOOKUP("O3",$R$63:$T$91,3,FALSE)+VLOOKUP("CP",$R$63:$T$91,3,FALSE),0)+IF(AND($O25&lt;&gt;"",$O25&lt;&gt;"--",$O25&lt;&gt;"O3/CP",$O$14=F$18),IF(LEFT($O25,1)="P",VLOOKUP(CONCATENATE(LEFT($O25,2),"H"),$R$63:$T$91,3,FALSE),VLOOKUP($O25,$R$63:$T$91,3,FALSE)))+IF(AND($O25&lt;&gt;"",$O25&lt;&gt;"O3/CP",$O$15=F$18,MID($O25,4,1)="2",$O$15&lt;&gt;$O$14),VLOOKUP(CONCATENATE(LEFT($O25,2),"L"),$R$63:$T$91,3,FALSE),0)+IF(AND($O25="O3/CP",$O$14=F$18),VLOOKUP("O3",$R$63:$T$91,3,FALSE)+VLOOKUP("CP",$R$63:$T$91,3,FALSE),0)+IF(AND($P25&lt;&gt;"",$P25&lt;&gt;"--",$P25&lt;&gt;"O3/CP",$P$14=F$18),IF(LEFT($P25,1)="P",VLOOKUP(CONCATENATE(LEFT($P25,2),"H"),$R$63:$T$91,3,FALSE),VLOOKUP($P25,$R$63:$T$91,3,FALSE)))+IF(AND($P25&lt;&gt;"",$P25&lt;&gt;"O3/CP",$P$15=F$18,MID($P25,4,1)="2",$P$15&lt;&gt;$P$14),VLOOKUP(CONCATENATE(LEFT($P25,2),"L"),$R$63:$T$91,3,FALSE),0)+IF(AND($P25="O3/CP",$P$14=F$18),VLOOKUP("O3",$R$63:$T$91,3,FALSE)+VLOOKUP("CP",$R$63:$T$91,3,FALSE),0)+IF(AND($Q25&lt;&gt;"",$Q25&lt;&gt;"--",$Q25&lt;&gt;"O3/CP",$Q$14=F$18),IF(LEFT($Q25,1)="P",VLOOKUP(CONCATENATE(LEFT($Q25,2),"H"),$R$63:$T$91,3,FALSE),VLOOKUP($Q25,$R$63:$T$91,3,FALSE)))+IF(AND($Q25&lt;&gt;"",$Q25&lt;&gt;"O3/CP",$Q$15=F$18,MID($Q25,4,1)="2",$Q$15&lt;&gt;$Q$14),VLOOKUP(CONCATENATE(LEFT($Q25,2),"L"),$R$63:$T$91,3,FALSE),0)+IF(AND($Q25="O3/CP",$Q$14=F$18),VLOOKUP("O3",$R$63:$T$91,3,FALSE)+VLOOKUP("CP",$R$63:$T$91,3,FALSE),0)+IF(AND($R25&lt;&gt;"",$R25&lt;&gt;"--",$R25&lt;&gt;"O3/CP",$R$14=F$18),IF(LEFT($R25,1)="P",VLOOKUP(CONCATENATE(LEFT($R25,2),"H"),$R$63:$T$91,3,FALSE),VLOOKUP($R25,$R$63:$T$91,3,FALSE)))+IF(AND($R25&lt;&gt;"",$R25&lt;&gt;"O3/CP",$R$15=F$18,MID($R25,4,1)="2",$R$15&lt;&gt;$R$14),VLOOKUP(CONCATENATE(LEFT($R25,2),"L"),$R$63:$T$91,3,FALSE),0)+IF(AND($R25="O3/CP",$R$14=F$18),VLOOKUP("O3",$R$63:$T$91,3,FALSE)+VLOOKUP("CP",$R$63:$T$91,3,FALSE),0)+IF(AND($S25&lt;&gt;"",$S25&lt;&gt;"--",$S25&lt;&gt;"O3/CP",$S$14=F$18),IF(LEFT($S25,1)="P",VLOOKUP(CONCATENATE(LEFT($S25,2),"H"),$R$63:$T$91,3,FALSE),VLOOKUP($S25,$R$63:$T$91,3,FALSE)))+IF(AND($S25&lt;&gt;"",$S25&lt;&gt;"O3/CP",$S$15=F$18,MID($S25,4,1)="2",$S$15&lt;&gt;$S$14),VLOOKUP(CONCATENATE(LEFT($S25,2),"L"),$R$63:$T$91,3,FALSE),0)+IF(AND($S25="O3/CP",$S$14=F$18),VLOOKUP("O3",$R$63:$T$91,3,FALSE)+VLOOKUP("CP",$R$63:$T$91,3,FALSE),0)+IF(AND($T25&lt;&gt;"",$T25&lt;&gt;"--",$T25&lt;&gt;"O3/CP",$T$14=F$18),IF(LEFT($T25,1)="P",VLOOKUP(CONCATENATE(LEFT($T25,2),"H"),$R$63:$T$91,3,FALSE),VLOOKUP($T25,$R$63:$T$91,3,FALSE)))+IF(AND($T25&lt;&gt;"",$T25&lt;&gt;"O3/CP",$T$15=F$18,MID($T25,4,1)="2",$T$15&lt;&gt;$T$14),VLOOKUP(CONCATENATE(LEFT($T25,2),"L"),$R$63:$T$91,3,FALSE),0)+IF(AND($T25="O3/CP",$T$14=F$18),VLOOKUP("O3",$R$63:$T$91,3,FALSE)+VLOOKUP("CP",$R$63:$T$91,3,FALSE),0)+IF(AND($U25&lt;&gt;"",$U25&lt;&gt;"--",$U25&lt;&gt;"O3/CP",$U$14=F$18),IF(LEFT($U25,1)="P",VLOOKUP(CONCATENATE(LEFT($U25,2),"H"),$R$63:$T$91,3,FALSE),VLOOKUP($U25,$R$63:$T$91,3,FALSE)))+IF(AND($U25&lt;&gt;"",$U25&lt;&gt;"O3/CP",$U$15=F$18,MID($U25,4,1)="2",$U$15&lt;&gt;$U$14),VLOOKUP(CONCATENATE(LEFT($U25,2),"L"),$R$63:$T$91,3,FALSE),0)+IF(AND($U25="O3/CP",$T$14=F$18),VLOOKUP("O3",$R$63:$T$91,3,FALSE)+VLOOKUP("CP",$R$63:$T$91,3,FALSE),0)+IF(AND($V25&lt;&gt;"",$V25&lt;&gt;"--",$V25&lt;&gt;"O3/CP",$V$14=F$18),IF(LEFT($V25,1)="P",VLOOKUP(CONCATENATE(LEFT($V25,2),"H"),$R$63:$T$91,3,FALSE),VLOOKUP($V25,$R$63:$T$91,3,FALSE)))+IF(AND($V25&lt;&gt;"",$V25&lt;&gt;"O3/CP",$V$15=F$18,MID($V25,4,1)="2",$V$15&lt;&gt;$V$14),VLOOKUP(CONCATENATE(LEFT($V25,2),"L"),$R$63:$T$91,3,FALSE),0)+IF(AND($V25="O3/CP",$V$14=F$18),VLOOKUP("O3",$R$63:$T$91,3,FALSE)+VLOOKUP("CP",$R$63:$T$91,3,FALSE),0)+IF(AND($W25&lt;&gt;"",$W25&lt;&gt;"--",$W25&lt;&gt;"O3/CP",$W$14=F$18),IF(LEFT($W25,1)="P",VLOOKUP(CONCATENATE(LEFT($W25,2),"H"),$R$63:$T$91,3,FALSE),VLOOKUP($W25,$R$63:$T$91,3,FALSE)))+IF(AND($W25&lt;&gt;"",$W25&lt;&gt;"O3/CP",$W$15=F$18,MID($W25,4,1)="2",$W$15&lt;&gt;$W$14),VLOOKUP(CONCATENATE(LEFT($W25,2),"L"),$R$63:$T$91,3,FALSE),0)+IF(AND($W25="O3/CP",$W$14=F$18),VLOOKUP("O3",$R$63:$T$91,3,FALSE)+VLOOKUP("CP",$R$63:$T$91,3,FALSE),0)+IF(AND($X25&lt;&gt;"",$X25&lt;&gt;"--",$X25&lt;&gt;"O3/CP",$X$14=F$18),IF(LEFT($X25,1)="P",VLOOKUP(CONCATENATE(LEFT($X25,2),"H"),$R$63:$T$91,3,FALSE),VLOOKUP($X25,$R$63:$T$91,3,FALSE)))+IF(AND($X25&lt;&gt;"",$X25&lt;&gt;"O3/CP",$X$15=F$18,MID($X25,4,1)="2",$X$15&lt;&gt;$X$14),VLOOKUP(CONCATENATE(LEFT($X25,2),"L"),$R$63:$T$91,3,FALSE),0)+IF(AND($X25="O3/CP",$X$14=F$18),VLOOKUP("O3",$R$63:$T$91,3,FALSE)+VLOOKUP("CP",$R$63:$T$91,3,FALSE),0)+IF(AND($Y25&lt;&gt;"",$Y25&lt;&gt;"--",$Y25&lt;&gt;"O3/CP",$Y$14=F$18),IF(LEFT($Y25,1)="P",VLOOKUP(CONCATENATE(LEFT($Y25,2),"H"),$R$63:$T$91,3,FALSE),VLOOKUP($Y25,$R$63:$T$91,3,FALSE)))+IF(AND($Y25&lt;&gt;"",$Y25&lt;&gt;"O3/CP",$Y$15=F$18,MID($Y25,4,1)="2",$Y$15&lt;&gt;$Y$14),VLOOKUP(CONCATENATE(LEFT($Y25,2),"L"),$R$63:$T$91,3,FALSE),0)+IF(AND($Y25="O3/CP",$Y$14=F$18),VLOOKUP("O3",$R$63:$T$91,3,FALSE)+VLOOKUP("CP",$R$63:$T$91,3,FALSE),0)+IF(AND($K$6="CE",'[3]Supply Attribution'!$G$20=F$18),LEFT($S$90,2),0)+IF(AND($X$86&lt;&gt;"Not Set",$X$87=F$18),$X$86,0)</f>
        <v>5</v>
      </c>
      <c r="G25" s="271">
        <f>IF(AND($K$6="CE",$T$59="1 Phase"),SUM(A25:F25)-IF(AND($K$14&lt;&gt;$K$15,RIGHT($K25,3)="2SP"),VLOOKUP(CONCATENATE(LEFT($K25,2),"L"),$R$63:$T$90,3,FALSE),0)-IF(AND($L$14&lt;&gt;$L$15,RIGHT($L25,3)="2SP"),VLOOKUP(CONCATENATE(LEFT($L25,2),"L"),$R$63:$T$90,3,FALSE),0)-IF(AND($M$14&lt;&gt;$M$15,RIGHT($M25,3)="2SP"),VLOOKUP(CONCATENATE(LEFT($M25,2),"L"),$R$63:$T$90,3,FALSE),0)-IF(AND($N$14&lt;&gt;$N$15,RIGHT($N25,3)="2SP"),VLOOKUP(CONCATENATE(LEFT($N25,2),"L"),$R$63:$T$90,3,FALSE),0)-IF(AND($O$14&lt;&gt;$O$15,RIGHT($O25,3)="2SP"),VLOOKUP(CONCATENATE(LEFT($O25,2),"L"),$R$63:$T$90,3,FALSE),0)-IF(AND($P$14&lt;&gt;$P$15,RIGHT($P25,3)="2SP"),VLOOKUP(CONCATENATE(LEFT($P25,2),"L"),$R$63:$T$90,3,FALSE),0)-IF(AND($Q$14&lt;&gt;$Q$15,RIGHT($Q25,3)="2SP"),VLOOKUP(CONCATENATE(LEFT($Q25,2),"L"),$R$63:$T$90,3,FALSE),0)-IF(AND($R$14&lt;&gt;$R$15,RIGHT($T25,3)="2SP"),VLOOKUP(CONCATENATE(LEFT($R25,2),"L"),$R$63:$T$90,3,FALSE),0)-IF(AND($S$14&lt;&gt;$S$15,RIGHT($T25,3)="2SP"),VLOOKUP(CONCATENATE(LEFT($S25,2),"L"),$R$63:$T$90,3,FALSE),0)-IF(AND($T$14&lt;&gt;$T$15,RIGHT($T25,3)="2SP"),VLOOKUP(CONCATENATE(LEFT($T25,2),"L"),$R$63:$T$90,3,FALSE),0)-IF(AND($U$14&lt;&gt;$U$15,RIGHT($U25,3)="2SP"),VLOOKUP(CONCATENATE(LEFT($U25,2),"L"),$R$63:$T$90,3,FALSE),0)-IF(AND($V$14&lt;&gt;$V$15,RIGHT($V25,3)="2SP"),VLOOKUP(CONCATENATE(LEFT($V25,2),"L"),$R$63:$T$90,3,FALSE),0)-IF(AND($W$14&lt;&gt;$W$15,RIGHT($W25,3)="2SP"),VLOOKUP(CONCATENATE(LEFT($W25,2),"L"),$R$63:$T$90,3,FALSE),0)-IF(AND($X$14&lt;&gt;$X$15,RIGHT($X25,3)="2SP"),VLOOKUP(CONCATENATE(LEFT($X25,2),"L"),$R$63:$T$90,3,FALSE),0)-IF(AND($Y$14&lt;&gt;$Y$15,RIGHT($Y25,3)="2SP"),VLOOKUP(CONCATENATE(LEFT($Y25,2),"L"),$R$63:$T$90,3,FALSE),0),IF(VLOOKUP(CONCATENATE($A$18,"Line"),'[3]Supply Attribution'!$F$31:$G$37,2,FALSE)=G$18,$A25,0)+IF(VLOOKUP(CONCATENATE($B$18,"Line"),'[3]Supply Attribution'!$F$31:$G$37,2,FALSE)=G$18,$B25,0)+IF(VLOOKUP(CONCATENATE($C$18,"Line"),'[3]Supply Attribution'!$F$31:$G$37,2,FALSE)=G$18,$C25,0)+IF(VLOOKUP(CONCATENATE($D$18,"Line"),'[3]Supply Attribution'!$F$31:$G$37,2,FALSE)=G$18,$D25,0)+IF(VLOOKUP(CONCATENATE($E$18,"Line"),'[3]Supply Attribution'!$F$31:$G$37,2,FALSE)=G$18,$E25,0)+IF(VLOOKUP(CONCATENATE($F$18,"Line"),'[3]Supply Attribution'!$F$31:$G$37,2,FALSE)=G$18,$F25,0)+IF($K$6="UL",LEFT($S$90,2),0)-IF(AND($K$16=G$18,$K$14&lt;&gt;$K$15,$K$16=$K$17,RIGHT($K25,3)="2SP"),VLOOKUP(CONCATENATE(LEFT($K25,2),"L"),$R$63:$T$90,3,FALSE),0)-IF(AND($L$16=G$18,$L$14&lt;&gt;$L$15,$L$16=$L$17,RIGHT($L25,3)="2SP"),VLOOKUP(CONCATENATE(LEFT($L25,2),"L"),$R$63:$T$90,3,FALSE),0)-IF(AND($M$16=G$18,$M$14&lt;&gt;$M$15,$M$16=$M$17,RIGHT($M25,3)="2SP"),VLOOKUP(CONCATENATE(LEFT($M25,2),"L"),$R$63:$T$90,3,FALSE),0)-IF(AND($N$16=G$18,$N$14&lt;&gt;$N$15,$N$16=$N$17,RIGHT($N25,3)="2SP"),VLOOKUP(CONCATENATE(LEFT($N25,2),"L"),$R$63:$T$90,3,FALSE),0)-IF(AND($O$16=G$18,$O$14&lt;&gt;$O$15,$O$16=$O$17,RIGHT($O25,3)="2SP"),VLOOKUP(CONCATENATE(LEFT($O25,2),"L"),$R$63:$T$90,3,FALSE),0)-IF(AND($P$16=G$18,$P$14&lt;&gt;$P$15,$P$16=$P$17,RIGHT($P25,3)="2SP"),VLOOKUP(CONCATENATE(LEFT($P25,2),"L"),$R$63:$T$90,3,FALSE),0)-IF(AND($Q$16=G$18,$Q$14&lt;&gt;$Q$15,$Q$16=$Q$17,RIGHT($Q25,3)="2SP"),VLOOKUP(CONCATENATE(LEFT($Q25,2),"L"),$R$63:$T$90,3,FALSE),0)-IF(AND($R$16=G$18,$R$14&lt;&gt;$R$15,$R$16=$R$17,RIGHT($R25,3)="2SP"),VLOOKUP(CONCATENATE(LEFT($R25,2),"L"),$R$63:$T$90,3,FALSE),0)-IF(AND($S$16=G$18,$S$14&lt;&gt;$S$15,$S$16=$S$17,RIGHT($S25,3)="2SP"),VLOOKUP(CONCATENATE(LEFT($S25,2),"L"),$R$63:$T$90,3,FALSE),0)-IF(AND($T$16=G$18,$T$14&lt;&gt;$T$15,$T$16=$T$17,RIGHT($T25,3)="2SP"),VLOOKUP(CONCATENATE(LEFT($T25,2),"L"),$R$63:$T$90,3,FALSE),0)-IF(AND($U$16=G$18,$U$14&lt;&gt;$U$15,$U$16=$U$17,RIGHT($U25,3)="2SP"),VLOOKUP(CONCATENATE(LEFT($U25,2),"L"),$R$63:$T$90,3,FALSE),0)-IF(AND($V$16=G$18,$V$14&lt;&gt;$V$15,$V$16=$V$17,RIGHT($V25,3)="2SP"),VLOOKUP(CONCATENATE(LEFT($V25,2),"L"),$R$63:$T$90,3,FALSE),0)-IF(AND($W$16=G$18,$W$14&lt;&gt;$W$15,$W$16=$W$17,RIGHT($W25,3)="2SP"),VLOOKUP(CONCATENATE(LEFT($W25,2),"L"),$R$63:$T$90,3,FALSE),0)-IF(AND($X$16=G$18,$X$14&lt;&gt;$X$15,$X$16=$X$17,RIGHT($X25,3)="2SP"),VLOOKUP(CONCATENATE(LEFT($X25,2),"L"),$R$63:$T$90,3,FALSE),0)-IF(AND($Y$16=G$18,$Y$14&lt;&gt;$Y$15,$Y$16=$Y$17,RIGHT($Y25,3)="2SP"),VLOOKUP(CONCATENATE(LEFT($Y25,2),"L"),$R$63:$T$90,3,FALSE),0))</f>
        <v>49</v>
      </c>
      <c r="H25" s="271" t="str">
        <f>IF(H$18&lt;&gt;"",IF(VLOOKUP(CONCATENATE($A$18,"Line"),'Supply Attribution'!$F$31:$G$37,2,FALSE)=H$18,$A25,0)+IF(VLOOKUP(CONCATENATE($B$18,"Line"),'Supply Attribution'!$F$31:$G$37,2,FALSE)=H$18,$B25,0)+IF(VLOOKUP(CONCATENATE($C$18,"Line"),'Supply Attribution'!$F$31:$G$37,2,FALSE)=H$18,$C25,0)+IF(VLOOKUP(CONCATENATE($D$18,"Line"),'Supply Attribution'!$F$31:$G$37,2,FALSE)=H$18,$D25,0)+IF(VLOOKUP(CONCATENATE($E$18,"Line"),'Supply Attribution'!$F$31:$G$37,2,FALSE)=H$18,$E25,0)+IF(VLOOKUP(CONCATENATE($F$18,"Line"),'Supply Attribution'!$F$31:$G$37,2,FALSE)=H$18,$F25,0)+IF($K$6="UL",LEFT($S$90,2),0)-IF(AND($K$16=H$18,$K$14&lt;&gt;$K$15,$K$16=$K$17,RIGHT($K25,3)="2SP"),VLOOKUP(CONCATENATE(LEFT($K25,2),"L"),$R$63:$T$90,3,FALSE),0)-IF(AND($L$16=H$18,$L$14&lt;&gt;$L$15,$L$16=$L$17,RIGHT($L25,3)="2SP"),VLOOKUP(CONCATENATE(LEFT($L25,2),"L"),$R$63:$T$90,3,FALSE),0)-IF(AND($M$16=H$18,$M$14&lt;&gt;$M$15,$M$16=$M$17,RIGHT($M25,3)="2SP"),VLOOKUP(CONCATENATE(LEFT($M25,2),"L"),$R$63:$T$90,3,FALSE),0)-IF(AND($N$16=H$18,$N$14&lt;&gt;$N$15,$N$16=$N$17,RIGHT($N25,3)="2SP"),VLOOKUP(CONCATENATE(LEFT($N25,2),"L"),$R$63:$T$90,3,FALSE),0)-IF(AND($O$16=H$18,$O$14&lt;&gt;$O$15,$O$16=$O$17,RIGHT($O25,3)="2SP"),VLOOKUP(CONCATENATE(LEFT($O25,2),"L"),$R$63:$T$90,3,FALSE),0)-IF(AND($P$16=H$18,$P$14&lt;&gt;$P$15,$P$16=$P$17,RIGHT($P25,3)="2SP"),VLOOKUP(CONCATENATE(LEFT($P25,2),"L"),$R$63:$T$90,3,FALSE),0)-IF(AND($Q$16=H$18,$Q$14&lt;&gt;$Q$15,$Q$16=$Q$17,RIGHT($Q25,3)="2SP"),VLOOKUP(CONCATENATE(LEFT($Q25,2),"L"),$R$63:$T$90,3,FALSE),0)-IF(AND($T$16=H$18,$T$14&lt;&gt;$T$15,$T$16=$T$17,RIGHT($T25,3)="2SP"),VLOOKUP(CONCATENATE(LEFT($T25,2),"L"),$R$63:$T$90,3,FALSE),0)-IF(AND($U$16=H$18,$U$14&lt;&gt;$U$15,$U$16=$U$17,RIGHT($U25,3)="2SP"),VLOOKUP(CONCATENATE(LEFT($U25,2),"L"),$R$63:$T$90,3,FALSE),0)-IF(AND($V$16=H$18,$V$14&lt;&gt;$V$15,$V$16=$V$17,RIGHT($V25,3)="2SP"),VLOOKUP(CONCATENATE(LEFT($V25,2),"L"),$R$63:$T$90,3,FALSE),0)-IF(AND($W$16=H$18,$W$14&lt;&gt;$W$15,$W$16=$W$17,RIGHT($W25,3)="2SP"),VLOOKUP(CONCATENATE(LEFT($W25,2),"L"),$R$63:$T$90,3,FALSE),0)-IF(AND($X$16=H$18,$X$14&lt;&gt;$X$15,$X$16=$X$17,RIGHT($X25,3)="2SP"),VLOOKUP(CONCATENATE(LEFT($X25,2),"L"),$R$63:$T$90,3,FALSE),0)-IF(AND($Y$16=H$18,$Y$14&lt;&gt;$Y$15,$Y$16=$Y$17,RIGHT($Y25,3)="2SP"),VLOOKUP(CONCATENATE(LEFT($Y25,2),"L"),$R$63:$T$90,3,FALSE),0)+IF(AND($K$6="CE",$T$59="2 Phases",H$18&lt;&gt;""),IF(VLOOKUP(CONCATENATE($A$18,"Line"),'Supply Attribution'!$F$31:$G$37,2,FALSE)="Line3",$A25,0)+IF(VLOOKUP(CONCATENATE($B$18,"Line"),'Supply Attribution'!$F$31:$G$37,2,FALSE)="Line3",$B25,0)+IF(VLOOKUP(CONCATENATE($C$18,"Line"),'Supply Attribution'!$F$31:$G$37,2,FALSE)="Line3",$C25,0)+IF(VLOOKUP(CONCATENATE($D$18,"Line"),'Supply Attribution'!$F$31:$G$37,2,FALSE)="Line3",$D25,0)+IF(VLOOKUP(CONCATENATE($E$18,"Line"),'Supply Attribution'!$F$31:$G$37,2,FALSE)="Line3",$E25,0)+IF(VLOOKUP(CONCATENATE($F$18,"Line"),'Supply Attribution'!$F$31:$G$37,2,FALSE)="Line3",$F25,0)-IF(AND($K$16=I$18,$K$14&lt;&gt;$K$15,$K$16=$K$17,RIGHT($K25,3)="2SP"),VLOOKUP(CONCATENATE(LEFT($K25,2),"L"),$R$63:$T$90,3,FALSE),0)-IF(AND($L$16=I$18,$L$14&lt;&gt;$L$15,$L$16=$L$17,RIGHT($L25,3)="2SP"),VLOOKUP(CONCATENATE(LEFT($L25,2),"L"),$R$63:$T$90,3,FALSE),0)-IF(AND($M$16=I$18,$M$14&lt;&gt;$M$15,$M$16=$M$17,RIGHT($M25,3)="2SP"),VLOOKUP(CONCATENATE(LEFT($M25,2),"L"),$R$63:$T$90,3,FALSE),0)-IF(AND($N$16=I$18,$N$14&lt;&gt;$N$15,$N$16=$N$17,RIGHT($N25,3)="2SP"),VLOOKUP(CONCATENATE(LEFT($N25,2),"L"),$R$63:$T$90,3,FALSE),0)-IF(AND($O$16=I$18,$O$14&lt;&gt;$O$15,$O$16=$O$17,RIGHT($O25,3)="2SP"),VLOOKUP(CONCATENATE(LEFT($O25,2),"L"),$R$63:$T$90,3,FALSE),0)-IF(AND($P$16=I$18,$P$14&lt;&gt;$P$15,$P$16=$P$17,RIGHT($P25,3)="2SP"),VLOOKUP(CONCATENATE(LEFT($P25,2),"L"),$R$63:$T$90,3,FALSE),0)-IF(AND($Q$16=I$18,$Q$14&lt;&gt;$Q$15,$Q$16=$Q$17,RIGHT($Q25,3)="2SP"),VLOOKUP(CONCATENATE(LEFT($Q25,2),"L"),$R$63:$T$90,3,FALSE),0)-IF(AND($T$16=I$18,$T$14&lt;&gt;$T$15,$T$16=$T$17,RIGHT($T25,3)="2SP"),VLOOKUP(CONCATENATE(LEFT($T25,2),"L"),$R$63:$T$90,3,FALSE),0)-IF(AND($U$16=I$18,$U$14&lt;&gt;$U$15,$U$16=$U$17,RIGHT($U25,3)="2SP"),VLOOKUP(CONCATENATE(LEFT($U25,2),"L"),$R$63:$T$90,3,FALSE),0)-IF(AND($V$16=I$18,$V$14&lt;&gt;$V$15,$V$16=$V$17,RIGHT($V25,3)="2SP"),VLOOKUP(CONCATENATE(LEFT($V25,2),"L"),$R$63:$T$90,3,FALSE),0)-IF(AND($W$16=I$18,$W$14&lt;&gt;$W$15,$W$16=$W$17,RIGHT($W25,3)="2SP"),VLOOKUP(CONCATENATE(LEFT($W25,2),"L"),$R$63:$T$90,3,FALSE),0)-IF(AND($X$16=I$18,$X$14&lt;&gt;$X$15,$X$16=$X$17,RIGHT($X25,3)="2SP"),VLOOKUP(CONCATENATE(LEFT($X25,2),"L"),$R$63:$T$90,3,FALSE),0)-IF(AND($Y$16=I$18,$Y$14&lt;&gt;$Y$15,$Y$16=$Y$17,RIGHT($Y25,3)="2SP"),VLOOKUP(CONCATENATE(LEFT($Y25,2),"L"),$R$63:$T$90,3,FALSE),0),0),"")</f>
        <v/>
      </c>
      <c r="I25" s="271" t="str">
        <f>IF(I$18&lt;&gt;"",IF(VLOOKUP(CONCATENATE($A$18,"Line"),'Supply Attribution'!$F$31:$G$37,2,FALSE)=I$18,$A25,0)+IF(VLOOKUP(CONCATENATE($B$18,"Line"),'Supply Attribution'!$F$31:$G$37,2,FALSE)=I$18,$B25,0)+IF(VLOOKUP(CONCATENATE($C$18,"Line"),'Supply Attribution'!$F$31:$G$37,2,FALSE)=I$18,$C25,0)+IF(VLOOKUP(CONCATENATE($D$18,"Line"),'Supply Attribution'!$F$31:$G$37,2,FALSE)=I$18,$D25,0)+IF(VLOOKUP(CONCATENATE($E$18,"Line"),'Supply Attribution'!$F$31:$G$37,2,FALSE)=I$18,$E25,0)+IF(VLOOKUP(CONCATENATE($F$18,"Line"),'Supply Attribution'!$F$31:$G$37,2,FALSE)=I$18,$F25,0)+IF($K$6="UL",LEFT($S$90,2),0)-IF(AND($K$16=I$18,$K$14&lt;&gt;$K$15,$K$16=$K$17,RIGHT($K25,3)="2SP"),VLOOKUP(CONCATENATE(LEFT($K25,2),"L"),$R$63:$T$90,3,FALSE),0)-IF(AND($L$16=I$18,$L$14&lt;&gt;$L$15,$L$16=$L$17,RIGHT($L25,3)="2SP"),VLOOKUP(CONCATENATE(LEFT($L25,2),"L"),$R$63:$T$90,3,FALSE),0)-IF(AND($M$16=I$18,$M$14&lt;&gt;$M$15,$M$16=$M$17,RIGHT($M25,3)="2SP"),VLOOKUP(CONCATENATE(LEFT($M25,2),"L"),$R$63:$T$90,3,FALSE),0)-IF(AND($N$16=I$18,$N$14&lt;&gt;$N$15,$N$16=$N$17,RIGHT($N25,3)="2SP"),VLOOKUP(CONCATENATE(LEFT($N25,2),"L"),$R$63:$T$90,3,FALSE),0)-IF(AND($O$16=I$18,$O$14&lt;&gt;$O$15,$O$16=$O$17,RIGHT($O25,3)="2SP"),VLOOKUP(CONCATENATE(LEFT($O25,2),"L"),$R$63:$T$90,3,FALSE),0)-IF(AND($P$16=I$18,$P$14&lt;&gt;$P$15,$P$16=$P$17,RIGHT($P25,3)="2SP"),VLOOKUP(CONCATENATE(LEFT($P25,2),"L"),$R$63:$T$90,3,FALSE),0)-IF(AND($Q$16=I$18,$Q$14&lt;&gt;$Q$15,$Q$16=$Q$17,RIGHT($Q25,3)="2SP"),VLOOKUP(CONCATENATE(LEFT($Q25,2),"L"),$R$63:$T$90,3,FALSE),0)-IF(AND($T$16=I$18,$T$14&lt;&gt;$T$15,$T$16=$T$17,RIGHT($T25,3)="2SP"),VLOOKUP(CONCATENATE(LEFT($T25,2),"L"),$R$63:$T$90,3,FALSE),0)-IF(AND($U$16=I$18,$U$14&lt;&gt;$U$15,$U$16=$U$17,RIGHT($U25,3)="2SP"),VLOOKUP(CONCATENATE(LEFT($U25,2),"L"),$R$63:$T$90,3,FALSE),0)-IF(AND($V$16=I$18,$V$14&lt;&gt;$V$15,$V$16=$V$17,RIGHT($V25,3)="2SP"),VLOOKUP(CONCATENATE(LEFT($V25,2),"L"),$R$63:$T$90,3,FALSE),0)-IF(AND($W$16=I$18,$W$14&lt;&gt;$W$15,$W$16=$W$17,RIGHT($W25,3)="2SP"),VLOOKUP(CONCATENATE(LEFT($W25,2),"L"),$R$63:$T$90,3,FALSE),0)-IF(AND($X$16=I$18,$X$14&lt;&gt;$X$15,$X$16=$X$17,RIGHT($X25,3)="2SP"),VLOOKUP(CONCATENATE(LEFT($X25,2),"L"),$R$63:$T$90,3,FALSE),0)-IF(AND($Y$16=I$18,$Y$14&lt;&gt;$Y$15,$Y$16=$Y$17,RIGHT($Y25,3)="2SP"),VLOOKUP(CONCATENATE(LEFT($Y25,2),"L"),$R$63:$T$90,3,FALSE),0),"")</f>
        <v/>
      </c>
      <c r="J25" s="129">
        <f t="shared" si="1"/>
        <v>5</v>
      </c>
      <c r="K25" s="130" t="s">
        <v>389</v>
      </c>
      <c r="L25" s="130" t="s">
        <v>390</v>
      </c>
      <c r="M25" s="130" t="s">
        <v>391</v>
      </c>
      <c r="N25" s="130" t="s">
        <v>24</v>
      </c>
      <c r="O25" s="130" t="s">
        <v>286</v>
      </c>
      <c r="P25" s="724" t="s">
        <v>3</v>
      </c>
      <c r="Q25" s="130"/>
      <c r="R25" s="130"/>
      <c r="S25" s="130"/>
      <c r="T25" s="130"/>
      <c r="U25" s="130"/>
      <c r="V25" s="130"/>
      <c r="W25" s="130"/>
      <c r="X25" s="130"/>
      <c r="Y25" s="130"/>
      <c r="Z25" s="131" t="s">
        <v>7</v>
      </c>
      <c r="AA25" s="131" t="s">
        <v>357</v>
      </c>
      <c r="AB25" s="132" t="s">
        <v>18</v>
      </c>
      <c r="AC25" s="132" t="s">
        <v>183</v>
      </c>
      <c r="AD25" s="132" t="s">
        <v>18</v>
      </c>
      <c r="AE25" s="133">
        <f t="shared" si="0"/>
        <v>5</v>
      </c>
      <c r="AF25" s="78"/>
    </row>
    <row r="26" spans="1:32" ht="13.15" customHeight="1">
      <c r="A26" s="270">
        <f>IF(AND($K26&lt;&gt;"",$K26&lt;&gt;"--",$K26&lt;&gt;"O3/CP",$K$14=A$18),IF(LEFT($K26,1)="P",VLOOKUP(CONCATENATE(LEFT($K26,2),"H"),$R$63:$T$91,3,FALSE),VLOOKUP($K26,$R$63:$T$91,3,FALSE)))+IF(AND($K26&lt;&gt;"",$K26&lt;&gt;"O3/CP",$K$15=A$18,MID($K26,4,1)="2",$K$15&lt;&gt;$K$14),VLOOKUP(CONCATENATE(LEFT($K26,2),"L"),$R$63:$T$91,3,FALSE),0)+IF(AND($K26="O3/CP",$K$14=A$18),VLOOKUP("O3",$R$63:$T$91,3,FALSE)+VLOOKUP("CP",$R$63:$T$91,3,FALSE),0)+IF(AND($L26&lt;&gt;"",$L26&lt;&gt;"--",$L26&lt;&gt;"O3/CP",$L$14=A$18),IF(LEFT($L26,1)="P",VLOOKUP(CONCATENATE(LEFT($L26,2),"H"),$R$63:$T$91,3,FALSE),VLOOKUP($L26,$R$63:$T$91,3,FALSE)))+IF(AND($L26&lt;&gt;"",$L26&lt;&gt;"O3/CP",$L$15=A$18,MID($L26,4,1)="2",$L$15&lt;&gt;$L$14),VLOOKUP(CONCATENATE(LEFT($L26,2),"L"),$R$63:$T$91,3,FALSE),0)+IF(AND($L26="O3/CP",$L$14=A$18),VLOOKUP("O3",$R$63:$T$91,3,FALSE)+VLOOKUP("CP",$R$63:$T$91,3,FALSE),0)+IF(AND($M26&lt;&gt;"",$M26&lt;&gt;"--",$M26&lt;&gt;"O3/CP",$M$14=A$18),IF(LEFT($M26,1)="P",VLOOKUP(CONCATENATE(LEFT($M26,2),"H"),$R$63:$T$91,3,FALSE),VLOOKUP($M26,$R$63:$T$91,3,FALSE)))+IF(AND($M26&lt;&gt;"",$M26&lt;&gt;"O3/CP",$M$15=A$18,MID($M26,4,1)="2",$M$15&lt;&gt;$M$14),VLOOKUP(CONCATENATE(LEFT($M26,2),"L"),$R$63:$T$91,3,FALSE),0)+IF(AND($M26="O3/CP",$M$14=A$18),VLOOKUP("O3",$R$63:$T$91,3,FALSE)+VLOOKUP("CP",$R$63:$T$91,3,FALSE),0)+IF(AND($N26&lt;&gt;"",$N26&lt;&gt;"--",$N26&lt;&gt;"O3/CP",$N$14=A$18),IF(LEFT($N26,1)="P",VLOOKUP(CONCATENATE(LEFT($N26,2),"H"),$R$63:$T$91,3,FALSE),VLOOKUP($N26,$R$63:$T$91,3,FALSE)))+IF(AND($N26&lt;&gt;"",$N26&lt;&gt;"O3/CP",$N$15=A$18,MID($N26,4,1)="2",$N$15&lt;&gt;$N$14),VLOOKUP(CONCATENATE(LEFT($N26,2),"L"),$R$63:$T$91,3,FALSE),0)+IF(AND($N26="O3/CP",$N$14=A$18),VLOOKUP("O3",$R$63:$T$91,3,FALSE)+VLOOKUP("CP",$R$63:$T$91,3,FALSE),0)+IF(AND($O26&lt;&gt;"",$O26&lt;&gt;"--",$O26&lt;&gt;"O3/CP",$O$14=A$18),IF(LEFT($O26,1)="P",VLOOKUP(CONCATENATE(LEFT($O26,2),"H"),$R$63:$T$91,3,FALSE),VLOOKUP($O26,$R$63:$T$91,3,FALSE)))+IF(AND($O26&lt;&gt;"",$O26&lt;&gt;"O3/CP",$O$15=A$18,MID($O26,4,1)="2",$O$15&lt;&gt;$O$14),VLOOKUP(CONCATENATE(LEFT($O26,2),"L"),$R$63:$T$91,3,FALSE),0)+IF(AND($O26="O3/CP",$O$14=A$18),VLOOKUP("O3",$R$63:$T$91,3,FALSE)+VLOOKUP("CP",$R$63:$T$91,3,FALSE),0)+IF(AND($P26&lt;&gt;"",$P26&lt;&gt;"--",$P26&lt;&gt;"O3/CP",$P$14=A$18),IF(LEFT($P26,1)="P",VLOOKUP(CONCATENATE(LEFT($P26,2),"H"),$R$63:$T$91,3,FALSE),VLOOKUP($P26,$R$63:$T$91,3,FALSE)))+IF(AND($P26&lt;&gt;"",$P26&lt;&gt;"O3/CP",$P$15=A$18,MID($P26,4,1)="2",$P$15&lt;&gt;$P$14),VLOOKUP(CONCATENATE(LEFT($P26,2),"L"),$R$63:$T$91,3,FALSE),0)+IF(AND($P26="O3/CP",$P$14=A$18),VLOOKUP("O3",$R$63:$T$91,3,FALSE)+VLOOKUP("CP",$R$63:$T$91,3,FALSE),0)+IF(AND($Q26&lt;&gt;"",$Q26&lt;&gt;"--",$Q26&lt;&gt;"O3/CP",$Q$14=A$18),IF(LEFT($Q26,1)="P",VLOOKUP(CONCATENATE(LEFT($Q26,2),"H"),$R$63:$T$91,3,FALSE),VLOOKUP($Q26,$R$63:$T$91,3,FALSE)))+IF(AND($Q26&lt;&gt;"",$Q26&lt;&gt;"O3/CP",$Q$15=A$18,MID($Q26,4,1)="2",$Q$15&lt;&gt;$Q$14),VLOOKUP(CONCATENATE(LEFT($Q26,2),"L"),$R$63:$T$91,3,FALSE),0)+IF(AND($Q26="O3/CP",$Q$14=A$18),VLOOKUP("O3",$R$63:$T$91,3,FALSE)+VLOOKUP("CP",$R$63:$T$91,3,FALSE),0)+IF(AND($R26&lt;&gt;"",$R26&lt;&gt;"--",$R26&lt;&gt;"O3/CP",$R$14=A$18),IF(LEFT($R26,1)="P",VLOOKUP(CONCATENATE(LEFT($R26,2),"H"),$R$63:$T$91,3,FALSE),VLOOKUP($R26,$R$63:$T$91,3,FALSE)))+IF(AND($R26&lt;&gt;"",$R26&lt;&gt;"O3/CP",$R$15=A$18,MID($R26,4,1)="2",$R$15&lt;&gt;$R$14),VLOOKUP(CONCATENATE(LEFT($R26,2),"L"),$R$63:$T$91,3,FALSE),0)+IF(AND($R26="O3/CP",$R$14=A$18),VLOOKUP("O3",$R$63:$T$91,3,FALSE)+VLOOKUP("CP",$R$63:$T$91,3,FALSE),0)+IF(AND($S26&lt;&gt;"",$S26&lt;&gt;"--",$S26&lt;&gt;"O3/CP",$S$14=A$18),IF(LEFT($S26,1)="P",VLOOKUP(CONCATENATE(LEFT($S26,2),"H"),$R$63:$T$91,3,FALSE),VLOOKUP($S26,$R$63:$T$91,3,FALSE)))+IF(AND($S26&lt;&gt;"",$S26&lt;&gt;"O3/CP",$S$15=A$18,MID($S26,4,1)="2",$S$15&lt;&gt;$S$14),VLOOKUP(CONCATENATE(LEFT($S26,2),"L"),$R$63:$T$91,3,FALSE),0)+IF(AND($S26="O3/CP",$S$14=A$18),VLOOKUP("O3",$R$63:$T$91,3,FALSE)+VLOOKUP("CP",$R$63:$T$91,3,FALSE),0)+IF(AND($T26&lt;&gt;"",$T26&lt;&gt;"--",$T26&lt;&gt;"O3/CP",$T$14=A$18),IF(LEFT($T26,1)="P",VLOOKUP(CONCATENATE(LEFT($T26,2),"H"),$R$63:$T$91,3,FALSE),VLOOKUP($T26,$R$63:$T$91,3,FALSE)))+IF(AND($T26&lt;&gt;"",$T26&lt;&gt;"O3/CP",$T$15=A$18,MID($T26,4,1)="2",$T$15&lt;&gt;$T$14),VLOOKUP(CONCATENATE(LEFT($T26,2),"L"),$R$63:$T$91,3,FALSE),0)+IF(AND($T26="O3/CP",$T$14=A$18),VLOOKUP("O3",$R$63:$T$91,3,FALSE)+VLOOKUP("CP",$R$63:$T$91,3,FALSE),0)+IF(AND($U26&lt;&gt;"",$U26&lt;&gt;"--",$U26&lt;&gt;"O3/CP",$U$14=A$18),IF(LEFT($U26,1)="P",VLOOKUP(CONCATENATE(LEFT($U26,2),"H"),$R$63:$T$91,3,FALSE),VLOOKUP($U26,$R$63:$T$91,3,FALSE)))+IF(AND($U26&lt;&gt;"",$U26&lt;&gt;"O3/CP",$U$15=A$18,MID($U26,4,1)="2",$U$15&lt;&gt;$U$14),VLOOKUP(CONCATENATE(LEFT($U26,2),"L"),$R$63:$T$91,3,FALSE),0)+IF(AND($U26="O3/CP",$T$14=A$18),VLOOKUP("O3",$R$63:$T$91,3,FALSE)+VLOOKUP("CP",$R$63:$T$91,3,FALSE),0)+IF(AND($V26&lt;&gt;"",$V26&lt;&gt;"--",$V26&lt;&gt;"O3/CP",$V$14=A$18),IF(LEFT($V26,1)="P",VLOOKUP(CONCATENATE(LEFT($V26,2),"H"),$R$63:$T$91,3,FALSE),VLOOKUP($V26,$R$63:$T$91,3,FALSE)))+IF(AND($V26&lt;&gt;"",$V26&lt;&gt;"O3/CP",$V$15=A$18,MID($V26,4,1)="2",$V$15&lt;&gt;$V$14),VLOOKUP(CONCATENATE(LEFT($V26,2),"L"),$R$63:$T$91,3,FALSE),0)+IF(AND($V26="O3/CP",$V$14=A$18),VLOOKUP("O3",$R$63:$T$91,3,FALSE)+VLOOKUP("CP",$R$63:$T$91,3,FALSE),0)+IF(AND($W26&lt;&gt;"",$W26&lt;&gt;"--",$W26&lt;&gt;"O3/CP",$W$14=A$18),IF(LEFT($W26,1)="P",VLOOKUP(CONCATENATE(LEFT($W26,2),"H"),$R$63:$T$91,3,FALSE),VLOOKUP($W26,$R$63:$T$91,3,FALSE)))+IF(AND($W26&lt;&gt;"",$W26&lt;&gt;"O3/CP",$W$15=A$18,MID($W26,4,1)="2",$W$15&lt;&gt;$W$14),VLOOKUP(CONCATENATE(LEFT($W26,2),"L"),$R$63:$T$91,3,FALSE),0)+IF(AND($W26="O3/CP",$W$14=A$18),VLOOKUP("O3",$R$63:$T$91,3,FALSE)+VLOOKUP("CP",$R$63:$T$91,3,FALSE),0)+IF(AND($X26&lt;&gt;"",$X26&lt;&gt;"--",$X26&lt;&gt;"O3/CP",$X$14=A$18),IF(LEFT($X26,1)="P",VLOOKUP(CONCATENATE(LEFT($X26,2),"H"),$R$63:$T$91,3,FALSE),VLOOKUP($X26,$R$63:$T$91,3,FALSE)))+IF(AND($X26&lt;&gt;"",$X26&lt;&gt;"O3/CP",$X$15=A$18,MID($X26,4,1)="2",$X$15&lt;&gt;$X$14),VLOOKUP(CONCATENATE(LEFT($X26,2),"L"),$R$63:$T$91,3,FALSE),0)+IF(AND($X26="O3/CP",$X$14=A$18),VLOOKUP("O3",$R$63:$T$91,3,FALSE)+VLOOKUP("CP",$R$63:$T$91,3,FALSE),0)+IF(AND($Y26&lt;&gt;"",$Y26&lt;&gt;"--",$Y26&lt;&gt;"O3/CP",$Y$14=A$18),IF(LEFT($Y26,1)="P",VLOOKUP(CONCATENATE(LEFT($Y26,2),"H"),$R$63:$T$91,3,FALSE),VLOOKUP($Y26,$R$63:$T$91,3,FALSE)))+IF(AND($Y26&lt;&gt;"",$Y26&lt;&gt;"O3/CP",$Y$15=A$18,MID($Y26,4,1)="2",$Y$15&lt;&gt;$Y$14),VLOOKUP(CONCATENATE(LEFT($Y26,2),"L"),$R$63:$T$91,3,FALSE),0)+IF(AND($Y26="O3/CP",$Y$14=A$18),VLOOKUP("O3",$R$63:$T$91,3,FALSE)+VLOOKUP("CP",$R$63:$T$91,3,FALSE),0)+IF(AND($K$6="CE",'[3]Supply Attribution'!$G$20=A$18),LEFT($S$90,2),0)+IF(AND($X$86&lt;&gt;"Not Set",$X$87=A$18),$X$86,0)</f>
        <v>13</v>
      </c>
      <c r="B26" s="269">
        <f>IF(AND($K26&lt;&gt;"",$K26&lt;&gt;"--",$K26&lt;&gt;"O3/CP",$K$14=B$18),IF(LEFT($K26,1)="P",VLOOKUP(CONCATENATE(LEFT($K26,2),"H"),$R$63:$T$91,3,FALSE),VLOOKUP($K26,$R$63:$T$91,3,FALSE)))+IF(AND($K26&lt;&gt;"",$K26&lt;&gt;"O3/CP",$K$15=B$18,MID($K26,4,1)="2",$K$15&lt;&gt;$K$14),VLOOKUP(CONCATENATE(LEFT($K26,2),"L"),$R$63:$T$91,3,FALSE),0)+IF(AND($K26="O3/CP",$K$14=B$18),VLOOKUP("O3",$R$63:$T$91,3,FALSE)+VLOOKUP("CP",$R$63:$T$91,3,FALSE),0)+IF(AND($L26&lt;&gt;"",$L26&lt;&gt;"--",$L26&lt;&gt;"O3/CP",$L$14=B$18),IF(LEFT($L26,1)="P",VLOOKUP(CONCATENATE(LEFT($L26,2),"H"),$R$63:$T$91,3,FALSE),VLOOKUP($L26,$R$63:$T$91,3,FALSE)))+IF(AND($L26&lt;&gt;"",$L26&lt;&gt;"O3/CP",$L$15=B$18,MID($L26,4,1)="2",$L$15&lt;&gt;$L$14),VLOOKUP(CONCATENATE(LEFT($L26,2),"L"),$R$63:$T$91,3,FALSE),0)+IF(AND($L26="O3/CP",$L$14=B$18),VLOOKUP("O3",$R$63:$T$91,3,FALSE)+VLOOKUP("CP",$R$63:$T$91,3,FALSE),0)+IF(AND($M26&lt;&gt;"",$M26&lt;&gt;"--",$M26&lt;&gt;"O3/CP",$M$14=B$18),IF(LEFT($M26,1)="P",VLOOKUP(CONCATENATE(LEFT($M26,2),"H"),$R$63:$T$91,3,FALSE),VLOOKUP($M26,$R$63:$T$91,3,FALSE)))+IF(AND($M26&lt;&gt;"",$M26&lt;&gt;"O3/CP",$M$15=B$18,MID($M26,4,1)="2",$M$15&lt;&gt;$M$14),VLOOKUP(CONCATENATE(LEFT($M26,2),"L"),$R$63:$T$91,3,FALSE),0)+IF(AND($M26="O3/CP",$M$14=B$18),VLOOKUP("O3",$R$63:$T$91,3,FALSE)+VLOOKUP("CP",$R$63:$T$91,3,FALSE),0)+IF(AND($N26&lt;&gt;"",$N26&lt;&gt;"--",$N26&lt;&gt;"O3/CP",$N$14=B$18),IF(LEFT($N26,1)="P",VLOOKUP(CONCATENATE(LEFT($N26,2),"H"),$R$63:$T$91,3,FALSE),VLOOKUP($N26,$R$63:$T$91,3,FALSE)))+IF(AND($N26&lt;&gt;"",$N26&lt;&gt;"O3/CP",$N$15=B$18,MID($N26,4,1)="2",$N$15&lt;&gt;$N$14),VLOOKUP(CONCATENATE(LEFT($N26,2),"L"),$R$63:$T$91,3,FALSE),0)+IF(AND($N26="O3/CP",$N$14=B$18),VLOOKUP("O3",$R$63:$T$91,3,FALSE)+VLOOKUP("CP",$R$63:$T$91,3,FALSE),0)+IF(AND($O26&lt;&gt;"",$O26&lt;&gt;"--",$O26&lt;&gt;"O3/CP",$O$14=B$18),IF(LEFT($O26,1)="P",VLOOKUP(CONCATENATE(LEFT($O26,2),"H"),$R$63:$T$91,3,FALSE),VLOOKUP($O26,$R$63:$T$91,3,FALSE)))+IF(AND($O26&lt;&gt;"",$O26&lt;&gt;"O3/CP",$O$15=B$18,MID($O26,4,1)="2",$O$15&lt;&gt;$O$14),VLOOKUP(CONCATENATE(LEFT($O26,2),"L"),$R$63:$T$91,3,FALSE),0)+IF(AND($O26="O3/CP",$O$14=B$18),VLOOKUP("O3",$R$63:$T$91,3,FALSE)+VLOOKUP("CP",$R$63:$T$91,3,FALSE),0)+IF(AND($P26&lt;&gt;"",$P26&lt;&gt;"--",$P26&lt;&gt;"O3/CP",$P$14=B$18),IF(LEFT($P26,1)="P",VLOOKUP(CONCATENATE(LEFT($P26,2),"H"),$R$63:$T$91,3,FALSE),VLOOKUP($P26,$R$63:$T$91,3,FALSE)))+IF(AND($P26&lt;&gt;"",$P26&lt;&gt;"O3/CP",$P$15=B$18,MID($P26,4,1)="2",$P$15&lt;&gt;$P$14),VLOOKUP(CONCATENATE(LEFT($P26,2),"L"),$R$63:$T$91,3,FALSE),0)+IF(AND($P26="O3/CP",$P$14=B$18),VLOOKUP("O3",$R$63:$T$91,3,FALSE)+VLOOKUP("CP",$R$63:$T$91,3,FALSE),0)+IF(AND($Q26&lt;&gt;"",$Q26&lt;&gt;"--",$Q26&lt;&gt;"O3/CP",$Q$14=B$18),IF(LEFT($Q26,1)="P",VLOOKUP(CONCATENATE(LEFT($Q26,2),"H"),$R$63:$T$91,3,FALSE),VLOOKUP($Q26,$R$63:$T$91,3,FALSE)))+IF(AND($Q26&lt;&gt;"",$Q26&lt;&gt;"O3/CP",$Q$15=B$18,MID($Q26,4,1)="2",$Q$15&lt;&gt;$Q$14),VLOOKUP(CONCATENATE(LEFT($Q26,2),"L"),$R$63:$T$91,3,FALSE),0)+IF(AND($Q26="O3/CP",$Q$14=B$18),VLOOKUP("O3",$R$63:$T$91,3,FALSE)+VLOOKUP("CP",$R$63:$T$91,3,FALSE),0)+IF(AND($R26&lt;&gt;"",$R26&lt;&gt;"--",$R26&lt;&gt;"O3/CP",$R$14=B$18),IF(LEFT($R26,1)="P",VLOOKUP(CONCATENATE(LEFT($R26,2),"H"),$R$63:$T$91,3,FALSE),VLOOKUP($R26,$R$63:$T$91,3,FALSE)))+IF(AND($R26&lt;&gt;"",$R26&lt;&gt;"O3/CP",$R$15=B$18,MID($R26,4,1)="2",$R$15&lt;&gt;$R$14),VLOOKUP(CONCATENATE(LEFT($R26,2),"L"),$R$63:$T$91,3,FALSE),0)+IF(AND($R26="O3/CP",$R$14=B$18),VLOOKUP("O3",$R$63:$T$91,3,FALSE)+VLOOKUP("CP",$R$63:$T$91,3,FALSE),0)+IF(AND($S26&lt;&gt;"",$S26&lt;&gt;"--",$S26&lt;&gt;"O3/CP",$S$14=B$18),IF(LEFT($S26,1)="P",VLOOKUP(CONCATENATE(LEFT($S26,2),"H"),$R$63:$T$91,3,FALSE),VLOOKUP($S26,$R$63:$T$91,3,FALSE)))+IF(AND($S26&lt;&gt;"",$S26&lt;&gt;"O3/CP",$S$15=B$18,MID($S26,4,1)="2",$S$15&lt;&gt;$S$14),VLOOKUP(CONCATENATE(LEFT($S26,2),"L"),$R$63:$T$91,3,FALSE),0)+IF(AND($S26="O3/CP",$S$14=B$18),VLOOKUP("O3",$R$63:$T$91,3,FALSE)+VLOOKUP("CP",$R$63:$T$91,3,FALSE),0)+IF(AND($T26&lt;&gt;"",$T26&lt;&gt;"--",$T26&lt;&gt;"O3/CP",$T$14=B$18),IF(LEFT($T26,1)="P",VLOOKUP(CONCATENATE(LEFT($T26,2),"H"),$R$63:$T$91,3,FALSE),VLOOKUP($T26,$R$63:$T$91,3,FALSE)))+IF(AND($T26&lt;&gt;"",$T26&lt;&gt;"O3/CP",$T$15=B$18,MID($T26,4,1)="2",$T$15&lt;&gt;$T$14),VLOOKUP(CONCATENATE(LEFT($T26,2),"L"),$R$63:$T$91,3,FALSE),0)+IF(AND($T26="O3/CP",$T$14=B$18),VLOOKUP("O3",$R$63:$T$91,3,FALSE)+VLOOKUP("CP",$R$63:$T$91,3,FALSE),0)+IF(AND($U26&lt;&gt;"",$U26&lt;&gt;"--",$U26&lt;&gt;"O3/CP",$U$14=B$18),IF(LEFT($U26,1)="P",VLOOKUP(CONCATENATE(LEFT($U26,2),"H"),$R$63:$T$91,3,FALSE),VLOOKUP($U26,$R$63:$T$91,3,FALSE)))+IF(AND($U26&lt;&gt;"",$U26&lt;&gt;"O3/CP",$U$15=B$18,MID($U26,4,1)="2",$U$15&lt;&gt;$U$14),VLOOKUP(CONCATENATE(LEFT($U26,2),"L"),$R$63:$T$91,3,FALSE),0)+IF(AND($U26="O3/CP",$T$14=B$18),VLOOKUP("O3",$R$63:$T$91,3,FALSE)+VLOOKUP("CP",$R$63:$T$91,3,FALSE),0)+IF(AND($V26&lt;&gt;"",$V26&lt;&gt;"--",$V26&lt;&gt;"O3/CP",$V$14=B$18),IF(LEFT($V26,1)="P",VLOOKUP(CONCATENATE(LEFT($V26,2),"H"),$R$63:$T$91,3,FALSE),VLOOKUP($V26,$R$63:$T$91,3,FALSE)))+IF(AND($V26&lt;&gt;"",$V26&lt;&gt;"O3/CP",$V$15=B$18,MID($V26,4,1)="2",$V$15&lt;&gt;$V$14),VLOOKUP(CONCATENATE(LEFT($V26,2),"L"),$R$63:$T$91,3,FALSE),0)+IF(AND($V26="O3/CP",$V$14=B$18),VLOOKUP("O3",$R$63:$T$91,3,FALSE)+VLOOKUP("CP",$R$63:$T$91,3,FALSE),0)+IF(AND($W26&lt;&gt;"",$W26&lt;&gt;"--",$W26&lt;&gt;"O3/CP",$W$14=B$18),IF(LEFT($W26,1)="P",VLOOKUP(CONCATENATE(LEFT($W26,2),"H"),$R$63:$T$91,3,FALSE),VLOOKUP($W26,$R$63:$T$91,3,FALSE)))+IF(AND($W26&lt;&gt;"",$W26&lt;&gt;"O3/CP",$W$15=B$18,MID($W26,4,1)="2",$W$15&lt;&gt;$W$14),VLOOKUP(CONCATENATE(LEFT($W26,2),"L"),$R$63:$T$91,3,FALSE),0)+IF(AND($W26="O3/CP",$W$14=B$18),VLOOKUP("O3",$R$63:$T$91,3,FALSE)+VLOOKUP("CP",$R$63:$T$91,3,FALSE),0)+IF(AND($X26&lt;&gt;"",$X26&lt;&gt;"--",$X26&lt;&gt;"O3/CP",$X$14=B$18),IF(LEFT($X26,1)="P",VLOOKUP(CONCATENATE(LEFT($X26,2),"H"),$R$63:$T$91,3,FALSE),VLOOKUP($X26,$R$63:$T$91,3,FALSE)))+IF(AND($X26&lt;&gt;"",$X26&lt;&gt;"O3/CP",$X$15=B$18,MID($X26,4,1)="2",$X$15&lt;&gt;$X$14),VLOOKUP(CONCATENATE(LEFT($X26,2),"L"),$R$63:$T$91,3,FALSE),0)+IF(AND($X26="O3/CP",$X$14=B$18),VLOOKUP("O3",$R$63:$T$91,3,FALSE)+VLOOKUP("CP",$R$63:$T$91,3,FALSE),0)+IF(AND($Y26&lt;&gt;"",$Y26&lt;&gt;"--",$Y26&lt;&gt;"O3/CP",$Y$14=B$18),IF(LEFT($Y26,1)="P",VLOOKUP(CONCATENATE(LEFT($Y26,2),"H"),$R$63:$T$91,3,FALSE),VLOOKUP($Y26,$R$63:$T$91,3,FALSE)))+IF(AND($Y26&lt;&gt;"",$Y26&lt;&gt;"O3/CP",$Y$15=B$18,MID($Y26,4,1)="2",$Y$15&lt;&gt;$Y$14),VLOOKUP(CONCATENATE(LEFT($Y26,2),"L"),$R$63:$T$91,3,FALSE),0)+IF(AND($Y26="O3/CP",$Y$14=B$18),VLOOKUP("O3",$R$63:$T$91,3,FALSE)+VLOOKUP("CP",$R$63:$T$91,3,FALSE),0)+IF(AND($K$6="CE",'[3]Supply Attribution'!$G$20=B$18),LEFT($S$90,2),0)+IF(AND($X$86&lt;&gt;"Not Set",$X$87=B$18),$X$86,0)</f>
        <v>6</v>
      </c>
      <c r="C26" s="269">
        <f>IF(AND($K26&lt;&gt;"",$K26&lt;&gt;"--",$K26&lt;&gt;"O3/CP",$K$14=C$18),IF(LEFT($K26,1)="P",VLOOKUP(CONCATENATE(LEFT($K26,2),"H"),$R$63:$T$91,3,FALSE),VLOOKUP($K26,$R$63:$T$91,3,FALSE)))+IF(AND($K26&lt;&gt;"",$K26&lt;&gt;"O3/CP",$K$15=C$18,MID($K26,4,1)="2",$K$15&lt;&gt;$K$14),VLOOKUP(CONCATENATE(LEFT($K26,2),"L"),$R$63:$T$91,3,FALSE),0)+IF(AND($K26="O3/CP",$K$14=C$18),VLOOKUP("O3",$R$63:$T$91,3,FALSE)+VLOOKUP("CP",$R$63:$T$91,3,FALSE),0)+IF(AND($L26&lt;&gt;"",$L26&lt;&gt;"--",$L26&lt;&gt;"O3/CP",$L$14=C$18),IF(LEFT($L26,1)="P",VLOOKUP(CONCATENATE(LEFT($L26,2),"H"),$R$63:$T$91,3,FALSE),VLOOKUP($L26,$R$63:$T$91,3,FALSE)))+IF(AND($L26&lt;&gt;"",$L26&lt;&gt;"O3/CP",$L$15=C$18,MID($L26,4,1)="2",$L$15&lt;&gt;$L$14),VLOOKUP(CONCATENATE(LEFT($L26,2),"L"),$R$63:$T$91,3,FALSE),0)+IF(AND($L26="O3/CP",$L$14=C$18),VLOOKUP("O3",$R$63:$T$91,3,FALSE)+VLOOKUP("CP",$R$63:$T$91,3,FALSE),0)+IF(AND($M26&lt;&gt;"",$M26&lt;&gt;"--",$M26&lt;&gt;"O3/CP",$M$14=C$18),IF(LEFT($M26,1)="P",VLOOKUP(CONCATENATE(LEFT($M26,2),"H"),$R$63:$T$91,3,FALSE),VLOOKUP($M26,$R$63:$T$91,3,FALSE)))+IF(AND($M26&lt;&gt;"",$M26&lt;&gt;"O3/CP",$M$15=C$18,MID($M26,4,1)="2",$M$15&lt;&gt;$M$14),VLOOKUP(CONCATENATE(LEFT($M26,2),"L"),$R$63:$T$91,3,FALSE),0)+IF(AND($M26="O3/CP",$M$14=C$18),VLOOKUP("O3",$R$63:$T$91,3,FALSE)+VLOOKUP("CP",$R$63:$T$91,3,FALSE),0)+IF(AND($N26&lt;&gt;"",$N26&lt;&gt;"--",$N26&lt;&gt;"O3/CP",$N$14=C$18),IF(LEFT($N26,1)="P",VLOOKUP(CONCATENATE(LEFT($N26,2),"H"),$R$63:$T$91,3,FALSE),VLOOKUP($N26,$R$63:$T$91,3,FALSE)))+IF(AND($N26&lt;&gt;"",$N26&lt;&gt;"O3/CP",$N$15=C$18,MID($N26,4,1)="2",$N$15&lt;&gt;$N$14),VLOOKUP(CONCATENATE(LEFT($N26,2),"L"),$R$63:$T$91,3,FALSE),0)+IF(AND($N26="O3/CP",$N$14=C$18),VLOOKUP("O3",$R$63:$T$91,3,FALSE)+VLOOKUP("CP",$R$63:$T$91,3,FALSE),0)+IF(AND($O26&lt;&gt;"",$O26&lt;&gt;"--",$O26&lt;&gt;"O3/CP",$O$14=C$18),IF(LEFT($O26,1)="P",VLOOKUP(CONCATENATE(LEFT($O26,2),"H"),$R$63:$T$91,3,FALSE),VLOOKUP($O26,$R$63:$T$91,3,FALSE)))+IF(AND($O26&lt;&gt;"",$O26&lt;&gt;"O3/CP",$O$15=C$18,MID($O26,4,1)="2",$O$15&lt;&gt;$O$14),VLOOKUP(CONCATENATE(LEFT($O26,2),"L"),$R$63:$T$91,3,FALSE),0)+IF(AND($O26="O3/CP",$O$14=C$18),VLOOKUP("O3",$R$63:$T$91,3,FALSE)+VLOOKUP("CP",$R$63:$T$91,3,FALSE),0)+IF(AND($P26&lt;&gt;"",$P26&lt;&gt;"--",$P26&lt;&gt;"O3/CP",$P$14=C$18),IF(LEFT($P26,1)="P",VLOOKUP(CONCATENATE(LEFT($P26,2),"H"),$R$63:$T$91,3,FALSE),VLOOKUP($P26,$R$63:$T$91,3,FALSE)))+IF(AND($P26&lt;&gt;"",$P26&lt;&gt;"O3/CP",$P$15=C$18,MID($P26,4,1)="2",$P$15&lt;&gt;$P$14),VLOOKUP(CONCATENATE(LEFT($P26,2),"L"),$R$63:$T$91,3,FALSE),0)+IF(AND($P26="O3/CP",$P$14=C$18),VLOOKUP("O3",$R$63:$T$91,3,FALSE)+VLOOKUP("CP",$R$63:$T$91,3,FALSE),0)+IF(AND($Q26&lt;&gt;"",$Q26&lt;&gt;"--",$Q26&lt;&gt;"O3/CP",$Q$14=C$18),IF(LEFT($Q26,1)="P",VLOOKUP(CONCATENATE(LEFT($Q26,2),"H"),$R$63:$T$91,3,FALSE),VLOOKUP($Q26,$R$63:$T$91,3,FALSE)))+IF(AND($Q26&lt;&gt;"",$Q26&lt;&gt;"O3/CP",$Q$15=C$18,MID($Q26,4,1)="2",$Q$15&lt;&gt;$Q$14),VLOOKUP(CONCATENATE(LEFT($Q26,2),"L"),$R$63:$T$91,3,FALSE),0)+IF(AND($Q26="O3/CP",$Q$14=C$18),VLOOKUP("O3",$R$63:$T$91,3,FALSE)+VLOOKUP("CP",$R$63:$T$91,3,FALSE),0)+IF(AND($R26&lt;&gt;"",$R26&lt;&gt;"--",$R26&lt;&gt;"O3/CP",$R$14=C$18),IF(LEFT($R26,1)="P",VLOOKUP(CONCATENATE(LEFT($R26,2),"H"),$R$63:$T$91,3,FALSE),VLOOKUP($R26,$R$63:$T$91,3,FALSE)))+IF(AND($R26&lt;&gt;"",$R26&lt;&gt;"O3/CP",$R$15=C$18,MID($R26,4,1)="2",$R$15&lt;&gt;$R$14),VLOOKUP(CONCATENATE(LEFT($R26,2),"L"),$R$63:$T$91,3,FALSE),0)+IF(AND($R26="O3/CP",$R$14=C$18),VLOOKUP("O3",$R$63:$T$91,3,FALSE)+VLOOKUP("CP",$R$63:$T$91,3,FALSE),0)+IF(AND($S26&lt;&gt;"",$S26&lt;&gt;"--",$S26&lt;&gt;"O3/CP",$S$14=C$18),IF(LEFT($S26,1)="P",VLOOKUP(CONCATENATE(LEFT($S26,2),"H"),$R$63:$T$91,3,FALSE),VLOOKUP($S26,$R$63:$T$91,3,FALSE)))+IF(AND($S26&lt;&gt;"",$S26&lt;&gt;"O3/CP",$S$15=C$18,MID($S26,4,1)="2",$S$15&lt;&gt;$S$14),VLOOKUP(CONCATENATE(LEFT($S26,2),"L"),$R$63:$T$91,3,FALSE),0)+IF(AND($S26="O3/CP",$S$14=C$18),VLOOKUP("O3",$R$63:$T$91,3,FALSE)+VLOOKUP("CP",$R$63:$T$91,3,FALSE),0)+IF(AND($T26&lt;&gt;"",$T26&lt;&gt;"--",$T26&lt;&gt;"O3/CP",$T$14=C$18),IF(LEFT($T26,1)="P",VLOOKUP(CONCATENATE(LEFT($T26,2),"H"),$R$63:$T$91,3,FALSE),VLOOKUP($T26,$R$63:$T$91,3,FALSE)))+IF(AND($T26&lt;&gt;"",$T26&lt;&gt;"O3/CP",$T$15=C$18,MID($T26,4,1)="2",$T$15&lt;&gt;$T$14),VLOOKUP(CONCATENATE(LEFT($T26,2),"L"),$R$63:$T$91,3,FALSE),0)+IF(AND($T26="O3/CP",$T$14=C$18),VLOOKUP("O3",$R$63:$T$91,3,FALSE)+VLOOKUP("CP",$R$63:$T$91,3,FALSE),0)+IF(AND($U26&lt;&gt;"",$U26&lt;&gt;"--",$U26&lt;&gt;"O3/CP",$U$14=C$18),IF(LEFT($U26,1)="P",VLOOKUP(CONCATENATE(LEFT($U26,2),"H"),$R$63:$T$91,3,FALSE),VLOOKUP($U26,$R$63:$T$91,3,FALSE)))+IF(AND($U26&lt;&gt;"",$U26&lt;&gt;"O3/CP",$U$15=C$18,MID($U26,4,1)="2",$U$15&lt;&gt;$U$14),VLOOKUP(CONCATENATE(LEFT($U26,2),"L"),$R$63:$T$91,3,FALSE),0)+IF(AND($U26="O3/CP",$T$14=C$18),VLOOKUP("O3",$R$63:$T$91,3,FALSE)+VLOOKUP("CP",$R$63:$T$91,3,FALSE),0)+IF(AND($V26&lt;&gt;"",$V26&lt;&gt;"--",$V26&lt;&gt;"O3/CP",$V$14=C$18),IF(LEFT($V26,1)="P",VLOOKUP(CONCATENATE(LEFT($V26,2),"H"),$R$63:$T$91,3,FALSE),VLOOKUP($V26,$R$63:$T$91,3,FALSE)))+IF(AND($V26&lt;&gt;"",$V26&lt;&gt;"O3/CP",$V$15=C$18,MID($V26,4,1)="2",$V$15&lt;&gt;$V$14),VLOOKUP(CONCATENATE(LEFT($V26,2),"L"),$R$63:$T$91,3,FALSE),0)+IF(AND($V26="O3/CP",$V$14=C$18),VLOOKUP("O3",$R$63:$T$91,3,FALSE)+VLOOKUP("CP",$R$63:$T$91,3,FALSE),0)+IF(AND($W26&lt;&gt;"",$W26&lt;&gt;"--",$W26&lt;&gt;"O3/CP",$W$14=C$18),IF(LEFT($W26,1)="P",VLOOKUP(CONCATENATE(LEFT($W26,2),"H"),$R$63:$T$91,3,FALSE),VLOOKUP($W26,$R$63:$T$91,3,FALSE)))+IF(AND($W26&lt;&gt;"",$W26&lt;&gt;"O3/CP",$W$15=C$18,MID($W26,4,1)="2",$W$15&lt;&gt;$W$14),VLOOKUP(CONCATENATE(LEFT($W26,2),"L"),$R$63:$T$91,3,FALSE),0)+IF(AND($W26="O3/CP",$W$14=C$18),VLOOKUP("O3",$R$63:$T$91,3,FALSE)+VLOOKUP("CP",$R$63:$T$91,3,FALSE),0)+IF(AND($X26&lt;&gt;"",$X26&lt;&gt;"--",$X26&lt;&gt;"O3/CP",$X$14=C$18),IF(LEFT($X26,1)="P",VLOOKUP(CONCATENATE(LEFT($X26,2),"H"),$R$63:$T$91,3,FALSE),VLOOKUP($X26,$R$63:$T$91,3,FALSE)))+IF(AND($X26&lt;&gt;"",$X26&lt;&gt;"O3/CP",$X$15=C$18,MID($X26,4,1)="2",$X$15&lt;&gt;$X$14),VLOOKUP(CONCATENATE(LEFT($X26,2),"L"),$R$63:$T$91,3,FALSE),0)+IF(AND($X26="O3/CP",$X$14=C$18),VLOOKUP("O3",$R$63:$T$91,3,FALSE)+VLOOKUP("CP",$R$63:$T$91,3,FALSE),0)+IF(AND($Y26&lt;&gt;"",$Y26&lt;&gt;"--",$Y26&lt;&gt;"O3/CP",$Y$14=C$18),IF(LEFT($Y26,1)="P",VLOOKUP(CONCATENATE(LEFT($Y26,2),"H"),$R$63:$T$91,3,FALSE),VLOOKUP($Y26,$R$63:$T$91,3,FALSE)))+IF(AND($Y26&lt;&gt;"",$Y26&lt;&gt;"O3/CP",$Y$15=C$18,MID($Y26,4,1)="2",$Y$15&lt;&gt;$Y$14),VLOOKUP(CONCATENATE(LEFT($Y26,2),"L"),$R$63:$T$91,3,FALSE),0)+IF(AND($Y26="O3/CP",$Y$14=C$18),VLOOKUP("O3",$R$63:$T$91,3,FALSE)+VLOOKUP("CP",$R$63:$T$91,3,FALSE),0)+IF(AND($K$6="CE",'[3]Supply Attribution'!$G$20=C$18),LEFT($S$90,2),0)+IF(AND($X$86&lt;&gt;"Not Set",$X$87=C$18),$X$86,0)</f>
        <v>0</v>
      </c>
      <c r="D26" s="269">
        <f>IF(AND($K26&lt;&gt;"",$K26&lt;&gt;"--",$K26&lt;&gt;"O3/CP",$K$14=D$18),IF(LEFT($K26,1)="P",VLOOKUP(CONCATENATE(LEFT($K26,2),"H"),$R$63:$T$91,3,FALSE),VLOOKUP($K26,$R$63:$T$91,3,FALSE)))+IF(AND($K26&lt;&gt;"",$K26&lt;&gt;"O3/CP",$K$15=D$18,MID($K26,4,1)="2",$K$15&lt;&gt;$K$14),VLOOKUP(CONCATENATE(LEFT($K26,2),"L"),$R$63:$T$91,3,FALSE),0)+IF(AND($K26="O3/CP",$K$14=D$18),VLOOKUP("O3",$R$63:$T$91,3,FALSE)+VLOOKUP("CP",$R$63:$T$91,3,FALSE),0)+IF(AND($L26&lt;&gt;"",$L26&lt;&gt;"--",$L26&lt;&gt;"O3/CP",$L$14=D$18),IF(LEFT($L26,1)="P",VLOOKUP(CONCATENATE(LEFT($L26,2),"H"),$R$63:$T$91,3,FALSE),VLOOKUP($L26,$R$63:$T$91,3,FALSE)))+IF(AND($L26&lt;&gt;"",$L26&lt;&gt;"O3/CP",$L$15=D$18,MID($L26,4,1)="2",$L$15&lt;&gt;$L$14),VLOOKUP(CONCATENATE(LEFT($L26,2),"L"),$R$63:$T$91,3,FALSE),0)+IF(AND($L26="O3/CP",$L$14=D$18),VLOOKUP("O3",$R$63:$T$91,3,FALSE)+VLOOKUP("CP",$R$63:$T$91,3,FALSE),0)+IF(AND($M26&lt;&gt;"",$M26&lt;&gt;"--",$M26&lt;&gt;"O3/CP",$M$14=D$18),IF(LEFT($M26,1)="P",VLOOKUP(CONCATENATE(LEFT($M26,2),"H"),$R$63:$T$91,3,FALSE),VLOOKUP($M26,$R$63:$T$91,3,FALSE)))+IF(AND($M26&lt;&gt;"",$M26&lt;&gt;"O3/CP",$M$15=D$18,MID($M26,4,1)="2",$M$15&lt;&gt;$M$14),VLOOKUP(CONCATENATE(LEFT($M26,2),"L"),$R$63:$T$91,3,FALSE),0)+IF(AND($M26="O3/CP",$M$14=D$18),VLOOKUP("O3",$R$63:$T$91,3,FALSE)+VLOOKUP("CP",$R$63:$T$91,3,FALSE),0)+IF(AND($N26&lt;&gt;"",$N26&lt;&gt;"--",$N26&lt;&gt;"O3/CP",$N$14=D$18),IF(LEFT($N26,1)="P",VLOOKUP(CONCATENATE(LEFT($N26,2),"H"),$R$63:$T$91,3,FALSE),VLOOKUP($N26,$R$63:$T$91,3,FALSE)))+IF(AND($N26&lt;&gt;"",$N26&lt;&gt;"O3/CP",$N$15=D$18,MID($N26,4,1)="2",$N$15&lt;&gt;$N$14),VLOOKUP(CONCATENATE(LEFT($N26,2),"L"),$R$63:$T$91,3,FALSE),0)+IF(AND($N26="O3/CP",$N$14=D$18),VLOOKUP("O3",$R$63:$T$91,3,FALSE)+VLOOKUP("CP",$R$63:$T$91,3,FALSE),0)+IF(AND($O26&lt;&gt;"",$O26&lt;&gt;"--",$O26&lt;&gt;"O3/CP",$O$14=D$18),IF(LEFT($O26,1)="P",VLOOKUP(CONCATENATE(LEFT($O26,2),"H"),$R$63:$T$91,3,FALSE),VLOOKUP($O26,$R$63:$T$91,3,FALSE)))+IF(AND($O26&lt;&gt;"",$O26&lt;&gt;"O3/CP",$O$15=D$18,MID($O26,4,1)="2",$O$15&lt;&gt;$O$14),VLOOKUP(CONCATENATE(LEFT($O26,2),"L"),$R$63:$T$91,3,FALSE),0)+IF(AND($O26="O3/CP",$O$14=D$18),VLOOKUP("O3",$R$63:$T$91,3,FALSE)+VLOOKUP("CP",$R$63:$T$91,3,FALSE),0)+IF(AND($P26&lt;&gt;"",$P26&lt;&gt;"--",$P26&lt;&gt;"O3/CP",$P$14=D$18),IF(LEFT($P26,1)="P",VLOOKUP(CONCATENATE(LEFT($P26,2),"H"),$R$63:$T$91,3,FALSE),VLOOKUP($P26,$R$63:$T$91,3,FALSE)))+IF(AND($P26&lt;&gt;"",$P26&lt;&gt;"O3/CP",$P$15=D$18,MID($P26,4,1)="2",$P$15&lt;&gt;$P$14),VLOOKUP(CONCATENATE(LEFT($P26,2),"L"),$R$63:$T$91,3,FALSE),0)+IF(AND($P26="O3/CP",$P$14=D$18),VLOOKUP("O3",$R$63:$T$91,3,FALSE)+VLOOKUP("CP",$R$63:$T$91,3,FALSE),0)+IF(AND($Q26&lt;&gt;"",$Q26&lt;&gt;"--",$Q26&lt;&gt;"O3/CP",$Q$14=D$18),IF(LEFT($Q26,1)="P",VLOOKUP(CONCATENATE(LEFT($Q26,2),"H"),$R$63:$T$91,3,FALSE),VLOOKUP($Q26,$R$63:$T$91,3,FALSE)))+IF(AND($Q26&lt;&gt;"",$Q26&lt;&gt;"O3/CP",$Q$15=D$18,MID($Q26,4,1)="2",$Q$15&lt;&gt;$Q$14),VLOOKUP(CONCATENATE(LEFT($Q26,2),"L"),$R$63:$T$91,3,FALSE),0)+IF(AND($Q26="O3/CP",$Q$14=D$18),VLOOKUP("O3",$R$63:$T$91,3,FALSE)+VLOOKUP("CP",$R$63:$T$91,3,FALSE),0)+IF(AND($R26&lt;&gt;"",$R26&lt;&gt;"--",$R26&lt;&gt;"O3/CP",$R$14=D$18),IF(LEFT($R26,1)="P",VLOOKUP(CONCATENATE(LEFT($R26,2),"H"),$R$63:$T$91,3,FALSE),VLOOKUP($R26,$R$63:$T$91,3,FALSE)))+IF(AND($R26&lt;&gt;"",$R26&lt;&gt;"O3/CP",$R$15=D$18,MID($R26,4,1)="2",$R$15&lt;&gt;$R$14),VLOOKUP(CONCATENATE(LEFT($R26,2),"L"),$R$63:$T$91,3,FALSE),0)+IF(AND($R26="O3/CP",$R$14=D$18),VLOOKUP("O3",$R$63:$T$91,3,FALSE)+VLOOKUP("CP",$R$63:$T$91,3,FALSE),0)+IF(AND($S26&lt;&gt;"",$S26&lt;&gt;"--",$S26&lt;&gt;"O3/CP",$S$14=D$18),IF(LEFT($S26,1)="P",VLOOKUP(CONCATENATE(LEFT($S26,2),"H"),$R$63:$T$91,3,FALSE),VLOOKUP($S26,$R$63:$T$91,3,FALSE)))+IF(AND($S26&lt;&gt;"",$S26&lt;&gt;"O3/CP",$S$15=D$18,MID($S26,4,1)="2",$S$15&lt;&gt;$S$14),VLOOKUP(CONCATENATE(LEFT($S26,2),"L"),$R$63:$T$91,3,FALSE),0)+IF(AND($S26="O3/CP",$S$14=D$18),VLOOKUP("O3",$R$63:$T$91,3,FALSE)+VLOOKUP("CP",$R$63:$T$91,3,FALSE),0)+IF(AND($T26&lt;&gt;"",$T26&lt;&gt;"--",$T26&lt;&gt;"O3/CP",$T$14=D$18),IF(LEFT($T26,1)="P",VLOOKUP(CONCATENATE(LEFT($T26,2),"H"),$R$63:$T$91,3,FALSE),VLOOKUP($T26,$R$63:$T$91,3,FALSE)))+IF(AND($T26&lt;&gt;"",$T26&lt;&gt;"O3/CP",$T$15=D$18,MID($T26,4,1)="2",$T$15&lt;&gt;$T$14),VLOOKUP(CONCATENATE(LEFT($T26,2),"L"),$R$63:$T$91,3,FALSE),0)+IF(AND($T26="O3/CP",$T$14=D$18),VLOOKUP("O3",$R$63:$T$91,3,FALSE)+VLOOKUP("CP",$R$63:$T$91,3,FALSE),0)+IF(AND($U26&lt;&gt;"",$U26&lt;&gt;"--",$U26&lt;&gt;"O3/CP",$U$14=D$18),IF(LEFT($U26,1)="P",VLOOKUP(CONCATENATE(LEFT($U26,2),"H"),$R$63:$T$91,3,FALSE),VLOOKUP($U26,$R$63:$T$91,3,FALSE)))+IF(AND($U26&lt;&gt;"",$U26&lt;&gt;"O3/CP",$U$15=D$18,MID($U26,4,1)="2",$U$15&lt;&gt;$U$14),VLOOKUP(CONCATENATE(LEFT($U26,2),"L"),$R$63:$T$91,3,FALSE),0)+IF(AND($U26="O3/CP",$T$14=D$18),VLOOKUP("O3",$R$63:$T$91,3,FALSE)+VLOOKUP("CP",$R$63:$T$91,3,FALSE),0)+IF(AND($V26&lt;&gt;"",$V26&lt;&gt;"--",$V26&lt;&gt;"O3/CP",$V$14=D$18),IF(LEFT($V26,1)="P",VLOOKUP(CONCATENATE(LEFT($V26,2),"H"),$R$63:$T$91,3,FALSE),VLOOKUP($V26,$R$63:$T$91,3,FALSE)))+IF(AND($V26&lt;&gt;"",$V26&lt;&gt;"O3/CP",$V$15=D$18,MID($V26,4,1)="2",$V$15&lt;&gt;$V$14),VLOOKUP(CONCATENATE(LEFT($V26,2),"L"),$R$63:$T$91,3,FALSE),0)+IF(AND($V26="O3/CP",$V$14=D$18),VLOOKUP("O3",$R$63:$T$91,3,FALSE)+VLOOKUP("CP",$R$63:$T$91,3,FALSE),0)+IF(AND($W26&lt;&gt;"",$W26&lt;&gt;"--",$W26&lt;&gt;"O3/CP",$W$14=D$18),IF(LEFT($W26,1)="P",VLOOKUP(CONCATENATE(LEFT($W26,2),"H"),$R$63:$T$91,3,FALSE),VLOOKUP($W26,$R$63:$T$91,3,FALSE)))+IF(AND($W26&lt;&gt;"",$W26&lt;&gt;"O3/CP",$W$15=D$18,MID($W26,4,1)="2",$W$15&lt;&gt;$W$14),VLOOKUP(CONCATENATE(LEFT($W26,2),"L"),$R$63:$T$91,3,FALSE),0)+IF(AND($W26="O3/CP",$W$14=D$18),VLOOKUP("O3",$R$63:$T$91,3,FALSE)+VLOOKUP("CP",$R$63:$T$91,3,FALSE),0)+IF(AND($X26&lt;&gt;"",$X26&lt;&gt;"--",$X26&lt;&gt;"O3/CP",$X$14=D$18),IF(LEFT($X26,1)="P",VLOOKUP(CONCATENATE(LEFT($X26,2),"H"),$R$63:$T$91,3,FALSE),VLOOKUP($X26,$R$63:$T$91,3,FALSE)))+IF(AND($X26&lt;&gt;"",$X26&lt;&gt;"O3/CP",$X$15=D$18,MID($X26,4,1)="2",$X$15&lt;&gt;$X$14),VLOOKUP(CONCATENATE(LEFT($X26,2),"L"),$R$63:$T$91,3,FALSE),0)+IF(AND($X26="O3/CP",$X$14=D$18),VLOOKUP("O3",$R$63:$T$91,3,FALSE)+VLOOKUP("CP",$R$63:$T$91,3,FALSE),0)+IF(AND($Y26&lt;&gt;"",$Y26&lt;&gt;"--",$Y26&lt;&gt;"O3/CP",$Y$14=D$18),IF(LEFT($Y26,1)="P",VLOOKUP(CONCATENATE(LEFT($Y26,2),"H"),$R$63:$T$91,3,FALSE),VLOOKUP($Y26,$R$63:$T$91,3,FALSE)))+IF(AND($Y26&lt;&gt;"",$Y26&lt;&gt;"O3/CP",$Y$15=D$18,MID($Y26,4,1)="2",$Y$15&lt;&gt;$Y$14),VLOOKUP(CONCATENATE(LEFT($Y26,2),"L"),$R$63:$T$91,3,FALSE),0)+IF(AND($Y26="O3/CP",$Y$14=D$18),VLOOKUP("O3",$R$63:$T$91,3,FALSE)+VLOOKUP("CP",$R$63:$T$91,3,FALSE),0)+IF(AND($K$6="CE",'[3]Supply Attribution'!$G$20=D$18),LEFT($S$90,2),0)+IF(AND($X$86&lt;&gt;"Not Set",$X$87=D$18),$X$86,0)</f>
        <v>0</v>
      </c>
      <c r="E26" s="269">
        <f>IF(AND($K26&lt;&gt;"",$K26&lt;&gt;"--",$K26&lt;&gt;"O3/CP",$K$14=E$18),IF(LEFT($K26,1)="P",VLOOKUP(CONCATENATE(LEFT($K26,2),"H"),$R$63:$T$91,3,FALSE),VLOOKUP($K26,$R$63:$T$91,3,FALSE)))+IF(AND($K26&lt;&gt;"",$K26&lt;&gt;"O3/CP",$K$15=E$18,MID($K26,4,1)="2",$K$15&lt;&gt;$K$14),VLOOKUP(CONCATENATE(LEFT($K26,2),"L"),$R$63:$T$91,3,FALSE),0)+IF(AND($K26="O3/CP",$K$14=E$18),VLOOKUP("O3",$R$63:$T$91,3,FALSE)+VLOOKUP("CP",$R$63:$T$91,3,FALSE),0)+IF(AND($L26&lt;&gt;"",$L26&lt;&gt;"--",$L26&lt;&gt;"O3/CP",$L$14=E$18),IF(LEFT($L26,1)="P",VLOOKUP(CONCATENATE(LEFT($L26,2),"H"),$R$63:$T$91,3,FALSE),VLOOKUP($L26,$R$63:$T$91,3,FALSE)))+IF(AND($L26&lt;&gt;"",$L26&lt;&gt;"O3/CP",$L$15=E$18,MID($L26,4,1)="2",$L$15&lt;&gt;$L$14),VLOOKUP(CONCATENATE(LEFT($L26,2),"L"),$R$63:$T$91,3,FALSE),0)+IF(AND($L26="O3/CP",$L$14=E$18),VLOOKUP("O3",$R$63:$T$91,3,FALSE)+VLOOKUP("CP",$R$63:$T$91,3,FALSE),0)+IF(AND($M26&lt;&gt;"",$M26&lt;&gt;"--",$M26&lt;&gt;"O3/CP",$M$14=E$18),IF(LEFT($M26,1)="P",VLOOKUP(CONCATENATE(LEFT($M26,2),"H"),$R$63:$T$91,3,FALSE),VLOOKUP($M26,$R$63:$T$91,3,FALSE)))+IF(AND($M26&lt;&gt;"",$M26&lt;&gt;"O3/CP",$M$15=E$18,MID($M26,4,1)="2",$M$15&lt;&gt;$M$14),VLOOKUP(CONCATENATE(LEFT($M26,2),"L"),$R$63:$T$91,3,FALSE),0)+IF(AND($M26="O3/CP",$M$14=E$18),VLOOKUP("O3",$R$63:$T$91,3,FALSE)+VLOOKUP("CP",$R$63:$T$91,3,FALSE),0)+IF(AND($N26&lt;&gt;"",$N26&lt;&gt;"--",$N26&lt;&gt;"O3/CP",$N$14=E$18),IF(LEFT($N26,1)="P",VLOOKUP(CONCATENATE(LEFT($N26,2),"H"),$R$63:$T$91,3,FALSE),VLOOKUP($N26,$R$63:$T$91,3,FALSE)))+IF(AND($N26&lt;&gt;"",$N26&lt;&gt;"O3/CP",$N$15=E$18,MID($N26,4,1)="2",$N$15&lt;&gt;$N$14),VLOOKUP(CONCATENATE(LEFT($N26,2),"L"),$R$63:$T$91,3,FALSE),0)+IF(AND($N26="O3/CP",$N$14=E$18),VLOOKUP("O3",$R$63:$T$91,3,FALSE)+VLOOKUP("CP",$R$63:$T$91,3,FALSE),0)+IF(AND($O26&lt;&gt;"",$O26&lt;&gt;"--",$O26&lt;&gt;"O3/CP",$O$14=E$18),IF(LEFT($O26,1)="P",VLOOKUP(CONCATENATE(LEFT($O26,2),"H"),$R$63:$T$91,3,FALSE),VLOOKUP($O26,$R$63:$T$91,3,FALSE)))+IF(AND($O26&lt;&gt;"",$O26&lt;&gt;"O3/CP",$O$15=E$18,MID($O26,4,1)="2",$O$15&lt;&gt;$O$14),VLOOKUP(CONCATENATE(LEFT($O26,2),"L"),$R$63:$T$91,3,FALSE),0)+IF(AND($O26="O3/CP",$O$14=E$18),VLOOKUP("O3",$R$63:$T$91,3,FALSE)+VLOOKUP("CP",$R$63:$T$91,3,FALSE),0)+IF(AND($P26&lt;&gt;"",$P26&lt;&gt;"--",$P26&lt;&gt;"O3/CP",$P$14=E$18),IF(LEFT($P26,1)="P",VLOOKUP(CONCATENATE(LEFT($P26,2),"H"),$R$63:$T$91,3,FALSE),VLOOKUP($P26,$R$63:$T$91,3,FALSE)))+IF(AND($P26&lt;&gt;"",$P26&lt;&gt;"O3/CP",$P$15=E$18,MID($P26,4,1)="2",$P$15&lt;&gt;$P$14),VLOOKUP(CONCATENATE(LEFT($P26,2),"L"),$R$63:$T$91,3,FALSE),0)+IF(AND($P26="O3/CP",$P$14=E$18),VLOOKUP("O3",$R$63:$T$91,3,FALSE)+VLOOKUP("CP",$R$63:$T$91,3,FALSE),0)+IF(AND($Q26&lt;&gt;"",$Q26&lt;&gt;"--",$Q26&lt;&gt;"O3/CP",$Q$14=E$18),IF(LEFT($Q26,1)="P",VLOOKUP(CONCATENATE(LEFT($Q26,2),"H"),$R$63:$T$91,3,FALSE),VLOOKUP($Q26,$R$63:$T$91,3,FALSE)))+IF(AND($Q26&lt;&gt;"",$Q26&lt;&gt;"O3/CP",$Q$15=E$18,MID($Q26,4,1)="2",$Q$15&lt;&gt;$Q$14),VLOOKUP(CONCATENATE(LEFT($Q26,2),"L"),$R$63:$T$91,3,FALSE),0)+IF(AND($Q26="O3/CP",$Q$14=E$18),VLOOKUP("O3",$R$63:$T$91,3,FALSE)+VLOOKUP("CP",$R$63:$T$91,3,FALSE),0)+IF(AND($R26&lt;&gt;"",$R26&lt;&gt;"--",$R26&lt;&gt;"O3/CP",$R$14=E$18),IF(LEFT($R26,1)="P",VLOOKUP(CONCATENATE(LEFT($R26,2),"H"),$R$63:$T$91,3,FALSE),VLOOKUP($R26,$R$63:$T$91,3,FALSE)))+IF(AND($R26&lt;&gt;"",$R26&lt;&gt;"O3/CP",$R$15=E$18,MID($R26,4,1)="2",$R$15&lt;&gt;$R$14),VLOOKUP(CONCATENATE(LEFT($R26,2),"L"),$R$63:$T$91,3,FALSE),0)+IF(AND($R26="O3/CP",$R$14=E$18),VLOOKUP("O3",$R$63:$T$91,3,FALSE)+VLOOKUP("CP",$R$63:$T$91,3,FALSE),0)+IF(AND($S26&lt;&gt;"",$S26&lt;&gt;"--",$S26&lt;&gt;"O3/CP",$S$14=E$18),IF(LEFT($S26,1)="P",VLOOKUP(CONCATENATE(LEFT($S26,2),"H"),$R$63:$T$91,3,FALSE),VLOOKUP($S26,$R$63:$T$91,3,FALSE)))+IF(AND($S26&lt;&gt;"",$S26&lt;&gt;"O3/CP",$S$15=E$18,MID($S26,4,1)="2",$S$15&lt;&gt;$S$14),VLOOKUP(CONCATENATE(LEFT($S26,2),"L"),$R$63:$T$91,3,FALSE),0)+IF(AND($S26="O3/CP",$S$14=E$18),VLOOKUP("O3",$R$63:$T$91,3,FALSE)+VLOOKUP("CP",$R$63:$T$91,3,FALSE),0)+IF(AND($T26&lt;&gt;"",$T26&lt;&gt;"--",$T26&lt;&gt;"O3/CP",$T$14=E$18),IF(LEFT($T26,1)="P",VLOOKUP(CONCATENATE(LEFT($T26,2),"H"),$R$63:$T$91,3,FALSE),VLOOKUP($T26,$R$63:$T$91,3,FALSE)))+IF(AND($T26&lt;&gt;"",$T26&lt;&gt;"O3/CP",$T$15=E$18,MID($T26,4,1)="2",$T$15&lt;&gt;$T$14),VLOOKUP(CONCATENATE(LEFT($T26,2),"L"),$R$63:$T$91,3,FALSE),0)+IF(AND($T26="O3/CP",$T$14=E$18),VLOOKUP("O3",$R$63:$T$91,3,FALSE)+VLOOKUP("CP",$R$63:$T$91,3,FALSE),0)+IF(AND($U26&lt;&gt;"",$U26&lt;&gt;"--",$U26&lt;&gt;"O3/CP",$U$14=E$18),IF(LEFT($U26,1)="P",VLOOKUP(CONCATENATE(LEFT($U26,2),"H"),$R$63:$T$91,3,FALSE),VLOOKUP($U26,$R$63:$T$91,3,FALSE)))+IF(AND($U26&lt;&gt;"",$U26&lt;&gt;"O3/CP",$U$15=E$18,MID($U26,4,1)="2",$U$15&lt;&gt;$U$14),VLOOKUP(CONCATENATE(LEFT($U26,2),"L"),$R$63:$T$91,3,FALSE),0)+IF(AND($U26="O3/CP",$T$14=E$18),VLOOKUP("O3",$R$63:$T$91,3,FALSE)+VLOOKUP("CP",$R$63:$T$91,3,FALSE),0)+IF(AND($V26&lt;&gt;"",$V26&lt;&gt;"--",$V26&lt;&gt;"O3/CP",$V$14=E$18),IF(LEFT($V26,1)="P",VLOOKUP(CONCATENATE(LEFT($V26,2),"H"),$R$63:$T$91,3,FALSE),VLOOKUP($V26,$R$63:$T$91,3,FALSE)))+IF(AND($V26&lt;&gt;"",$V26&lt;&gt;"O3/CP",$V$15=E$18,MID($V26,4,1)="2",$V$15&lt;&gt;$V$14),VLOOKUP(CONCATENATE(LEFT($V26,2),"L"),$R$63:$T$91,3,FALSE),0)+IF(AND($V26="O3/CP",$V$14=E$18),VLOOKUP("O3",$R$63:$T$91,3,FALSE)+VLOOKUP("CP",$R$63:$T$91,3,FALSE),0)+IF(AND($W26&lt;&gt;"",$W26&lt;&gt;"--",$W26&lt;&gt;"O3/CP",$W$14=E$18),IF(LEFT($W26,1)="P",VLOOKUP(CONCATENATE(LEFT($W26,2),"H"),$R$63:$T$91,3,FALSE),VLOOKUP($W26,$R$63:$T$91,3,FALSE)))+IF(AND($W26&lt;&gt;"",$W26&lt;&gt;"O3/CP",$W$15=E$18,MID($W26,4,1)="2",$W$15&lt;&gt;$W$14),VLOOKUP(CONCATENATE(LEFT($W26,2),"L"),$R$63:$T$91,3,FALSE),0)+IF(AND($W26="O3/CP",$W$14=E$18),VLOOKUP("O3",$R$63:$T$91,3,FALSE)+VLOOKUP("CP",$R$63:$T$91,3,FALSE),0)+IF(AND($X26&lt;&gt;"",$X26&lt;&gt;"--",$X26&lt;&gt;"O3/CP",$X$14=E$18),IF(LEFT($X26,1)="P",VLOOKUP(CONCATENATE(LEFT($X26,2),"H"),$R$63:$T$91,3,FALSE),VLOOKUP($X26,$R$63:$T$91,3,FALSE)))+IF(AND($X26&lt;&gt;"",$X26&lt;&gt;"O3/CP",$X$15=E$18,MID($X26,4,1)="2",$X$15&lt;&gt;$X$14),VLOOKUP(CONCATENATE(LEFT($X26,2),"L"),$R$63:$T$91,3,FALSE),0)+IF(AND($X26="O3/CP",$X$14=E$18),VLOOKUP("O3",$R$63:$T$91,3,FALSE)+VLOOKUP("CP",$R$63:$T$91,3,FALSE),0)+IF(AND($Y26&lt;&gt;"",$Y26&lt;&gt;"--",$Y26&lt;&gt;"O3/CP",$Y$14=E$18),IF(LEFT($Y26,1)="P",VLOOKUP(CONCATENATE(LEFT($Y26,2),"H"),$R$63:$T$91,3,FALSE),VLOOKUP($Y26,$R$63:$T$91,3,FALSE)))+IF(AND($Y26&lt;&gt;"",$Y26&lt;&gt;"O3/CP",$Y$15=E$18,MID($Y26,4,1)="2",$Y$15&lt;&gt;$Y$14),VLOOKUP(CONCATENATE(LEFT($Y26,2),"L"),$R$63:$T$91,3,FALSE),0)+IF(AND($Y26="O3/CP",$Y$14=E$18),VLOOKUP("O3",$R$63:$T$91,3,FALSE)+VLOOKUP("CP",$R$63:$T$91,3,FALSE),0)+IF(AND($K$6="CE",'[3]Supply Attribution'!$G$20=E$18),LEFT($S$90,2),0)+IF(AND($X$86&lt;&gt;"Not Set",$X$87=E$18),$X$86,0)</f>
        <v>0</v>
      </c>
      <c r="F26" s="268">
        <f>IF(AND($K26&lt;&gt;"",$K26&lt;&gt;"--",$K26&lt;&gt;"O3/CP",$K$14=F$18),IF(LEFT($K26,1)="P",VLOOKUP(CONCATENATE(LEFT($K26,2),"H"),$R$63:$T$91,3,FALSE),VLOOKUP($K26,$R$63:$T$91,3,FALSE)))+IF(AND($K26&lt;&gt;"",$K26&lt;&gt;"O3/CP",$K$15=F$18,MID($K26,4,1)="2",$K$15&lt;&gt;$K$14),VLOOKUP(CONCATENATE(LEFT($K26,2),"L"),$R$63:$T$91,3,FALSE),0)+IF(AND($K26="O3/CP",$K$14=F$18),VLOOKUP("O3",$R$63:$T$91,3,FALSE)+VLOOKUP("CP",$R$63:$T$91,3,FALSE),0)+IF(AND($L26&lt;&gt;"",$L26&lt;&gt;"--",$L26&lt;&gt;"O3/CP",$L$14=F$18),IF(LEFT($L26,1)="P",VLOOKUP(CONCATENATE(LEFT($L26,2),"H"),$R$63:$T$91,3,FALSE),VLOOKUP($L26,$R$63:$T$91,3,FALSE)))+IF(AND($L26&lt;&gt;"",$L26&lt;&gt;"O3/CP",$L$15=F$18,MID($L26,4,1)="2",$L$15&lt;&gt;$L$14),VLOOKUP(CONCATENATE(LEFT($L26,2),"L"),$R$63:$T$91,3,FALSE),0)+IF(AND($L26="O3/CP",$L$14=F$18),VLOOKUP("O3",$R$63:$T$91,3,FALSE)+VLOOKUP("CP",$R$63:$T$91,3,FALSE),0)+IF(AND($M26&lt;&gt;"",$M26&lt;&gt;"--",$M26&lt;&gt;"O3/CP",$M$14=F$18),IF(LEFT($M26,1)="P",VLOOKUP(CONCATENATE(LEFT($M26,2),"H"),$R$63:$T$91,3,FALSE),VLOOKUP($M26,$R$63:$T$91,3,FALSE)))+IF(AND($M26&lt;&gt;"",$M26&lt;&gt;"O3/CP",$M$15=F$18,MID($M26,4,1)="2",$M$15&lt;&gt;$M$14),VLOOKUP(CONCATENATE(LEFT($M26,2),"L"),$R$63:$T$91,3,FALSE),0)+IF(AND($M26="O3/CP",$M$14=F$18),VLOOKUP("O3",$R$63:$T$91,3,FALSE)+VLOOKUP("CP",$R$63:$T$91,3,FALSE),0)+IF(AND($N26&lt;&gt;"",$N26&lt;&gt;"--",$N26&lt;&gt;"O3/CP",$N$14=F$18),IF(LEFT($N26,1)="P",VLOOKUP(CONCATENATE(LEFT($N26,2),"H"),$R$63:$T$91,3,FALSE),VLOOKUP($N26,$R$63:$T$91,3,FALSE)))+IF(AND($N26&lt;&gt;"",$N26&lt;&gt;"O3/CP",$N$15=F$18,MID($N26,4,1)="2",$N$15&lt;&gt;$N$14),VLOOKUP(CONCATENATE(LEFT($N26,2),"L"),$R$63:$T$91,3,FALSE),0)+IF(AND($N26="O3/CP",$N$14=F$18),VLOOKUP("O3",$R$63:$T$91,3,FALSE)+VLOOKUP("CP",$R$63:$T$91,3,FALSE),0)+IF(AND($O26&lt;&gt;"",$O26&lt;&gt;"--",$O26&lt;&gt;"O3/CP",$O$14=F$18),IF(LEFT($O26,1)="P",VLOOKUP(CONCATENATE(LEFT($O26,2),"H"),$R$63:$T$91,3,FALSE),VLOOKUP($O26,$R$63:$T$91,3,FALSE)))+IF(AND($O26&lt;&gt;"",$O26&lt;&gt;"O3/CP",$O$15=F$18,MID($O26,4,1)="2",$O$15&lt;&gt;$O$14),VLOOKUP(CONCATENATE(LEFT($O26,2),"L"),$R$63:$T$91,3,FALSE),0)+IF(AND($O26="O3/CP",$O$14=F$18),VLOOKUP("O3",$R$63:$T$91,3,FALSE)+VLOOKUP("CP",$R$63:$T$91,3,FALSE),0)+IF(AND($P26&lt;&gt;"",$P26&lt;&gt;"--",$P26&lt;&gt;"O3/CP",$P$14=F$18),IF(LEFT($P26,1)="P",VLOOKUP(CONCATENATE(LEFT($P26,2),"H"),$R$63:$T$91,3,FALSE),VLOOKUP($P26,$R$63:$T$91,3,FALSE)))+IF(AND($P26&lt;&gt;"",$P26&lt;&gt;"O3/CP",$P$15=F$18,MID($P26,4,1)="2",$P$15&lt;&gt;$P$14),VLOOKUP(CONCATENATE(LEFT($P26,2),"L"),$R$63:$T$91,3,FALSE),0)+IF(AND($P26="O3/CP",$P$14=F$18),VLOOKUP("O3",$R$63:$T$91,3,FALSE)+VLOOKUP("CP",$R$63:$T$91,3,FALSE),0)+IF(AND($Q26&lt;&gt;"",$Q26&lt;&gt;"--",$Q26&lt;&gt;"O3/CP",$Q$14=F$18),IF(LEFT($Q26,1)="P",VLOOKUP(CONCATENATE(LEFT($Q26,2),"H"),$R$63:$T$91,3,FALSE),VLOOKUP($Q26,$R$63:$T$91,3,FALSE)))+IF(AND($Q26&lt;&gt;"",$Q26&lt;&gt;"O3/CP",$Q$15=F$18,MID($Q26,4,1)="2",$Q$15&lt;&gt;$Q$14),VLOOKUP(CONCATENATE(LEFT($Q26,2),"L"),$R$63:$T$91,3,FALSE),0)+IF(AND($Q26="O3/CP",$Q$14=F$18),VLOOKUP("O3",$R$63:$T$91,3,FALSE)+VLOOKUP("CP",$R$63:$T$91,3,FALSE),0)+IF(AND($R26&lt;&gt;"",$R26&lt;&gt;"--",$R26&lt;&gt;"O3/CP",$R$14=F$18),IF(LEFT($R26,1)="P",VLOOKUP(CONCATENATE(LEFT($R26,2),"H"),$R$63:$T$91,3,FALSE),VLOOKUP($R26,$R$63:$T$91,3,FALSE)))+IF(AND($R26&lt;&gt;"",$R26&lt;&gt;"O3/CP",$R$15=F$18,MID($R26,4,1)="2",$R$15&lt;&gt;$R$14),VLOOKUP(CONCATENATE(LEFT($R26,2),"L"),$R$63:$T$91,3,FALSE),0)+IF(AND($R26="O3/CP",$R$14=F$18),VLOOKUP("O3",$R$63:$T$91,3,FALSE)+VLOOKUP("CP",$R$63:$T$91,3,FALSE),0)+IF(AND($S26&lt;&gt;"",$S26&lt;&gt;"--",$S26&lt;&gt;"O3/CP",$S$14=F$18),IF(LEFT($S26,1)="P",VLOOKUP(CONCATENATE(LEFT($S26,2),"H"),$R$63:$T$91,3,FALSE),VLOOKUP($S26,$R$63:$T$91,3,FALSE)))+IF(AND($S26&lt;&gt;"",$S26&lt;&gt;"O3/CP",$S$15=F$18,MID($S26,4,1)="2",$S$15&lt;&gt;$S$14),VLOOKUP(CONCATENATE(LEFT($S26,2),"L"),$R$63:$T$91,3,FALSE),0)+IF(AND($S26="O3/CP",$S$14=F$18),VLOOKUP("O3",$R$63:$T$91,3,FALSE)+VLOOKUP("CP",$R$63:$T$91,3,FALSE),0)+IF(AND($T26&lt;&gt;"",$T26&lt;&gt;"--",$T26&lt;&gt;"O3/CP",$T$14=F$18),IF(LEFT($T26,1)="P",VLOOKUP(CONCATENATE(LEFT($T26,2),"H"),$R$63:$T$91,3,FALSE),VLOOKUP($T26,$R$63:$T$91,3,FALSE)))+IF(AND($T26&lt;&gt;"",$T26&lt;&gt;"O3/CP",$T$15=F$18,MID($T26,4,1)="2",$T$15&lt;&gt;$T$14),VLOOKUP(CONCATENATE(LEFT($T26,2),"L"),$R$63:$T$91,3,FALSE),0)+IF(AND($T26="O3/CP",$T$14=F$18),VLOOKUP("O3",$R$63:$T$91,3,FALSE)+VLOOKUP("CP",$R$63:$T$91,3,FALSE),0)+IF(AND($U26&lt;&gt;"",$U26&lt;&gt;"--",$U26&lt;&gt;"O3/CP",$U$14=F$18),IF(LEFT($U26,1)="P",VLOOKUP(CONCATENATE(LEFT($U26,2),"H"),$R$63:$T$91,3,FALSE),VLOOKUP($U26,$R$63:$T$91,3,FALSE)))+IF(AND($U26&lt;&gt;"",$U26&lt;&gt;"O3/CP",$U$15=F$18,MID($U26,4,1)="2",$U$15&lt;&gt;$U$14),VLOOKUP(CONCATENATE(LEFT($U26,2),"L"),$R$63:$T$91,3,FALSE),0)+IF(AND($U26="O3/CP",$T$14=F$18),VLOOKUP("O3",$R$63:$T$91,3,FALSE)+VLOOKUP("CP",$R$63:$T$91,3,FALSE),0)+IF(AND($V26&lt;&gt;"",$V26&lt;&gt;"--",$V26&lt;&gt;"O3/CP",$V$14=F$18),IF(LEFT($V26,1)="P",VLOOKUP(CONCATENATE(LEFT($V26,2),"H"),$R$63:$T$91,3,FALSE),VLOOKUP($V26,$R$63:$T$91,3,FALSE)))+IF(AND($V26&lt;&gt;"",$V26&lt;&gt;"O3/CP",$V$15=F$18,MID($V26,4,1)="2",$V$15&lt;&gt;$V$14),VLOOKUP(CONCATENATE(LEFT($V26,2),"L"),$R$63:$T$91,3,FALSE),0)+IF(AND($V26="O3/CP",$V$14=F$18),VLOOKUP("O3",$R$63:$T$91,3,FALSE)+VLOOKUP("CP",$R$63:$T$91,3,FALSE),0)+IF(AND($W26&lt;&gt;"",$W26&lt;&gt;"--",$W26&lt;&gt;"O3/CP",$W$14=F$18),IF(LEFT($W26,1)="P",VLOOKUP(CONCATENATE(LEFT($W26,2),"H"),$R$63:$T$91,3,FALSE),VLOOKUP($W26,$R$63:$T$91,3,FALSE)))+IF(AND($W26&lt;&gt;"",$W26&lt;&gt;"O3/CP",$W$15=F$18,MID($W26,4,1)="2",$W$15&lt;&gt;$W$14),VLOOKUP(CONCATENATE(LEFT($W26,2),"L"),$R$63:$T$91,3,FALSE),0)+IF(AND($W26="O3/CP",$W$14=F$18),VLOOKUP("O3",$R$63:$T$91,3,FALSE)+VLOOKUP("CP",$R$63:$T$91,3,FALSE),0)+IF(AND($X26&lt;&gt;"",$X26&lt;&gt;"--",$X26&lt;&gt;"O3/CP",$X$14=F$18),IF(LEFT($X26,1)="P",VLOOKUP(CONCATENATE(LEFT($X26,2),"H"),$R$63:$T$91,3,FALSE),VLOOKUP($X26,$R$63:$T$91,3,FALSE)))+IF(AND($X26&lt;&gt;"",$X26&lt;&gt;"O3/CP",$X$15=F$18,MID($X26,4,1)="2",$X$15&lt;&gt;$X$14),VLOOKUP(CONCATENATE(LEFT($X26,2),"L"),$R$63:$T$91,3,FALSE),0)+IF(AND($X26="O3/CP",$X$14=F$18),VLOOKUP("O3",$R$63:$T$91,3,FALSE)+VLOOKUP("CP",$R$63:$T$91,3,FALSE),0)+IF(AND($Y26&lt;&gt;"",$Y26&lt;&gt;"--",$Y26&lt;&gt;"O3/CP",$Y$14=F$18),IF(LEFT($Y26,1)="P",VLOOKUP(CONCATENATE(LEFT($Y26,2),"H"),$R$63:$T$91,3,FALSE),VLOOKUP($Y26,$R$63:$T$91,3,FALSE)))+IF(AND($Y26&lt;&gt;"",$Y26&lt;&gt;"O3/CP",$Y$15=F$18,MID($Y26,4,1)="2",$Y$15&lt;&gt;$Y$14),VLOOKUP(CONCATENATE(LEFT($Y26,2),"L"),$R$63:$T$91,3,FALSE),0)+IF(AND($Y26="O3/CP",$Y$14=F$18),VLOOKUP("O3",$R$63:$T$91,3,FALSE)+VLOOKUP("CP",$R$63:$T$91,3,FALSE),0)+IF(AND($K$6="CE",'[3]Supply Attribution'!$G$20=F$18),LEFT($S$90,2),0)+IF(AND($X$86&lt;&gt;"Not Set",$X$87=F$18),$X$86,0)</f>
        <v>0</v>
      </c>
      <c r="G26" s="269">
        <f>IF(AND($K$6="CE",$T$59="1 Phase"),SUM(A26:F26)-IF(AND($K$14&lt;&gt;$K$15,RIGHT($K26,3)="2SP"),VLOOKUP(CONCATENATE(LEFT($K26,2),"L"),$R$63:$T$90,3,FALSE),0)-IF(AND($L$14&lt;&gt;$L$15,RIGHT($L26,3)="2SP"),VLOOKUP(CONCATENATE(LEFT($L26,2),"L"),$R$63:$T$90,3,FALSE),0)-IF(AND($M$14&lt;&gt;$M$15,RIGHT($M26,3)="2SP"),VLOOKUP(CONCATENATE(LEFT($M26,2),"L"),$R$63:$T$90,3,FALSE),0)-IF(AND($N$14&lt;&gt;$N$15,RIGHT($N26,3)="2SP"),VLOOKUP(CONCATENATE(LEFT($N26,2),"L"),$R$63:$T$90,3,FALSE),0)-IF(AND($O$14&lt;&gt;$O$15,RIGHT($O26,3)="2SP"),VLOOKUP(CONCATENATE(LEFT($O26,2),"L"),$R$63:$T$90,3,FALSE),0)-IF(AND($P$14&lt;&gt;$P$15,RIGHT($P26,3)="2SP"),VLOOKUP(CONCATENATE(LEFT($P26,2),"L"),$R$63:$T$90,3,FALSE),0)-IF(AND($Q$14&lt;&gt;$Q$15,RIGHT($Q26,3)="2SP"),VLOOKUP(CONCATENATE(LEFT($Q26,2),"L"),$R$63:$T$90,3,FALSE),0)-IF(AND($R$14&lt;&gt;$R$15,RIGHT($T26,3)="2SP"),VLOOKUP(CONCATENATE(LEFT($R26,2),"L"),$R$63:$T$90,3,FALSE),0)-IF(AND($S$14&lt;&gt;$S$15,RIGHT($T26,3)="2SP"),VLOOKUP(CONCATENATE(LEFT($S26,2),"L"),$R$63:$T$90,3,FALSE),0)-IF(AND($T$14&lt;&gt;$T$15,RIGHT($T26,3)="2SP"),VLOOKUP(CONCATENATE(LEFT($T26,2),"L"),$R$63:$T$90,3,FALSE),0)-IF(AND($U$14&lt;&gt;$U$15,RIGHT($U26,3)="2SP"),VLOOKUP(CONCATENATE(LEFT($U26,2),"L"),$R$63:$T$90,3,FALSE),0)-IF(AND($V$14&lt;&gt;$V$15,RIGHT($V26,3)="2SP"),VLOOKUP(CONCATENATE(LEFT($V26,2),"L"),$R$63:$T$90,3,FALSE),0)-IF(AND($W$14&lt;&gt;$W$15,RIGHT($W26,3)="2SP"),VLOOKUP(CONCATENATE(LEFT($W26,2),"L"),$R$63:$T$90,3,FALSE),0)-IF(AND($X$14&lt;&gt;$X$15,RIGHT($X26,3)="2SP"),VLOOKUP(CONCATENATE(LEFT($X26,2),"L"),$R$63:$T$90,3,FALSE),0)-IF(AND($Y$14&lt;&gt;$Y$15,RIGHT($Y26,3)="2SP"),VLOOKUP(CONCATENATE(LEFT($Y26,2),"L"),$R$63:$T$90,3,FALSE),0),IF(VLOOKUP(CONCATENATE($A$18,"Line"),'[3]Supply Attribution'!$F$31:$G$37,2,FALSE)=G$18,$A26,0)+IF(VLOOKUP(CONCATENATE($B$18,"Line"),'[3]Supply Attribution'!$F$31:$G$37,2,FALSE)=G$18,$B26,0)+IF(VLOOKUP(CONCATENATE($C$18,"Line"),'[3]Supply Attribution'!$F$31:$G$37,2,FALSE)=G$18,$C26,0)+IF(VLOOKUP(CONCATENATE($D$18,"Line"),'[3]Supply Attribution'!$F$31:$G$37,2,FALSE)=G$18,$D26,0)+IF(VLOOKUP(CONCATENATE($E$18,"Line"),'[3]Supply Attribution'!$F$31:$G$37,2,FALSE)=G$18,$E26,0)+IF(VLOOKUP(CONCATENATE($F$18,"Line"),'[3]Supply Attribution'!$F$31:$G$37,2,FALSE)=G$18,$F26,0)+IF($K$6="UL",LEFT($S$90,2),0)-IF(AND($K$16=G$18,$K$14&lt;&gt;$K$15,$K$16=$K$17,RIGHT($K26,3)="2SP"),VLOOKUP(CONCATENATE(LEFT($K26,2),"L"),$R$63:$T$90,3,FALSE),0)-IF(AND($L$16=G$18,$L$14&lt;&gt;$L$15,$L$16=$L$17,RIGHT($L26,3)="2SP"),VLOOKUP(CONCATENATE(LEFT($L26,2),"L"),$R$63:$T$90,3,FALSE),0)-IF(AND($M$16=G$18,$M$14&lt;&gt;$M$15,$M$16=$M$17,RIGHT($M26,3)="2SP"),VLOOKUP(CONCATENATE(LEFT($M26,2),"L"),$R$63:$T$90,3,FALSE),0)-IF(AND($N$16=G$18,$N$14&lt;&gt;$N$15,$N$16=$N$17,RIGHT($N26,3)="2SP"),VLOOKUP(CONCATENATE(LEFT($N26,2),"L"),$R$63:$T$90,3,FALSE),0)-IF(AND($O$16=G$18,$O$14&lt;&gt;$O$15,$O$16=$O$17,RIGHT($O26,3)="2SP"),VLOOKUP(CONCATENATE(LEFT($O26,2),"L"),$R$63:$T$90,3,FALSE),0)-IF(AND($P$16=G$18,$P$14&lt;&gt;$P$15,$P$16=$P$17,RIGHT($P26,3)="2SP"),VLOOKUP(CONCATENATE(LEFT($P26,2),"L"),$R$63:$T$90,3,FALSE),0)-IF(AND($Q$16=G$18,$Q$14&lt;&gt;$Q$15,$Q$16=$Q$17,RIGHT($Q26,3)="2SP"),VLOOKUP(CONCATENATE(LEFT($Q26,2),"L"),$R$63:$T$90,3,FALSE),0)-IF(AND($R$16=G$18,$R$14&lt;&gt;$R$15,$R$16=$R$17,RIGHT($R26,3)="2SP"),VLOOKUP(CONCATENATE(LEFT($R26,2),"L"),$R$63:$T$90,3,FALSE),0)-IF(AND($S$16=G$18,$S$14&lt;&gt;$S$15,$S$16=$S$17,RIGHT($S26,3)="2SP"),VLOOKUP(CONCATENATE(LEFT($S26,2),"L"),$R$63:$T$90,3,FALSE),0)-IF(AND($T$16=G$18,$T$14&lt;&gt;$T$15,$T$16=$T$17,RIGHT($T26,3)="2SP"),VLOOKUP(CONCATENATE(LEFT($T26,2),"L"),$R$63:$T$90,3,FALSE),0)-IF(AND($U$16=G$18,$U$14&lt;&gt;$U$15,$U$16=$U$17,RIGHT($U26,3)="2SP"),VLOOKUP(CONCATENATE(LEFT($U26,2),"L"),$R$63:$T$90,3,FALSE),0)-IF(AND($V$16=G$18,$V$14&lt;&gt;$V$15,$V$16=$V$17,RIGHT($V26,3)="2SP"),VLOOKUP(CONCATENATE(LEFT($V26,2),"L"),$R$63:$T$90,3,FALSE),0)-IF(AND($W$16=G$18,$W$14&lt;&gt;$W$15,$W$16=$W$17,RIGHT($W26,3)="2SP"),VLOOKUP(CONCATENATE(LEFT($W26,2),"L"),$R$63:$T$90,3,FALSE),0)-IF(AND($X$16=G$18,$X$14&lt;&gt;$X$15,$X$16=$X$17,RIGHT($X26,3)="2SP"),VLOOKUP(CONCATENATE(LEFT($X26,2),"L"),$R$63:$T$90,3,FALSE),0)-IF(AND($Y$16=G$18,$Y$14&lt;&gt;$Y$15,$Y$16=$Y$17,RIGHT($Y26,3)="2SP"),VLOOKUP(CONCATENATE(LEFT($Y26,2),"L"),$R$63:$T$90,3,FALSE),0))</f>
        <v>32</v>
      </c>
      <c r="H26" s="269" t="str">
        <f>IF(H$18&lt;&gt;"",IF(VLOOKUP(CONCATENATE($A$18,"Line"),'Supply Attribution'!$F$31:$G$37,2,FALSE)=H$18,$A26,0)+IF(VLOOKUP(CONCATENATE($B$18,"Line"),'Supply Attribution'!$F$31:$G$37,2,FALSE)=H$18,$B26,0)+IF(VLOOKUP(CONCATENATE($C$18,"Line"),'Supply Attribution'!$F$31:$G$37,2,FALSE)=H$18,$C26,0)+IF(VLOOKUP(CONCATENATE($D$18,"Line"),'Supply Attribution'!$F$31:$G$37,2,FALSE)=H$18,$D26,0)+IF(VLOOKUP(CONCATENATE($E$18,"Line"),'Supply Attribution'!$F$31:$G$37,2,FALSE)=H$18,$E26,0)+IF(VLOOKUP(CONCATENATE($F$18,"Line"),'Supply Attribution'!$F$31:$G$37,2,FALSE)=H$18,$F26,0)+IF($K$6="UL",LEFT($S$90,2),0)-IF(AND($K$16=H$18,$K$14&lt;&gt;$K$15,$K$16=$K$17,RIGHT($K26,3)="2SP"),VLOOKUP(CONCATENATE(LEFT($K26,2),"L"),$R$63:$T$90,3,FALSE),0)-IF(AND($L$16=H$18,$L$14&lt;&gt;$L$15,$L$16=$L$17,RIGHT($L26,3)="2SP"),VLOOKUP(CONCATENATE(LEFT($L26,2),"L"),$R$63:$T$90,3,FALSE),0)-IF(AND($M$16=H$18,$M$14&lt;&gt;$M$15,$M$16=$M$17,RIGHT($M26,3)="2SP"),VLOOKUP(CONCATENATE(LEFT($M26,2),"L"),$R$63:$T$90,3,FALSE),0)-IF(AND($N$16=H$18,$N$14&lt;&gt;$N$15,$N$16=$N$17,RIGHT($N26,3)="2SP"),VLOOKUP(CONCATENATE(LEFT($N26,2),"L"),$R$63:$T$90,3,FALSE),0)-IF(AND($O$16=H$18,$O$14&lt;&gt;$O$15,$O$16=$O$17,RIGHT($O26,3)="2SP"),VLOOKUP(CONCATENATE(LEFT($O26,2),"L"),$R$63:$T$90,3,FALSE),0)-IF(AND($P$16=H$18,$P$14&lt;&gt;$P$15,$P$16=$P$17,RIGHT($P26,3)="2SP"),VLOOKUP(CONCATENATE(LEFT($P26,2),"L"),$R$63:$T$90,3,FALSE),0)-IF(AND($Q$16=H$18,$Q$14&lt;&gt;$Q$15,$Q$16=$Q$17,RIGHT($Q26,3)="2SP"),VLOOKUP(CONCATENATE(LEFT($Q26,2),"L"),$R$63:$T$90,3,FALSE),0)-IF(AND($T$16=H$18,$T$14&lt;&gt;$T$15,$T$16=$T$17,RIGHT($T26,3)="2SP"),VLOOKUP(CONCATENATE(LEFT($T26,2),"L"),$R$63:$T$90,3,FALSE),0)-IF(AND($U$16=H$18,$U$14&lt;&gt;$U$15,$U$16=$U$17,RIGHT($U26,3)="2SP"),VLOOKUP(CONCATENATE(LEFT($U26,2),"L"),$R$63:$T$90,3,FALSE),0)-IF(AND($V$16=H$18,$V$14&lt;&gt;$V$15,$V$16=$V$17,RIGHT($V26,3)="2SP"),VLOOKUP(CONCATENATE(LEFT($V26,2),"L"),$R$63:$T$90,3,FALSE),0)-IF(AND($W$16=H$18,$W$14&lt;&gt;$W$15,$W$16=$W$17,RIGHT($W26,3)="2SP"),VLOOKUP(CONCATENATE(LEFT($W26,2),"L"),$R$63:$T$90,3,FALSE),0)-IF(AND($X$16=H$18,$X$14&lt;&gt;$X$15,$X$16=$X$17,RIGHT($X26,3)="2SP"),VLOOKUP(CONCATENATE(LEFT($X26,2),"L"),$R$63:$T$90,3,FALSE),0)-IF(AND($Y$16=H$18,$Y$14&lt;&gt;$Y$15,$Y$16=$Y$17,RIGHT($Y26,3)="2SP"),VLOOKUP(CONCATENATE(LEFT($Y26,2),"L"),$R$63:$T$90,3,FALSE),0)+IF(AND($K$6="CE",$T$59="2 Phases",H$18&lt;&gt;""),IF(VLOOKUP(CONCATENATE($A$18,"Line"),'Supply Attribution'!$F$31:$G$37,2,FALSE)="Line3",$A26,0)+IF(VLOOKUP(CONCATENATE($B$18,"Line"),'Supply Attribution'!$F$31:$G$37,2,FALSE)="Line3",$B26,0)+IF(VLOOKUP(CONCATENATE($C$18,"Line"),'Supply Attribution'!$F$31:$G$37,2,FALSE)="Line3",$C26,0)+IF(VLOOKUP(CONCATENATE($D$18,"Line"),'Supply Attribution'!$F$31:$G$37,2,FALSE)="Line3",$D26,0)+IF(VLOOKUP(CONCATENATE($E$18,"Line"),'Supply Attribution'!$F$31:$G$37,2,FALSE)="Line3",$E26,0)+IF(VLOOKUP(CONCATENATE($F$18,"Line"),'Supply Attribution'!$F$31:$G$37,2,FALSE)="Line3",$F26,0)-IF(AND($K$16=I$18,$K$14&lt;&gt;$K$15,$K$16=$K$17,RIGHT($K26,3)="2SP"),VLOOKUP(CONCATENATE(LEFT($K26,2),"L"),$R$63:$T$90,3,FALSE),0)-IF(AND($L$16=I$18,$L$14&lt;&gt;$L$15,$L$16=$L$17,RIGHT($L26,3)="2SP"),VLOOKUP(CONCATENATE(LEFT($L26,2),"L"),$R$63:$T$90,3,FALSE),0)-IF(AND($M$16=I$18,$M$14&lt;&gt;$M$15,$M$16=$M$17,RIGHT($M26,3)="2SP"),VLOOKUP(CONCATENATE(LEFT($M26,2),"L"),$R$63:$T$90,3,FALSE),0)-IF(AND($N$16=I$18,$N$14&lt;&gt;$N$15,$N$16=$N$17,RIGHT($N26,3)="2SP"),VLOOKUP(CONCATENATE(LEFT($N26,2),"L"),$R$63:$T$90,3,FALSE),0)-IF(AND($O$16=I$18,$O$14&lt;&gt;$O$15,$O$16=$O$17,RIGHT($O26,3)="2SP"),VLOOKUP(CONCATENATE(LEFT($O26,2),"L"),$R$63:$T$90,3,FALSE),0)-IF(AND($P$16=I$18,$P$14&lt;&gt;$P$15,$P$16=$P$17,RIGHT($P26,3)="2SP"),VLOOKUP(CONCATENATE(LEFT($P26,2),"L"),$R$63:$T$90,3,FALSE),0)-IF(AND($Q$16=I$18,$Q$14&lt;&gt;$Q$15,$Q$16=$Q$17,RIGHT($Q26,3)="2SP"),VLOOKUP(CONCATENATE(LEFT($Q26,2),"L"),$R$63:$T$90,3,FALSE),0)-IF(AND($T$16=I$18,$T$14&lt;&gt;$T$15,$T$16=$T$17,RIGHT($T26,3)="2SP"),VLOOKUP(CONCATENATE(LEFT($T26,2),"L"),$R$63:$T$90,3,FALSE),0)-IF(AND($U$16=I$18,$U$14&lt;&gt;$U$15,$U$16=$U$17,RIGHT($U26,3)="2SP"),VLOOKUP(CONCATENATE(LEFT($U26,2),"L"),$R$63:$T$90,3,FALSE),0)-IF(AND($V$16=I$18,$V$14&lt;&gt;$V$15,$V$16=$V$17,RIGHT($V26,3)="2SP"),VLOOKUP(CONCATENATE(LEFT($V26,2),"L"),$R$63:$T$90,3,FALSE),0)-IF(AND($W$16=I$18,$W$14&lt;&gt;$W$15,$W$16=$W$17,RIGHT($W26,3)="2SP"),VLOOKUP(CONCATENATE(LEFT($W26,2),"L"),$R$63:$T$90,3,FALSE),0)-IF(AND($X$16=I$18,$X$14&lt;&gt;$X$15,$X$16=$X$17,RIGHT($X26,3)="2SP"),VLOOKUP(CONCATENATE(LEFT($X26,2),"L"),$R$63:$T$90,3,FALSE),0)-IF(AND($Y$16=I$18,$Y$14&lt;&gt;$Y$15,$Y$16=$Y$17,RIGHT($Y26,3)="2SP"),VLOOKUP(CONCATENATE(LEFT($Y26,2),"L"),$R$63:$T$90,3,FALSE),0),0),"")</f>
        <v/>
      </c>
      <c r="I26" s="269" t="str">
        <f>IF(I$18&lt;&gt;"",IF(VLOOKUP(CONCATENATE($A$18,"Line"),'Supply Attribution'!$F$31:$G$37,2,FALSE)=I$18,$A26,0)+IF(VLOOKUP(CONCATENATE($B$18,"Line"),'Supply Attribution'!$F$31:$G$37,2,FALSE)=I$18,$B26,0)+IF(VLOOKUP(CONCATENATE($C$18,"Line"),'Supply Attribution'!$F$31:$G$37,2,FALSE)=I$18,$C26,0)+IF(VLOOKUP(CONCATENATE($D$18,"Line"),'Supply Attribution'!$F$31:$G$37,2,FALSE)=I$18,$D26,0)+IF(VLOOKUP(CONCATENATE($E$18,"Line"),'Supply Attribution'!$F$31:$G$37,2,FALSE)=I$18,$E26,0)+IF(VLOOKUP(CONCATENATE($F$18,"Line"),'Supply Attribution'!$F$31:$G$37,2,FALSE)=I$18,$F26,0)+IF($K$6="UL",LEFT($S$90,2),0)-IF(AND($K$16=I$18,$K$14&lt;&gt;$K$15,$K$16=$K$17,RIGHT($K26,3)="2SP"),VLOOKUP(CONCATENATE(LEFT($K26,2),"L"),$R$63:$T$90,3,FALSE),0)-IF(AND($L$16=I$18,$L$14&lt;&gt;$L$15,$L$16=$L$17,RIGHT($L26,3)="2SP"),VLOOKUP(CONCATENATE(LEFT($L26,2),"L"),$R$63:$T$90,3,FALSE),0)-IF(AND($M$16=I$18,$M$14&lt;&gt;$M$15,$M$16=$M$17,RIGHT($M26,3)="2SP"),VLOOKUP(CONCATENATE(LEFT($M26,2),"L"),$R$63:$T$90,3,FALSE),0)-IF(AND($N$16=I$18,$N$14&lt;&gt;$N$15,$N$16=$N$17,RIGHT($N26,3)="2SP"),VLOOKUP(CONCATENATE(LEFT($N26,2),"L"),$R$63:$T$90,3,FALSE),0)-IF(AND($O$16=I$18,$O$14&lt;&gt;$O$15,$O$16=$O$17,RIGHT($O26,3)="2SP"),VLOOKUP(CONCATENATE(LEFT($O26,2),"L"),$R$63:$T$90,3,FALSE),0)-IF(AND($P$16=I$18,$P$14&lt;&gt;$P$15,$P$16=$P$17,RIGHT($P26,3)="2SP"),VLOOKUP(CONCATENATE(LEFT($P26,2),"L"),$R$63:$T$90,3,FALSE),0)-IF(AND($Q$16=I$18,$Q$14&lt;&gt;$Q$15,$Q$16=$Q$17,RIGHT($Q26,3)="2SP"),VLOOKUP(CONCATENATE(LEFT($Q26,2),"L"),$R$63:$T$90,3,FALSE),0)-IF(AND($T$16=I$18,$T$14&lt;&gt;$T$15,$T$16=$T$17,RIGHT($T26,3)="2SP"),VLOOKUP(CONCATENATE(LEFT($T26,2),"L"),$R$63:$T$90,3,FALSE),0)-IF(AND($U$16=I$18,$U$14&lt;&gt;$U$15,$U$16=$U$17,RIGHT($U26,3)="2SP"),VLOOKUP(CONCATENATE(LEFT($U26,2),"L"),$R$63:$T$90,3,FALSE),0)-IF(AND($V$16=I$18,$V$14&lt;&gt;$V$15,$V$16=$V$17,RIGHT($V26,3)="2SP"),VLOOKUP(CONCATENATE(LEFT($V26,2),"L"),$R$63:$T$90,3,FALSE),0)-IF(AND($W$16=I$18,$W$14&lt;&gt;$W$15,$W$16=$W$17,RIGHT($W26,3)="2SP"),VLOOKUP(CONCATENATE(LEFT($W26,2),"L"),$R$63:$T$90,3,FALSE),0)-IF(AND($X$16=I$18,$X$14&lt;&gt;$X$15,$X$16=$X$17,RIGHT($X26,3)="2SP"),VLOOKUP(CONCATENATE(LEFT($X26,2),"L"),$R$63:$T$90,3,FALSE),0)-IF(AND($Y$16=I$18,$Y$14&lt;&gt;$Y$15,$Y$16=$Y$17,RIGHT($Y26,3)="2SP"),VLOOKUP(CONCATENATE(LEFT($Y26,2),"L"),$R$63:$T$90,3,FALSE),0),"")</f>
        <v/>
      </c>
      <c r="J26" s="134">
        <f t="shared" si="1"/>
        <v>6</v>
      </c>
      <c r="K26" s="135" t="s">
        <v>389</v>
      </c>
      <c r="L26" s="135" t="s">
        <v>24</v>
      </c>
      <c r="M26" s="135" t="s">
        <v>391</v>
      </c>
      <c r="N26" s="135" t="s">
        <v>24</v>
      </c>
      <c r="O26" s="135" t="s">
        <v>286</v>
      </c>
      <c r="P26" s="135"/>
      <c r="Q26" s="135"/>
      <c r="R26" s="135"/>
      <c r="S26" s="135"/>
      <c r="T26" s="135"/>
      <c r="U26" s="135"/>
      <c r="V26" s="135"/>
      <c r="W26" s="135"/>
      <c r="X26" s="135"/>
      <c r="Y26" s="135"/>
      <c r="Z26" s="136" t="s">
        <v>7</v>
      </c>
      <c r="AA26" s="136" t="s">
        <v>357</v>
      </c>
      <c r="AB26" s="137" t="s">
        <v>18</v>
      </c>
      <c r="AC26" s="137" t="s">
        <v>183</v>
      </c>
      <c r="AD26" s="137" t="s">
        <v>18</v>
      </c>
      <c r="AE26" s="138">
        <f t="shared" si="0"/>
        <v>6</v>
      </c>
      <c r="AF26" s="78"/>
    </row>
    <row r="27" spans="1:32" ht="13.15" customHeight="1">
      <c r="A27" s="264">
        <f>IF(AND($K27&lt;&gt;"",$K27&lt;&gt;"--",$K27&lt;&gt;"O3/CP",$K$14=A$18),IF(LEFT($K27,1)="P",VLOOKUP(CONCATENATE(LEFT($K27,2),"H"),$R$63:$T$91,3,FALSE),VLOOKUP($K27,$R$63:$T$91,3,FALSE)))+IF(AND($K27&lt;&gt;"",$K27&lt;&gt;"O3/CP",$K$15=A$18,MID($K27,4,1)="2",$K$15&lt;&gt;$K$14),VLOOKUP(CONCATENATE(LEFT($K27,2),"L"),$R$63:$T$91,3,FALSE),0)+IF(AND($K27="O3/CP",$K$14=A$18),VLOOKUP("O3",$R$63:$T$91,3,FALSE)+VLOOKUP("CP",$R$63:$T$91,3,FALSE),0)+IF(AND($L27&lt;&gt;"",$L27&lt;&gt;"--",$L27&lt;&gt;"O3/CP",$L$14=A$18),IF(LEFT($L27,1)="P",VLOOKUP(CONCATENATE(LEFT($L27,2),"H"),$R$63:$T$91,3,FALSE),VLOOKUP($L27,$R$63:$T$91,3,FALSE)))+IF(AND($L27&lt;&gt;"",$L27&lt;&gt;"O3/CP",$L$15=A$18,MID($L27,4,1)="2",$L$15&lt;&gt;$L$14),VLOOKUP(CONCATENATE(LEFT($L27,2),"L"),$R$63:$T$91,3,FALSE),0)+IF(AND($L27="O3/CP",$L$14=A$18),VLOOKUP("O3",$R$63:$T$91,3,FALSE)+VLOOKUP("CP",$R$63:$T$91,3,FALSE),0)+IF(AND($M27&lt;&gt;"",$M27&lt;&gt;"--",$M27&lt;&gt;"O3/CP",$M$14=A$18),IF(LEFT($M27,1)="P",VLOOKUP(CONCATENATE(LEFT($M27,2),"H"),$R$63:$T$91,3,FALSE),VLOOKUP($M27,$R$63:$T$91,3,FALSE)))+IF(AND($M27&lt;&gt;"",$M27&lt;&gt;"O3/CP",$M$15=A$18,MID($M27,4,1)="2",$M$15&lt;&gt;$M$14),VLOOKUP(CONCATENATE(LEFT($M27,2),"L"),$R$63:$T$91,3,FALSE),0)+IF(AND($M27="O3/CP",$M$14=A$18),VLOOKUP("O3",$R$63:$T$91,3,FALSE)+VLOOKUP("CP",$R$63:$T$91,3,FALSE),0)+IF(AND($N27&lt;&gt;"",$N27&lt;&gt;"--",$N27&lt;&gt;"O3/CP",$N$14=A$18),IF(LEFT($N27,1)="P",VLOOKUP(CONCATENATE(LEFT($N27,2),"H"),$R$63:$T$91,3,FALSE),VLOOKUP($N27,$R$63:$T$91,3,FALSE)))+IF(AND($N27&lt;&gt;"",$N27&lt;&gt;"O3/CP",$N$15=A$18,MID($N27,4,1)="2",$N$15&lt;&gt;$N$14),VLOOKUP(CONCATENATE(LEFT($N27,2),"L"),$R$63:$T$91,3,FALSE),0)+IF(AND($N27="O3/CP",$N$14=A$18),VLOOKUP("O3",$R$63:$T$91,3,FALSE)+VLOOKUP("CP",$R$63:$T$91,3,FALSE),0)+IF(AND($O27&lt;&gt;"",$O27&lt;&gt;"--",$O27&lt;&gt;"O3/CP",$O$14=A$18),IF(LEFT($O27,1)="P",VLOOKUP(CONCATENATE(LEFT($O27,2),"H"),$R$63:$T$91,3,FALSE),VLOOKUP($O27,$R$63:$T$91,3,FALSE)))+IF(AND($O27&lt;&gt;"",$O27&lt;&gt;"O3/CP",$O$15=A$18,MID($O27,4,1)="2",$O$15&lt;&gt;$O$14),VLOOKUP(CONCATENATE(LEFT($O27,2),"L"),$R$63:$T$91,3,FALSE),0)+IF(AND($O27="O3/CP",$O$14=A$18),VLOOKUP("O3",$R$63:$T$91,3,FALSE)+VLOOKUP("CP",$R$63:$T$91,3,FALSE),0)+IF(AND($P27&lt;&gt;"",$P27&lt;&gt;"--",$P27&lt;&gt;"O3/CP",$P$14=A$18),IF(LEFT($P27,1)="P",VLOOKUP(CONCATENATE(LEFT($P27,2),"H"),$R$63:$T$91,3,FALSE),VLOOKUP($P27,$R$63:$T$91,3,FALSE)))+IF(AND($P27&lt;&gt;"",$P27&lt;&gt;"O3/CP",$P$15=A$18,MID($P27,4,1)="2",$P$15&lt;&gt;$P$14),VLOOKUP(CONCATENATE(LEFT($P27,2),"L"),$R$63:$T$91,3,FALSE),0)+IF(AND($P27="O3/CP",$P$14=A$18),VLOOKUP("O3",$R$63:$T$91,3,FALSE)+VLOOKUP("CP",$R$63:$T$91,3,FALSE),0)+IF(AND($Q27&lt;&gt;"",$Q27&lt;&gt;"--",$Q27&lt;&gt;"O3/CP",$Q$14=A$18),IF(LEFT($Q27,1)="P",VLOOKUP(CONCATENATE(LEFT($Q27,2),"H"),$R$63:$T$91,3,FALSE),VLOOKUP($Q27,$R$63:$T$91,3,FALSE)))+IF(AND($Q27&lt;&gt;"",$Q27&lt;&gt;"O3/CP",$Q$15=A$18,MID($Q27,4,1)="2",$Q$15&lt;&gt;$Q$14),VLOOKUP(CONCATENATE(LEFT($Q27,2),"L"),$R$63:$T$91,3,FALSE),0)+IF(AND($Q27="O3/CP",$Q$14=A$18),VLOOKUP("O3",$R$63:$T$91,3,FALSE)+VLOOKUP("CP",$R$63:$T$91,3,FALSE),0)+IF(AND($R27&lt;&gt;"",$R27&lt;&gt;"--",$R27&lt;&gt;"O3/CP",$R$14=A$18),IF(LEFT($R27,1)="P",VLOOKUP(CONCATENATE(LEFT($R27,2),"H"),$R$63:$T$91,3,FALSE),VLOOKUP($R27,$R$63:$T$91,3,FALSE)))+IF(AND($R27&lt;&gt;"",$R27&lt;&gt;"O3/CP",$R$15=A$18,MID($R27,4,1)="2",$R$15&lt;&gt;$R$14),VLOOKUP(CONCATENATE(LEFT($R27,2),"L"),$R$63:$T$91,3,FALSE),0)+IF(AND($R27="O3/CP",$R$14=A$18),VLOOKUP("O3",$R$63:$T$91,3,FALSE)+VLOOKUP("CP",$R$63:$T$91,3,FALSE),0)+IF(AND($S27&lt;&gt;"",$S27&lt;&gt;"--",$S27&lt;&gt;"O3/CP",$S$14=A$18),IF(LEFT($S27,1)="P",VLOOKUP(CONCATENATE(LEFT($S27,2),"H"),$R$63:$T$91,3,FALSE),VLOOKUP($S27,$R$63:$T$91,3,FALSE)))+IF(AND($S27&lt;&gt;"",$S27&lt;&gt;"O3/CP",$S$15=A$18,MID($S27,4,1)="2",$S$15&lt;&gt;$S$14),VLOOKUP(CONCATENATE(LEFT($S27,2),"L"),$R$63:$T$91,3,FALSE),0)+IF(AND($S27="O3/CP",$S$14=A$18),VLOOKUP("O3",$R$63:$T$91,3,FALSE)+VLOOKUP("CP",$R$63:$T$91,3,FALSE),0)+IF(AND($T27&lt;&gt;"",$T27&lt;&gt;"--",$T27&lt;&gt;"O3/CP",$T$14=A$18),IF(LEFT($T27,1)="P",VLOOKUP(CONCATENATE(LEFT($T27,2),"H"),$R$63:$T$91,3,FALSE),VLOOKUP($T27,$R$63:$T$91,3,FALSE)))+IF(AND($T27&lt;&gt;"",$T27&lt;&gt;"O3/CP",$T$15=A$18,MID($T27,4,1)="2",$T$15&lt;&gt;$T$14),VLOOKUP(CONCATENATE(LEFT($T27,2),"L"),$R$63:$T$91,3,FALSE),0)+IF(AND($T27="O3/CP",$T$14=A$18),VLOOKUP("O3",$R$63:$T$91,3,FALSE)+VLOOKUP("CP",$R$63:$T$91,3,FALSE),0)+IF(AND($U27&lt;&gt;"",$U27&lt;&gt;"--",$U27&lt;&gt;"O3/CP",$U$14=A$18),IF(LEFT($U27,1)="P",VLOOKUP(CONCATENATE(LEFT($U27,2),"H"),$R$63:$T$91,3,FALSE),VLOOKUP($U27,$R$63:$T$91,3,FALSE)))+IF(AND($U27&lt;&gt;"",$U27&lt;&gt;"O3/CP",$U$15=A$18,MID($U27,4,1)="2",$U$15&lt;&gt;$U$14),VLOOKUP(CONCATENATE(LEFT($U27,2),"L"),$R$63:$T$91,3,FALSE),0)+IF(AND($U27="O3/CP",$T$14=A$18),VLOOKUP("O3",$R$63:$T$91,3,FALSE)+VLOOKUP("CP",$R$63:$T$91,3,FALSE),0)+IF(AND($V27&lt;&gt;"",$V27&lt;&gt;"--",$V27&lt;&gt;"O3/CP",$V$14=A$18),IF(LEFT($V27,1)="P",VLOOKUP(CONCATENATE(LEFT($V27,2),"H"),$R$63:$T$91,3,FALSE),VLOOKUP($V27,$R$63:$T$91,3,FALSE)))+IF(AND($V27&lt;&gt;"",$V27&lt;&gt;"O3/CP",$V$15=A$18,MID($V27,4,1)="2",$V$15&lt;&gt;$V$14),VLOOKUP(CONCATENATE(LEFT($V27,2),"L"),$R$63:$T$91,3,FALSE),0)+IF(AND($V27="O3/CP",$V$14=A$18),VLOOKUP("O3",$R$63:$T$91,3,FALSE)+VLOOKUP("CP",$R$63:$T$91,3,FALSE),0)+IF(AND($W27&lt;&gt;"",$W27&lt;&gt;"--",$W27&lt;&gt;"O3/CP",$W$14=A$18),IF(LEFT($W27,1)="P",VLOOKUP(CONCATENATE(LEFT($W27,2),"H"),$R$63:$T$91,3,FALSE),VLOOKUP($W27,$R$63:$T$91,3,FALSE)))+IF(AND($W27&lt;&gt;"",$W27&lt;&gt;"O3/CP",$W$15=A$18,MID($W27,4,1)="2",$W$15&lt;&gt;$W$14),VLOOKUP(CONCATENATE(LEFT($W27,2),"L"),$R$63:$T$91,3,FALSE),0)+IF(AND($W27="O3/CP",$W$14=A$18),VLOOKUP("O3",$R$63:$T$91,3,FALSE)+VLOOKUP("CP",$R$63:$T$91,3,FALSE),0)+IF(AND($X27&lt;&gt;"",$X27&lt;&gt;"--",$X27&lt;&gt;"O3/CP",$X$14=A$18),IF(LEFT($X27,1)="P",VLOOKUP(CONCATENATE(LEFT($X27,2),"H"),$R$63:$T$91,3,FALSE),VLOOKUP($X27,$R$63:$T$91,3,FALSE)))+IF(AND($X27&lt;&gt;"",$X27&lt;&gt;"O3/CP",$X$15=A$18,MID($X27,4,1)="2",$X$15&lt;&gt;$X$14),VLOOKUP(CONCATENATE(LEFT($X27,2),"L"),$R$63:$T$91,3,FALSE),0)+IF(AND($X27="O3/CP",$X$14=A$18),VLOOKUP("O3",$R$63:$T$91,3,FALSE)+VLOOKUP("CP",$R$63:$T$91,3,FALSE),0)+IF(AND($Y27&lt;&gt;"",$Y27&lt;&gt;"--",$Y27&lt;&gt;"O3/CP",$Y$14=A$18),IF(LEFT($Y27,1)="P",VLOOKUP(CONCATENATE(LEFT($Y27,2),"H"),$R$63:$T$91,3,FALSE),VLOOKUP($Y27,$R$63:$T$91,3,FALSE)))+IF(AND($Y27&lt;&gt;"",$Y27&lt;&gt;"O3/CP",$Y$15=A$18,MID($Y27,4,1)="2",$Y$15&lt;&gt;$Y$14),VLOOKUP(CONCATENATE(LEFT($Y27,2),"L"),$R$63:$T$91,3,FALSE),0)+IF(AND($Y27="O3/CP",$Y$14=A$18),VLOOKUP("O3",$R$63:$T$91,3,FALSE)+VLOOKUP("CP",$R$63:$T$91,3,FALSE),0)+IF(AND($K$6="CE",'[3]Supply Attribution'!$G$20=A$18),LEFT($S$90,2),0)+IF(AND($X$86&lt;&gt;"Not Set",$X$87=A$18),$X$86,0)</f>
        <v>13</v>
      </c>
      <c r="B27" s="271">
        <f>IF(AND($K27&lt;&gt;"",$K27&lt;&gt;"--",$K27&lt;&gt;"O3/CP",$K$14=B$18),IF(LEFT($K27,1)="P",VLOOKUP(CONCATENATE(LEFT($K27,2),"H"),$R$63:$T$91,3,FALSE),VLOOKUP($K27,$R$63:$T$91,3,FALSE)))+IF(AND($K27&lt;&gt;"",$K27&lt;&gt;"O3/CP",$K$15=B$18,MID($K27,4,1)="2",$K$15&lt;&gt;$K$14),VLOOKUP(CONCATENATE(LEFT($K27,2),"L"),$R$63:$T$91,3,FALSE),0)+IF(AND($K27="O3/CP",$K$14=B$18),VLOOKUP("O3",$R$63:$T$91,3,FALSE)+VLOOKUP("CP",$R$63:$T$91,3,FALSE),0)+IF(AND($L27&lt;&gt;"",$L27&lt;&gt;"--",$L27&lt;&gt;"O3/CP",$L$14=B$18),IF(LEFT($L27,1)="P",VLOOKUP(CONCATENATE(LEFT($L27,2),"H"),$R$63:$T$91,3,FALSE),VLOOKUP($L27,$R$63:$T$91,3,FALSE)))+IF(AND($L27&lt;&gt;"",$L27&lt;&gt;"O3/CP",$L$15=B$18,MID($L27,4,1)="2",$L$15&lt;&gt;$L$14),VLOOKUP(CONCATENATE(LEFT($L27,2),"L"),$R$63:$T$91,3,FALSE),0)+IF(AND($L27="O3/CP",$L$14=B$18),VLOOKUP("O3",$R$63:$T$91,3,FALSE)+VLOOKUP("CP",$R$63:$T$91,3,FALSE),0)+IF(AND($M27&lt;&gt;"",$M27&lt;&gt;"--",$M27&lt;&gt;"O3/CP",$M$14=B$18),IF(LEFT($M27,1)="P",VLOOKUP(CONCATENATE(LEFT($M27,2),"H"),$R$63:$T$91,3,FALSE),VLOOKUP($M27,$R$63:$T$91,3,FALSE)))+IF(AND($M27&lt;&gt;"",$M27&lt;&gt;"O3/CP",$M$15=B$18,MID($M27,4,1)="2",$M$15&lt;&gt;$M$14),VLOOKUP(CONCATENATE(LEFT($M27,2),"L"),$R$63:$T$91,3,FALSE),0)+IF(AND($M27="O3/CP",$M$14=B$18),VLOOKUP("O3",$R$63:$T$91,3,FALSE)+VLOOKUP("CP",$R$63:$T$91,3,FALSE),0)+IF(AND($N27&lt;&gt;"",$N27&lt;&gt;"--",$N27&lt;&gt;"O3/CP",$N$14=B$18),IF(LEFT($N27,1)="P",VLOOKUP(CONCATENATE(LEFT($N27,2),"H"),$R$63:$T$91,3,FALSE),VLOOKUP($N27,$R$63:$T$91,3,FALSE)))+IF(AND($N27&lt;&gt;"",$N27&lt;&gt;"O3/CP",$N$15=B$18,MID($N27,4,1)="2",$N$15&lt;&gt;$N$14),VLOOKUP(CONCATENATE(LEFT($N27,2),"L"),$R$63:$T$91,3,FALSE),0)+IF(AND($N27="O3/CP",$N$14=B$18),VLOOKUP("O3",$R$63:$T$91,3,FALSE)+VLOOKUP("CP",$R$63:$T$91,3,FALSE),0)+IF(AND($O27&lt;&gt;"",$O27&lt;&gt;"--",$O27&lt;&gt;"O3/CP",$O$14=B$18),IF(LEFT($O27,1)="P",VLOOKUP(CONCATENATE(LEFT($O27,2),"H"),$R$63:$T$91,3,FALSE),VLOOKUP($O27,$R$63:$T$91,3,FALSE)))+IF(AND($O27&lt;&gt;"",$O27&lt;&gt;"O3/CP",$O$15=B$18,MID($O27,4,1)="2",$O$15&lt;&gt;$O$14),VLOOKUP(CONCATENATE(LEFT($O27,2),"L"),$R$63:$T$91,3,FALSE),0)+IF(AND($O27="O3/CP",$O$14=B$18),VLOOKUP("O3",$R$63:$T$91,3,FALSE)+VLOOKUP("CP",$R$63:$T$91,3,FALSE),0)+IF(AND($P27&lt;&gt;"",$P27&lt;&gt;"--",$P27&lt;&gt;"O3/CP",$P$14=B$18),IF(LEFT($P27,1)="P",VLOOKUP(CONCATENATE(LEFT($P27,2),"H"),$R$63:$T$91,3,FALSE),VLOOKUP($P27,$R$63:$T$91,3,FALSE)))+IF(AND($P27&lt;&gt;"",$P27&lt;&gt;"O3/CP",$P$15=B$18,MID($P27,4,1)="2",$P$15&lt;&gt;$P$14),VLOOKUP(CONCATENATE(LEFT($P27,2),"L"),$R$63:$T$91,3,FALSE),0)+IF(AND($P27="O3/CP",$P$14=B$18),VLOOKUP("O3",$R$63:$T$91,3,FALSE)+VLOOKUP("CP",$R$63:$T$91,3,FALSE),0)+IF(AND($Q27&lt;&gt;"",$Q27&lt;&gt;"--",$Q27&lt;&gt;"O3/CP",$Q$14=B$18),IF(LEFT($Q27,1)="P",VLOOKUP(CONCATENATE(LEFT($Q27,2),"H"),$R$63:$T$91,3,FALSE),VLOOKUP($Q27,$R$63:$T$91,3,FALSE)))+IF(AND($Q27&lt;&gt;"",$Q27&lt;&gt;"O3/CP",$Q$15=B$18,MID($Q27,4,1)="2",$Q$15&lt;&gt;$Q$14),VLOOKUP(CONCATENATE(LEFT($Q27,2),"L"),$R$63:$T$91,3,FALSE),0)+IF(AND($Q27="O3/CP",$Q$14=B$18),VLOOKUP("O3",$R$63:$T$91,3,FALSE)+VLOOKUP("CP",$R$63:$T$91,3,FALSE),0)+IF(AND($R27&lt;&gt;"",$R27&lt;&gt;"--",$R27&lt;&gt;"O3/CP",$R$14=B$18),IF(LEFT($R27,1)="P",VLOOKUP(CONCATENATE(LEFT($R27,2),"H"),$R$63:$T$91,3,FALSE),VLOOKUP($R27,$R$63:$T$91,3,FALSE)))+IF(AND($R27&lt;&gt;"",$R27&lt;&gt;"O3/CP",$R$15=B$18,MID($R27,4,1)="2",$R$15&lt;&gt;$R$14),VLOOKUP(CONCATENATE(LEFT($R27,2),"L"),$R$63:$T$91,3,FALSE),0)+IF(AND($R27="O3/CP",$R$14=B$18),VLOOKUP("O3",$R$63:$T$91,3,FALSE)+VLOOKUP("CP",$R$63:$T$91,3,FALSE),0)+IF(AND($S27&lt;&gt;"",$S27&lt;&gt;"--",$S27&lt;&gt;"O3/CP",$S$14=B$18),IF(LEFT($S27,1)="P",VLOOKUP(CONCATENATE(LEFT($S27,2),"H"),$R$63:$T$91,3,FALSE),VLOOKUP($S27,$R$63:$T$91,3,FALSE)))+IF(AND($S27&lt;&gt;"",$S27&lt;&gt;"O3/CP",$S$15=B$18,MID($S27,4,1)="2",$S$15&lt;&gt;$S$14),VLOOKUP(CONCATENATE(LEFT($S27,2),"L"),$R$63:$T$91,3,FALSE),0)+IF(AND($S27="O3/CP",$S$14=B$18),VLOOKUP("O3",$R$63:$T$91,3,FALSE)+VLOOKUP("CP",$R$63:$T$91,3,FALSE),0)+IF(AND($T27&lt;&gt;"",$T27&lt;&gt;"--",$T27&lt;&gt;"O3/CP",$T$14=B$18),IF(LEFT($T27,1)="P",VLOOKUP(CONCATENATE(LEFT($T27,2),"H"),$R$63:$T$91,3,FALSE),VLOOKUP($T27,$R$63:$T$91,3,FALSE)))+IF(AND($T27&lt;&gt;"",$T27&lt;&gt;"O3/CP",$T$15=B$18,MID($T27,4,1)="2",$T$15&lt;&gt;$T$14),VLOOKUP(CONCATENATE(LEFT($T27,2),"L"),$R$63:$T$91,3,FALSE),0)+IF(AND($T27="O3/CP",$T$14=B$18),VLOOKUP("O3",$R$63:$T$91,3,FALSE)+VLOOKUP("CP",$R$63:$T$91,3,FALSE),0)+IF(AND($U27&lt;&gt;"",$U27&lt;&gt;"--",$U27&lt;&gt;"O3/CP",$U$14=B$18),IF(LEFT($U27,1)="P",VLOOKUP(CONCATENATE(LEFT($U27,2),"H"),$R$63:$T$91,3,FALSE),VLOOKUP($U27,$R$63:$T$91,3,FALSE)))+IF(AND($U27&lt;&gt;"",$U27&lt;&gt;"O3/CP",$U$15=B$18,MID($U27,4,1)="2",$U$15&lt;&gt;$U$14),VLOOKUP(CONCATENATE(LEFT($U27,2),"L"),$R$63:$T$91,3,FALSE),0)+IF(AND($U27="O3/CP",$T$14=B$18),VLOOKUP("O3",$R$63:$T$91,3,FALSE)+VLOOKUP("CP",$R$63:$T$91,3,FALSE),0)+IF(AND($V27&lt;&gt;"",$V27&lt;&gt;"--",$V27&lt;&gt;"O3/CP",$V$14=B$18),IF(LEFT($V27,1)="P",VLOOKUP(CONCATENATE(LEFT($V27,2),"H"),$R$63:$T$91,3,FALSE),VLOOKUP($V27,$R$63:$T$91,3,FALSE)))+IF(AND($V27&lt;&gt;"",$V27&lt;&gt;"O3/CP",$V$15=B$18,MID($V27,4,1)="2",$V$15&lt;&gt;$V$14),VLOOKUP(CONCATENATE(LEFT($V27,2),"L"),$R$63:$T$91,3,FALSE),0)+IF(AND($V27="O3/CP",$V$14=B$18),VLOOKUP("O3",$R$63:$T$91,3,FALSE)+VLOOKUP("CP",$R$63:$T$91,3,FALSE),0)+IF(AND($W27&lt;&gt;"",$W27&lt;&gt;"--",$W27&lt;&gt;"O3/CP",$W$14=B$18),IF(LEFT($W27,1)="P",VLOOKUP(CONCATENATE(LEFT($W27,2),"H"),$R$63:$T$91,3,FALSE),VLOOKUP($W27,$R$63:$T$91,3,FALSE)))+IF(AND($W27&lt;&gt;"",$W27&lt;&gt;"O3/CP",$W$15=B$18,MID($W27,4,1)="2",$W$15&lt;&gt;$W$14),VLOOKUP(CONCATENATE(LEFT($W27,2),"L"),$R$63:$T$91,3,FALSE),0)+IF(AND($W27="O3/CP",$W$14=B$18),VLOOKUP("O3",$R$63:$T$91,3,FALSE)+VLOOKUP("CP",$R$63:$T$91,3,FALSE),0)+IF(AND($X27&lt;&gt;"",$X27&lt;&gt;"--",$X27&lt;&gt;"O3/CP",$X$14=B$18),IF(LEFT($X27,1)="P",VLOOKUP(CONCATENATE(LEFT($X27,2),"H"),$R$63:$T$91,3,FALSE),VLOOKUP($X27,$R$63:$T$91,3,FALSE)))+IF(AND($X27&lt;&gt;"",$X27&lt;&gt;"O3/CP",$X$15=B$18,MID($X27,4,1)="2",$X$15&lt;&gt;$X$14),VLOOKUP(CONCATENATE(LEFT($X27,2),"L"),$R$63:$T$91,3,FALSE),0)+IF(AND($X27="O3/CP",$X$14=B$18),VLOOKUP("O3",$R$63:$T$91,3,FALSE)+VLOOKUP("CP",$R$63:$T$91,3,FALSE),0)+IF(AND($Y27&lt;&gt;"",$Y27&lt;&gt;"--",$Y27&lt;&gt;"O3/CP",$Y$14=B$18),IF(LEFT($Y27,1)="P",VLOOKUP(CONCATENATE(LEFT($Y27,2),"H"),$R$63:$T$91,3,FALSE),VLOOKUP($Y27,$R$63:$T$91,3,FALSE)))+IF(AND($Y27&lt;&gt;"",$Y27&lt;&gt;"O3/CP",$Y$15=B$18,MID($Y27,4,1)="2",$Y$15&lt;&gt;$Y$14),VLOOKUP(CONCATENATE(LEFT($Y27,2),"L"),$R$63:$T$91,3,FALSE),0)+IF(AND($Y27="O3/CP",$Y$14=B$18),VLOOKUP("O3",$R$63:$T$91,3,FALSE)+VLOOKUP("CP",$R$63:$T$91,3,FALSE),0)+IF(AND($K$6="CE",'[3]Supply Attribution'!$G$20=B$18),LEFT($S$90,2),0)+IF(AND($X$86&lt;&gt;"Not Set",$X$87=B$18),$X$86,0)</f>
        <v>6</v>
      </c>
      <c r="C27" s="271">
        <f>IF(AND($K27&lt;&gt;"",$K27&lt;&gt;"--",$K27&lt;&gt;"O3/CP",$K$14=C$18),IF(LEFT($K27,1)="P",VLOOKUP(CONCATENATE(LEFT($K27,2),"H"),$R$63:$T$91,3,FALSE),VLOOKUP($K27,$R$63:$T$91,3,FALSE)))+IF(AND($K27&lt;&gt;"",$K27&lt;&gt;"O3/CP",$K$15=C$18,MID($K27,4,1)="2",$K$15&lt;&gt;$K$14),VLOOKUP(CONCATENATE(LEFT($K27,2),"L"),$R$63:$T$91,3,FALSE),0)+IF(AND($K27="O3/CP",$K$14=C$18),VLOOKUP("O3",$R$63:$T$91,3,FALSE)+VLOOKUP("CP",$R$63:$T$91,3,FALSE),0)+IF(AND($L27&lt;&gt;"",$L27&lt;&gt;"--",$L27&lt;&gt;"O3/CP",$L$14=C$18),IF(LEFT($L27,1)="P",VLOOKUP(CONCATENATE(LEFT($L27,2),"H"),$R$63:$T$91,3,FALSE),VLOOKUP($L27,$R$63:$T$91,3,FALSE)))+IF(AND($L27&lt;&gt;"",$L27&lt;&gt;"O3/CP",$L$15=C$18,MID($L27,4,1)="2",$L$15&lt;&gt;$L$14),VLOOKUP(CONCATENATE(LEFT($L27,2),"L"),$R$63:$T$91,3,FALSE),0)+IF(AND($L27="O3/CP",$L$14=C$18),VLOOKUP("O3",$R$63:$T$91,3,FALSE)+VLOOKUP("CP",$R$63:$T$91,3,FALSE),0)+IF(AND($M27&lt;&gt;"",$M27&lt;&gt;"--",$M27&lt;&gt;"O3/CP",$M$14=C$18),IF(LEFT($M27,1)="P",VLOOKUP(CONCATENATE(LEFT($M27,2),"H"),$R$63:$T$91,3,FALSE),VLOOKUP($M27,$R$63:$T$91,3,FALSE)))+IF(AND($M27&lt;&gt;"",$M27&lt;&gt;"O3/CP",$M$15=C$18,MID($M27,4,1)="2",$M$15&lt;&gt;$M$14),VLOOKUP(CONCATENATE(LEFT($M27,2),"L"),$R$63:$T$91,3,FALSE),0)+IF(AND($M27="O3/CP",$M$14=C$18),VLOOKUP("O3",$R$63:$T$91,3,FALSE)+VLOOKUP("CP",$R$63:$T$91,3,FALSE),0)+IF(AND($N27&lt;&gt;"",$N27&lt;&gt;"--",$N27&lt;&gt;"O3/CP",$N$14=C$18),IF(LEFT($N27,1)="P",VLOOKUP(CONCATENATE(LEFT($N27,2),"H"),$R$63:$T$91,3,FALSE),VLOOKUP($N27,$R$63:$T$91,3,FALSE)))+IF(AND($N27&lt;&gt;"",$N27&lt;&gt;"O3/CP",$N$15=C$18,MID($N27,4,1)="2",$N$15&lt;&gt;$N$14),VLOOKUP(CONCATENATE(LEFT($N27,2),"L"),$R$63:$T$91,3,FALSE),0)+IF(AND($N27="O3/CP",$N$14=C$18),VLOOKUP("O3",$R$63:$T$91,3,FALSE)+VLOOKUP("CP",$R$63:$T$91,3,FALSE),0)+IF(AND($O27&lt;&gt;"",$O27&lt;&gt;"--",$O27&lt;&gt;"O3/CP",$O$14=C$18),IF(LEFT($O27,1)="P",VLOOKUP(CONCATENATE(LEFT($O27,2),"H"),$R$63:$T$91,3,FALSE),VLOOKUP($O27,$R$63:$T$91,3,FALSE)))+IF(AND($O27&lt;&gt;"",$O27&lt;&gt;"O3/CP",$O$15=C$18,MID($O27,4,1)="2",$O$15&lt;&gt;$O$14),VLOOKUP(CONCATENATE(LEFT($O27,2),"L"),$R$63:$T$91,3,FALSE),0)+IF(AND($O27="O3/CP",$O$14=C$18),VLOOKUP("O3",$R$63:$T$91,3,FALSE)+VLOOKUP("CP",$R$63:$T$91,3,FALSE),0)+IF(AND($P27&lt;&gt;"",$P27&lt;&gt;"--",$P27&lt;&gt;"O3/CP",$P$14=C$18),IF(LEFT($P27,1)="P",VLOOKUP(CONCATENATE(LEFT($P27,2),"H"),$R$63:$T$91,3,FALSE),VLOOKUP($P27,$R$63:$T$91,3,FALSE)))+IF(AND($P27&lt;&gt;"",$P27&lt;&gt;"O3/CP",$P$15=C$18,MID($P27,4,1)="2",$P$15&lt;&gt;$P$14),VLOOKUP(CONCATENATE(LEFT($P27,2),"L"),$R$63:$T$91,3,FALSE),0)+IF(AND($P27="O3/CP",$P$14=C$18),VLOOKUP("O3",$R$63:$T$91,3,FALSE)+VLOOKUP("CP",$R$63:$T$91,3,FALSE),0)+IF(AND($Q27&lt;&gt;"",$Q27&lt;&gt;"--",$Q27&lt;&gt;"O3/CP",$Q$14=C$18),IF(LEFT($Q27,1)="P",VLOOKUP(CONCATENATE(LEFT($Q27,2),"H"),$R$63:$T$91,3,FALSE),VLOOKUP($Q27,$R$63:$T$91,3,FALSE)))+IF(AND($Q27&lt;&gt;"",$Q27&lt;&gt;"O3/CP",$Q$15=C$18,MID($Q27,4,1)="2",$Q$15&lt;&gt;$Q$14),VLOOKUP(CONCATENATE(LEFT($Q27,2),"L"),$R$63:$T$91,3,FALSE),0)+IF(AND($Q27="O3/CP",$Q$14=C$18),VLOOKUP("O3",$R$63:$T$91,3,FALSE)+VLOOKUP("CP",$R$63:$T$91,3,FALSE),0)+IF(AND($R27&lt;&gt;"",$R27&lt;&gt;"--",$R27&lt;&gt;"O3/CP",$R$14=C$18),IF(LEFT($R27,1)="P",VLOOKUP(CONCATENATE(LEFT($R27,2),"H"),$R$63:$T$91,3,FALSE),VLOOKUP($R27,$R$63:$T$91,3,FALSE)))+IF(AND($R27&lt;&gt;"",$R27&lt;&gt;"O3/CP",$R$15=C$18,MID($R27,4,1)="2",$R$15&lt;&gt;$R$14),VLOOKUP(CONCATENATE(LEFT($R27,2),"L"),$R$63:$T$91,3,FALSE),0)+IF(AND($R27="O3/CP",$R$14=C$18),VLOOKUP("O3",$R$63:$T$91,3,FALSE)+VLOOKUP("CP",$R$63:$T$91,3,FALSE),0)+IF(AND($S27&lt;&gt;"",$S27&lt;&gt;"--",$S27&lt;&gt;"O3/CP",$S$14=C$18),IF(LEFT($S27,1)="P",VLOOKUP(CONCATENATE(LEFT($S27,2),"H"),$R$63:$T$91,3,FALSE),VLOOKUP($S27,$R$63:$T$91,3,FALSE)))+IF(AND($S27&lt;&gt;"",$S27&lt;&gt;"O3/CP",$S$15=C$18,MID($S27,4,1)="2",$S$15&lt;&gt;$S$14),VLOOKUP(CONCATENATE(LEFT($S27,2),"L"),$R$63:$T$91,3,FALSE),0)+IF(AND($S27="O3/CP",$S$14=C$18),VLOOKUP("O3",$R$63:$T$91,3,FALSE)+VLOOKUP("CP",$R$63:$T$91,3,FALSE),0)+IF(AND($T27&lt;&gt;"",$T27&lt;&gt;"--",$T27&lt;&gt;"O3/CP",$T$14=C$18),IF(LEFT($T27,1)="P",VLOOKUP(CONCATENATE(LEFT($T27,2),"H"),$R$63:$T$91,3,FALSE),VLOOKUP($T27,$R$63:$T$91,3,FALSE)))+IF(AND($T27&lt;&gt;"",$T27&lt;&gt;"O3/CP",$T$15=C$18,MID($T27,4,1)="2",$T$15&lt;&gt;$T$14),VLOOKUP(CONCATENATE(LEFT($T27,2),"L"),$R$63:$T$91,3,FALSE),0)+IF(AND($T27="O3/CP",$T$14=C$18),VLOOKUP("O3",$R$63:$T$91,3,FALSE)+VLOOKUP("CP",$R$63:$T$91,3,FALSE),0)+IF(AND($U27&lt;&gt;"",$U27&lt;&gt;"--",$U27&lt;&gt;"O3/CP",$U$14=C$18),IF(LEFT($U27,1)="P",VLOOKUP(CONCATENATE(LEFT($U27,2),"H"),$R$63:$T$91,3,FALSE),VLOOKUP($U27,$R$63:$T$91,3,FALSE)))+IF(AND($U27&lt;&gt;"",$U27&lt;&gt;"O3/CP",$U$15=C$18,MID($U27,4,1)="2",$U$15&lt;&gt;$U$14),VLOOKUP(CONCATENATE(LEFT($U27,2),"L"),$R$63:$T$91,3,FALSE),0)+IF(AND($U27="O3/CP",$T$14=C$18),VLOOKUP("O3",$R$63:$T$91,3,FALSE)+VLOOKUP("CP",$R$63:$T$91,3,FALSE),0)+IF(AND($V27&lt;&gt;"",$V27&lt;&gt;"--",$V27&lt;&gt;"O3/CP",$V$14=C$18),IF(LEFT($V27,1)="P",VLOOKUP(CONCATENATE(LEFT($V27,2),"H"),$R$63:$T$91,3,FALSE),VLOOKUP($V27,$R$63:$T$91,3,FALSE)))+IF(AND($V27&lt;&gt;"",$V27&lt;&gt;"O3/CP",$V$15=C$18,MID($V27,4,1)="2",$V$15&lt;&gt;$V$14),VLOOKUP(CONCATENATE(LEFT($V27,2),"L"),$R$63:$T$91,3,FALSE),0)+IF(AND($V27="O3/CP",$V$14=C$18),VLOOKUP("O3",$R$63:$T$91,3,FALSE)+VLOOKUP("CP",$R$63:$T$91,3,FALSE),0)+IF(AND($W27&lt;&gt;"",$W27&lt;&gt;"--",$W27&lt;&gt;"O3/CP",$W$14=C$18),IF(LEFT($W27,1)="P",VLOOKUP(CONCATENATE(LEFT($W27,2),"H"),$R$63:$T$91,3,FALSE),VLOOKUP($W27,$R$63:$T$91,3,FALSE)))+IF(AND($W27&lt;&gt;"",$W27&lt;&gt;"O3/CP",$W$15=C$18,MID($W27,4,1)="2",$W$15&lt;&gt;$W$14),VLOOKUP(CONCATENATE(LEFT($W27,2),"L"),$R$63:$T$91,3,FALSE),0)+IF(AND($W27="O3/CP",$W$14=C$18),VLOOKUP("O3",$R$63:$T$91,3,FALSE)+VLOOKUP("CP",$R$63:$T$91,3,FALSE),0)+IF(AND($X27&lt;&gt;"",$X27&lt;&gt;"--",$X27&lt;&gt;"O3/CP",$X$14=C$18),IF(LEFT($X27,1)="P",VLOOKUP(CONCATENATE(LEFT($X27,2),"H"),$R$63:$T$91,3,FALSE),VLOOKUP($X27,$R$63:$T$91,3,FALSE)))+IF(AND($X27&lt;&gt;"",$X27&lt;&gt;"O3/CP",$X$15=C$18,MID($X27,4,1)="2",$X$15&lt;&gt;$X$14),VLOOKUP(CONCATENATE(LEFT($X27,2),"L"),$R$63:$T$91,3,FALSE),0)+IF(AND($X27="O3/CP",$X$14=C$18),VLOOKUP("O3",$R$63:$T$91,3,FALSE)+VLOOKUP("CP",$R$63:$T$91,3,FALSE),0)+IF(AND($Y27&lt;&gt;"",$Y27&lt;&gt;"--",$Y27&lt;&gt;"O3/CP",$Y$14=C$18),IF(LEFT($Y27,1)="P",VLOOKUP(CONCATENATE(LEFT($Y27,2),"H"),$R$63:$T$91,3,FALSE),VLOOKUP($Y27,$R$63:$T$91,3,FALSE)))+IF(AND($Y27&lt;&gt;"",$Y27&lt;&gt;"O3/CP",$Y$15=C$18,MID($Y27,4,1)="2",$Y$15&lt;&gt;$Y$14),VLOOKUP(CONCATENATE(LEFT($Y27,2),"L"),$R$63:$T$91,3,FALSE),0)+IF(AND($Y27="O3/CP",$Y$14=C$18),VLOOKUP("O3",$R$63:$T$91,3,FALSE)+VLOOKUP("CP",$R$63:$T$91,3,FALSE),0)+IF(AND($K$6="CE",'[3]Supply Attribution'!$G$20=C$18),LEFT($S$90,2),0)+IF(AND($X$86&lt;&gt;"Not Set",$X$87=C$18),$X$86,0)</f>
        <v>0</v>
      </c>
      <c r="D27" s="271">
        <f>IF(AND($K27&lt;&gt;"",$K27&lt;&gt;"--",$K27&lt;&gt;"O3/CP",$K$14=D$18),IF(LEFT($K27,1)="P",VLOOKUP(CONCATENATE(LEFT($K27,2),"H"),$R$63:$T$91,3,FALSE),VLOOKUP($K27,$R$63:$T$91,3,FALSE)))+IF(AND($K27&lt;&gt;"",$K27&lt;&gt;"O3/CP",$K$15=D$18,MID($K27,4,1)="2",$K$15&lt;&gt;$K$14),VLOOKUP(CONCATENATE(LEFT($K27,2),"L"),$R$63:$T$91,3,FALSE),0)+IF(AND($K27="O3/CP",$K$14=D$18),VLOOKUP("O3",$R$63:$T$91,3,FALSE)+VLOOKUP("CP",$R$63:$T$91,3,FALSE),0)+IF(AND($L27&lt;&gt;"",$L27&lt;&gt;"--",$L27&lt;&gt;"O3/CP",$L$14=D$18),IF(LEFT($L27,1)="P",VLOOKUP(CONCATENATE(LEFT($L27,2),"H"),$R$63:$T$91,3,FALSE),VLOOKUP($L27,$R$63:$T$91,3,FALSE)))+IF(AND($L27&lt;&gt;"",$L27&lt;&gt;"O3/CP",$L$15=D$18,MID($L27,4,1)="2",$L$15&lt;&gt;$L$14),VLOOKUP(CONCATENATE(LEFT($L27,2),"L"),$R$63:$T$91,3,FALSE),0)+IF(AND($L27="O3/CP",$L$14=D$18),VLOOKUP("O3",$R$63:$T$91,3,FALSE)+VLOOKUP("CP",$R$63:$T$91,3,FALSE),0)+IF(AND($M27&lt;&gt;"",$M27&lt;&gt;"--",$M27&lt;&gt;"O3/CP",$M$14=D$18),IF(LEFT($M27,1)="P",VLOOKUP(CONCATENATE(LEFT($M27,2),"H"),$R$63:$T$91,3,FALSE),VLOOKUP($M27,$R$63:$T$91,3,FALSE)))+IF(AND($M27&lt;&gt;"",$M27&lt;&gt;"O3/CP",$M$15=D$18,MID($M27,4,1)="2",$M$15&lt;&gt;$M$14),VLOOKUP(CONCATENATE(LEFT($M27,2),"L"),$R$63:$T$91,3,FALSE),0)+IF(AND($M27="O3/CP",$M$14=D$18),VLOOKUP("O3",$R$63:$T$91,3,FALSE)+VLOOKUP("CP",$R$63:$T$91,3,FALSE),0)+IF(AND($N27&lt;&gt;"",$N27&lt;&gt;"--",$N27&lt;&gt;"O3/CP",$N$14=D$18),IF(LEFT($N27,1)="P",VLOOKUP(CONCATENATE(LEFT($N27,2),"H"),$R$63:$T$91,3,FALSE),VLOOKUP($N27,$R$63:$T$91,3,FALSE)))+IF(AND($N27&lt;&gt;"",$N27&lt;&gt;"O3/CP",$N$15=D$18,MID($N27,4,1)="2",$N$15&lt;&gt;$N$14),VLOOKUP(CONCATENATE(LEFT($N27,2),"L"),$R$63:$T$91,3,FALSE),0)+IF(AND($N27="O3/CP",$N$14=D$18),VLOOKUP("O3",$R$63:$T$91,3,FALSE)+VLOOKUP("CP",$R$63:$T$91,3,FALSE),0)+IF(AND($O27&lt;&gt;"",$O27&lt;&gt;"--",$O27&lt;&gt;"O3/CP",$O$14=D$18),IF(LEFT($O27,1)="P",VLOOKUP(CONCATENATE(LEFT($O27,2),"H"),$R$63:$T$91,3,FALSE),VLOOKUP($O27,$R$63:$T$91,3,FALSE)))+IF(AND($O27&lt;&gt;"",$O27&lt;&gt;"O3/CP",$O$15=D$18,MID($O27,4,1)="2",$O$15&lt;&gt;$O$14),VLOOKUP(CONCATENATE(LEFT($O27,2),"L"),$R$63:$T$91,3,FALSE),0)+IF(AND($O27="O3/CP",$O$14=D$18),VLOOKUP("O3",$R$63:$T$91,3,FALSE)+VLOOKUP("CP",$R$63:$T$91,3,FALSE),0)+IF(AND($P27&lt;&gt;"",$P27&lt;&gt;"--",$P27&lt;&gt;"O3/CP",$P$14=D$18),IF(LEFT($P27,1)="P",VLOOKUP(CONCATENATE(LEFT($P27,2),"H"),$R$63:$T$91,3,FALSE),VLOOKUP($P27,$R$63:$T$91,3,FALSE)))+IF(AND($P27&lt;&gt;"",$P27&lt;&gt;"O3/CP",$P$15=D$18,MID($P27,4,1)="2",$P$15&lt;&gt;$P$14),VLOOKUP(CONCATENATE(LEFT($P27,2),"L"),$R$63:$T$91,3,FALSE),0)+IF(AND($P27="O3/CP",$P$14=D$18),VLOOKUP("O3",$R$63:$T$91,3,FALSE)+VLOOKUP("CP",$R$63:$T$91,3,FALSE),0)+IF(AND($Q27&lt;&gt;"",$Q27&lt;&gt;"--",$Q27&lt;&gt;"O3/CP",$Q$14=D$18),IF(LEFT($Q27,1)="P",VLOOKUP(CONCATENATE(LEFT($Q27,2),"H"),$R$63:$T$91,3,FALSE),VLOOKUP($Q27,$R$63:$T$91,3,FALSE)))+IF(AND($Q27&lt;&gt;"",$Q27&lt;&gt;"O3/CP",$Q$15=D$18,MID($Q27,4,1)="2",$Q$15&lt;&gt;$Q$14),VLOOKUP(CONCATENATE(LEFT($Q27,2),"L"),$R$63:$T$91,3,FALSE),0)+IF(AND($Q27="O3/CP",$Q$14=D$18),VLOOKUP("O3",$R$63:$T$91,3,FALSE)+VLOOKUP("CP",$R$63:$T$91,3,FALSE),0)+IF(AND($R27&lt;&gt;"",$R27&lt;&gt;"--",$R27&lt;&gt;"O3/CP",$R$14=D$18),IF(LEFT($R27,1)="P",VLOOKUP(CONCATENATE(LEFT($R27,2),"H"),$R$63:$T$91,3,FALSE),VLOOKUP($R27,$R$63:$T$91,3,FALSE)))+IF(AND($R27&lt;&gt;"",$R27&lt;&gt;"O3/CP",$R$15=D$18,MID($R27,4,1)="2",$R$15&lt;&gt;$R$14),VLOOKUP(CONCATENATE(LEFT($R27,2),"L"),$R$63:$T$91,3,FALSE),0)+IF(AND($R27="O3/CP",$R$14=D$18),VLOOKUP("O3",$R$63:$T$91,3,FALSE)+VLOOKUP("CP",$R$63:$T$91,3,FALSE),0)+IF(AND($S27&lt;&gt;"",$S27&lt;&gt;"--",$S27&lt;&gt;"O3/CP",$S$14=D$18),IF(LEFT($S27,1)="P",VLOOKUP(CONCATENATE(LEFT($S27,2),"H"),$R$63:$T$91,3,FALSE),VLOOKUP($S27,$R$63:$T$91,3,FALSE)))+IF(AND($S27&lt;&gt;"",$S27&lt;&gt;"O3/CP",$S$15=D$18,MID($S27,4,1)="2",$S$15&lt;&gt;$S$14),VLOOKUP(CONCATENATE(LEFT($S27,2),"L"),$R$63:$T$91,3,FALSE),0)+IF(AND($S27="O3/CP",$S$14=D$18),VLOOKUP("O3",$R$63:$T$91,3,FALSE)+VLOOKUP("CP",$R$63:$T$91,3,FALSE),0)+IF(AND($T27&lt;&gt;"",$T27&lt;&gt;"--",$T27&lt;&gt;"O3/CP",$T$14=D$18),IF(LEFT($T27,1)="P",VLOOKUP(CONCATENATE(LEFT($T27,2),"H"),$R$63:$T$91,3,FALSE),VLOOKUP($T27,$R$63:$T$91,3,FALSE)))+IF(AND($T27&lt;&gt;"",$T27&lt;&gt;"O3/CP",$T$15=D$18,MID($T27,4,1)="2",$T$15&lt;&gt;$T$14),VLOOKUP(CONCATENATE(LEFT($T27,2),"L"),$R$63:$T$91,3,FALSE),0)+IF(AND($T27="O3/CP",$T$14=D$18),VLOOKUP("O3",$R$63:$T$91,3,FALSE)+VLOOKUP("CP",$R$63:$T$91,3,FALSE),0)+IF(AND($U27&lt;&gt;"",$U27&lt;&gt;"--",$U27&lt;&gt;"O3/CP",$U$14=D$18),IF(LEFT($U27,1)="P",VLOOKUP(CONCATENATE(LEFT($U27,2),"H"),$R$63:$T$91,3,FALSE),VLOOKUP($U27,$R$63:$T$91,3,FALSE)))+IF(AND($U27&lt;&gt;"",$U27&lt;&gt;"O3/CP",$U$15=D$18,MID($U27,4,1)="2",$U$15&lt;&gt;$U$14),VLOOKUP(CONCATENATE(LEFT($U27,2),"L"),$R$63:$T$91,3,FALSE),0)+IF(AND($U27="O3/CP",$T$14=D$18),VLOOKUP("O3",$R$63:$T$91,3,FALSE)+VLOOKUP("CP",$R$63:$T$91,3,FALSE),0)+IF(AND($V27&lt;&gt;"",$V27&lt;&gt;"--",$V27&lt;&gt;"O3/CP",$V$14=D$18),IF(LEFT($V27,1)="P",VLOOKUP(CONCATENATE(LEFT($V27,2),"H"),$R$63:$T$91,3,FALSE),VLOOKUP($V27,$R$63:$T$91,3,FALSE)))+IF(AND($V27&lt;&gt;"",$V27&lt;&gt;"O3/CP",$V$15=D$18,MID($V27,4,1)="2",$V$15&lt;&gt;$V$14),VLOOKUP(CONCATENATE(LEFT($V27,2),"L"),$R$63:$T$91,3,FALSE),0)+IF(AND($V27="O3/CP",$V$14=D$18),VLOOKUP("O3",$R$63:$T$91,3,FALSE)+VLOOKUP("CP",$R$63:$T$91,3,FALSE),0)+IF(AND($W27&lt;&gt;"",$W27&lt;&gt;"--",$W27&lt;&gt;"O3/CP",$W$14=D$18),IF(LEFT($W27,1)="P",VLOOKUP(CONCATENATE(LEFT($W27,2),"H"),$R$63:$T$91,3,FALSE),VLOOKUP($W27,$R$63:$T$91,3,FALSE)))+IF(AND($W27&lt;&gt;"",$W27&lt;&gt;"O3/CP",$W$15=D$18,MID($W27,4,1)="2",$W$15&lt;&gt;$W$14),VLOOKUP(CONCATENATE(LEFT($W27,2),"L"),$R$63:$T$91,3,FALSE),0)+IF(AND($W27="O3/CP",$W$14=D$18),VLOOKUP("O3",$R$63:$T$91,3,FALSE)+VLOOKUP("CP",$R$63:$T$91,3,FALSE),0)+IF(AND($X27&lt;&gt;"",$X27&lt;&gt;"--",$X27&lt;&gt;"O3/CP",$X$14=D$18),IF(LEFT($X27,1)="P",VLOOKUP(CONCATENATE(LEFT($X27,2),"H"),$R$63:$T$91,3,FALSE),VLOOKUP($X27,$R$63:$T$91,3,FALSE)))+IF(AND($X27&lt;&gt;"",$X27&lt;&gt;"O3/CP",$X$15=D$18,MID($X27,4,1)="2",$X$15&lt;&gt;$X$14),VLOOKUP(CONCATENATE(LEFT($X27,2),"L"),$R$63:$T$91,3,FALSE),0)+IF(AND($X27="O3/CP",$X$14=D$18),VLOOKUP("O3",$R$63:$T$91,3,FALSE)+VLOOKUP("CP",$R$63:$T$91,3,FALSE),0)+IF(AND($Y27&lt;&gt;"",$Y27&lt;&gt;"--",$Y27&lt;&gt;"O3/CP",$Y$14=D$18),IF(LEFT($Y27,1)="P",VLOOKUP(CONCATENATE(LEFT($Y27,2),"H"),$R$63:$T$91,3,FALSE),VLOOKUP($Y27,$R$63:$T$91,3,FALSE)))+IF(AND($Y27&lt;&gt;"",$Y27&lt;&gt;"O3/CP",$Y$15=D$18,MID($Y27,4,1)="2",$Y$15&lt;&gt;$Y$14),VLOOKUP(CONCATENATE(LEFT($Y27,2),"L"),$R$63:$T$91,3,FALSE),0)+IF(AND($Y27="O3/CP",$Y$14=D$18),VLOOKUP("O3",$R$63:$T$91,3,FALSE)+VLOOKUP("CP",$R$63:$T$91,3,FALSE),0)+IF(AND($K$6="CE",'[3]Supply Attribution'!$G$20=D$18),LEFT($S$90,2),0)+IF(AND($X$86&lt;&gt;"Not Set",$X$87=D$18),$X$86,0)</f>
        <v>0</v>
      </c>
      <c r="E27" s="271">
        <f>IF(AND($K27&lt;&gt;"",$K27&lt;&gt;"--",$K27&lt;&gt;"O3/CP",$K$14=E$18),IF(LEFT($K27,1)="P",VLOOKUP(CONCATENATE(LEFT($K27,2),"H"),$R$63:$T$91,3,FALSE),VLOOKUP($K27,$R$63:$T$91,3,FALSE)))+IF(AND($K27&lt;&gt;"",$K27&lt;&gt;"O3/CP",$K$15=E$18,MID($K27,4,1)="2",$K$15&lt;&gt;$K$14),VLOOKUP(CONCATENATE(LEFT($K27,2),"L"),$R$63:$T$91,3,FALSE),0)+IF(AND($K27="O3/CP",$K$14=E$18),VLOOKUP("O3",$R$63:$T$91,3,FALSE)+VLOOKUP("CP",$R$63:$T$91,3,FALSE),0)+IF(AND($L27&lt;&gt;"",$L27&lt;&gt;"--",$L27&lt;&gt;"O3/CP",$L$14=E$18),IF(LEFT($L27,1)="P",VLOOKUP(CONCATENATE(LEFT($L27,2),"H"),$R$63:$T$91,3,FALSE),VLOOKUP($L27,$R$63:$T$91,3,FALSE)))+IF(AND($L27&lt;&gt;"",$L27&lt;&gt;"O3/CP",$L$15=E$18,MID($L27,4,1)="2",$L$15&lt;&gt;$L$14),VLOOKUP(CONCATENATE(LEFT($L27,2),"L"),$R$63:$T$91,3,FALSE),0)+IF(AND($L27="O3/CP",$L$14=E$18),VLOOKUP("O3",$R$63:$T$91,3,FALSE)+VLOOKUP("CP",$R$63:$T$91,3,FALSE),0)+IF(AND($M27&lt;&gt;"",$M27&lt;&gt;"--",$M27&lt;&gt;"O3/CP",$M$14=E$18),IF(LEFT($M27,1)="P",VLOOKUP(CONCATENATE(LEFT($M27,2),"H"),$R$63:$T$91,3,FALSE),VLOOKUP($M27,$R$63:$T$91,3,FALSE)))+IF(AND($M27&lt;&gt;"",$M27&lt;&gt;"O3/CP",$M$15=E$18,MID($M27,4,1)="2",$M$15&lt;&gt;$M$14),VLOOKUP(CONCATENATE(LEFT($M27,2),"L"),$R$63:$T$91,3,FALSE),0)+IF(AND($M27="O3/CP",$M$14=E$18),VLOOKUP("O3",$R$63:$T$91,3,FALSE)+VLOOKUP("CP",$R$63:$T$91,3,FALSE),0)+IF(AND($N27&lt;&gt;"",$N27&lt;&gt;"--",$N27&lt;&gt;"O3/CP",$N$14=E$18),IF(LEFT($N27,1)="P",VLOOKUP(CONCATENATE(LEFT($N27,2),"H"),$R$63:$T$91,3,FALSE),VLOOKUP($N27,$R$63:$T$91,3,FALSE)))+IF(AND($N27&lt;&gt;"",$N27&lt;&gt;"O3/CP",$N$15=E$18,MID($N27,4,1)="2",$N$15&lt;&gt;$N$14),VLOOKUP(CONCATENATE(LEFT($N27,2),"L"),$R$63:$T$91,3,FALSE),0)+IF(AND($N27="O3/CP",$N$14=E$18),VLOOKUP("O3",$R$63:$T$91,3,FALSE)+VLOOKUP("CP",$R$63:$T$91,3,FALSE),0)+IF(AND($O27&lt;&gt;"",$O27&lt;&gt;"--",$O27&lt;&gt;"O3/CP",$O$14=E$18),IF(LEFT($O27,1)="P",VLOOKUP(CONCATENATE(LEFT($O27,2),"H"),$R$63:$T$91,3,FALSE),VLOOKUP($O27,$R$63:$T$91,3,FALSE)))+IF(AND($O27&lt;&gt;"",$O27&lt;&gt;"O3/CP",$O$15=E$18,MID($O27,4,1)="2",$O$15&lt;&gt;$O$14),VLOOKUP(CONCATENATE(LEFT($O27,2),"L"),$R$63:$T$91,3,FALSE),0)+IF(AND($O27="O3/CP",$O$14=E$18),VLOOKUP("O3",$R$63:$T$91,3,FALSE)+VLOOKUP("CP",$R$63:$T$91,3,FALSE),0)+IF(AND($P27&lt;&gt;"",$P27&lt;&gt;"--",$P27&lt;&gt;"O3/CP",$P$14=E$18),IF(LEFT($P27,1)="P",VLOOKUP(CONCATENATE(LEFT($P27,2),"H"),$R$63:$T$91,3,FALSE),VLOOKUP($P27,$R$63:$T$91,3,FALSE)))+IF(AND($P27&lt;&gt;"",$P27&lt;&gt;"O3/CP",$P$15=E$18,MID($P27,4,1)="2",$P$15&lt;&gt;$P$14),VLOOKUP(CONCATENATE(LEFT($P27,2),"L"),$R$63:$T$91,3,FALSE),0)+IF(AND($P27="O3/CP",$P$14=E$18),VLOOKUP("O3",$R$63:$T$91,3,FALSE)+VLOOKUP("CP",$R$63:$T$91,3,FALSE),0)+IF(AND($Q27&lt;&gt;"",$Q27&lt;&gt;"--",$Q27&lt;&gt;"O3/CP",$Q$14=E$18),IF(LEFT($Q27,1)="P",VLOOKUP(CONCATENATE(LEFT($Q27,2),"H"),$R$63:$T$91,3,FALSE),VLOOKUP($Q27,$R$63:$T$91,3,FALSE)))+IF(AND($Q27&lt;&gt;"",$Q27&lt;&gt;"O3/CP",$Q$15=E$18,MID($Q27,4,1)="2",$Q$15&lt;&gt;$Q$14),VLOOKUP(CONCATENATE(LEFT($Q27,2),"L"),$R$63:$T$91,3,FALSE),0)+IF(AND($Q27="O3/CP",$Q$14=E$18),VLOOKUP("O3",$R$63:$T$91,3,FALSE)+VLOOKUP("CP",$R$63:$T$91,3,FALSE),0)+IF(AND($R27&lt;&gt;"",$R27&lt;&gt;"--",$R27&lt;&gt;"O3/CP",$R$14=E$18),IF(LEFT($R27,1)="P",VLOOKUP(CONCATENATE(LEFT($R27,2),"H"),$R$63:$T$91,3,FALSE),VLOOKUP($R27,$R$63:$T$91,3,FALSE)))+IF(AND($R27&lt;&gt;"",$R27&lt;&gt;"O3/CP",$R$15=E$18,MID($R27,4,1)="2",$R$15&lt;&gt;$R$14),VLOOKUP(CONCATENATE(LEFT($R27,2),"L"),$R$63:$T$91,3,FALSE),0)+IF(AND($R27="O3/CP",$R$14=E$18),VLOOKUP("O3",$R$63:$T$91,3,FALSE)+VLOOKUP("CP",$R$63:$T$91,3,FALSE),0)+IF(AND($S27&lt;&gt;"",$S27&lt;&gt;"--",$S27&lt;&gt;"O3/CP",$S$14=E$18),IF(LEFT($S27,1)="P",VLOOKUP(CONCATENATE(LEFT($S27,2),"H"),$R$63:$T$91,3,FALSE),VLOOKUP($S27,$R$63:$T$91,3,FALSE)))+IF(AND($S27&lt;&gt;"",$S27&lt;&gt;"O3/CP",$S$15=E$18,MID($S27,4,1)="2",$S$15&lt;&gt;$S$14),VLOOKUP(CONCATENATE(LEFT($S27,2),"L"),$R$63:$T$91,3,FALSE),0)+IF(AND($S27="O3/CP",$S$14=E$18),VLOOKUP("O3",$R$63:$T$91,3,FALSE)+VLOOKUP("CP",$R$63:$T$91,3,FALSE),0)+IF(AND($T27&lt;&gt;"",$T27&lt;&gt;"--",$T27&lt;&gt;"O3/CP",$T$14=E$18),IF(LEFT($T27,1)="P",VLOOKUP(CONCATENATE(LEFT($T27,2),"H"),$R$63:$T$91,3,FALSE),VLOOKUP($T27,$R$63:$T$91,3,FALSE)))+IF(AND($T27&lt;&gt;"",$T27&lt;&gt;"O3/CP",$T$15=E$18,MID($T27,4,1)="2",$T$15&lt;&gt;$T$14),VLOOKUP(CONCATENATE(LEFT($T27,2),"L"),$R$63:$T$91,3,FALSE),0)+IF(AND($T27="O3/CP",$T$14=E$18),VLOOKUP("O3",$R$63:$T$91,3,FALSE)+VLOOKUP("CP",$R$63:$T$91,3,FALSE),0)+IF(AND($U27&lt;&gt;"",$U27&lt;&gt;"--",$U27&lt;&gt;"O3/CP",$U$14=E$18),IF(LEFT($U27,1)="P",VLOOKUP(CONCATENATE(LEFT($U27,2),"H"),$R$63:$T$91,3,FALSE),VLOOKUP($U27,$R$63:$T$91,3,FALSE)))+IF(AND($U27&lt;&gt;"",$U27&lt;&gt;"O3/CP",$U$15=E$18,MID($U27,4,1)="2",$U$15&lt;&gt;$U$14),VLOOKUP(CONCATENATE(LEFT($U27,2),"L"),$R$63:$T$91,3,FALSE),0)+IF(AND($U27="O3/CP",$T$14=E$18),VLOOKUP("O3",$R$63:$T$91,3,FALSE)+VLOOKUP("CP",$R$63:$T$91,3,FALSE),0)+IF(AND($V27&lt;&gt;"",$V27&lt;&gt;"--",$V27&lt;&gt;"O3/CP",$V$14=E$18),IF(LEFT($V27,1)="P",VLOOKUP(CONCATENATE(LEFT($V27,2),"H"),$R$63:$T$91,3,FALSE),VLOOKUP($V27,$R$63:$T$91,3,FALSE)))+IF(AND($V27&lt;&gt;"",$V27&lt;&gt;"O3/CP",$V$15=E$18,MID($V27,4,1)="2",$V$15&lt;&gt;$V$14),VLOOKUP(CONCATENATE(LEFT($V27,2),"L"),$R$63:$T$91,3,FALSE),0)+IF(AND($V27="O3/CP",$V$14=E$18),VLOOKUP("O3",$R$63:$T$91,3,FALSE)+VLOOKUP("CP",$R$63:$T$91,3,FALSE),0)+IF(AND($W27&lt;&gt;"",$W27&lt;&gt;"--",$W27&lt;&gt;"O3/CP",$W$14=E$18),IF(LEFT($W27,1)="P",VLOOKUP(CONCATENATE(LEFT($W27,2),"H"),$R$63:$T$91,3,FALSE),VLOOKUP($W27,$R$63:$T$91,3,FALSE)))+IF(AND($W27&lt;&gt;"",$W27&lt;&gt;"O3/CP",$W$15=E$18,MID($W27,4,1)="2",$W$15&lt;&gt;$W$14),VLOOKUP(CONCATENATE(LEFT($W27,2),"L"),$R$63:$T$91,3,FALSE),0)+IF(AND($W27="O3/CP",$W$14=E$18),VLOOKUP("O3",$R$63:$T$91,3,FALSE)+VLOOKUP("CP",$R$63:$T$91,3,FALSE),0)+IF(AND($X27&lt;&gt;"",$X27&lt;&gt;"--",$X27&lt;&gt;"O3/CP",$X$14=E$18),IF(LEFT($X27,1)="P",VLOOKUP(CONCATENATE(LEFT($X27,2),"H"),$R$63:$T$91,3,FALSE),VLOOKUP($X27,$R$63:$T$91,3,FALSE)))+IF(AND($X27&lt;&gt;"",$X27&lt;&gt;"O3/CP",$X$15=E$18,MID($X27,4,1)="2",$X$15&lt;&gt;$X$14),VLOOKUP(CONCATENATE(LEFT($X27,2),"L"),$R$63:$T$91,3,FALSE),0)+IF(AND($X27="O3/CP",$X$14=E$18),VLOOKUP("O3",$R$63:$T$91,3,FALSE)+VLOOKUP("CP",$R$63:$T$91,3,FALSE),0)+IF(AND($Y27&lt;&gt;"",$Y27&lt;&gt;"--",$Y27&lt;&gt;"O3/CP",$Y$14=E$18),IF(LEFT($Y27,1)="P",VLOOKUP(CONCATENATE(LEFT($Y27,2),"H"),$R$63:$T$91,3,FALSE),VLOOKUP($Y27,$R$63:$T$91,3,FALSE)))+IF(AND($Y27&lt;&gt;"",$Y27&lt;&gt;"O3/CP",$Y$15=E$18,MID($Y27,4,1)="2",$Y$15&lt;&gt;$Y$14),VLOOKUP(CONCATENATE(LEFT($Y27,2),"L"),$R$63:$T$91,3,FALSE),0)+IF(AND($Y27="O3/CP",$Y$14=E$18),VLOOKUP("O3",$R$63:$T$91,3,FALSE)+VLOOKUP("CP",$R$63:$T$91,3,FALSE),0)+IF(AND($K$6="CE",'[3]Supply Attribution'!$G$20=E$18),LEFT($S$90,2),0)+IF(AND($X$86&lt;&gt;"Not Set",$X$87=E$18),$X$86,0)</f>
        <v>0</v>
      </c>
      <c r="F27" s="272">
        <f>IF(AND($K27&lt;&gt;"",$K27&lt;&gt;"--",$K27&lt;&gt;"O3/CP",$K$14=F$18),IF(LEFT($K27,1)="P",VLOOKUP(CONCATENATE(LEFT($K27,2),"H"),$R$63:$T$91,3,FALSE),VLOOKUP($K27,$R$63:$T$91,3,FALSE)))+IF(AND($K27&lt;&gt;"",$K27&lt;&gt;"O3/CP",$K$15=F$18,MID($K27,4,1)="2",$K$15&lt;&gt;$K$14),VLOOKUP(CONCATENATE(LEFT($K27,2),"L"),$R$63:$T$91,3,FALSE),0)+IF(AND($K27="O3/CP",$K$14=F$18),VLOOKUP("O3",$R$63:$T$91,3,FALSE)+VLOOKUP("CP",$R$63:$T$91,3,FALSE),0)+IF(AND($L27&lt;&gt;"",$L27&lt;&gt;"--",$L27&lt;&gt;"O3/CP",$L$14=F$18),IF(LEFT($L27,1)="P",VLOOKUP(CONCATENATE(LEFT($L27,2),"H"),$R$63:$T$91,3,FALSE),VLOOKUP($L27,$R$63:$T$91,3,FALSE)))+IF(AND($L27&lt;&gt;"",$L27&lt;&gt;"O3/CP",$L$15=F$18,MID($L27,4,1)="2",$L$15&lt;&gt;$L$14),VLOOKUP(CONCATENATE(LEFT($L27,2),"L"),$R$63:$T$91,3,FALSE),0)+IF(AND($L27="O3/CP",$L$14=F$18),VLOOKUP("O3",$R$63:$T$91,3,FALSE)+VLOOKUP("CP",$R$63:$T$91,3,FALSE),0)+IF(AND($M27&lt;&gt;"",$M27&lt;&gt;"--",$M27&lt;&gt;"O3/CP",$M$14=F$18),IF(LEFT($M27,1)="P",VLOOKUP(CONCATENATE(LEFT($M27,2),"H"),$R$63:$T$91,3,FALSE),VLOOKUP($M27,$R$63:$T$91,3,FALSE)))+IF(AND($M27&lt;&gt;"",$M27&lt;&gt;"O3/CP",$M$15=F$18,MID($M27,4,1)="2",$M$15&lt;&gt;$M$14),VLOOKUP(CONCATENATE(LEFT($M27,2),"L"),$R$63:$T$91,3,FALSE),0)+IF(AND($M27="O3/CP",$M$14=F$18),VLOOKUP("O3",$R$63:$T$91,3,FALSE)+VLOOKUP("CP",$R$63:$T$91,3,FALSE),0)+IF(AND($N27&lt;&gt;"",$N27&lt;&gt;"--",$N27&lt;&gt;"O3/CP",$N$14=F$18),IF(LEFT($N27,1)="P",VLOOKUP(CONCATENATE(LEFT($N27,2),"H"),$R$63:$T$91,3,FALSE),VLOOKUP($N27,$R$63:$T$91,3,FALSE)))+IF(AND($N27&lt;&gt;"",$N27&lt;&gt;"O3/CP",$N$15=F$18,MID($N27,4,1)="2",$N$15&lt;&gt;$N$14),VLOOKUP(CONCATENATE(LEFT($N27,2),"L"),$R$63:$T$91,3,FALSE),0)+IF(AND($N27="O3/CP",$N$14=F$18),VLOOKUP("O3",$R$63:$T$91,3,FALSE)+VLOOKUP("CP",$R$63:$T$91,3,FALSE),0)+IF(AND($O27&lt;&gt;"",$O27&lt;&gt;"--",$O27&lt;&gt;"O3/CP",$O$14=F$18),IF(LEFT($O27,1)="P",VLOOKUP(CONCATENATE(LEFT($O27,2),"H"),$R$63:$T$91,3,FALSE),VLOOKUP($O27,$R$63:$T$91,3,FALSE)))+IF(AND($O27&lt;&gt;"",$O27&lt;&gt;"O3/CP",$O$15=F$18,MID($O27,4,1)="2",$O$15&lt;&gt;$O$14),VLOOKUP(CONCATENATE(LEFT($O27,2),"L"),$R$63:$T$91,3,FALSE),0)+IF(AND($O27="O3/CP",$O$14=F$18),VLOOKUP("O3",$R$63:$T$91,3,FALSE)+VLOOKUP("CP",$R$63:$T$91,3,FALSE),0)+IF(AND($P27&lt;&gt;"",$P27&lt;&gt;"--",$P27&lt;&gt;"O3/CP",$P$14=F$18),IF(LEFT($P27,1)="P",VLOOKUP(CONCATENATE(LEFT($P27,2),"H"),$R$63:$T$91,3,FALSE),VLOOKUP($P27,$R$63:$T$91,3,FALSE)))+IF(AND($P27&lt;&gt;"",$P27&lt;&gt;"O3/CP",$P$15=F$18,MID($P27,4,1)="2",$P$15&lt;&gt;$P$14),VLOOKUP(CONCATENATE(LEFT($P27,2),"L"),$R$63:$T$91,3,FALSE),0)+IF(AND($P27="O3/CP",$P$14=F$18),VLOOKUP("O3",$R$63:$T$91,3,FALSE)+VLOOKUP("CP",$R$63:$T$91,3,FALSE),0)+IF(AND($Q27&lt;&gt;"",$Q27&lt;&gt;"--",$Q27&lt;&gt;"O3/CP",$Q$14=F$18),IF(LEFT($Q27,1)="P",VLOOKUP(CONCATENATE(LEFT($Q27,2),"H"),$R$63:$T$91,3,FALSE),VLOOKUP($Q27,$R$63:$T$91,3,FALSE)))+IF(AND($Q27&lt;&gt;"",$Q27&lt;&gt;"O3/CP",$Q$15=F$18,MID($Q27,4,1)="2",$Q$15&lt;&gt;$Q$14),VLOOKUP(CONCATENATE(LEFT($Q27,2),"L"),$R$63:$T$91,3,FALSE),0)+IF(AND($Q27="O3/CP",$Q$14=F$18),VLOOKUP("O3",$R$63:$T$91,3,FALSE)+VLOOKUP("CP",$R$63:$T$91,3,FALSE),0)+IF(AND($R27&lt;&gt;"",$R27&lt;&gt;"--",$R27&lt;&gt;"O3/CP",$R$14=F$18),IF(LEFT($R27,1)="P",VLOOKUP(CONCATENATE(LEFT($R27,2),"H"),$R$63:$T$91,3,FALSE),VLOOKUP($R27,$R$63:$T$91,3,FALSE)))+IF(AND($R27&lt;&gt;"",$R27&lt;&gt;"O3/CP",$R$15=F$18,MID($R27,4,1)="2",$R$15&lt;&gt;$R$14),VLOOKUP(CONCATENATE(LEFT($R27,2),"L"),$R$63:$T$91,3,FALSE),0)+IF(AND($R27="O3/CP",$R$14=F$18),VLOOKUP("O3",$R$63:$T$91,3,FALSE)+VLOOKUP("CP",$R$63:$T$91,3,FALSE),0)+IF(AND($S27&lt;&gt;"",$S27&lt;&gt;"--",$S27&lt;&gt;"O3/CP",$S$14=F$18),IF(LEFT($S27,1)="P",VLOOKUP(CONCATENATE(LEFT($S27,2),"H"),$R$63:$T$91,3,FALSE),VLOOKUP($S27,$R$63:$T$91,3,FALSE)))+IF(AND($S27&lt;&gt;"",$S27&lt;&gt;"O3/CP",$S$15=F$18,MID($S27,4,1)="2",$S$15&lt;&gt;$S$14),VLOOKUP(CONCATENATE(LEFT($S27,2),"L"),$R$63:$T$91,3,FALSE),0)+IF(AND($S27="O3/CP",$S$14=F$18),VLOOKUP("O3",$R$63:$T$91,3,FALSE)+VLOOKUP("CP",$R$63:$T$91,3,FALSE),0)+IF(AND($T27&lt;&gt;"",$T27&lt;&gt;"--",$T27&lt;&gt;"O3/CP",$T$14=F$18),IF(LEFT($T27,1)="P",VLOOKUP(CONCATENATE(LEFT($T27,2),"H"),$R$63:$T$91,3,FALSE),VLOOKUP($T27,$R$63:$T$91,3,FALSE)))+IF(AND($T27&lt;&gt;"",$T27&lt;&gt;"O3/CP",$T$15=F$18,MID($T27,4,1)="2",$T$15&lt;&gt;$T$14),VLOOKUP(CONCATENATE(LEFT($T27,2),"L"),$R$63:$T$91,3,FALSE),0)+IF(AND($T27="O3/CP",$T$14=F$18),VLOOKUP("O3",$R$63:$T$91,3,FALSE)+VLOOKUP("CP",$R$63:$T$91,3,FALSE),0)+IF(AND($U27&lt;&gt;"",$U27&lt;&gt;"--",$U27&lt;&gt;"O3/CP",$U$14=F$18),IF(LEFT($U27,1)="P",VLOOKUP(CONCATENATE(LEFT($U27,2),"H"),$R$63:$T$91,3,FALSE),VLOOKUP($U27,$R$63:$T$91,3,FALSE)))+IF(AND($U27&lt;&gt;"",$U27&lt;&gt;"O3/CP",$U$15=F$18,MID($U27,4,1)="2",$U$15&lt;&gt;$U$14),VLOOKUP(CONCATENATE(LEFT($U27,2),"L"),$R$63:$T$91,3,FALSE),0)+IF(AND($U27="O3/CP",$T$14=F$18),VLOOKUP("O3",$R$63:$T$91,3,FALSE)+VLOOKUP("CP",$R$63:$T$91,3,FALSE),0)+IF(AND($V27&lt;&gt;"",$V27&lt;&gt;"--",$V27&lt;&gt;"O3/CP",$V$14=F$18),IF(LEFT($V27,1)="P",VLOOKUP(CONCATENATE(LEFT($V27,2),"H"),$R$63:$T$91,3,FALSE),VLOOKUP($V27,$R$63:$T$91,3,FALSE)))+IF(AND($V27&lt;&gt;"",$V27&lt;&gt;"O3/CP",$V$15=F$18,MID($V27,4,1)="2",$V$15&lt;&gt;$V$14),VLOOKUP(CONCATENATE(LEFT($V27,2),"L"),$R$63:$T$91,3,FALSE),0)+IF(AND($V27="O3/CP",$V$14=F$18),VLOOKUP("O3",$R$63:$T$91,3,FALSE)+VLOOKUP("CP",$R$63:$T$91,3,FALSE),0)+IF(AND($W27&lt;&gt;"",$W27&lt;&gt;"--",$W27&lt;&gt;"O3/CP",$W$14=F$18),IF(LEFT($W27,1)="P",VLOOKUP(CONCATENATE(LEFT($W27,2),"H"),$R$63:$T$91,3,FALSE),VLOOKUP($W27,$R$63:$T$91,3,FALSE)))+IF(AND($W27&lt;&gt;"",$W27&lt;&gt;"O3/CP",$W$15=F$18,MID($W27,4,1)="2",$W$15&lt;&gt;$W$14),VLOOKUP(CONCATENATE(LEFT($W27,2),"L"),$R$63:$T$91,3,FALSE),0)+IF(AND($W27="O3/CP",$W$14=F$18),VLOOKUP("O3",$R$63:$T$91,3,FALSE)+VLOOKUP("CP",$R$63:$T$91,3,FALSE),0)+IF(AND($X27&lt;&gt;"",$X27&lt;&gt;"--",$X27&lt;&gt;"O3/CP",$X$14=F$18),IF(LEFT($X27,1)="P",VLOOKUP(CONCATENATE(LEFT($X27,2),"H"),$R$63:$T$91,3,FALSE),VLOOKUP($X27,$R$63:$T$91,3,FALSE)))+IF(AND($X27&lt;&gt;"",$X27&lt;&gt;"O3/CP",$X$15=F$18,MID($X27,4,1)="2",$X$15&lt;&gt;$X$14),VLOOKUP(CONCATENATE(LEFT($X27,2),"L"),$R$63:$T$91,3,FALSE),0)+IF(AND($X27="O3/CP",$X$14=F$18),VLOOKUP("O3",$R$63:$T$91,3,FALSE)+VLOOKUP("CP",$R$63:$T$91,3,FALSE),0)+IF(AND($Y27&lt;&gt;"",$Y27&lt;&gt;"--",$Y27&lt;&gt;"O3/CP",$Y$14=F$18),IF(LEFT($Y27,1)="P",VLOOKUP(CONCATENATE(LEFT($Y27,2),"H"),$R$63:$T$91,3,FALSE),VLOOKUP($Y27,$R$63:$T$91,3,FALSE)))+IF(AND($Y27&lt;&gt;"",$Y27&lt;&gt;"O3/CP",$Y$15=F$18,MID($Y27,4,1)="2",$Y$15&lt;&gt;$Y$14),VLOOKUP(CONCATENATE(LEFT($Y27,2),"L"),$R$63:$T$91,3,FALSE),0)+IF(AND($Y27="O3/CP",$Y$14=F$18),VLOOKUP("O3",$R$63:$T$91,3,FALSE)+VLOOKUP("CP",$R$63:$T$91,3,FALSE),0)+IF(AND($K$6="CE",'[3]Supply Attribution'!$G$20=F$18),LEFT($S$90,2),0)+IF(AND($X$86&lt;&gt;"Not Set",$X$87=F$18),$X$86,0)</f>
        <v>5</v>
      </c>
      <c r="G27" s="271">
        <f>IF(AND($K$6="CE",$T$59="1 Phase"),SUM(A27:F27)-IF(AND($K$14&lt;&gt;$K$15,RIGHT($K27,3)="2SP"),VLOOKUP(CONCATENATE(LEFT($K27,2),"L"),$R$63:$T$90,3,FALSE),0)-IF(AND($L$14&lt;&gt;$L$15,RIGHT($L27,3)="2SP"),VLOOKUP(CONCATENATE(LEFT($L27,2),"L"),$R$63:$T$90,3,FALSE),0)-IF(AND($M$14&lt;&gt;$M$15,RIGHT($M27,3)="2SP"),VLOOKUP(CONCATENATE(LEFT($M27,2),"L"),$R$63:$T$90,3,FALSE),0)-IF(AND($N$14&lt;&gt;$N$15,RIGHT($N27,3)="2SP"),VLOOKUP(CONCATENATE(LEFT($N27,2),"L"),$R$63:$T$90,3,FALSE),0)-IF(AND($O$14&lt;&gt;$O$15,RIGHT($O27,3)="2SP"),VLOOKUP(CONCATENATE(LEFT($O27,2),"L"),$R$63:$T$90,3,FALSE),0)-IF(AND($P$14&lt;&gt;$P$15,RIGHT($P27,3)="2SP"),VLOOKUP(CONCATENATE(LEFT($P27,2),"L"),$R$63:$T$90,3,FALSE),0)-IF(AND($Q$14&lt;&gt;$Q$15,RIGHT($Q27,3)="2SP"),VLOOKUP(CONCATENATE(LEFT($Q27,2),"L"),$R$63:$T$90,3,FALSE),0)-IF(AND($R$14&lt;&gt;$R$15,RIGHT($T27,3)="2SP"),VLOOKUP(CONCATENATE(LEFT($R27,2),"L"),$R$63:$T$90,3,FALSE),0)-IF(AND($S$14&lt;&gt;$S$15,RIGHT($T27,3)="2SP"),VLOOKUP(CONCATENATE(LEFT($S27,2),"L"),$R$63:$T$90,3,FALSE),0)-IF(AND($T$14&lt;&gt;$T$15,RIGHT($T27,3)="2SP"),VLOOKUP(CONCATENATE(LEFT($T27,2),"L"),$R$63:$T$90,3,FALSE),0)-IF(AND($U$14&lt;&gt;$U$15,RIGHT($U27,3)="2SP"),VLOOKUP(CONCATENATE(LEFT($U27,2),"L"),$R$63:$T$90,3,FALSE),0)-IF(AND($V$14&lt;&gt;$V$15,RIGHT($V27,3)="2SP"),VLOOKUP(CONCATENATE(LEFT($V27,2),"L"),$R$63:$T$90,3,FALSE),0)-IF(AND($W$14&lt;&gt;$W$15,RIGHT($W27,3)="2SP"),VLOOKUP(CONCATENATE(LEFT($W27,2),"L"),$R$63:$T$90,3,FALSE),0)-IF(AND($X$14&lt;&gt;$X$15,RIGHT($X27,3)="2SP"),VLOOKUP(CONCATENATE(LEFT($X27,2),"L"),$R$63:$T$90,3,FALSE),0)-IF(AND($Y$14&lt;&gt;$Y$15,RIGHT($Y27,3)="2SP"),VLOOKUP(CONCATENATE(LEFT($Y27,2),"L"),$R$63:$T$90,3,FALSE),0),IF(VLOOKUP(CONCATENATE($A$18,"Line"),'[3]Supply Attribution'!$F$31:$G$37,2,FALSE)=G$18,$A27,0)+IF(VLOOKUP(CONCATENATE($B$18,"Line"),'[3]Supply Attribution'!$F$31:$G$37,2,FALSE)=G$18,$B27,0)+IF(VLOOKUP(CONCATENATE($C$18,"Line"),'[3]Supply Attribution'!$F$31:$G$37,2,FALSE)=G$18,$C27,0)+IF(VLOOKUP(CONCATENATE($D$18,"Line"),'[3]Supply Attribution'!$F$31:$G$37,2,FALSE)=G$18,$D27,0)+IF(VLOOKUP(CONCATENATE($E$18,"Line"),'[3]Supply Attribution'!$F$31:$G$37,2,FALSE)=G$18,$E27,0)+IF(VLOOKUP(CONCATENATE($F$18,"Line"),'[3]Supply Attribution'!$F$31:$G$37,2,FALSE)=G$18,$F27,0)+IF($K$6="UL",LEFT($S$90,2),0)-IF(AND($K$16=G$18,$K$14&lt;&gt;$K$15,$K$16=$K$17,RIGHT($K27,3)="2SP"),VLOOKUP(CONCATENATE(LEFT($K27,2),"L"),$R$63:$T$90,3,FALSE),0)-IF(AND($L$16=G$18,$L$14&lt;&gt;$L$15,$L$16=$L$17,RIGHT($L27,3)="2SP"),VLOOKUP(CONCATENATE(LEFT($L27,2),"L"),$R$63:$T$90,3,FALSE),0)-IF(AND($M$16=G$18,$M$14&lt;&gt;$M$15,$M$16=$M$17,RIGHT($M27,3)="2SP"),VLOOKUP(CONCATENATE(LEFT($M27,2),"L"),$R$63:$T$90,3,FALSE),0)-IF(AND($N$16=G$18,$N$14&lt;&gt;$N$15,$N$16=$N$17,RIGHT($N27,3)="2SP"),VLOOKUP(CONCATENATE(LEFT($N27,2),"L"),$R$63:$T$90,3,FALSE),0)-IF(AND($O$16=G$18,$O$14&lt;&gt;$O$15,$O$16=$O$17,RIGHT($O27,3)="2SP"),VLOOKUP(CONCATENATE(LEFT($O27,2),"L"),$R$63:$T$90,3,FALSE),0)-IF(AND($P$16=G$18,$P$14&lt;&gt;$P$15,$P$16=$P$17,RIGHT($P27,3)="2SP"),VLOOKUP(CONCATENATE(LEFT($P27,2),"L"),$R$63:$T$90,3,FALSE),0)-IF(AND($Q$16=G$18,$Q$14&lt;&gt;$Q$15,$Q$16=$Q$17,RIGHT($Q27,3)="2SP"),VLOOKUP(CONCATENATE(LEFT($Q27,2),"L"),$R$63:$T$90,3,FALSE),0)-IF(AND($R$16=G$18,$R$14&lt;&gt;$R$15,$R$16=$R$17,RIGHT($R27,3)="2SP"),VLOOKUP(CONCATENATE(LEFT($R27,2),"L"),$R$63:$T$90,3,FALSE),0)-IF(AND($S$16=G$18,$S$14&lt;&gt;$S$15,$S$16=$S$17,RIGHT($S27,3)="2SP"),VLOOKUP(CONCATENATE(LEFT($S27,2),"L"),$R$63:$T$90,3,FALSE),0)-IF(AND($T$16=G$18,$T$14&lt;&gt;$T$15,$T$16=$T$17,RIGHT($T27,3)="2SP"),VLOOKUP(CONCATENATE(LEFT($T27,2),"L"),$R$63:$T$90,3,FALSE),0)-IF(AND($U$16=G$18,$U$14&lt;&gt;$U$15,$U$16=$U$17,RIGHT($U27,3)="2SP"),VLOOKUP(CONCATENATE(LEFT($U27,2),"L"),$R$63:$T$90,3,FALSE),0)-IF(AND($V$16=G$18,$V$14&lt;&gt;$V$15,$V$16=$V$17,RIGHT($V27,3)="2SP"),VLOOKUP(CONCATENATE(LEFT($V27,2),"L"),$R$63:$T$90,3,FALSE),0)-IF(AND($W$16=G$18,$W$14&lt;&gt;$W$15,$W$16=$W$17,RIGHT($W27,3)="2SP"),VLOOKUP(CONCATENATE(LEFT($W27,2),"L"),$R$63:$T$90,3,FALSE),0)-IF(AND($X$16=G$18,$X$14&lt;&gt;$X$15,$X$16=$X$17,RIGHT($X27,3)="2SP"),VLOOKUP(CONCATENATE(LEFT($X27,2),"L"),$R$63:$T$90,3,FALSE),0)-IF(AND($Y$16=G$18,$Y$14&lt;&gt;$Y$15,$Y$16=$Y$17,RIGHT($Y27,3)="2SP"),VLOOKUP(CONCATENATE(LEFT($Y27,2),"L"),$R$63:$T$90,3,FALSE),0))</f>
        <v>37</v>
      </c>
      <c r="H27" s="271" t="str">
        <f>IF(H$18&lt;&gt;"",IF(VLOOKUP(CONCATENATE($A$18,"Line"),'Supply Attribution'!$F$31:$G$37,2,FALSE)=H$18,$A27,0)+IF(VLOOKUP(CONCATENATE($B$18,"Line"),'Supply Attribution'!$F$31:$G$37,2,FALSE)=H$18,$B27,0)+IF(VLOOKUP(CONCATENATE($C$18,"Line"),'Supply Attribution'!$F$31:$G$37,2,FALSE)=H$18,$C27,0)+IF(VLOOKUP(CONCATENATE($D$18,"Line"),'Supply Attribution'!$F$31:$G$37,2,FALSE)=H$18,$D27,0)+IF(VLOOKUP(CONCATENATE($E$18,"Line"),'Supply Attribution'!$F$31:$G$37,2,FALSE)=H$18,$E27,0)+IF(VLOOKUP(CONCATENATE($F$18,"Line"),'Supply Attribution'!$F$31:$G$37,2,FALSE)=H$18,$F27,0)+IF($K$6="UL",LEFT($S$90,2),0)-IF(AND($K$16=H$18,$K$14&lt;&gt;$K$15,$K$16=$K$17,RIGHT($K27,3)="2SP"),VLOOKUP(CONCATENATE(LEFT($K27,2),"L"),$R$63:$T$90,3,FALSE),0)-IF(AND($L$16=H$18,$L$14&lt;&gt;$L$15,$L$16=$L$17,RIGHT($L27,3)="2SP"),VLOOKUP(CONCATENATE(LEFT($L27,2),"L"),$R$63:$T$90,3,FALSE),0)-IF(AND($M$16=H$18,$M$14&lt;&gt;$M$15,$M$16=$M$17,RIGHT($M27,3)="2SP"),VLOOKUP(CONCATENATE(LEFT($M27,2),"L"),$R$63:$T$90,3,FALSE),0)-IF(AND($N$16=H$18,$N$14&lt;&gt;$N$15,$N$16=$N$17,RIGHT($N27,3)="2SP"),VLOOKUP(CONCATENATE(LEFT($N27,2),"L"),$R$63:$T$90,3,FALSE),0)-IF(AND($O$16=H$18,$O$14&lt;&gt;$O$15,$O$16=$O$17,RIGHT($O27,3)="2SP"),VLOOKUP(CONCATENATE(LEFT($O27,2),"L"),$R$63:$T$90,3,FALSE),0)-IF(AND($P$16=H$18,$P$14&lt;&gt;$P$15,$P$16=$P$17,RIGHT($P27,3)="2SP"),VLOOKUP(CONCATENATE(LEFT($P27,2),"L"),$R$63:$T$90,3,FALSE),0)-IF(AND($Q$16=H$18,$Q$14&lt;&gt;$Q$15,$Q$16=$Q$17,RIGHT($Q27,3)="2SP"),VLOOKUP(CONCATENATE(LEFT($Q27,2),"L"),$R$63:$T$90,3,FALSE),0)-IF(AND($T$16=H$18,$T$14&lt;&gt;$T$15,$T$16=$T$17,RIGHT($T27,3)="2SP"),VLOOKUP(CONCATENATE(LEFT($T27,2),"L"),$R$63:$T$90,3,FALSE),0)-IF(AND($U$16=H$18,$U$14&lt;&gt;$U$15,$U$16=$U$17,RIGHT($U27,3)="2SP"),VLOOKUP(CONCATENATE(LEFT($U27,2),"L"),$R$63:$T$90,3,FALSE),0)-IF(AND($V$16=H$18,$V$14&lt;&gt;$V$15,$V$16=$V$17,RIGHT($V27,3)="2SP"),VLOOKUP(CONCATENATE(LEFT($V27,2),"L"),$R$63:$T$90,3,FALSE),0)-IF(AND($W$16=H$18,$W$14&lt;&gt;$W$15,$W$16=$W$17,RIGHT($W27,3)="2SP"),VLOOKUP(CONCATENATE(LEFT($W27,2),"L"),$R$63:$T$90,3,FALSE),0)-IF(AND($X$16=H$18,$X$14&lt;&gt;$X$15,$X$16=$X$17,RIGHT($X27,3)="2SP"),VLOOKUP(CONCATENATE(LEFT($X27,2),"L"),$R$63:$T$90,3,FALSE),0)-IF(AND($Y$16=H$18,$Y$14&lt;&gt;$Y$15,$Y$16=$Y$17,RIGHT($Y27,3)="2SP"),VLOOKUP(CONCATENATE(LEFT($Y27,2),"L"),$R$63:$T$90,3,FALSE),0)+IF(AND($K$6="CE",$T$59="2 Phases",H$18&lt;&gt;""),IF(VLOOKUP(CONCATENATE($A$18,"Line"),'Supply Attribution'!$F$31:$G$37,2,FALSE)="Line3",$A27,0)+IF(VLOOKUP(CONCATENATE($B$18,"Line"),'Supply Attribution'!$F$31:$G$37,2,FALSE)="Line3",$B27,0)+IF(VLOOKUP(CONCATENATE($C$18,"Line"),'Supply Attribution'!$F$31:$G$37,2,FALSE)="Line3",$C27,0)+IF(VLOOKUP(CONCATENATE($D$18,"Line"),'Supply Attribution'!$F$31:$G$37,2,FALSE)="Line3",$D27,0)+IF(VLOOKUP(CONCATENATE($E$18,"Line"),'Supply Attribution'!$F$31:$G$37,2,FALSE)="Line3",$E27,0)+IF(VLOOKUP(CONCATENATE($F$18,"Line"),'Supply Attribution'!$F$31:$G$37,2,FALSE)="Line3",$F27,0)-IF(AND($K$16=I$18,$K$14&lt;&gt;$K$15,$K$16=$K$17,RIGHT($K27,3)="2SP"),VLOOKUP(CONCATENATE(LEFT($K27,2),"L"),$R$63:$T$90,3,FALSE),0)-IF(AND($L$16=I$18,$L$14&lt;&gt;$L$15,$L$16=$L$17,RIGHT($L27,3)="2SP"),VLOOKUP(CONCATENATE(LEFT($L27,2),"L"),$R$63:$T$90,3,FALSE),0)-IF(AND($M$16=I$18,$M$14&lt;&gt;$M$15,$M$16=$M$17,RIGHT($M27,3)="2SP"),VLOOKUP(CONCATENATE(LEFT($M27,2),"L"),$R$63:$T$90,3,FALSE),0)-IF(AND($N$16=I$18,$N$14&lt;&gt;$N$15,$N$16=$N$17,RIGHT($N27,3)="2SP"),VLOOKUP(CONCATENATE(LEFT($N27,2),"L"),$R$63:$T$90,3,FALSE),0)-IF(AND($O$16=I$18,$O$14&lt;&gt;$O$15,$O$16=$O$17,RIGHT($O27,3)="2SP"),VLOOKUP(CONCATENATE(LEFT($O27,2),"L"),$R$63:$T$90,3,FALSE),0)-IF(AND($P$16=I$18,$P$14&lt;&gt;$P$15,$P$16=$P$17,RIGHT($P27,3)="2SP"),VLOOKUP(CONCATENATE(LEFT($P27,2),"L"),$R$63:$T$90,3,FALSE),0)-IF(AND($Q$16=I$18,$Q$14&lt;&gt;$Q$15,$Q$16=$Q$17,RIGHT($Q27,3)="2SP"),VLOOKUP(CONCATENATE(LEFT($Q27,2),"L"),$R$63:$T$90,3,FALSE),0)-IF(AND($T$16=I$18,$T$14&lt;&gt;$T$15,$T$16=$T$17,RIGHT($T27,3)="2SP"),VLOOKUP(CONCATENATE(LEFT($T27,2),"L"),$R$63:$T$90,3,FALSE),0)-IF(AND($U$16=I$18,$U$14&lt;&gt;$U$15,$U$16=$U$17,RIGHT($U27,3)="2SP"),VLOOKUP(CONCATENATE(LEFT($U27,2),"L"),$R$63:$T$90,3,FALSE),0)-IF(AND($V$16=I$18,$V$14&lt;&gt;$V$15,$V$16=$V$17,RIGHT($V27,3)="2SP"),VLOOKUP(CONCATENATE(LEFT($V27,2),"L"),$R$63:$T$90,3,FALSE),0)-IF(AND($W$16=I$18,$W$14&lt;&gt;$W$15,$W$16=$W$17,RIGHT($W27,3)="2SP"),VLOOKUP(CONCATENATE(LEFT($W27,2),"L"),$R$63:$T$90,3,FALSE),0)-IF(AND($X$16=I$18,$X$14&lt;&gt;$X$15,$X$16=$X$17,RIGHT($X27,3)="2SP"),VLOOKUP(CONCATENATE(LEFT($X27,2),"L"),$R$63:$T$90,3,FALSE),0)-IF(AND($Y$16=I$18,$Y$14&lt;&gt;$Y$15,$Y$16=$Y$17,RIGHT($Y27,3)="2SP"),VLOOKUP(CONCATENATE(LEFT($Y27,2),"L"),$R$63:$T$90,3,FALSE),0),0),"")</f>
        <v/>
      </c>
      <c r="I27" s="271" t="str">
        <f>IF(I$18&lt;&gt;"",IF(VLOOKUP(CONCATENATE($A$18,"Line"),'Supply Attribution'!$F$31:$G$37,2,FALSE)=I$18,$A27,0)+IF(VLOOKUP(CONCATENATE($B$18,"Line"),'Supply Attribution'!$F$31:$G$37,2,FALSE)=I$18,$B27,0)+IF(VLOOKUP(CONCATENATE($C$18,"Line"),'Supply Attribution'!$F$31:$G$37,2,FALSE)=I$18,$C27,0)+IF(VLOOKUP(CONCATENATE($D$18,"Line"),'Supply Attribution'!$F$31:$G$37,2,FALSE)=I$18,$D27,0)+IF(VLOOKUP(CONCATENATE($E$18,"Line"),'Supply Attribution'!$F$31:$G$37,2,FALSE)=I$18,$E27,0)+IF(VLOOKUP(CONCATENATE($F$18,"Line"),'Supply Attribution'!$F$31:$G$37,2,FALSE)=I$18,$F27,0)+IF($K$6="UL",LEFT($S$90,2),0)-IF(AND($K$16=I$18,$K$14&lt;&gt;$K$15,$K$16=$K$17,RIGHT($K27,3)="2SP"),VLOOKUP(CONCATENATE(LEFT($K27,2),"L"),$R$63:$T$90,3,FALSE),0)-IF(AND($L$16=I$18,$L$14&lt;&gt;$L$15,$L$16=$L$17,RIGHT($L27,3)="2SP"),VLOOKUP(CONCATENATE(LEFT($L27,2),"L"),$R$63:$T$90,3,FALSE),0)-IF(AND($M$16=I$18,$M$14&lt;&gt;$M$15,$M$16=$M$17,RIGHT($M27,3)="2SP"),VLOOKUP(CONCATENATE(LEFT($M27,2),"L"),$R$63:$T$90,3,FALSE),0)-IF(AND($N$16=I$18,$N$14&lt;&gt;$N$15,$N$16=$N$17,RIGHT($N27,3)="2SP"),VLOOKUP(CONCATENATE(LEFT($N27,2),"L"),$R$63:$T$90,3,FALSE),0)-IF(AND($O$16=I$18,$O$14&lt;&gt;$O$15,$O$16=$O$17,RIGHT($O27,3)="2SP"),VLOOKUP(CONCATENATE(LEFT($O27,2),"L"),$R$63:$T$90,3,FALSE),0)-IF(AND($P$16=I$18,$P$14&lt;&gt;$P$15,$P$16=$P$17,RIGHT($P27,3)="2SP"),VLOOKUP(CONCATENATE(LEFT($P27,2),"L"),$R$63:$T$90,3,FALSE),0)-IF(AND($Q$16=I$18,$Q$14&lt;&gt;$Q$15,$Q$16=$Q$17,RIGHT($Q27,3)="2SP"),VLOOKUP(CONCATENATE(LEFT($Q27,2),"L"),$R$63:$T$90,3,FALSE),0)-IF(AND($T$16=I$18,$T$14&lt;&gt;$T$15,$T$16=$T$17,RIGHT($T27,3)="2SP"),VLOOKUP(CONCATENATE(LEFT($T27,2),"L"),$R$63:$T$90,3,FALSE),0)-IF(AND($U$16=I$18,$U$14&lt;&gt;$U$15,$U$16=$U$17,RIGHT($U27,3)="2SP"),VLOOKUP(CONCATENATE(LEFT($U27,2),"L"),$R$63:$T$90,3,FALSE),0)-IF(AND($V$16=I$18,$V$14&lt;&gt;$V$15,$V$16=$V$17,RIGHT($V27,3)="2SP"),VLOOKUP(CONCATENATE(LEFT($V27,2),"L"),$R$63:$T$90,3,FALSE),0)-IF(AND($W$16=I$18,$W$14&lt;&gt;$W$15,$W$16=$W$17,RIGHT($W27,3)="2SP"),VLOOKUP(CONCATENATE(LEFT($W27,2),"L"),$R$63:$T$90,3,FALSE),0)-IF(AND($X$16=I$18,$X$14&lt;&gt;$X$15,$X$16=$X$17,RIGHT($X27,3)="2SP"),VLOOKUP(CONCATENATE(LEFT($X27,2),"L"),$R$63:$T$90,3,FALSE),0)-IF(AND($Y$16=I$18,$Y$14&lt;&gt;$Y$15,$Y$16=$Y$17,RIGHT($Y27,3)="2SP"),VLOOKUP(CONCATENATE(LEFT($Y27,2),"L"),$R$63:$T$90,3,FALSE),0),"")</f>
        <v/>
      </c>
      <c r="J27" s="129">
        <f t="shared" si="1"/>
        <v>7</v>
      </c>
      <c r="K27" s="130" t="s">
        <v>389</v>
      </c>
      <c r="L27" s="130" t="s">
        <v>24</v>
      </c>
      <c r="M27" s="130" t="s">
        <v>391</v>
      </c>
      <c r="N27" s="130" t="s">
        <v>24</v>
      </c>
      <c r="O27" s="130" t="s">
        <v>286</v>
      </c>
      <c r="P27" s="724" t="s">
        <v>3</v>
      </c>
      <c r="Q27" s="130"/>
      <c r="R27" s="130"/>
      <c r="S27" s="130"/>
      <c r="T27" s="130"/>
      <c r="U27" s="130"/>
      <c r="V27" s="130"/>
      <c r="W27" s="130"/>
      <c r="X27" s="130"/>
      <c r="Y27" s="130"/>
      <c r="Z27" s="131" t="s">
        <v>24</v>
      </c>
      <c r="AA27" s="131" t="s">
        <v>357</v>
      </c>
      <c r="AB27" s="132" t="s">
        <v>18</v>
      </c>
      <c r="AC27" s="132" t="s">
        <v>183</v>
      </c>
      <c r="AD27" s="132" t="s">
        <v>18</v>
      </c>
      <c r="AE27" s="133">
        <f t="shared" si="0"/>
        <v>7</v>
      </c>
      <c r="AF27" s="78"/>
    </row>
    <row r="28" spans="1:32" ht="13.15" customHeight="1">
      <c r="A28" s="270">
        <f>IF(AND($K28&lt;&gt;"",$K28&lt;&gt;"--",$K28&lt;&gt;"O3/CP",$K$14=A$18),IF(LEFT($K28,1)="P",VLOOKUP(CONCATENATE(LEFT($K28,2),"H"),$R$63:$T$91,3,FALSE),VLOOKUP($K28,$R$63:$T$91,3,FALSE)))+IF(AND($K28&lt;&gt;"",$K28&lt;&gt;"O3/CP",$K$15=A$18,MID($K28,4,1)="2",$K$15&lt;&gt;$K$14),VLOOKUP(CONCATENATE(LEFT($K28,2),"L"),$R$63:$T$91,3,FALSE),0)+IF(AND($K28="O3/CP",$K$14=A$18),VLOOKUP("O3",$R$63:$T$91,3,FALSE)+VLOOKUP("CP",$R$63:$T$91,3,FALSE),0)+IF(AND($L28&lt;&gt;"",$L28&lt;&gt;"--",$L28&lt;&gt;"O3/CP",$L$14=A$18),IF(LEFT($L28,1)="P",VLOOKUP(CONCATENATE(LEFT($L28,2),"H"),$R$63:$T$91,3,FALSE),VLOOKUP($L28,$R$63:$T$91,3,FALSE)))+IF(AND($L28&lt;&gt;"",$L28&lt;&gt;"O3/CP",$L$15=A$18,MID($L28,4,1)="2",$L$15&lt;&gt;$L$14),VLOOKUP(CONCATENATE(LEFT($L28,2),"L"),$R$63:$T$91,3,FALSE),0)+IF(AND($L28="O3/CP",$L$14=A$18),VLOOKUP("O3",$R$63:$T$91,3,FALSE)+VLOOKUP("CP",$R$63:$T$91,3,FALSE),0)+IF(AND($M28&lt;&gt;"",$M28&lt;&gt;"--",$M28&lt;&gt;"O3/CP",$M$14=A$18),IF(LEFT($M28,1)="P",VLOOKUP(CONCATENATE(LEFT($M28,2),"H"),$R$63:$T$91,3,FALSE),VLOOKUP($M28,$R$63:$T$91,3,FALSE)))+IF(AND($M28&lt;&gt;"",$M28&lt;&gt;"O3/CP",$M$15=A$18,MID($M28,4,1)="2",$M$15&lt;&gt;$M$14),VLOOKUP(CONCATENATE(LEFT($M28,2),"L"),$R$63:$T$91,3,FALSE),0)+IF(AND($M28="O3/CP",$M$14=A$18),VLOOKUP("O3",$R$63:$T$91,3,FALSE)+VLOOKUP("CP",$R$63:$T$91,3,FALSE),0)+IF(AND($N28&lt;&gt;"",$N28&lt;&gt;"--",$N28&lt;&gt;"O3/CP",$N$14=A$18),IF(LEFT($N28,1)="P",VLOOKUP(CONCATENATE(LEFT($N28,2),"H"),$R$63:$T$91,3,FALSE),VLOOKUP($N28,$R$63:$T$91,3,FALSE)))+IF(AND($N28&lt;&gt;"",$N28&lt;&gt;"O3/CP",$N$15=A$18,MID($N28,4,1)="2",$N$15&lt;&gt;$N$14),VLOOKUP(CONCATENATE(LEFT($N28,2),"L"),$R$63:$T$91,3,FALSE),0)+IF(AND($N28="O3/CP",$N$14=A$18),VLOOKUP("O3",$R$63:$T$91,3,FALSE)+VLOOKUP("CP",$R$63:$T$91,3,FALSE),0)+IF(AND($O28&lt;&gt;"",$O28&lt;&gt;"--",$O28&lt;&gt;"O3/CP",$O$14=A$18),IF(LEFT($O28,1)="P",VLOOKUP(CONCATENATE(LEFT($O28,2),"H"),$R$63:$T$91,3,FALSE),VLOOKUP($O28,$R$63:$T$91,3,FALSE)))+IF(AND($O28&lt;&gt;"",$O28&lt;&gt;"O3/CP",$O$15=A$18,MID($O28,4,1)="2",$O$15&lt;&gt;$O$14),VLOOKUP(CONCATENATE(LEFT($O28,2),"L"),$R$63:$T$91,3,FALSE),0)+IF(AND($O28="O3/CP",$O$14=A$18),VLOOKUP("O3",$R$63:$T$91,3,FALSE)+VLOOKUP("CP",$R$63:$T$91,3,FALSE),0)+IF(AND($P28&lt;&gt;"",$P28&lt;&gt;"--",$P28&lt;&gt;"O3/CP",$P$14=A$18),IF(LEFT($P28,1)="P",VLOOKUP(CONCATENATE(LEFT($P28,2),"H"),$R$63:$T$91,3,FALSE),VLOOKUP($P28,$R$63:$T$91,3,FALSE)))+IF(AND($P28&lt;&gt;"",$P28&lt;&gt;"O3/CP",$P$15=A$18,MID($P28,4,1)="2",$P$15&lt;&gt;$P$14),VLOOKUP(CONCATENATE(LEFT($P28,2),"L"),$R$63:$T$91,3,FALSE),0)+IF(AND($P28="O3/CP",$P$14=A$18),VLOOKUP("O3",$R$63:$T$91,3,FALSE)+VLOOKUP("CP",$R$63:$T$91,3,FALSE),0)+IF(AND($Q28&lt;&gt;"",$Q28&lt;&gt;"--",$Q28&lt;&gt;"O3/CP",$Q$14=A$18),IF(LEFT($Q28,1)="P",VLOOKUP(CONCATENATE(LEFT($Q28,2),"H"),$R$63:$T$91,3,FALSE),VLOOKUP($Q28,$R$63:$T$91,3,FALSE)))+IF(AND($Q28&lt;&gt;"",$Q28&lt;&gt;"O3/CP",$Q$15=A$18,MID($Q28,4,1)="2",$Q$15&lt;&gt;$Q$14),VLOOKUP(CONCATENATE(LEFT($Q28,2),"L"),$R$63:$T$91,3,FALSE),0)+IF(AND($Q28="O3/CP",$Q$14=A$18),VLOOKUP("O3",$R$63:$T$91,3,FALSE)+VLOOKUP("CP",$R$63:$T$91,3,FALSE),0)+IF(AND($R28&lt;&gt;"",$R28&lt;&gt;"--",$R28&lt;&gt;"O3/CP",$R$14=A$18),IF(LEFT($R28,1)="P",VLOOKUP(CONCATENATE(LEFT($R28,2),"H"),$R$63:$T$91,3,FALSE),VLOOKUP($R28,$R$63:$T$91,3,FALSE)))+IF(AND($R28&lt;&gt;"",$R28&lt;&gt;"O3/CP",$R$15=A$18,MID($R28,4,1)="2",$R$15&lt;&gt;$R$14),VLOOKUP(CONCATENATE(LEFT($R28,2),"L"),$R$63:$T$91,3,FALSE),0)+IF(AND($R28="O3/CP",$R$14=A$18),VLOOKUP("O3",$R$63:$T$91,3,FALSE)+VLOOKUP("CP",$R$63:$T$91,3,FALSE),0)+IF(AND($S28&lt;&gt;"",$S28&lt;&gt;"--",$S28&lt;&gt;"O3/CP",$S$14=A$18),IF(LEFT($S28,1)="P",VLOOKUP(CONCATENATE(LEFT($S28,2),"H"),$R$63:$T$91,3,FALSE),VLOOKUP($S28,$R$63:$T$91,3,FALSE)))+IF(AND($S28&lt;&gt;"",$S28&lt;&gt;"O3/CP",$S$15=A$18,MID($S28,4,1)="2",$S$15&lt;&gt;$S$14),VLOOKUP(CONCATENATE(LEFT($S28,2),"L"),$R$63:$T$91,3,FALSE),0)+IF(AND($S28="O3/CP",$S$14=A$18),VLOOKUP("O3",$R$63:$T$91,3,FALSE)+VLOOKUP("CP",$R$63:$T$91,3,FALSE),0)+IF(AND($T28&lt;&gt;"",$T28&lt;&gt;"--",$T28&lt;&gt;"O3/CP",$T$14=A$18),IF(LEFT($T28,1)="P",VLOOKUP(CONCATENATE(LEFT($T28,2),"H"),$R$63:$T$91,3,FALSE),VLOOKUP($T28,$R$63:$T$91,3,FALSE)))+IF(AND($T28&lt;&gt;"",$T28&lt;&gt;"O3/CP",$T$15=A$18,MID($T28,4,1)="2",$T$15&lt;&gt;$T$14),VLOOKUP(CONCATENATE(LEFT($T28,2),"L"),$R$63:$T$91,3,FALSE),0)+IF(AND($T28="O3/CP",$T$14=A$18),VLOOKUP("O3",$R$63:$T$91,3,FALSE)+VLOOKUP("CP",$R$63:$T$91,3,FALSE),0)+IF(AND($U28&lt;&gt;"",$U28&lt;&gt;"--",$U28&lt;&gt;"O3/CP",$U$14=A$18),IF(LEFT($U28,1)="P",VLOOKUP(CONCATENATE(LEFT($U28,2),"H"),$R$63:$T$91,3,FALSE),VLOOKUP($U28,$R$63:$T$91,3,FALSE)))+IF(AND($U28&lt;&gt;"",$U28&lt;&gt;"O3/CP",$U$15=A$18,MID($U28,4,1)="2",$U$15&lt;&gt;$U$14),VLOOKUP(CONCATENATE(LEFT($U28,2),"L"),$R$63:$T$91,3,FALSE),0)+IF(AND($U28="O3/CP",$T$14=A$18),VLOOKUP("O3",$R$63:$T$91,3,FALSE)+VLOOKUP("CP",$R$63:$T$91,3,FALSE),0)+IF(AND($V28&lt;&gt;"",$V28&lt;&gt;"--",$V28&lt;&gt;"O3/CP",$V$14=A$18),IF(LEFT($V28,1)="P",VLOOKUP(CONCATENATE(LEFT($V28,2),"H"),$R$63:$T$91,3,FALSE),VLOOKUP($V28,$R$63:$T$91,3,FALSE)))+IF(AND($V28&lt;&gt;"",$V28&lt;&gt;"O3/CP",$V$15=A$18,MID($V28,4,1)="2",$V$15&lt;&gt;$V$14),VLOOKUP(CONCATENATE(LEFT($V28,2),"L"),$R$63:$T$91,3,FALSE),0)+IF(AND($V28="O3/CP",$V$14=A$18),VLOOKUP("O3",$R$63:$T$91,3,FALSE)+VLOOKUP("CP",$R$63:$T$91,3,FALSE),0)+IF(AND($W28&lt;&gt;"",$W28&lt;&gt;"--",$W28&lt;&gt;"O3/CP",$W$14=A$18),IF(LEFT($W28,1)="P",VLOOKUP(CONCATENATE(LEFT($W28,2),"H"),$R$63:$T$91,3,FALSE),VLOOKUP($W28,$R$63:$T$91,3,FALSE)))+IF(AND($W28&lt;&gt;"",$W28&lt;&gt;"O3/CP",$W$15=A$18,MID($W28,4,1)="2",$W$15&lt;&gt;$W$14),VLOOKUP(CONCATENATE(LEFT($W28,2),"L"),$R$63:$T$91,3,FALSE),0)+IF(AND($W28="O3/CP",$W$14=A$18),VLOOKUP("O3",$R$63:$T$91,3,FALSE)+VLOOKUP("CP",$R$63:$T$91,3,FALSE),0)+IF(AND($X28&lt;&gt;"",$X28&lt;&gt;"--",$X28&lt;&gt;"O3/CP",$X$14=A$18),IF(LEFT($X28,1)="P",VLOOKUP(CONCATENATE(LEFT($X28,2),"H"),$R$63:$T$91,3,FALSE),VLOOKUP($X28,$R$63:$T$91,3,FALSE)))+IF(AND($X28&lt;&gt;"",$X28&lt;&gt;"O3/CP",$X$15=A$18,MID($X28,4,1)="2",$X$15&lt;&gt;$X$14),VLOOKUP(CONCATENATE(LEFT($X28,2),"L"),$R$63:$T$91,3,FALSE),0)+IF(AND($X28="O3/CP",$X$14=A$18),VLOOKUP("O3",$R$63:$T$91,3,FALSE)+VLOOKUP("CP",$R$63:$T$91,3,FALSE),0)+IF(AND($Y28&lt;&gt;"",$Y28&lt;&gt;"--",$Y28&lt;&gt;"O3/CP",$Y$14=A$18),IF(LEFT($Y28,1)="P",VLOOKUP(CONCATENATE(LEFT($Y28,2),"H"),$R$63:$T$91,3,FALSE),VLOOKUP($Y28,$R$63:$T$91,3,FALSE)))+IF(AND($Y28&lt;&gt;"",$Y28&lt;&gt;"O3/CP",$Y$15=A$18,MID($Y28,4,1)="2",$Y$15&lt;&gt;$Y$14),VLOOKUP(CONCATENATE(LEFT($Y28,2),"L"),$R$63:$T$91,3,FALSE),0)+IF(AND($Y28="O3/CP",$Y$14=A$18),VLOOKUP("O3",$R$63:$T$91,3,FALSE)+VLOOKUP("CP",$R$63:$T$91,3,FALSE),0)+IF(AND($K$6="CE",'[3]Supply Attribution'!$G$20=A$18),LEFT($S$90,2),0)+IF(AND($X$86&lt;&gt;"Not Set",$X$87=A$18),$X$86,0)</f>
        <v>13</v>
      </c>
      <c r="B28" s="269">
        <f>IF(AND($K28&lt;&gt;"",$K28&lt;&gt;"--",$K28&lt;&gt;"O3/CP",$K$14=B$18),IF(LEFT($K28,1)="P",VLOOKUP(CONCATENATE(LEFT($K28,2),"H"),$R$63:$T$91,3,FALSE),VLOOKUP($K28,$R$63:$T$91,3,FALSE)))+IF(AND($K28&lt;&gt;"",$K28&lt;&gt;"O3/CP",$K$15=B$18,MID($K28,4,1)="2",$K$15&lt;&gt;$K$14),VLOOKUP(CONCATENATE(LEFT($K28,2),"L"),$R$63:$T$91,3,FALSE),0)+IF(AND($K28="O3/CP",$K$14=B$18),VLOOKUP("O3",$R$63:$T$91,3,FALSE)+VLOOKUP("CP",$R$63:$T$91,3,FALSE),0)+IF(AND($L28&lt;&gt;"",$L28&lt;&gt;"--",$L28&lt;&gt;"O3/CP",$L$14=B$18),IF(LEFT($L28,1)="P",VLOOKUP(CONCATENATE(LEFT($L28,2),"H"),$R$63:$T$91,3,FALSE),VLOOKUP($L28,$R$63:$T$91,3,FALSE)))+IF(AND($L28&lt;&gt;"",$L28&lt;&gt;"O3/CP",$L$15=B$18,MID($L28,4,1)="2",$L$15&lt;&gt;$L$14),VLOOKUP(CONCATENATE(LEFT($L28,2),"L"),$R$63:$T$91,3,FALSE),0)+IF(AND($L28="O3/CP",$L$14=B$18),VLOOKUP("O3",$R$63:$T$91,3,FALSE)+VLOOKUP("CP",$R$63:$T$91,3,FALSE),0)+IF(AND($M28&lt;&gt;"",$M28&lt;&gt;"--",$M28&lt;&gt;"O3/CP",$M$14=B$18),IF(LEFT($M28,1)="P",VLOOKUP(CONCATENATE(LEFT($M28,2),"H"),$R$63:$T$91,3,FALSE),VLOOKUP($M28,$R$63:$T$91,3,FALSE)))+IF(AND($M28&lt;&gt;"",$M28&lt;&gt;"O3/CP",$M$15=B$18,MID($M28,4,1)="2",$M$15&lt;&gt;$M$14),VLOOKUP(CONCATENATE(LEFT($M28,2),"L"),$R$63:$T$91,3,FALSE),0)+IF(AND($M28="O3/CP",$M$14=B$18),VLOOKUP("O3",$R$63:$T$91,3,FALSE)+VLOOKUP("CP",$R$63:$T$91,3,FALSE),0)+IF(AND($N28&lt;&gt;"",$N28&lt;&gt;"--",$N28&lt;&gt;"O3/CP",$N$14=B$18),IF(LEFT($N28,1)="P",VLOOKUP(CONCATENATE(LEFT($N28,2),"H"),$R$63:$T$91,3,FALSE),VLOOKUP($N28,$R$63:$T$91,3,FALSE)))+IF(AND($N28&lt;&gt;"",$N28&lt;&gt;"O3/CP",$N$15=B$18,MID($N28,4,1)="2",$N$15&lt;&gt;$N$14),VLOOKUP(CONCATENATE(LEFT($N28,2),"L"),$R$63:$T$91,3,FALSE),0)+IF(AND($N28="O3/CP",$N$14=B$18),VLOOKUP("O3",$R$63:$T$91,3,FALSE)+VLOOKUP("CP",$R$63:$T$91,3,FALSE),0)+IF(AND($O28&lt;&gt;"",$O28&lt;&gt;"--",$O28&lt;&gt;"O3/CP",$O$14=B$18),IF(LEFT($O28,1)="P",VLOOKUP(CONCATENATE(LEFT($O28,2),"H"),$R$63:$T$91,3,FALSE),VLOOKUP($O28,$R$63:$T$91,3,FALSE)))+IF(AND($O28&lt;&gt;"",$O28&lt;&gt;"O3/CP",$O$15=B$18,MID($O28,4,1)="2",$O$15&lt;&gt;$O$14),VLOOKUP(CONCATENATE(LEFT($O28,2),"L"),$R$63:$T$91,3,FALSE),0)+IF(AND($O28="O3/CP",$O$14=B$18),VLOOKUP("O3",$R$63:$T$91,3,FALSE)+VLOOKUP("CP",$R$63:$T$91,3,FALSE),0)+IF(AND($P28&lt;&gt;"",$P28&lt;&gt;"--",$P28&lt;&gt;"O3/CP",$P$14=B$18),IF(LEFT($P28,1)="P",VLOOKUP(CONCATENATE(LEFT($P28,2),"H"),$R$63:$T$91,3,FALSE),VLOOKUP($P28,$R$63:$T$91,3,FALSE)))+IF(AND($P28&lt;&gt;"",$P28&lt;&gt;"O3/CP",$P$15=B$18,MID($P28,4,1)="2",$P$15&lt;&gt;$P$14),VLOOKUP(CONCATENATE(LEFT($P28,2),"L"),$R$63:$T$91,3,FALSE),0)+IF(AND($P28="O3/CP",$P$14=B$18),VLOOKUP("O3",$R$63:$T$91,3,FALSE)+VLOOKUP("CP",$R$63:$T$91,3,FALSE),0)+IF(AND($Q28&lt;&gt;"",$Q28&lt;&gt;"--",$Q28&lt;&gt;"O3/CP",$Q$14=B$18),IF(LEFT($Q28,1)="P",VLOOKUP(CONCATENATE(LEFT($Q28,2),"H"),$R$63:$T$91,3,FALSE),VLOOKUP($Q28,$R$63:$T$91,3,FALSE)))+IF(AND($Q28&lt;&gt;"",$Q28&lt;&gt;"O3/CP",$Q$15=B$18,MID($Q28,4,1)="2",$Q$15&lt;&gt;$Q$14),VLOOKUP(CONCATENATE(LEFT($Q28,2),"L"),$R$63:$T$91,3,FALSE),0)+IF(AND($Q28="O3/CP",$Q$14=B$18),VLOOKUP("O3",$R$63:$T$91,3,FALSE)+VLOOKUP("CP",$R$63:$T$91,3,FALSE),0)+IF(AND($R28&lt;&gt;"",$R28&lt;&gt;"--",$R28&lt;&gt;"O3/CP",$R$14=B$18),IF(LEFT($R28,1)="P",VLOOKUP(CONCATENATE(LEFT($R28,2),"H"),$R$63:$T$91,3,FALSE),VLOOKUP($R28,$R$63:$T$91,3,FALSE)))+IF(AND($R28&lt;&gt;"",$R28&lt;&gt;"O3/CP",$R$15=B$18,MID($R28,4,1)="2",$R$15&lt;&gt;$R$14),VLOOKUP(CONCATENATE(LEFT($R28,2),"L"),$R$63:$T$91,3,FALSE),0)+IF(AND($R28="O3/CP",$R$14=B$18),VLOOKUP("O3",$R$63:$T$91,3,FALSE)+VLOOKUP("CP",$R$63:$T$91,3,FALSE),0)+IF(AND($S28&lt;&gt;"",$S28&lt;&gt;"--",$S28&lt;&gt;"O3/CP",$S$14=B$18),IF(LEFT($S28,1)="P",VLOOKUP(CONCATENATE(LEFT($S28,2),"H"),$R$63:$T$91,3,FALSE),VLOOKUP($S28,$R$63:$T$91,3,FALSE)))+IF(AND($S28&lt;&gt;"",$S28&lt;&gt;"O3/CP",$S$15=B$18,MID($S28,4,1)="2",$S$15&lt;&gt;$S$14),VLOOKUP(CONCATENATE(LEFT($S28,2),"L"),$R$63:$T$91,3,FALSE),0)+IF(AND($S28="O3/CP",$S$14=B$18),VLOOKUP("O3",$R$63:$T$91,3,FALSE)+VLOOKUP("CP",$R$63:$T$91,3,FALSE),0)+IF(AND($T28&lt;&gt;"",$T28&lt;&gt;"--",$T28&lt;&gt;"O3/CP",$T$14=B$18),IF(LEFT($T28,1)="P",VLOOKUP(CONCATENATE(LEFT($T28,2),"H"),$R$63:$T$91,3,FALSE),VLOOKUP($T28,$R$63:$T$91,3,FALSE)))+IF(AND($T28&lt;&gt;"",$T28&lt;&gt;"O3/CP",$T$15=B$18,MID($T28,4,1)="2",$T$15&lt;&gt;$T$14),VLOOKUP(CONCATENATE(LEFT($T28,2),"L"),$R$63:$T$91,3,FALSE),0)+IF(AND($T28="O3/CP",$T$14=B$18),VLOOKUP("O3",$R$63:$T$91,3,FALSE)+VLOOKUP("CP",$R$63:$T$91,3,FALSE),0)+IF(AND($U28&lt;&gt;"",$U28&lt;&gt;"--",$U28&lt;&gt;"O3/CP",$U$14=B$18),IF(LEFT($U28,1)="P",VLOOKUP(CONCATENATE(LEFT($U28,2),"H"),$R$63:$T$91,3,FALSE),VLOOKUP($U28,$R$63:$T$91,3,FALSE)))+IF(AND($U28&lt;&gt;"",$U28&lt;&gt;"O3/CP",$U$15=B$18,MID($U28,4,1)="2",$U$15&lt;&gt;$U$14),VLOOKUP(CONCATENATE(LEFT($U28,2),"L"),$R$63:$T$91,3,FALSE),0)+IF(AND($U28="O3/CP",$T$14=B$18),VLOOKUP("O3",$R$63:$T$91,3,FALSE)+VLOOKUP("CP",$R$63:$T$91,3,FALSE),0)+IF(AND($V28&lt;&gt;"",$V28&lt;&gt;"--",$V28&lt;&gt;"O3/CP",$V$14=B$18),IF(LEFT($V28,1)="P",VLOOKUP(CONCATENATE(LEFT($V28,2),"H"),$R$63:$T$91,3,FALSE),VLOOKUP($V28,$R$63:$T$91,3,FALSE)))+IF(AND($V28&lt;&gt;"",$V28&lt;&gt;"O3/CP",$V$15=B$18,MID($V28,4,1)="2",$V$15&lt;&gt;$V$14),VLOOKUP(CONCATENATE(LEFT($V28,2),"L"),$R$63:$T$91,3,FALSE),0)+IF(AND($V28="O3/CP",$V$14=B$18),VLOOKUP("O3",$R$63:$T$91,3,FALSE)+VLOOKUP("CP",$R$63:$T$91,3,FALSE),0)+IF(AND($W28&lt;&gt;"",$W28&lt;&gt;"--",$W28&lt;&gt;"O3/CP",$W$14=B$18),IF(LEFT($W28,1)="P",VLOOKUP(CONCATENATE(LEFT($W28,2),"H"),$R$63:$T$91,3,FALSE),VLOOKUP($W28,$R$63:$T$91,3,FALSE)))+IF(AND($W28&lt;&gt;"",$W28&lt;&gt;"O3/CP",$W$15=B$18,MID($W28,4,1)="2",$W$15&lt;&gt;$W$14),VLOOKUP(CONCATENATE(LEFT($W28,2),"L"),$R$63:$T$91,3,FALSE),0)+IF(AND($W28="O3/CP",$W$14=B$18),VLOOKUP("O3",$R$63:$T$91,3,FALSE)+VLOOKUP("CP",$R$63:$T$91,3,FALSE),0)+IF(AND($X28&lt;&gt;"",$X28&lt;&gt;"--",$X28&lt;&gt;"O3/CP",$X$14=B$18),IF(LEFT($X28,1)="P",VLOOKUP(CONCATENATE(LEFT($X28,2),"H"),$R$63:$T$91,3,FALSE),VLOOKUP($X28,$R$63:$T$91,3,FALSE)))+IF(AND($X28&lt;&gt;"",$X28&lt;&gt;"O3/CP",$X$15=B$18,MID($X28,4,1)="2",$X$15&lt;&gt;$X$14),VLOOKUP(CONCATENATE(LEFT($X28,2),"L"),$R$63:$T$91,3,FALSE),0)+IF(AND($X28="O3/CP",$X$14=B$18),VLOOKUP("O3",$R$63:$T$91,3,FALSE)+VLOOKUP("CP",$R$63:$T$91,3,FALSE),0)+IF(AND($Y28&lt;&gt;"",$Y28&lt;&gt;"--",$Y28&lt;&gt;"O3/CP",$Y$14=B$18),IF(LEFT($Y28,1)="P",VLOOKUP(CONCATENATE(LEFT($Y28,2),"H"),$R$63:$T$91,3,FALSE),VLOOKUP($Y28,$R$63:$T$91,3,FALSE)))+IF(AND($Y28&lt;&gt;"",$Y28&lt;&gt;"O3/CP",$Y$15=B$18,MID($Y28,4,1)="2",$Y$15&lt;&gt;$Y$14),VLOOKUP(CONCATENATE(LEFT($Y28,2),"L"),$R$63:$T$91,3,FALSE),0)+IF(AND($Y28="O3/CP",$Y$14=B$18),VLOOKUP("O3",$R$63:$T$91,3,FALSE)+VLOOKUP("CP",$R$63:$T$91,3,FALSE),0)+IF(AND($K$6="CE",'[3]Supply Attribution'!$G$20=B$18),LEFT($S$90,2),0)+IF(AND($X$86&lt;&gt;"Not Set",$X$87=B$18),$X$86,0)</f>
        <v>5</v>
      </c>
      <c r="C28" s="269">
        <f>IF(AND($K28&lt;&gt;"",$K28&lt;&gt;"--",$K28&lt;&gt;"O3/CP",$K$14=C$18),IF(LEFT($K28,1)="P",VLOOKUP(CONCATENATE(LEFT($K28,2),"H"),$R$63:$T$91,3,FALSE),VLOOKUP($K28,$R$63:$T$91,3,FALSE)))+IF(AND($K28&lt;&gt;"",$K28&lt;&gt;"O3/CP",$K$15=C$18,MID($K28,4,1)="2",$K$15&lt;&gt;$K$14),VLOOKUP(CONCATENATE(LEFT($K28,2),"L"),$R$63:$T$91,3,FALSE),0)+IF(AND($K28="O3/CP",$K$14=C$18),VLOOKUP("O3",$R$63:$T$91,3,FALSE)+VLOOKUP("CP",$R$63:$T$91,3,FALSE),0)+IF(AND($L28&lt;&gt;"",$L28&lt;&gt;"--",$L28&lt;&gt;"O3/CP",$L$14=C$18),IF(LEFT($L28,1)="P",VLOOKUP(CONCATENATE(LEFT($L28,2),"H"),$R$63:$T$91,3,FALSE),VLOOKUP($L28,$R$63:$T$91,3,FALSE)))+IF(AND($L28&lt;&gt;"",$L28&lt;&gt;"O3/CP",$L$15=C$18,MID($L28,4,1)="2",$L$15&lt;&gt;$L$14),VLOOKUP(CONCATENATE(LEFT($L28,2),"L"),$R$63:$T$91,3,FALSE),0)+IF(AND($L28="O3/CP",$L$14=C$18),VLOOKUP("O3",$R$63:$T$91,3,FALSE)+VLOOKUP("CP",$R$63:$T$91,3,FALSE),0)+IF(AND($M28&lt;&gt;"",$M28&lt;&gt;"--",$M28&lt;&gt;"O3/CP",$M$14=C$18),IF(LEFT($M28,1)="P",VLOOKUP(CONCATENATE(LEFT($M28,2),"H"),$R$63:$T$91,3,FALSE),VLOOKUP($M28,$R$63:$T$91,3,FALSE)))+IF(AND($M28&lt;&gt;"",$M28&lt;&gt;"O3/CP",$M$15=C$18,MID($M28,4,1)="2",$M$15&lt;&gt;$M$14),VLOOKUP(CONCATENATE(LEFT($M28,2),"L"),$R$63:$T$91,3,FALSE),0)+IF(AND($M28="O3/CP",$M$14=C$18),VLOOKUP("O3",$R$63:$T$91,3,FALSE)+VLOOKUP("CP",$R$63:$T$91,3,FALSE),0)+IF(AND($N28&lt;&gt;"",$N28&lt;&gt;"--",$N28&lt;&gt;"O3/CP",$N$14=C$18),IF(LEFT($N28,1)="P",VLOOKUP(CONCATENATE(LEFT($N28,2),"H"),$R$63:$T$91,3,FALSE),VLOOKUP($N28,$R$63:$T$91,3,FALSE)))+IF(AND($N28&lt;&gt;"",$N28&lt;&gt;"O3/CP",$N$15=C$18,MID($N28,4,1)="2",$N$15&lt;&gt;$N$14),VLOOKUP(CONCATENATE(LEFT($N28,2),"L"),$R$63:$T$91,3,FALSE),0)+IF(AND($N28="O3/CP",$N$14=C$18),VLOOKUP("O3",$R$63:$T$91,3,FALSE)+VLOOKUP("CP",$R$63:$T$91,3,FALSE),0)+IF(AND($O28&lt;&gt;"",$O28&lt;&gt;"--",$O28&lt;&gt;"O3/CP",$O$14=C$18),IF(LEFT($O28,1)="P",VLOOKUP(CONCATENATE(LEFT($O28,2),"H"),$R$63:$T$91,3,FALSE),VLOOKUP($O28,$R$63:$T$91,3,FALSE)))+IF(AND($O28&lt;&gt;"",$O28&lt;&gt;"O3/CP",$O$15=C$18,MID($O28,4,1)="2",$O$15&lt;&gt;$O$14),VLOOKUP(CONCATENATE(LEFT($O28,2),"L"),$R$63:$T$91,3,FALSE),0)+IF(AND($O28="O3/CP",$O$14=C$18),VLOOKUP("O3",$R$63:$T$91,3,FALSE)+VLOOKUP("CP",$R$63:$T$91,3,FALSE),0)+IF(AND($P28&lt;&gt;"",$P28&lt;&gt;"--",$P28&lt;&gt;"O3/CP",$P$14=C$18),IF(LEFT($P28,1)="P",VLOOKUP(CONCATENATE(LEFT($P28,2),"H"),$R$63:$T$91,3,FALSE),VLOOKUP($P28,$R$63:$T$91,3,FALSE)))+IF(AND($P28&lt;&gt;"",$P28&lt;&gt;"O3/CP",$P$15=C$18,MID($P28,4,1)="2",$P$15&lt;&gt;$P$14),VLOOKUP(CONCATENATE(LEFT($P28,2),"L"),$R$63:$T$91,3,FALSE),0)+IF(AND($P28="O3/CP",$P$14=C$18),VLOOKUP("O3",$R$63:$T$91,3,FALSE)+VLOOKUP("CP",$R$63:$T$91,3,FALSE),0)+IF(AND($Q28&lt;&gt;"",$Q28&lt;&gt;"--",$Q28&lt;&gt;"O3/CP",$Q$14=C$18),IF(LEFT($Q28,1)="P",VLOOKUP(CONCATENATE(LEFT($Q28,2),"H"),$R$63:$T$91,3,FALSE),VLOOKUP($Q28,$R$63:$T$91,3,FALSE)))+IF(AND($Q28&lt;&gt;"",$Q28&lt;&gt;"O3/CP",$Q$15=C$18,MID($Q28,4,1)="2",$Q$15&lt;&gt;$Q$14),VLOOKUP(CONCATENATE(LEFT($Q28,2),"L"),$R$63:$T$91,3,FALSE),0)+IF(AND($Q28="O3/CP",$Q$14=C$18),VLOOKUP("O3",$R$63:$T$91,3,FALSE)+VLOOKUP("CP",$R$63:$T$91,3,FALSE),0)+IF(AND($R28&lt;&gt;"",$R28&lt;&gt;"--",$R28&lt;&gt;"O3/CP",$R$14=C$18),IF(LEFT($R28,1)="P",VLOOKUP(CONCATENATE(LEFT($R28,2),"H"),$R$63:$T$91,3,FALSE),VLOOKUP($R28,$R$63:$T$91,3,FALSE)))+IF(AND($R28&lt;&gt;"",$R28&lt;&gt;"O3/CP",$R$15=C$18,MID($R28,4,1)="2",$R$15&lt;&gt;$R$14),VLOOKUP(CONCATENATE(LEFT($R28,2),"L"),$R$63:$T$91,3,FALSE),0)+IF(AND($R28="O3/CP",$R$14=C$18),VLOOKUP("O3",$R$63:$T$91,3,FALSE)+VLOOKUP("CP",$R$63:$T$91,3,FALSE),0)+IF(AND($S28&lt;&gt;"",$S28&lt;&gt;"--",$S28&lt;&gt;"O3/CP",$S$14=C$18),IF(LEFT($S28,1)="P",VLOOKUP(CONCATENATE(LEFT($S28,2),"H"),$R$63:$T$91,3,FALSE),VLOOKUP($S28,$R$63:$T$91,3,FALSE)))+IF(AND($S28&lt;&gt;"",$S28&lt;&gt;"O3/CP",$S$15=C$18,MID($S28,4,1)="2",$S$15&lt;&gt;$S$14),VLOOKUP(CONCATENATE(LEFT($S28,2),"L"),$R$63:$T$91,3,FALSE),0)+IF(AND($S28="O3/CP",$S$14=C$18),VLOOKUP("O3",$R$63:$T$91,3,FALSE)+VLOOKUP("CP",$R$63:$T$91,3,FALSE),0)+IF(AND($T28&lt;&gt;"",$T28&lt;&gt;"--",$T28&lt;&gt;"O3/CP",$T$14=C$18),IF(LEFT($T28,1)="P",VLOOKUP(CONCATENATE(LEFT($T28,2),"H"),$R$63:$T$91,3,FALSE),VLOOKUP($T28,$R$63:$T$91,3,FALSE)))+IF(AND($T28&lt;&gt;"",$T28&lt;&gt;"O3/CP",$T$15=C$18,MID($T28,4,1)="2",$T$15&lt;&gt;$T$14),VLOOKUP(CONCATENATE(LEFT($T28,2),"L"),$R$63:$T$91,3,FALSE),0)+IF(AND($T28="O3/CP",$T$14=C$18),VLOOKUP("O3",$R$63:$T$91,3,FALSE)+VLOOKUP("CP",$R$63:$T$91,3,FALSE),0)+IF(AND($U28&lt;&gt;"",$U28&lt;&gt;"--",$U28&lt;&gt;"O3/CP",$U$14=C$18),IF(LEFT($U28,1)="P",VLOOKUP(CONCATENATE(LEFT($U28,2),"H"),$R$63:$T$91,3,FALSE),VLOOKUP($U28,$R$63:$T$91,3,FALSE)))+IF(AND($U28&lt;&gt;"",$U28&lt;&gt;"O3/CP",$U$15=C$18,MID($U28,4,1)="2",$U$15&lt;&gt;$U$14),VLOOKUP(CONCATENATE(LEFT($U28,2),"L"),$R$63:$T$91,3,FALSE),0)+IF(AND($U28="O3/CP",$T$14=C$18),VLOOKUP("O3",$R$63:$T$91,3,FALSE)+VLOOKUP("CP",$R$63:$T$91,3,FALSE),0)+IF(AND($V28&lt;&gt;"",$V28&lt;&gt;"--",$V28&lt;&gt;"O3/CP",$V$14=C$18),IF(LEFT($V28,1)="P",VLOOKUP(CONCATENATE(LEFT($V28,2),"H"),$R$63:$T$91,3,FALSE),VLOOKUP($V28,$R$63:$T$91,3,FALSE)))+IF(AND($V28&lt;&gt;"",$V28&lt;&gt;"O3/CP",$V$15=C$18,MID($V28,4,1)="2",$V$15&lt;&gt;$V$14),VLOOKUP(CONCATENATE(LEFT($V28,2),"L"),$R$63:$T$91,3,FALSE),0)+IF(AND($V28="O3/CP",$V$14=C$18),VLOOKUP("O3",$R$63:$T$91,3,FALSE)+VLOOKUP("CP",$R$63:$T$91,3,FALSE),0)+IF(AND($W28&lt;&gt;"",$W28&lt;&gt;"--",$W28&lt;&gt;"O3/CP",$W$14=C$18),IF(LEFT($W28,1)="P",VLOOKUP(CONCATENATE(LEFT($W28,2),"H"),$R$63:$T$91,3,FALSE),VLOOKUP($W28,$R$63:$T$91,3,FALSE)))+IF(AND($W28&lt;&gt;"",$W28&lt;&gt;"O3/CP",$W$15=C$18,MID($W28,4,1)="2",$W$15&lt;&gt;$W$14),VLOOKUP(CONCATENATE(LEFT($W28,2),"L"),$R$63:$T$91,3,FALSE),0)+IF(AND($W28="O3/CP",$W$14=C$18),VLOOKUP("O3",$R$63:$T$91,3,FALSE)+VLOOKUP("CP",$R$63:$T$91,3,FALSE),0)+IF(AND($X28&lt;&gt;"",$X28&lt;&gt;"--",$X28&lt;&gt;"O3/CP",$X$14=C$18),IF(LEFT($X28,1)="P",VLOOKUP(CONCATENATE(LEFT($X28,2),"H"),$R$63:$T$91,3,FALSE),VLOOKUP($X28,$R$63:$T$91,3,FALSE)))+IF(AND($X28&lt;&gt;"",$X28&lt;&gt;"O3/CP",$X$15=C$18,MID($X28,4,1)="2",$X$15&lt;&gt;$X$14),VLOOKUP(CONCATENATE(LEFT($X28,2),"L"),$R$63:$T$91,3,FALSE),0)+IF(AND($X28="O3/CP",$X$14=C$18),VLOOKUP("O3",$R$63:$T$91,3,FALSE)+VLOOKUP("CP",$R$63:$T$91,3,FALSE),0)+IF(AND($Y28&lt;&gt;"",$Y28&lt;&gt;"--",$Y28&lt;&gt;"O3/CP",$Y$14=C$18),IF(LEFT($Y28,1)="P",VLOOKUP(CONCATENATE(LEFT($Y28,2),"H"),$R$63:$T$91,3,FALSE),VLOOKUP($Y28,$R$63:$T$91,3,FALSE)))+IF(AND($Y28&lt;&gt;"",$Y28&lt;&gt;"O3/CP",$Y$15=C$18,MID($Y28,4,1)="2",$Y$15&lt;&gt;$Y$14),VLOOKUP(CONCATENATE(LEFT($Y28,2),"L"),$R$63:$T$91,3,FALSE),0)+IF(AND($Y28="O3/CP",$Y$14=C$18),VLOOKUP("O3",$R$63:$T$91,3,FALSE)+VLOOKUP("CP",$R$63:$T$91,3,FALSE),0)+IF(AND($K$6="CE",'[3]Supply Attribution'!$G$20=C$18),LEFT($S$90,2),0)+IF(AND($X$86&lt;&gt;"Not Set",$X$87=C$18),$X$86,0)</f>
        <v>0</v>
      </c>
      <c r="D28" s="269">
        <f>IF(AND($K28&lt;&gt;"",$K28&lt;&gt;"--",$K28&lt;&gt;"O3/CP",$K$14=D$18),IF(LEFT($K28,1)="P",VLOOKUP(CONCATENATE(LEFT($K28,2),"H"),$R$63:$T$91,3,FALSE),VLOOKUP($K28,$R$63:$T$91,3,FALSE)))+IF(AND($K28&lt;&gt;"",$K28&lt;&gt;"O3/CP",$K$15=D$18,MID($K28,4,1)="2",$K$15&lt;&gt;$K$14),VLOOKUP(CONCATENATE(LEFT($K28,2),"L"),$R$63:$T$91,3,FALSE),0)+IF(AND($K28="O3/CP",$K$14=D$18),VLOOKUP("O3",$R$63:$T$91,3,FALSE)+VLOOKUP("CP",$R$63:$T$91,3,FALSE),0)+IF(AND($L28&lt;&gt;"",$L28&lt;&gt;"--",$L28&lt;&gt;"O3/CP",$L$14=D$18),IF(LEFT($L28,1)="P",VLOOKUP(CONCATENATE(LEFT($L28,2),"H"),$R$63:$T$91,3,FALSE),VLOOKUP($L28,$R$63:$T$91,3,FALSE)))+IF(AND($L28&lt;&gt;"",$L28&lt;&gt;"O3/CP",$L$15=D$18,MID($L28,4,1)="2",$L$15&lt;&gt;$L$14),VLOOKUP(CONCATENATE(LEFT($L28,2),"L"),$R$63:$T$91,3,FALSE),0)+IF(AND($L28="O3/CP",$L$14=D$18),VLOOKUP("O3",$R$63:$T$91,3,FALSE)+VLOOKUP("CP",$R$63:$T$91,3,FALSE),0)+IF(AND($M28&lt;&gt;"",$M28&lt;&gt;"--",$M28&lt;&gt;"O3/CP",$M$14=D$18),IF(LEFT($M28,1)="P",VLOOKUP(CONCATENATE(LEFT($M28,2),"H"),$R$63:$T$91,3,FALSE),VLOOKUP($M28,$R$63:$T$91,3,FALSE)))+IF(AND($M28&lt;&gt;"",$M28&lt;&gt;"O3/CP",$M$15=D$18,MID($M28,4,1)="2",$M$15&lt;&gt;$M$14),VLOOKUP(CONCATENATE(LEFT($M28,2),"L"),$R$63:$T$91,3,FALSE),0)+IF(AND($M28="O3/CP",$M$14=D$18),VLOOKUP("O3",$R$63:$T$91,3,FALSE)+VLOOKUP("CP",$R$63:$T$91,3,FALSE),0)+IF(AND($N28&lt;&gt;"",$N28&lt;&gt;"--",$N28&lt;&gt;"O3/CP",$N$14=D$18),IF(LEFT($N28,1)="P",VLOOKUP(CONCATENATE(LEFT($N28,2),"H"),$R$63:$T$91,3,FALSE),VLOOKUP($N28,$R$63:$T$91,3,FALSE)))+IF(AND($N28&lt;&gt;"",$N28&lt;&gt;"O3/CP",$N$15=D$18,MID($N28,4,1)="2",$N$15&lt;&gt;$N$14),VLOOKUP(CONCATENATE(LEFT($N28,2),"L"),$R$63:$T$91,3,FALSE),0)+IF(AND($N28="O3/CP",$N$14=D$18),VLOOKUP("O3",$R$63:$T$91,3,FALSE)+VLOOKUP("CP",$R$63:$T$91,3,FALSE),0)+IF(AND($O28&lt;&gt;"",$O28&lt;&gt;"--",$O28&lt;&gt;"O3/CP",$O$14=D$18),IF(LEFT($O28,1)="P",VLOOKUP(CONCATENATE(LEFT($O28,2),"H"),$R$63:$T$91,3,FALSE),VLOOKUP($O28,$R$63:$T$91,3,FALSE)))+IF(AND($O28&lt;&gt;"",$O28&lt;&gt;"O3/CP",$O$15=D$18,MID($O28,4,1)="2",$O$15&lt;&gt;$O$14),VLOOKUP(CONCATENATE(LEFT($O28,2),"L"),$R$63:$T$91,3,FALSE),0)+IF(AND($O28="O3/CP",$O$14=D$18),VLOOKUP("O3",$R$63:$T$91,3,FALSE)+VLOOKUP("CP",$R$63:$T$91,3,FALSE),0)+IF(AND($P28&lt;&gt;"",$P28&lt;&gt;"--",$P28&lt;&gt;"O3/CP",$P$14=D$18),IF(LEFT($P28,1)="P",VLOOKUP(CONCATENATE(LEFT($P28,2),"H"),$R$63:$T$91,3,FALSE),VLOOKUP($P28,$R$63:$T$91,3,FALSE)))+IF(AND($P28&lt;&gt;"",$P28&lt;&gt;"O3/CP",$P$15=D$18,MID($P28,4,1)="2",$P$15&lt;&gt;$P$14),VLOOKUP(CONCATENATE(LEFT($P28,2),"L"),$R$63:$T$91,3,FALSE),0)+IF(AND($P28="O3/CP",$P$14=D$18),VLOOKUP("O3",$R$63:$T$91,3,FALSE)+VLOOKUP("CP",$R$63:$T$91,3,FALSE),0)+IF(AND($Q28&lt;&gt;"",$Q28&lt;&gt;"--",$Q28&lt;&gt;"O3/CP",$Q$14=D$18),IF(LEFT($Q28,1)="P",VLOOKUP(CONCATENATE(LEFT($Q28,2),"H"),$R$63:$T$91,3,FALSE),VLOOKUP($Q28,$R$63:$T$91,3,FALSE)))+IF(AND($Q28&lt;&gt;"",$Q28&lt;&gt;"O3/CP",$Q$15=D$18,MID($Q28,4,1)="2",$Q$15&lt;&gt;$Q$14),VLOOKUP(CONCATENATE(LEFT($Q28,2),"L"),$R$63:$T$91,3,FALSE),0)+IF(AND($Q28="O3/CP",$Q$14=D$18),VLOOKUP("O3",$R$63:$T$91,3,FALSE)+VLOOKUP("CP",$R$63:$T$91,3,FALSE),0)+IF(AND($R28&lt;&gt;"",$R28&lt;&gt;"--",$R28&lt;&gt;"O3/CP",$R$14=D$18),IF(LEFT($R28,1)="P",VLOOKUP(CONCATENATE(LEFT($R28,2),"H"),$R$63:$T$91,3,FALSE),VLOOKUP($R28,$R$63:$T$91,3,FALSE)))+IF(AND($R28&lt;&gt;"",$R28&lt;&gt;"O3/CP",$R$15=D$18,MID($R28,4,1)="2",$R$15&lt;&gt;$R$14),VLOOKUP(CONCATENATE(LEFT($R28,2),"L"),$R$63:$T$91,3,FALSE),0)+IF(AND($R28="O3/CP",$R$14=D$18),VLOOKUP("O3",$R$63:$T$91,3,FALSE)+VLOOKUP("CP",$R$63:$T$91,3,FALSE),0)+IF(AND($S28&lt;&gt;"",$S28&lt;&gt;"--",$S28&lt;&gt;"O3/CP",$S$14=D$18),IF(LEFT($S28,1)="P",VLOOKUP(CONCATENATE(LEFT($S28,2),"H"),$R$63:$T$91,3,FALSE),VLOOKUP($S28,$R$63:$T$91,3,FALSE)))+IF(AND($S28&lt;&gt;"",$S28&lt;&gt;"O3/CP",$S$15=D$18,MID($S28,4,1)="2",$S$15&lt;&gt;$S$14),VLOOKUP(CONCATENATE(LEFT($S28,2),"L"),$R$63:$T$91,3,FALSE),0)+IF(AND($S28="O3/CP",$S$14=D$18),VLOOKUP("O3",$R$63:$T$91,3,FALSE)+VLOOKUP("CP",$R$63:$T$91,3,FALSE),0)+IF(AND($T28&lt;&gt;"",$T28&lt;&gt;"--",$T28&lt;&gt;"O3/CP",$T$14=D$18),IF(LEFT($T28,1)="P",VLOOKUP(CONCATENATE(LEFT($T28,2),"H"),$R$63:$T$91,3,FALSE),VLOOKUP($T28,$R$63:$T$91,3,FALSE)))+IF(AND($T28&lt;&gt;"",$T28&lt;&gt;"O3/CP",$T$15=D$18,MID($T28,4,1)="2",$T$15&lt;&gt;$T$14),VLOOKUP(CONCATENATE(LEFT($T28,2),"L"),$R$63:$T$91,3,FALSE),0)+IF(AND($T28="O3/CP",$T$14=D$18),VLOOKUP("O3",$R$63:$T$91,3,FALSE)+VLOOKUP("CP",$R$63:$T$91,3,FALSE),0)+IF(AND($U28&lt;&gt;"",$U28&lt;&gt;"--",$U28&lt;&gt;"O3/CP",$U$14=D$18),IF(LEFT($U28,1)="P",VLOOKUP(CONCATENATE(LEFT($U28,2),"H"),$R$63:$T$91,3,FALSE),VLOOKUP($U28,$R$63:$T$91,3,FALSE)))+IF(AND($U28&lt;&gt;"",$U28&lt;&gt;"O3/CP",$U$15=D$18,MID($U28,4,1)="2",$U$15&lt;&gt;$U$14),VLOOKUP(CONCATENATE(LEFT($U28,2),"L"),$R$63:$T$91,3,FALSE),0)+IF(AND($U28="O3/CP",$T$14=D$18),VLOOKUP("O3",$R$63:$T$91,3,FALSE)+VLOOKUP("CP",$R$63:$T$91,3,FALSE),0)+IF(AND($V28&lt;&gt;"",$V28&lt;&gt;"--",$V28&lt;&gt;"O3/CP",$V$14=D$18),IF(LEFT($V28,1)="P",VLOOKUP(CONCATENATE(LEFT($V28,2),"H"),$R$63:$T$91,3,FALSE),VLOOKUP($V28,$R$63:$T$91,3,FALSE)))+IF(AND($V28&lt;&gt;"",$V28&lt;&gt;"O3/CP",$V$15=D$18,MID($V28,4,1)="2",$V$15&lt;&gt;$V$14),VLOOKUP(CONCATENATE(LEFT($V28,2),"L"),$R$63:$T$91,3,FALSE),0)+IF(AND($V28="O3/CP",$V$14=D$18),VLOOKUP("O3",$R$63:$T$91,3,FALSE)+VLOOKUP("CP",$R$63:$T$91,3,FALSE),0)+IF(AND($W28&lt;&gt;"",$W28&lt;&gt;"--",$W28&lt;&gt;"O3/CP",$W$14=D$18),IF(LEFT($W28,1)="P",VLOOKUP(CONCATENATE(LEFT($W28,2),"H"),$R$63:$T$91,3,FALSE),VLOOKUP($W28,$R$63:$T$91,3,FALSE)))+IF(AND($W28&lt;&gt;"",$W28&lt;&gt;"O3/CP",$W$15=D$18,MID($W28,4,1)="2",$W$15&lt;&gt;$W$14),VLOOKUP(CONCATENATE(LEFT($W28,2),"L"),$R$63:$T$91,3,FALSE),0)+IF(AND($W28="O3/CP",$W$14=D$18),VLOOKUP("O3",$R$63:$T$91,3,FALSE)+VLOOKUP("CP",$R$63:$T$91,3,FALSE),0)+IF(AND($X28&lt;&gt;"",$X28&lt;&gt;"--",$X28&lt;&gt;"O3/CP",$X$14=D$18),IF(LEFT($X28,1)="P",VLOOKUP(CONCATENATE(LEFT($X28,2),"H"),$R$63:$T$91,3,FALSE),VLOOKUP($X28,$R$63:$T$91,3,FALSE)))+IF(AND($X28&lt;&gt;"",$X28&lt;&gt;"O3/CP",$X$15=D$18,MID($X28,4,1)="2",$X$15&lt;&gt;$X$14),VLOOKUP(CONCATENATE(LEFT($X28,2),"L"),$R$63:$T$91,3,FALSE),0)+IF(AND($X28="O3/CP",$X$14=D$18),VLOOKUP("O3",$R$63:$T$91,3,FALSE)+VLOOKUP("CP",$R$63:$T$91,3,FALSE),0)+IF(AND($Y28&lt;&gt;"",$Y28&lt;&gt;"--",$Y28&lt;&gt;"O3/CP",$Y$14=D$18),IF(LEFT($Y28,1)="P",VLOOKUP(CONCATENATE(LEFT($Y28,2),"H"),$R$63:$T$91,3,FALSE),VLOOKUP($Y28,$R$63:$T$91,3,FALSE)))+IF(AND($Y28&lt;&gt;"",$Y28&lt;&gt;"O3/CP",$Y$15=D$18,MID($Y28,4,1)="2",$Y$15&lt;&gt;$Y$14),VLOOKUP(CONCATENATE(LEFT($Y28,2),"L"),$R$63:$T$91,3,FALSE),0)+IF(AND($Y28="O3/CP",$Y$14=D$18),VLOOKUP("O3",$R$63:$T$91,3,FALSE)+VLOOKUP("CP",$R$63:$T$91,3,FALSE),0)+IF(AND($K$6="CE",'[3]Supply Attribution'!$G$20=D$18),LEFT($S$90,2),0)+IF(AND($X$86&lt;&gt;"Not Set",$X$87=D$18),$X$86,0)</f>
        <v>0</v>
      </c>
      <c r="E28" s="269">
        <f>IF(AND($K28&lt;&gt;"",$K28&lt;&gt;"--",$K28&lt;&gt;"O3/CP",$K$14=E$18),IF(LEFT($K28,1)="P",VLOOKUP(CONCATENATE(LEFT($K28,2),"H"),$R$63:$T$91,3,FALSE),VLOOKUP($K28,$R$63:$T$91,3,FALSE)))+IF(AND($K28&lt;&gt;"",$K28&lt;&gt;"O3/CP",$K$15=E$18,MID($K28,4,1)="2",$K$15&lt;&gt;$K$14),VLOOKUP(CONCATENATE(LEFT($K28,2),"L"),$R$63:$T$91,3,FALSE),0)+IF(AND($K28="O3/CP",$K$14=E$18),VLOOKUP("O3",$R$63:$T$91,3,FALSE)+VLOOKUP("CP",$R$63:$T$91,3,FALSE),0)+IF(AND($L28&lt;&gt;"",$L28&lt;&gt;"--",$L28&lt;&gt;"O3/CP",$L$14=E$18),IF(LEFT($L28,1)="P",VLOOKUP(CONCATENATE(LEFT($L28,2),"H"),$R$63:$T$91,3,FALSE),VLOOKUP($L28,$R$63:$T$91,3,FALSE)))+IF(AND($L28&lt;&gt;"",$L28&lt;&gt;"O3/CP",$L$15=E$18,MID($L28,4,1)="2",$L$15&lt;&gt;$L$14),VLOOKUP(CONCATENATE(LEFT($L28,2),"L"),$R$63:$T$91,3,FALSE),0)+IF(AND($L28="O3/CP",$L$14=E$18),VLOOKUP("O3",$R$63:$T$91,3,FALSE)+VLOOKUP("CP",$R$63:$T$91,3,FALSE),0)+IF(AND($M28&lt;&gt;"",$M28&lt;&gt;"--",$M28&lt;&gt;"O3/CP",$M$14=E$18),IF(LEFT($M28,1)="P",VLOOKUP(CONCATENATE(LEFT($M28,2),"H"),$R$63:$T$91,3,FALSE),VLOOKUP($M28,$R$63:$T$91,3,FALSE)))+IF(AND($M28&lt;&gt;"",$M28&lt;&gt;"O3/CP",$M$15=E$18,MID($M28,4,1)="2",$M$15&lt;&gt;$M$14),VLOOKUP(CONCATENATE(LEFT($M28,2),"L"),$R$63:$T$91,3,FALSE),0)+IF(AND($M28="O3/CP",$M$14=E$18),VLOOKUP("O3",$R$63:$T$91,3,FALSE)+VLOOKUP("CP",$R$63:$T$91,3,FALSE),0)+IF(AND($N28&lt;&gt;"",$N28&lt;&gt;"--",$N28&lt;&gt;"O3/CP",$N$14=E$18),IF(LEFT($N28,1)="P",VLOOKUP(CONCATENATE(LEFT($N28,2),"H"),$R$63:$T$91,3,FALSE),VLOOKUP($N28,$R$63:$T$91,3,FALSE)))+IF(AND($N28&lt;&gt;"",$N28&lt;&gt;"O3/CP",$N$15=E$18,MID($N28,4,1)="2",$N$15&lt;&gt;$N$14),VLOOKUP(CONCATENATE(LEFT($N28,2),"L"),$R$63:$T$91,3,FALSE),0)+IF(AND($N28="O3/CP",$N$14=E$18),VLOOKUP("O3",$R$63:$T$91,3,FALSE)+VLOOKUP("CP",$R$63:$T$91,3,FALSE),0)+IF(AND($O28&lt;&gt;"",$O28&lt;&gt;"--",$O28&lt;&gt;"O3/CP",$O$14=E$18),IF(LEFT($O28,1)="P",VLOOKUP(CONCATENATE(LEFT($O28,2),"H"),$R$63:$T$91,3,FALSE),VLOOKUP($O28,$R$63:$T$91,3,FALSE)))+IF(AND($O28&lt;&gt;"",$O28&lt;&gt;"O3/CP",$O$15=E$18,MID($O28,4,1)="2",$O$15&lt;&gt;$O$14),VLOOKUP(CONCATENATE(LEFT($O28,2),"L"),$R$63:$T$91,3,FALSE),0)+IF(AND($O28="O3/CP",$O$14=E$18),VLOOKUP("O3",$R$63:$T$91,3,FALSE)+VLOOKUP("CP",$R$63:$T$91,3,FALSE),0)+IF(AND($P28&lt;&gt;"",$P28&lt;&gt;"--",$P28&lt;&gt;"O3/CP",$P$14=E$18),IF(LEFT($P28,1)="P",VLOOKUP(CONCATENATE(LEFT($P28,2),"H"),$R$63:$T$91,3,FALSE),VLOOKUP($P28,$R$63:$T$91,3,FALSE)))+IF(AND($P28&lt;&gt;"",$P28&lt;&gt;"O3/CP",$P$15=E$18,MID($P28,4,1)="2",$P$15&lt;&gt;$P$14),VLOOKUP(CONCATENATE(LEFT($P28,2),"L"),$R$63:$T$91,3,FALSE),0)+IF(AND($P28="O3/CP",$P$14=E$18),VLOOKUP("O3",$R$63:$T$91,3,FALSE)+VLOOKUP("CP",$R$63:$T$91,3,FALSE),0)+IF(AND($Q28&lt;&gt;"",$Q28&lt;&gt;"--",$Q28&lt;&gt;"O3/CP",$Q$14=E$18),IF(LEFT($Q28,1)="P",VLOOKUP(CONCATENATE(LEFT($Q28,2),"H"),$R$63:$T$91,3,FALSE),VLOOKUP($Q28,$R$63:$T$91,3,FALSE)))+IF(AND($Q28&lt;&gt;"",$Q28&lt;&gt;"O3/CP",$Q$15=E$18,MID($Q28,4,1)="2",$Q$15&lt;&gt;$Q$14),VLOOKUP(CONCATENATE(LEFT($Q28,2),"L"),$R$63:$T$91,3,FALSE),0)+IF(AND($Q28="O3/CP",$Q$14=E$18),VLOOKUP("O3",$R$63:$T$91,3,FALSE)+VLOOKUP("CP",$R$63:$T$91,3,FALSE),0)+IF(AND($R28&lt;&gt;"",$R28&lt;&gt;"--",$R28&lt;&gt;"O3/CP",$R$14=E$18),IF(LEFT($R28,1)="P",VLOOKUP(CONCATENATE(LEFT($R28,2),"H"),$R$63:$T$91,3,FALSE),VLOOKUP($R28,$R$63:$T$91,3,FALSE)))+IF(AND($R28&lt;&gt;"",$R28&lt;&gt;"O3/CP",$R$15=E$18,MID($R28,4,1)="2",$R$15&lt;&gt;$R$14),VLOOKUP(CONCATENATE(LEFT($R28,2),"L"),$R$63:$T$91,3,FALSE),0)+IF(AND($R28="O3/CP",$R$14=E$18),VLOOKUP("O3",$R$63:$T$91,3,FALSE)+VLOOKUP("CP",$R$63:$T$91,3,FALSE),0)+IF(AND($S28&lt;&gt;"",$S28&lt;&gt;"--",$S28&lt;&gt;"O3/CP",$S$14=E$18),IF(LEFT($S28,1)="P",VLOOKUP(CONCATENATE(LEFT($S28,2),"H"),$R$63:$T$91,3,FALSE),VLOOKUP($S28,$R$63:$T$91,3,FALSE)))+IF(AND($S28&lt;&gt;"",$S28&lt;&gt;"O3/CP",$S$15=E$18,MID($S28,4,1)="2",$S$15&lt;&gt;$S$14),VLOOKUP(CONCATENATE(LEFT($S28,2),"L"),$R$63:$T$91,3,FALSE),0)+IF(AND($S28="O3/CP",$S$14=E$18),VLOOKUP("O3",$R$63:$T$91,3,FALSE)+VLOOKUP("CP",$R$63:$T$91,3,FALSE),0)+IF(AND($T28&lt;&gt;"",$T28&lt;&gt;"--",$T28&lt;&gt;"O3/CP",$T$14=E$18),IF(LEFT($T28,1)="P",VLOOKUP(CONCATENATE(LEFT($T28,2),"H"),$R$63:$T$91,3,FALSE),VLOOKUP($T28,$R$63:$T$91,3,FALSE)))+IF(AND($T28&lt;&gt;"",$T28&lt;&gt;"O3/CP",$T$15=E$18,MID($T28,4,1)="2",$T$15&lt;&gt;$T$14),VLOOKUP(CONCATENATE(LEFT($T28,2),"L"),$R$63:$T$91,3,FALSE),0)+IF(AND($T28="O3/CP",$T$14=E$18),VLOOKUP("O3",$R$63:$T$91,3,FALSE)+VLOOKUP("CP",$R$63:$T$91,3,FALSE),0)+IF(AND($U28&lt;&gt;"",$U28&lt;&gt;"--",$U28&lt;&gt;"O3/CP",$U$14=E$18),IF(LEFT($U28,1)="P",VLOOKUP(CONCATENATE(LEFT($U28,2),"H"),$R$63:$T$91,3,FALSE),VLOOKUP($U28,$R$63:$T$91,3,FALSE)))+IF(AND($U28&lt;&gt;"",$U28&lt;&gt;"O3/CP",$U$15=E$18,MID($U28,4,1)="2",$U$15&lt;&gt;$U$14),VLOOKUP(CONCATENATE(LEFT($U28,2),"L"),$R$63:$T$91,3,FALSE),0)+IF(AND($U28="O3/CP",$T$14=E$18),VLOOKUP("O3",$R$63:$T$91,3,FALSE)+VLOOKUP("CP",$R$63:$T$91,3,FALSE),0)+IF(AND($V28&lt;&gt;"",$V28&lt;&gt;"--",$V28&lt;&gt;"O3/CP",$V$14=E$18),IF(LEFT($V28,1)="P",VLOOKUP(CONCATENATE(LEFT($V28,2),"H"),$R$63:$T$91,3,FALSE),VLOOKUP($V28,$R$63:$T$91,3,FALSE)))+IF(AND($V28&lt;&gt;"",$V28&lt;&gt;"O3/CP",$V$15=E$18,MID($V28,4,1)="2",$V$15&lt;&gt;$V$14),VLOOKUP(CONCATENATE(LEFT($V28,2),"L"),$R$63:$T$91,3,FALSE),0)+IF(AND($V28="O3/CP",$V$14=E$18),VLOOKUP("O3",$R$63:$T$91,3,FALSE)+VLOOKUP("CP",$R$63:$T$91,3,FALSE),0)+IF(AND($W28&lt;&gt;"",$W28&lt;&gt;"--",$W28&lt;&gt;"O3/CP",$W$14=E$18),IF(LEFT($W28,1)="P",VLOOKUP(CONCATENATE(LEFT($W28,2),"H"),$R$63:$T$91,3,FALSE),VLOOKUP($W28,$R$63:$T$91,3,FALSE)))+IF(AND($W28&lt;&gt;"",$W28&lt;&gt;"O3/CP",$W$15=E$18,MID($W28,4,1)="2",$W$15&lt;&gt;$W$14),VLOOKUP(CONCATENATE(LEFT($W28,2),"L"),$R$63:$T$91,3,FALSE),0)+IF(AND($W28="O3/CP",$W$14=E$18),VLOOKUP("O3",$R$63:$T$91,3,FALSE)+VLOOKUP("CP",$R$63:$T$91,3,FALSE),0)+IF(AND($X28&lt;&gt;"",$X28&lt;&gt;"--",$X28&lt;&gt;"O3/CP",$X$14=E$18),IF(LEFT($X28,1)="P",VLOOKUP(CONCATENATE(LEFT($X28,2),"H"),$R$63:$T$91,3,FALSE),VLOOKUP($X28,$R$63:$T$91,3,FALSE)))+IF(AND($X28&lt;&gt;"",$X28&lt;&gt;"O3/CP",$X$15=E$18,MID($X28,4,1)="2",$X$15&lt;&gt;$X$14),VLOOKUP(CONCATENATE(LEFT($X28,2),"L"),$R$63:$T$91,3,FALSE),0)+IF(AND($X28="O3/CP",$X$14=E$18),VLOOKUP("O3",$R$63:$T$91,3,FALSE)+VLOOKUP("CP",$R$63:$T$91,3,FALSE),0)+IF(AND($Y28&lt;&gt;"",$Y28&lt;&gt;"--",$Y28&lt;&gt;"O3/CP",$Y$14=E$18),IF(LEFT($Y28,1)="P",VLOOKUP(CONCATENATE(LEFT($Y28,2),"H"),$R$63:$T$91,3,FALSE),VLOOKUP($Y28,$R$63:$T$91,3,FALSE)))+IF(AND($Y28&lt;&gt;"",$Y28&lt;&gt;"O3/CP",$Y$15=E$18,MID($Y28,4,1)="2",$Y$15&lt;&gt;$Y$14),VLOOKUP(CONCATENATE(LEFT($Y28,2),"L"),$R$63:$T$91,3,FALSE),0)+IF(AND($Y28="O3/CP",$Y$14=E$18),VLOOKUP("O3",$R$63:$T$91,3,FALSE)+VLOOKUP("CP",$R$63:$T$91,3,FALSE),0)+IF(AND($K$6="CE",'[3]Supply Attribution'!$G$20=E$18),LEFT($S$90,2),0)+IF(AND($X$86&lt;&gt;"Not Set",$X$87=E$18),$X$86,0)</f>
        <v>0</v>
      </c>
      <c r="F28" s="268">
        <f>IF(AND($K28&lt;&gt;"",$K28&lt;&gt;"--",$K28&lt;&gt;"O3/CP",$K$14=F$18),IF(LEFT($K28,1)="P",VLOOKUP(CONCATENATE(LEFT($K28,2),"H"),$R$63:$T$91,3,FALSE),VLOOKUP($K28,$R$63:$T$91,3,FALSE)))+IF(AND($K28&lt;&gt;"",$K28&lt;&gt;"O3/CP",$K$15=F$18,MID($K28,4,1)="2",$K$15&lt;&gt;$K$14),VLOOKUP(CONCATENATE(LEFT($K28,2),"L"),$R$63:$T$91,3,FALSE),0)+IF(AND($K28="O3/CP",$K$14=F$18),VLOOKUP("O3",$R$63:$T$91,3,FALSE)+VLOOKUP("CP",$R$63:$T$91,3,FALSE),0)+IF(AND($L28&lt;&gt;"",$L28&lt;&gt;"--",$L28&lt;&gt;"O3/CP",$L$14=F$18),IF(LEFT($L28,1)="P",VLOOKUP(CONCATENATE(LEFT($L28,2),"H"),$R$63:$T$91,3,FALSE),VLOOKUP($L28,$R$63:$T$91,3,FALSE)))+IF(AND($L28&lt;&gt;"",$L28&lt;&gt;"O3/CP",$L$15=F$18,MID($L28,4,1)="2",$L$15&lt;&gt;$L$14),VLOOKUP(CONCATENATE(LEFT($L28,2),"L"),$R$63:$T$91,3,FALSE),0)+IF(AND($L28="O3/CP",$L$14=F$18),VLOOKUP("O3",$R$63:$T$91,3,FALSE)+VLOOKUP("CP",$R$63:$T$91,3,FALSE),0)+IF(AND($M28&lt;&gt;"",$M28&lt;&gt;"--",$M28&lt;&gt;"O3/CP",$M$14=F$18),IF(LEFT($M28,1)="P",VLOOKUP(CONCATENATE(LEFT($M28,2),"H"),$R$63:$T$91,3,FALSE),VLOOKUP($M28,$R$63:$T$91,3,FALSE)))+IF(AND($M28&lt;&gt;"",$M28&lt;&gt;"O3/CP",$M$15=F$18,MID($M28,4,1)="2",$M$15&lt;&gt;$M$14),VLOOKUP(CONCATENATE(LEFT($M28,2),"L"),$R$63:$T$91,3,FALSE),0)+IF(AND($M28="O3/CP",$M$14=F$18),VLOOKUP("O3",$R$63:$T$91,3,FALSE)+VLOOKUP("CP",$R$63:$T$91,3,FALSE),0)+IF(AND($N28&lt;&gt;"",$N28&lt;&gt;"--",$N28&lt;&gt;"O3/CP",$N$14=F$18),IF(LEFT($N28,1)="P",VLOOKUP(CONCATENATE(LEFT($N28,2),"H"),$R$63:$T$91,3,FALSE),VLOOKUP($N28,$R$63:$T$91,3,FALSE)))+IF(AND($N28&lt;&gt;"",$N28&lt;&gt;"O3/CP",$N$15=F$18,MID($N28,4,1)="2",$N$15&lt;&gt;$N$14),VLOOKUP(CONCATENATE(LEFT($N28,2),"L"),$R$63:$T$91,3,FALSE),0)+IF(AND($N28="O3/CP",$N$14=F$18),VLOOKUP("O3",$R$63:$T$91,3,FALSE)+VLOOKUP("CP",$R$63:$T$91,3,FALSE),0)+IF(AND($O28&lt;&gt;"",$O28&lt;&gt;"--",$O28&lt;&gt;"O3/CP",$O$14=F$18),IF(LEFT($O28,1)="P",VLOOKUP(CONCATENATE(LEFT($O28,2),"H"),$R$63:$T$91,3,FALSE),VLOOKUP($O28,$R$63:$T$91,3,FALSE)))+IF(AND($O28&lt;&gt;"",$O28&lt;&gt;"O3/CP",$O$15=F$18,MID($O28,4,1)="2",$O$15&lt;&gt;$O$14),VLOOKUP(CONCATENATE(LEFT($O28,2),"L"),$R$63:$T$91,3,FALSE),0)+IF(AND($O28="O3/CP",$O$14=F$18),VLOOKUP("O3",$R$63:$T$91,3,FALSE)+VLOOKUP("CP",$R$63:$T$91,3,FALSE),0)+IF(AND($P28&lt;&gt;"",$P28&lt;&gt;"--",$P28&lt;&gt;"O3/CP",$P$14=F$18),IF(LEFT($P28,1)="P",VLOOKUP(CONCATENATE(LEFT($P28,2),"H"),$R$63:$T$91,3,FALSE),VLOOKUP($P28,$R$63:$T$91,3,FALSE)))+IF(AND($P28&lt;&gt;"",$P28&lt;&gt;"O3/CP",$P$15=F$18,MID($P28,4,1)="2",$P$15&lt;&gt;$P$14),VLOOKUP(CONCATENATE(LEFT($P28,2),"L"),$R$63:$T$91,3,FALSE),0)+IF(AND($P28="O3/CP",$P$14=F$18),VLOOKUP("O3",$R$63:$T$91,3,FALSE)+VLOOKUP("CP",$R$63:$T$91,3,FALSE),0)+IF(AND($Q28&lt;&gt;"",$Q28&lt;&gt;"--",$Q28&lt;&gt;"O3/CP",$Q$14=F$18),IF(LEFT($Q28,1)="P",VLOOKUP(CONCATENATE(LEFT($Q28,2),"H"),$R$63:$T$91,3,FALSE),VLOOKUP($Q28,$R$63:$T$91,3,FALSE)))+IF(AND($Q28&lt;&gt;"",$Q28&lt;&gt;"O3/CP",$Q$15=F$18,MID($Q28,4,1)="2",$Q$15&lt;&gt;$Q$14),VLOOKUP(CONCATENATE(LEFT($Q28,2),"L"),$R$63:$T$91,3,FALSE),0)+IF(AND($Q28="O3/CP",$Q$14=F$18),VLOOKUP("O3",$R$63:$T$91,3,FALSE)+VLOOKUP("CP",$R$63:$T$91,3,FALSE),0)+IF(AND($R28&lt;&gt;"",$R28&lt;&gt;"--",$R28&lt;&gt;"O3/CP",$R$14=F$18),IF(LEFT($R28,1)="P",VLOOKUP(CONCATENATE(LEFT($R28,2),"H"),$R$63:$T$91,3,FALSE),VLOOKUP($R28,$R$63:$T$91,3,FALSE)))+IF(AND($R28&lt;&gt;"",$R28&lt;&gt;"O3/CP",$R$15=F$18,MID($R28,4,1)="2",$R$15&lt;&gt;$R$14),VLOOKUP(CONCATENATE(LEFT($R28,2),"L"),$R$63:$T$91,3,FALSE),0)+IF(AND($R28="O3/CP",$R$14=F$18),VLOOKUP("O3",$R$63:$T$91,3,FALSE)+VLOOKUP("CP",$R$63:$T$91,3,FALSE),0)+IF(AND($S28&lt;&gt;"",$S28&lt;&gt;"--",$S28&lt;&gt;"O3/CP",$S$14=F$18),IF(LEFT($S28,1)="P",VLOOKUP(CONCATENATE(LEFT($S28,2),"H"),$R$63:$T$91,3,FALSE),VLOOKUP($S28,$R$63:$T$91,3,FALSE)))+IF(AND($S28&lt;&gt;"",$S28&lt;&gt;"O3/CP",$S$15=F$18,MID($S28,4,1)="2",$S$15&lt;&gt;$S$14),VLOOKUP(CONCATENATE(LEFT($S28,2),"L"),$R$63:$T$91,3,FALSE),0)+IF(AND($S28="O3/CP",$S$14=F$18),VLOOKUP("O3",$R$63:$T$91,3,FALSE)+VLOOKUP("CP",$R$63:$T$91,3,FALSE),0)+IF(AND($T28&lt;&gt;"",$T28&lt;&gt;"--",$T28&lt;&gt;"O3/CP",$T$14=F$18),IF(LEFT($T28,1)="P",VLOOKUP(CONCATENATE(LEFT($T28,2),"H"),$R$63:$T$91,3,FALSE),VLOOKUP($T28,$R$63:$T$91,3,FALSE)))+IF(AND($T28&lt;&gt;"",$T28&lt;&gt;"O3/CP",$T$15=F$18,MID($T28,4,1)="2",$T$15&lt;&gt;$T$14),VLOOKUP(CONCATENATE(LEFT($T28,2),"L"),$R$63:$T$91,3,FALSE),0)+IF(AND($T28="O3/CP",$T$14=F$18),VLOOKUP("O3",$R$63:$T$91,3,FALSE)+VLOOKUP("CP",$R$63:$T$91,3,FALSE),0)+IF(AND($U28&lt;&gt;"",$U28&lt;&gt;"--",$U28&lt;&gt;"O3/CP",$U$14=F$18),IF(LEFT($U28,1)="P",VLOOKUP(CONCATENATE(LEFT($U28,2),"H"),$R$63:$T$91,3,FALSE),VLOOKUP($U28,$R$63:$T$91,3,FALSE)))+IF(AND($U28&lt;&gt;"",$U28&lt;&gt;"O3/CP",$U$15=F$18,MID($U28,4,1)="2",$U$15&lt;&gt;$U$14),VLOOKUP(CONCATENATE(LEFT($U28,2),"L"),$R$63:$T$91,3,FALSE),0)+IF(AND($U28="O3/CP",$T$14=F$18),VLOOKUP("O3",$R$63:$T$91,3,FALSE)+VLOOKUP("CP",$R$63:$T$91,3,FALSE),0)+IF(AND($V28&lt;&gt;"",$V28&lt;&gt;"--",$V28&lt;&gt;"O3/CP",$V$14=F$18),IF(LEFT($V28,1)="P",VLOOKUP(CONCATENATE(LEFT($V28,2),"H"),$R$63:$T$91,3,FALSE),VLOOKUP($V28,$R$63:$T$91,3,FALSE)))+IF(AND($V28&lt;&gt;"",$V28&lt;&gt;"O3/CP",$V$15=F$18,MID($V28,4,1)="2",$V$15&lt;&gt;$V$14),VLOOKUP(CONCATENATE(LEFT($V28,2),"L"),$R$63:$T$91,3,FALSE),0)+IF(AND($V28="O3/CP",$V$14=F$18),VLOOKUP("O3",$R$63:$T$91,3,FALSE)+VLOOKUP("CP",$R$63:$T$91,3,FALSE),0)+IF(AND($W28&lt;&gt;"",$W28&lt;&gt;"--",$W28&lt;&gt;"O3/CP",$W$14=F$18),IF(LEFT($W28,1)="P",VLOOKUP(CONCATENATE(LEFT($W28,2),"H"),$R$63:$T$91,3,FALSE),VLOOKUP($W28,$R$63:$T$91,3,FALSE)))+IF(AND($W28&lt;&gt;"",$W28&lt;&gt;"O3/CP",$W$15=F$18,MID($W28,4,1)="2",$W$15&lt;&gt;$W$14),VLOOKUP(CONCATENATE(LEFT($W28,2),"L"),$R$63:$T$91,3,FALSE),0)+IF(AND($W28="O3/CP",$W$14=F$18),VLOOKUP("O3",$R$63:$T$91,3,FALSE)+VLOOKUP("CP",$R$63:$T$91,3,FALSE),0)+IF(AND($X28&lt;&gt;"",$X28&lt;&gt;"--",$X28&lt;&gt;"O3/CP",$X$14=F$18),IF(LEFT($X28,1)="P",VLOOKUP(CONCATENATE(LEFT($X28,2),"H"),$R$63:$T$91,3,FALSE),VLOOKUP($X28,$R$63:$T$91,3,FALSE)))+IF(AND($X28&lt;&gt;"",$X28&lt;&gt;"O3/CP",$X$15=F$18,MID($X28,4,1)="2",$X$15&lt;&gt;$X$14),VLOOKUP(CONCATENATE(LEFT($X28,2),"L"),$R$63:$T$91,3,FALSE),0)+IF(AND($X28="O3/CP",$X$14=F$18),VLOOKUP("O3",$R$63:$T$91,3,FALSE)+VLOOKUP("CP",$R$63:$T$91,3,FALSE),0)+IF(AND($Y28&lt;&gt;"",$Y28&lt;&gt;"--",$Y28&lt;&gt;"O3/CP",$Y$14=F$18),IF(LEFT($Y28,1)="P",VLOOKUP(CONCATENATE(LEFT($Y28,2),"H"),$R$63:$T$91,3,FALSE),VLOOKUP($Y28,$R$63:$T$91,3,FALSE)))+IF(AND($Y28&lt;&gt;"",$Y28&lt;&gt;"O3/CP",$Y$15=F$18,MID($Y28,4,1)="2",$Y$15&lt;&gt;$Y$14),VLOOKUP(CONCATENATE(LEFT($Y28,2),"L"),$R$63:$T$91,3,FALSE),0)+IF(AND($Y28="O3/CP",$Y$14=F$18),VLOOKUP("O3",$R$63:$T$91,3,FALSE)+VLOOKUP("CP",$R$63:$T$91,3,FALSE),0)+IF(AND($K$6="CE",'[3]Supply Attribution'!$G$20=F$18),LEFT($S$90,2),0)+IF(AND($X$86&lt;&gt;"Not Set",$X$87=F$18),$X$86,0)</f>
        <v>5</v>
      </c>
      <c r="G28" s="269">
        <f>IF(AND($K$6="CE",$T$59="1 Phase"),SUM(A28:F28)-IF(AND($K$14&lt;&gt;$K$15,RIGHT($K28,3)="2SP"),VLOOKUP(CONCATENATE(LEFT($K28,2),"L"),$R$63:$T$90,3,FALSE),0)-IF(AND($L$14&lt;&gt;$L$15,RIGHT($L28,3)="2SP"),VLOOKUP(CONCATENATE(LEFT($L28,2),"L"),$R$63:$T$90,3,FALSE),0)-IF(AND($M$14&lt;&gt;$M$15,RIGHT($M28,3)="2SP"),VLOOKUP(CONCATENATE(LEFT($M28,2),"L"),$R$63:$T$90,3,FALSE),0)-IF(AND($N$14&lt;&gt;$N$15,RIGHT($N28,3)="2SP"),VLOOKUP(CONCATENATE(LEFT($N28,2),"L"),$R$63:$T$90,3,FALSE),0)-IF(AND($O$14&lt;&gt;$O$15,RIGHT($O28,3)="2SP"),VLOOKUP(CONCATENATE(LEFT($O28,2),"L"),$R$63:$T$90,3,FALSE),0)-IF(AND($P$14&lt;&gt;$P$15,RIGHT($P28,3)="2SP"),VLOOKUP(CONCATENATE(LEFT($P28,2),"L"),$R$63:$T$90,3,FALSE),0)-IF(AND($Q$14&lt;&gt;$Q$15,RIGHT($Q28,3)="2SP"),VLOOKUP(CONCATENATE(LEFT($Q28,2),"L"),$R$63:$T$90,3,FALSE),0)-IF(AND($R$14&lt;&gt;$R$15,RIGHT($T28,3)="2SP"),VLOOKUP(CONCATENATE(LEFT($R28,2),"L"),$R$63:$T$90,3,FALSE),0)-IF(AND($S$14&lt;&gt;$S$15,RIGHT($T28,3)="2SP"),VLOOKUP(CONCATENATE(LEFT($S28,2),"L"),$R$63:$T$90,3,FALSE),0)-IF(AND($T$14&lt;&gt;$T$15,RIGHT($T28,3)="2SP"),VLOOKUP(CONCATENATE(LEFT($T28,2),"L"),$R$63:$T$90,3,FALSE),0)-IF(AND($U$14&lt;&gt;$U$15,RIGHT($U28,3)="2SP"),VLOOKUP(CONCATENATE(LEFT($U28,2),"L"),$R$63:$T$90,3,FALSE),0)-IF(AND($V$14&lt;&gt;$V$15,RIGHT($V28,3)="2SP"),VLOOKUP(CONCATENATE(LEFT($V28,2),"L"),$R$63:$T$90,3,FALSE),0)-IF(AND($W$14&lt;&gt;$W$15,RIGHT($W28,3)="2SP"),VLOOKUP(CONCATENATE(LEFT($W28,2),"L"),$R$63:$T$90,3,FALSE),0)-IF(AND($X$14&lt;&gt;$X$15,RIGHT($X28,3)="2SP"),VLOOKUP(CONCATENATE(LEFT($X28,2),"L"),$R$63:$T$90,3,FALSE),0)-IF(AND($Y$14&lt;&gt;$Y$15,RIGHT($Y28,3)="2SP"),VLOOKUP(CONCATENATE(LEFT($Y28,2),"L"),$R$63:$T$90,3,FALSE),0),IF(VLOOKUP(CONCATENATE($A$18,"Line"),'[3]Supply Attribution'!$F$31:$G$37,2,FALSE)=G$18,$A28,0)+IF(VLOOKUP(CONCATENATE($B$18,"Line"),'[3]Supply Attribution'!$F$31:$G$37,2,FALSE)=G$18,$B28,0)+IF(VLOOKUP(CONCATENATE($C$18,"Line"),'[3]Supply Attribution'!$F$31:$G$37,2,FALSE)=G$18,$C28,0)+IF(VLOOKUP(CONCATENATE($D$18,"Line"),'[3]Supply Attribution'!$F$31:$G$37,2,FALSE)=G$18,$D28,0)+IF(VLOOKUP(CONCATENATE($E$18,"Line"),'[3]Supply Attribution'!$F$31:$G$37,2,FALSE)=G$18,$E28,0)+IF(VLOOKUP(CONCATENATE($F$18,"Line"),'[3]Supply Attribution'!$F$31:$G$37,2,FALSE)=G$18,$F28,0)+IF($K$6="UL",LEFT($S$90,2),0)-IF(AND($K$16=G$18,$K$14&lt;&gt;$K$15,$K$16=$K$17,RIGHT($K28,3)="2SP"),VLOOKUP(CONCATENATE(LEFT($K28,2),"L"),$R$63:$T$90,3,FALSE),0)-IF(AND($L$16=G$18,$L$14&lt;&gt;$L$15,$L$16=$L$17,RIGHT($L28,3)="2SP"),VLOOKUP(CONCATENATE(LEFT($L28,2),"L"),$R$63:$T$90,3,FALSE),0)-IF(AND($M$16=G$18,$M$14&lt;&gt;$M$15,$M$16=$M$17,RIGHT($M28,3)="2SP"),VLOOKUP(CONCATENATE(LEFT($M28,2),"L"),$R$63:$T$90,3,FALSE),0)-IF(AND($N$16=G$18,$N$14&lt;&gt;$N$15,$N$16=$N$17,RIGHT($N28,3)="2SP"),VLOOKUP(CONCATENATE(LEFT($N28,2),"L"),$R$63:$T$90,3,FALSE),0)-IF(AND($O$16=G$18,$O$14&lt;&gt;$O$15,$O$16=$O$17,RIGHT($O28,3)="2SP"),VLOOKUP(CONCATENATE(LEFT($O28,2),"L"),$R$63:$T$90,3,FALSE),0)-IF(AND($P$16=G$18,$P$14&lt;&gt;$P$15,$P$16=$P$17,RIGHT($P28,3)="2SP"),VLOOKUP(CONCATENATE(LEFT($P28,2),"L"),$R$63:$T$90,3,FALSE),0)-IF(AND($Q$16=G$18,$Q$14&lt;&gt;$Q$15,$Q$16=$Q$17,RIGHT($Q28,3)="2SP"),VLOOKUP(CONCATENATE(LEFT($Q28,2),"L"),$R$63:$T$90,3,FALSE),0)-IF(AND($R$16=G$18,$R$14&lt;&gt;$R$15,$R$16=$R$17,RIGHT($R28,3)="2SP"),VLOOKUP(CONCATENATE(LEFT($R28,2),"L"),$R$63:$T$90,3,FALSE),0)-IF(AND($S$16=G$18,$S$14&lt;&gt;$S$15,$S$16=$S$17,RIGHT($S28,3)="2SP"),VLOOKUP(CONCATENATE(LEFT($S28,2),"L"),$R$63:$T$90,3,FALSE),0)-IF(AND($T$16=G$18,$T$14&lt;&gt;$T$15,$T$16=$T$17,RIGHT($T28,3)="2SP"),VLOOKUP(CONCATENATE(LEFT($T28,2),"L"),$R$63:$T$90,3,FALSE),0)-IF(AND($U$16=G$18,$U$14&lt;&gt;$U$15,$U$16=$U$17,RIGHT($U28,3)="2SP"),VLOOKUP(CONCATENATE(LEFT($U28,2),"L"),$R$63:$T$90,3,FALSE),0)-IF(AND($V$16=G$18,$V$14&lt;&gt;$V$15,$V$16=$V$17,RIGHT($V28,3)="2SP"),VLOOKUP(CONCATENATE(LEFT($V28,2),"L"),$R$63:$T$90,3,FALSE),0)-IF(AND($W$16=G$18,$W$14&lt;&gt;$W$15,$W$16=$W$17,RIGHT($W28,3)="2SP"),VLOOKUP(CONCATENATE(LEFT($W28,2),"L"),$R$63:$T$90,3,FALSE),0)-IF(AND($X$16=G$18,$X$14&lt;&gt;$X$15,$X$16=$X$17,RIGHT($X28,3)="2SP"),VLOOKUP(CONCATENATE(LEFT($X28,2),"L"),$R$63:$T$90,3,FALSE),0)-IF(AND($Y$16=G$18,$Y$14&lt;&gt;$Y$15,$Y$16=$Y$17,RIGHT($Y28,3)="2SP"),VLOOKUP(CONCATENATE(LEFT($Y28,2),"L"),$R$63:$T$90,3,FALSE),0))</f>
        <v>36</v>
      </c>
      <c r="H28" s="269" t="str">
        <f>IF(H$18&lt;&gt;"",IF(VLOOKUP(CONCATENATE($A$18,"Line"),'Supply Attribution'!$F$31:$G$37,2,FALSE)=H$18,$A28,0)+IF(VLOOKUP(CONCATENATE($B$18,"Line"),'Supply Attribution'!$F$31:$G$37,2,FALSE)=H$18,$B28,0)+IF(VLOOKUP(CONCATENATE($C$18,"Line"),'Supply Attribution'!$F$31:$G$37,2,FALSE)=H$18,$C28,0)+IF(VLOOKUP(CONCATENATE($D$18,"Line"),'Supply Attribution'!$F$31:$G$37,2,FALSE)=H$18,$D28,0)+IF(VLOOKUP(CONCATENATE($E$18,"Line"),'Supply Attribution'!$F$31:$G$37,2,FALSE)=H$18,$E28,0)+IF(VLOOKUP(CONCATENATE($F$18,"Line"),'Supply Attribution'!$F$31:$G$37,2,FALSE)=H$18,$F28,0)+IF($K$6="UL",LEFT($S$90,2),0)-IF(AND($K$16=H$18,$K$14&lt;&gt;$K$15,$K$16=$K$17,RIGHT($K28,3)="2SP"),VLOOKUP(CONCATENATE(LEFT($K28,2),"L"),$R$63:$T$90,3,FALSE),0)-IF(AND($L$16=H$18,$L$14&lt;&gt;$L$15,$L$16=$L$17,RIGHT($L28,3)="2SP"),VLOOKUP(CONCATENATE(LEFT($L28,2),"L"),$R$63:$T$90,3,FALSE),0)-IF(AND($M$16=H$18,$M$14&lt;&gt;$M$15,$M$16=$M$17,RIGHT($M28,3)="2SP"),VLOOKUP(CONCATENATE(LEFT($M28,2),"L"),$R$63:$T$90,3,FALSE),0)-IF(AND($N$16=H$18,$N$14&lt;&gt;$N$15,$N$16=$N$17,RIGHT($N28,3)="2SP"),VLOOKUP(CONCATENATE(LEFT($N28,2),"L"),$R$63:$T$90,3,FALSE),0)-IF(AND($O$16=H$18,$O$14&lt;&gt;$O$15,$O$16=$O$17,RIGHT($O28,3)="2SP"),VLOOKUP(CONCATENATE(LEFT($O28,2),"L"),$R$63:$T$90,3,FALSE),0)-IF(AND($P$16=H$18,$P$14&lt;&gt;$P$15,$P$16=$P$17,RIGHT($P28,3)="2SP"),VLOOKUP(CONCATENATE(LEFT($P28,2),"L"),$R$63:$T$90,3,FALSE),0)-IF(AND($Q$16=H$18,$Q$14&lt;&gt;$Q$15,$Q$16=$Q$17,RIGHT($Q28,3)="2SP"),VLOOKUP(CONCATENATE(LEFT($Q28,2),"L"),$R$63:$T$90,3,FALSE),0)-IF(AND($T$16=H$18,$T$14&lt;&gt;$T$15,$T$16=$T$17,RIGHT($T28,3)="2SP"),VLOOKUP(CONCATENATE(LEFT($T28,2),"L"),$R$63:$T$90,3,FALSE),0)-IF(AND($U$16=H$18,$U$14&lt;&gt;$U$15,$U$16=$U$17,RIGHT($U28,3)="2SP"),VLOOKUP(CONCATENATE(LEFT($U28,2),"L"),$R$63:$T$90,3,FALSE),0)-IF(AND($V$16=H$18,$V$14&lt;&gt;$V$15,$V$16=$V$17,RIGHT($V28,3)="2SP"),VLOOKUP(CONCATENATE(LEFT($V28,2),"L"),$R$63:$T$90,3,FALSE),0)-IF(AND($W$16=H$18,$W$14&lt;&gt;$W$15,$W$16=$W$17,RIGHT($W28,3)="2SP"),VLOOKUP(CONCATENATE(LEFT($W28,2),"L"),$R$63:$T$90,3,FALSE),0)-IF(AND($X$16=H$18,$X$14&lt;&gt;$X$15,$X$16=$X$17,RIGHT($X28,3)="2SP"),VLOOKUP(CONCATENATE(LEFT($X28,2),"L"),$R$63:$T$90,3,FALSE),0)-IF(AND($Y$16=H$18,$Y$14&lt;&gt;$Y$15,$Y$16=$Y$17,RIGHT($Y28,3)="2SP"),VLOOKUP(CONCATENATE(LEFT($Y28,2),"L"),$R$63:$T$90,3,FALSE),0)+IF(AND($K$6="CE",$T$59="2 Phases",H$18&lt;&gt;""),IF(VLOOKUP(CONCATENATE($A$18,"Line"),'Supply Attribution'!$F$31:$G$37,2,FALSE)="Line3",$A28,0)+IF(VLOOKUP(CONCATENATE($B$18,"Line"),'Supply Attribution'!$F$31:$G$37,2,FALSE)="Line3",$B28,0)+IF(VLOOKUP(CONCATENATE($C$18,"Line"),'Supply Attribution'!$F$31:$G$37,2,FALSE)="Line3",$C28,0)+IF(VLOOKUP(CONCATENATE($D$18,"Line"),'Supply Attribution'!$F$31:$G$37,2,FALSE)="Line3",$D28,0)+IF(VLOOKUP(CONCATENATE($E$18,"Line"),'Supply Attribution'!$F$31:$G$37,2,FALSE)="Line3",$E28,0)+IF(VLOOKUP(CONCATENATE($F$18,"Line"),'Supply Attribution'!$F$31:$G$37,2,FALSE)="Line3",$F28,0)-IF(AND($K$16=I$18,$K$14&lt;&gt;$K$15,$K$16=$K$17,RIGHT($K28,3)="2SP"),VLOOKUP(CONCATENATE(LEFT($K28,2),"L"),$R$63:$T$90,3,FALSE),0)-IF(AND($L$16=I$18,$L$14&lt;&gt;$L$15,$L$16=$L$17,RIGHT($L28,3)="2SP"),VLOOKUP(CONCATENATE(LEFT($L28,2),"L"),$R$63:$T$90,3,FALSE),0)-IF(AND($M$16=I$18,$M$14&lt;&gt;$M$15,$M$16=$M$17,RIGHT($M28,3)="2SP"),VLOOKUP(CONCATENATE(LEFT($M28,2),"L"),$R$63:$T$90,3,FALSE),0)-IF(AND($N$16=I$18,$N$14&lt;&gt;$N$15,$N$16=$N$17,RIGHT($N28,3)="2SP"),VLOOKUP(CONCATENATE(LEFT($N28,2),"L"),$R$63:$T$90,3,FALSE),0)-IF(AND($O$16=I$18,$O$14&lt;&gt;$O$15,$O$16=$O$17,RIGHT($O28,3)="2SP"),VLOOKUP(CONCATENATE(LEFT($O28,2),"L"),$R$63:$T$90,3,FALSE),0)-IF(AND($P$16=I$18,$P$14&lt;&gt;$P$15,$P$16=$P$17,RIGHT($P28,3)="2SP"),VLOOKUP(CONCATENATE(LEFT($P28,2),"L"),$R$63:$T$90,3,FALSE),0)-IF(AND($Q$16=I$18,$Q$14&lt;&gt;$Q$15,$Q$16=$Q$17,RIGHT($Q28,3)="2SP"),VLOOKUP(CONCATENATE(LEFT($Q28,2),"L"),$R$63:$T$90,3,FALSE),0)-IF(AND($T$16=I$18,$T$14&lt;&gt;$T$15,$T$16=$T$17,RIGHT($T28,3)="2SP"),VLOOKUP(CONCATENATE(LEFT($T28,2),"L"),$R$63:$T$90,3,FALSE),0)-IF(AND($U$16=I$18,$U$14&lt;&gt;$U$15,$U$16=$U$17,RIGHT($U28,3)="2SP"),VLOOKUP(CONCATENATE(LEFT($U28,2),"L"),$R$63:$T$90,3,FALSE),0)-IF(AND($V$16=I$18,$V$14&lt;&gt;$V$15,$V$16=$V$17,RIGHT($V28,3)="2SP"),VLOOKUP(CONCATENATE(LEFT($V28,2),"L"),$R$63:$T$90,3,FALSE),0)-IF(AND($W$16=I$18,$W$14&lt;&gt;$W$15,$W$16=$W$17,RIGHT($W28,3)="2SP"),VLOOKUP(CONCATENATE(LEFT($W28,2),"L"),$R$63:$T$90,3,FALSE),0)-IF(AND($X$16=I$18,$X$14&lt;&gt;$X$15,$X$16=$X$17,RIGHT($X28,3)="2SP"),VLOOKUP(CONCATENATE(LEFT($X28,2),"L"),$R$63:$T$90,3,FALSE),0)-IF(AND($Y$16=I$18,$Y$14&lt;&gt;$Y$15,$Y$16=$Y$17,RIGHT($Y28,3)="2SP"),VLOOKUP(CONCATENATE(LEFT($Y28,2),"L"),$R$63:$T$90,3,FALSE),0),0),"")</f>
        <v/>
      </c>
      <c r="I28" s="269" t="str">
        <f>IF(I$18&lt;&gt;"",IF(VLOOKUP(CONCATENATE($A$18,"Line"),'Supply Attribution'!$F$31:$G$37,2,FALSE)=I$18,$A28,0)+IF(VLOOKUP(CONCATENATE($B$18,"Line"),'Supply Attribution'!$F$31:$G$37,2,FALSE)=I$18,$B28,0)+IF(VLOOKUP(CONCATENATE($C$18,"Line"),'Supply Attribution'!$F$31:$G$37,2,FALSE)=I$18,$C28,0)+IF(VLOOKUP(CONCATENATE($D$18,"Line"),'Supply Attribution'!$F$31:$G$37,2,FALSE)=I$18,$D28,0)+IF(VLOOKUP(CONCATENATE($E$18,"Line"),'Supply Attribution'!$F$31:$G$37,2,FALSE)=I$18,$E28,0)+IF(VLOOKUP(CONCATENATE($F$18,"Line"),'Supply Attribution'!$F$31:$G$37,2,FALSE)=I$18,$F28,0)+IF($K$6="UL",LEFT($S$90,2),0)-IF(AND($K$16=I$18,$K$14&lt;&gt;$K$15,$K$16=$K$17,RIGHT($K28,3)="2SP"),VLOOKUP(CONCATENATE(LEFT($K28,2),"L"),$R$63:$T$90,3,FALSE),0)-IF(AND($L$16=I$18,$L$14&lt;&gt;$L$15,$L$16=$L$17,RIGHT($L28,3)="2SP"),VLOOKUP(CONCATENATE(LEFT($L28,2),"L"),$R$63:$T$90,3,FALSE),0)-IF(AND($M$16=I$18,$M$14&lt;&gt;$M$15,$M$16=$M$17,RIGHT($M28,3)="2SP"),VLOOKUP(CONCATENATE(LEFT($M28,2),"L"),$R$63:$T$90,3,FALSE),0)-IF(AND($N$16=I$18,$N$14&lt;&gt;$N$15,$N$16=$N$17,RIGHT($N28,3)="2SP"),VLOOKUP(CONCATENATE(LEFT($N28,2),"L"),$R$63:$T$90,3,FALSE),0)-IF(AND($O$16=I$18,$O$14&lt;&gt;$O$15,$O$16=$O$17,RIGHT($O28,3)="2SP"),VLOOKUP(CONCATENATE(LEFT($O28,2),"L"),$R$63:$T$90,3,FALSE),0)-IF(AND($P$16=I$18,$P$14&lt;&gt;$P$15,$P$16=$P$17,RIGHT($P28,3)="2SP"),VLOOKUP(CONCATENATE(LEFT($P28,2),"L"),$R$63:$T$90,3,FALSE),0)-IF(AND($Q$16=I$18,$Q$14&lt;&gt;$Q$15,$Q$16=$Q$17,RIGHT($Q28,3)="2SP"),VLOOKUP(CONCATENATE(LEFT($Q28,2),"L"),$R$63:$T$90,3,FALSE),0)-IF(AND($T$16=I$18,$T$14&lt;&gt;$T$15,$T$16=$T$17,RIGHT($T28,3)="2SP"),VLOOKUP(CONCATENATE(LEFT($T28,2),"L"),$R$63:$T$90,3,FALSE),0)-IF(AND($U$16=I$18,$U$14&lt;&gt;$U$15,$U$16=$U$17,RIGHT($U28,3)="2SP"),VLOOKUP(CONCATENATE(LEFT($U28,2),"L"),$R$63:$T$90,3,FALSE),0)-IF(AND($V$16=I$18,$V$14&lt;&gt;$V$15,$V$16=$V$17,RIGHT($V28,3)="2SP"),VLOOKUP(CONCATENATE(LEFT($V28,2),"L"),$R$63:$T$90,3,FALSE),0)-IF(AND($W$16=I$18,$W$14&lt;&gt;$W$15,$W$16=$W$17,RIGHT($W28,3)="2SP"),VLOOKUP(CONCATENATE(LEFT($W28,2),"L"),$R$63:$T$90,3,FALSE),0)-IF(AND($X$16=I$18,$X$14&lt;&gt;$X$15,$X$16=$X$17,RIGHT($X28,3)="2SP"),VLOOKUP(CONCATENATE(LEFT($X28,2),"L"),$R$63:$T$90,3,FALSE),0)-IF(AND($Y$16=I$18,$Y$14&lt;&gt;$Y$15,$Y$16=$Y$17,RIGHT($Y28,3)="2SP"),VLOOKUP(CONCATENATE(LEFT($Y28,2),"L"),$R$63:$T$90,3,FALSE),0),"")</f>
        <v/>
      </c>
      <c r="J28" s="134">
        <f t="shared" si="1"/>
        <v>8</v>
      </c>
      <c r="K28" s="135" t="s">
        <v>22</v>
      </c>
      <c r="L28" s="135" t="s">
        <v>24</v>
      </c>
      <c r="M28" s="135" t="s">
        <v>391</v>
      </c>
      <c r="N28" s="135" t="s">
        <v>24</v>
      </c>
      <c r="O28" s="135" t="s">
        <v>286</v>
      </c>
      <c r="P28" s="724" t="s">
        <v>3</v>
      </c>
      <c r="Q28" s="135"/>
      <c r="R28" s="135"/>
      <c r="S28" s="135"/>
      <c r="T28" s="135"/>
      <c r="U28" s="135"/>
      <c r="V28" s="135"/>
      <c r="W28" s="135"/>
      <c r="X28" s="135"/>
      <c r="Y28" s="135"/>
      <c r="Z28" s="136" t="s">
        <v>24</v>
      </c>
      <c r="AA28" s="136" t="s">
        <v>357</v>
      </c>
      <c r="AB28" s="137" t="s">
        <v>164</v>
      </c>
      <c r="AC28" s="137" t="s">
        <v>568</v>
      </c>
      <c r="AD28" s="137" t="s">
        <v>164</v>
      </c>
      <c r="AE28" s="138">
        <f t="shared" si="0"/>
        <v>8</v>
      </c>
      <c r="AF28" s="78"/>
    </row>
    <row r="29" spans="1:32" ht="13.15" customHeight="1">
      <c r="A29" s="264">
        <f>IF(AND($K29&lt;&gt;"",$K29&lt;&gt;"--",$K29&lt;&gt;"O3/CP",$K$14=A$18),IF(LEFT($K29,1)="P",VLOOKUP(CONCATENATE(LEFT($K29,2),"H"),$R$63:$T$91,3,FALSE),VLOOKUP($K29,$R$63:$T$91,3,FALSE)))+IF(AND($K29&lt;&gt;"",$K29&lt;&gt;"O3/CP",$K$15=A$18,MID($K29,4,1)="2",$K$15&lt;&gt;$K$14),VLOOKUP(CONCATENATE(LEFT($K29,2),"L"),$R$63:$T$91,3,FALSE),0)+IF(AND($K29="O3/CP",$K$14=A$18),VLOOKUP("O3",$R$63:$T$91,3,FALSE)+VLOOKUP("CP",$R$63:$T$91,3,FALSE),0)+IF(AND($L29&lt;&gt;"",$L29&lt;&gt;"--",$L29&lt;&gt;"O3/CP",$L$14=A$18),IF(LEFT($L29,1)="P",VLOOKUP(CONCATENATE(LEFT($L29,2),"H"),$R$63:$T$91,3,FALSE),VLOOKUP($L29,$R$63:$T$91,3,FALSE)))+IF(AND($L29&lt;&gt;"",$L29&lt;&gt;"O3/CP",$L$15=A$18,MID($L29,4,1)="2",$L$15&lt;&gt;$L$14),VLOOKUP(CONCATENATE(LEFT($L29,2),"L"),$R$63:$T$91,3,FALSE),0)+IF(AND($L29="O3/CP",$L$14=A$18),VLOOKUP("O3",$R$63:$T$91,3,FALSE)+VLOOKUP("CP",$R$63:$T$91,3,FALSE),0)+IF(AND($M29&lt;&gt;"",$M29&lt;&gt;"--",$M29&lt;&gt;"O3/CP",$M$14=A$18),IF(LEFT($M29,1)="P",VLOOKUP(CONCATENATE(LEFT($M29,2),"H"),$R$63:$T$91,3,FALSE),VLOOKUP($M29,$R$63:$T$91,3,FALSE)))+IF(AND($M29&lt;&gt;"",$M29&lt;&gt;"O3/CP",$M$15=A$18,MID($M29,4,1)="2",$M$15&lt;&gt;$M$14),VLOOKUP(CONCATENATE(LEFT($M29,2),"L"),$R$63:$T$91,3,FALSE),0)+IF(AND($M29="O3/CP",$M$14=A$18),VLOOKUP("O3",$R$63:$T$91,3,FALSE)+VLOOKUP("CP",$R$63:$T$91,3,FALSE),0)+IF(AND($N29&lt;&gt;"",$N29&lt;&gt;"--",$N29&lt;&gt;"O3/CP",$N$14=A$18),IF(LEFT($N29,1)="P",VLOOKUP(CONCATENATE(LEFT($N29,2),"H"),$R$63:$T$91,3,FALSE),VLOOKUP($N29,$R$63:$T$91,3,FALSE)))+IF(AND($N29&lt;&gt;"",$N29&lt;&gt;"O3/CP",$N$15=A$18,MID($N29,4,1)="2",$N$15&lt;&gt;$N$14),VLOOKUP(CONCATENATE(LEFT($N29,2),"L"),$R$63:$T$91,3,FALSE),0)+IF(AND($N29="O3/CP",$N$14=A$18),VLOOKUP("O3",$R$63:$T$91,3,FALSE)+VLOOKUP("CP",$R$63:$T$91,3,FALSE),0)+IF(AND($O29&lt;&gt;"",$O29&lt;&gt;"--",$O29&lt;&gt;"O3/CP",$O$14=A$18),IF(LEFT($O29,1)="P",VLOOKUP(CONCATENATE(LEFT($O29,2),"H"),$R$63:$T$91,3,FALSE),VLOOKUP($O29,$R$63:$T$91,3,FALSE)))+IF(AND($O29&lt;&gt;"",$O29&lt;&gt;"O3/CP",$O$15=A$18,MID($O29,4,1)="2",$O$15&lt;&gt;$O$14),VLOOKUP(CONCATENATE(LEFT($O29,2),"L"),$R$63:$T$91,3,FALSE),0)+IF(AND($O29="O3/CP",$O$14=A$18),VLOOKUP("O3",$R$63:$T$91,3,FALSE)+VLOOKUP("CP",$R$63:$T$91,3,FALSE),0)+IF(AND($P29&lt;&gt;"",$P29&lt;&gt;"--",$P29&lt;&gt;"O3/CP",$P$14=A$18),IF(LEFT($P29,1)="P",VLOOKUP(CONCATENATE(LEFT($P29,2),"H"),$R$63:$T$91,3,FALSE),VLOOKUP($P29,$R$63:$T$91,3,FALSE)))+IF(AND($P29&lt;&gt;"",$P29&lt;&gt;"O3/CP",$P$15=A$18,MID($P29,4,1)="2",$P$15&lt;&gt;$P$14),VLOOKUP(CONCATENATE(LEFT($P29,2),"L"),$R$63:$T$91,3,FALSE),0)+IF(AND($P29="O3/CP",$P$14=A$18),VLOOKUP("O3",$R$63:$T$91,3,FALSE)+VLOOKUP("CP",$R$63:$T$91,3,FALSE),0)+IF(AND($Q29&lt;&gt;"",$Q29&lt;&gt;"--",$Q29&lt;&gt;"O3/CP",$Q$14=A$18),IF(LEFT($Q29,1)="P",VLOOKUP(CONCATENATE(LEFT($Q29,2),"H"),$R$63:$T$91,3,FALSE),VLOOKUP($Q29,$R$63:$T$91,3,FALSE)))+IF(AND($Q29&lt;&gt;"",$Q29&lt;&gt;"O3/CP",$Q$15=A$18,MID($Q29,4,1)="2",$Q$15&lt;&gt;$Q$14),VLOOKUP(CONCATENATE(LEFT($Q29,2),"L"),$R$63:$T$91,3,FALSE),0)+IF(AND($Q29="O3/CP",$Q$14=A$18),VLOOKUP("O3",$R$63:$T$91,3,FALSE)+VLOOKUP("CP",$R$63:$T$91,3,FALSE),0)+IF(AND($R29&lt;&gt;"",$R29&lt;&gt;"--",$R29&lt;&gt;"O3/CP",$R$14=A$18),IF(LEFT($R29,1)="P",VLOOKUP(CONCATENATE(LEFT($R29,2),"H"),$R$63:$T$91,3,FALSE),VLOOKUP($R29,$R$63:$T$91,3,FALSE)))+IF(AND($R29&lt;&gt;"",$R29&lt;&gt;"O3/CP",$R$15=A$18,MID($R29,4,1)="2",$R$15&lt;&gt;$R$14),VLOOKUP(CONCATENATE(LEFT($R29,2),"L"),$R$63:$T$91,3,FALSE),0)+IF(AND($R29="O3/CP",$R$14=A$18),VLOOKUP("O3",$R$63:$T$91,3,FALSE)+VLOOKUP("CP",$R$63:$T$91,3,FALSE),0)+IF(AND($S29&lt;&gt;"",$S29&lt;&gt;"--",$S29&lt;&gt;"O3/CP",$S$14=A$18),IF(LEFT($S29,1)="P",VLOOKUP(CONCATENATE(LEFT($S29,2),"H"),$R$63:$T$91,3,FALSE),VLOOKUP($S29,$R$63:$T$91,3,FALSE)))+IF(AND($S29&lt;&gt;"",$S29&lt;&gt;"O3/CP",$S$15=A$18,MID($S29,4,1)="2",$S$15&lt;&gt;$S$14),VLOOKUP(CONCATENATE(LEFT($S29,2),"L"),$R$63:$T$91,3,FALSE),0)+IF(AND($S29="O3/CP",$S$14=A$18),VLOOKUP("O3",$R$63:$T$91,3,FALSE)+VLOOKUP("CP",$R$63:$T$91,3,FALSE),0)+IF(AND($T29&lt;&gt;"",$T29&lt;&gt;"--",$T29&lt;&gt;"O3/CP",$T$14=A$18),IF(LEFT($T29,1)="P",VLOOKUP(CONCATENATE(LEFT($T29,2),"H"),$R$63:$T$91,3,FALSE),VLOOKUP($T29,$R$63:$T$91,3,FALSE)))+IF(AND($T29&lt;&gt;"",$T29&lt;&gt;"O3/CP",$T$15=A$18,MID($T29,4,1)="2",$T$15&lt;&gt;$T$14),VLOOKUP(CONCATENATE(LEFT($T29,2),"L"),$R$63:$T$91,3,FALSE),0)+IF(AND($T29="O3/CP",$T$14=A$18),VLOOKUP("O3",$R$63:$T$91,3,FALSE)+VLOOKUP("CP",$R$63:$T$91,3,FALSE),0)+IF(AND($U29&lt;&gt;"",$U29&lt;&gt;"--",$U29&lt;&gt;"O3/CP",$U$14=A$18),IF(LEFT($U29,1)="P",VLOOKUP(CONCATENATE(LEFT($U29,2),"H"),$R$63:$T$91,3,FALSE),VLOOKUP($U29,$R$63:$T$91,3,FALSE)))+IF(AND($U29&lt;&gt;"",$U29&lt;&gt;"O3/CP",$U$15=A$18,MID($U29,4,1)="2",$U$15&lt;&gt;$U$14),VLOOKUP(CONCATENATE(LEFT($U29,2),"L"),$R$63:$T$91,3,FALSE),0)+IF(AND($U29="O3/CP",$T$14=A$18),VLOOKUP("O3",$R$63:$T$91,3,FALSE)+VLOOKUP("CP",$R$63:$T$91,3,FALSE),0)+IF(AND($V29&lt;&gt;"",$V29&lt;&gt;"--",$V29&lt;&gt;"O3/CP",$V$14=A$18),IF(LEFT($V29,1)="P",VLOOKUP(CONCATENATE(LEFT($V29,2),"H"),$R$63:$T$91,3,FALSE),VLOOKUP($V29,$R$63:$T$91,3,FALSE)))+IF(AND($V29&lt;&gt;"",$V29&lt;&gt;"O3/CP",$V$15=A$18,MID($V29,4,1)="2",$V$15&lt;&gt;$V$14),VLOOKUP(CONCATENATE(LEFT($V29,2),"L"),$R$63:$T$91,3,FALSE),0)+IF(AND($V29="O3/CP",$V$14=A$18),VLOOKUP("O3",$R$63:$T$91,3,FALSE)+VLOOKUP("CP",$R$63:$T$91,3,FALSE),0)+IF(AND($W29&lt;&gt;"",$W29&lt;&gt;"--",$W29&lt;&gt;"O3/CP",$W$14=A$18),IF(LEFT($W29,1)="P",VLOOKUP(CONCATENATE(LEFT($W29,2),"H"),$R$63:$T$91,3,FALSE),VLOOKUP($W29,$R$63:$T$91,3,FALSE)))+IF(AND($W29&lt;&gt;"",$W29&lt;&gt;"O3/CP",$W$15=A$18,MID($W29,4,1)="2",$W$15&lt;&gt;$W$14),VLOOKUP(CONCATENATE(LEFT($W29,2),"L"),$R$63:$T$91,3,FALSE),0)+IF(AND($W29="O3/CP",$W$14=A$18),VLOOKUP("O3",$R$63:$T$91,3,FALSE)+VLOOKUP("CP",$R$63:$T$91,3,FALSE),0)+IF(AND($X29&lt;&gt;"",$X29&lt;&gt;"--",$X29&lt;&gt;"O3/CP",$X$14=A$18),IF(LEFT($X29,1)="P",VLOOKUP(CONCATENATE(LEFT($X29,2),"H"),$R$63:$T$91,3,FALSE),VLOOKUP($X29,$R$63:$T$91,3,FALSE)))+IF(AND($X29&lt;&gt;"",$X29&lt;&gt;"O3/CP",$X$15=A$18,MID($X29,4,1)="2",$X$15&lt;&gt;$X$14),VLOOKUP(CONCATENATE(LEFT($X29,2),"L"),$R$63:$T$91,3,FALSE),0)+IF(AND($X29="O3/CP",$X$14=A$18),VLOOKUP("O3",$R$63:$T$91,3,FALSE)+VLOOKUP("CP",$R$63:$T$91,3,FALSE),0)+IF(AND($Y29&lt;&gt;"",$Y29&lt;&gt;"--",$Y29&lt;&gt;"O3/CP",$Y$14=A$18),IF(LEFT($Y29,1)="P",VLOOKUP(CONCATENATE(LEFT($Y29,2),"H"),$R$63:$T$91,3,FALSE),VLOOKUP($Y29,$R$63:$T$91,3,FALSE)))+IF(AND($Y29&lt;&gt;"",$Y29&lt;&gt;"O3/CP",$Y$15=A$18,MID($Y29,4,1)="2",$Y$15&lt;&gt;$Y$14),VLOOKUP(CONCATENATE(LEFT($Y29,2),"L"),$R$63:$T$91,3,FALSE),0)+IF(AND($Y29="O3/CP",$Y$14=A$18),VLOOKUP("O3",$R$63:$T$91,3,FALSE)+VLOOKUP("CP",$R$63:$T$91,3,FALSE),0)+IF(AND($K$6="CE",'[3]Supply Attribution'!$G$20=A$18),LEFT($S$90,2),0)+IF(AND($X$86&lt;&gt;"Not Set",$X$87=A$18),$X$86,0)</f>
        <v>13</v>
      </c>
      <c r="B29" s="271">
        <f>IF(AND($K29&lt;&gt;"",$K29&lt;&gt;"--",$K29&lt;&gt;"O3/CP",$K$14=B$18),IF(LEFT($K29,1)="P",VLOOKUP(CONCATENATE(LEFT($K29,2),"H"),$R$63:$T$91,3,FALSE),VLOOKUP($K29,$R$63:$T$91,3,FALSE)))+IF(AND($K29&lt;&gt;"",$K29&lt;&gt;"O3/CP",$K$15=B$18,MID($K29,4,1)="2",$K$15&lt;&gt;$K$14),VLOOKUP(CONCATENATE(LEFT($K29,2),"L"),$R$63:$T$91,3,FALSE),0)+IF(AND($K29="O3/CP",$K$14=B$18),VLOOKUP("O3",$R$63:$T$91,3,FALSE)+VLOOKUP("CP",$R$63:$T$91,3,FALSE),0)+IF(AND($L29&lt;&gt;"",$L29&lt;&gt;"--",$L29&lt;&gt;"O3/CP",$L$14=B$18),IF(LEFT($L29,1)="P",VLOOKUP(CONCATENATE(LEFT($L29,2),"H"),$R$63:$T$91,3,FALSE),VLOOKUP($L29,$R$63:$T$91,3,FALSE)))+IF(AND($L29&lt;&gt;"",$L29&lt;&gt;"O3/CP",$L$15=B$18,MID($L29,4,1)="2",$L$15&lt;&gt;$L$14),VLOOKUP(CONCATENATE(LEFT($L29,2),"L"),$R$63:$T$91,3,FALSE),0)+IF(AND($L29="O3/CP",$L$14=B$18),VLOOKUP("O3",$R$63:$T$91,3,FALSE)+VLOOKUP("CP",$R$63:$T$91,3,FALSE),0)+IF(AND($M29&lt;&gt;"",$M29&lt;&gt;"--",$M29&lt;&gt;"O3/CP",$M$14=B$18),IF(LEFT($M29,1)="P",VLOOKUP(CONCATENATE(LEFT($M29,2),"H"),$R$63:$T$91,3,FALSE),VLOOKUP($M29,$R$63:$T$91,3,FALSE)))+IF(AND($M29&lt;&gt;"",$M29&lt;&gt;"O3/CP",$M$15=B$18,MID($M29,4,1)="2",$M$15&lt;&gt;$M$14),VLOOKUP(CONCATENATE(LEFT($M29,2),"L"),$R$63:$T$91,3,FALSE),0)+IF(AND($M29="O3/CP",$M$14=B$18),VLOOKUP("O3",$R$63:$T$91,3,FALSE)+VLOOKUP("CP",$R$63:$T$91,3,FALSE),0)+IF(AND($N29&lt;&gt;"",$N29&lt;&gt;"--",$N29&lt;&gt;"O3/CP",$N$14=B$18),IF(LEFT($N29,1)="P",VLOOKUP(CONCATENATE(LEFT($N29,2),"H"),$R$63:$T$91,3,FALSE),VLOOKUP($N29,$R$63:$T$91,3,FALSE)))+IF(AND($N29&lt;&gt;"",$N29&lt;&gt;"O3/CP",$N$15=B$18,MID($N29,4,1)="2",$N$15&lt;&gt;$N$14),VLOOKUP(CONCATENATE(LEFT($N29,2),"L"),$R$63:$T$91,3,FALSE),0)+IF(AND($N29="O3/CP",$N$14=B$18),VLOOKUP("O3",$R$63:$T$91,3,FALSE)+VLOOKUP("CP",$R$63:$T$91,3,FALSE),0)+IF(AND($O29&lt;&gt;"",$O29&lt;&gt;"--",$O29&lt;&gt;"O3/CP",$O$14=B$18),IF(LEFT($O29,1)="P",VLOOKUP(CONCATENATE(LEFT($O29,2),"H"),$R$63:$T$91,3,FALSE),VLOOKUP($O29,$R$63:$T$91,3,FALSE)))+IF(AND($O29&lt;&gt;"",$O29&lt;&gt;"O3/CP",$O$15=B$18,MID($O29,4,1)="2",$O$15&lt;&gt;$O$14),VLOOKUP(CONCATENATE(LEFT($O29,2),"L"),$R$63:$T$91,3,FALSE),0)+IF(AND($O29="O3/CP",$O$14=B$18),VLOOKUP("O3",$R$63:$T$91,3,FALSE)+VLOOKUP("CP",$R$63:$T$91,3,FALSE),0)+IF(AND($P29&lt;&gt;"",$P29&lt;&gt;"--",$P29&lt;&gt;"O3/CP",$P$14=B$18),IF(LEFT($P29,1)="P",VLOOKUP(CONCATENATE(LEFT($P29,2),"H"),$R$63:$T$91,3,FALSE),VLOOKUP($P29,$R$63:$T$91,3,FALSE)))+IF(AND($P29&lt;&gt;"",$P29&lt;&gt;"O3/CP",$P$15=B$18,MID($P29,4,1)="2",$P$15&lt;&gt;$P$14),VLOOKUP(CONCATENATE(LEFT($P29,2),"L"),$R$63:$T$91,3,FALSE),0)+IF(AND($P29="O3/CP",$P$14=B$18),VLOOKUP("O3",$R$63:$T$91,3,FALSE)+VLOOKUP("CP",$R$63:$T$91,3,FALSE),0)+IF(AND($Q29&lt;&gt;"",$Q29&lt;&gt;"--",$Q29&lt;&gt;"O3/CP",$Q$14=B$18),IF(LEFT($Q29,1)="P",VLOOKUP(CONCATENATE(LEFT($Q29,2),"H"),$R$63:$T$91,3,FALSE),VLOOKUP($Q29,$R$63:$T$91,3,FALSE)))+IF(AND($Q29&lt;&gt;"",$Q29&lt;&gt;"O3/CP",$Q$15=B$18,MID($Q29,4,1)="2",$Q$15&lt;&gt;$Q$14),VLOOKUP(CONCATENATE(LEFT($Q29,2),"L"),$R$63:$T$91,3,FALSE),0)+IF(AND($Q29="O3/CP",$Q$14=B$18),VLOOKUP("O3",$R$63:$T$91,3,FALSE)+VLOOKUP("CP",$R$63:$T$91,3,FALSE),0)+IF(AND($R29&lt;&gt;"",$R29&lt;&gt;"--",$R29&lt;&gt;"O3/CP",$R$14=B$18),IF(LEFT($R29,1)="P",VLOOKUP(CONCATENATE(LEFT($R29,2),"H"),$R$63:$T$91,3,FALSE),VLOOKUP($R29,$R$63:$T$91,3,FALSE)))+IF(AND($R29&lt;&gt;"",$R29&lt;&gt;"O3/CP",$R$15=B$18,MID($R29,4,1)="2",$R$15&lt;&gt;$R$14),VLOOKUP(CONCATENATE(LEFT($R29,2),"L"),$R$63:$T$91,3,FALSE),0)+IF(AND($R29="O3/CP",$R$14=B$18),VLOOKUP("O3",$R$63:$T$91,3,FALSE)+VLOOKUP("CP",$R$63:$T$91,3,FALSE),0)+IF(AND($S29&lt;&gt;"",$S29&lt;&gt;"--",$S29&lt;&gt;"O3/CP",$S$14=B$18),IF(LEFT($S29,1)="P",VLOOKUP(CONCATENATE(LEFT($S29,2),"H"),$R$63:$T$91,3,FALSE),VLOOKUP($S29,$R$63:$T$91,3,FALSE)))+IF(AND($S29&lt;&gt;"",$S29&lt;&gt;"O3/CP",$S$15=B$18,MID($S29,4,1)="2",$S$15&lt;&gt;$S$14),VLOOKUP(CONCATENATE(LEFT($S29,2),"L"),$R$63:$T$91,3,FALSE),0)+IF(AND($S29="O3/CP",$S$14=B$18),VLOOKUP("O3",$R$63:$T$91,3,FALSE)+VLOOKUP("CP",$R$63:$T$91,3,FALSE),0)+IF(AND($T29&lt;&gt;"",$T29&lt;&gt;"--",$T29&lt;&gt;"O3/CP",$T$14=B$18),IF(LEFT($T29,1)="P",VLOOKUP(CONCATENATE(LEFT($T29,2),"H"),$R$63:$T$91,3,FALSE),VLOOKUP($T29,$R$63:$T$91,3,FALSE)))+IF(AND($T29&lt;&gt;"",$T29&lt;&gt;"O3/CP",$T$15=B$18,MID($T29,4,1)="2",$T$15&lt;&gt;$T$14),VLOOKUP(CONCATENATE(LEFT($T29,2),"L"),$R$63:$T$91,3,FALSE),0)+IF(AND($T29="O3/CP",$T$14=B$18),VLOOKUP("O3",$R$63:$T$91,3,FALSE)+VLOOKUP("CP",$R$63:$T$91,3,FALSE),0)+IF(AND($U29&lt;&gt;"",$U29&lt;&gt;"--",$U29&lt;&gt;"O3/CP",$U$14=B$18),IF(LEFT($U29,1)="P",VLOOKUP(CONCATENATE(LEFT($U29,2),"H"),$R$63:$T$91,3,FALSE),VLOOKUP($U29,$R$63:$T$91,3,FALSE)))+IF(AND($U29&lt;&gt;"",$U29&lt;&gt;"O3/CP",$U$15=B$18,MID($U29,4,1)="2",$U$15&lt;&gt;$U$14),VLOOKUP(CONCATENATE(LEFT($U29,2),"L"),$R$63:$T$91,3,FALSE),0)+IF(AND($U29="O3/CP",$T$14=B$18),VLOOKUP("O3",$R$63:$T$91,3,FALSE)+VLOOKUP("CP",$R$63:$T$91,3,FALSE),0)+IF(AND($V29&lt;&gt;"",$V29&lt;&gt;"--",$V29&lt;&gt;"O3/CP",$V$14=B$18),IF(LEFT($V29,1)="P",VLOOKUP(CONCATENATE(LEFT($V29,2),"H"),$R$63:$T$91,3,FALSE),VLOOKUP($V29,$R$63:$T$91,3,FALSE)))+IF(AND($V29&lt;&gt;"",$V29&lt;&gt;"O3/CP",$V$15=B$18,MID($V29,4,1)="2",$V$15&lt;&gt;$V$14),VLOOKUP(CONCATENATE(LEFT($V29,2),"L"),$R$63:$T$91,3,FALSE),0)+IF(AND($V29="O3/CP",$V$14=B$18),VLOOKUP("O3",$R$63:$T$91,3,FALSE)+VLOOKUP("CP",$R$63:$T$91,3,FALSE),0)+IF(AND($W29&lt;&gt;"",$W29&lt;&gt;"--",$W29&lt;&gt;"O3/CP",$W$14=B$18),IF(LEFT($W29,1)="P",VLOOKUP(CONCATENATE(LEFT($W29,2),"H"),$R$63:$T$91,3,FALSE),VLOOKUP($W29,$R$63:$T$91,3,FALSE)))+IF(AND($W29&lt;&gt;"",$W29&lt;&gt;"O3/CP",$W$15=B$18,MID($W29,4,1)="2",$W$15&lt;&gt;$W$14),VLOOKUP(CONCATENATE(LEFT($W29,2),"L"),$R$63:$T$91,3,FALSE),0)+IF(AND($W29="O3/CP",$W$14=B$18),VLOOKUP("O3",$R$63:$T$91,3,FALSE)+VLOOKUP("CP",$R$63:$T$91,3,FALSE),0)+IF(AND($X29&lt;&gt;"",$X29&lt;&gt;"--",$X29&lt;&gt;"O3/CP",$X$14=B$18),IF(LEFT($X29,1)="P",VLOOKUP(CONCATENATE(LEFT($X29,2),"H"),$R$63:$T$91,3,FALSE),VLOOKUP($X29,$R$63:$T$91,3,FALSE)))+IF(AND($X29&lt;&gt;"",$X29&lt;&gt;"O3/CP",$X$15=B$18,MID($X29,4,1)="2",$X$15&lt;&gt;$X$14),VLOOKUP(CONCATENATE(LEFT($X29,2),"L"),$R$63:$T$91,3,FALSE),0)+IF(AND($X29="O3/CP",$X$14=B$18),VLOOKUP("O3",$R$63:$T$91,3,FALSE)+VLOOKUP("CP",$R$63:$T$91,3,FALSE),0)+IF(AND($Y29&lt;&gt;"",$Y29&lt;&gt;"--",$Y29&lt;&gt;"O3/CP",$Y$14=B$18),IF(LEFT($Y29,1)="P",VLOOKUP(CONCATENATE(LEFT($Y29,2),"H"),$R$63:$T$91,3,FALSE),VLOOKUP($Y29,$R$63:$T$91,3,FALSE)))+IF(AND($Y29&lt;&gt;"",$Y29&lt;&gt;"O3/CP",$Y$15=B$18,MID($Y29,4,1)="2",$Y$15&lt;&gt;$Y$14),VLOOKUP(CONCATENATE(LEFT($Y29,2),"L"),$R$63:$T$91,3,FALSE),0)+IF(AND($Y29="O3/CP",$Y$14=B$18),VLOOKUP("O3",$R$63:$T$91,3,FALSE)+VLOOKUP("CP",$R$63:$T$91,3,FALSE),0)+IF(AND($K$6="CE",'[3]Supply Attribution'!$G$20=B$18),LEFT($S$90,2),0)+IF(AND($X$86&lt;&gt;"Not Set",$X$87=B$18),$X$86,0)</f>
        <v>5</v>
      </c>
      <c r="C29" s="271">
        <f>IF(AND($K29&lt;&gt;"",$K29&lt;&gt;"--",$K29&lt;&gt;"O3/CP",$K$14=C$18),IF(LEFT($K29,1)="P",VLOOKUP(CONCATENATE(LEFT($K29,2),"H"),$R$63:$T$91,3,FALSE),VLOOKUP($K29,$R$63:$T$91,3,FALSE)))+IF(AND($K29&lt;&gt;"",$K29&lt;&gt;"O3/CP",$K$15=C$18,MID($K29,4,1)="2",$K$15&lt;&gt;$K$14),VLOOKUP(CONCATENATE(LEFT($K29,2),"L"),$R$63:$T$91,3,FALSE),0)+IF(AND($K29="O3/CP",$K$14=C$18),VLOOKUP("O3",$R$63:$T$91,3,FALSE)+VLOOKUP("CP",$R$63:$T$91,3,FALSE),0)+IF(AND($L29&lt;&gt;"",$L29&lt;&gt;"--",$L29&lt;&gt;"O3/CP",$L$14=C$18),IF(LEFT($L29,1)="P",VLOOKUP(CONCATENATE(LEFT($L29,2),"H"),$R$63:$T$91,3,FALSE),VLOOKUP($L29,$R$63:$T$91,3,FALSE)))+IF(AND($L29&lt;&gt;"",$L29&lt;&gt;"O3/CP",$L$15=C$18,MID($L29,4,1)="2",$L$15&lt;&gt;$L$14),VLOOKUP(CONCATENATE(LEFT($L29,2),"L"),$R$63:$T$91,3,FALSE),0)+IF(AND($L29="O3/CP",$L$14=C$18),VLOOKUP("O3",$R$63:$T$91,3,FALSE)+VLOOKUP("CP",$R$63:$T$91,3,FALSE),0)+IF(AND($M29&lt;&gt;"",$M29&lt;&gt;"--",$M29&lt;&gt;"O3/CP",$M$14=C$18),IF(LEFT($M29,1)="P",VLOOKUP(CONCATENATE(LEFT($M29,2),"H"),$R$63:$T$91,3,FALSE),VLOOKUP($M29,$R$63:$T$91,3,FALSE)))+IF(AND($M29&lt;&gt;"",$M29&lt;&gt;"O3/CP",$M$15=C$18,MID($M29,4,1)="2",$M$15&lt;&gt;$M$14),VLOOKUP(CONCATENATE(LEFT($M29,2),"L"),$R$63:$T$91,3,FALSE),0)+IF(AND($M29="O3/CP",$M$14=C$18),VLOOKUP("O3",$R$63:$T$91,3,FALSE)+VLOOKUP("CP",$R$63:$T$91,3,FALSE),0)+IF(AND($N29&lt;&gt;"",$N29&lt;&gt;"--",$N29&lt;&gt;"O3/CP",$N$14=C$18),IF(LEFT($N29,1)="P",VLOOKUP(CONCATENATE(LEFT($N29,2),"H"),$R$63:$T$91,3,FALSE),VLOOKUP($N29,$R$63:$T$91,3,FALSE)))+IF(AND($N29&lt;&gt;"",$N29&lt;&gt;"O3/CP",$N$15=C$18,MID($N29,4,1)="2",$N$15&lt;&gt;$N$14),VLOOKUP(CONCATENATE(LEFT($N29,2),"L"),$R$63:$T$91,3,FALSE),0)+IF(AND($N29="O3/CP",$N$14=C$18),VLOOKUP("O3",$R$63:$T$91,3,FALSE)+VLOOKUP("CP",$R$63:$T$91,3,FALSE),0)+IF(AND($O29&lt;&gt;"",$O29&lt;&gt;"--",$O29&lt;&gt;"O3/CP",$O$14=C$18),IF(LEFT($O29,1)="P",VLOOKUP(CONCATENATE(LEFT($O29,2),"H"),$R$63:$T$91,3,FALSE),VLOOKUP($O29,$R$63:$T$91,3,FALSE)))+IF(AND($O29&lt;&gt;"",$O29&lt;&gt;"O3/CP",$O$15=C$18,MID($O29,4,1)="2",$O$15&lt;&gt;$O$14),VLOOKUP(CONCATENATE(LEFT($O29,2),"L"),$R$63:$T$91,3,FALSE),0)+IF(AND($O29="O3/CP",$O$14=C$18),VLOOKUP("O3",$R$63:$T$91,3,FALSE)+VLOOKUP("CP",$R$63:$T$91,3,FALSE),0)+IF(AND($P29&lt;&gt;"",$P29&lt;&gt;"--",$P29&lt;&gt;"O3/CP",$P$14=C$18),IF(LEFT($P29,1)="P",VLOOKUP(CONCATENATE(LEFT($P29,2),"H"),$R$63:$T$91,3,FALSE),VLOOKUP($P29,$R$63:$T$91,3,FALSE)))+IF(AND($P29&lt;&gt;"",$P29&lt;&gt;"O3/CP",$P$15=C$18,MID($P29,4,1)="2",$P$15&lt;&gt;$P$14),VLOOKUP(CONCATENATE(LEFT($P29,2),"L"),$R$63:$T$91,3,FALSE),0)+IF(AND($P29="O3/CP",$P$14=C$18),VLOOKUP("O3",$R$63:$T$91,3,FALSE)+VLOOKUP("CP",$R$63:$T$91,3,FALSE),0)+IF(AND($Q29&lt;&gt;"",$Q29&lt;&gt;"--",$Q29&lt;&gt;"O3/CP",$Q$14=C$18),IF(LEFT($Q29,1)="P",VLOOKUP(CONCATENATE(LEFT($Q29,2),"H"),$R$63:$T$91,3,FALSE),VLOOKUP($Q29,$R$63:$T$91,3,FALSE)))+IF(AND($Q29&lt;&gt;"",$Q29&lt;&gt;"O3/CP",$Q$15=C$18,MID($Q29,4,1)="2",$Q$15&lt;&gt;$Q$14),VLOOKUP(CONCATENATE(LEFT($Q29,2),"L"),$R$63:$T$91,3,FALSE),0)+IF(AND($Q29="O3/CP",$Q$14=C$18),VLOOKUP("O3",$R$63:$T$91,3,FALSE)+VLOOKUP("CP",$R$63:$T$91,3,FALSE),0)+IF(AND($R29&lt;&gt;"",$R29&lt;&gt;"--",$R29&lt;&gt;"O3/CP",$R$14=C$18),IF(LEFT($R29,1)="P",VLOOKUP(CONCATENATE(LEFT($R29,2),"H"),$R$63:$T$91,3,FALSE),VLOOKUP($R29,$R$63:$T$91,3,FALSE)))+IF(AND($R29&lt;&gt;"",$R29&lt;&gt;"O3/CP",$R$15=C$18,MID($R29,4,1)="2",$R$15&lt;&gt;$R$14),VLOOKUP(CONCATENATE(LEFT($R29,2),"L"),$R$63:$T$91,3,FALSE),0)+IF(AND($R29="O3/CP",$R$14=C$18),VLOOKUP("O3",$R$63:$T$91,3,FALSE)+VLOOKUP("CP",$R$63:$T$91,3,FALSE),0)+IF(AND($S29&lt;&gt;"",$S29&lt;&gt;"--",$S29&lt;&gt;"O3/CP",$S$14=C$18),IF(LEFT($S29,1)="P",VLOOKUP(CONCATENATE(LEFT($S29,2),"H"),$R$63:$T$91,3,FALSE),VLOOKUP($S29,$R$63:$T$91,3,FALSE)))+IF(AND($S29&lt;&gt;"",$S29&lt;&gt;"O3/CP",$S$15=C$18,MID($S29,4,1)="2",$S$15&lt;&gt;$S$14),VLOOKUP(CONCATENATE(LEFT($S29,2),"L"),$R$63:$T$91,3,FALSE),0)+IF(AND($S29="O3/CP",$S$14=C$18),VLOOKUP("O3",$R$63:$T$91,3,FALSE)+VLOOKUP("CP",$R$63:$T$91,3,FALSE),0)+IF(AND($T29&lt;&gt;"",$T29&lt;&gt;"--",$T29&lt;&gt;"O3/CP",$T$14=C$18),IF(LEFT($T29,1)="P",VLOOKUP(CONCATENATE(LEFT($T29,2),"H"),$R$63:$T$91,3,FALSE),VLOOKUP($T29,$R$63:$T$91,3,FALSE)))+IF(AND($T29&lt;&gt;"",$T29&lt;&gt;"O3/CP",$T$15=C$18,MID($T29,4,1)="2",$T$15&lt;&gt;$T$14),VLOOKUP(CONCATENATE(LEFT($T29,2),"L"),$R$63:$T$91,3,FALSE),0)+IF(AND($T29="O3/CP",$T$14=C$18),VLOOKUP("O3",$R$63:$T$91,3,FALSE)+VLOOKUP("CP",$R$63:$T$91,3,FALSE),0)+IF(AND($U29&lt;&gt;"",$U29&lt;&gt;"--",$U29&lt;&gt;"O3/CP",$U$14=C$18),IF(LEFT($U29,1)="P",VLOOKUP(CONCATENATE(LEFT($U29,2),"H"),$R$63:$T$91,3,FALSE),VLOOKUP($U29,$R$63:$T$91,3,FALSE)))+IF(AND($U29&lt;&gt;"",$U29&lt;&gt;"O3/CP",$U$15=C$18,MID($U29,4,1)="2",$U$15&lt;&gt;$U$14),VLOOKUP(CONCATENATE(LEFT($U29,2),"L"),$R$63:$T$91,3,FALSE),0)+IF(AND($U29="O3/CP",$T$14=C$18),VLOOKUP("O3",$R$63:$T$91,3,FALSE)+VLOOKUP("CP",$R$63:$T$91,3,FALSE),0)+IF(AND($V29&lt;&gt;"",$V29&lt;&gt;"--",$V29&lt;&gt;"O3/CP",$V$14=C$18),IF(LEFT($V29,1)="P",VLOOKUP(CONCATENATE(LEFT($V29,2),"H"),$R$63:$T$91,3,FALSE),VLOOKUP($V29,$R$63:$T$91,3,FALSE)))+IF(AND($V29&lt;&gt;"",$V29&lt;&gt;"O3/CP",$V$15=C$18,MID($V29,4,1)="2",$V$15&lt;&gt;$V$14),VLOOKUP(CONCATENATE(LEFT($V29,2),"L"),$R$63:$T$91,3,FALSE),0)+IF(AND($V29="O3/CP",$V$14=C$18),VLOOKUP("O3",$R$63:$T$91,3,FALSE)+VLOOKUP("CP",$R$63:$T$91,3,FALSE),0)+IF(AND($W29&lt;&gt;"",$W29&lt;&gt;"--",$W29&lt;&gt;"O3/CP",$W$14=C$18),IF(LEFT($W29,1)="P",VLOOKUP(CONCATENATE(LEFT($W29,2),"H"),$R$63:$T$91,3,FALSE),VLOOKUP($W29,$R$63:$T$91,3,FALSE)))+IF(AND($W29&lt;&gt;"",$W29&lt;&gt;"O3/CP",$W$15=C$18,MID($W29,4,1)="2",$W$15&lt;&gt;$W$14),VLOOKUP(CONCATENATE(LEFT($W29,2),"L"),$R$63:$T$91,3,FALSE),0)+IF(AND($W29="O3/CP",$W$14=C$18),VLOOKUP("O3",$R$63:$T$91,3,FALSE)+VLOOKUP("CP",$R$63:$T$91,3,FALSE),0)+IF(AND($X29&lt;&gt;"",$X29&lt;&gt;"--",$X29&lt;&gt;"O3/CP",$X$14=C$18),IF(LEFT($X29,1)="P",VLOOKUP(CONCATENATE(LEFT($X29,2),"H"),$R$63:$T$91,3,FALSE),VLOOKUP($X29,$R$63:$T$91,3,FALSE)))+IF(AND($X29&lt;&gt;"",$X29&lt;&gt;"O3/CP",$X$15=C$18,MID($X29,4,1)="2",$X$15&lt;&gt;$X$14),VLOOKUP(CONCATENATE(LEFT($X29,2),"L"),$R$63:$T$91,3,FALSE),0)+IF(AND($X29="O3/CP",$X$14=C$18),VLOOKUP("O3",$R$63:$T$91,3,FALSE)+VLOOKUP("CP",$R$63:$T$91,3,FALSE),0)+IF(AND($Y29&lt;&gt;"",$Y29&lt;&gt;"--",$Y29&lt;&gt;"O3/CP",$Y$14=C$18),IF(LEFT($Y29,1)="P",VLOOKUP(CONCATENATE(LEFT($Y29,2),"H"),$R$63:$T$91,3,FALSE),VLOOKUP($Y29,$R$63:$T$91,3,FALSE)))+IF(AND($Y29&lt;&gt;"",$Y29&lt;&gt;"O3/CP",$Y$15=C$18,MID($Y29,4,1)="2",$Y$15&lt;&gt;$Y$14),VLOOKUP(CONCATENATE(LEFT($Y29,2),"L"),$R$63:$T$91,3,FALSE),0)+IF(AND($Y29="O3/CP",$Y$14=C$18),VLOOKUP("O3",$R$63:$T$91,3,FALSE)+VLOOKUP("CP",$R$63:$T$91,3,FALSE),0)+IF(AND($K$6="CE",'[3]Supply Attribution'!$G$20=C$18),LEFT($S$90,2),0)+IF(AND($X$86&lt;&gt;"Not Set",$X$87=C$18),$X$86,0)</f>
        <v>12</v>
      </c>
      <c r="D29" s="271">
        <f>IF(AND($K29&lt;&gt;"",$K29&lt;&gt;"--",$K29&lt;&gt;"O3/CP",$K$14=D$18),IF(LEFT($K29,1)="P",VLOOKUP(CONCATENATE(LEFT($K29,2),"H"),$R$63:$T$91,3,FALSE),VLOOKUP($K29,$R$63:$T$91,3,FALSE)))+IF(AND($K29&lt;&gt;"",$K29&lt;&gt;"O3/CP",$K$15=D$18,MID($K29,4,1)="2",$K$15&lt;&gt;$K$14),VLOOKUP(CONCATENATE(LEFT($K29,2),"L"),$R$63:$T$91,3,FALSE),0)+IF(AND($K29="O3/CP",$K$14=D$18),VLOOKUP("O3",$R$63:$T$91,3,FALSE)+VLOOKUP("CP",$R$63:$T$91,3,FALSE),0)+IF(AND($L29&lt;&gt;"",$L29&lt;&gt;"--",$L29&lt;&gt;"O3/CP",$L$14=D$18),IF(LEFT($L29,1)="P",VLOOKUP(CONCATENATE(LEFT($L29,2),"H"),$R$63:$T$91,3,FALSE),VLOOKUP($L29,$R$63:$T$91,3,FALSE)))+IF(AND($L29&lt;&gt;"",$L29&lt;&gt;"O3/CP",$L$15=D$18,MID($L29,4,1)="2",$L$15&lt;&gt;$L$14),VLOOKUP(CONCATENATE(LEFT($L29,2),"L"),$R$63:$T$91,3,FALSE),0)+IF(AND($L29="O3/CP",$L$14=D$18),VLOOKUP("O3",$R$63:$T$91,3,FALSE)+VLOOKUP("CP",$R$63:$T$91,3,FALSE),0)+IF(AND($M29&lt;&gt;"",$M29&lt;&gt;"--",$M29&lt;&gt;"O3/CP",$M$14=D$18),IF(LEFT($M29,1)="P",VLOOKUP(CONCATENATE(LEFT($M29,2),"H"),$R$63:$T$91,3,FALSE),VLOOKUP($M29,$R$63:$T$91,3,FALSE)))+IF(AND($M29&lt;&gt;"",$M29&lt;&gt;"O3/CP",$M$15=D$18,MID($M29,4,1)="2",$M$15&lt;&gt;$M$14),VLOOKUP(CONCATENATE(LEFT($M29,2),"L"),$R$63:$T$91,3,FALSE),0)+IF(AND($M29="O3/CP",$M$14=D$18),VLOOKUP("O3",$R$63:$T$91,3,FALSE)+VLOOKUP("CP",$R$63:$T$91,3,FALSE),0)+IF(AND($N29&lt;&gt;"",$N29&lt;&gt;"--",$N29&lt;&gt;"O3/CP",$N$14=D$18),IF(LEFT($N29,1)="P",VLOOKUP(CONCATENATE(LEFT($N29,2),"H"),$R$63:$T$91,3,FALSE),VLOOKUP($N29,$R$63:$T$91,3,FALSE)))+IF(AND($N29&lt;&gt;"",$N29&lt;&gt;"O3/CP",$N$15=D$18,MID($N29,4,1)="2",$N$15&lt;&gt;$N$14),VLOOKUP(CONCATENATE(LEFT($N29,2),"L"),$R$63:$T$91,3,FALSE),0)+IF(AND($N29="O3/CP",$N$14=D$18),VLOOKUP("O3",$R$63:$T$91,3,FALSE)+VLOOKUP("CP",$R$63:$T$91,3,FALSE),0)+IF(AND($O29&lt;&gt;"",$O29&lt;&gt;"--",$O29&lt;&gt;"O3/CP",$O$14=D$18),IF(LEFT($O29,1)="P",VLOOKUP(CONCATENATE(LEFT($O29,2),"H"),$R$63:$T$91,3,FALSE),VLOOKUP($O29,$R$63:$T$91,3,FALSE)))+IF(AND($O29&lt;&gt;"",$O29&lt;&gt;"O3/CP",$O$15=D$18,MID($O29,4,1)="2",$O$15&lt;&gt;$O$14),VLOOKUP(CONCATENATE(LEFT($O29,2),"L"),$R$63:$T$91,3,FALSE),0)+IF(AND($O29="O3/CP",$O$14=D$18),VLOOKUP("O3",$R$63:$T$91,3,FALSE)+VLOOKUP("CP",$R$63:$T$91,3,FALSE),0)+IF(AND($P29&lt;&gt;"",$P29&lt;&gt;"--",$P29&lt;&gt;"O3/CP",$P$14=D$18),IF(LEFT($P29,1)="P",VLOOKUP(CONCATENATE(LEFT($P29,2),"H"),$R$63:$T$91,3,FALSE),VLOOKUP($P29,$R$63:$T$91,3,FALSE)))+IF(AND($P29&lt;&gt;"",$P29&lt;&gt;"O3/CP",$P$15=D$18,MID($P29,4,1)="2",$P$15&lt;&gt;$P$14),VLOOKUP(CONCATENATE(LEFT($P29,2),"L"),$R$63:$T$91,3,FALSE),0)+IF(AND($P29="O3/CP",$P$14=D$18),VLOOKUP("O3",$R$63:$T$91,3,FALSE)+VLOOKUP("CP",$R$63:$T$91,3,FALSE),0)+IF(AND($Q29&lt;&gt;"",$Q29&lt;&gt;"--",$Q29&lt;&gt;"O3/CP",$Q$14=D$18),IF(LEFT($Q29,1)="P",VLOOKUP(CONCATENATE(LEFT($Q29,2),"H"),$R$63:$T$91,3,FALSE),VLOOKUP($Q29,$R$63:$T$91,3,FALSE)))+IF(AND($Q29&lt;&gt;"",$Q29&lt;&gt;"O3/CP",$Q$15=D$18,MID($Q29,4,1)="2",$Q$15&lt;&gt;$Q$14),VLOOKUP(CONCATENATE(LEFT($Q29,2),"L"),$R$63:$T$91,3,FALSE),0)+IF(AND($Q29="O3/CP",$Q$14=D$18),VLOOKUP("O3",$R$63:$T$91,3,FALSE)+VLOOKUP("CP",$R$63:$T$91,3,FALSE),0)+IF(AND($R29&lt;&gt;"",$R29&lt;&gt;"--",$R29&lt;&gt;"O3/CP",$R$14=D$18),IF(LEFT($R29,1)="P",VLOOKUP(CONCATENATE(LEFT($R29,2),"H"),$R$63:$T$91,3,FALSE),VLOOKUP($R29,$R$63:$T$91,3,FALSE)))+IF(AND($R29&lt;&gt;"",$R29&lt;&gt;"O3/CP",$R$15=D$18,MID($R29,4,1)="2",$R$15&lt;&gt;$R$14),VLOOKUP(CONCATENATE(LEFT($R29,2),"L"),$R$63:$T$91,3,FALSE),0)+IF(AND($R29="O3/CP",$R$14=D$18),VLOOKUP("O3",$R$63:$T$91,3,FALSE)+VLOOKUP("CP",$R$63:$T$91,3,FALSE),0)+IF(AND($S29&lt;&gt;"",$S29&lt;&gt;"--",$S29&lt;&gt;"O3/CP",$S$14=D$18),IF(LEFT($S29,1)="P",VLOOKUP(CONCATENATE(LEFT($S29,2),"H"),$R$63:$T$91,3,FALSE),VLOOKUP($S29,$R$63:$T$91,3,FALSE)))+IF(AND($S29&lt;&gt;"",$S29&lt;&gt;"O3/CP",$S$15=D$18,MID($S29,4,1)="2",$S$15&lt;&gt;$S$14),VLOOKUP(CONCATENATE(LEFT($S29,2),"L"),$R$63:$T$91,3,FALSE),0)+IF(AND($S29="O3/CP",$S$14=D$18),VLOOKUP("O3",$R$63:$T$91,3,FALSE)+VLOOKUP("CP",$R$63:$T$91,3,FALSE),0)+IF(AND($T29&lt;&gt;"",$T29&lt;&gt;"--",$T29&lt;&gt;"O3/CP",$T$14=D$18),IF(LEFT($T29,1)="P",VLOOKUP(CONCATENATE(LEFT($T29,2),"H"),$R$63:$T$91,3,FALSE),VLOOKUP($T29,$R$63:$T$91,3,FALSE)))+IF(AND($T29&lt;&gt;"",$T29&lt;&gt;"O3/CP",$T$15=D$18,MID($T29,4,1)="2",$T$15&lt;&gt;$T$14),VLOOKUP(CONCATENATE(LEFT($T29,2),"L"),$R$63:$T$91,3,FALSE),0)+IF(AND($T29="O3/CP",$T$14=D$18),VLOOKUP("O3",$R$63:$T$91,3,FALSE)+VLOOKUP("CP",$R$63:$T$91,3,FALSE),0)+IF(AND($U29&lt;&gt;"",$U29&lt;&gt;"--",$U29&lt;&gt;"O3/CP",$U$14=D$18),IF(LEFT($U29,1)="P",VLOOKUP(CONCATENATE(LEFT($U29,2),"H"),$R$63:$T$91,3,FALSE),VLOOKUP($U29,$R$63:$T$91,3,FALSE)))+IF(AND($U29&lt;&gt;"",$U29&lt;&gt;"O3/CP",$U$15=D$18,MID($U29,4,1)="2",$U$15&lt;&gt;$U$14),VLOOKUP(CONCATENATE(LEFT($U29,2),"L"),$R$63:$T$91,3,FALSE),0)+IF(AND($U29="O3/CP",$T$14=D$18),VLOOKUP("O3",$R$63:$T$91,3,FALSE)+VLOOKUP("CP",$R$63:$T$91,3,FALSE),0)+IF(AND($V29&lt;&gt;"",$V29&lt;&gt;"--",$V29&lt;&gt;"O3/CP",$V$14=D$18),IF(LEFT($V29,1)="P",VLOOKUP(CONCATENATE(LEFT($V29,2),"H"),$R$63:$T$91,3,FALSE),VLOOKUP($V29,$R$63:$T$91,3,FALSE)))+IF(AND($V29&lt;&gt;"",$V29&lt;&gt;"O3/CP",$V$15=D$18,MID($V29,4,1)="2",$V$15&lt;&gt;$V$14),VLOOKUP(CONCATENATE(LEFT($V29,2),"L"),$R$63:$T$91,3,FALSE),0)+IF(AND($V29="O3/CP",$V$14=D$18),VLOOKUP("O3",$R$63:$T$91,3,FALSE)+VLOOKUP("CP",$R$63:$T$91,3,FALSE),0)+IF(AND($W29&lt;&gt;"",$W29&lt;&gt;"--",$W29&lt;&gt;"O3/CP",$W$14=D$18),IF(LEFT($W29,1)="P",VLOOKUP(CONCATENATE(LEFT($W29,2),"H"),$R$63:$T$91,3,FALSE),VLOOKUP($W29,$R$63:$T$91,3,FALSE)))+IF(AND($W29&lt;&gt;"",$W29&lt;&gt;"O3/CP",$W$15=D$18,MID($W29,4,1)="2",$W$15&lt;&gt;$W$14),VLOOKUP(CONCATENATE(LEFT($W29,2),"L"),$R$63:$T$91,3,FALSE),0)+IF(AND($W29="O3/CP",$W$14=D$18),VLOOKUP("O3",$R$63:$T$91,3,FALSE)+VLOOKUP("CP",$R$63:$T$91,3,FALSE),0)+IF(AND($X29&lt;&gt;"",$X29&lt;&gt;"--",$X29&lt;&gt;"O3/CP",$X$14=D$18),IF(LEFT($X29,1)="P",VLOOKUP(CONCATENATE(LEFT($X29,2),"H"),$R$63:$T$91,3,FALSE),VLOOKUP($X29,$R$63:$T$91,3,FALSE)))+IF(AND($X29&lt;&gt;"",$X29&lt;&gt;"O3/CP",$X$15=D$18,MID($X29,4,1)="2",$X$15&lt;&gt;$X$14),VLOOKUP(CONCATENATE(LEFT($X29,2),"L"),$R$63:$T$91,3,FALSE),0)+IF(AND($X29="O3/CP",$X$14=D$18),VLOOKUP("O3",$R$63:$T$91,3,FALSE)+VLOOKUP("CP",$R$63:$T$91,3,FALSE),0)+IF(AND($Y29&lt;&gt;"",$Y29&lt;&gt;"--",$Y29&lt;&gt;"O3/CP",$Y$14=D$18),IF(LEFT($Y29,1)="P",VLOOKUP(CONCATENATE(LEFT($Y29,2),"H"),$R$63:$T$91,3,FALSE),VLOOKUP($Y29,$R$63:$T$91,3,FALSE)))+IF(AND($Y29&lt;&gt;"",$Y29&lt;&gt;"O3/CP",$Y$15=D$18,MID($Y29,4,1)="2",$Y$15&lt;&gt;$Y$14),VLOOKUP(CONCATENATE(LEFT($Y29,2),"L"),$R$63:$T$91,3,FALSE),0)+IF(AND($Y29="O3/CP",$Y$14=D$18),VLOOKUP("O3",$R$63:$T$91,3,FALSE)+VLOOKUP("CP",$R$63:$T$91,3,FALSE),0)+IF(AND($K$6="CE",'[3]Supply Attribution'!$G$20=D$18),LEFT($S$90,2),0)+IF(AND($X$86&lt;&gt;"Not Set",$X$87=D$18),$X$86,0)</f>
        <v>0</v>
      </c>
      <c r="E29" s="271">
        <f>IF(AND($K29&lt;&gt;"",$K29&lt;&gt;"--",$K29&lt;&gt;"O3/CP",$K$14=E$18),IF(LEFT($K29,1)="P",VLOOKUP(CONCATENATE(LEFT($K29,2),"H"),$R$63:$T$91,3,FALSE),VLOOKUP($K29,$R$63:$T$91,3,FALSE)))+IF(AND($K29&lt;&gt;"",$K29&lt;&gt;"O3/CP",$K$15=E$18,MID($K29,4,1)="2",$K$15&lt;&gt;$K$14),VLOOKUP(CONCATENATE(LEFT($K29,2),"L"),$R$63:$T$91,3,FALSE),0)+IF(AND($K29="O3/CP",$K$14=E$18),VLOOKUP("O3",$R$63:$T$91,3,FALSE)+VLOOKUP("CP",$R$63:$T$91,3,FALSE),0)+IF(AND($L29&lt;&gt;"",$L29&lt;&gt;"--",$L29&lt;&gt;"O3/CP",$L$14=E$18),IF(LEFT($L29,1)="P",VLOOKUP(CONCATENATE(LEFT($L29,2),"H"),$R$63:$T$91,3,FALSE),VLOOKUP($L29,$R$63:$T$91,3,FALSE)))+IF(AND($L29&lt;&gt;"",$L29&lt;&gt;"O3/CP",$L$15=E$18,MID($L29,4,1)="2",$L$15&lt;&gt;$L$14),VLOOKUP(CONCATENATE(LEFT($L29,2),"L"),$R$63:$T$91,3,FALSE),0)+IF(AND($L29="O3/CP",$L$14=E$18),VLOOKUP("O3",$R$63:$T$91,3,FALSE)+VLOOKUP("CP",$R$63:$T$91,3,FALSE),0)+IF(AND($M29&lt;&gt;"",$M29&lt;&gt;"--",$M29&lt;&gt;"O3/CP",$M$14=E$18),IF(LEFT($M29,1)="P",VLOOKUP(CONCATENATE(LEFT($M29,2),"H"),$R$63:$T$91,3,FALSE),VLOOKUP($M29,$R$63:$T$91,3,FALSE)))+IF(AND($M29&lt;&gt;"",$M29&lt;&gt;"O3/CP",$M$15=E$18,MID($M29,4,1)="2",$M$15&lt;&gt;$M$14),VLOOKUP(CONCATENATE(LEFT($M29,2),"L"),$R$63:$T$91,3,FALSE),0)+IF(AND($M29="O3/CP",$M$14=E$18),VLOOKUP("O3",$R$63:$T$91,3,FALSE)+VLOOKUP("CP",$R$63:$T$91,3,FALSE),0)+IF(AND($N29&lt;&gt;"",$N29&lt;&gt;"--",$N29&lt;&gt;"O3/CP",$N$14=E$18),IF(LEFT($N29,1)="P",VLOOKUP(CONCATENATE(LEFT($N29,2),"H"),$R$63:$T$91,3,FALSE),VLOOKUP($N29,$R$63:$T$91,3,FALSE)))+IF(AND($N29&lt;&gt;"",$N29&lt;&gt;"O3/CP",$N$15=E$18,MID($N29,4,1)="2",$N$15&lt;&gt;$N$14),VLOOKUP(CONCATENATE(LEFT($N29,2),"L"),$R$63:$T$91,3,FALSE),0)+IF(AND($N29="O3/CP",$N$14=E$18),VLOOKUP("O3",$R$63:$T$91,3,FALSE)+VLOOKUP("CP",$R$63:$T$91,3,FALSE),0)+IF(AND($O29&lt;&gt;"",$O29&lt;&gt;"--",$O29&lt;&gt;"O3/CP",$O$14=E$18),IF(LEFT($O29,1)="P",VLOOKUP(CONCATENATE(LEFT($O29,2),"H"),$R$63:$T$91,3,FALSE),VLOOKUP($O29,$R$63:$T$91,3,FALSE)))+IF(AND($O29&lt;&gt;"",$O29&lt;&gt;"O3/CP",$O$15=E$18,MID($O29,4,1)="2",$O$15&lt;&gt;$O$14),VLOOKUP(CONCATENATE(LEFT($O29,2),"L"),$R$63:$T$91,3,FALSE),0)+IF(AND($O29="O3/CP",$O$14=E$18),VLOOKUP("O3",$R$63:$T$91,3,FALSE)+VLOOKUP("CP",$R$63:$T$91,3,FALSE),0)+IF(AND($P29&lt;&gt;"",$P29&lt;&gt;"--",$P29&lt;&gt;"O3/CP",$P$14=E$18),IF(LEFT($P29,1)="P",VLOOKUP(CONCATENATE(LEFT($P29,2),"H"),$R$63:$T$91,3,FALSE),VLOOKUP($P29,$R$63:$T$91,3,FALSE)))+IF(AND($P29&lt;&gt;"",$P29&lt;&gt;"O3/CP",$P$15=E$18,MID($P29,4,1)="2",$P$15&lt;&gt;$P$14),VLOOKUP(CONCATENATE(LEFT($P29,2),"L"),$R$63:$T$91,3,FALSE),0)+IF(AND($P29="O3/CP",$P$14=E$18),VLOOKUP("O3",$R$63:$T$91,3,FALSE)+VLOOKUP("CP",$R$63:$T$91,3,FALSE),0)+IF(AND($Q29&lt;&gt;"",$Q29&lt;&gt;"--",$Q29&lt;&gt;"O3/CP",$Q$14=E$18),IF(LEFT($Q29,1)="P",VLOOKUP(CONCATENATE(LEFT($Q29,2),"H"),$R$63:$T$91,3,FALSE),VLOOKUP($Q29,$R$63:$T$91,3,FALSE)))+IF(AND($Q29&lt;&gt;"",$Q29&lt;&gt;"O3/CP",$Q$15=E$18,MID($Q29,4,1)="2",$Q$15&lt;&gt;$Q$14),VLOOKUP(CONCATENATE(LEFT($Q29,2),"L"),$R$63:$T$91,3,FALSE),0)+IF(AND($Q29="O3/CP",$Q$14=E$18),VLOOKUP("O3",$R$63:$T$91,3,FALSE)+VLOOKUP("CP",$R$63:$T$91,3,FALSE),0)+IF(AND($R29&lt;&gt;"",$R29&lt;&gt;"--",$R29&lt;&gt;"O3/CP",$R$14=E$18),IF(LEFT($R29,1)="P",VLOOKUP(CONCATENATE(LEFT($R29,2),"H"),$R$63:$T$91,3,FALSE),VLOOKUP($R29,$R$63:$T$91,3,FALSE)))+IF(AND($R29&lt;&gt;"",$R29&lt;&gt;"O3/CP",$R$15=E$18,MID($R29,4,1)="2",$R$15&lt;&gt;$R$14),VLOOKUP(CONCATENATE(LEFT($R29,2),"L"),$R$63:$T$91,3,FALSE),0)+IF(AND($R29="O3/CP",$R$14=E$18),VLOOKUP("O3",$R$63:$T$91,3,FALSE)+VLOOKUP("CP",$R$63:$T$91,3,FALSE),0)+IF(AND($S29&lt;&gt;"",$S29&lt;&gt;"--",$S29&lt;&gt;"O3/CP",$S$14=E$18),IF(LEFT($S29,1)="P",VLOOKUP(CONCATENATE(LEFT($S29,2),"H"),$R$63:$T$91,3,FALSE),VLOOKUP($S29,$R$63:$T$91,3,FALSE)))+IF(AND($S29&lt;&gt;"",$S29&lt;&gt;"O3/CP",$S$15=E$18,MID($S29,4,1)="2",$S$15&lt;&gt;$S$14),VLOOKUP(CONCATENATE(LEFT($S29,2),"L"),$R$63:$T$91,3,FALSE),0)+IF(AND($S29="O3/CP",$S$14=E$18),VLOOKUP("O3",$R$63:$T$91,3,FALSE)+VLOOKUP("CP",$R$63:$T$91,3,FALSE),0)+IF(AND($T29&lt;&gt;"",$T29&lt;&gt;"--",$T29&lt;&gt;"O3/CP",$T$14=E$18),IF(LEFT($T29,1)="P",VLOOKUP(CONCATENATE(LEFT($T29,2),"H"),$R$63:$T$91,3,FALSE),VLOOKUP($T29,$R$63:$T$91,3,FALSE)))+IF(AND($T29&lt;&gt;"",$T29&lt;&gt;"O3/CP",$T$15=E$18,MID($T29,4,1)="2",$T$15&lt;&gt;$T$14),VLOOKUP(CONCATENATE(LEFT($T29,2),"L"),$R$63:$T$91,3,FALSE),0)+IF(AND($T29="O3/CP",$T$14=E$18),VLOOKUP("O3",$R$63:$T$91,3,FALSE)+VLOOKUP("CP",$R$63:$T$91,3,FALSE),0)+IF(AND($U29&lt;&gt;"",$U29&lt;&gt;"--",$U29&lt;&gt;"O3/CP",$U$14=E$18),IF(LEFT($U29,1)="P",VLOOKUP(CONCATENATE(LEFT($U29,2),"H"),$R$63:$T$91,3,FALSE),VLOOKUP($U29,$R$63:$T$91,3,FALSE)))+IF(AND($U29&lt;&gt;"",$U29&lt;&gt;"O3/CP",$U$15=E$18,MID($U29,4,1)="2",$U$15&lt;&gt;$U$14),VLOOKUP(CONCATENATE(LEFT($U29,2),"L"),$R$63:$T$91,3,FALSE),0)+IF(AND($U29="O3/CP",$T$14=E$18),VLOOKUP("O3",$R$63:$T$91,3,FALSE)+VLOOKUP("CP",$R$63:$T$91,3,FALSE),0)+IF(AND($V29&lt;&gt;"",$V29&lt;&gt;"--",$V29&lt;&gt;"O3/CP",$V$14=E$18),IF(LEFT($V29,1)="P",VLOOKUP(CONCATENATE(LEFT($V29,2),"H"),$R$63:$T$91,3,FALSE),VLOOKUP($V29,$R$63:$T$91,3,FALSE)))+IF(AND($V29&lt;&gt;"",$V29&lt;&gt;"O3/CP",$V$15=E$18,MID($V29,4,1)="2",$V$15&lt;&gt;$V$14),VLOOKUP(CONCATENATE(LEFT($V29,2),"L"),$R$63:$T$91,3,FALSE),0)+IF(AND($V29="O3/CP",$V$14=E$18),VLOOKUP("O3",$R$63:$T$91,3,FALSE)+VLOOKUP("CP",$R$63:$T$91,3,FALSE),0)+IF(AND($W29&lt;&gt;"",$W29&lt;&gt;"--",$W29&lt;&gt;"O3/CP",$W$14=E$18),IF(LEFT($W29,1)="P",VLOOKUP(CONCATENATE(LEFT($W29,2),"H"),$R$63:$T$91,3,FALSE),VLOOKUP($W29,$R$63:$T$91,3,FALSE)))+IF(AND($W29&lt;&gt;"",$W29&lt;&gt;"O3/CP",$W$15=E$18,MID($W29,4,1)="2",$W$15&lt;&gt;$W$14),VLOOKUP(CONCATENATE(LEFT($W29,2),"L"),$R$63:$T$91,3,FALSE),0)+IF(AND($W29="O3/CP",$W$14=E$18),VLOOKUP("O3",$R$63:$T$91,3,FALSE)+VLOOKUP("CP",$R$63:$T$91,3,FALSE),0)+IF(AND($X29&lt;&gt;"",$X29&lt;&gt;"--",$X29&lt;&gt;"O3/CP",$X$14=E$18),IF(LEFT($X29,1)="P",VLOOKUP(CONCATENATE(LEFT($X29,2),"H"),$R$63:$T$91,3,FALSE),VLOOKUP($X29,$R$63:$T$91,3,FALSE)))+IF(AND($X29&lt;&gt;"",$X29&lt;&gt;"O3/CP",$X$15=E$18,MID($X29,4,1)="2",$X$15&lt;&gt;$X$14),VLOOKUP(CONCATENATE(LEFT($X29,2),"L"),$R$63:$T$91,3,FALSE),0)+IF(AND($X29="O3/CP",$X$14=E$18),VLOOKUP("O3",$R$63:$T$91,3,FALSE)+VLOOKUP("CP",$R$63:$T$91,3,FALSE),0)+IF(AND($Y29&lt;&gt;"",$Y29&lt;&gt;"--",$Y29&lt;&gt;"O3/CP",$Y$14=E$18),IF(LEFT($Y29,1)="P",VLOOKUP(CONCATENATE(LEFT($Y29,2),"H"),$R$63:$T$91,3,FALSE),VLOOKUP($Y29,$R$63:$T$91,3,FALSE)))+IF(AND($Y29&lt;&gt;"",$Y29&lt;&gt;"O3/CP",$Y$15=E$18,MID($Y29,4,1)="2",$Y$15&lt;&gt;$Y$14),VLOOKUP(CONCATENATE(LEFT($Y29,2),"L"),$R$63:$T$91,3,FALSE),0)+IF(AND($Y29="O3/CP",$Y$14=E$18),VLOOKUP("O3",$R$63:$T$91,3,FALSE)+VLOOKUP("CP",$R$63:$T$91,3,FALSE),0)+IF(AND($K$6="CE",'[3]Supply Attribution'!$G$20=E$18),LEFT($S$90,2),0)+IF(AND($X$86&lt;&gt;"Not Set",$X$87=E$18),$X$86,0)</f>
        <v>0</v>
      </c>
      <c r="F29" s="272">
        <f>IF(AND($K29&lt;&gt;"",$K29&lt;&gt;"--",$K29&lt;&gt;"O3/CP",$K$14=F$18),IF(LEFT($K29,1)="P",VLOOKUP(CONCATENATE(LEFT($K29,2),"H"),$R$63:$T$91,3,FALSE),VLOOKUP($K29,$R$63:$T$91,3,FALSE)))+IF(AND($K29&lt;&gt;"",$K29&lt;&gt;"O3/CP",$K$15=F$18,MID($K29,4,1)="2",$K$15&lt;&gt;$K$14),VLOOKUP(CONCATENATE(LEFT($K29,2),"L"),$R$63:$T$91,3,FALSE),0)+IF(AND($K29="O3/CP",$K$14=F$18),VLOOKUP("O3",$R$63:$T$91,3,FALSE)+VLOOKUP("CP",$R$63:$T$91,3,FALSE),0)+IF(AND($L29&lt;&gt;"",$L29&lt;&gt;"--",$L29&lt;&gt;"O3/CP",$L$14=F$18),IF(LEFT($L29,1)="P",VLOOKUP(CONCATENATE(LEFT($L29,2),"H"),$R$63:$T$91,3,FALSE),VLOOKUP($L29,$R$63:$T$91,3,FALSE)))+IF(AND($L29&lt;&gt;"",$L29&lt;&gt;"O3/CP",$L$15=F$18,MID($L29,4,1)="2",$L$15&lt;&gt;$L$14),VLOOKUP(CONCATENATE(LEFT($L29,2),"L"),$R$63:$T$91,3,FALSE),0)+IF(AND($L29="O3/CP",$L$14=F$18),VLOOKUP("O3",$R$63:$T$91,3,FALSE)+VLOOKUP("CP",$R$63:$T$91,3,FALSE),0)+IF(AND($M29&lt;&gt;"",$M29&lt;&gt;"--",$M29&lt;&gt;"O3/CP",$M$14=F$18),IF(LEFT($M29,1)="P",VLOOKUP(CONCATENATE(LEFT($M29,2),"H"),$R$63:$T$91,3,FALSE),VLOOKUP($M29,$R$63:$T$91,3,FALSE)))+IF(AND($M29&lt;&gt;"",$M29&lt;&gt;"O3/CP",$M$15=F$18,MID($M29,4,1)="2",$M$15&lt;&gt;$M$14),VLOOKUP(CONCATENATE(LEFT($M29,2),"L"),$R$63:$T$91,3,FALSE),0)+IF(AND($M29="O3/CP",$M$14=F$18),VLOOKUP("O3",$R$63:$T$91,3,FALSE)+VLOOKUP("CP",$R$63:$T$91,3,FALSE),0)+IF(AND($N29&lt;&gt;"",$N29&lt;&gt;"--",$N29&lt;&gt;"O3/CP",$N$14=F$18),IF(LEFT($N29,1)="P",VLOOKUP(CONCATENATE(LEFT($N29,2),"H"),$R$63:$T$91,3,FALSE),VLOOKUP($N29,$R$63:$T$91,3,FALSE)))+IF(AND($N29&lt;&gt;"",$N29&lt;&gt;"O3/CP",$N$15=F$18,MID($N29,4,1)="2",$N$15&lt;&gt;$N$14),VLOOKUP(CONCATENATE(LEFT($N29,2),"L"),$R$63:$T$91,3,FALSE),0)+IF(AND($N29="O3/CP",$N$14=F$18),VLOOKUP("O3",$R$63:$T$91,3,FALSE)+VLOOKUP("CP",$R$63:$T$91,3,FALSE),0)+IF(AND($O29&lt;&gt;"",$O29&lt;&gt;"--",$O29&lt;&gt;"O3/CP",$O$14=F$18),IF(LEFT($O29,1)="P",VLOOKUP(CONCATENATE(LEFT($O29,2),"H"),$R$63:$T$91,3,FALSE),VLOOKUP($O29,$R$63:$T$91,3,FALSE)))+IF(AND($O29&lt;&gt;"",$O29&lt;&gt;"O3/CP",$O$15=F$18,MID($O29,4,1)="2",$O$15&lt;&gt;$O$14),VLOOKUP(CONCATENATE(LEFT($O29,2),"L"),$R$63:$T$91,3,FALSE),0)+IF(AND($O29="O3/CP",$O$14=F$18),VLOOKUP("O3",$R$63:$T$91,3,FALSE)+VLOOKUP("CP",$R$63:$T$91,3,FALSE),0)+IF(AND($P29&lt;&gt;"",$P29&lt;&gt;"--",$P29&lt;&gt;"O3/CP",$P$14=F$18),IF(LEFT($P29,1)="P",VLOOKUP(CONCATENATE(LEFT($P29,2),"H"),$R$63:$T$91,3,FALSE),VLOOKUP($P29,$R$63:$T$91,3,FALSE)))+IF(AND($P29&lt;&gt;"",$P29&lt;&gt;"O3/CP",$P$15=F$18,MID($P29,4,1)="2",$P$15&lt;&gt;$P$14),VLOOKUP(CONCATENATE(LEFT($P29,2),"L"),$R$63:$T$91,3,FALSE),0)+IF(AND($P29="O3/CP",$P$14=F$18),VLOOKUP("O3",$R$63:$T$91,3,FALSE)+VLOOKUP("CP",$R$63:$T$91,3,FALSE),0)+IF(AND($Q29&lt;&gt;"",$Q29&lt;&gt;"--",$Q29&lt;&gt;"O3/CP",$Q$14=F$18),IF(LEFT($Q29,1)="P",VLOOKUP(CONCATENATE(LEFT($Q29,2),"H"),$R$63:$T$91,3,FALSE),VLOOKUP($Q29,$R$63:$T$91,3,FALSE)))+IF(AND($Q29&lt;&gt;"",$Q29&lt;&gt;"O3/CP",$Q$15=F$18,MID($Q29,4,1)="2",$Q$15&lt;&gt;$Q$14),VLOOKUP(CONCATENATE(LEFT($Q29,2),"L"),$R$63:$T$91,3,FALSE),0)+IF(AND($Q29="O3/CP",$Q$14=F$18),VLOOKUP("O3",$R$63:$T$91,3,FALSE)+VLOOKUP("CP",$R$63:$T$91,3,FALSE),0)+IF(AND($R29&lt;&gt;"",$R29&lt;&gt;"--",$R29&lt;&gt;"O3/CP",$R$14=F$18),IF(LEFT($R29,1)="P",VLOOKUP(CONCATENATE(LEFT($R29,2),"H"),$R$63:$T$91,3,FALSE),VLOOKUP($R29,$R$63:$T$91,3,FALSE)))+IF(AND($R29&lt;&gt;"",$R29&lt;&gt;"O3/CP",$R$15=F$18,MID($R29,4,1)="2",$R$15&lt;&gt;$R$14),VLOOKUP(CONCATENATE(LEFT($R29,2),"L"),$R$63:$T$91,3,FALSE),0)+IF(AND($R29="O3/CP",$R$14=F$18),VLOOKUP("O3",$R$63:$T$91,3,FALSE)+VLOOKUP("CP",$R$63:$T$91,3,FALSE),0)+IF(AND($S29&lt;&gt;"",$S29&lt;&gt;"--",$S29&lt;&gt;"O3/CP",$S$14=F$18),IF(LEFT($S29,1)="P",VLOOKUP(CONCATENATE(LEFT($S29,2),"H"),$R$63:$T$91,3,FALSE),VLOOKUP($S29,$R$63:$T$91,3,FALSE)))+IF(AND($S29&lt;&gt;"",$S29&lt;&gt;"O3/CP",$S$15=F$18,MID($S29,4,1)="2",$S$15&lt;&gt;$S$14),VLOOKUP(CONCATENATE(LEFT($S29,2),"L"),$R$63:$T$91,3,FALSE),0)+IF(AND($S29="O3/CP",$S$14=F$18),VLOOKUP("O3",$R$63:$T$91,3,FALSE)+VLOOKUP("CP",$R$63:$T$91,3,FALSE),0)+IF(AND($T29&lt;&gt;"",$T29&lt;&gt;"--",$T29&lt;&gt;"O3/CP",$T$14=F$18),IF(LEFT($T29,1)="P",VLOOKUP(CONCATENATE(LEFT($T29,2),"H"),$R$63:$T$91,3,FALSE),VLOOKUP($T29,$R$63:$T$91,3,FALSE)))+IF(AND($T29&lt;&gt;"",$T29&lt;&gt;"O3/CP",$T$15=F$18,MID($T29,4,1)="2",$T$15&lt;&gt;$T$14),VLOOKUP(CONCATENATE(LEFT($T29,2),"L"),$R$63:$T$91,3,FALSE),0)+IF(AND($T29="O3/CP",$T$14=F$18),VLOOKUP("O3",$R$63:$T$91,3,FALSE)+VLOOKUP("CP",$R$63:$T$91,3,FALSE),0)+IF(AND($U29&lt;&gt;"",$U29&lt;&gt;"--",$U29&lt;&gt;"O3/CP",$U$14=F$18),IF(LEFT($U29,1)="P",VLOOKUP(CONCATENATE(LEFT($U29,2),"H"),$R$63:$T$91,3,FALSE),VLOOKUP($U29,$R$63:$T$91,3,FALSE)))+IF(AND($U29&lt;&gt;"",$U29&lt;&gt;"O3/CP",$U$15=F$18,MID($U29,4,1)="2",$U$15&lt;&gt;$U$14),VLOOKUP(CONCATENATE(LEFT($U29,2),"L"),$R$63:$T$91,3,FALSE),0)+IF(AND($U29="O3/CP",$T$14=F$18),VLOOKUP("O3",$R$63:$T$91,3,FALSE)+VLOOKUP("CP",$R$63:$T$91,3,FALSE),0)+IF(AND($V29&lt;&gt;"",$V29&lt;&gt;"--",$V29&lt;&gt;"O3/CP",$V$14=F$18),IF(LEFT($V29,1)="P",VLOOKUP(CONCATENATE(LEFT($V29,2),"H"),$R$63:$T$91,3,FALSE),VLOOKUP($V29,$R$63:$T$91,3,FALSE)))+IF(AND($V29&lt;&gt;"",$V29&lt;&gt;"O3/CP",$V$15=F$18,MID($V29,4,1)="2",$V$15&lt;&gt;$V$14),VLOOKUP(CONCATENATE(LEFT($V29,2),"L"),$R$63:$T$91,3,FALSE),0)+IF(AND($V29="O3/CP",$V$14=F$18),VLOOKUP("O3",$R$63:$T$91,3,FALSE)+VLOOKUP("CP",$R$63:$T$91,3,FALSE),0)+IF(AND($W29&lt;&gt;"",$W29&lt;&gt;"--",$W29&lt;&gt;"O3/CP",$W$14=F$18),IF(LEFT($W29,1)="P",VLOOKUP(CONCATENATE(LEFT($W29,2),"H"),$R$63:$T$91,3,FALSE),VLOOKUP($W29,$R$63:$T$91,3,FALSE)))+IF(AND($W29&lt;&gt;"",$W29&lt;&gt;"O3/CP",$W$15=F$18,MID($W29,4,1)="2",$W$15&lt;&gt;$W$14),VLOOKUP(CONCATENATE(LEFT($W29,2),"L"),$R$63:$T$91,3,FALSE),0)+IF(AND($W29="O3/CP",$W$14=F$18),VLOOKUP("O3",$R$63:$T$91,3,FALSE)+VLOOKUP("CP",$R$63:$T$91,3,FALSE),0)+IF(AND($X29&lt;&gt;"",$X29&lt;&gt;"--",$X29&lt;&gt;"O3/CP",$X$14=F$18),IF(LEFT($X29,1)="P",VLOOKUP(CONCATENATE(LEFT($X29,2),"H"),$R$63:$T$91,3,FALSE),VLOOKUP($X29,$R$63:$T$91,3,FALSE)))+IF(AND($X29&lt;&gt;"",$X29&lt;&gt;"O3/CP",$X$15=F$18,MID($X29,4,1)="2",$X$15&lt;&gt;$X$14),VLOOKUP(CONCATENATE(LEFT($X29,2),"L"),$R$63:$T$91,3,FALSE),0)+IF(AND($X29="O3/CP",$X$14=F$18),VLOOKUP("O3",$R$63:$T$91,3,FALSE)+VLOOKUP("CP",$R$63:$T$91,3,FALSE),0)+IF(AND($Y29&lt;&gt;"",$Y29&lt;&gt;"--",$Y29&lt;&gt;"O3/CP",$Y$14=F$18),IF(LEFT($Y29,1)="P",VLOOKUP(CONCATENATE(LEFT($Y29,2),"H"),$R$63:$T$91,3,FALSE),VLOOKUP($Y29,$R$63:$T$91,3,FALSE)))+IF(AND($Y29&lt;&gt;"",$Y29&lt;&gt;"O3/CP",$Y$15=F$18,MID($Y29,4,1)="2",$Y$15&lt;&gt;$Y$14),VLOOKUP(CONCATENATE(LEFT($Y29,2),"L"),$R$63:$T$91,3,FALSE),0)+IF(AND($Y29="O3/CP",$Y$14=F$18),VLOOKUP("O3",$R$63:$T$91,3,FALSE)+VLOOKUP("CP",$R$63:$T$91,3,FALSE),0)+IF(AND($K$6="CE",'[3]Supply Attribution'!$G$20=F$18),LEFT($S$90,2),0)+IF(AND($X$86&lt;&gt;"Not Set",$X$87=F$18),$X$86,0)</f>
        <v>0</v>
      </c>
      <c r="G29" s="271">
        <f>IF(AND($K$6="CE",$T$59="1 Phase"),SUM(A29:F29)-IF(AND($K$14&lt;&gt;$K$15,RIGHT($K29,3)="2SP"),VLOOKUP(CONCATENATE(LEFT($K29,2),"L"),$R$63:$T$90,3,FALSE),0)-IF(AND($L$14&lt;&gt;$L$15,RIGHT($L29,3)="2SP"),VLOOKUP(CONCATENATE(LEFT($L29,2),"L"),$R$63:$T$90,3,FALSE),0)-IF(AND($M$14&lt;&gt;$M$15,RIGHT($M29,3)="2SP"),VLOOKUP(CONCATENATE(LEFT($M29,2),"L"),$R$63:$T$90,3,FALSE),0)-IF(AND($N$14&lt;&gt;$N$15,RIGHT($N29,3)="2SP"),VLOOKUP(CONCATENATE(LEFT($N29,2),"L"),$R$63:$T$90,3,FALSE),0)-IF(AND($O$14&lt;&gt;$O$15,RIGHT($O29,3)="2SP"),VLOOKUP(CONCATENATE(LEFT($O29,2),"L"),$R$63:$T$90,3,FALSE),0)-IF(AND($P$14&lt;&gt;$P$15,RIGHT($P29,3)="2SP"),VLOOKUP(CONCATENATE(LEFT($P29,2),"L"),$R$63:$T$90,3,FALSE),0)-IF(AND($Q$14&lt;&gt;$Q$15,RIGHT($Q29,3)="2SP"),VLOOKUP(CONCATENATE(LEFT($Q29,2),"L"),$R$63:$T$90,3,FALSE),0)-IF(AND($R$14&lt;&gt;$R$15,RIGHT($T29,3)="2SP"),VLOOKUP(CONCATENATE(LEFT($R29,2),"L"),$R$63:$T$90,3,FALSE),0)-IF(AND($S$14&lt;&gt;$S$15,RIGHT($T29,3)="2SP"),VLOOKUP(CONCATENATE(LEFT($S29,2),"L"),$R$63:$T$90,3,FALSE),0)-IF(AND($T$14&lt;&gt;$T$15,RIGHT($T29,3)="2SP"),VLOOKUP(CONCATENATE(LEFT($T29,2),"L"),$R$63:$T$90,3,FALSE),0)-IF(AND($U$14&lt;&gt;$U$15,RIGHT($U29,3)="2SP"),VLOOKUP(CONCATENATE(LEFT($U29,2),"L"),$R$63:$T$90,3,FALSE),0)-IF(AND($V$14&lt;&gt;$V$15,RIGHT($V29,3)="2SP"),VLOOKUP(CONCATENATE(LEFT($V29,2),"L"),$R$63:$T$90,3,FALSE),0)-IF(AND($W$14&lt;&gt;$W$15,RIGHT($W29,3)="2SP"),VLOOKUP(CONCATENATE(LEFT($W29,2),"L"),$R$63:$T$90,3,FALSE),0)-IF(AND($X$14&lt;&gt;$X$15,RIGHT($X29,3)="2SP"),VLOOKUP(CONCATENATE(LEFT($X29,2),"L"),$R$63:$T$90,3,FALSE),0)-IF(AND($Y$14&lt;&gt;$Y$15,RIGHT($Y29,3)="2SP"),VLOOKUP(CONCATENATE(LEFT($Y29,2),"L"),$R$63:$T$90,3,FALSE),0),IF(VLOOKUP(CONCATENATE($A$18,"Line"),'[3]Supply Attribution'!$F$31:$G$37,2,FALSE)=G$18,$A29,0)+IF(VLOOKUP(CONCATENATE($B$18,"Line"),'[3]Supply Attribution'!$F$31:$G$37,2,FALSE)=G$18,$B29,0)+IF(VLOOKUP(CONCATENATE($C$18,"Line"),'[3]Supply Attribution'!$F$31:$G$37,2,FALSE)=G$18,$C29,0)+IF(VLOOKUP(CONCATENATE($D$18,"Line"),'[3]Supply Attribution'!$F$31:$G$37,2,FALSE)=G$18,$D29,0)+IF(VLOOKUP(CONCATENATE($E$18,"Line"),'[3]Supply Attribution'!$F$31:$G$37,2,FALSE)=G$18,$E29,0)+IF(VLOOKUP(CONCATENATE($F$18,"Line"),'[3]Supply Attribution'!$F$31:$G$37,2,FALSE)=G$18,$F29,0)+IF($K$6="UL",LEFT($S$90,2),0)-IF(AND($K$16=G$18,$K$14&lt;&gt;$K$15,$K$16=$K$17,RIGHT($K29,3)="2SP"),VLOOKUP(CONCATENATE(LEFT($K29,2),"L"),$R$63:$T$90,3,FALSE),0)-IF(AND($L$16=G$18,$L$14&lt;&gt;$L$15,$L$16=$L$17,RIGHT($L29,3)="2SP"),VLOOKUP(CONCATENATE(LEFT($L29,2),"L"),$R$63:$T$90,3,FALSE),0)-IF(AND($M$16=G$18,$M$14&lt;&gt;$M$15,$M$16=$M$17,RIGHT($M29,3)="2SP"),VLOOKUP(CONCATENATE(LEFT($M29,2),"L"),$R$63:$T$90,3,FALSE),0)-IF(AND($N$16=G$18,$N$14&lt;&gt;$N$15,$N$16=$N$17,RIGHT($N29,3)="2SP"),VLOOKUP(CONCATENATE(LEFT($N29,2),"L"),$R$63:$T$90,3,FALSE),0)-IF(AND($O$16=G$18,$O$14&lt;&gt;$O$15,$O$16=$O$17,RIGHT($O29,3)="2SP"),VLOOKUP(CONCATENATE(LEFT($O29,2),"L"),$R$63:$T$90,3,FALSE),0)-IF(AND($P$16=G$18,$P$14&lt;&gt;$P$15,$P$16=$P$17,RIGHT($P29,3)="2SP"),VLOOKUP(CONCATENATE(LEFT($P29,2),"L"),$R$63:$T$90,3,FALSE),0)-IF(AND($Q$16=G$18,$Q$14&lt;&gt;$Q$15,$Q$16=$Q$17,RIGHT($Q29,3)="2SP"),VLOOKUP(CONCATENATE(LEFT($Q29,2),"L"),$R$63:$T$90,3,FALSE),0)-IF(AND($R$16=G$18,$R$14&lt;&gt;$R$15,$R$16=$R$17,RIGHT($R29,3)="2SP"),VLOOKUP(CONCATENATE(LEFT($R29,2),"L"),$R$63:$T$90,3,FALSE),0)-IF(AND($S$16=G$18,$S$14&lt;&gt;$S$15,$S$16=$S$17,RIGHT($S29,3)="2SP"),VLOOKUP(CONCATENATE(LEFT($S29,2),"L"),$R$63:$T$90,3,FALSE),0)-IF(AND($T$16=G$18,$T$14&lt;&gt;$T$15,$T$16=$T$17,RIGHT($T29,3)="2SP"),VLOOKUP(CONCATENATE(LEFT($T29,2),"L"),$R$63:$T$90,3,FALSE),0)-IF(AND($U$16=G$18,$U$14&lt;&gt;$U$15,$U$16=$U$17,RIGHT($U29,3)="2SP"),VLOOKUP(CONCATENATE(LEFT($U29,2),"L"),$R$63:$T$90,3,FALSE),0)-IF(AND($V$16=G$18,$V$14&lt;&gt;$V$15,$V$16=$V$17,RIGHT($V29,3)="2SP"),VLOOKUP(CONCATENATE(LEFT($V29,2),"L"),$R$63:$T$90,3,FALSE),0)-IF(AND($W$16=G$18,$W$14&lt;&gt;$W$15,$W$16=$W$17,RIGHT($W29,3)="2SP"),VLOOKUP(CONCATENATE(LEFT($W29,2),"L"),$R$63:$T$90,3,FALSE),0)-IF(AND($X$16=G$18,$X$14&lt;&gt;$X$15,$X$16=$X$17,RIGHT($X29,3)="2SP"),VLOOKUP(CONCATENATE(LEFT($X29,2),"L"),$R$63:$T$90,3,FALSE),0)-IF(AND($Y$16=G$18,$Y$14&lt;&gt;$Y$15,$Y$16=$Y$17,RIGHT($Y29,3)="2SP"),VLOOKUP(CONCATENATE(LEFT($Y29,2),"L"),$R$63:$T$90,3,FALSE),0))</f>
        <v>43</v>
      </c>
      <c r="H29" s="271" t="str">
        <f>IF(H$18&lt;&gt;"",IF(VLOOKUP(CONCATENATE($A$18,"Line"),'Supply Attribution'!$F$31:$G$37,2,FALSE)=H$18,$A29,0)+IF(VLOOKUP(CONCATENATE($B$18,"Line"),'Supply Attribution'!$F$31:$G$37,2,FALSE)=H$18,$B29,0)+IF(VLOOKUP(CONCATENATE($C$18,"Line"),'Supply Attribution'!$F$31:$G$37,2,FALSE)=H$18,$C29,0)+IF(VLOOKUP(CONCATENATE($D$18,"Line"),'Supply Attribution'!$F$31:$G$37,2,FALSE)=H$18,$D29,0)+IF(VLOOKUP(CONCATENATE($E$18,"Line"),'Supply Attribution'!$F$31:$G$37,2,FALSE)=H$18,$E29,0)+IF(VLOOKUP(CONCATENATE($F$18,"Line"),'Supply Attribution'!$F$31:$G$37,2,FALSE)=H$18,$F29,0)+IF($K$6="UL",LEFT($S$90,2),0)-IF(AND($K$16=H$18,$K$14&lt;&gt;$K$15,$K$16=$K$17,RIGHT($K29,3)="2SP"),VLOOKUP(CONCATENATE(LEFT($K29,2),"L"),$R$63:$T$90,3,FALSE),0)-IF(AND($L$16=H$18,$L$14&lt;&gt;$L$15,$L$16=$L$17,RIGHT($L29,3)="2SP"),VLOOKUP(CONCATENATE(LEFT($L29,2),"L"),$R$63:$T$90,3,FALSE),0)-IF(AND($M$16=H$18,$M$14&lt;&gt;$M$15,$M$16=$M$17,RIGHT($M29,3)="2SP"),VLOOKUP(CONCATENATE(LEFT($M29,2),"L"),$R$63:$T$90,3,FALSE),0)-IF(AND($N$16=H$18,$N$14&lt;&gt;$N$15,$N$16=$N$17,RIGHT($N29,3)="2SP"),VLOOKUP(CONCATENATE(LEFT($N29,2),"L"),$R$63:$T$90,3,FALSE),0)-IF(AND($O$16=H$18,$O$14&lt;&gt;$O$15,$O$16=$O$17,RIGHT($O29,3)="2SP"),VLOOKUP(CONCATENATE(LEFT($O29,2),"L"),$R$63:$T$90,3,FALSE),0)-IF(AND($P$16=H$18,$P$14&lt;&gt;$P$15,$P$16=$P$17,RIGHT($P29,3)="2SP"),VLOOKUP(CONCATENATE(LEFT($P29,2),"L"),$R$63:$T$90,3,FALSE),0)-IF(AND($Q$16=H$18,$Q$14&lt;&gt;$Q$15,$Q$16=$Q$17,RIGHT($Q29,3)="2SP"),VLOOKUP(CONCATENATE(LEFT($Q29,2),"L"),$R$63:$T$90,3,FALSE),0)-IF(AND($T$16=H$18,$T$14&lt;&gt;$T$15,$T$16=$T$17,RIGHT($T29,3)="2SP"),VLOOKUP(CONCATENATE(LEFT($T29,2),"L"),$R$63:$T$90,3,FALSE),0)-IF(AND($U$16=H$18,$U$14&lt;&gt;$U$15,$U$16=$U$17,RIGHT($U29,3)="2SP"),VLOOKUP(CONCATENATE(LEFT($U29,2),"L"),$R$63:$T$90,3,FALSE),0)-IF(AND($V$16=H$18,$V$14&lt;&gt;$V$15,$V$16=$V$17,RIGHT($V29,3)="2SP"),VLOOKUP(CONCATENATE(LEFT($V29,2),"L"),$R$63:$T$90,3,FALSE),0)-IF(AND($W$16=H$18,$W$14&lt;&gt;$W$15,$W$16=$W$17,RIGHT($W29,3)="2SP"),VLOOKUP(CONCATENATE(LEFT($W29,2),"L"),$R$63:$T$90,3,FALSE),0)-IF(AND($X$16=H$18,$X$14&lt;&gt;$X$15,$X$16=$X$17,RIGHT($X29,3)="2SP"),VLOOKUP(CONCATENATE(LEFT($X29,2),"L"),$R$63:$T$90,3,FALSE),0)-IF(AND($Y$16=H$18,$Y$14&lt;&gt;$Y$15,$Y$16=$Y$17,RIGHT($Y29,3)="2SP"),VLOOKUP(CONCATENATE(LEFT($Y29,2),"L"),$R$63:$T$90,3,FALSE),0)+IF(AND($K$6="CE",$T$59="2 Phases",H$18&lt;&gt;""),IF(VLOOKUP(CONCATENATE($A$18,"Line"),'Supply Attribution'!$F$31:$G$37,2,FALSE)="Line3",$A29,0)+IF(VLOOKUP(CONCATENATE($B$18,"Line"),'Supply Attribution'!$F$31:$G$37,2,FALSE)="Line3",$B29,0)+IF(VLOOKUP(CONCATENATE($C$18,"Line"),'Supply Attribution'!$F$31:$G$37,2,FALSE)="Line3",$C29,0)+IF(VLOOKUP(CONCATENATE($D$18,"Line"),'Supply Attribution'!$F$31:$G$37,2,FALSE)="Line3",$D29,0)+IF(VLOOKUP(CONCATENATE($E$18,"Line"),'Supply Attribution'!$F$31:$G$37,2,FALSE)="Line3",$E29,0)+IF(VLOOKUP(CONCATENATE($F$18,"Line"),'Supply Attribution'!$F$31:$G$37,2,FALSE)="Line3",$F29,0)-IF(AND($K$16=I$18,$K$14&lt;&gt;$K$15,$K$16=$K$17,RIGHT($K29,3)="2SP"),VLOOKUP(CONCATENATE(LEFT($K29,2),"L"),$R$63:$T$90,3,FALSE),0)-IF(AND($L$16=I$18,$L$14&lt;&gt;$L$15,$L$16=$L$17,RIGHT($L29,3)="2SP"),VLOOKUP(CONCATENATE(LEFT($L29,2),"L"),$R$63:$T$90,3,FALSE),0)-IF(AND($M$16=I$18,$M$14&lt;&gt;$M$15,$M$16=$M$17,RIGHT($M29,3)="2SP"),VLOOKUP(CONCATENATE(LEFT($M29,2),"L"),$R$63:$T$90,3,FALSE),0)-IF(AND($N$16=I$18,$N$14&lt;&gt;$N$15,$N$16=$N$17,RIGHT($N29,3)="2SP"),VLOOKUP(CONCATENATE(LEFT($N29,2),"L"),$R$63:$T$90,3,FALSE),0)-IF(AND($O$16=I$18,$O$14&lt;&gt;$O$15,$O$16=$O$17,RIGHT($O29,3)="2SP"),VLOOKUP(CONCATENATE(LEFT($O29,2),"L"),$R$63:$T$90,3,FALSE),0)-IF(AND($P$16=I$18,$P$14&lt;&gt;$P$15,$P$16=$P$17,RIGHT($P29,3)="2SP"),VLOOKUP(CONCATENATE(LEFT($P29,2),"L"),$R$63:$T$90,3,FALSE),0)-IF(AND($Q$16=I$18,$Q$14&lt;&gt;$Q$15,$Q$16=$Q$17,RIGHT($Q29,3)="2SP"),VLOOKUP(CONCATENATE(LEFT($Q29,2),"L"),$R$63:$T$90,3,FALSE),0)-IF(AND($T$16=I$18,$T$14&lt;&gt;$T$15,$T$16=$T$17,RIGHT($T29,3)="2SP"),VLOOKUP(CONCATENATE(LEFT($T29,2),"L"),$R$63:$T$90,3,FALSE),0)-IF(AND($U$16=I$18,$U$14&lt;&gt;$U$15,$U$16=$U$17,RIGHT($U29,3)="2SP"),VLOOKUP(CONCATENATE(LEFT($U29,2),"L"),$R$63:$T$90,3,FALSE),0)-IF(AND($V$16=I$18,$V$14&lt;&gt;$V$15,$V$16=$V$17,RIGHT($V29,3)="2SP"),VLOOKUP(CONCATENATE(LEFT($V29,2),"L"),$R$63:$T$90,3,FALSE),0)-IF(AND($W$16=I$18,$W$14&lt;&gt;$W$15,$W$16=$W$17,RIGHT($W29,3)="2SP"),VLOOKUP(CONCATENATE(LEFT($W29,2),"L"),$R$63:$T$90,3,FALSE),0)-IF(AND($X$16=I$18,$X$14&lt;&gt;$X$15,$X$16=$X$17,RIGHT($X29,3)="2SP"),VLOOKUP(CONCATENATE(LEFT($X29,2),"L"),$R$63:$T$90,3,FALSE),0)-IF(AND($Y$16=I$18,$Y$14&lt;&gt;$Y$15,$Y$16=$Y$17,RIGHT($Y29,3)="2SP"),VLOOKUP(CONCATENATE(LEFT($Y29,2),"L"),$R$63:$T$90,3,FALSE),0),0),"")</f>
        <v/>
      </c>
      <c r="I29" s="271" t="str">
        <f>IF(I$18&lt;&gt;"",IF(VLOOKUP(CONCATENATE($A$18,"Line"),'Supply Attribution'!$F$31:$G$37,2,FALSE)=I$18,$A29,0)+IF(VLOOKUP(CONCATENATE($B$18,"Line"),'Supply Attribution'!$F$31:$G$37,2,FALSE)=I$18,$B29,0)+IF(VLOOKUP(CONCATENATE($C$18,"Line"),'Supply Attribution'!$F$31:$G$37,2,FALSE)=I$18,$C29,0)+IF(VLOOKUP(CONCATENATE($D$18,"Line"),'Supply Attribution'!$F$31:$G$37,2,FALSE)=I$18,$D29,0)+IF(VLOOKUP(CONCATENATE($E$18,"Line"),'Supply Attribution'!$F$31:$G$37,2,FALSE)=I$18,$E29,0)+IF(VLOOKUP(CONCATENATE($F$18,"Line"),'Supply Attribution'!$F$31:$G$37,2,FALSE)=I$18,$F29,0)+IF($K$6="UL",LEFT($S$90,2),0)-IF(AND($K$16=I$18,$K$14&lt;&gt;$K$15,$K$16=$K$17,RIGHT($K29,3)="2SP"),VLOOKUP(CONCATENATE(LEFT($K29,2),"L"),$R$63:$T$90,3,FALSE),0)-IF(AND($L$16=I$18,$L$14&lt;&gt;$L$15,$L$16=$L$17,RIGHT($L29,3)="2SP"),VLOOKUP(CONCATENATE(LEFT($L29,2),"L"),$R$63:$T$90,3,FALSE),0)-IF(AND($M$16=I$18,$M$14&lt;&gt;$M$15,$M$16=$M$17,RIGHT($M29,3)="2SP"),VLOOKUP(CONCATENATE(LEFT($M29,2),"L"),$R$63:$T$90,3,FALSE),0)-IF(AND($N$16=I$18,$N$14&lt;&gt;$N$15,$N$16=$N$17,RIGHT($N29,3)="2SP"),VLOOKUP(CONCATENATE(LEFT($N29,2),"L"),$R$63:$T$90,3,FALSE),0)-IF(AND($O$16=I$18,$O$14&lt;&gt;$O$15,$O$16=$O$17,RIGHT($O29,3)="2SP"),VLOOKUP(CONCATENATE(LEFT($O29,2),"L"),$R$63:$T$90,3,FALSE),0)-IF(AND($P$16=I$18,$P$14&lt;&gt;$P$15,$P$16=$P$17,RIGHT($P29,3)="2SP"),VLOOKUP(CONCATENATE(LEFT($P29,2),"L"),$R$63:$T$90,3,FALSE),0)-IF(AND($Q$16=I$18,$Q$14&lt;&gt;$Q$15,$Q$16=$Q$17,RIGHT($Q29,3)="2SP"),VLOOKUP(CONCATENATE(LEFT($Q29,2),"L"),$R$63:$T$90,3,FALSE),0)-IF(AND($T$16=I$18,$T$14&lt;&gt;$T$15,$T$16=$T$17,RIGHT($T29,3)="2SP"),VLOOKUP(CONCATENATE(LEFT($T29,2),"L"),$R$63:$T$90,3,FALSE),0)-IF(AND($U$16=I$18,$U$14&lt;&gt;$U$15,$U$16=$U$17,RIGHT($U29,3)="2SP"),VLOOKUP(CONCATENATE(LEFT($U29,2),"L"),$R$63:$T$90,3,FALSE),0)-IF(AND($V$16=I$18,$V$14&lt;&gt;$V$15,$V$16=$V$17,RIGHT($V29,3)="2SP"),VLOOKUP(CONCATENATE(LEFT($V29,2),"L"),$R$63:$T$90,3,FALSE),0)-IF(AND($W$16=I$18,$W$14&lt;&gt;$W$15,$W$16=$W$17,RIGHT($W29,3)="2SP"),VLOOKUP(CONCATENATE(LEFT($W29,2),"L"),$R$63:$T$90,3,FALSE),0)-IF(AND($X$16=I$18,$X$14&lt;&gt;$X$15,$X$16=$X$17,RIGHT($X29,3)="2SP"),VLOOKUP(CONCATENATE(LEFT($X29,2),"L"),$R$63:$T$90,3,FALSE),0)-IF(AND($Y$16=I$18,$Y$14&lt;&gt;$Y$15,$Y$16=$Y$17,RIGHT($Y29,3)="2SP"),VLOOKUP(CONCATENATE(LEFT($Y29,2),"L"),$R$63:$T$90,3,FALSE),0),"")</f>
        <v/>
      </c>
      <c r="J29" s="129">
        <f t="shared" si="1"/>
        <v>9</v>
      </c>
      <c r="K29" s="130" t="s">
        <v>22</v>
      </c>
      <c r="L29" s="130" t="s">
        <v>390</v>
      </c>
      <c r="M29" s="130" t="s">
        <v>391</v>
      </c>
      <c r="N29" s="130" t="s">
        <v>24</v>
      </c>
      <c r="O29" s="130" t="s">
        <v>286</v>
      </c>
      <c r="P29" s="130"/>
      <c r="Q29" s="130"/>
      <c r="R29" s="130"/>
      <c r="S29" s="130"/>
      <c r="T29" s="130"/>
      <c r="U29" s="130"/>
      <c r="V29" s="130"/>
      <c r="W29" s="130"/>
      <c r="X29" s="130"/>
      <c r="Y29" s="130"/>
      <c r="Z29" s="131" t="s">
        <v>24</v>
      </c>
      <c r="AA29" s="131" t="s">
        <v>357</v>
      </c>
      <c r="AB29" s="132" t="s">
        <v>164</v>
      </c>
      <c r="AC29" s="132" t="s">
        <v>568</v>
      </c>
      <c r="AD29" s="132" t="s">
        <v>164</v>
      </c>
      <c r="AE29" s="133">
        <f t="shared" si="0"/>
        <v>9</v>
      </c>
      <c r="AF29" s="78"/>
    </row>
    <row r="30" spans="1:32" ht="13.15" customHeight="1">
      <c r="A30" s="270">
        <f>IF(AND($K30&lt;&gt;"",$K30&lt;&gt;"--",$K30&lt;&gt;"O3/CP",$K$14=A$18),IF(LEFT($K30,1)="P",VLOOKUP(CONCATENATE(LEFT($K30,2),"H"),$R$63:$T$91,3,FALSE),VLOOKUP($K30,$R$63:$T$91,3,FALSE)))+IF(AND($K30&lt;&gt;"",$K30&lt;&gt;"O3/CP",$K$15=A$18,MID($K30,4,1)="2",$K$15&lt;&gt;$K$14),VLOOKUP(CONCATENATE(LEFT($K30,2),"L"),$R$63:$T$91,3,FALSE),0)+IF(AND($K30="O3/CP",$K$14=A$18),VLOOKUP("O3",$R$63:$T$91,3,FALSE)+VLOOKUP("CP",$R$63:$T$91,3,FALSE),0)+IF(AND($L30&lt;&gt;"",$L30&lt;&gt;"--",$L30&lt;&gt;"O3/CP",$L$14=A$18),IF(LEFT($L30,1)="P",VLOOKUP(CONCATENATE(LEFT($L30,2),"H"),$R$63:$T$91,3,FALSE),VLOOKUP($L30,$R$63:$T$91,3,FALSE)))+IF(AND($L30&lt;&gt;"",$L30&lt;&gt;"O3/CP",$L$15=A$18,MID($L30,4,1)="2",$L$15&lt;&gt;$L$14),VLOOKUP(CONCATENATE(LEFT($L30,2),"L"),$R$63:$T$91,3,FALSE),0)+IF(AND($L30="O3/CP",$L$14=A$18),VLOOKUP("O3",$R$63:$T$91,3,FALSE)+VLOOKUP("CP",$R$63:$T$91,3,FALSE),0)+IF(AND($M30&lt;&gt;"",$M30&lt;&gt;"--",$M30&lt;&gt;"O3/CP",$M$14=A$18),IF(LEFT($M30,1)="P",VLOOKUP(CONCATENATE(LEFT($M30,2),"H"),$R$63:$T$91,3,FALSE),VLOOKUP($M30,$R$63:$T$91,3,FALSE)))+IF(AND($M30&lt;&gt;"",$M30&lt;&gt;"O3/CP",$M$15=A$18,MID($M30,4,1)="2",$M$15&lt;&gt;$M$14),VLOOKUP(CONCATENATE(LEFT($M30,2),"L"),$R$63:$T$91,3,FALSE),0)+IF(AND($M30="O3/CP",$M$14=A$18),VLOOKUP("O3",$R$63:$T$91,3,FALSE)+VLOOKUP("CP",$R$63:$T$91,3,FALSE),0)+IF(AND($N30&lt;&gt;"",$N30&lt;&gt;"--",$N30&lt;&gt;"O3/CP",$N$14=A$18),IF(LEFT($N30,1)="P",VLOOKUP(CONCATENATE(LEFT($N30,2),"H"),$R$63:$T$91,3,FALSE),VLOOKUP($N30,$R$63:$T$91,3,FALSE)))+IF(AND($N30&lt;&gt;"",$N30&lt;&gt;"O3/CP",$N$15=A$18,MID($N30,4,1)="2",$N$15&lt;&gt;$N$14),VLOOKUP(CONCATENATE(LEFT($N30,2),"L"),$R$63:$T$91,3,FALSE),0)+IF(AND($N30="O3/CP",$N$14=A$18),VLOOKUP("O3",$R$63:$T$91,3,FALSE)+VLOOKUP("CP",$R$63:$T$91,3,FALSE),0)+IF(AND($O30&lt;&gt;"",$O30&lt;&gt;"--",$O30&lt;&gt;"O3/CP",$O$14=A$18),IF(LEFT($O30,1)="P",VLOOKUP(CONCATENATE(LEFT($O30,2),"H"),$R$63:$T$91,3,FALSE),VLOOKUP($O30,$R$63:$T$91,3,FALSE)))+IF(AND($O30&lt;&gt;"",$O30&lt;&gt;"O3/CP",$O$15=A$18,MID($O30,4,1)="2",$O$15&lt;&gt;$O$14),VLOOKUP(CONCATENATE(LEFT($O30,2),"L"),$R$63:$T$91,3,FALSE),0)+IF(AND($O30="O3/CP",$O$14=A$18),VLOOKUP("O3",$R$63:$T$91,3,FALSE)+VLOOKUP("CP",$R$63:$T$91,3,FALSE),0)+IF(AND($P30&lt;&gt;"",$P30&lt;&gt;"--",$P30&lt;&gt;"O3/CP",$P$14=A$18),IF(LEFT($P30,1)="P",VLOOKUP(CONCATENATE(LEFT($P30,2),"H"),$R$63:$T$91,3,FALSE),VLOOKUP($P30,$R$63:$T$91,3,FALSE)))+IF(AND($P30&lt;&gt;"",$P30&lt;&gt;"O3/CP",$P$15=A$18,MID($P30,4,1)="2",$P$15&lt;&gt;$P$14),VLOOKUP(CONCATENATE(LEFT($P30,2),"L"),$R$63:$T$91,3,FALSE),0)+IF(AND($P30="O3/CP",$P$14=A$18),VLOOKUP("O3",$R$63:$T$91,3,FALSE)+VLOOKUP("CP",$R$63:$T$91,3,FALSE),0)+IF(AND($Q30&lt;&gt;"",$Q30&lt;&gt;"--",$Q30&lt;&gt;"O3/CP",$Q$14=A$18),IF(LEFT($Q30,1)="P",VLOOKUP(CONCATENATE(LEFT($Q30,2),"H"),$R$63:$T$91,3,FALSE),VLOOKUP($Q30,$R$63:$T$91,3,FALSE)))+IF(AND($Q30&lt;&gt;"",$Q30&lt;&gt;"O3/CP",$Q$15=A$18,MID($Q30,4,1)="2",$Q$15&lt;&gt;$Q$14),VLOOKUP(CONCATENATE(LEFT($Q30,2),"L"),$R$63:$T$91,3,FALSE),0)+IF(AND($Q30="O3/CP",$Q$14=A$18),VLOOKUP("O3",$R$63:$T$91,3,FALSE)+VLOOKUP("CP",$R$63:$T$91,3,FALSE),0)+IF(AND($R30&lt;&gt;"",$R30&lt;&gt;"--",$R30&lt;&gt;"O3/CP",$R$14=A$18),IF(LEFT($R30,1)="P",VLOOKUP(CONCATENATE(LEFT($R30,2),"H"),$R$63:$T$91,3,FALSE),VLOOKUP($R30,$R$63:$T$91,3,FALSE)))+IF(AND($R30&lt;&gt;"",$R30&lt;&gt;"O3/CP",$R$15=A$18,MID($R30,4,1)="2",$R$15&lt;&gt;$R$14),VLOOKUP(CONCATENATE(LEFT($R30,2),"L"),$R$63:$T$91,3,FALSE),0)+IF(AND($R30="O3/CP",$R$14=A$18),VLOOKUP("O3",$R$63:$T$91,3,FALSE)+VLOOKUP("CP",$R$63:$T$91,3,FALSE),0)+IF(AND($S30&lt;&gt;"",$S30&lt;&gt;"--",$S30&lt;&gt;"O3/CP",$S$14=A$18),IF(LEFT($S30,1)="P",VLOOKUP(CONCATENATE(LEFT($S30,2),"H"),$R$63:$T$91,3,FALSE),VLOOKUP($S30,$R$63:$T$91,3,FALSE)))+IF(AND($S30&lt;&gt;"",$S30&lt;&gt;"O3/CP",$S$15=A$18,MID($S30,4,1)="2",$S$15&lt;&gt;$S$14),VLOOKUP(CONCATENATE(LEFT($S30,2),"L"),$R$63:$T$91,3,FALSE),0)+IF(AND($S30="O3/CP",$S$14=A$18),VLOOKUP("O3",$R$63:$T$91,3,FALSE)+VLOOKUP("CP",$R$63:$T$91,3,FALSE),0)+IF(AND($T30&lt;&gt;"",$T30&lt;&gt;"--",$T30&lt;&gt;"O3/CP",$T$14=A$18),IF(LEFT($T30,1)="P",VLOOKUP(CONCATENATE(LEFT($T30,2),"H"),$R$63:$T$91,3,FALSE),VLOOKUP($T30,$R$63:$T$91,3,FALSE)))+IF(AND($T30&lt;&gt;"",$T30&lt;&gt;"O3/CP",$T$15=A$18,MID($T30,4,1)="2",$T$15&lt;&gt;$T$14),VLOOKUP(CONCATENATE(LEFT($T30,2),"L"),$R$63:$T$91,3,FALSE),0)+IF(AND($T30="O3/CP",$T$14=A$18),VLOOKUP("O3",$R$63:$T$91,3,FALSE)+VLOOKUP("CP",$R$63:$T$91,3,FALSE),0)+IF(AND($U30&lt;&gt;"",$U30&lt;&gt;"--",$U30&lt;&gt;"O3/CP",$U$14=A$18),IF(LEFT($U30,1)="P",VLOOKUP(CONCATENATE(LEFT($U30,2),"H"),$R$63:$T$91,3,FALSE),VLOOKUP($U30,$R$63:$T$91,3,FALSE)))+IF(AND($U30&lt;&gt;"",$U30&lt;&gt;"O3/CP",$U$15=A$18,MID($U30,4,1)="2",$U$15&lt;&gt;$U$14),VLOOKUP(CONCATENATE(LEFT($U30,2),"L"),$R$63:$T$91,3,FALSE),0)+IF(AND($U30="O3/CP",$T$14=A$18),VLOOKUP("O3",$R$63:$T$91,3,FALSE)+VLOOKUP("CP",$R$63:$T$91,3,FALSE),0)+IF(AND($V30&lt;&gt;"",$V30&lt;&gt;"--",$V30&lt;&gt;"O3/CP",$V$14=A$18),IF(LEFT($V30,1)="P",VLOOKUP(CONCATENATE(LEFT($V30,2),"H"),$R$63:$T$91,3,FALSE),VLOOKUP($V30,$R$63:$T$91,3,FALSE)))+IF(AND($V30&lt;&gt;"",$V30&lt;&gt;"O3/CP",$V$15=A$18,MID($V30,4,1)="2",$V$15&lt;&gt;$V$14),VLOOKUP(CONCATENATE(LEFT($V30,2),"L"),$R$63:$T$91,3,FALSE),0)+IF(AND($V30="O3/CP",$V$14=A$18),VLOOKUP("O3",$R$63:$T$91,3,FALSE)+VLOOKUP("CP",$R$63:$T$91,3,FALSE),0)+IF(AND($W30&lt;&gt;"",$W30&lt;&gt;"--",$W30&lt;&gt;"O3/CP",$W$14=A$18),IF(LEFT($W30,1)="P",VLOOKUP(CONCATENATE(LEFT($W30,2),"H"),$R$63:$T$91,3,FALSE),VLOOKUP($W30,$R$63:$T$91,3,FALSE)))+IF(AND($W30&lt;&gt;"",$W30&lt;&gt;"O3/CP",$W$15=A$18,MID($W30,4,1)="2",$W$15&lt;&gt;$W$14),VLOOKUP(CONCATENATE(LEFT($W30,2),"L"),$R$63:$T$91,3,FALSE),0)+IF(AND($W30="O3/CP",$W$14=A$18),VLOOKUP("O3",$R$63:$T$91,3,FALSE)+VLOOKUP("CP",$R$63:$T$91,3,FALSE),0)+IF(AND($X30&lt;&gt;"",$X30&lt;&gt;"--",$X30&lt;&gt;"O3/CP",$X$14=A$18),IF(LEFT($X30,1)="P",VLOOKUP(CONCATENATE(LEFT($X30,2),"H"),$R$63:$T$91,3,FALSE),VLOOKUP($X30,$R$63:$T$91,3,FALSE)))+IF(AND($X30&lt;&gt;"",$X30&lt;&gt;"O3/CP",$X$15=A$18,MID($X30,4,1)="2",$X$15&lt;&gt;$X$14),VLOOKUP(CONCATENATE(LEFT($X30,2),"L"),$R$63:$T$91,3,FALSE),0)+IF(AND($X30="O3/CP",$X$14=A$18),VLOOKUP("O3",$R$63:$T$91,3,FALSE)+VLOOKUP("CP",$R$63:$T$91,3,FALSE),0)+IF(AND($Y30&lt;&gt;"",$Y30&lt;&gt;"--",$Y30&lt;&gt;"O3/CP",$Y$14=A$18),IF(LEFT($Y30,1)="P",VLOOKUP(CONCATENATE(LEFT($Y30,2),"H"),$R$63:$T$91,3,FALSE),VLOOKUP($Y30,$R$63:$T$91,3,FALSE)))+IF(AND($Y30&lt;&gt;"",$Y30&lt;&gt;"O3/CP",$Y$15=A$18,MID($Y30,4,1)="2",$Y$15&lt;&gt;$Y$14),VLOOKUP(CONCATENATE(LEFT($Y30,2),"L"),$R$63:$T$91,3,FALSE),0)+IF(AND($Y30="O3/CP",$Y$14=A$18),VLOOKUP("O3",$R$63:$T$91,3,FALSE)+VLOOKUP("CP",$R$63:$T$91,3,FALSE),0)+IF(AND($K$6="CE",'[3]Supply Attribution'!$G$20=A$18),LEFT($S$90,2),0)+IF(AND($X$86&lt;&gt;"Not Set",$X$87=A$18),$X$86,0)</f>
        <v>13</v>
      </c>
      <c r="B30" s="269">
        <f>IF(AND($K30&lt;&gt;"",$K30&lt;&gt;"--",$K30&lt;&gt;"O3/CP",$K$14=B$18),IF(LEFT($K30,1)="P",VLOOKUP(CONCATENATE(LEFT($K30,2),"H"),$R$63:$T$91,3,FALSE),VLOOKUP($K30,$R$63:$T$91,3,FALSE)))+IF(AND($K30&lt;&gt;"",$K30&lt;&gt;"O3/CP",$K$15=B$18,MID($K30,4,1)="2",$K$15&lt;&gt;$K$14),VLOOKUP(CONCATENATE(LEFT($K30,2),"L"),$R$63:$T$91,3,FALSE),0)+IF(AND($K30="O3/CP",$K$14=B$18),VLOOKUP("O3",$R$63:$T$91,3,FALSE)+VLOOKUP("CP",$R$63:$T$91,3,FALSE),0)+IF(AND($L30&lt;&gt;"",$L30&lt;&gt;"--",$L30&lt;&gt;"O3/CP",$L$14=B$18),IF(LEFT($L30,1)="P",VLOOKUP(CONCATENATE(LEFT($L30,2),"H"),$R$63:$T$91,3,FALSE),VLOOKUP($L30,$R$63:$T$91,3,FALSE)))+IF(AND($L30&lt;&gt;"",$L30&lt;&gt;"O3/CP",$L$15=B$18,MID($L30,4,1)="2",$L$15&lt;&gt;$L$14),VLOOKUP(CONCATENATE(LEFT($L30,2),"L"),$R$63:$T$91,3,FALSE),0)+IF(AND($L30="O3/CP",$L$14=B$18),VLOOKUP("O3",$R$63:$T$91,3,FALSE)+VLOOKUP("CP",$R$63:$T$91,3,FALSE),0)+IF(AND($M30&lt;&gt;"",$M30&lt;&gt;"--",$M30&lt;&gt;"O3/CP",$M$14=B$18),IF(LEFT($M30,1)="P",VLOOKUP(CONCATENATE(LEFT($M30,2),"H"),$R$63:$T$91,3,FALSE),VLOOKUP($M30,$R$63:$T$91,3,FALSE)))+IF(AND($M30&lt;&gt;"",$M30&lt;&gt;"O3/CP",$M$15=B$18,MID($M30,4,1)="2",$M$15&lt;&gt;$M$14),VLOOKUP(CONCATENATE(LEFT($M30,2),"L"),$R$63:$T$91,3,FALSE),0)+IF(AND($M30="O3/CP",$M$14=B$18),VLOOKUP("O3",$R$63:$T$91,3,FALSE)+VLOOKUP("CP",$R$63:$T$91,3,FALSE),0)+IF(AND($N30&lt;&gt;"",$N30&lt;&gt;"--",$N30&lt;&gt;"O3/CP",$N$14=B$18),IF(LEFT($N30,1)="P",VLOOKUP(CONCATENATE(LEFT($N30,2),"H"),$R$63:$T$91,3,FALSE),VLOOKUP($N30,$R$63:$T$91,3,FALSE)))+IF(AND($N30&lt;&gt;"",$N30&lt;&gt;"O3/CP",$N$15=B$18,MID($N30,4,1)="2",$N$15&lt;&gt;$N$14),VLOOKUP(CONCATENATE(LEFT($N30,2),"L"),$R$63:$T$91,3,FALSE),0)+IF(AND($N30="O3/CP",$N$14=B$18),VLOOKUP("O3",$R$63:$T$91,3,FALSE)+VLOOKUP("CP",$R$63:$T$91,3,FALSE),0)+IF(AND($O30&lt;&gt;"",$O30&lt;&gt;"--",$O30&lt;&gt;"O3/CP",$O$14=B$18),IF(LEFT($O30,1)="P",VLOOKUP(CONCATENATE(LEFT($O30,2),"H"),$R$63:$T$91,3,FALSE),VLOOKUP($O30,$R$63:$T$91,3,FALSE)))+IF(AND($O30&lt;&gt;"",$O30&lt;&gt;"O3/CP",$O$15=B$18,MID($O30,4,1)="2",$O$15&lt;&gt;$O$14),VLOOKUP(CONCATENATE(LEFT($O30,2),"L"),$R$63:$T$91,3,FALSE),0)+IF(AND($O30="O3/CP",$O$14=B$18),VLOOKUP("O3",$R$63:$T$91,3,FALSE)+VLOOKUP("CP",$R$63:$T$91,3,FALSE),0)+IF(AND($P30&lt;&gt;"",$P30&lt;&gt;"--",$P30&lt;&gt;"O3/CP",$P$14=B$18),IF(LEFT($P30,1)="P",VLOOKUP(CONCATENATE(LEFT($P30,2),"H"),$R$63:$T$91,3,FALSE),VLOOKUP($P30,$R$63:$T$91,3,FALSE)))+IF(AND($P30&lt;&gt;"",$P30&lt;&gt;"O3/CP",$P$15=B$18,MID($P30,4,1)="2",$P$15&lt;&gt;$P$14),VLOOKUP(CONCATENATE(LEFT($P30,2),"L"),$R$63:$T$91,3,FALSE),0)+IF(AND($P30="O3/CP",$P$14=B$18),VLOOKUP("O3",$R$63:$T$91,3,FALSE)+VLOOKUP("CP",$R$63:$T$91,3,FALSE),0)+IF(AND($Q30&lt;&gt;"",$Q30&lt;&gt;"--",$Q30&lt;&gt;"O3/CP",$Q$14=B$18),IF(LEFT($Q30,1)="P",VLOOKUP(CONCATENATE(LEFT($Q30,2),"H"),$R$63:$T$91,3,FALSE),VLOOKUP($Q30,$R$63:$T$91,3,FALSE)))+IF(AND($Q30&lt;&gt;"",$Q30&lt;&gt;"O3/CP",$Q$15=B$18,MID($Q30,4,1)="2",$Q$15&lt;&gt;$Q$14),VLOOKUP(CONCATENATE(LEFT($Q30,2),"L"),$R$63:$T$91,3,FALSE),0)+IF(AND($Q30="O3/CP",$Q$14=B$18),VLOOKUP("O3",$R$63:$T$91,3,FALSE)+VLOOKUP("CP",$R$63:$T$91,3,FALSE),0)+IF(AND($R30&lt;&gt;"",$R30&lt;&gt;"--",$R30&lt;&gt;"O3/CP",$R$14=B$18),IF(LEFT($R30,1)="P",VLOOKUP(CONCATENATE(LEFT($R30,2),"H"),$R$63:$T$91,3,FALSE),VLOOKUP($R30,$R$63:$T$91,3,FALSE)))+IF(AND($R30&lt;&gt;"",$R30&lt;&gt;"O3/CP",$R$15=B$18,MID($R30,4,1)="2",$R$15&lt;&gt;$R$14),VLOOKUP(CONCATENATE(LEFT($R30,2),"L"),$R$63:$T$91,3,FALSE),0)+IF(AND($R30="O3/CP",$R$14=B$18),VLOOKUP("O3",$R$63:$T$91,3,FALSE)+VLOOKUP("CP",$R$63:$T$91,3,FALSE),0)+IF(AND($S30&lt;&gt;"",$S30&lt;&gt;"--",$S30&lt;&gt;"O3/CP",$S$14=B$18),IF(LEFT($S30,1)="P",VLOOKUP(CONCATENATE(LEFT($S30,2),"H"),$R$63:$T$91,3,FALSE),VLOOKUP($S30,$R$63:$T$91,3,FALSE)))+IF(AND($S30&lt;&gt;"",$S30&lt;&gt;"O3/CP",$S$15=B$18,MID($S30,4,1)="2",$S$15&lt;&gt;$S$14),VLOOKUP(CONCATENATE(LEFT($S30,2),"L"),$R$63:$T$91,3,FALSE),0)+IF(AND($S30="O3/CP",$S$14=B$18),VLOOKUP("O3",$R$63:$T$91,3,FALSE)+VLOOKUP("CP",$R$63:$T$91,3,FALSE),0)+IF(AND($T30&lt;&gt;"",$T30&lt;&gt;"--",$T30&lt;&gt;"O3/CP",$T$14=B$18),IF(LEFT($T30,1)="P",VLOOKUP(CONCATENATE(LEFT($T30,2),"H"),$R$63:$T$91,3,FALSE),VLOOKUP($T30,$R$63:$T$91,3,FALSE)))+IF(AND($T30&lt;&gt;"",$T30&lt;&gt;"O3/CP",$T$15=B$18,MID($T30,4,1)="2",$T$15&lt;&gt;$T$14),VLOOKUP(CONCATENATE(LEFT($T30,2),"L"),$R$63:$T$91,3,FALSE),0)+IF(AND($T30="O3/CP",$T$14=B$18),VLOOKUP("O3",$R$63:$T$91,3,FALSE)+VLOOKUP("CP",$R$63:$T$91,3,FALSE),0)+IF(AND($U30&lt;&gt;"",$U30&lt;&gt;"--",$U30&lt;&gt;"O3/CP",$U$14=B$18),IF(LEFT($U30,1)="P",VLOOKUP(CONCATENATE(LEFT($U30,2),"H"),$R$63:$T$91,3,FALSE),VLOOKUP($U30,$R$63:$T$91,3,FALSE)))+IF(AND($U30&lt;&gt;"",$U30&lt;&gt;"O3/CP",$U$15=B$18,MID($U30,4,1)="2",$U$15&lt;&gt;$U$14),VLOOKUP(CONCATENATE(LEFT($U30,2),"L"),$R$63:$T$91,3,FALSE),0)+IF(AND($U30="O3/CP",$T$14=B$18),VLOOKUP("O3",$R$63:$T$91,3,FALSE)+VLOOKUP("CP",$R$63:$T$91,3,FALSE),0)+IF(AND($V30&lt;&gt;"",$V30&lt;&gt;"--",$V30&lt;&gt;"O3/CP",$V$14=B$18),IF(LEFT($V30,1)="P",VLOOKUP(CONCATENATE(LEFT($V30,2),"H"),$R$63:$T$91,3,FALSE),VLOOKUP($V30,$R$63:$T$91,3,FALSE)))+IF(AND($V30&lt;&gt;"",$V30&lt;&gt;"O3/CP",$V$15=B$18,MID($V30,4,1)="2",$V$15&lt;&gt;$V$14),VLOOKUP(CONCATENATE(LEFT($V30,2),"L"),$R$63:$T$91,3,FALSE),0)+IF(AND($V30="O3/CP",$V$14=B$18),VLOOKUP("O3",$R$63:$T$91,3,FALSE)+VLOOKUP("CP",$R$63:$T$91,3,FALSE),0)+IF(AND($W30&lt;&gt;"",$W30&lt;&gt;"--",$W30&lt;&gt;"O3/CP",$W$14=B$18),IF(LEFT($W30,1)="P",VLOOKUP(CONCATENATE(LEFT($W30,2),"H"),$R$63:$T$91,3,FALSE),VLOOKUP($W30,$R$63:$T$91,3,FALSE)))+IF(AND($W30&lt;&gt;"",$W30&lt;&gt;"O3/CP",$W$15=B$18,MID($W30,4,1)="2",$W$15&lt;&gt;$W$14),VLOOKUP(CONCATENATE(LEFT($W30,2),"L"),$R$63:$T$91,3,FALSE),0)+IF(AND($W30="O3/CP",$W$14=B$18),VLOOKUP("O3",$R$63:$T$91,3,FALSE)+VLOOKUP("CP",$R$63:$T$91,3,FALSE),0)+IF(AND($X30&lt;&gt;"",$X30&lt;&gt;"--",$X30&lt;&gt;"O3/CP",$X$14=B$18),IF(LEFT($X30,1)="P",VLOOKUP(CONCATENATE(LEFT($X30,2),"H"),$R$63:$T$91,3,FALSE),VLOOKUP($X30,$R$63:$T$91,3,FALSE)))+IF(AND($X30&lt;&gt;"",$X30&lt;&gt;"O3/CP",$X$15=B$18,MID($X30,4,1)="2",$X$15&lt;&gt;$X$14),VLOOKUP(CONCATENATE(LEFT($X30,2),"L"),$R$63:$T$91,3,FALSE),0)+IF(AND($X30="O3/CP",$X$14=B$18),VLOOKUP("O3",$R$63:$T$91,3,FALSE)+VLOOKUP("CP",$R$63:$T$91,3,FALSE),0)+IF(AND($Y30&lt;&gt;"",$Y30&lt;&gt;"--",$Y30&lt;&gt;"O3/CP",$Y$14=B$18),IF(LEFT($Y30,1)="P",VLOOKUP(CONCATENATE(LEFT($Y30,2),"H"),$R$63:$T$91,3,FALSE),VLOOKUP($Y30,$R$63:$T$91,3,FALSE)))+IF(AND($Y30&lt;&gt;"",$Y30&lt;&gt;"O3/CP",$Y$15=B$18,MID($Y30,4,1)="2",$Y$15&lt;&gt;$Y$14),VLOOKUP(CONCATENATE(LEFT($Y30,2),"L"),$R$63:$T$91,3,FALSE),0)+IF(AND($Y30="O3/CP",$Y$14=B$18),VLOOKUP("O3",$R$63:$T$91,3,FALSE)+VLOOKUP("CP",$R$63:$T$91,3,FALSE),0)+IF(AND($K$6="CE",'[3]Supply Attribution'!$G$20=B$18),LEFT($S$90,2),0)+IF(AND($X$86&lt;&gt;"Not Set",$X$87=B$18),$X$86,0)</f>
        <v>5</v>
      </c>
      <c r="C30" s="269">
        <f>IF(AND($K30&lt;&gt;"",$K30&lt;&gt;"--",$K30&lt;&gt;"O3/CP",$K$14=C$18),IF(LEFT($K30,1)="P",VLOOKUP(CONCATENATE(LEFT($K30,2),"H"),$R$63:$T$91,3,FALSE),VLOOKUP($K30,$R$63:$T$91,3,FALSE)))+IF(AND($K30&lt;&gt;"",$K30&lt;&gt;"O3/CP",$K$15=C$18,MID($K30,4,1)="2",$K$15&lt;&gt;$K$14),VLOOKUP(CONCATENATE(LEFT($K30,2),"L"),$R$63:$T$91,3,FALSE),0)+IF(AND($K30="O3/CP",$K$14=C$18),VLOOKUP("O3",$R$63:$T$91,3,FALSE)+VLOOKUP("CP",$R$63:$T$91,3,FALSE),0)+IF(AND($L30&lt;&gt;"",$L30&lt;&gt;"--",$L30&lt;&gt;"O3/CP",$L$14=C$18),IF(LEFT($L30,1)="P",VLOOKUP(CONCATENATE(LEFT($L30,2),"H"),$R$63:$T$91,3,FALSE),VLOOKUP($L30,$R$63:$T$91,3,FALSE)))+IF(AND($L30&lt;&gt;"",$L30&lt;&gt;"O3/CP",$L$15=C$18,MID($L30,4,1)="2",$L$15&lt;&gt;$L$14),VLOOKUP(CONCATENATE(LEFT($L30,2),"L"),$R$63:$T$91,3,FALSE),0)+IF(AND($L30="O3/CP",$L$14=C$18),VLOOKUP("O3",$R$63:$T$91,3,FALSE)+VLOOKUP("CP",$R$63:$T$91,3,FALSE),0)+IF(AND($M30&lt;&gt;"",$M30&lt;&gt;"--",$M30&lt;&gt;"O3/CP",$M$14=C$18),IF(LEFT($M30,1)="P",VLOOKUP(CONCATENATE(LEFT($M30,2),"H"),$R$63:$T$91,3,FALSE),VLOOKUP($M30,$R$63:$T$91,3,FALSE)))+IF(AND($M30&lt;&gt;"",$M30&lt;&gt;"O3/CP",$M$15=C$18,MID($M30,4,1)="2",$M$15&lt;&gt;$M$14),VLOOKUP(CONCATENATE(LEFT($M30,2),"L"),$R$63:$T$91,3,FALSE),0)+IF(AND($M30="O3/CP",$M$14=C$18),VLOOKUP("O3",$R$63:$T$91,3,FALSE)+VLOOKUP("CP",$R$63:$T$91,3,FALSE),0)+IF(AND($N30&lt;&gt;"",$N30&lt;&gt;"--",$N30&lt;&gt;"O3/CP",$N$14=C$18),IF(LEFT($N30,1)="P",VLOOKUP(CONCATENATE(LEFT($N30,2),"H"),$R$63:$T$91,3,FALSE),VLOOKUP($N30,$R$63:$T$91,3,FALSE)))+IF(AND($N30&lt;&gt;"",$N30&lt;&gt;"O3/CP",$N$15=C$18,MID($N30,4,1)="2",$N$15&lt;&gt;$N$14),VLOOKUP(CONCATENATE(LEFT($N30,2),"L"),$R$63:$T$91,3,FALSE),0)+IF(AND($N30="O3/CP",$N$14=C$18),VLOOKUP("O3",$R$63:$T$91,3,FALSE)+VLOOKUP("CP",$R$63:$T$91,3,FALSE),0)+IF(AND($O30&lt;&gt;"",$O30&lt;&gt;"--",$O30&lt;&gt;"O3/CP",$O$14=C$18),IF(LEFT($O30,1)="P",VLOOKUP(CONCATENATE(LEFT($O30,2),"H"),$R$63:$T$91,3,FALSE),VLOOKUP($O30,$R$63:$T$91,3,FALSE)))+IF(AND($O30&lt;&gt;"",$O30&lt;&gt;"O3/CP",$O$15=C$18,MID($O30,4,1)="2",$O$15&lt;&gt;$O$14),VLOOKUP(CONCATENATE(LEFT($O30,2),"L"),$R$63:$T$91,3,FALSE),0)+IF(AND($O30="O3/CP",$O$14=C$18),VLOOKUP("O3",$R$63:$T$91,3,FALSE)+VLOOKUP("CP",$R$63:$T$91,3,FALSE),0)+IF(AND($P30&lt;&gt;"",$P30&lt;&gt;"--",$P30&lt;&gt;"O3/CP",$P$14=C$18),IF(LEFT($P30,1)="P",VLOOKUP(CONCATENATE(LEFT($P30,2),"H"),$R$63:$T$91,3,FALSE),VLOOKUP($P30,$R$63:$T$91,3,FALSE)))+IF(AND($P30&lt;&gt;"",$P30&lt;&gt;"O3/CP",$P$15=C$18,MID($P30,4,1)="2",$P$15&lt;&gt;$P$14),VLOOKUP(CONCATENATE(LEFT($P30,2),"L"),$R$63:$T$91,3,FALSE),0)+IF(AND($P30="O3/CP",$P$14=C$18),VLOOKUP("O3",$R$63:$T$91,3,FALSE)+VLOOKUP("CP",$R$63:$T$91,3,FALSE),0)+IF(AND($Q30&lt;&gt;"",$Q30&lt;&gt;"--",$Q30&lt;&gt;"O3/CP",$Q$14=C$18),IF(LEFT($Q30,1)="P",VLOOKUP(CONCATENATE(LEFT($Q30,2),"H"),$R$63:$T$91,3,FALSE),VLOOKUP($Q30,$R$63:$T$91,3,FALSE)))+IF(AND($Q30&lt;&gt;"",$Q30&lt;&gt;"O3/CP",$Q$15=C$18,MID($Q30,4,1)="2",$Q$15&lt;&gt;$Q$14),VLOOKUP(CONCATENATE(LEFT($Q30,2),"L"),$R$63:$T$91,3,FALSE),0)+IF(AND($Q30="O3/CP",$Q$14=C$18),VLOOKUP("O3",$R$63:$T$91,3,FALSE)+VLOOKUP("CP",$R$63:$T$91,3,FALSE),0)+IF(AND($R30&lt;&gt;"",$R30&lt;&gt;"--",$R30&lt;&gt;"O3/CP",$R$14=C$18),IF(LEFT($R30,1)="P",VLOOKUP(CONCATENATE(LEFT($R30,2),"H"),$R$63:$T$91,3,FALSE),VLOOKUP($R30,$R$63:$T$91,3,FALSE)))+IF(AND($R30&lt;&gt;"",$R30&lt;&gt;"O3/CP",$R$15=C$18,MID($R30,4,1)="2",$R$15&lt;&gt;$R$14),VLOOKUP(CONCATENATE(LEFT($R30,2),"L"),$R$63:$T$91,3,FALSE),0)+IF(AND($R30="O3/CP",$R$14=C$18),VLOOKUP("O3",$R$63:$T$91,3,FALSE)+VLOOKUP("CP",$R$63:$T$91,3,FALSE),0)+IF(AND($S30&lt;&gt;"",$S30&lt;&gt;"--",$S30&lt;&gt;"O3/CP",$S$14=C$18),IF(LEFT($S30,1)="P",VLOOKUP(CONCATENATE(LEFT($S30,2),"H"),$R$63:$T$91,3,FALSE),VLOOKUP($S30,$R$63:$T$91,3,FALSE)))+IF(AND($S30&lt;&gt;"",$S30&lt;&gt;"O3/CP",$S$15=C$18,MID($S30,4,1)="2",$S$15&lt;&gt;$S$14),VLOOKUP(CONCATENATE(LEFT($S30,2),"L"),$R$63:$T$91,3,FALSE),0)+IF(AND($S30="O3/CP",$S$14=C$18),VLOOKUP("O3",$R$63:$T$91,3,FALSE)+VLOOKUP("CP",$R$63:$T$91,3,FALSE),0)+IF(AND($T30&lt;&gt;"",$T30&lt;&gt;"--",$T30&lt;&gt;"O3/CP",$T$14=C$18),IF(LEFT($T30,1)="P",VLOOKUP(CONCATENATE(LEFT($T30,2),"H"),$R$63:$T$91,3,FALSE),VLOOKUP($T30,$R$63:$T$91,3,FALSE)))+IF(AND($T30&lt;&gt;"",$T30&lt;&gt;"O3/CP",$T$15=C$18,MID($T30,4,1)="2",$T$15&lt;&gt;$T$14),VLOOKUP(CONCATENATE(LEFT($T30,2),"L"),$R$63:$T$91,3,FALSE),0)+IF(AND($T30="O3/CP",$T$14=C$18),VLOOKUP("O3",$R$63:$T$91,3,FALSE)+VLOOKUP("CP",$R$63:$T$91,3,FALSE),0)+IF(AND($U30&lt;&gt;"",$U30&lt;&gt;"--",$U30&lt;&gt;"O3/CP",$U$14=C$18),IF(LEFT($U30,1)="P",VLOOKUP(CONCATENATE(LEFT($U30,2),"H"),$R$63:$T$91,3,FALSE),VLOOKUP($U30,$R$63:$T$91,3,FALSE)))+IF(AND($U30&lt;&gt;"",$U30&lt;&gt;"O3/CP",$U$15=C$18,MID($U30,4,1)="2",$U$15&lt;&gt;$U$14),VLOOKUP(CONCATENATE(LEFT($U30,2),"L"),$R$63:$T$91,3,FALSE),0)+IF(AND($U30="O3/CP",$T$14=C$18),VLOOKUP("O3",$R$63:$T$91,3,FALSE)+VLOOKUP("CP",$R$63:$T$91,3,FALSE),0)+IF(AND($V30&lt;&gt;"",$V30&lt;&gt;"--",$V30&lt;&gt;"O3/CP",$V$14=C$18),IF(LEFT($V30,1)="P",VLOOKUP(CONCATENATE(LEFT($V30,2),"H"),$R$63:$T$91,3,FALSE),VLOOKUP($V30,$R$63:$T$91,3,FALSE)))+IF(AND($V30&lt;&gt;"",$V30&lt;&gt;"O3/CP",$V$15=C$18,MID($V30,4,1)="2",$V$15&lt;&gt;$V$14),VLOOKUP(CONCATENATE(LEFT($V30,2),"L"),$R$63:$T$91,3,FALSE),0)+IF(AND($V30="O3/CP",$V$14=C$18),VLOOKUP("O3",$R$63:$T$91,3,FALSE)+VLOOKUP("CP",$R$63:$T$91,3,FALSE),0)+IF(AND($W30&lt;&gt;"",$W30&lt;&gt;"--",$W30&lt;&gt;"O3/CP",$W$14=C$18),IF(LEFT($W30,1)="P",VLOOKUP(CONCATENATE(LEFT($W30,2),"H"),$R$63:$T$91,3,FALSE),VLOOKUP($W30,$R$63:$T$91,3,FALSE)))+IF(AND($W30&lt;&gt;"",$W30&lt;&gt;"O3/CP",$W$15=C$18,MID($W30,4,1)="2",$W$15&lt;&gt;$W$14),VLOOKUP(CONCATENATE(LEFT($W30,2),"L"),$R$63:$T$91,3,FALSE),0)+IF(AND($W30="O3/CP",$W$14=C$18),VLOOKUP("O3",$R$63:$T$91,3,FALSE)+VLOOKUP("CP",$R$63:$T$91,3,FALSE),0)+IF(AND($X30&lt;&gt;"",$X30&lt;&gt;"--",$X30&lt;&gt;"O3/CP",$X$14=C$18),IF(LEFT($X30,1)="P",VLOOKUP(CONCATENATE(LEFT($X30,2),"H"),$R$63:$T$91,3,FALSE),VLOOKUP($X30,$R$63:$T$91,3,FALSE)))+IF(AND($X30&lt;&gt;"",$X30&lt;&gt;"O3/CP",$X$15=C$18,MID($X30,4,1)="2",$X$15&lt;&gt;$X$14),VLOOKUP(CONCATENATE(LEFT($X30,2),"L"),$R$63:$T$91,3,FALSE),0)+IF(AND($X30="O3/CP",$X$14=C$18),VLOOKUP("O3",$R$63:$T$91,3,FALSE)+VLOOKUP("CP",$R$63:$T$91,3,FALSE),0)+IF(AND($Y30&lt;&gt;"",$Y30&lt;&gt;"--",$Y30&lt;&gt;"O3/CP",$Y$14=C$18),IF(LEFT($Y30,1)="P",VLOOKUP(CONCATENATE(LEFT($Y30,2),"H"),$R$63:$T$91,3,FALSE),VLOOKUP($Y30,$R$63:$T$91,3,FALSE)))+IF(AND($Y30&lt;&gt;"",$Y30&lt;&gt;"O3/CP",$Y$15=C$18,MID($Y30,4,1)="2",$Y$15&lt;&gt;$Y$14),VLOOKUP(CONCATENATE(LEFT($Y30,2),"L"),$R$63:$T$91,3,FALSE),0)+IF(AND($Y30="O3/CP",$Y$14=C$18),VLOOKUP("O3",$R$63:$T$91,3,FALSE)+VLOOKUP("CP",$R$63:$T$91,3,FALSE),0)+IF(AND($K$6="CE",'[3]Supply Attribution'!$G$20=C$18),LEFT($S$90,2),0)+IF(AND($X$86&lt;&gt;"Not Set",$X$87=C$18),$X$86,0)</f>
        <v>12</v>
      </c>
      <c r="D30" s="269">
        <f>IF(AND($K30&lt;&gt;"",$K30&lt;&gt;"--",$K30&lt;&gt;"O3/CP",$K$14=D$18),IF(LEFT($K30,1)="P",VLOOKUP(CONCATENATE(LEFT($K30,2),"H"),$R$63:$T$91,3,FALSE),VLOOKUP($K30,$R$63:$T$91,3,FALSE)))+IF(AND($K30&lt;&gt;"",$K30&lt;&gt;"O3/CP",$K$15=D$18,MID($K30,4,1)="2",$K$15&lt;&gt;$K$14),VLOOKUP(CONCATENATE(LEFT($K30,2),"L"),$R$63:$T$91,3,FALSE),0)+IF(AND($K30="O3/CP",$K$14=D$18),VLOOKUP("O3",$R$63:$T$91,3,FALSE)+VLOOKUP("CP",$R$63:$T$91,3,FALSE),0)+IF(AND($L30&lt;&gt;"",$L30&lt;&gt;"--",$L30&lt;&gt;"O3/CP",$L$14=D$18),IF(LEFT($L30,1)="P",VLOOKUP(CONCATENATE(LEFT($L30,2),"H"),$R$63:$T$91,3,FALSE),VLOOKUP($L30,$R$63:$T$91,3,FALSE)))+IF(AND($L30&lt;&gt;"",$L30&lt;&gt;"O3/CP",$L$15=D$18,MID($L30,4,1)="2",$L$15&lt;&gt;$L$14),VLOOKUP(CONCATENATE(LEFT($L30,2),"L"),$R$63:$T$91,3,FALSE),0)+IF(AND($L30="O3/CP",$L$14=D$18),VLOOKUP("O3",$R$63:$T$91,3,FALSE)+VLOOKUP("CP",$R$63:$T$91,3,FALSE),0)+IF(AND($M30&lt;&gt;"",$M30&lt;&gt;"--",$M30&lt;&gt;"O3/CP",$M$14=D$18),IF(LEFT($M30,1)="P",VLOOKUP(CONCATENATE(LEFT($M30,2),"H"),$R$63:$T$91,3,FALSE),VLOOKUP($M30,$R$63:$T$91,3,FALSE)))+IF(AND($M30&lt;&gt;"",$M30&lt;&gt;"O3/CP",$M$15=D$18,MID($M30,4,1)="2",$M$15&lt;&gt;$M$14),VLOOKUP(CONCATENATE(LEFT($M30,2),"L"),$R$63:$T$91,3,FALSE),0)+IF(AND($M30="O3/CP",$M$14=D$18),VLOOKUP("O3",$R$63:$T$91,3,FALSE)+VLOOKUP("CP",$R$63:$T$91,3,FALSE),0)+IF(AND($N30&lt;&gt;"",$N30&lt;&gt;"--",$N30&lt;&gt;"O3/CP",$N$14=D$18),IF(LEFT($N30,1)="P",VLOOKUP(CONCATENATE(LEFT($N30,2),"H"),$R$63:$T$91,3,FALSE),VLOOKUP($N30,$R$63:$T$91,3,FALSE)))+IF(AND($N30&lt;&gt;"",$N30&lt;&gt;"O3/CP",$N$15=D$18,MID($N30,4,1)="2",$N$15&lt;&gt;$N$14),VLOOKUP(CONCATENATE(LEFT($N30,2),"L"),$R$63:$T$91,3,FALSE),0)+IF(AND($N30="O3/CP",$N$14=D$18),VLOOKUP("O3",$R$63:$T$91,3,FALSE)+VLOOKUP("CP",$R$63:$T$91,3,FALSE),0)+IF(AND($O30&lt;&gt;"",$O30&lt;&gt;"--",$O30&lt;&gt;"O3/CP",$O$14=D$18),IF(LEFT($O30,1)="P",VLOOKUP(CONCATENATE(LEFT($O30,2),"H"),$R$63:$T$91,3,FALSE),VLOOKUP($O30,$R$63:$T$91,3,FALSE)))+IF(AND($O30&lt;&gt;"",$O30&lt;&gt;"O3/CP",$O$15=D$18,MID($O30,4,1)="2",$O$15&lt;&gt;$O$14),VLOOKUP(CONCATENATE(LEFT($O30,2),"L"),$R$63:$T$91,3,FALSE),0)+IF(AND($O30="O3/CP",$O$14=D$18),VLOOKUP("O3",$R$63:$T$91,3,FALSE)+VLOOKUP("CP",$R$63:$T$91,3,FALSE),0)+IF(AND($P30&lt;&gt;"",$P30&lt;&gt;"--",$P30&lt;&gt;"O3/CP",$P$14=D$18),IF(LEFT($P30,1)="P",VLOOKUP(CONCATENATE(LEFT($P30,2),"H"),$R$63:$T$91,3,FALSE),VLOOKUP($P30,$R$63:$T$91,3,FALSE)))+IF(AND($P30&lt;&gt;"",$P30&lt;&gt;"O3/CP",$P$15=D$18,MID($P30,4,1)="2",$P$15&lt;&gt;$P$14),VLOOKUP(CONCATENATE(LEFT($P30,2),"L"),$R$63:$T$91,3,FALSE),0)+IF(AND($P30="O3/CP",$P$14=D$18),VLOOKUP("O3",$R$63:$T$91,3,FALSE)+VLOOKUP("CP",$R$63:$T$91,3,FALSE),0)+IF(AND($Q30&lt;&gt;"",$Q30&lt;&gt;"--",$Q30&lt;&gt;"O3/CP",$Q$14=D$18),IF(LEFT($Q30,1)="P",VLOOKUP(CONCATENATE(LEFT($Q30,2),"H"),$R$63:$T$91,3,FALSE),VLOOKUP($Q30,$R$63:$T$91,3,FALSE)))+IF(AND($Q30&lt;&gt;"",$Q30&lt;&gt;"O3/CP",$Q$15=D$18,MID($Q30,4,1)="2",$Q$15&lt;&gt;$Q$14),VLOOKUP(CONCATENATE(LEFT($Q30,2),"L"),$R$63:$T$91,3,FALSE),0)+IF(AND($Q30="O3/CP",$Q$14=D$18),VLOOKUP("O3",$R$63:$T$91,3,FALSE)+VLOOKUP("CP",$R$63:$T$91,3,FALSE),0)+IF(AND($R30&lt;&gt;"",$R30&lt;&gt;"--",$R30&lt;&gt;"O3/CP",$R$14=D$18),IF(LEFT($R30,1)="P",VLOOKUP(CONCATENATE(LEFT($R30,2),"H"),$R$63:$T$91,3,FALSE),VLOOKUP($R30,$R$63:$T$91,3,FALSE)))+IF(AND($R30&lt;&gt;"",$R30&lt;&gt;"O3/CP",$R$15=D$18,MID($R30,4,1)="2",$R$15&lt;&gt;$R$14),VLOOKUP(CONCATENATE(LEFT($R30,2),"L"),$R$63:$T$91,3,FALSE),0)+IF(AND($R30="O3/CP",$R$14=D$18),VLOOKUP("O3",$R$63:$T$91,3,FALSE)+VLOOKUP("CP",$R$63:$T$91,3,FALSE),0)+IF(AND($S30&lt;&gt;"",$S30&lt;&gt;"--",$S30&lt;&gt;"O3/CP",$S$14=D$18),IF(LEFT($S30,1)="P",VLOOKUP(CONCATENATE(LEFT($S30,2),"H"),$R$63:$T$91,3,FALSE),VLOOKUP($S30,$R$63:$T$91,3,FALSE)))+IF(AND($S30&lt;&gt;"",$S30&lt;&gt;"O3/CP",$S$15=D$18,MID($S30,4,1)="2",$S$15&lt;&gt;$S$14),VLOOKUP(CONCATENATE(LEFT($S30,2),"L"),$R$63:$T$91,3,FALSE),0)+IF(AND($S30="O3/CP",$S$14=D$18),VLOOKUP("O3",$R$63:$T$91,3,FALSE)+VLOOKUP("CP",$R$63:$T$91,3,FALSE),0)+IF(AND($T30&lt;&gt;"",$T30&lt;&gt;"--",$T30&lt;&gt;"O3/CP",$T$14=D$18),IF(LEFT($T30,1)="P",VLOOKUP(CONCATENATE(LEFT($T30,2),"H"),$R$63:$T$91,3,FALSE),VLOOKUP($T30,$R$63:$T$91,3,FALSE)))+IF(AND($T30&lt;&gt;"",$T30&lt;&gt;"O3/CP",$T$15=D$18,MID($T30,4,1)="2",$T$15&lt;&gt;$T$14),VLOOKUP(CONCATENATE(LEFT($T30,2),"L"),$R$63:$T$91,3,FALSE),0)+IF(AND($T30="O3/CP",$T$14=D$18),VLOOKUP("O3",$R$63:$T$91,3,FALSE)+VLOOKUP("CP",$R$63:$T$91,3,FALSE),0)+IF(AND($U30&lt;&gt;"",$U30&lt;&gt;"--",$U30&lt;&gt;"O3/CP",$U$14=D$18),IF(LEFT($U30,1)="P",VLOOKUP(CONCATENATE(LEFT($U30,2),"H"),$R$63:$T$91,3,FALSE),VLOOKUP($U30,$R$63:$T$91,3,FALSE)))+IF(AND($U30&lt;&gt;"",$U30&lt;&gt;"O3/CP",$U$15=D$18,MID($U30,4,1)="2",$U$15&lt;&gt;$U$14),VLOOKUP(CONCATENATE(LEFT($U30,2),"L"),$R$63:$T$91,3,FALSE),0)+IF(AND($U30="O3/CP",$T$14=D$18),VLOOKUP("O3",$R$63:$T$91,3,FALSE)+VLOOKUP("CP",$R$63:$T$91,3,FALSE),0)+IF(AND($V30&lt;&gt;"",$V30&lt;&gt;"--",$V30&lt;&gt;"O3/CP",$V$14=D$18),IF(LEFT($V30,1)="P",VLOOKUP(CONCATENATE(LEFT($V30,2),"H"),$R$63:$T$91,3,FALSE),VLOOKUP($V30,$R$63:$T$91,3,FALSE)))+IF(AND($V30&lt;&gt;"",$V30&lt;&gt;"O3/CP",$V$15=D$18,MID($V30,4,1)="2",$V$15&lt;&gt;$V$14),VLOOKUP(CONCATENATE(LEFT($V30,2),"L"),$R$63:$T$91,3,FALSE),0)+IF(AND($V30="O3/CP",$V$14=D$18),VLOOKUP("O3",$R$63:$T$91,3,FALSE)+VLOOKUP("CP",$R$63:$T$91,3,FALSE),0)+IF(AND($W30&lt;&gt;"",$W30&lt;&gt;"--",$W30&lt;&gt;"O3/CP",$W$14=D$18),IF(LEFT($W30,1)="P",VLOOKUP(CONCATENATE(LEFT($W30,2),"H"),$R$63:$T$91,3,FALSE),VLOOKUP($W30,$R$63:$T$91,3,FALSE)))+IF(AND($W30&lt;&gt;"",$W30&lt;&gt;"O3/CP",$W$15=D$18,MID($W30,4,1)="2",$W$15&lt;&gt;$W$14),VLOOKUP(CONCATENATE(LEFT($W30,2),"L"),$R$63:$T$91,3,FALSE),0)+IF(AND($W30="O3/CP",$W$14=D$18),VLOOKUP("O3",$R$63:$T$91,3,FALSE)+VLOOKUP("CP",$R$63:$T$91,3,FALSE),0)+IF(AND($X30&lt;&gt;"",$X30&lt;&gt;"--",$X30&lt;&gt;"O3/CP",$X$14=D$18),IF(LEFT($X30,1)="P",VLOOKUP(CONCATENATE(LEFT($X30,2),"H"),$R$63:$T$91,3,FALSE),VLOOKUP($X30,$R$63:$T$91,3,FALSE)))+IF(AND($X30&lt;&gt;"",$X30&lt;&gt;"O3/CP",$X$15=D$18,MID($X30,4,1)="2",$X$15&lt;&gt;$X$14),VLOOKUP(CONCATENATE(LEFT($X30,2),"L"),$R$63:$T$91,3,FALSE),0)+IF(AND($X30="O3/CP",$X$14=D$18),VLOOKUP("O3",$R$63:$T$91,3,FALSE)+VLOOKUP("CP",$R$63:$T$91,3,FALSE),0)+IF(AND($Y30&lt;&gt;"",$Y30&lt;&gt;"--",$Y30&lt;&gt;"O3/CP",$Y$14=D$18),IF(LEFT($Y30,1)="P",VLOOKUP(CONCATENATE(LEFT($Y30,2),"H"),$R$63:$T$91,3,FALSE),VLOOKUP($Y30,$R$63:$T$91,3,FALSE)))+IF(AND($Y30&lt;&gt;"",$Y30&lt;&gt;"O3/CP",$Y$15=D$18,MID($Y30,4,1)="2",$Y$15&lt;&gt;$Y$14),VLOOKUP(CONCATENATE(LEFT($Y30,2),"L"),$R$63:$T$91,3,FALSE),0)+IF(AND($Y30="O3/CP",$Y$14=D$18),VLOOKUP("O3",$R$63:$T$91,3,FALSE)+VLOOKUP("CP",$R$63:$T$91,3,FALSE),0)+IF(AND($K$6="CE",'[3]Supply Attribution'!$G$20=D$18),LEFT($S$90,2),0)+IF(AND($X$86&lt;&gt;"Not Set",$X$87=D$18),$X$86,0)</f>
        <v>0</v>
      </c>
      <c r="E30" s="269">
        <f>IF(AND($K30&lt;&gt;"",$K30&lt;&gt;"--",$K30&lt;&gt;"O3/CP",$K$14=E$18),IF(LEFT($K30,1)="P",VLOOKUP(CONCATENATE(LEFT($K30,2),"H"),$R$63:$T$91,3,FALSE),VLOOKUP($K30,$R$63:$T$91,3,FALSE)))+IF(AND($K30&lt;&gt;"",$K30&lt;&gt;"O3/CP",$K$15=E$18,MID($K30,4,1)="2",$K$15&lt;&gt;$K$14),VLOOKUP(CONCATENATE(LEFT($K30,2),"L"),$R$63:$T$91,3,FALSE),0)+IF(AND($K30="O3/CP",$K$14=E$18),VLOOKUP("O3",$R$63:$T$91,3,FALSE)+VLOOKUP("CP",$R$63:$T$91,3,FALSE),0)+IF(AND($L30&lt;&gt;"",$L30&lt;&gt;"--",$L30&lt;&gt;"O3/CP",$L$14=E$18),IF(LEFT($L30,1)="P",VLOOKUP(CONCATENATE(LEFT($L30,2),"H"),$R$63:$T$91,3,FALSE),VLOOKUP($L30,$R$63:$T$91,3,FALSE)))+IF(AND($L30&lt;&gt;"",$L30&lt;&gt;"O3/CP",$L$15=E$18,MID($L30,4,1)="2",$L$15&lt;&gt;$L$14),VLOOKUP(CONCATENATE(LEFT($L30,2),"L"),$R$63:$T$91,3,FALSE),0)+IF(AND($L30="O3/CP",$L$14=E$18),VLOOKUP("O3",$R$63:$T$91,3,FALSE)+VLOOKUP("CP",$R$63:$T$91,3,FALSE),0)+IF(AND($M30&lt;&gt;"",$M30&lt;&gt;"--",$M30&lt;&gt;"O3/CP",$M$14=E$18),IF(LEFT($M30,1)="P",VLOOKUP(CONCATENATE(LEFT($M30,2),"H"),$R$63:$T$91,3,FALSE),VLOOKUP($M30,$R$63:$T$91,3,FALSE)))+IF(AND($M30&lt;&gt;"",$M30&lt;&gt;"O3/CP",$M$15=E$18,MID($M30,4,1)="2",$M$15&lt;&gt;$M$14),VLOOKUP(CONCATENATE(LEFT($M30,2),"L"),$R$63:$T$91,3,FALSE),0)+IF(AND($M30="O3/CP",$M$14=E$18),VLOOKUP("O3",$R$63:$T$91,3,FALSE)+VLOOKUP("CP",$R$63:$T$91,3,FALSE),0)+IF(AND($N30&lt;&gt;"",$N30&lt;&gt;"--",$N30&lt;&gt;"O3/CP",$N$14=E$18),IF(LEFT($N30,1)="P",VLOOKUP(CONCATENATE(LEFT($N30,2),"H"),$R$63:$T$91,3,FALSE),VLOOKUP($N30,$R$63:$T$91,3,FALSE)))+IF(AND($N30&lt;&gt;"",$N30&lt;&gt;"O3/CP",$N$15=E$18,MID($N30,4,1)="2",$N$15&lt;&gt;$N$14),VLOOKUP(CONCATENATE(LEFT($N30,2),"L"),$R$63:$T$91,3,FALSE),0)+IF(AND($N30="O3/CP",$N$14=E$18),VLOOKUP("O3",$R$63:$T$91,3,FALSE)+VLOOKUP("CP",$R$63:$T$91,3,FALSE),0)+IF(AND($O30&lt;&gt;"",$O30&lt;&gt;"--",$O30&lt;&gt;"O3/CP",$O$14=E$18),IF(LEFT($O30,1)="P",VLOOKUP(CONCATENATE(LEFT($O30,2),"H"),$R$63:$T$91,3,FALSE),VLOOKUP($O30,$R$63:$T$91,3,FALSE)))+IF(AND($O30&lt;&gt;"",$O30&lt;&gt;"O3/CP",$O$15=E$18,MID($O30,4,1)="2",$O$15&lt;&gt;$O$14),VLOOKUP(CONCATENATE(LEFT($O30,2),"L"),$R$63:$T$91,3,FALSE),0)+IF(AND($O30="O3/CP",$O$14=E$18),VLOOKUP("O3",$R$63:$T$91,3,FALSE)+VLOOKUP("CP",$R$63:$T$91,3,FALSE),0)+IF(AND($P30&lt;&gt;"",$P30&lt;&gt;"--",$P30&lt;&gt;"O3/CP",$P$14=E$18),IF(LEFT($P30,1)="P",VLOOKUP(CONCATENATE(LEFT($P30,2),"H"),$R$63:$T$91,3,FALSE),VLOOKUP($P30,$R$63:$T$91,3,FALSE)))+IF(AND($P30&lt;&gt;"",$P30&lt;&gt;"O3/CP",$P$15=E$18,MID($P30,4,1)="2",$P$15&lt;&gt;$P$14),VLOOKUP(CONCATENATE(LEFT($P30,2),"L"),$R$63:$T$91,3,FALSE),0)+IF(AND($P30="O3/CP",$P$14=E$18),VLOOKUP("O3",$R$63:$T$91,3,FALSE)+VLOOKUP("CP",$R$63:$T$91,3,FALSE),0)+IF(AND($Q30&lt;&gt;"",$Q30&lt;&gt;"--",$Q30&lt;&gt;"O3/CP",$Q$14=E$18),IF(LEFT($Q30,1)="P",VLOOKUP(CONCATENATE(LEFT($Q30,2),"H"),$R$63:$T$91,3,FALSE),VLOOKUP($Q30,$R$63:$T$91,3,FALSE)))+IF(AND($Q30&lt;&gt;"",$Q30&lt;&gt;"O3/CP",$Q$15=E$18,MID($Q30,4,1)="2",$Q$15&lt;&gt;$Q$14),VLOOKUP(CONCATENATE(LEFT($Q30,2),"L"),$R$63:$T$91,3,FALSE),0)+IF(AND($Q30="O3/CP",$Q$14=E$18),VLOOKUP("O3",$R$63:$T$91,3,FALSE)+VLOOKUP("CP",$R$63:$T$91,3,FALSE),0)+IF(AND($R30&lt;&gt;"",$R30&lt;&gt;"--",$R30&lt;&gt;"O3/CP",$R$14=E$18),IF(LEFT($R30,1)="P",VLOOKUP(CONCATENATE(LEFT($R30,2),"H"),$R$63:$T$91,3,FALSE),VLOOKUP($R30,$R$63:$T$91,3,FALSE)))+IF(AND($R30&lt;&gt;"",$R30&lt;&gt;"O3/CP",$R$15=E$18,MID($R30,4,1)="2",$R$15&lt;&gt;$R$14),VLOOKUP(CONCATENATE(LEFT($R30,2),"L"),$R$63:$T$91,3,FALSE),0)+IF(AND($R30="O3/CP",$R$14=E$18),VLOOKUP("O3",$R$63:$T$91,3,FALSE)+VLOOKUP("CP",$R$63:$T$91,3,FALSE),0)+IF(AND($S30&lt;&gt;"",$S30&lt;&gt;"--",$S30&lt;&gt;"O3/CP",$S$14=E$18),IF(LEFT($S30,1)="P",VLOOKUP(CONCATENATE(LEFT($S30,2),"H"),$R$63:$T$91,3,FALSE),VLOOKUP($S30,$R$63:$T$91,3,FALSE)))+IF(AND($S30&lt;&gt;"",$S30&lt;&gt;"O3/CP",$S$15=E$18,MID($S30,4,1)="2",$S$15&lt;&gt;$S$14),VLOOKUP(CONCATENATE(LEFT($S30,2),"L"),$R$63:$T$91,3,FALSE),0)+IF(AND($S30="O3/CP",$S$14=E$18),VLOOKUP("O3",$R$63:$T$91,3,FALSE)+VLOOKUP("CP",$R$63:$T$91,3,FALSE),0)+IF(AND($T30&lt;&gt;"",$T30&lt;&gt;"--",$T30&lt;&gt;"O3/CP",$T$14=E$18),IF(LEFT($T30,1)="P",VLOOKUP(CONCATENATE(LEFT($T30,2),"H"),$R$63:$T$91,3,FALSE),VLOOKUP($T30,$R$63:$T$91,3,FALSE)))+IF(AND($T30&lt;&gt;"",$T30&lt;&gt;"O3/CP",$T$15=E$18,MID($T30,4,1)="2",$T$15&lt;&gt;$T$14),VLOOKUP(CONCATENATE(LEFT($T30,2),"L"),$R$63:$T$91,3,FALSE),0)+IF(AND($T30="O3/CP",$T$14=E$18),VLOOKUP("O3",$R$63:$T$91,3,FALSE)+VLOOKUP("CP",$R$63:$T$91,3,FALSE),0)+IF(AND($U30&lt;&gt;"",$U30&lt;&gt;"--",$U30&lt;&gt;"O3/CP",$U$14=E$18),IF(LEFT($U30,1)="P",VLOOKUP(CONCATENATE(LEFT($U30,2),"H"),$R$63:$T$91,3,FALSE),VLOOKUP($U30,$R$63:$T$91,3,FALSE)))+IF(AND($U30&lt;&gt;"",$U30&lt;&gt;"O3/CP",$U$15=E$18,MID($U30,4,1)="2",$U$15&lt;&gt;$U$14),VLOOKUP(CONCATENATE(LEFT($U30,2),"L"),$R$63:$T$91,3,FALSE),0)+IF(AND($U30="O3/CP",$T$14=E$18),VLOOKUP("O3",$R$63:$T$91,3,FALSE)+VLOOKUP("CP",$R$63:$T$91,3,FALSE),0)+IF(AND($V30&lt;&gt;"",$V30&lt;&gt;"--",$V30&lt;&gt;"O3/CP",$V$14=E$18),IF(LEFT($V30,1)="P",VLOOKUP(CONCATENATE(LEFT($V30,2),"H"),$R$63:$T$91,3,FALSE),VLOOKUP($V30,$R$63:$T$91,3,FALSE)))+IF(AND($V30&lt;&gt;"",$V30&lt;&gt;"O3/CP",$V$15=E$18,MID($V30,4,1)="2",$V$15&lt;&gt;$V$14),VLOOKUP(CONCATENATE(LEFT($V30,2),"L"),$R$63:$T$91,3,FALSE),0)+IF(AND($V30="O3/CP",$V$14=E$18),VLOOKUP("O3",$R$63:$T$91,3,FALSE)+VLOOKUP("CP",$R$63:$T$91,3,FALSE),0)+IF(AND($W30&lt;&gt;"",$W30&lt;&gt;"--",$W30&lt;&gt;"O3/CP",$W$14=E$18),IF(LEFT($W30,1)="P",VLOOKUP(CONCATENATE(LEFT($W30,2),"H"),$R$63:$T$91,3,FALSE),VLOOKUP($W30,$R$63:$T$91,3,FALSE)))+IF(AND($W30&lt;&gt;"",$W30&lt;&gt;"O3/CP",$W$15=E$18,MID($W30,4,1)="2",$W$15&lt;&gt;$W$14),VLOOKUP(CONCATENATE(LEFT($W30,2),"L"),$R$63:$T$91,3,FALSE),0)+IF(AND($W30="O3/CP",$W$14=E$18),VLOOKUP("O3",$R$63:$T$91,3,FALSE)+VLOOKUP("CP",$R$63:$T$91,3,FALSE),0)+IF(AND($X30&lt;&gt;"",$X30&lt;&gt;"--",$X30&lt;&gt;"O3/CP",$X$14=E$18),IF(LEFT($X30,1)="P",VLOOKUP(CONCATENATE(LEFT($X30,2),"H"),$R$63:$T$91,3,FALSE),VLOOKUP($X30,$R$63:$T$91,3,FALSE)))+IF(AND($X30&lt;&gt;"",$X30&lt;&gt;"O3/CP",$X$15=E$18,MID($X30,4,1)="2",$X$15&lt;&gt;$X$14),VLOOKUP(CONCATENATE(LEFT($X30,2),"L"),$R$63:$T$91,3,FALSE),0)+IF(AND($X30="O3/CP",$X$14=E$18),VLOOKUP("O3",$R$63:$T$91,3,FALSE)+VLOOKUP("CP",$R$63:$T$91,3,FALSE),0)+IF(AND($Y30&lt;&gt;"",$Y30&lt;&gt;"--",$Y30&lt;&gt;"O3/CP",$Y$14=E$18),IF(LEFT($Y30,1)="P",VLOOKUP(CONCATENATE(LEFT($Y30,2),"H"),$R$63:$T$91,3,FALSE),VLOOKUP($Y30,$R$63:$T$91,3,FALSE)))+IF(AND($Y30&lt;&gt;"",$Y30&lt;&gt;"O3/CP",$Y$15=E$18,MID($Y30,4,1)="2",$Y$15&lt;&gt;$Y$14),VLOOKUP(CONCATENATE(LEFT($Y30,2),"L"),$R$63:$T$91,3,FALSE),0)+IF(AND($Y30="O3/CP",$Y$14=E$18),VLOOKUP("O3",$R$63:$T$91,3,FALSE)+VLOOKUP("CP",$R$63:$T$91,3,FALSE),0)+IF(AND($K$6="CE",'[3]Supply Attribution'!$G$20=E$18),LEFT($S$90,2),0)+IF(AND($X$86&lt;&gt;"Not Set",$X$87=E$18),$X$86,0)</f>
        <v>0</v>
      </c>
      <c r="F30" s="268">
        <f>IF(AND($K30&lt;&gt;"",$K30&lt;&gt;"--",$K30&lt;&gt;"O3/CP",$K$14=F$18),IF(LEFT($K30,1)="P",VLOOKUP(CONCATENATE(LEFT($K30,2),"H"),$R$63:$T$91,3,FALSE),VLOOKUP($K30,$R$63:$T$91,3,FALSE)))+IF(AND($K30&lt;&gt;"",$K30&lt;&gt;"O3/CP",$K$15=F$18,MID($K30,4,1)="2",$K$15&lt;&gt;$K$14),VLOOKUP(CONCATENATE(LEFT($K30,2),"L"),$R$63:$T$91,3,FALSE),0)+IF(AND($K30="O3/CP",$K$14=F$18),VLOOKUP("O3",$R$63:$T$91,3,FALSE)+VLOOKUP("CP",$R$63:$T$91,3,FALSE),0)+IF(AND($L30&lt;&gt;"",$L30&lt;&gt;"--",$L30&lt;&gt;"O3/CP",$L$14=F$18),IF(LEFT($L30,1)="P",VLOOKUP(CONCATENATE(LEFT($L30,2),"H"),$R$63:$T$91,3,FALSE),VLOOKUP($L30,$R$63:$T$91,3,FALSE)))+IF(AND($L30&lt;&gt;"",$L30&lt;&gt;"O3/CP",$L$15=F$18,MID($L30,4,1)="2",$L$15&lt;&gt;$L$14),VLOOKUP(CONCATENATE(LEFT($L30,2),"L"),$R$63:$T$91,3,FALSE),0)+IF(AND($L30="O3/CP",$L$14=F$18),VLOOKUP("O3",$R$63:$T$91,3,FALSE)+VLOOKUP("CP",$R$63:$T$91,3,FALSE),0)+IF(AND($M30&lt;&gt;"",$M30&lt;&gt;"--",$M30&lt;&gt;"O3/CP",$M$14=F$18),IF(LEFT($M30,1)="P",VLOOKUP(CONCATENATE(LEFT($M30,2),"H"),$R$63:$T$91,3,FALSE),VLOOKUP($M30,$R$63:$T$91,3,FALSE)))+IF(AND($M30&lt;&gt;"",$M30&lt;&gt;"O3/CP",$M$15=F$18,MID($M30,4,1)="2",$M$15&lt;&gt;$M$14),VLOOKUP(CONCATENATE(LEFT($M30,2),"L"),$R$63:$T$91,3,FALSE),0)+IF(AND($M30="O3/CP",$M$14=F$18),VLOOKUP("O3",$R$63:$T$91,3,FALSE)+VLOOKUP("CP",$R$63:$T$91,3,FALSE),0)+IF(AND($N30&lt;&gt;"",$N30&lt;&gt;"--",$N30&lt;&gt;"O3/CP",$N$14=F$18),IF(LEFT($N30,1)="P",VLOOKUP(CONCATENATE(LEFT($N30,2),"H"),$R$63:$T$91,3,FALSE),VLOOKUP($N30,$R$63:$T$91,3,FALSE)))+IF(AND($N30&lt;&gt;"",$N30&lt;&gt;"O3/CP",$N$15=F$18,MID($N30,4,1)="2",$N$15&lt;&gt;$N$14),VLOOKUP(CONCATENATE(LEFT($N30,2),"L"),$R$63:$T$91,3,FALSE),0)+IF(AND($N30="O3/CP",$N$14=F$18),VLOOKUP("O3",$R$63:$T$91,3,FALSE)+VLOOKUP("CP",$R$63:$T$91,3,FALSE),0)+IF(AND($O30&lt;&gt;"",$O30&lt;&gt;"--",$O30&lt;&gt;"O3/CP",$O$14=F$18),IF(LEFT($O30,1)="P",VLOOKUP(CONCATENATE(LEFT($O30,2),"H"),$R$63:$T$91,3,FALSE),VLOOKUP($O30,$R$63:$T$91,3,FALSE)))+IF(AND($O30&lt;&gt;"",$O30&lt;&gt;"O3/CP",$O$15=F$18,MID($O30,4,1)="2",$O$15&lt;&gt;$O$14),VLOOKUP(CONCATENATE(LEFT($O30,2),"L"),$R$63:$T$91,3,FALSE),0)+IF(AND($O30="O3/CP",$O$14=F$18),VLOOKUP("O3",$R$63:$T$91,3,FALSE)+VLOOKUP("CP",$R$63:$T$91,3,FALSE),0)+IF(AND($P30&lt;&gt;"",$P30&lt;&gt;"--",$P30&lt;&gt;"O3/CP",$P$14=F$18),IF(LEFT($P30,1)="P",VLOOKUP(CONCATENATE(LEFT($P30,2),"H"),$R$63:$T$91,3,FALSE),VLOOKUP($P30,$R$63:$T$91,3,FALSE)))+IF(AND($P30&lt;&gt;"",$P30&lt;&gt;"O3/CP",$P$15=F$18,MID($P30,4,1)="2",$P$15&lt;&gt;$P$14),VLOOKUP(CONCATENATE(LEFT($P30,2),"L"),$R$63:$T$91,3,FALSE),0)+IF(AND($P30="O3/CP",$P$14=F$18),VLOOKUP("O3",$R$63:$T$91,3,FALSE)+VLOOKUP("CP",$R$63:$T$91,3,FALSE),0)+IF(AND($Q30&lt;&gt;"",$Q30&lt;&gt;"--",$Q30&lt;&gt;"O3/CP",$Q$14=F$18),IF(LEFT($Q30,1)="P",VLOOKUP(CONCATENATE(LEFT($Q30,2),"H"),$R$63:$T$91,3,FALSE),VLOOKUP($Q30,$R$63:$T$91,3,FALSE)))+IF(AND($Q30&lt;&gt;"",$Q30&lt;&gt;"O3/CP",$Q$15=F$18,MID($Q30,4,1)="2",$Q$15&lt;&gt;$Q$14),VLOOKUP(CONCATENATE(LEFT($Q30,2),"L"),$R$63:$T$91,3,FALSE),0)+IF(AND($Q30="O3/CP",$Q$14=F$18),VLOOKUP("O3",$R$63:$T$91,3,FALSE)+VLOOKUP("CP",$R$63:$T$91,3,FALSE),0)+IF(AND($R30&lt;&gt;"",$R30&lt;&gt;"--",$R30&lt;&gt;"O3/CP",$R$14=F$18),IF(LEFT($R30,1)="P",VLOOKUP(CONCATENATE(LEFT($R30,2),"H"),$R$63:$T$91,3,FALSE),VLOOKUP($R30,$R$63:$T$91,3,FALSE)))+IF(AND($R30&lt;&gt;"",$R30&lt;&gt;"O3/CP",$R$15=F$18,MID($R30,4,1)="2",$R$15&lt;&gt;$R$14),VLOOKUP(CONCATENATE(LEFT($R30,2),"L"),$R$63:$T$91,3,FALSE),0)+IF(AND($R30="O3/CP",$R$14=F$18),VLOOKUP("O3",$R$63:$T$91,3,FALSE)+VLOOKUP("CP",$R$63:$T$91,3,FALSE),0)+IF(AND($S30&lt;&gt;"",$S30&lt;&gt;"--",$S30&lt;&gt;"O3/CP",$S$14=F$18),IF(LEFT($S30,1)="P",VLOOKUP(CONCATENATE(LEFT($S30,2),"H"),$R$63:$T$91,3,FALSE),VLOOKUP($S30,$R$63:$T$91,3,FALSE)))+IF(AND($S30&lt;&gt;"",$S30&lt;&gt;"O3/CP",$S$15=F$18,MID($S30,4,1)="2",$S$15&lt;&gt;$S$14),VLOOKUP(CONCATENATE(LEFT($S30,2),"L"),$R$63:$T$91,3,FALSE),0)+IF(AND($S30="O3/CP",$S$14=F$18),VLOOKUP("O3",$R$63:$T$91,3,FALSE)+VLOOKUP("CP",$R$63:$T$91,3,FALSE),0)+IF(AND($T30&lt;&gt;"",$T30&lt;&gt;"--",$T30&lt;&gt;"O3/CP",$T$14=F$18),IF(LEFT($T30,1)="P",VLOOKUP(CONCATENATE(LEFT($T30,2),"H"),$R$63:$T$91,3,FALSE),VLOOKUP($T30,$R$63:$T$91,3,FALSE)))+IF(AND($T30&lt;&gt;"",$T30&lt;&gt;"O3/CP",$T$15=F$18,MID($T30,4,1)="2",$T$15&lt;&gt;$T$14),VLOOKUP(CONCATENATE(LEFT($T30,2),"L"),$R$63:$T$91,3,FALSE),0)+IF(AND($T30="O3/CP",$T$14=F$18),VLOOKUP("O3",$R$63:$T$91,3,FALSE)+VLOOKUP("CP",$R$63:$T$91,3,FALSE),0)+IF(AND($U30&lt;&gt;"",$U30&lt;&gt;"--",$U30&lt;&gt;"O3/CP",$U$14=F$18),IF(LEFT($U30,1)="P",VLOOKUP(CONCATENATE(LEFT($U30,2),"H"),$R$63:$T$91,3,FALSE),VLOOKUP($U30,$R$63:$T$91,3,FALSE)))+IF(AND($U30&lt;&gt;"",$U30&lt;&gt;"O3/CP",$U$15=F$18,MID($U30,4,1)="2",$U$15&lt;&gt;$U$14),VLOOKUP(CONCATENATE(LEFT($U30,2),"L"),$R$63:$T$91,3,FALSE),0)+IF(AND($U30="O3/CP",$T$14=F$18),VLOOKUP("O3",$R$63:$T$91,3,FALSE)+VLOOKUP("CP",$R$63:$T$91,3,FALSE),0)+IF(AND($V30&lt;&gt;"",$V30&lt;&gt;"--",$V30&lt;&gt;"O3/CP",$V$14=F$18),IF(LEFT($V30,1)="P",VLOOKUP(CONCATENATE(LEFT($V30,2),"H"),$R$63:$T$91,3,FALSE),VLOOKUP($V30,$R$63:$T$91,3,FALSE)))+IF(AND($V30&lt;&gt;"",$V30&lt;&gt;"O3/CP",$V$15=F$18,MID($V30,4,1)="2",$V$15&lt;&gt;$V$14),VLOOKUP(CONCATENATE(LEFT($V30,2),"L"),$R$63:$T$91,3,FALSE),0)+IF(AND($V30="O3/CP",$V$14=F$18),VLOOKUP("O3",$R$63:$T$91,3,FALSE)+VLOOKUP("CP",$R$63:$T$91,3,FALSE),0)+IF(AND($W30&lt;&gt;"",$W30&lt;&gt;"--",$W30&lt;&gt;"O3/CP",$W$14=F$18),IF(LEFT($W30,1)="P",VLOOKUP(CONCATENATE(LEFT($W30,2),"H"),$R$63:$T$91,3,FALSE),VLOOKUP($W30,$R$63:$T$91,3,FALSE)))+IF(AND($W30&lt;&gt;"",$W30&lt;&gt;"O3/CP",$W$15=F$18,MID($W30,4,1)="2",$W$15&lt;&gt;$W$14),VLOOKUP(CONCATENATE(LEFT($W30,2),"L"),$R$63:$T$91,3,FALSE),0)+IF(AND($W30="O3/CP",$W$14=F$18),VLOOKUP("O3",$R$63:$T$91,3,FALSE)+VLOOKUP("CP",$R$63:$T$91,3,FALSE),0)+IF(AND($X30&lt;&gt;"",$X30&lt;&gt;"--",$X30&lt;&gt;"O3/CP",$X$14=F$18),IF(LEFT($X30,1)="P",VLOOKUP(CONCATENATE(LEFT($X30,2),"H"),$R$63:$T$91,3,FALSE),VLOOKUP($X30,$R$63:$T$91,3,FALSE)))+IF(AND($X30&lt;&gt;"",$X30&lt;&gt;"O3/CP",$X$15=F$18,MID($X30,4,1)="2",$X$15&lt;&gt;$X$14),VLOOKUP(CONCATENATE(LEFT($X30,2),"L"),$R$63:$T$91,3,FALSE),0)+IF(AND($X30="O3/CP",$X$14=F$18),VLOOKUP("O3",$R$63:$T$91,3,FALSE)+VLOOKUP("CP",$R$63:$T$91,3,FALSE),0)+IF(AND($Y30&lt;&gt;"",$Y30&lt;&gt;"--",$Y30&lt;&gt;"O3/CP",$Y$14=F$18),IF(LEFT($Y30,1)="P",VLOOKUP(CONCATENATE(LEFT($Y30,2),"H"),$R$63:$T$91,3,FALSE),VLOOKUP($Y30,$R$63:$T$91,3,FALSE)))+IF(AND($Y30&lt;&gt;"",$Y30&lt;&gt;"O3/CP",$Y$15=F$18,MID($Y30,4,1)="2",$Y$15&lt;&gt;$Y$14),VLOOKUP(CONCATENATE(LEFT($Y30,2),"L"),$R$63:$T$91,3,FALSE),0)+IF(AND($Y30="O3/CP",$Y$14=F$18),VLOOKUP("O3",$R$63:$T$91,3,FALSE)+VLOOKUP("CP",$R$63:$T$91,3,FALSE),0)+IF(AND($K$6="CE",'[3]Supply Attribution'!$G$20=F$18),LEFT($S$90,2),0)+IF(AND($X$86&lt;&gt;"Not Set",$X$87=F$18),$X$86,0)</f>
        <v>0</v>
      </c>
      <c r="G30" s="269">
        <f>IF(AND($K$6="CE",$T$59="1 Phase"),SUM(A30:F30)-IF(AND($K$14&lt;&gt;$K$15,RIGHT($K30,3)="2SP"),VLOOKUP(CONCATENATE(LEFT($K30,2),"L"),$R$63:$T$90,3,FALSE),0)-IF(AND($L$14&lt;&gt;$L$15,RIGHT($L30,3)="2SP"),VLOOKUP(CONCATENATE(LEFT($L30,2),"L"),$R$63:$T$90,3,FALSE),0)-IF(AND($M$14&lt;&gt;$M$15,RIGHT($M30,3)="2SP"),VLOOKUP(CONCATENATE(LEFT($M30,2),"L"),$R$63:$T$90,3,FALSE),0)-IF(AND($N$14&lt;&gt;$N$15,RIGHT($N30,3)="2SP"),VLOOKUP(CONCATENATE(LEFT($N30,2),"L"),$R$63:$T$90,3,FALSE),0)-IF(AND($O$14&lt;&gt;$O$15,RIGHT($O30,3)="2SP"),VLOOKUP(CONCATENATE(LEFT($O30,2),"L"),$R$63:$T$90,3,FALSE),0)-IF(AND($P$14&lt;&gt;$P$15,RIGHT($P30,3)="2SP"),VLOOKUP(CONCATENATE(LEFT($P30,2),"L"),$R$63:$T$90,3,FALSE),0)-IF(AND($Q$14&lt;&gt;$Q$15,RIGHT($Q30,3)="2SP"),VLOOKUP(CONCATENATE(LEFT($Q30,2),"L"),$R$63:$T$90,3,FALSE),0)-IF(AND($R$14&lt;&gt;$R$15,RIGHT($T30,3)="2SP"),VLOOKUP(CONCATENATE(LEFT($R30,2),"L"),$R$63:$T$90,3,FALSE),0)-IF(AND($S$14&lt;&gt;$S$15,RIGHT($T30,3)="2SP"),VLOOKUP(CONCATENATE(LEFT($S30,2),"L"),$R$63:$T$90,3,FALSE),0)-IF(AND($T$14&lt;&gt;$T$15,RIGHT($T30,3)="2SP"),VLOOKUP(CONCATENATE(LEFT($T30,2),"L"),$R$63:$T$90,3,FALSE),0)-IF(AND($U$14&lt;&gt;$U$15,RIGHT($U30,3)="2SP"),VLOOKUP(CONCATENATE(LEFT($U30,2),"L"),$R$63:$T$90,3,FALSE),0)-IF(AND($V$14&lt;&gt;$V$15,RIGHT($V30,3)="2SP"),VLOOKUP(CONCATENATE(LEFT($V30,2),"L"),$R$63:$T$90,3,FALSE),0)-IF(AND($W$14&lt;&gt;$W$15,RIGHT($W30,3)="2SP"),VLOOKUP(CONCATENATE(LEFT($W30,2),"L"),$R$63:$T$90,3,FALSE),0)-IF(AND($X$14&lt;&gt;$X$15,RIGHT($X30,3)="2SP"),VLOOKUP(CONCATENATE(LEFT($X30,2),"L"),$R$63:$T$90,3,FALSE),0)-IF(AND($Y$14&lt;&gt;$Y$15,RIGHT($Y30,3)="2SP"),VLOOKUP(CONCATENATE(LEFT($Y30,2),"L"),$R$63:$T$90,3,FALSE),0),IF(VLOOKUP(CONCATENATE($A$18,"Line"),'[3]Supply Attribution'!$F$31:$G$37,2,FALSE)=G$18,$A30,0)+IF(VLOOKUP(CONCATENATE($B$18,"Line"),'[3]Supply Attribution'!$F$31:$G$37,2,FALSE)=G$18,$B30,0)+IF(VLOOKUP(CONCATENATE($C$18,"Line"),'[3]Supply Attribution'!$F$31:$G$37,2,FALSE)=G$18,$C30,0)+IF(VLOOKUP(CONCATENATE($D$18,"Line"),'[3]Supply Attribution'!$F$31:$G$37,2,FALSE)=G$18,$D30,0)+IF(VLOOKUP(CONCATENATE($E$18,"Line"),'[3]Supply Attribution'!$F$31:$G$37,2,FALSE)=G$18,$E30,0)+IF(VLOOKUP(CONCATENATE($F$18,"Line"),'[3]Supply Attribution'!$F$31:$G$37,2,FALSE)=G$18,$F30,0)+IF($K$6="UL",LEFT($S$90,2),0)-IF(AND($K$16=G$18,$K$14&lt;&gt;$K$15,$K$16=$K$17,RIGHT($K30,3)="2SP"),VLOOKUP(CONCATENATE(LEFT($K30,2),"L"),$R$63:$T$90,3,FALSE),0)-IF(AND($L$16=G$18,$L$14&lt;&gt;$L$15,$L$16=$L$17,RIGHT($L30,3)="2SP"),VLOOKUP(CONCATENATE(LEFT($L30,2),"L"),$R$63:$T$90,3,FALSE),0)-IF(AND($M$16=G$18,$M$14&lt;&gt;$M$15,$M$16=$M$17,RIGHT($M30,3)="2SP"),VLOOKUP(CONCATENATE(LEFT($M30,2),"L"),$R$63:$T$90,3,FALSE),0)-IF(AND($N$16=G$18,$N$14&lt;&gt;$N$15,$N$16=$N$17,RIGHT($N30,3)="2SP"),VLOOKUP(CONCATENATE(LEFT($N30,2),"L"),$R$63:$T$90,3,FALSE),0)-IF(AND($O$16=G$18,$O$14&lt;&gt;$O$15,$O$16=$O$17,RIGHT($O30,3)="2SP"),VLOOKUP(CONCATENATE(LEFT($O30,2),"L"),$R$63:$T$90,3,FALSE),0)-IF(AND($P$16=G$18,$P$14&lt;&gt;$P$15,$P$16=$P$17,RIGHT($P30,3)="2SP"),VLOOKUP(CONCATENATE(LEFT($P30,2),"L"),$R$63:$T$90,3,FALSE),0)-IF(AND($Q$16=G$18,$Q$14&lt;&gt;$Q$15,$Q$16=$Q$17,RIGHT($Q30,3)="2SP"),VLOOKUP(CONCATENATE(LEFT($Q30,2),"L"),$R$63:$T$90,3,FALSE),0)-IF(AND($R$16=G$18,$R$14&lt;&gt;$R$15,$R$16=$R$17,RIGHT($R30,3)="2SP"),VLOOKUP(CONCATENATE(LEFT($R30,2),"L"),$R$63:$T$90,3,FALSE),0)-IF(AND($S$16=G$18,$S$14&lt;&gt;$S$15,$S$16=$S$17,RIGHT($S30,3)="2SP"),VLOOKUP(CONCATENATE(LEFT($S30,2),"L"),$R$63:$T$90,3,FALSE),0)-IF(AND($T$16=G$18,$T$14&lt;&gt;$T$15,$T$16=$T$17,RIGHT($T30,3)="2SP"),VLOOKUP(CONCATENATE(LEFT($T30,2),"L"),$R$63:$T$90,3,FALSE),0)-IF(AND($U$16=G$18,$U$14&lt;&gt;$U$15,$U$16=$U$17,RIGHT($U30,3)="2SP"),VLOOKUP(CONCATENATE(LEFT($U30,2),"L"),$R$63:$T$90,3,FALSE),0)-IF(AND($V$16=G$18,$V$14&lt;&gt;$V$15,$V$16=$V$17,RIGHT($V30,3)="2SP"),VLOOKUP(CONCATENATE(LEFT($V30,2),"L"),$R$63:$T$90,3,FALSE),0)-IF(AND($W$16=G$18,$W$14&lt;&gt;$W$15,$W$16=$W$17,RIGHT($W30,3)="2SP"),VLOOKUP(CONCATENATE(LEFT($W30,2),"L"),$R$63:$T$90,3,FALSE),0)-IF(AND($X$16=G$18,$X$14&lt;&gt;$X$15,$X$16=$X$17,RIGHT($X30,3)="2SP"),VLOOKUP(CONCATENATE(LEFT($X30,2),"L"),$R$63:$T$90,3,FALSE),0)-IF(AND($Y$16=G$18,$Y$14&lt;&gt;$Y$15,$Y$16=$Y$17,RIGHT($Y30,3)="2SP"),VLOOKUP(CONCATENATE(LEFT($Y30,2),"L"),$R$63:$T$90,3,FALSE),0))</f>
        <v>43</v>
      </c>
      <c r="H30" s="269" t="str">
        <f>IF(H$18&lt;&gt;"",IF(VLOOKUP(CONCATENATE($A$18,"Line"),'Supply Attribution'!$F$31:$G$37,2,FALSE)=H$18,$A30,0)+IF(VLOOKUP(CONCATENATE($B$18,"Line"),'Supply Attribution'!$F$31:$G$37,2,FALSE)=H$18,$B30,0)+IF(VLOOKUP(CONCATENATE($C$18,"Line"),'Supply Attribution'!$F$31:$G$37,2,FALSE)=H$18,$C30,0)+IF(VLOOKUP(CONCATENATE($D$18,"Line"),'Supply Attribution'!$F$31:$G$37,2,FALSE)=H$18,$D30,0)+IF(VLOOKUP(CONCATENATE($E$18,"Line"),'Supply Attribution'!$F$31:$G$37,2,FALSE)=H$18,$E30,0)+IF(VLOOKUP(CONCATENATE($F$18,"Line"),'Supply Attribution'!$F$31:$G$37,2,FALSE)=H$18,$F30,0)+IF($K$6="UL",LEFT($S$90,2),0)-IF(AND($K$16=H$18,$K$14&lt;&gt;$K$15,$K$16=$K$17,RIGHT($K30,3)="2SP"),VLOOKUP(CONCATENATE(LEFT($K30,2),"L"),$R$63:$T$90,3,FALSE),0)-IF(AND($L$16=H$18,$L$14&lt;&gt;$L$15,$L$16=$L$17,RIGHT($L30,3)="2SP"),VLOOKUP(CONCATENATE(LEFT($L30,2),"L"),$R$63:$T$90,3,FALSE),0)-IF(AND($M$16=H$18,$M$14&lt;&gt;$M$15,$M$16=$M$17,RIGHT($M30,3)="2SP"),VLOOKUP(CONCATENATE(LEFT($M30,2),"L"),$R$63:$T$90,3,FALSE),0)-IF(AND($N$16=H$18,$N$14&lt;&gt;$N$15,$N$16=$N$17,RIGHT($N30,3)="2SP"),VLOOKUP(CONCATENATE(LEFT($N30,2),"L"),$R$63:$T$90,3,FALSE),0)-IF(AND($O$16=H$18,$O$14&lt;&gt;$O$15,$O$16=$O$17,RIGHT($O30,3)="2SP"),VLOOKUP(CONCATENATE(LEFT($O30,2),"L"),$R$63:$T$90,3,FALSE),0)-IF(AND($P$16=H$18,$P$14&lt;&gt;$P$15,$P$16=$P$17,RIGHT($P30,3)="2SP"),VLOOKUP(CONCATENATE(LEFT($P30,2),"L"),$R$63:$T$90,3,FALSE),0)-IF(AND($Q$16=H$18,$Q$14&lt;&gt;$Q$15,$Q$16=$Q$17,RIGHT($Q30,3)="2SP"),VLOOKUP(CONCATENATE(LEFT($Q30,2),"L"),$R$63:$T$90,3,FALSE),0)-IF(AND($T$16=H$18,$T$14&lt;&gt;$T$15,$T$16=$T$17,RIGHT($T30,3)="2SP"),VLOOKUP(CONCATENATE(LEFT($T30,2),"L"),$R$63:$T$90,3,FALSE),0)-IF(AND($U$16=H$18,$U$14&lt;&gt;$U$15,$U$16=$U$17,RIGHT($U30,3)="2SP"),VLOOKUP(CONCATENATE(LEFT($U30,2),"L"),$R$63:$T$90,3,FALSE),0)-IF(AND($V$16=H$18,$V$14&lt;&gt;$V$15,$V$16=$V$17,RIGHT($V30,3)="2SP"),VLOOKUP(CONCATENATE(LEFT($V30,2),"L"),$R$63:$T$90,3,FALSE),0)-IF(AND($W$16=H$18,$W$14&lt;&gt;$W$15,$W$16=$W$17,RIGHT($W30,3)="2SP"),VLOOKUP(CONCATENATE(LEFT($W30,2),"L"),$R$63:$T$90,3,FALSE),0)-IF(AND($X$16=H$18,$X$14&lt;&gt;$X$15,$X$16=$X$17,RIGHT($X30,3)="2SP"),VLOOKUP(CONCATENATE(LEFT($X30,2),"L"),$R$63:$T$90,3,FALSE),0)-IF(AND($Y$16=H$18,$Y$14&lt;&gt;$Y$15,$Y$16=$Y$17,RIGHT($Y30,3)="2SP"),VLOOKUP(CONCATENATE(LEFT($Y30,2),"L"),$R$63:$T$90,3,FALSE),0)+IF(AND($K$6="CE",$T$59="2 Phases",H$18&lt;&gt;""),IF(VLOOKUP(CONCATENATE($A$18,"Line"),'Supply Attribution'!$F$31:$G$37,2,FALSE)="Line3",$A30,0)+IF(VLOOKUP(CONCATENATE($B$18,"Line"),'Supply Attribution'!$F$31:$G$37,2,FALSE)="Line3",$B30,0)+IF(VLOOKUP(CONCATENATE($C$18,"Line"),'Supply Attribution'!$F$31:$G$37,2,FALSE)="Line3",$C30,0)+IF(VLOOKUP(CONCATENATE($D$18,"Line"),'Supply Attribution'!$F$31:$G$37,2,FALSE)="Line3",$D30,0)+IF(VLOOKUP(CONCATENATE($E$18,"Line"),'Supply Attribution'!$F$31:$G$37,2,FALSE)="Line3",$E30,0)+IF(VLOOKUP(CONCATENATE($F$18,"Line"),'Supply Attribution'!$F$31:$G$37,2,FALSE)="Line3",$F30,0)-IF(AND($K$16=I$18,$K$14&lt;&gt;$K$15,$K$16=$K$17,RIGHT($K30,3)="2SP"),VLOOKUP(CONCATENATE(LEFT($K30,2),"L"),$R$63:$T$90,3,FALSE),0)-IF(AND($L$16=I$18,$L$14&lt;&gt;$L$15,$L$16=$L$17,RIGHT($L30,3)="2SP"),VLOOKUP(CONCATENATE(LEFT($L30,2),"L"),$R$63:$T$90,3,FALSE),0)-IF(AND($M$16=I$18,$M$14&lt;&gt;$M$15,$M$16=$M$17,RIGHT($M30,3)="2SP"),VLOOKUP(CONCATENATE(LEFT($M30,2),"L"),$R$63:$T$90,3,FALSE),0)-IF(AND($N$16=I$18,$N$14&lt;&gt;$N$15,$N$16=$N$17,RIGHT($N30,3)="2SP"),VLOOKUP(CONCATENATE(LEFT($N30,2),"L"),$R$63:$T$90,3,FALSE),0)-IF(AND($O$16=I$18,$O$14&lt;&gt;$O$15,$O$16=$O$17,RIGHT($O30,3)="2SP"),VLOOKUP(CONCATENATE(LEFT($O30,2),"L"),$R$63:$T$90,3,FALSE),0)-IF(AND($P$16=I$18,$P$14&lt;&gt;$P$15,$P$16=$P$17,RIGHT($P30,3)="2SP"),VLOOKUP(CONCATENATE(LEFT($P30,2),"L"),$R$63:$T$90,3,FALSE),0)-IF(AND($Q$16=I$18,$Q$14&lt;&gt;$Q$15,$Q$16=$Q$17,RIGHT($Q30,3)="2SP"),VLOOKUP(CONCATENATE(LEFT($Q30,2),"L"),$R$63:$T$90,3,FALSE),0)-IF(AND($T$16=I$18,$T$14&lt;&gt;$T$15,$T$16=$T$17,RIGHT($T30,3)="2SP"),VLOOKUP(CONCATENATE(LEFT($T30,2),"L"),$R$63:$T$90,3,FALSE),0)-IF(AND($U$16=I$18,$U$14&lt;&gt;$U$15,$U$16=$U$17,RIGHT($U30,3)="2SP"),VLOOKUP(CONCATENATE(LEFT($U30,2),"L"),$R$63:$T$90,3,FALSE),0)-IF(AND($V$16=I$18,$V$14&lt;&gt;$V$15,$V$16=$V$17,RIGHT($V30,3)="2SP"),VLOOKUP(CONCATENATE(LEFT($V30,2),"L"),$R$63:$T$90,3,FALSE),0)-IF(AND($W$16=I$18,$W$14&lt;&gt;$W$15,$W$16=$W$17,RIGHT($W30,3)="2SP"),VLOOKUP(CONCATENATE(LEFT($W30,2),"L"),$R$63:$T$90,3,FALSE),0)-IF(AND($X$16=I$18,$X$14&lt;&gt;$X$15,$X$16=$X$17,RIGHT($X30,3)="2SP"),VLOOKUP(CONCATENATE(LEFT($X30,2),"L"),$R$63:$T$90,3,FALSE),0)-IF(AND($Y$16=I$18,$Y$14&lt;&gt;$Y$15,$Y$16=$Y$17,RIGHT($Y30,3)="2SP"),VLOOKUP(CONCATENATE(LEFT($Y30,2),"L"),$R$63:$T$90,3,FALSE),0),0),"")</f>
        <v/>
      </c>
      <c r="I30" s="269" t="str">
        <f>IF(I$18&lt;&gt;"",IF(VLOOKUP(CONCATENATE($A$18,"Line"),'Supply Attribution'!$F$31:$G$37,2,FALSE)=I$18,$A30,0)+IF(VLOOKUP(CONCATENATE($B$18,"Line"),'Supply Attribution'!$F$31:$G$37,2,FALSE)=I$18,$B30,0)+IF(VLOOKUP(CONCATENATE($C$18,"Line"),'Supply Attribution'!$F$31:$G$37,2,FALSE)=I$18,$C30,0)+IF(VLOOKUP(CONCATENATE($D$18,"Line"),'Supply Attribution'!$F$31:$G$37,2,FALSE)=I$18,$D30,0)+IF(VLOOKUP(CONCATENATE($E$18,"Line"),'Supply Attribution'!$F$31:$G$37,2,FALSE)=I$18,$E30,0)+IF(VLOOKUP(CONCATENATE($F$18,"Line"),'Supply Attribution'!$F$31:$G$37,2,FALSE)=I$18,$F30,0)+IF($K$6="UL",LEFT($S$90,2),0)-IF(AND($K$16=I$18,$K$14&lt;&gt;$K$15,$K$16=$K$17,RIGHT($K30,3)="2SP"),VLOOKUP(CONCATENATE(LEFT($K30,2),"L"),$R$63:$T$90,3,FALSE),0)-IF(AND($L$16=I$18,$L$14&lt;&gt;$L$15,$L$16=$L$17,RIGHT($L30,3)="2SP"),VLOOKUP(CONCATENATE(LEFT($L30,2),"L"),$R$63:$T$90,3,FALSE),0)-IF(AND($M$16=I$18,$M$14&lt;&gt;$M$15,$M$16=$M$17,RIGHT($M30,3)="2SP"),VLOOKUP(CONCATENATE(LEFT($M30,2),"L"),$R$63:$T$90,3,FALSE),0)-IF(AND($N$16=I$18,$N$14&lt;&gt;$N$15,$N$16=$N$17,RIGHT($N30,3)="2SP"),VLOOKUP(CONCATENATE(LEFT($N30,2),"L"),$R$63:$T$90,3,FALSE),0)-IF(AND($O$16=I$18,$O$14&lt;&gt;$O$15,$O$16=$O$17,RIGHT($O30,3)="2SP"),VLOOKUP(CONCATENATE(LEFT($O30,2),"L"),$R$63:$T$90,3,FALSE),0)-IF(AND($P$16=I$18,$P$14&lt;&gt;$P$15,$P$16=$P$17,RIGHT($P30,3)="2SP"),VLOOKUP(CONCATENATE(LEFT($P30,2),"L"),$R$63:$T$90,3,FALSE),0)-IF(AND($Q$16=I$18,$Q$14&lt;&gt;$Q$15,$Q$16=$Q$17,RIGHT($Q30,3)="2SP"),VLOOKUP(CONCATENATE(LEFT($Q30,2),"L"),$R$63:$T$90,3,FALSE),0)-IF(AND($T$16=I$18,$T$14&lt;&gt;$T$15,$T$16=$T$17,RIGHT($T30,3)="2SP"),VLOOKUP(CONCATENATE(LEFT($T30,2),"L"),$R$63:$T$90,3,FALSE),0)-IF(AND($U$16=I$18,$U$14&lt;&gt;$U$15,$U$16=$U$17,RIGHT($U30,3)="2SP"),VLOOKUP(CONCATENATE(LEFT($U30,2),"L"),$R$63:$T$90,3,FALSE),0)-IF(AND($V$16=I$18,$V$14&lt;&gt;$V$15,$V$16=$V$17,RIGHT($V30,3)="2SP"),VLOOKUP(CONCATENATE(LEFT($V30,2),"L"),$R$63:$T$90,3,FALSE),0)-IF(AND($W$16=I$18,$W$14&lt;&gt;$W$15,$W$16=$W$17,RIGHT($W30,3)="2SP"),VLOOKUP(CONCATENATE(LEFT($W30,2),"L"),$R$63:$T$90,3,FALSE),0)-IF(AND($X$16=I$18,$X$14&lt;&gt;$X$15,$X$16=$X$17,RIGHT($X30,3)="2SP"),VLOOKUP(CONCATENATE(LEFT($X30,2),"L"),$R$63:$T$90,3,FALSE),0)-IF(AND($Y$16=I$18,$Y$14&lt;&gt;$Y$15,$Y$16=$Y$17,RIGHT($Y30,3)="2SP"),VLOOKUP(CONCATENATE(LEFT($Y30,2),"L"),$R$63:$T$90,3,FALSE),0),"")</f>
        <v/>
      </c>
      <c r="J30" s="134">
        <f t="shared" si="1"/>
        <v>10</v>
      </c>
      <c r="K30" s="135" t="s">
        <v>22</v>
      </c>
      <c r="L30" s="135" t="s">
        <v>566</v>
      </c>
      <c r="M30" s="135" t="s">
        <v>391</v>
      </c>
      <c r="N30" s="135" t="s">
        <v>24</v>
      </c>
      <c r="O30" s="135" t="s">
        <v>286</v>
      </c>
      <c r="P30" s="135"/>
      <c r="Q30" s="723"/>
      <c r="R30" s="135"/>
      <c r="S30" s="135"/>
      <c r="T30" s="135"/>
      <c r="U30" s="135"/>
      <c r="V30" s="135"/>
      <c r="W30" s="135"/>
      <c r="X30" s="135"/>
      <c r="Y30" s="135"/>
      <c r="Z30" s="136" t="s">
        <v>24</v>
      </c>
      <c r="AA30" s="136" t="s">
        <v>357</v>
      </c>
      <c r="AB30" s="137" t="s">
        <v>164</v>
      </c>
      <c r="AC30" s="137" t="s">
        <v>568</v>
      </c>
      <c r="AD30" s="137" t="s">
        <v>164</v>
      </c>
      <c r="AE30" s="138">
        <f t="shared" si="0"/>
        <v>10</v>
      </c>
      <c r="AF30" s="78"/>
    </row>
    <row r="31" spans="1:32" ht="13.15" customHeight="1">
      <c r="A31" s="264">
        <f>IF(AND($K31&lt;&gt;"",$K31&lt;&gt;"--",$K31&lt;&gt;"O3/CP",$K$14=A$18),IF(LEFT($K31,1)="P",VLOOKUP(CONCATENATE(LEFT($K31,2),"H"),$R$63:$T$91,3,FALSE),VLOOKUP($K31,$R$63:$T$91,3,FALSE)))+IF(AND($K31&lt;&gt;"",$K31&lt;&gt;"O3/CP",$K$15=A$18,MID($K31,4,1)="2",$K$15&lt;&gt;$K$14),VLOOKUP(CONCATENATE(LEFT($K31,2),"L"),$R$63:$T$91,3,FALSE),0)+IF(AND($K31="O3/CP",$K$14=A$18),VLOOKUP("O3",$R$63:$T$91,3,FALSE)+VLOOKUP("CP",$R$63:$T$91,3,FALSE),0)+IF(AND($L31&lt;&gt;"",$L31&lt;&gt;"--",$L31&lt;&gt;"O3/CP",$L$14=A$18),IF(LEFT($L31,1)="P",VLOOKUP(CONCATENATE(LEFT($L31,2),"H"),$R$63:$T$91,3,FALSE),VLOOKUP($L31,$R$63:$T$91,3,FALSE)))+IF(AND($L31&lt;&gt;"",$L31&lt;&gt;"O3/CP",$L$15=A$18,MID($L31,4,1)="2",$L$15&lt;&gt;$L$14),VLOOKUP(CONCATENATE(LEFT($L31,2),"L"),$R$63:$T$91,3,FALSE),0)+IF(AND($L31="O3/CP",$L$14=A$18),VLOOKUP("O3",$R$63:$T$91,3,FALSE)+VLOOKUP("CP",$R$63:$T$91,3,FALSE),0)+IF(AND($M31&lt;&gt;"",$M31&lt;&gt;"--",$M31&lt;&gt;"O3/CP",$M$14=A$18),IF(LEFT($M31,1)="P",VLOOKUP(CONCATENATE(LEFT($M31,2),"H"),$R$63:$T$91,3,FALSE),VLOOKUP($M31,$R$63:$T$91,3,FALSE)))+IF(AND($M31&lt;&gt;"",$M31&lt;&gt;"O3/CP",$M$15=A$18,MID($M31,4,1)="2",$M$15&lt;&gt;$M$14),VLOOKUP(CONCATENATE(LEFT($M31,2),"L"),$R$63:$T$91,3,FALSE),0)+IF(AND($M31="O3/CP",$M$14=A$18),VLOOKUP("O3",$R$63:$T$91,3,FALSE)+VLOOKUP("CP",$R$63:$T$91,3,FALSE),0)+IF(AND($N31&lt;&gt;"",$N31&lt;&gt;"--",$N31&lt;&gt;"O3/CP",$N$14=A$18),IF(LEFT($N31,1)="P",VLOOKUP(CONCATENATE(LEFT($N31,2),"H"),$R$63:$T$91,3,FALSE),VLOOKUP($N31,$R$63:$T$91,3,FALSE)))+IF(AND($N31&lt;&gt;"",$N31&lt;&gt;"O3/CP",$N$15=A$18,MID($N31,4,1)="2",$N$15&lt;&gt;$N$14),VLOOKUP(CONCATENATE(LEFT($N31,2),"L"),$R$63:$T$91,3,FALSE),0)+IF(AND($N31="O3/CP",$N$14=A$18),VLOOKUP("O3",$R$63:$T$91,3,FALSE)+VLOOKUP("CP",$R$63:$T$91,3,FALSE),0)+IF(AND($O31&lt;&gt;"",$O31&lt;&gt;"--",$O31&lt;&gt;"O3/CP",$O$14=A$18),IF(LEFT($O31,1)="P",VLOOKUP(CONCATENATE(LEFT($O31,2),"H"),$R$63:$T$91,3,FALSE),VLOOKUP($O31,$R$63:$T$91,3,FALSE)))+IF(AND($O31&lt;&gt;"",$O31&lt;&gt;"O3/CP",$O$15=A$18,MID($O31,4,1)="2",$O$15&lt;&gt;$O$14),VLOOKUP(CONCATENATE(LEFT($O31,2),"L"),$R$63:$T$91,3,FALSE),0)+IF(AND($O31="O3/CP",$O$14=A$18),VLOOKUP("O3",$R$63:$T$91,3,FALSE)+VLOOKUP("CP",$R$63:$T$91,3,FALSE),0)+IF(AND($P31&lt;&gt;"",$P31&lt;&gt;"--",$P31&lt;&gt;"O3/CP",$P$14=A$18),IF(LEFT($P31,1)="P",VLOOKUP(CONCATENATE(LEFT($P31,2),"H"),$R$63:$T$91,3,FALSE),VLOOKUP($P31,$R$63:$T$91,3,FALSE)))+IF(AND($P31&lt;&gt;"",$P31&lt;&gt;"O3/CP",$P$15=A$18,MID($P31,4,1)="2",$P$15&lt;&gt;$P$14),VLOOKUP(CONCATENATE(LEFT($P31,2),"L"),$R$63:$T$91,3,FALSE),0)+IF(AND($P31="O3/CP",$P$14=A$18),VLOOKUP("O3",$R$63:$T$91,3,FALSE)+VLOOKUP("CP",$R$63:$T$91,3,FALSE),0)+IF(AND($Q31&lt;&gt;"",$Q31&lt;&gt;"--",$Q31&lt;&gt;"O3/CP",$Q$14=A$18),IF(LEFT($Q31,1)="P",VLOOKUP(CONCATENATE(LEFT($Q31,2),"H"),$R$63:$T$91,3,FALSE),VLOOKUP($Q31,$R$63:$T$91,3,FALSE)))+IF(AND($Q31&lt;&gt;"",$Q31&lt;&gt;"O3/CP",$Q$15=A$18,MID($Q31,4,1)="2",$Q$15&lt;&gt;$Q$14),VLOOKUP(CONCATENATE(LEFT($Q31,2),"L"),$R$63:$T$91,3,FALSE),0)+IF(AND($Q31="O3/CP",$Q$14=A$18),VLOOKUP("O3",$R$63:$T$91,3,FALSE)+VLOOKUP("CP",$R$63:$T$91,3,FALSE),0)+IF(AND($R31&lt;&gt;"",$R31&lt;&gt;"--",$R31&lt;&gt;"O3/CP",$R$14=A$18),IF(LEFT($R31,1)="P",VLOOKUP(CONCATENATE(LEFT($R31,2),"H"),$R$63:$T$91,3,FALSE),VLOOKUP($R31,$R$63:$T$91,3,FALSE)))+IF(AND($R31&lt;&gt;"",$R31&lt;&gt;"O3/CP",$R$15=A$18,MID($R31,4,1)="2",$R$15&lt;&gt;$R$14),VLOOKUP(CONCATENATE(LEFT($R31,2),"L"),$R$63:$T$91,3,FALSE),0)+IF(AND($R31="O3/CP",$R$14=A$18),VLOOKUP("O3",$R$63:$T$91,3,FALSE)+VLOOKUP("CP",$R$63:$T$91,3,FALSE),0)+IF(AND($S31&lt;&gt;"",$S31&lt;&gt;"--",$S31&lt;&gt;"O3/CP",$S$14=A$18),IF(LEFT($S31,1)="P",VLOOKUP(CONCATENATE(LEFT($S31,2),"H"),$R$63:$T$91,3,FALSE),VLOOKUP($S31,$R$63:$T$91,3,FALSE)))+IF(AND($S31&lt;&gt;"",$S31&lt;&gt;"O3/CP",$S$15=A$18,MID($S31,4,1)="2",$S$15&lt;&gt;$S$14),VLOOKUP(CONCATENATE(LEFT($S31,2),"L"),$R$63:$T$91,3,FALSE),0)+IF(AND($S31="O3/CP",$S$14=A$18),VLOOKUP("O3",$R$63:$T$91,3,FALSE)+VLOOKUP("CP",$R$63:$T$91,3,FALSE),0)+IF(AND($T31&lt;&gt;"",$T31&lt;&gt;"--",$T31&lt;&gt;"O3/CP",$T$14=A$18),IF(LEFT($T31,1)="P",VLOOKUP(CONCATENATE(LEFT($T31,2),"H"),$R$63:$T$91,3,FALSE),VLOOKUP($T31,$R$63:$T$91,3,FALSE)))+IF(AND($T31&lt;&gt;"",$T31&lt;&gt;"O3/CP",$T$15=A$18,MID($T31,4,1)="2",$T$15&lt;&gt;$T$14),VLOOKUP(CONCATENATE(LEFT($T31,2),"L"),$R$63:$T$91,3,FALSE),0)+IF(AND($T31="O3/CP",$T$14=A$18),VLOOKUP("O3",$R$63:$T$91,3,FALSE)+VLOOKUP("CP",$R$63:$T$91,3,FALSE),0)+IF(AND($U31&lt;&gt;"",$U31&lt;&gt;"--",$U31&lt;&gt;"O3/CP",$U$14=A$18),IF(LEFT($U31,1)="P",VLOOKUP(CONCATENATE(LEFT($U31,2),"H"),$R$63:$T$91,3,FALSE),VLOOKUP($U31,$R$63:$T$91,3,FALSE)))+IF(AND($U31&lt;&gt;"",$U31&lt;&gt;"O3/CP",$U$15=A$18,MID($U31,4,1)="2",$U$15&lt;&gt;$U$14),VLOOKUP(CONCATENATE(LEFT($U31,2),"L"),$R$63:$T$91,3,FALSE),0)+IF(AND($U31="O3/CP",$T$14=A$18),VLOOKUP("O3",$R$63:$T$91,3,FALSE)+VLOOKUP("CP",$R$63:$T$91,3,FALSE),0)+IF(AND($V31&lt;&gt;"",$V31&lt;&gt;"--",$V31&lt;&gt;"O3/CP",$V$14=A$18),IF(LEFT($V31,1)="P",VLOOKUP(CONCATENATE(LEFT($V31,2),"H"),$R$63:$T$91,3,FALSE),VLOOKUP($V31,$R$63:$T$91,3,FALSE)))+IF(AND($V31&lt;&gt;"",$V31&lt;&gt;"O3/CP",$V$15=A$18,MID($V31,4,1)="2",$V$15&lt;&gt;$V$14),VLOOKUP(CONCATENATE(LEFT($V31,2),"L"),$R$63:$T$91,3,FALSE),0)+IF(AND($V31="O3/CP",$V$14=A$18),VLOOKUP("O3",$R$63:$T$91,3,FALSE)+VLOOKUP("CP",$R$63:$T$91,3,FALSE),0)+IF(AND($W31&lt;&gt;"",$W31&lt;&gt;"--",$W31&lt;&gt;"O3/CP",$W$14=A$18),IF(LEFT($W31,1)="P",VLOOKUP(CONCATENATE(LEFT($W31,2),"H"),$R$63:$T$91,3,FALSE),VLOOKUP($W31,$R$63:$T$91,3,FALSE)))+IF(AND($W31&lt;&gt;"",$W31&lt;&gt;"O3/CP",$W$15=A$18,MID($W31,4,1)="2",$W$15&lt;&gt;$W$14),VLOOKUP(CONCATENATE(LEFT($W31,2),"L"),$R$63:$T$91,3,FALSE),0)+IF(AND($W31="O3/CP",$W$14=A$18),VLOOKUP("O3",$R$63:$T$91,3,FALSE)+VLOOKUP("CP",$R$63:$T$91,3,FALSE),0)+IF(AND($X31&lt;&gt;"",$X31&lt;&gt;"--",$X31&lt;&gt;"O3/CP",$X$14=A$18),IF(LEFT($X31,1)="P",VLOOKUP(CONCATENATE(LEFT($X31,2),"H"),$R$63:$T$91,3,FALSE),VLOOKUP($X31,$R$63:$T$91,3,FALSE)))+IF(AND($X31&lt;&gt;"",$X31&lt;&gt;"O3/CP",$X$15=A$18,MID($X31,4,1)="2",$X$15&lt;&gt;$X$14),VLOOKUP(CONCATENATE(LEFT($X31,2),"L"),$R$63:$T$91,3,FALSE),0)+IF(AND($X31="O3/CP",$X$14=A$18),VLOOKUP("O3",$R$63:$T$91,3,FALSE)+VLOOKUP("CP",$R$63:$T$91,3,FALSE),0)+IF(AND($Y31&lt;&gt;"",$Y31&lt;&gt;"--",$Y31&lt;&gt;"O3/CP",$Y$14=A$18),IF(LEFT($Y31,1)="P",VLOOKUP(CONCATENATE(LEFT($Y31,2),"H"),$R$63:$T$91,3,FALSE),VLOOKUP($Y31,$R$63:$T$91,3,FALSE)))+IF(AND($Y31&lt;&gt;"",$Y31&lt;&gt;"O3/CP",$Y$15=A$18,MID($Y31,4,1)="2",$Y$15&lt;&gt;$Y$14),VLOOKUP(CONCATENATE(LEFT($Y31,2),"L"),$R$63:$T$91,3,FALSE),0)+IF(AND($Y31="O3/CP",$Y$14=A$18),VLOOKUP("O3",$R$63:$T$91,3,FALSE)+VLOOKUP("CP",$R$63:$T$91,3,FALSE),0)+IF(AND($K$6="CE",'[3]Supply Attribution'!$G$20=A$18),LEFT($S$90,2),0)+IF(AND($X$86&lt;&gt;"Not Set",$X$87=A$18),$X$86,0)</f>
        <v>0</v>
      </c>
      <c r="B31" s="271">
        <f>IF(AND($K31&lt;&gt;"",$K31&lt;&gt;"--",$K31&lt;&gt;"O3/CP",$K$14=B$18),IF(LEFT($K31,1)="P",VLOOKUP(CONCATENATE(LEFT($K31,2),"H"),$R$63:$T$91,3,FALSE),VLOOKUP($K31,$R$63:$T$91,3,FALSE)))+IF(AND($K31&lt;&gt;"",$K31&lt;&gt;"O3/CP",$K$15=B$18,MID($K31,4,1)="2",$K$15&lt;&gt;$K$14),VLOOKUP(CONCATENATE(LEFT($K31,2),"L"),$R$63:$T$91,3,FALSE),0)+IF(AND($K31="O3/CP",$K$14=B$18),VLOOKUP("O3",$R$63:$T$91,3,FALSE)+VLOOKUP("CP",$R$63:$T$91,3,FALSE),0)+IF(AND($L31&lt;&gt;"",$L31&lt;&gt;"--",$L31&lt;&gt;"O3/CP",$L$14=B$18),IF(LEFT($L31,1)="P",VLOOKUP(CONCATENATE(LEFT($L31,2),"H"),$R$63:$T$91,3,FALSE),VLOOKUP($L31,$R$63:$T$91,3,FALSE)))+IF(AND($L31&lt;&gt;"",$L31&lt;&gt;"O3/CP",$L$15=B$18,MID($L31,4,1)="2",$L$15&lt;&gt;$L$14),VLOOKUP(CONCATENATE(LEFT($L31,2),"L"),$R$63:$T$91,3,FALSE),0)+IF(AND($L31="O3/CP",$L$14=B$18),VLOOKUP("O3",$R$63:$T$91,3,FALSE)+VLOOKUP("CP",$R$63:$T$91,3,FALSE),0)+IF(AND($M31&lt;&gt;"",$M31&lt;&gt;"--",$M31&lt;&gt;"O3/CP",$M$14=B$18),IF(LEFT($M31,1)="P",VLOOKUP(CONCATENATE(LEFT($M31,2),"H"),$R$63:$T$91,3,FALSE),VLOOKUP($M31,$R$63:$T$91,3,FALSE)))+IF(AND($M31&lt;&gt;"",$M31&lt;&gt;"O3/CP",$M$15=B$18,MID($M31,4,1)="2",$M$15&lt;&gt;$M$14),VLOOKUP(CONCATENATE(LEFT($M31,2),"L"),$R$63:$T$91,3,FALSE),0)+IF(AND($M31="O3/CP",$M$14=B$18),VLOOKUP("O3",$R$63:$T$91,3,FALSE)+VLOOKUP("CP",$R$63:$T$91,3,FALSE),0)+IF(AND($N31&lt;&gt;"",$N31&lt;&gt;"--",$N31&lt;&gt;"O3/CP",$N$14=B$18),IF(LEFT($N31,1)="P",VLOOKUP(CONCATENATE(LEFT($N31,2),"H"),$R$63:$T$91,3,FALSE),VLOOKUP($N31,$R$63:$T$91,3,FALSE)))+IF(AND($N31&lt;&gt;"",$N31&lt;&gt;"O3/CP",$N$15=B$18,MID($N31,4,1)="2",$N$15&lt;&gt;$N$14),VLOOKUP(CONCATENATE(LEFT($N31,2),"L"),$R$63:$T$91,3,FALSE),0)+IF(AND($N31="O3/CP",$N$14=B$18),VLOOKUP("O3",$R$63:$T$91,3,FALSE)+VLOOKUP("CP",$R$63:$T$91,3,FALSE),0)+IF(AND($O31&lt;&gt;"",$O31&lt;&gt;"--",$O31&lt;&gt;"O3/CP",$O$14=B$18),IF(LEFT($O31,1)="P",VLOOKUP(CONCATENATE(LEFT($O31,2),"H"),$R$63:$T$91,3,FALSE),VLOOKUP($O31,$R$63:$T$91,3,FALSE)))+IF(AND($O31&lt;&gt;"",$O31&lt;&gt;"O3/CP",$O$15=B$18,MID($O31,4,1)="2",$O$15&lt;&gt;$O$14),VLOOKUP(CONCATENATE(LEFT($O31,2),"L"),$R$63:$T$91,3,FALSE),0)+IF(AND($O31="O3/CP",$O$14=B$18),VLOOKUP("O3",$R$63:$T$91,3,FALSE)+VLOOKUP("CP",$R$63:$T$91,3,FALSE),0)+IF(AND($P31&lt;&gt;"",$P31&lt;&gt;"--",$P31&lt;&gt;"O3/CP",$P$14=B$18),IF(LEFT($P31,1)="P",VLOOKUP(CONCATENATE(LEFT($P31,2),"H"),$R$63:$T$91,3,FALSE),VLOOKUP($P31,$R$63:$T$91,3,FALSE)))+IF(AND($P31&lt;&gt;"",$P31&lt;&gt;"O3/CP",$P$15=B$18,MID($P31,4,1)="2",$P$15&lt;&gt;$P$14),VLOOKUP(CONCATENATE(LEFT($P31,2),"L"),$R$63:$T$91,3,FALSE),0)+IF(AND($P31="O3/CP",$P$14=B$18),VLOOKUP("O3",$R$63:$T$91,3,FALSE)+VLOOKUP("CP",$R$63:$T$91,3,FALSE),0)+IF(AND($Q31&lt;&gt;"",$Q31&lt;&gt;"--",$Q31&lt;&gt;"O3/CP",$Q$14=B$18),IF(LEFT($Q31,1)="P",VLOOKUP(CONCATENATE(LEFT($Q31,2),"H"),$R$63:$T$91,3,FALSE),VLOOKUP($Q31,$R$63:$T$91,3,FALSE)))+IF(AND($Q31&lt;&gt;"",$Q31&lt;&gt;"O3/CP",$Q$15=B$18,MID($Q31,4,1)="2",$Q$15&lt;&gt;$Q$14),VLOOKUP(CONCATENATE(LEFT($Q31,2),"L"),$R$63:$T$91,3,FALSE),0)+IF(AND($Q31="O3/CP",$Q$14=B$18),VLOOKUP("O3",$R$63:$T$91,3,FALSE)+VLOOKUP("CP",$R$63:$T$91,3,FALSE),0)+IF(AND($R31&lt;&gt;"",$R31&lt;&gt;"--",$R31&lt;&gt;"O3/CP",$R$14=B$18),IF(LEFT($R31,1)="P",VLOOKUP(CONCATENATE(LEFT($R31,2),"H"),$R$63:$T$91,3,FALSE),VLOOKUP($R31,$R$63:$T$91,3,FALSE)))+IF(AND($R31&lt;&gt;"",$R31&lt;&gt;"O3/CP",$R$15=B$18,MID($R31,4,1)="2",$R$15&lt;&gt;$R$14),VLOOKUP(CONCATENATE(LEFT($R31,2),"L"),$R$63:$T$91,3,FALSE),0)+IF(AND($R31="O3/CP",$R$14=B$18),VLOOKUP("O3",$R$63:$T$91,3,FALSE)+VLOOKUP("CP",$R$63:$T$91,3,FALSE),0)+IF(AND($S31&lt;&gt;"",$S31&lt;&gt;"--",$S31&lt;&gt;"O3/CP",$S$14=B$18),IF(LEFT($S31,1)="P",VLOOKUP(CONCATENATE(LEFT($S31,2),"H"),$R$63:$T$91,3,FALSE),VLOOKUP($S31,$R$63:$T$91,3,FALSE)))+IF(AND($S31&lt;&gt;"",$S31&lt;&gt;"O3/CP",$S$15=B$18,MID($S31,4,1)="2",$S$15&lt;&gt;$S$14),VLOOKUP(CONCATENATE(LEFT($S31,2),"L"),$R$63:$T$91,3,FALSE),0)+IF(AND($S31="O3/CP",$S$14=B$18),VLOOKUP("O3",$R$63:$T$91,3,FALSE)+VLOOKUP("CP",$R$63:$T$91,3,FALSE),0)+IF(AND($T31&lt;&gt;"",$T31&lt;&gt;"--",$T31&lt;&gt;"O3/CP",$T$14=B$18),IF(LEFT($T31,1)="P",VLOOKUP(CONCATENATE(LEFT($T31,2),"H"),$R$63:$T$91,3,FALSE),VLOOKUP($T31,$R$63:$T$91,3,FALSE)))+IF(AND($T31&lt;&gt;"",$T31&lt;&gt;"O3/CP",$T$15=B$18,MID($T31,4,1)="2",$T$15&lt;&gt;$T$14),VLOOKUP(CONCATENATE(LEFT($T31,2),"L"),$R$63:$T$91,3,FALSE),0)+IF(AND($T31="O3/CP",$T$14=B$18),VLOOKUP("O3",$R$63:$T$91,3,FALSE)+VLOOKUP("CP",$R$63:$T$91,3,FALSE),0)+IF(AND($U31&lt;&gt;"",$U31&lt;&gt;"--",$U31&lt;&gt;"O3/CP",$U$14=B$18),IF(LEFT($U31,1)="P",VLOOKUP(CONCATENATE(LEFT($U31,2),"H"),$R$63:$T$91,3,FALSE),VLOOKUP($U31,$R$63:$T$91,3,FALSE)))+IF(AND($U31&lt;&gt;"",$U31&lt;&gt;"O3/CP",$U$15=B$18,MID($U31,4,1)="2",$U$15&lt;&gt;$U$14),VLOOKUP(CONCATENATE(LEFT($U31,2),"L"),$R$63:$T$91,3,FALSE),0)+IF(AND($U31="O3/CP",$T$14=B$18),VLOOKUP("O3",$R$63:$T$91,3,FALSE)+VLOOKUP("CP",$R$63:$T$91,3,FALSE),0)+IF(AND($V31&lt;&gt;"",$V31&lt;&gt;"--",$V31&lt;&gt;"O3/CP",$V$14=B$18),IF(LEFT($V31,1)="P",VLOOKUP(CONCATENATE(LEFT($V31,2),"H"),$R$63:$T$91,3,FALSE),VLOOKUP($V31,$R$63:$T$91,3,FALSE)))+IF(AND($V31&lt;&gt;"",$V31&lt;&gt;"O3/CP",$V$15=B$18,MID($V31,4,1)="2",$V$15&lt;&gt;$V$14),VLOOKUP(CONCATENATE(LEFT($V31,2),"L"),$R$63:$T$91,3,FALSE),0)+IF(AND($V31="O3/CP",$V$14=B$18),VLOOKUP("O3",$R$63:$T$91,3,FALSE)+VLOOKUP("CP",$R$63:$T$91,3,FALSE),0)+IF(AND($W31&lt;&gt;"",$W31&lt;&gt;"--",$W31&lt;&gt;"O3/CP",$W$14=B$18),IF(LEFT($W31,1)="P",VLOOKUP(CONCATENATE(LEFT($W31,2),"H"),$R$63:$T$91,3,FALSE),VLOOKUP($W31,$R$63:$T$91,3,FALSE)))+IF(AND($W31&lt;&gt;"",$W31&lt;&gt;"O3/CP",$W$15=B$18,MID($W31,4,1)="2",$W$15&lt;&gt;$W$14),VLOOKUP(CONCATENATE(LEFT($W31,2),"L"),$R$63:$T$91,3,FALSE),0)+IF(AND($W31="O3/CP",$W$14=B$18),VLOOKUP("O3",$R$63:$T$91,3,FALSE)+VLOOKUP("CP",$R$63:$T$91,3,FALSE),0)+IF(AND($X31&lt;&gt;"",$X31&lt;&gt;"--",$X31&lt;&gt;"O3/CP",$X$14=B$18),IF(LEFT($X31,1)="P",VLOOKUP(CONCATENATE(LEFT($X31,2),"H"),$R$63:$T$91,3,FALSE),VLOOKUP($X31,$R$63:$T$91,3,FALSE)))+IF(AND($X31&lt;&gt;"",$X31&lt;&gt;"O3/CP",$X$15=B$18,MID($X31,4,1)="2",$X$15&lt;&gt;$X$14),VLOOKUP(CONCATENATE(LEFT($X31,2),"L"),$R$63:$T$91,3,FALSE),0)+IF(AND($X31="O3/CP",$X$14=B$18),VLOOKUP("O3",$R$63:$T$91,3,FALSE)+VLOOKUP("CP",$R$63:$T$91,3,FALSE),0)+IF(AND($Y31&lt;&gt;"",$Y31&lt;&gt;"--",$Y31&lt;&gt;"O3/CP",$Y$14=B$18),IF(LEFT($Y31,1)="P",VLOOKUP(CONCATENATE(LEFT($Y31,2),"H"),$R$63:$T$91,3,FALSE),VLOOKUP($Y31,$R$63:$T$91,3,FALSE)))+IF(AND($Y31&lt;&gt;"",$Y31&lt;&gt;"O3/CP",$Y$15=B$18,MID($Y31,4,1)="2",$Y$15&lt;&gt;$Y$14),VLOOKUP(CONCATENATE(LEFT($Y31,2),"L"),$R$63:$T$91,3,FALSE),0)+IF(AND($Y31="O3/CP",$Y$14=B$18),VLOOKUP("O3",$R$63:$T$91,3,FALSE)+VLOOKUP("CP",$R$63:$T$91,3,FALSE),0)+IF(AND($K$6="CE",'[3]Supply Attribution'!$G$20=B$18),LEFT($S$90,2),0)+IF(AND($X$86&lt;&gt;"Not Set",$X$87=B$18),$X$86,0)</f>
        <v>0</v>
      </c>
      <c r="C31" s="271">
        <f>IF(AND($K31&lt;&gt;"",$K31&lt;&gt;"--",$K31&lt;&gt;"O3/CP",$K$14=C$18),IF(LEFT($K31,1)="P",VLOOKUP(CONCATENATE(LEFT($K31,2),"H"),$R$63:$T$91,3,FALSE),VLOOKUP($K31,$R$63:$T$91,3,FALSE)))+IF(AND($K31&lt;&gt;"",$K31&lt;&gt;"O3/CP",$K$15=C$18,MID($K31,4,1)="2",$K$15&lt;&gt;$K$14),VLOOKUP(CONCATENATE(LEFT($K31,2),"L"),$R$63:$T$91,3,FALSE),0)+IF(AND($K31="O3/CP",$K$14=C$18),VLOOKUP("O3",$R$63:$T$91,3,FALSE)+VLOOKUP("CP",$R$63:$T$91,3,FALSE),0)+IF(AND($L31&lt;&gt;"",$L31&lt;&gt;"--",$L31&lt;&gt;"O3/CP",$L$14=C$18),IF(LEFT($L31,1)="P",VLOOKUP(CONCATENATE(LEFT($L31,2),"H"),$R$63:$T$91,3,FALSE),VLOOKUP($L31,$R$63:$T$91,3,FALSE)))+IF(AND($L31&lt;&gt;"",$L31&lt;&gt;"O3/CP",$L$15=C$18,MID($L31,4,1)="2",$L$15&lt;&gt;$L$14),VLOOKUP(CONCATENATE(LEFT($L31,2),"L"),$R$63:$T$91,3,FALSE),0)+IF(AND($L31="O3/CP",$L$14=C$18),VLOOKUP("O3",$R$63:$T$91,3,FALSE)+VLOOKUP("CP",$R$63:$T$91,3,FALSE),0)+IF(AND($M31&lt;&gt;"",$M31&lt;&gt;"--",$M31&lt;&gt;"O3/CP",$M$14=C$18),IF(LEFT($M31,1)="P",VLOOKUP(CONCATENATE(LEFT($M31,2),"H"),$R$63:$T$91,3,FALSE),VLOOKUP($M31,$R$63:$T$91,3,FALSE)))+IF(AND($M31&lt;&gt;"",$M31&lt;&gt;"O3/CP",$M$15=C$18,MID($M31,4,1)="2",$M$15&lt;&gt;$M$14),VLOOKUP(CONCATENATE(LEFT($M31,2),"L"),$R$63:$T$91,3,FALSE),0)+IF(AND($M31="O3/CP",$M$14=C$18),VLOOKUP("O3",$R$63:$T$91,3,FALSE)+VLOOKUP("CP",$R$63:$T$91,3,FALSE),0)+IF(AND($N31&lt;&gt;"",$N31&lt;&gt;"--",$N31&lt;&gt;"O3/CP",$N$14=C$18),IF(LEFT($N31,1)="P",VLOOKUP(CONCATENATE(LEFT($N31,2),"H"),$R$63:$T$91,3,FALSE),VLOOKUP($N31,$R$63:$T$91,3,FALSE)))+IF(AND($N31&lt;&gt;"",$N31&lt;&gt;"O3/CP",$N$15=C$18,MID($N31,4,1)="2",$N$15&lt;&gt;$N$14),VLOOKUP(CONCATENATE(LEFT($N31,2),"L"),$R$63:$T$91,3,FALSE),0)+IF(AND($N31="O3/CP",$N$14=C$18),VLOOKUP("O3",$R$63:$T$91,3,FALSE)+VLOOKUP("CP",$R$63:$T$91,3,FALSE),0)+IF(AND($O31&lt;&gt;"",$O31&lt;&gt;"--",$O31&lt;&gt;"O3/CP",$O$14=C$18),IF(LEFT($O31,1)="P",VLOOKUP(CONCATENATE(LEFT($O31,2),"H"),$R$63:$T$91,3,FALSE),VLOOKUP($O31,$R$63:$T$91,3,FALSE)))+IF(AND($O31&lt;&gt;"",$O31&lt;&gt;"O3/CP",$O$15=C$18,MID($O31,4,1)="2",$O$15&lt;&gt;$O$14),VLOOKUP(CONCATENATE(LEFT($O31,2),"L"),$R$63:$T$91,3,FALSE),0)+IF(AND($O31="O3/CP",$O$14=C$18),VLOOKUP("O3",$R$63:$T$91,3,FALSE)+VLOOKUP("CP",$R$63:$T$91,3,FALSE),0)+IF(AND($P31&lt;&gt;"",$P31&lt;&gt;"--",$P31&lt;&gt;"O3/CP",$P$14=C$18),IF(LEFT($P31,1)="P",VLOOKUP(CONCATENATE(LEFT($P31,2),"H"),$R$63:$T$91,3,FALSE),VLOOKUP($P31,$R$63:$T$91,3,FALSE)))+IF(AND($P31&lt;&gt;"",$P31&lt;&gt;"O3/CP",$P$15=C$18,MID($P31,4,1)="2",$P$15&lt;&gt;$P$14),VLOOKUP(CONCATENATE(LEFT($P31,2),"L"),$R$63:$T$91,3,FALSE),0)+IF(AND($P31="O3/CP",$P$14=C$18),VLOOKUP("O3",$R$63:$T$91,3,FALSE)+VLOOKUP("CP",$R$63:$T$91,3,FALSE),0)+IF(AND($Q31&lt;&gt;"",$Q31&lt;&gt;"--",$Q31&lt;&gt;"O3/CP",$Q$14=C$18),IF(LEFT($Q31,1)="P",VLOOKUP(CONCATENATE(LEFT($Q31,2),"H"),$R$63:$T$91,3,FALSE),VLOOKUP($Q31,$R$63:$T$91,3,FALSE)))+IF(AND($Q31&lt;&gt;"",$Q31&lt;&gt;"O3/CP",$Q$15=C$18,MID($Q31,4,1)="2",$Q$15&lt;&gt;$Q$14),VLOOKUP(CONCATENATE(LEFT($Q31,2),"L"),$R$63:$T$91,3,FALSE),0)+IF(AND($Q31="O3/CP",$Q$14=C$18),VLOOKUP("O3",$R$63:$T$91,3,FALSE)+VLOOKUP("CP",$R$63:$T$91,3,FALSE),0)+IF(AND($R31&lt;&gt;"",$R31&lt;&gt;"--",$R31&lt;&gt;"O3/CP",$R$14=C$18),IF(LEFT($R31,1)="P",VLOOKUP(CONCATENATE(LEFT($R31,2),"H"),$R$63:$T$91,3,FALSE),VLOOKUP($R31,$R$63:$T$91,3,FALSE)))+IF(AND($R31&lt;&gt;"",$R31&lt;&gt;"O3/CP",$R$15=C$18,MID($R31,4,1)="2",$R$15&lt;&gt;$R$14),VLOOKUP(CONCATENATE(LEFT($R31,2),"L"),$R$63:$T$91,3,FALSE),0)+IF(AND($R31="O3/CP",$R$14=C$18),VLOOKUP("O3",$R$63:$T$91,3,FALSE)+VLOOKUP("CP",$R$63:$T$91,3,FALSE),0)+IF(AND($S31&lt;&gt;"",$S31&lt;&gt;"--",$S31&lt;&gt;"O3/CP",$S$14=C$18),IF(LEFT($S31,1)="P",VLOOKUP(CONCATENATE(LEFT($S31,2),"H"),$R$63:$T$91,3,FALSE),VLOOKUP($S31,$R$63:$T$91,3,FALSE)))+IF(AND($S31&lt;&gt;"",$S31&lt;&gt;"O3/CP",$S$15=C$18,MID($S31,4,1)="2",$S$15&lt;&gt;$S$14),VLOOKUP(CONCATENATE(LEFT($S31,2),"L"),$R$63:$T$91,3,FALSE),0)+IF(AND($S31="O3/CP",$S$14=C$18),VLOOKUP("O3",$R$63:$T$91,3,FALSE)+VLOOKUP("CP",$R$63:$T$91,3,FALSE),0)+IF(AND($T31&lt;&gt;"",$T31&lt;&gt;"--",$T31&lt;&gt;"O3/CP",$T$14=C$18),IF(LEFT($T31,1)="P",VLOOKUP(CONCATENATE(LEFT($T31,2),"H"),$R$63:$T$91,3,FALSE),VLOOKUP($T31,$R$63:$T$91,3,FALSE)))+IF(AND($T31&lt;&gt;"",$T31&lt;&gt;"O3/CP",$T$15=C$18,MID($T31,4,1)="2",$T$15&lt;&gt;$T$14),VLOOKUP(CONCATENATE(LEFT($T31,2),"L"),$R$63:$T$91,3,FALSE),0)+IF(AND($T31="O3/CP",$T$14=C$18),VLOOKUP("O3",$R$63:$T$91,3,FALSE)+VLOOKUP("CP",$R$63:$T$91,3,FALSE),0)+IF(AND($U31&lt;&gt;"",$U31&lt;&gt;"--",$U31&lt;&gt;"O3/CP",$U$14=C$18),IF(LEFT($U31,1)="P",VLOOKUP(CONCATENATE(LEFT($U31,2),"H"),$R$63:$T$91,3,FALSE),VLOOKUP($U31,$R$63:$T$91,3,FALSE)))+IF(AND($U31&lt;&gt;"",$U31&lt;&gt;"O3/CP",$U$15=C$18,MID($U31,4,1)="2",$U$15&lt;&gt;$U$14),VLOOKUP(CONCATENATE(LEFT($U31,2),"L"),$R$63:$T$91,3,FALSE),0)+IF(AND($U31="O3/CP",$T$14=C$18),VLOOKUP("O3",$R$63:$T$91,3,FALSE)+VLOOKUP("CP",$R$63:$T$91,3,FALSE),0)+IF(AND($V31&lt;&gt;"",$V31&lt;&gt;"--",$V31&lt;&gt;"O3/CP",$V$14=C$18),IF(LEFT($V31,1)="P",VLOOKUP(CONCATENATE(LEFT($V31,2),"H"),$R$63:$T$91,3,FALSE),VLOOKUP($V31,$R$63:$T$91,3,FALSE)))+IF(AND($V31&lt;&gt;"",$V31&lt;&gt;"O3/CP",$V$15=C$18,MID($V31,4,1)="2",$V$15&lt;&gt;$V$14),VLOOKUP(CONCATENATE(LEFT($V31,2),"L"),$R$63:$T$91,3,FALSE),0)+IF(AND($V31="O3/CP",$V$14=C$18),VLOOKUP("O3",$R$63:$T$91,3,FALSE)+VLOOKUP("CP",$R$63:$T$91,3,FALSE),0)+IF(AND($W31&lt;&gt;"",$W31&lt;&gt;"--",$W31&lt;&gt;"O3/CP",$W$14=C$18),IF(LEFT($W31,1)="P",VLOOKUP(CONCATENATE(LEFT($W31,2),"H"),$R$63:$T$91,3,FALSE),VLOOKUP($W31,$R$63:$T$91,3,FALSE)))+IF(AND($W31&lt;&gt;"",$W31&lt;&gt;"O3/CP",$W$15=C$18,MID($W31,4,1)="2",$W$15&lt;&gt;$W$14),VLOOKUP(CONCATENATE(LEFT($W31,2),"L"),$R$63:$T$91,3,FALSE),0)+IF(AND($W31="O3/CP",$W$14=C$18),VLOOKUP("O3",$R$63:$T$91,3,FALSE)+VLOOKUP("CP",$R$63:$T$91,3,FALSE),0)+IF(AND($X31&lt;&gt;"",$X31&lt;&gt;"--",$X31&lt;&gt;"O3/CP",$X$14=C$18),IF(LEFT($X31,1)="P",VLOOKUP(CONCATENATE(LEFT($X31,2),"H"),$R$63:$T$91,3,FALSE),VLOOKUP($X31,$R$63:$T$91,3,FALSE)))+IF(AND($X31&lt;&gt;"",$X31&lt;&gt;"O3/CP",$X$15=C$18,MID($X31,4,1)="2",$X$15&lt;&gt;$X$14),VLOOKUP(CONCATENATE(LEFT($X31,2),"L"),$R$63:$T$91,3,FALSE),0)+IF(AND($X31="O3/CP",$X$14=C$18),VLOOKUP("O3",$R$63:$T$91,3,FALSE)+VLOOKUP("CP",$R$63:$T$91,3,FALSE),0)+IF(AND($Y31&lt;&gt;"",$Y31&lt;&gt;"--",$Y31&lt;&gt;"O3/CP",$Y$14=C$18),IF(LEFT($Y31,1)="P",VLOOKUP(CONCATENATE(LEFT($Y31,2),"H"),$R$63:$T$91,3,FALSE),VLOOKUP($Y31,$R$63:$T$91,3,FALSE)))+IF(AND($Y31&lt;&gt;"",$Y31&lt;&gt;"O3/CP",$Y$15=C$18,MID($Y31,4,1)="2",$Y$15&lt;&gt;$Y$14),VLOOKUP(CONCATENATE(LEFT($Y31,2),"L"),$R$63:$T$91,3,FALSE),0)+IF(AND($Y31="O3/CP",$Y$14=C$18),VLOOKUP("O3",$R$63:$T$91,3,FALSE)+VLOOKUP("CP",$R$63:$T$91,3,FALSE),0)+IF(AND($K$6="CE",'[3]Supply Attribution'!$G$20=C$18),LEFT($S$90,2),0)+IF(AND($X$86&lt;&gt;"Not Set",$X$87=C$18),$X$86,0)</f>
        <v>0</v>
      </c>
      <c r="D31" s="271">
        <f>IF(AND($K31&lt;&gt;"",$K31&lt;&gt;"--",$K31&lt;&gt;"O3/CP",$K$14=D$18),IF(LEFT($K31,1)="P",VLOOKUP(CONCATENATE(LEFT($K31,2),"H"),$R$63:$T$91,3,FALSE),VLOOKUP($K31,$R$63:$T$91,3,FALSE)))+IF(AND($K31&lt;&gt;"",$K31&lt;&gt;"O3/CP",$K$15=D$18,MID($K31,4,1)="2",$K$15&lt;&gt;$K$14),VLOOKUP(CONCATENATE(LEFT($K31,2),"L"),$R$63:$T$91,3,FALSE),0)+IF(AND($K31="O3/CP",$K$14=D$18),VLOOKUP("O3",$R$63:$T$91,3,FALSE)+VLOOKUP("CP",$R$63:$T$91,3,FALSE),0)+IF(AND($L31&lt;&gt;"",$L31&lt;&gt;"--",$L31&lt;&gt;"O3/CP",$L$14=D$18),IF(LEFT($L31,1)="P",VLOOKUP(CONCATENATE(LEFT($L31,2),"H"),$R$63:$T$91,3,FALSE),VLOOKUP($L31,$R$63:$T$91,3,FALSE)))+IF(AND($L31&lt;&gt;"",$L31&lt;&gt;"O3/CP",$L$15=D$18,MID($L31,4,1)="2",$L$15&lt;&gt;$L$14),VLOOKUP(CONCATENATE(LEFT($L31,2),"L"),$R$63:$T$91,3,FALSE),0)+IF(AND($L31="O3/CP",$L$14=D$18),VLOOKUP("O3",$R$63:$T$91,3,FALSE)+VLOOKUP("CP",$R$63:$T$91,3,FALSE),0)+IF(AND($M31&lt;&gt;"",$M31&lt;&gt;"--",$M31&lt;&gt;"O3/CP",$M$14=D$18),IF(LEFT($M31,1)="P",VLOOKUP(CONCATENATE(LEFT($M31,2),"H"),$R$63:$T$91,3,FALSE),VLOOKUP($M31,$R$63:$T$91,3,FALSE)))+IF(AND($M31&lt;&gt;"",$M31&lt;&gt;"O3/CP",$M$15=D$18,MID($M31,4,1)="2",$M$15&lt;&gt;$M$14),VLOOKUP(CONCATENATE(LEFT($M31,2),"L"),$R$63:$T$91,3,FALSE),0)+IF(AND($M31="O3/CP",$M$14=D$18),VLOOKUP("O3",$R$63:$T$91,3,FALSE)+VLOOKUP("CP",$R$63:$T$91,3,FALSE),0)+IF(AND($N31&lt;&gt;"",$N31&lt;&gt;"--",$N31&lt;&gt;"O3/CP",$N$14=D$18),IF(LEFT($N31,1)="P",VLOOKUP(CONCATENATE(LEFT($N31,2),"H"),$R$63:$T$91,3,FALSE),VLOOKUP($N31,$R$63:$T$91,3,FALSE)))+IF(AND($N31&lt;&gt;"",$N31&lt;&gt;"O3/CP",$N$15=D$18,MID($N31,4,1)="2",$N$15&lt;&gt;$N$14),VLOOKUP(CONCATENATE(LEFT($N31,2),"L"),$R$63:$T$91,3,FALSE),0)+IF(AND($N31="O3/CP",$N$14=D$18),VLOOKUP("O3",$R$63:$T$91,3,FALSE)+VLOOKUP("CP",$R$63:$T$91,3,FALSE),0)+IF(AND($O31&lt;&gt;"",$O31&lt;&gt;"--",$O31&lt;&gt;"O3/CP",$O$14=D$18),IF(LEFT($O31,1)="P",VLOOKUP(CONCATENATE(LEFT($O31,2),"H"),$R$63:$T$91,3,FALSE),VLOOKUP($O31,$R$63:$T$91,3,FALSE)))+IF(AND($O31&lt;&gt;"",$O31&lt;&gt;"O3/CP",$O$15=D$18,MID($O31,4,1)="2",$O$15&lt;&gt;$O$14),VLOOKUP(CONCATENATE(LEFT($O31,2),"L"),$R$63:$T$91,3,FALSE),0)+IF(AND($O31="O3/CP",$O$14=D$18),VLOOKUP("O3",$R$63:$T$91,3,FALSE)+VLOOKUP("CP",$R$63:$T$91,3,FALSE),0)+IF(AND($P31&lt;&gt;"",$P31&lt;&gt;"--",$P31&lt;&gt;"O3/CP",$P$14=D$18),IF(LEFT($P31,1)="P",VLOOKUP(CONCATENATE(LEFT($P31,2),"H"),$R$63:$T$91,3,FALSE),VLOOKUP($P31,$R$63:$T$91,3,FALSE)))+IF(AND($P31&lt;&gt;"",$P31&lt;&gt;"O3/CP",$P$15=D$18,MID($P31,4,1)="2",$P$15&lt;&gt;$P$14),VLOOKUP(CONCATENATE(LEFT($P31,2),"L"),$R$63:$T$91,3,FALSE),0)+IF(AND($P31="O3/CP",$P$14=D$18),VLOOKUP("O3",$R$63:$T$91,3,FALSE)+VLOOKUP("CP",$R$63:$T$91,3,FALSE),0)+IF(AND($Q31&lt;&gt;"",$Q31&lt;&gt;"--",$Q31&lt;&gt;"O3/CP",$Q$14=D$18),IF(LEFT($Q31,1)="P",VLOOKUP(CONCATENATE(LEFT($Q31,2),"H"),$R$63:$T$91,3,FALSE),VLOOKUP($Q31,$R$63:$T$91,3,FALSE)))+IF(AND($Q31&lt;&gt;"",$Q31&lt;&gt;"O3/CP",$Q$15=D$18,MID($Q31,4,1)="2",$Q$15&lt;&gt;$Q$14),VLOOKUP(CONCATENATE(LEFT($Q31,2),"L"),$R$63:$T$91,3,FALSE),0)+IF(AND($Q31="O3/CP",$Q$14=D$18),VLOOKUP("O3",$R$63:$T$91,3,FALSE)+VLOOKUP("CP",$R$63:$T$91,3,FALSE),0)+IF(AND($R31&lt;&gt;"",$R31&lt;&gt;"--",$R31&lt;&gt;"O3/CP",$R$14=D$18),IF(LEFT($R31,1)="P",VLOOKUP(CONCATENATE(LEFT($R31,2),"H"),$R$63:$T$91,3,FALSE),VLOOKUP($R31,$R$63:$T$91,3,FALSE)))+IF(AND($R31&lt;&gt;"",$R31&lt;&gt;"O3/CP",$R$15=D$18,MID($R31,4,1)="2",$R$15&lt;&gt;$R$14),VLOOKUP(CONCATENATE(LEFT($R31,2),"L"),$R$63:$T$91,3,FALSE),0)+IF(AND($R31="O3/CP",$R$14=D$18),VLOOKUP("O3",$R$63:$T$91,3,FALSE)+VLOOKUP("CP",$R$63:$T$91,3,FALSE),0)+IF(AND($S31&lt;&gt;"",$S31&lt;&gt;"--",$S31&lt;&gt;"O3/CP",$S$14=D$18),IF(LEFT($S31,1)="P",VLOOKUP(CONCATENATE(LEFT($S31,2),"H"),$R$63:$T$91,3,FALSE),VLOOKUP($S31,$R$63:$T$91,3,FALSE)))+IF(AND($S31&lt;&gt;"",$S31&lt;&gt;"O3/CP",$S$15=D$18,MID($S31,4,1)="2",$S$15&lt;&gt;$S$14),VLOOKUP(CONCATENATE(LEFT($S31,2),"L"),$R$63:$T$91,3,FALSE),0)+IF(AND($S31="O3/CP",$S$14=D$18),VLOOKUP("O3",$R$63:$T$91,3,FALSE)+VLOOKUP("CP",$R$63:$T$91,3,FALSE),0)+IF(AND($T31&lt;&gt;"",$T31&lt;&gt;"--",$T31&lt;&gt;"O3/CP",$T$14=D$18),IF(LEFT($T31,1)="P",VLOOKUP(CONCATENATE(LEFT($T31,2),"H"),$R$63:$T$91,3,FALSE),VLOOKUP($T31,$R$63:$T$91,3,FALSE)))+IF(AND($T31&lt;&gt;"",$T31&lt;&gt;"O3/CP",$T$15=D$18,MID($T31,4,1)="2",$T$15&lt;&gt;$T$14),VLOOKUP(CONCATENATE(LEFT($T31,2),"L"),$R$63:$T$91,3,FALSE),0)+IF(AND($T31="O3/CP",$T$14=D$18),VLOOKUP("O3",$R$63:$T$91,3,FALSE)+VLOOKUP("CP",$R$63:$T$91,3,FALSE),0)+IF(AND($U31&lt;&gt;"",$U31&lt;&gt;"--",$U31&lt;&gt;"O3/CP",$U$14=D$18),IF(LEFT($U31,1)="P",VLOOKUP(CONCATENATE(LEFT($U31,2),"H"),$R$63:$T$91,3,FALSE),VLOOKUP($U31,$R$63:$T$91,3,FALSE)))+IF(AND($U31&lt;&gt;"",$U31&lt;&gt;"O3/CP",$U$15=D$18,MID($U31,4,1)="2",$U$15&lt;&gt;$U$14),VLOOKUP(CONCATENATE(LEFT($U31,2),"L"),$R$63:$T$91,3,FALSE),0)+IF(AND($U31="O3/CP",$T$14=D$18),VLOOKUP("O3",$R$63:$T$91,3,FALSE)+VLOOKUP("CP",$R$63:$T$91,3,FALSE),0)+IF(AND($V31&lt;&gt;"",$V31&lt;&gt;"--",$V31&lt;&gt;"O3/CP",$V$14=D$18),IF(LEFT($V31,1)="P",VLOOKUP(CONCATENATE(LEFT($V31,2),"H"),$R$63:$T$91,3,FALSE),VLOOKUP($V31,$R$63:$T$91,3,FALSE)))+IF(AND($V31&lt;&gt;"",$V31&lt;&gt;"O3/CP",$V$15=D$18,MID($V31,4,1)="2",$V$15&lt;&gt;$V$14),VLOOKUP(CONCATENATE(LEFT($V31,2),"L"),$R$63:$T$91,3,FALSE),0)+IF(AND($V31="O3/CP",$V$14=D$18),VLOOKUP("O3",$R$63:$T$91,3,FALSE)+VLOOKUP("CP",$R$63:$T$91,3,FALSE),0)+IF(AND($W31&lt;&gt;"",$W31&lt;&gt;"--",$W31&lt;&gt;"O3/CP",$W$14=D$18),IF(LEFT($W31,1)="P",VLOOKUP(CONCATENATE(LEFT($W31,2),"H"),$R$63:$T$91,3,FALSE),VLOOKUP($W31,$R$63:$T$91,3,FALSE)))+IF(AND($W31&lt;&gt;"",$W31&lt;&gt;"O3/CP",$W$15=D$18,MID($W31,4,1)="2",$W$15&lt;&gt;$W$14),VLOOKUP(CONCATENATE(LEFT($W31,2),"L"),$R$63:$T$91,3,FALSE),0)+IF(AND($W31="O3/CP",$W$14=D$18),VLOOKUP("O3",$R$63:$T$91,3,FALSE)+VLOOKUP("CP",$R$63:$T$91,3,FALSE),0)+IF(AND($X31&lt;&gt;"",$X31&lt;&gt;"--",$X31&lt;&gt;"O3/CP",$X$14=D$18),IF(LEFT($X31,1)="P",VLOOKUP(CONCATENATE(LEFT($X31,2),"H"),$R$63:$T$91,3,FALSE),VLOOKUP($X31,$R$63:$T$91,3,FALSE)))+IF(AND($X31&lt;&gt;"",$X31&lt;&gt;"O3/CP",$X$15=D$18,MID($X31,4,1)="2",$X$15&lt;&gt;$X$14),VLOOKUP(CONCATENATE(LEFT($X31,2),"L"),$R$63:$T$91,3,FALSE),0)+IF(AND($X31="O3/CP",$X$14=D$18),VLOOKUP("O3",$R$63:$T$91,3,FALSE)+VLOOKUP("CP",$R$63:$T$91,3,FALSE),0)+IF(AND($Y31&lt;&gt;"",$Y31&lt;&gt;"--",$Y31&lt;&gt;"O3/CP",$Y$14=D$18),IF(LEFT($Y31,1)="P",VLOOKUP(CONCATENATE(LEFT($Y31,2),"H"),$R$63:$T$91,3,FALSE),VLOOKUP($Y31,$R$63:$T$91,3,FALSE)))+IF(AND($Y31&lt;&gt;"",$Y31&lt;&gt;"O3/CP",$Y$15=D$18,MID($Y31,4,1)="2",$Y$15&lt;&gt;$Y$14),VLOOKUP(CONCATENATE(LEFT($Y31,2),"L"),$R$63:$T$91,3,FALSE),0)+IF(AND($Y31="O3/CP",$Y$14=D$18),VLOOKUP("O3",$R$63:$T$91,3,FALSE)+VLOOKUP("CP",$R$63:$T$91,3,FALSE),0)+IF(AND($K$6="CE",'[3]Supply Attribution'!$G$20=D$18),LEFT($S$90,2),0)+IF(AND($X$86&lt;&gt;"Not Set",$X$87=D$18),$X$86,0)</f>
        <v>0</v>
      </c>
      <c r="E31" s="271">
        <f>IF(AND($K31&lt;&gt;"",$K31&lt;&gt;"--",$K31&lt;&gt;"O3/CP",$K$14=E$18),IF(LEFT($K31,1)="P",VLOOKUP(CONCATENATE(LEFT($K31,2),"H"),$R$63:$T$91,3,FALSE),VLOOKUP($K31,$R$63:$T$91,3,FALSE)))+IF(AND($K31&lt;&gt;"",$K31&lt;&gt;"O3/CP",$K$15=E$18,MID($K31,4,1)="2",$K$15&lt;&gt;$K$14),VLOOKUP(CONCATENATE(LEFT($K31,2),"L"),$R$63:$T$91,3,FALSE),0)+IF(AND($K31="O3/CP",$K$14=E$18),VLOOKUP("O3",$R$63:$T$91,3,FALSE)+VLOOKUP("CP",$R$63:$T$91,3,FALSE),0)+IF(AND($L31&lt;&gt;"",$L31&lt;&gt;"--",$L31&lt;&gt;"O3/CP",$L$14=E$18),IF(LEFT($L31,1)="P",VLOOKUP(CONCATENATE(LEFT($L31,2),"H"),$R$63:$T$91,3,FALSE),VLOOKUP($L31,$R$63:$T$91,3,FALSE)))+IF(AND($L31&lt;&gt;"",$L31&lt;&gt;"O3/CP",$L$15=E$18,MID($L31,4,1)="2",$L$15&lt;&gt;$L$14),VLOOKUP(CONCATENATE(LEFT($L31,2),"L"),$R$63:$T$91,3,FALSE),0)+IF(AND($L31="O3/CP",$L$14=E$18),VLOOKUP("O3",$R$63:$T$91,3,FALSE)+VLOOKUP("CP",$R$63:$T$91,3,FALSE),0)+IF(AND($M31&lt;&gt;"",$M31&lt;&gt;"--",$M31&lt;&gt;"O3/CP",$M$14=E$18),IF(LEFT($M31,1)="P",VLOOKUP(CONCATENATE(LEFT($M31,2),"H"),$R$63:$T$91,3,FALSE),VLOOKUP($M31,$R$63:$T$91,3,FALSE)))+IF(AND($M31&lt;&gt;"",$M31&lt;&gt;"O3/CP",$M$15=E$18,MID($M31,4,1)="2",$M$15&lt;&gt;$M$14),VLOOKUP(CONCATENATE(LEFT($M31,2),"L"),$R$63:$T$91,3,FALSE),0)+IF(AND($M31="O3/CP",$M$14=E$18),VLOOKUP("O3",$R$63:$T$91,3,FALSE)+VLOOKUP("CP",$R$63:$T$91,3,FALSE),0)+IF(AND($N31&lt;&gt;"",$N31&lt;&gt;"--",$N31&lt;&gt;"O3/CP",$N$14=E$18),IF(LEFT($N31,1)="P",VLOOKUP(CONCATENATE(LEFT($N31,2),"H"),$R$63:$T$91,3,FALSE),VLOOKUP($N31,$R$63:$T$91,3,FALSE)))+IF(AND($N31&lt;&gt;"",$N31&lt;&gt;"O3/CP",$N$15=E$18,MID($N31,4,1)="2",$N$15&lt;&gt;$N$14),VLOOKUP(CONCATENATE(LEFT($N31,2),"L"),$R$63:$T$91,3,FALSE),0)+IF(AND($N31="O3/CP",$N$14=E$18),VLOOKUP("O3",$R$63:$T$91,3,FALSE)+VLOOKUP("CP",$R$63:$T$91,3,FALSE),0)+IF(AND($O31&lt;&gt;"",$O31&lt;&gt;"--",$O31&lt;&gt;"O3/CP",$O$14=E$18),IF(LEFT($O31,1)="P",VLOOKUP(CONCATENATE(LEFT($O31,2),"H"),$R$63:$T$91,3,FALSE),VLOOKUP($O31,$R$63:$T$91,3,FALSE)))+IF(AND($O31&lt;&gt;"",$O31&lt;&gt;"O3/CP",$O$15=E$18,MID($O31,4,1)="2",$O$15&lt;&gt;$O$14),VLOOKUP(CONCATENATE(LEFT($O31,2),"L"),$R$63:$T$91,3,FALSE),0)+IF(AND($O31="O3/CP",$O$14=E$18),VLOOKUP("O3",$R$63:$T$91,3,FALSE)+VLOOKUP("CP",$R$63:$T$91,3,FALSE),0)+IF(AND($P31&lt;&gt;"",$P31&lt;&gt;"--",$P31&lt;&gt;"O3/CP",$P$14=E$18),IF(LEFT($P31,1)="P",VLOOKUP(CONCATENATE(LEFT($P31,2),"H"),$R$63:$T$91,3,FALSE),VLOOKUP($P31,$R$63:$T$91,3,FALSE)))+IF(AND($P31&lt;&gt;"",$P31&lt;&gt;"O3/CP",$P$15=E$18,MID($P31,4,1)="2",$P$15&lt;&gt;$P$14),VLOOKUP(CONCATENATE(LEFT($P31,2),"L"),$R$63:$T$91,3,FALSE),0)+IF(AND($P31="O3/CP",$P$14=E$18),VLOOKUP("O3",$R$63:$T$91,3,FALSE)+VLOOKUP("CP",$R$63:$T$91,3,FALSE),0)+IF(AND($Q31&lt;&gt;"",$Q31&lt;&gt;"--",$Q31&lt;&gt;"O3/CP",$Q$14=E$18),IF(LEFT($Q31,1)="P",VLOOKUP(CONCATENATE(LEFT($Q31,2),"H"),$R$63:$T$91,3,FALSE),VLOOKUP($Q31,$R$63:$T$91,3,FALSE)))+IF(AND($Q31&lt;&gt;"",$Q31&lt;&gt;"O3/CP",$Q$15=E$18,MID($Q31,4,1)="2",$Q$15&lt;&gt;$Q$14),VLOOKUP(CONCATENATE(LEFT($Q31,2),"L"),$R$63:$T$91,3,FALSE),0)+IF(AND($Q31="O3/CP",$Q$14=E$18),VLOOKUP("O3",$R$63:$T$91,3,FALSE)+VLOOKUP("CP",$R$63:$T$91,3,FALSE),0)+IF(AND($R31&lt;&gt;"",$R31&lt;&gt;"--",$R31&lt;&gt;"O3/CP",$R$14=E$18),IF(LEFT($R31,1)="P",VLOOKUP(CONCATENATE(LEFT($R31,2),"H"),$R$63:$T$91,3,FALSE),VLOOKUP($R31,$R$63:$T$91,3,FALSE)))+IF(AND($R31&lt;&gt;"",$R31&lt;&gt;"O3/CP",$R$15=E$18,MID($R31,4,1)="2",$R$15&lt;&gt;$R$14),VLOOKUP(CONCATENATE(LEFT($R31,2),"L"),$R$63:$T$91,3,FALSE),0)+IF(AND($R31="O3/CP",$R$14=E$18),VLOOKUP("O3",$R$63:$T$91,3,FALSE)+VLOOKUP("CP",$R$63:$T$91,3,FALSE),0)+IF(AND($S31&lt;&gt;"",$S31&lt;&gt;"--",$S31&lt;&gt;"O3/CP",$S$14=E$18),IF(LEFT($S31,1)="P",VLOOKUP(CONCATENATE(LEFT($S31,2),"H"),$R$63:$T$91,3,FALSE),VLOOKUP($S31,$R$63:$T$91,3,FALSE)))+IF(AND($S31&lt;&gt;"",$S31&lt;&gt;"O3/CP",$S$15=E$18,MID($S31,4,1)="2",$S$15&lt;&gt;$S$14),VLOOKUP(CONCATENATE(LEFT($S31,2),"L"),$R$63:$T$91,3,FALSE),0)+IF(AND($S31="O3/CP",$S$14=E$18),VLOOKUP("O3",$R$63:$T$91,3,FALSE)+VLOOKUP("CP",$R$63:$T$91,3,FALSE),0)+IF(AND($T31&lt;&gt;"",$T31&lt;&gt;"--",$T31&lt;&gt;"O3/CP",$T$14=E$18),IF(LEFT($T31,1)="P",VLOOKUP(CONCATENATE(LEFT($T31,2),"H"),$R$63:$T$91,3,FALSE),VLOOKUP($T31,$R$63:$T$91,3,FALSE)))+IF(AND($T31&lt;&gt;"",$T31&lt;&gt;"O3/CP",$T$15=E$18,MID($T31,4,1)="2",$T$15&lt;&gt;$T$14),VLOOKUP(CONCATENATE(LEFT($T31,2),"L"),$R$63:$T$91,3,FALSE),0)+IF(AND($T31="O3/CP",$T$14=E$18),VLOOKUP("O3",$R$63:$T$91,3,FALSE)+VLOOKUP("CP",$R$63:$T$91,3,FALSE),0)+IF(AND($U31&lt;&gt;"",$U31&lt;&gt;"--",$U31&lt;&gt;"O3/CP",$U$14=E$18),IF(LEFT($U31,1)="P",VLOOKUP(CONCATENATE(LEFT($U31,2),"H"),$R$63:$T$91,3,FALSE),VLOOKUP($U31,$R$63:$T$91,3,FALSE)))+IF(AND($U31&lt;&gt;"",$U31&lt;&gt;"O3/CP",$U$15=E$18,MID($U31,4,1)="2",$U$15&lt;&gt;$U$14),VLOOKUP(CONCATENATE(LEFT($U31,2),"L"),$R$63:$T$91,3,FALSE),0)+IF(AND($U31="O3/CP",$T$14=E$18),VLOOKUP("O3",$R$63:$T$91,3,FALSE)+VLOOKUP("CP",$R$63:$T$91,3,FALSE),0)+IF(AND($V31&lt;&gt;"",$V31&lt;&gt;"--",$V31&lt;&gt;"O3/CP",$V$14=E$18),IF(LEFT($V31,1)="P",VLOOKUP(CONCATENATE(LEFT($V31,2),"H"),$R$63:$T$91,3,FALSE),VLOOKUP($V31,$R$63:$T$91,3,FALSE)))+IF(AND($V31&lt;&gt;"",$V31&lt;&gt;"O3/CP",$V$15=E$18,MID($V31,4,1)="2",$V$15&lt;&gt;$V$14),VLOOKUP(CONCATENATE(LEFT($V31,2),"L"),$R$63:$T$91,3,FALSE),0)+IF(AND($V31="O3/CP",$V$14=E$18),VLOOKUP("O3",$R$63:$T$91,3,FALSE)+VLOOKUP("CP",$R$63:$T$91,3,FALSE),0)+IF(AND($W31&lt;&gt;"",$W31&lt;&gt;"--",$W31&lt;&gt;"O3/CP",$W$14=E$18),IF(LEFT($W31,1)="P",VLOOKUP(CONCATENATE(LEFT($W31,2),"H"),$R$63:$T$91,3,FALSE),VLOOKUP($W31,$R$63:$T$91,3,FALSE)))+IF(AND($W31&lt;&gt;"",$W31&lt;&gt;"O3/CP",$W$15=E$18,MID($W31,4,1)="2",$W$15&lt;&gt;$W$14),VLOOKUP(CONCATENATE(LEFT($W31,2),"L"),$R$63:$T$91,3,FALSE),0)+IF(AND($W31="O3/CP",$W$14=E$18),VLOOKUP("O3",$R$63:$T$91,3,FALSE)+VLOOKUP("CP",$R$63:$T$91,3,FALSE),0)+IF(AND($X31&lt;&gt;"",$X31&lt;&gt;"--",$X31&lt;&gt;"O3/CP",$X$14=E$18),IF(LEFT($X31,1)="P",VLOOKUP(CONCATENATE(LEFT($X31,2),"H"),$R$63:$T$91,3,FALSE),VLOOKUP($X31,$R$63:$T$91,3,FALSE)))+IF(AND($X31&lt;&gt;"",$X31&lt;&gt;"O3/CP",$X$15=E$18,MID($X31,4,1)="2",$X$15&lt;&gt;$X$14),VLOOKUP(CONCATENATE(LEFT($X31,2),"L"),$R$63:$T$91,3,FALSE),0)+IF(AND($X31="O3/CP",$X$14=E$18),VLOOKUP("O3",$R$63:$T$91,3,FALSE)+VLOOKUP("CP",$R$63:$T$91,3,FALSE),0)+IF(AND($Y31&lt;&gt;"",$Y31&lt;&gt;"--",$Y31&lt;&gt;"O3/CP",$Y$14=E$18),IF(LEFT($Y31,1)="P",VLOOKUP(CONCATENATE(LEFT($Y31,2),"H"),$R$63:$T$91,3,FALSE),VLOOKUP($Y31,$R$63:$T$91,3,FALSE)))+IF(AND($Y31&lt;&gt;"",$Y31&lt;&gt;"O3/CP",$Y$15=E$18,MID($Y31,4,1)="2",$Y$15&lt;&gt;$Y$14),VLOOKUP(CONCATENATE(LEFT($Y31,2),"L"),$R$63:$T$91,3,FALSE),0)+IF(AND($Y31="O3/CP",$Y$14=E$18),VLOOKUP("O3",$R$63:$T$91,3,FALSE)+VLOOKUP("CP",$R$63:$T$91,3,FALSE),0)+IF(AND($K$6="CE",'[3]Supply Attribution'!$G$20=E$18),LEFT($S$90,2),0)+IF(AND($X$86&lt;&gt;"Not Set",$X$87=E$18),$X$86,0)</f>
        <v>0</v>
      </c>
      <c r="F31" s="272">
        <f>IF(AND($K31&lt;&gt;"",$K31&lt;&gt;"--",$K31&lt;&gt;"O3/CP",$K$14=F$18),IF(LEFT($K31,1)="P",VLOOKUP(CONCATENATE(LEFT($K31,2),"H"),$R$63:$T$91,3,FALSE),VLOOKUP($K31,$R$63:$T$91,3,FALSE)))+IF(AND($K31&lt;&gt;"",$K31&lt;&gt;"O3/CP",$K$15=F$18,MID($K31,4,1)="2",$K$15&lt;&gt;$K$14),VLOOKUP(CONCATENATE(LEFT($K31,2),"L"),$R$63:$T$91,3,FALSE),0)+IF(AND($K31="O3/CP",$K$14=F$18),VLOOKUP("O3",$R$63:$T$91,3,FALSE)+VLOOKUP("CP",$R$63:$T$91,3,FALSE),0)+IF(AND($L31&lt;&gt;"",$L31&lt;&gt;"--",$L31&lt;&gt;"O3/CP",$L$14=F$18),IF(LEFT($L31,1)="P",VLOOKUP(CONCATENATE(LEFT($L31,2),"H"),$R$63:$T$91,3,FALSE),VLOOKUP($L31,$R$63:$T$91,3,FALSE)))+IF(AND($L31&lt;&gt;"",$L31&lt;&gt;"O3/CP",$L$15=F$18,MID($L31,4,1)="2",$L$15&lt;&gt;$L$14),VLOOKUP(CONCATENATE(LEFT($L31,2),"L"),$R$63:$T$91,3,FALSE),0)+IF(AND($L31="O3/CP",$L$14=F$18),VLOOKUP("O3",$R$63:$T$91,3,FALSE)+VLOOKUP("CP",$R$63:$T$91,3,FALSE),0)+IF(AND($M31&lt;&gt;"",$M31&lt;&gt;"--",$M31&lt;&gt;"O3/CP",$M$14=F$18),IF(LEFT($M31,1)="P",VLOOKUP(CONCATENATE(LEFT($M31,2),"H"),$R$63:$T$91,3,FALSE),VLOOKUP($M31,$R$63:$T$91,3,FALSE)))+IF(AND($M31&lt;&gt;"",$M31&lt;&gt;"O3/CP",$M$15=F$18,MID($M31,4,1)="2",$M$15&lt;&gt;$M$14),VLOOKUP(CONCATENATE(LEFT($M31,2),"L"),$R$63:$T$91,3,FALSE),0)+IF(AND($M31="O3/CP",$M$14=F$18),VLOOKUP("O3",$R$63:$T$91,3,FALSE)+VLOOKUP("CP",$R$63:$T$91,3,FALSE),0)+IF(AND($N31&lt;&gt;"",$N31&lt;&gt;"--",$N31&lt;&gt;"O3/CP",$N$14=F$18),IF(LEFT($N31,1)="P",VLOOKUP(CONCATENATE(LEFT($N31,2),"H"),$R$63:$T$91,3,FALSE),VLOOKUP($N31,$R$63:$T$91,3,FALSE)))+IF(AND($N31&lt;&gt;"",$N31&lt;&gt;"O3/CP",$N$15=F$18,MID($N31,4,1)="2",$N$15&lt;&gt;$N$14),VLOOKUP(CONCATENATE(LEFT($N31,2),"L"),$R$63:$T$91,3,FALSE),0)+IF(AND($N31="O3/CP",$N$14=F$18),VLOOKUP("O3",$R$63:$T$91,3,FALSE)+VLOOKUP("CP",$R$63:$T$91,3,FALSE),0)+IF(AND($O31&lt;&gt;"",$O31&lt;&gt;"--",$O31&lt;&gt;"O3/CP",$O$14=F$18),IF(LEFT($O31,1)="P",VLOOKUP(CONCATENATE(LEFT($O31,2),"H"),$R$63:$T$91,3,FALSE),VLOOKUP($O31,$R$63:$T$91,3,FALSE)))+IF(AND($O31&lt;&gt;"",$O31&lt;&gt;"O3/CP",$O$15=F$18,MID($O31,4,1)="2",$O$15&lt;&gt;$O$14),VLOOKUP(CONCATENATE(LEFT($O31,2),"L"),$R$63:$T$91,3,FALSE),0)+IF(AND($O31="O3/CP",$O$14=F$18),VLOOKUP("O3",$R$63:$T$91,3,FALSE)+VLOOKUP("CP",$R$63:$T$91,3,FALSE),0)+IF(AND($P31&lt;&gt;"",$P31&lt;&gt;"--",$P31&lt;&gt;"O3/CP",$P$14=F$18),IF(LEFT($P31,1)="P",VLOOKUP(CONCATENATE(LEFT($P31,2),"H"),$R$63:$T$91,3,FALSE),VLOOKUP($P31,$R$63:$T$91,3,FALSE)))+IF(AND($P31&lt;&gt;"",$P31&lt;&gt;"O3/CP",$P$15=F$18,MID($P31,4,1)="2",$P$15&lt;&gt;$P$14),VLOOKUP(CONCATENATE(LEFT($P31,2),"L"),$R$63:$T$91,3,FALSE),0)+IF(AND($P31="O3/CP",$P$14=F$18),VLOOKUP("O3",$R$63:$T$91,3,FALSE)+VLOOKUP("CP",$R$63:$T$91,3,FALSE),0)+IF(AND($Q31&lt;&gt;"",$Q31&lt;&gt;"--",$Q31&lt;&gt;"O3/CP",$Q$14=F$18),IF(LEFT($Q31,1)="P",VLOOKUP(CONCATENATE(LEFT($Q31,2),"H"),$R$63:$T$91,3,FALSE),VLOOKUP($Q31,$R$63:$T$91,3,FALSE)))+IF(AND($Q31&lt;&gt;"",$Q31&lt;&gt;"O3/CP",$Q$15=F$18,MID($Q31,4,1)="2",$Q$15&lt;&gt;$Q$14),VLOOKUP(CONCATENATE(LEFT($Q31,2),"L"),$R$63:$T$91,3,FALSE),0)+IF(AND($Q31="O3/CP",$Q$14=F$18),VLOOKUP("O3",$R$63:$T$91,3,FALSE)+VLOOKUP("CP",$R$63:$T$91,3,FALSE),0)+IF(AND($R31&lt;&gt;"",$R31&lt;&gt;"--",$R31&lt;&gt;"O3/CP",$R$14=F$18),IF(LEFT($R31,1)="P",VLOOKUP(CONCATENATE(LEFT($R31,2),"H"),$R$63:$T$91,3,FALSE),VLOOKUP($R31,$R$63:$T$91,3,FALSE)))+IF(AND($R31&lt;&gt;"",$R31&lt;&gt;"O3/CP",$R$15=F$18,MID($R31,4,1)="2",$R$15&lt;&gt;$R$14),VLOOKUP(CONCATENATE(LEFT($R31,2),"L"),$R$63:$T$91,3,FALSE),0)+IF(AND($R31="O3/CP",$R$14=F$18),VLOOKUP("O3",$R$63:$T$91,3,FALSE)+VLOOKUP("CP",$R$63:$T$91,3,FALSE),0)+IF(AND($S31&lt;&gt;"",$S31&lt;&gt;"--",$S31&lt;&gt;"O3/CP",$S$14=F$18),IF(LEFT($S31,1)="P",VLOOKUP(CONCATENATE(LEFT($S31,2),"H"),$R$63:$T$91,3,FALSE),VLOOKUP($S31,$R$63:$T$91,3,FALSE)))+IF(AND($S31&lt;&gt;"",$S31&lt;&gt;"O3/CP",$S$15=F$18,MID($S31,4,1)="2",$S$15&lt;&gt;$S$14),VLOOKUP(CONCATENATE(LEFT($S31,2),"L"),$R$63:$T$91,3,FALSE),0)+IF(AND($S31="O3/CP",$S$14=F$18),VLOOKUP("O3",$R$63:$T$91,3,FALSE)+VLOOKUP("CP",$R$63:$T$91,3,FALSE),0)+IF(AND($T31&lt;&gt;"",$T31&lt;&gt;"--",$T31&lt;&gt;"O3/CP",$T$14=F$18),IF(LEFT($T31,1)="P",VLOOKUP(CONCATENATE(LEFT($T31,2),"H"),$R$63:$T$91,3,FALSE),VLOOKUP($T31,$R$63:$T$91,3,FALSE)))+IF(AND($T31&lt;&gt;"",$T31&lt;&gt;"O3/CP",$T$15=F$18,MID($T31,4,1)="2",$T$15&lt;&gt;$T$14),VLOOKUP(CONCATENATE(LEFT($T31,2),"L"),$R$63:$T$91,3,FALSE),0)+IF(AND($T31="O3/CP",$T$14=F$18),VLOOKUP("O3",$R$63:$T$91,3,FALSE)+VLOOKUP("CP",$R$63:$T$91,3,FALSE),0)+IF(AND($U31&lt;&gt;"",$U31&lt;&gt;"--",$U31&lt;&gt;"O3/CP",$U$14=F$18),IF(LEFT($U31,1)="P",VLOOKUP(CONCATENATE(LEFT($U31,2),"H"),$R$63:$T$91,3,FALSE),VLOOKUP($U31,$R$63:$T$91,3,FALSE)))+IF(AND($U31&lt;&gt;"",$U31&lt;&gt;"O3/CP",$U$15=F$18,MID($U31,4,1)="2",$U$15&lt;&gt;$U$14),VLOOKUP(CONCATENATE(LEFT($U31,2),"L"),$R$63:$T$91,3,FALSE),0)+IF(AND($U31="O3/CP",$T$14=F$18),VLOOKUP("O3",$R$63:$T$91,3,FALSE)+VLOOKUP("CP",$R$63:$T$91,3,FALSE),0)+IF(AND($V31&lt;&gt;"",$V31&lt;&gt;"--",$V31&lt;&gt;"O3/CP",$V$14=F$18),IF(LEFT($V31,1)="P",VLOOKUP(CONCATENATE(LEFT($V31,2),"H"),$R$63:$T$91,3,FALSE),VLOOKUP($V31,$R$63:$T$91,3,FALSE)))+IF(AND($V31&lt;&gt;"",$V31&lt;&gt;"O3/CP",$V$15=F$18,MID($V31,4,1)="2",$V$15&lt;&gt;$V$14),VLOOKUP(CONCATENATE(LEFT($V31,2),"L"),$R$63:$T$91,3,FALSE),0)+IF(AND($V31="O3/CP",$V$14=F$18),VLOOKUP("O3",$R$63:$T$91,3,FALSE)+VLOOKUP("CP",$R$63:$T$91,3,FALSE),0)+IF(AND($W31&lt;&gt;"",$W31&lt;&gt;"--",$W31&lt;&gt;"O3/CP",$W$14=F$18),IF(LEFT($W31,1)="P",VLOOKUP(CONCATENATE(LEFT($W31,2),"H"),$R$63:$T$91,3,FALSE),VLOOKUP($W31,$R$63:$T$91,3,FALSE)))+IF(AND($W31&lt;&gt;"",$W31&lt;&gt;"O3/CP",$W$15=F$18,MID($W31,4,1)="2",$W$15&lt;&gt;$W$14),VLOOKUP(CONCATENATE(LEFT($W31,2),"L"),$R$63:$T$91,3,FALSE),0)+IF(AND($W31="O3/CP",$W$14=F$18),VLOOKUP("O3",$R$63:$T$91,3,FALSE)+VLOOKUP("CP",$R$63:$T$91,3,FALSE),0)+IF(AND($X31&lt;&gt;"",$X31&lt;&gt;"--",$X31&lt;&gt;"O3/CP",$X$14=F$18),IF(LEFT($X31,1)="P",VLOOKUP(CONCATENATE(LEFT($X31,2),"H"),$R$63:$T$91,3,FALSE),VLOOKUP($X31,$R$63:$T$91,3,FALSE)))+IF(AND($X31&lt;&gt;"",$X31&lt;&gt;"O3/CP",$X$15=F$18,MID($X31,4,1)="2",$X$15&lt;&gt;$X$14),VLOOKUP(CONCATENATE(LEFT($X31,2),"L"),$R$63:$T$91,3,FALSE),0)+IF(AND($X31="O3/CP",$X$14=F$18),VLOOKUP("O3",$R$63:$T$91,3,FALSE)+VLOOKUP("CP",$R$63:$T$91,3,FALSE),0)+IF(AND($Y31&lt;&gt;"",$Y31&lt;&gt;"--",$Y31&lt;&gt;"O3/CP",$Y$14=F$18),IF(LEFT($Y31,1)="P",VLOOKUP(CONCATENATE(LEFT($Y31,2),"H"),$R$63:$T$91,3,FALSE),VLOOKUP($Y31,$R$63:$T$91,3,FALSE)))+IF(AND($Y31&lt;&gt;"",$Y31&lt;&gt;"O3/CP",$Y$15=F$18,MID($Y31,4,1)="2",$Y$15&lt;&gt;$Y$14),VLOOKUP(CONCATENATE(LEFT($Y31,2),"L"),$R$63:$T$91,3,FALSE),0)+IF(AND($Y31="O3/CP",$Y$14=F$18),VLOOKUP("O3",$R$63:$T$91,3,FALSE)+VLOOKUP("CP",$R$63:$T$91,3,FALSE),0)+IF(AND($K$6="CE",'[3]Supply Attribution'!$G$20=F$18),LEFT($S$90,2),0)+IF(AND($X$86&lt;&gt;"Not Set",$X$87=F$18),$X$86,0)</f>
        <v>0</v>
      </c>
      <c r="G31" s="271">
        <f>IF(AND($K$6="CE",$T$59="1 Phase"),SUM(A31:F31)-IF(AND($K$14&lt;&gt;$K$15,RIGHT($K31,3)="2SP"),VLOOKUP(CONCATENATE(LEFT($K31,2),"L"),$R$63:$T$90,3,FALSE),0)-IF(AND($L$14&lt;&gt;$L$15,RIGHT($L31,3)="2SP"),VLOOKUP(CONCATENATE(LEFT($L31,2),"L"),$R$63:$T$90,3,FALSE),0)-IF(AND($M$14&lt;&gt;$M$15,RIGHT($M31,3)="2SP"),VLOOKUP(CONCATENATE(LEFT($M31,2),"L"),$R$63:$T$90,3,FALSE),0)-IF(AND($N$14&lt;&gt;$N$15,RIGHT($N31,3)="2SP"),VLOOKUP(CONCATENATE(LEFT($N31,2),"L"),$R$63:$T$90,3,FALSE),0)-IF(AND($O$14&lt;&gt;$O$15,RIGHT($O31,3)="2SP"),VLOOKUP(CONCATENATE(LEFT($O31,2),"L"),$R$63:$T$90,3,FALSE),0)-IF(AND($P$14&lt;&gt;$P$15,RIGHT($P31,3)="2SP"),VLOOKUP(CONCATENATE(LEFT($P31,2),"L"),$R$63:$T$90,3,FALSE),0)-IF(AND($Q$14&lt;&gt;$Q$15,RIGHT($Q31,3)="2SP"),VLOOKUP(CONCATENATE(LEFT($Q31,2),"L"),$R$63:$T$90,3,FALSE),0)-IF(AND($R$14&lt;&gt;$R$15,RIGHT($T31,3)="2SP"),VLOOKUP(CONCATENATE(LEFT($R31,2),"L"),$R$63:$T$90,3,FALSE),0)-IF(AND($S$14&lt;&gt;$S$15,RIGHT($T31,3)="2SP"),VLOOKUP(CONCATENATE(LEFT($S31,2),"L"),$R$63:$T$90,3,FALSE),0)-IF(AND($T$14&lt;&gt;$T$15,RIGHT($T31,3)="2SP"),VLOOKUP(CONCATENATE(LEFT($T31,2),"L"),$R$63:$T$90,3,FALSE),0)-IF(AND($U$14&lt;&gt;$U$15,RIGHT($U31,3)="2SP"),VLOOKUP(CONCATENATE(LEFT($U31,2),"L"),$R$63:$T$90,3,FALSE),0)-IF(AND($V$14&lt;&gt;$V$15,RIGHT($V31,3)="2SP"),VLOOKUP(CONCATENATE(LEFT($V31,2),"L"),$R$63:$T$90,3,FALSE),0)-IF(AND($W$14&lt;&gt;$W$15,RIGHT($W31,3)="2SP"),VLOOKUP(CONCATENATE(LEFT($W31,2),"L"),$R$63:$T$90,3,FALSE),0)-IF(AND($X$14&lt;&gt;$X$15,RIGHT($X31,3)="2SP"),VLOOKUP(CONCATENATE(LEFT($X31,2),"L"),$R$63:$T$90,3,FALSE),0)-IF(AND($Y$14&lt;&gt;$Y$15,RIGHT($Y31,3)="2SP"),VLOOKUP(CONCATENATE(LEFT($Y31,2),"L"),$R$63:$T$90,3,FALSE),0),IF(VLOOKUP(CONCATENATE($A$18,"Line"),'[3]Supply Attribution'!$F$31:$G$37,2,FALSE)=G$18,$A31,0)+IF(VLOOKUP(CONCATENATE($B$18,"Line"),'[3]Supply Attribution'!$F$31:$G$37,2,FALSE)=G$18,$B31,0)+IF(VLOOKUP(CONCATENATE($C$18,"Line"),'[3]Supply Attribution'!$F$31:$G$37,2,FALSE)=G$18,$C31,0)+IF(VLOOKUP(CONCATENATE($D$18,"Line"),'[3]Supply Attribution'!$F$31:$G$37,2,FALSE)=G$18,$D31,0)+IF(VLOOKUP(CONCATENATE($E$18,"Line"),'[3]Supply Attribution'!$F$31:$G$37,2,FALSE)=G$18,$E31,0)+IF(VLOOKUP(CONCATENATE($F$18,"Line"),'[3]Supply Attribution'!$F$31:$G$37,2,FALSE)=G$18,$F31,0)+IF($K$6="UL",LEFT($S$90,2),0)-IF(AND($K$16=G$18,$K$14&lt;&gt;$K$15,$K$16=$K$17,RIGHT($K31,3)="2SP"),VLOOKUP(CONCATENATE(LEFT($K31,2),"L"),$R$63:$T$90,3,FALSE),0)-IF(AND($L$16=G$18,$L$14&lt;&gt;$L$15,$L$16=$L$17,RIGHT($L31,3)="2SP"),VLOOKUP(CONCATENATE(LEFT($L31,2),"L"),$R$63:$T$90,3,FALSE),0)-IF(AND($M$16=G$18,$M$14&lt;&gt;$M$15,$M$16=$M$17,RIGHT($M31,3)="2SP"),VLOOKUP(CONCATENATE(LEFT($M31,2),"L"),$R$63:$T$90,3,FALSE),0)-IF(AND($N$16=G$18,$N$14&lt;&gt;$N$15,$N$16=$N$17,RIGHT($N31,3)="2SP"),VLOOKUP(CONCATENATE(LEFT($N31,2),"L"),$R$63:$T$90,3,FALSE),0)-IF(AND($O$16=G$18,$O$14&lt;&gt;$O$15,$O$16=$O$17,RIGHT($O31,3)="2SP"),VLOOKUP(CONCATENATE(LEFT($O31,2),"L"),$R$63:$T$90,3,FALSE),0)-IF(AND($P$16=G$18,$P$14&lt;&gt;$P$15,$P$16=$P$17,RIGHT($P31,3)="2SP"),VLOOKUP(CONCATENATE(LEFT($P31,2),"L"),$R$63:$T$90,3,FALSE),0)-IF(AND($Q$16=G$18,$Q$14&lt;&gt;$Q$15,$Q$16=$Q$17,RIGHT($Q31,3)="2SP"),VLOOKUP(CONCATENATE(LEFT($Q31,2),"L"),$R$63:$T$90,3,FALSE),0)-IF(AND($R$16=G$18,$R$14&lt;&gt;$R$15,$R$16=$R$17,RIGHT($R31,3)="2SP"),VLOOKUP(CONCATENATE(LEFT($R31,2),"L"),$R$63:$T$90,3,FALSE),0)-IF(AND($S$16=G$18,$S$14&lt;&gt;$S$15,$S$16=$S$17,RIGHT($S31,3)="2SP"),VLOOKUP(CONCATENATE(LEFT($S31,2),"L"),$R$63:$T$90,3,FALSE),0)-IF(AND($T$16=G$18,$T$14&lt;&gt;$T$15,$T$16=$T$17,RIGHT($T31,3)="2SP"),VLOOKUP(CONCATENATE(LEFT($T31,2),"L"),$R$63:$T$90,3,FALSE),0)-IF(AND($U$16=G$18,$U$14&lt;&gt;$U$15,$U$16=$U$17,RIGHT($U31,3)="2SP"),VLOOKUP(CONCATENATE(LEFT($U31,2),"L"),$R$63:$T$90,3,FALSE),0)-IF(AND($V$16=G$18,$V$14&lt;&gt;$V$15,$V$16=$V$17,RIGHT($V31,3)="2SP"),VLOOKUP(CONCATENATE(LEFT($V31,2),"L"),$R$63:$T$90,3,FALSE),0)-IF(AND($W$16=G$18,$W$14&lt;&gt;$W$15,$W$16=$W$17,RIGHT($W31,3)="2SP"),VLOOKUP(CONCATENATE(LEFT($W31,2),"L"),$R$63:$T$90,3,FALSE),0)-IF(AND($X$16=G$18,$X$14&lt;&gt;$X$15,$X$16=$X$17,RIGHT($X31,3)="2SP"),VLOOKUP(CONCATENATE(LEFT($X31,2),"L"),$R$63:$T$90,3,FALSE),0)-IF(AND($Y$16=G$18,$Y$14&lt;&gt;$Y$15,$Y$16=$Y$17,RIGHT($Y31,3)="2SP"),VLOOKUP(CONCATENATE(LEFT($Y31,2),"L"),$R$63:$T$90,3,FALSE),0))</f>
        <v>17</v>
      </c>
      <c r="H31" s="271" t="str">
        <f>IF(H$18&lt;&gt;"",IF(VLOOKUP(CONCATENATE($A$18,"Line"),'Supply Attribution'!$F$31:$G$37,2,FALSE)=H$18,$A31,0)+IF(VLOOKUP(CONCATENATE($B$18,"Line"),'Supply Attribution'!$F$31:$G$37,2,FALSE)=H$18,$B31,0)+IF(VLOOKUP(CONCATENATE($C$18,"Line"),'Supply Attribution'!$F$31:$G$37,2,FALSE)=H$18,$C31,0)+IF(VLOOKUP(CONCATENATE($D$18,"Line"),'Supply Attribution'!$F$31:$G$37,2,FALSE)=H$18,$D31,0)+IF(VLOOKUP(CONCATENATE($E$18,"Line"),'Supply Attribution'!$F$31:$G$37,2,FALSE)=H$18,$E31,0)+IF(VLOOKUP(CONCATENATE($F$18,"Line"),'Supply Attribution'!$F$31:$G$37,2,FALSE)=H$18,$F31,0)+IF($K$6="UL",LEFT($S$90,2),0)-IF(AND($K$16=H$18,$K$14&lt;&gt;$K$15,$K$16=$K$17,RIGHT($K31,3)="2SP"),VLOOKUP(CONCATENATE(LEFT($K31,2),"L"),$R$63:$T$90,3,FALSE),0)-IF(AND($L$16=H$18,$L$14&lt;&gt;$L$15,$L$16=$L$17,RIGHT($L31,3)="2SP"),VLOOKUP(CONCATENATE(LEFT($L31,2),"L"),$R$63:$T$90,3,FALSE),0)-IF(AND($M$16=H$18,$M$14&lt;&gt;$M$15,$M$16=$M$17,RIGHT($M31,3)="2SP"),VLOOKUP(CONCATENATE(LEFT($M31,2),"L"),$R$63:$T$90,3,FALSE),0)-IF(AND($N$16=H$18,$N$14&lt;&gt;$N$15,$N$16=$N$17,RIGHT($N31,3)="2SP"),VLOOKUP(CONCATENATE(LEFT($N31,2),"L"),$R$63:$T$90,3,FALSE),0)-IF(AND($O$16=H$18,$O$14&lt;&gt;$O$15,$O$16=$O$17,RIGHT($O31,3)="2SP"),VLOOKUP(CONCATENATE(LEFT($O31,2),"L"),$R$63:$T$90,3,FALSE),0)-IF(AND($P$16=H$18,$P$14&lt;&gt;$P$15,$P$16=$P$17,RIGHT($P31,3)="2SP"),VLOOKUP(CONCATENATE(LEFT($P31,2),"L"),$R$63:$T$90,3,FALSE),0)-IF(AND($Q$16=H$18,$Q$14&lt;&gt;$Q$15,$Q$16=$Q$17,RIGHT($Q31,3)="2SP"),VLOOKUP(CONCATENATE(LEFT($Q31,2),"L"),$R$63:$T$90,3,FALSE),0)-IF(AND($T$16=H$18,$T$14&lt;&gt;$T$15,$T$16=$T$17,RIGHT($T31,3)="2SP"),VLOOKUP(CONCATENATE(LEFT($T31,2),"L"),$R$63:$T$90,3,FALSE),0)-IF(AND($U$16=H$18,$U$14&lt;&gt;$U$15,$U$16=$U$17,RIGHT($U31,3)="2SP"),VLOOKUP(CONCATENATE(LEFT($U31,2),"L"),$R$63:$T$90,3,FALSE),0)-IF(AND($V$16=H$18,$V$14&lt;&gt;$V$15,$V$16=$V$17,RIGHT($V31,3)="2SP"),VLOOKUP(CONCATENATE(LEFT($V31,2),"L"),$R$63:$T$90,3,FALSE),0)-IF(AND($W$16=H$18,$W$14&lt;&gt;$W$15,$W$16=$W$17,RIGHT($W31,3)="2SP"),VLOOKUP(CONCATENATE(LEFT($W31,2),"L"),$R$63:$T$90,3,FALSE),0)-IF(AND($X$16=H$18,$X$14&lt;&gt;$X$15,$X$16=$X$17,RIGHT($X31,3)="2SP"),VLOOKUP(CONCATENATE(LEFT($X31,2),"L"),$R$63:$T$90,3,FALSE),0)-IF(AND($Y$16=H$18,$Y$14&lt;&gt;$Y$15,$Y$16=$Y$17,RIGHT($Y31,3)="2SP"),VLOOKUP(CONCATENATE(LEFT($Y31,2),"L"),$R$63:$T$90,3,FALSE),0)+IF(AND($K$6="CE",$T$59="2 Phases",H$18&lt;&gt;""),IF(VLOOKUP(CONCATENATE($A$18,"Line"),'Supply Attribution'!$F$31:$G$37,2,FALSE)="Line3",$A31,0)+IF(VLOOKUP(CONCATENATE($B$18,"Line"),'Supply Attribution'!$F$31:$G$37,2,FALSE)="Line3",$B31,0)+IF(VLOOKUP(CONCATENATE($C$18,"Line"),'Supply Attribution'!$F$31:$G$37,2,FALSE)="Line3",$C31,0)+IF(VLOOKUP(CONCATENATE($D$18,"Line"),'Supply Attribution'!$F$31:$G$37,2,FALSE)="Line3",$D31,0)+IF(VLOOKUP(CONCATENATE($E$18,"Line"),'Supply Attribution'!$F$31:$G$37,2,FALSE)="Line3",$E31,0)+IF(VLOOKUP(CONCATENATE($F$18,"Line"),'Supply Attribution'!$F$31:$G$37,2,FALSE)="Line3",$F31,0)-IF(AND($K$16=I$18,$K$14&lt;&gt;$K$15,$K$16=$K$17,RIGHT($K31,3)="2SP"),VLOOKUP(CONCATENATE(LEFT($K31,2),"L"),$R$63:$T$90,3,FALSE),0)-IF(AND($L$16=I$18,$L$14&lt;&gt;$L$15,$L$16=$L$17,RIGHT($L31,3)="2SP"),VLOOKUP(CONCATENATE(LEFT($L31,2),"L"),$R$63:$T$90,3,FALSE),0)-IF(AND($M$16=I$18,$M$14&lt;&gt;$M$15,$M$16=$M$17,RIGHT($M31,3)="2SP"),VLOOKUP(CONCATENATE(LEFT($M31,2),"L"),$R$63:$T$90,3,FALSE),0)-IF(AND($N$16=I$18,$N$14&lt;&gt;$N$15,$N$16=$N$17,RIGHT($N31,3)="2SP"),VLOOKUP(CONCATENATE(LEFT($N31,2),"L"),$R$63:$T$90,3,FALSE),0)-IF(AND($O$16=I$18,$O$14&lt;&gt;$O$15,$O$16=$O$17,RIGHT($O31,3)="2SP"),VLOOKUP(CONCATENATE(LEFT($O31,2),"L"),$R$63:$T$90,3,FALSE),0)-IF(AND($P$16=I$18,$P$14&lt;&gt;$P$15,$P$16=$P$17,RIGHT($P31,3)="2SP"),VLOOKUP(CONCATENATE(LEFT($P31,2),"L"),$R$63:$T$90,3,FALSE),0)-IF(AND($Q$16=I$18,$Q$14&lt;&gt;$Q$15,$Q$16=$Q$17,RIGHT($Q31,3)="2SP"),VLOOKUP(CONCATENATE(LEFT($Q31,2),"L"),$R$63:$T$90,3,FALSE),0)-IF(AND($T$16=I$18,$T$14&lt;&gt;$T$15,$T$16=$T$17,RIGHT($T31,3)="2SP"),VLOOKUP(CONCATENATE(LEFT($T31,2),"L"),$R$63:$T$90,3,FALSE),0)-IF(AND($U$16=I$18,$U$14&lt;&gt;$U$15,$U$16=$U$17,RIGHT($U31,3)="2SP"),VLOOKUP(CONCATENATE(LEFT($U31,2),"L"),$R$63:$T$90,3,FALSE),0)-IF(AND($V$16=I$18,$V$14&lt;&gt;$V$15,$V$16=$V$17,RIGHT($V31,3)="2SP"),VLOOKUP(CONCATENATE(LEFT($V31,2),"L"),$R$63:$T$90,3,FALSE),0)-IF(AND($W$16=I$18,$W$14&lt;&gt;$W$15,$W$16=$W$17,RIGHT($W31,3)="2SP"),VLOOKUP(CONCATENATE(LEFT($W31,2),"L"),$R$63:$T$90,3,FALSE),0)-IF(AND($X$16=I$18,$X$14&lt;&gt;$X$15,$X$16=$X$17,RIGHT($X31,3)="2SP"),VLOOKUP(CONCATENATE(LEFT($X31,2),"L"),$R$63:$T$90,3,FALSE),0)-IF(AND($Y$16=I$18,$Y$14&lt;&gt;$Y$15,$Y$16=$Y$17,RIGHT($Y31,3)="2SP"),VLOOKUP(CONCATENATE(LEFT($Y31,2),"L"),$R$63:$T$90,3,FALSE),0),0),"")</f>
        <v/>
      </c>
      <c r="I31" s="271" t="str">
        <f>IF(I$18&lt;&gt;"",IF(VLOOKUP(CONCATENATE($A$18,"Line"),'Supply Attribution'!$F$31:$G$37,2,FALSE)=I$18,$A31,0)+IF(VLOOKUP(CONCATENATE($B$18,"Line"),'Supply Attribution'!$F$31:$G$37,2,FALSE)=I$18,$B31,0)+IF(VLOOKUP(CONCATENATE($C$18,"Line"),'Supply Attribution'!$F$31:$G$37,2,FALSE)=I$18,$C31,0)+IF(VLOOKUP(CONCATENATE($D$18,"Line"),'Supply Attribution'!$F$31:$G$37,2,FALSE)=I$18,$D31,0)+IF(VLOOKUP(CONCATENATE($E$18,"Line"),'Supply Attribution'!$F$31:$G$37,2,FALSE)=I$18,$E31,0)+IF(VLOOKUP(CONCATENATE($F$18,"Line"),'Supply Attribution'!$F$31:$G$37,2,FALSE)=I$18,$F31,0)+IF($K$6="UL",LEFT($S$90,2),0)-IF(AND($K$16=I$18,$K$14&lt;&gt;$K$15,$K$16=$K$17,RIGHT($K31,3)="2SP"),VLOOKUP(CONCATENATE(LEFT($K31,2),"L"),$R$63:$T$90,3,FALSE),0)-IF(AND($L$16=I$18,$L$14&lt;&gt;$L$15,$L$16=$L$17,RIGHT($L31,3)="2SP"),VLOOKUP(CONCATENATE(LEFT($L31,2),"L"),$R$63:$T$90,3,FALSE),0)-IF(AND($M$16=I$18,$M$14&lt;&gt;$M$15,$M$16=$M$17,RIGHT($M31,3)="2SP"),VLOOKUP(CONCATENATE(LEFT($M31,2),"L"),$R$63:$T$90,3,FALSE),0)-IF(AND($N$16=I$18,$N$14&lt;&gt;$N$15,$N$16=$N$17,RIGHT($N31,3)="2SP"),VLOOKUP(CONCATENATE(LEFT($N31,2),"L"),$R$63:$T$90,3,FALSE),0)-IF(AND($O$16=I$18,$O$14&lt;&gt;$O$15,$O$16=$O$17,RIGHT($O31,3)="2SP"),VLOOKUP(CONCATENATE(LEFT($O31,2),"L"),$R$63:$T$90,3,FALSE),0)-IF(AND($P$16=I$18,$P$14&lt;&gt;$P$15,$P$16=$P$17,RIGHT($P31,3)="2SP"),VLOOKUP(CONCATENATE(LEFT($P31,2),"L"),$R$63:$T$90,3,FALSE),0)-IF(AND($Q$16=I$18,$Q$14&lt;&gt;$Q$15,$Q$16=$Q$17,RIGHT($Q31,3)="2SP"),VLOOKUP(CONCATENATE(LEFT($Q31,2),"L"),$R$63:$T$90,3,FALSE),0)-IF(AND($T$16=I$18,$T$14&lt;&gt;$T$15,$T$16=$T$17,RIGHT($T31,3)="2SP"),VLOOKUP(CONCATENATE(LEFT($T31,2),"L"),$R$63:$T$90,3,FALSE),0)-IF(AND($U$16=I$18,$U$14&lt;&gt;$U$15,$U$16=$U$17,RIGHT($U31,3)="2SP"),VLOOKUP(CONCATENATE(LEFT($U31,2),"L"),$R$63:$T$90,3,FALSE),0)-IF(AND($V$16=I$18,$V$14&lt;&gt;$V$15,$V$16=$V$17,RIGHT($V31,3)="2SP"),VLOOKUP(CONCATENATE(LEFT($V31,2),"L"),$R$63:$T$90,3,FALSE),0)-IF(AND($W$16=I$18,$W$14&lt;&gt;$W$15,$W$16=$W$17,RIGHT($W31,3)="2SP"),VLOOKUP(CONCATENATE(LEFT($W31,2),"L"),$R$63:$T$90,3,FALSE),0)-IF(AND($X$16=I$18,$X$14&lt;&gt;$X$15,$X$16=$X$17,RIGHT($X31,3)="2SP"),VLOOKUP(CONCATENATE(LEFT($X31,2),"L"),$R$63:$T$90,3,FALSE),0)-IF(AND($Y$16=I$18,$Y$14&lt;&gt;$Y$15,$Y$16=$Y$17,RIGHT($Y31,3)="2SP"),VLOOKUP(CONCATENATE(LEFT($Y31,2),"L"),$R$63:$T$90,3,FALSE),0),"")</f>
        <v/>
      </c>
      <c r="J31" s="129"/>
      <c r="K31" s="130"/>
      <c r="L31" s="130"/>
      <c r="M31" s="130"/>
      <c r="N31" s="130"/>
      <c r="O31" s="130"/>
      <c r="P31" s="130"/>
      <c r="Q31" s="130"/>
      <c r="R31" s="130"/>
      <c r="S31" s="130"/>
      <c r="T31" s="130"/>
      <c r="U31" s="130"/>
      <c r="V31" s="130"/>
      <c r="W31" s="130"/>
      <c r="X31" s="130"/>
      <c r="Y31" s="130"/>
      <c r="Z31" s="131"/>
      <c r="AA31" s="131"/>
      <c r="AB31" s="132"/>
      <c r="AC31" s="132"/>
      <c r="AD31" s="132"/>
      <c r="AE31" s="133">
        <f t="shared" si="0"/>
        <v>0</v>
      </c>
      <c r="AF31" s="78"/>
    </row>
    <row r="32" spans="1:32" ht="13.15" customHeight="1">
      <c r="A32" s="270">
        <f>IF(AND($K32&lt;&gt;"",$K32&lt;&gt;"--",$K32&lt;&gt;"O3/CP",$K$14=A$18),IF(LEFT($K32,1)="P",VLOOKUP(CONCATENATE(LEFT($K32,2),"H"),$R$63:$T$91,3,FALSE),VLOOKUP($K32,$R$63:$T$91,3,FALSE)))+IF(AND($K32&lt;&gt;"",$K32&lt;&gt;"O3/CP",$K$15=A$18,MID($K32,4,1)="2",$K$15&lt;&gt;$K$14),VLOOKUP(CONCATENATE(LEFT($K32,2),"L"),$R$63:$T$91,3,FALSE),0)+IF(AND($K32="O3/CP",$K$14=A$18),VLOOKUP("O3",$R$63:$T$91,3,FALSE)+VLOOKUP("CP",$R$63:$T$91,3,FALSE),0)+IF(AND($L32&lt;&gt;"",$L32&lt;&gt;"--",$L32&lt;&gt;"O3/CP",$L$14=A$18),IF(LEFT($L32,1)="P",VLOOKUP(CONCATENATE(LEFT($L32,2),"H"),$R$63:$T$91,3,FALSE),VLOOKUP($L32,$R$63:$T$91,3,FALSE)))+IF(AND($L32&lt;&gt;"",$L32&lt;&gt;"O3/CP",$L$15=A$18,MID($L32,4,1)="2",$L$15&lt;&gt;$L$14),VLOOKUP(CONCATENATE(LEFT($L32,2),"L"),$R$63:$T$91,3,FALSE),0)+IF(AND($L32="O3/CP",$L$14=A$18),VLOOKUP("O3",$R$63:$T$91,3,FALSE)+VLOOKUP("CP",$R$63:$T$91,3,FALSE),0)+IF(AND($M32&lt;&gt;"",$M32&lt;&gt;"--",$M32&lt;&gt;"O3/CP",$M$14=A$18),IF(LEFT($M32,1)="P",VLOOKUP(CONCATENATE(LEFT($M32,2),"H"),$R$63:$T$91,3,FALSE),VLOOKUP($M32,$R$63:$T$91,3,FALSE)))+IF(AND($M32&lt;&gt;"",$M32&lt;&gt;"O3/CP",$M$15=A$18,MID($M32,4,1)="2",$M$15&lt;&gt;$M$14),VLOOKUP(CONCATENATE(LEFT($M32,2),"L"),$R$63:$T$91,3,FALSE),0)+IF(AND($M32="O3/CP",$M$14=A$18),VLOOKUP("O3",$R$63:$T$91,3,FALSE)+VLOOKUP("CP",$R$63:$T$91,3,FALSE),0)+IF(AND($N32&lt;&gt;"",$N32&lt;&gt;"--",$N32&lt;&gt;"O3/CP",$N$14=A$18),IF(LEFT($N32,1)="P",VLOOKUP(CONCATENATE(LEFT($N32,2),"H"),$R$63:$T$91,3,FALSE),VLOOKUP($N32,$R$63:$T$91,3,FALSE)))+IF(AND($N32&lt;&gt;"",$N32&lt;&gt;"O3/CP",$N$15=A$18,MID($N32,4,1)="2",$N$15&lt;&gt;$N$14),VLOOKUP(CONCATENATE(LEFT($N32,2),"L"),$R$63:$T$91,3,FALSE),0)+IF(AND($N32="O3/CP",$N$14=A$18),VLOOKUP("O3",$R$63:$T$91,3,FALSE)+VLOOKUP("CP",$R$63:$T$91,3,FALSE),0)+IF(AND($O32&lt;&gt;"",$O32&lt;&gt;"--",$O32&lt;&gt;"O3/CP",$O$14=A$18),IF(LEFT($O32,1)="P",VLOOKUP(CONCATENATE(LEFT($O32,2),"H"),$R$63:$T$91,3,FALSE),VLOOKUP($O32,$R$63:$T$91,3,FALSE)))+IF(AND($O32&lt;&gt;"",$O32&lt;&gt;"O3/CP",$O$15=A$18,MID($O32,4,1)="2",$O$15&lt;&gt;$O$14),VLOOKUP(CONCATENATE(LEFT($O32,2),"L"),$R$63:$T$91,3,FALSE),0)+IF(AND($O32="O3/CP",$O$14=A$18),VLOOKUP("O3",$R$63:$T$91,3,FALSE)+VLOOKUP("CP",$R$63:$T$91,3,FALSE),0)+IF(AND($P32&lt;&gt;"",$P32&lt;&gt;"--",$P32&lt;&gt;"O3/CP",$P$14=A$18),IF(LEFT($P32,1)="P",VLOOKUP(CONCATENATE(LEFT($P32,2),"H"),$R$63:$T$91,3,FALSE),VLOOKUP($P32,$R$63:$T$91,3,FALSE)))+IF(AND($P32&lt;&gt;"",$P32&lt;&gt;"O3/CP",$P$15=A$18,MID($P32,4,1)="2",$P$15&lt;&gt;$P$14),VLOOKUP(CONCATENATE(LEFT($P32,2),"L"),$R$63:$T$91,3,FALSE),0)+IF(AND($P32="O3/CP",$P$14=A$18),VLOOKUP("O3",$R$63:$T$91,3,FALSE)+VLOOKUP("CP",$R$63:$T$91,3,FALSE),0)+IF(AND($Q32&lt;&gt;"",$Q32&lt;&gt;"--",$Q32&lt;&gt;"O3/CP",$Q$14=A$18),IF(LEFT($Q32,1)="P",VLOOKUP(CONCATENATE(LEFT($Q32,2),"H"),$R$63:$T$91,3,FALSE),VLOOKUP($Q32,$R$63:$T$91,3,FALSE)))+IF(AND($Q32&lt;&gt;"",$Q32&lt;&gt;"O3/CP",$Q$15=A$18,MID($Q32,4,1)="2",$Q$15&lt;&gt;$Q$14),VLOOKUP(CONCATENATE(LEFT($Q32,2),"L"),$R$63:$T$91,3,FALSE),0)+IF(AND($Q32="O3/CP",$Q$14=A$18),VLOOKUP("O3",$R$63:$T$91,3,FALSE)+VLOOKUP("CP",$R$63:$T$91,3,FALSE),0)+IF(AND($R32&lt;&gt;"",$R32&lt;&gt;"--",$R32&lt;&gt;"O3/CP",$R$14=A$18),IF(LEFT($R32,1)="P",VLOOKUP(CONCATENATE(LEFT($R32,2),"H"),$R$63:$T$91,3,FALSE),VLOOKUP($R32,$R$63:$T$91,3,FALSE)))+IF(AND($R32&lt;&gt;"",$R32&lt;&gt;"O3/CP",$R$15=A$18,MID($R32,4,1)="2",$R$15&lt;&gt;$R$14),VLOOKUP(CONCATENATE(LEFT($R32,2),"L"),$R$63:$T$91,3,FALSE),0)+IF(AND($R32="O3/CP",$R$14=A$18),VLOOKUP("O3",$R$63:$T$91,3,FALSE)+VLOOKUP("CP",$R$63:$T$91,3,FALSE),0)+IF(AND($S32&lt;&gt;"",$S32&lt;&gt;"--",$S32&lt;&gt;"O3/CP",$S$14=A$18),IF(LEFT($S32,1)="P",VLOOKUP(CONCATENATE(LEFT($S32,2),"H"),$R$63:$T$91,3,FALSE),VLOOKUP($S32,$R$63:$T$91,3,FALSE)))+IF(AND($S32&lt;&gt;"",$S32&lt;&gt;"O3/CP",$S$15=A$18,MID($S32,4,1)="2",$S$15&lt;&gt;$S$14),VLOOKUP(CONCATENATE(LEFT($S32,2),"L"),$R$63:$T$91,3,FALSE),0)+IF(AND($S32="O3/CP",$S$14=A$18),VLOOKUP("O3",$R$63:$T$91,3,FALSE)+VLOOKUP("CP",$R$63:$T$91,3,FALSE),0)+IF(AND($T32&lt;&gt;"",$T32&lt;&gt;"--",$T32&lt;&gt;"O3/CP",$T$14=A$18),IF(LEFT($T32,1)="P",VLOOKUP(CONCATENATE(LEFT($T32,2),"H"),$R$63:$T$91,3,FALSE),VLOOKUP($T32,$R$63:$T$91,3,FALSE)))+IF(AND($T32&lt;&gt;"",$T32&lt;&gt;"O3/CP",$T$15=A$18,MID($T32,4,1)="2",$T$15&lt;&gt;$T$14),VLOOKUP(CONCATENATE(LEFT($T32,2),"L"),$R$63:$T$91,3,FALSE),0)+IF(AND($T32="O3/CP",$T$14=A$18),VLOOKUP("O3",$R$63:$T$91,3,FALSE)+VLOOKUP("CP",$R$63:$T$91,3,FALSE),0)+IF(AND($U32&lt;&gt;"",$U32&lt;&gt;"--",$U32&lt;&gt;"O3/CP",$U$14=A$18),IF(LEFT($U32,1)="P",VLOOKUP(CONCATENATE(LEFT($U32,2),"H"),$R$63:$T$91,3,FALSE),VLOOKUP($U32,$R$63:$T$91,3,FALSE)))+IF(AND($U32&lt;&gt;"",$U32&lt;&gt;"O3/CP",$U$15=A$18,MID($U32,4,1)="2",$U$15&lt;&gt;$U$14),VLOOKUP(CONCATENATE(LEFT($U32,2),"L"),$R$63:$T$91,3,FALSE),0)+IF(AND($U32="O3/CP",$T$14=A$18),VLOOKUP("O3",$R$63:$T$91,3,FALSE)+VLOOKUP("CP",$R$63:$T$91,3,FALSE),0)+IF(AND($V32&lt;&gt;"",$V32&lt;&gt;"--",$V32&lt;&gt;"O3/CP",$V$14=A$18),IF(LEFT($V32,1)="P",VLOOKUP(CONCATENATE(LEFT($V32,2),"H"),$R$63:$T$91,3,FALSE),VLOOKUP($V32,$R$63:$T$91,3,FALSE)))+IF(AND($V32&lt;&gt;"",$V32&lt;&gt;"O3/CP",$V$15=A$18,MID($V32,4,1)="2",$V$15&lt;&gt;$V$14),VLOOKUP(CONCATENATE(LEFT($V32,2),"L"),$R$63:$T$91,3,FALSE),0)+IF(AND($V32="O3/CP",$V$14=A$18),VLOOKUP("O3",$R$63:$T$91,3,FALSE)+VLOOKUP("CP",$R$63:$T$91,3,FALSE),0)+IF(AND($W32&lt;&gt;"",$W32&lt;&gt;"--",$W32&lt;&gt;"O3/CP",$W$14=A$18),IF(LEFT($W32,1)="P",VLOOKUP(CONCATENATE(LEFT($W32,2),"H"),$R$63:$T$91,3,FALSE),VLOOKUP($W32,$R$63:$T$91,3,FALSE)))+IF(AND($W32&lt;&gt;"",$W32&lt;&gt;"O3/CP",$W$15=A$18,MID($W32,4,1)="2",$W$15&lt;&gt;$W$14),VLOOKUP(CONCATENATE(LEFT($W32,2),"L"),$R$63:$T$91,3,FALSE),0)+IF(AND($W32="O3/CP",$W$14=A$18),VLOOKUP("O3",$R$63:$T$91,3,FALSE)+VLOOKUP("CP",$R$63:$T$91,3,FALSE),0)+IF(AND($X32&lt;&gt;"",$X32&lt;&gt;"--",$X32&lt;&gt;"O3/CP",$X$14=A$18),IF(LEFT($X32,1)="P",VLOOKUP(CONCATENATE(LEFT($X32,2),"H"),$R$63:$T$91,3,FALSE),VLOOKUP($X32,$R$63:$T$91,3,FALSE)))+IF(AND($X32&lt;&gt;"",$X32&lt;&gt;"O3/CP",$X$15=A$18,MID($X32,4,1)="2",$X$15&lt;&gt;$X$14),VLOOKUP(CONCATENATE(LEFT($X32,2),"L"),$R$63:$T$91,3,FALSE),0)+IF(AND($X32="O3/CP",$X$14=A$18),VLOOKUP("O3",$R$63:$T$91,3,FALSE)+VLOOKUP("CP",$R$63:$T$91,3,FALSE),0)+IF(AND($Y32&lt;&gt;"",$Y32&lt;&gt;"--",$Y32&lt;&gt;"O3/CP",$Y$14=A$18),IF(LEFT($Y32,1)="P",VLOOKUP(CONCATENATE(LEFT($Y32,2),"H"),$R$63:$T$91,3,FALSE),VLOOKUP($Y32,$R$63:$T$91,3,FALSE)))+IF(AND($Y32&lt;&gt;"",$Y32&lt;&gt;"O3/CP",$Y$15=A$18,MID($Y32,4,1)="2",$Y$15&lt;&gt;$Y$14),VLOOKUP(CONCATENATE(LEFT($Y32,2),"L"),$R$63:$T$91,3,FALSE),0)+IF(AND($Y32="O3/CP",$Y$14=A$18),VLOOKUP("O3",$R$63:$T$91,3,FALSE)+VLOOKUP("CP",$R$63:$T$91,3,FALSE),0)+IF(AND($K$6="CE",'[3]Supply Attribution'!$G$20=A$18),LEFT($S$90,2),0)+IF(AND($X$86&lt;&gt;"Not Set",$X$87=A$18),$X$86,0)</f>
        <v>13</v>
      </c>
      <c r="B32" s="269">
        <f>IF(AND($K32&lt;&gt;"",$K32&lt;&gt;"--",$K32&lt;&gt;"O3/CP",$K$14=B$18),IF(LEFT($K32,1)="P",VLOOKUP(CONCATENATE(LEFT($K32,2),"H"),$R$63:$T$91,3,FALSE),VLOOKUP($K32,$R$63:$T$91,3,FALSE)))+IF(AND($K32&lt;&gt;"",$K32&lt;&gt;"O3/CP",$K$15=B$18,MID($K32,4,1)="2",$K$15&lt;&gt;$K$14),VLOOKUP(CONCATENATE(LEFT($K32,2),"L"),$R$63:$T$91,3,FALSE),0)+IF(AND($K32="O3/CP",$K$14=B$18),VLOOKUP("O3",$R$63:$T$91,3,FALSE)+VLOOKUP("CP",$R$63:$T$91,3,FALSE),0)+IF(AND($L32&lt;&gt;"",$L32&lt;&gt;"--",$L32&lt;&gt;"O3/CP",$L$14=B$18),IF(LEFT($L32,1)="P",VLOOKUP(CONCATENATE(LEFT($L32,2),"H"),$R$63:$T$91,3,FALSE),VLOOKUP($L32,$R$63:$T$91,3,FALSE)))+IF(AND($L32&lt;&gt;"",$L32&lt;&gt;"O3/CP",$L$15=B$18,MID($L32,4,1)="2",$L$15&lt;&gt;$L$14),VLOOKUP(CONCATENATE(LEFT($L32,2),"L"),$R$63:$T$91,3,FALSE),0)+IF(AND($L32="O3/CP",$L$14=B$18),VLOOKUP("O3",$R$63:$T$91,3,FALSE)+VLOOKUP("CP",$R$63:$T$91,3,FALSE),0)+IF(AND($M32&lt;&gt;"",$M32&lt;&gt;"--",$M32&lt;&gt;"O3/CP",$M$14=B$18),IF(LEFT($M32,1)="P",VLOOKUP(CONCATENATE(LEFT($M32,2),"H"),$R$63:$T$91,3,FALSE),VLOOKUP($M32,$R$63:$T$91,3,FALSE)))+IF(AND($M32&lt;&gt;"",$M32&lt;&gt;"O3/CP",$M$15=B$18,MID($M32,4,1)="2",$M$15&lt;&gt;$M$14),VLOOKUP(CONCATENATE(LEFT($M32,2),"L"),$R$63:$T$91,3,FALSE),0)+IF(AND($M32="O3/CP",$M$14=B$18),VLOOKUP("O3",$R$63:$T$91,3,FALSE)+VLOOKUP("CP",$R$63:$T$91,3,FALSE),0)+IF(AND($N32&lt;&gt;"",$N32&lt;&gt;"--",$N32&lt;&gt;"O3/CP",$N$14=B$18),IF(LEFT($N32,1)="P",VLOOKUP(CONCATENATE(LEFT($N32,2),"H"),$R$63:$T$91,3,FALSE),VLOOKUP($N32,$R$63:$T$91,3,FALSE)))+IF(AND($N32&lt;&gt;"",$N32&lt;&gt;"O3/CP",$N$15=B$18,MID($N32,4,1)="2",$N$15&lt;&gt;$N$14),VLOOKUP(CONCATENATE(LEFT($N32,2),"L"),$R$63:$T$91,3,FALSE),0)+IF(AND($N32="O3/CP",$N$14=B$18),VLOOKUP("O3",$R$63:$T$91,3,FALSE)+VLOOKUP("CP",$R$63:$T$91,3,FALSE),0)+IF(AND($O32&lt;&gt;"",$O32&lt;&gt;"--",$O32&lt;&gt;"O3/CP",$O$14=B$18),IF(LEFT($O32,1)="P",VLOOKUP(CONCATENATE(LEFT($O32,2),"H"),$R$63:$T$91,3,FALSE),VLOOKUP($O32,$R$63:$T$91,3,FALSE)))+IF(AND($O32&lt;&gt;"",$O32&lt;&gt;"O3/CP",$O$15=B$18,MID($O32,4,1)="2",$O$15&lt;&gt;$O$14),VLOOKUP(CONCATENATE(LEFT($O32,2),"L"),$R$63:$T$91,3,FALSE),0)+IF(AND($O32="O3/CP",$O$14=B$18),VLOOKUP("O3",$R$63:$T$91,3,FALSE)+VLOOKUP("CP",$R$63:$T$91,3,FALSE),0)+IF(AND($P32&lt;&gt;"",$P32&lt;&gt;"--",$P32&lt;&gt;"O3/CP",$P$14=B$18),IF(LEFT($P32,1)="P",VLOOKUP(CONCATENATE(LEFT($P32,2),"H"),$R$63:$T$91,3,FALSE),VLOOKUP($P32,$R$63:$T$91,3,FALSE)))+IF(AND($P32&lt;&gt;"",$P32&lt;&gt;"O3/CP",$P$15=B$18,MID($P32,4,1)="2",$P$15&lt;&gt;$P$14),VLOOKUP(CONCATENATE(LEFT($P32,2),"L"),$R$63:$T$91,3,FALSE),0)+IF(AND($P32="O3/CP",$P$14=B$18),VLOOKUP("O3",$R$63:$T$91,3,FALSE)+VLOOKUP("CP",$R$63:$T$91,3,FALSE),0)+IF(AND($Q32&lt;&gt;"",$Q32&lt;&gt;"--",$Q32&lt;&gt;"O3/CP",$Q$14=B$18),IF(LEFT($Q32,1)="P",VLOOKUP(CONCATENATE(LEFT($Q32,2),"H"),$R$63:$T$91,3,FALSE),VLOOKUP($Q32,$R$63:$T$91,3,FALSE)))+IF(AND($Q32&lt;&gt;"",$Q32&lt;&gt;"O3/CP",$Q$15=B$18,MID($Q32,4,1)="2",$Q$15&lt;&gt;$Q$14),VLOOKUP(CONCATENATE(LEFT($Q32,2),"L"),$R$63:$T$91,3,FALSE),0)+IF(AND($Q32="O3/CP",$Q$14=B$18),VLOOKUP("O3",$R$63:$T$91,3,FALSE)+VLOOKUP("CP",$R$63:$T$91,3,FALSE),0)+IF(AND($R32&lt;&gt;"",$R32&lt;&gt;"--",$R32&lt;&gt;"O3/CP",$R$14=B$18),IF(LEFT($R32,1)="P",VLOOKUP(CONCATENATE(LEFT($R32,2),"H"),$R$63:$T$91,3,FALSE),VLOOKUP($R32,$R$63:$T$91,3,FALSE)))+IF(AND($R32&lt;&gt;"",$R32&lt;&gt;"O3/CP",$R$15=B$18,MID($R32,4,1)="2",$R$15&lt;&gt;$R$14),VLOOKUP(CONCATENATE(LEFT($R32,2),"L"),$R$63:$T$91,3,FALSE),0)+IF(AND($R32="O3/CP",$R$14=B$18),VLOOKUP("O3",$R$63:$T$91,3,FALSE)+VLOOKUP("CP",$R$63:$T$91,3,FALSE),0)+IF(AND($S32&lt;&gt;"",$S32&lt;&gt;"--",$S32&lt;&gt;"O3/CP",$S$14=B$18),IF(LEFT($S32,1)="P",VLOOKUP(CONCATENATE(LEFT($S32,2),"H"),$R$63:$T$91,3,FALSE),VLOOKUP($S32,$R$63:$T$91,3,FALSE)))+IF(AND($S32&lt;&gt;"",$S32&lt;&gt;"O3/CP",$S$15=B$18,MID($S32,4,1)="2",$S$15&lt;&gt;$S$14),VLOOKUP(CONCATENATE(LEFT($S32,2),"L"),$R$63:$T$91,3,FALSE),0)+IF(AND($S32="O3/CP",$S$14=B$18),VLOOKUP("O3",$R$63:$T$91,3,FALSE)+VLOOKUP("CP",$R$63:$T$91,3,FALSE),0)+IF(AND($T32&lt;&gt;"",$T32&lt;&gt;"--",$T32&lt;&gt;"O3/CP",$T$14=B$18),IF(LEFT($T32,1)="P",VLOOKUP(CONCATENATE(LEFT($T32,2),"H"),$R$63:$T$91,3,FALSE),VLOOKUP($T32,$R$63:$T$91,3,FALSE)))+IF(AND($T32&lt;&gt;"",$T32&lt;&gt;"O3/CP",$T$15=B$18,MID($T32,4,1)="2",$T$15&lt;&gt;$T$14),VLOOKUP(CONCATENATE(LEFT($T32,2),"L"),$R$63:$T$91,3,FALSE),0)+IF(AND($T32="O3/CP",$T$14=B$18),VLOOKUP("O3",$R$63:$T$91,3,FALSE)+VLOOKUP("CP",$R$63:$T$91,3,FALSE),0)+IF(AND($U32&lt;&gt;"",$U32&lt;&gt;"--",$U32&lt;&gt;"O3/CP",$U$14=B$18),IF(LEFT($U32,1)="P",VLOOKUP(CONCATENATE(LEFT($U32,2),"H"),$R$63:$T$91,3,FALSE),VLOOKUP($U32,$R$63:$T$91,3,FALSE)))+IF(AND($U32&lt;&gt;"",$U32&lt;&gt;"O3/CP",$U$15=B$18,MID($U32,4,1)="2",$U$15&lt;&gt;$U$14),VLOOKUP(CONCATENATE(LEFT($U32,2),"L"),$R$63:$T$91,3,FALSE),0)+IF(AND($U32="O3/CP",$T$14=B$18),VLOOKUP("O3",$R$63:$T$91,3,FALSE)+VLOOKUP("CP",$R$63:$T$91,3,FALSE),0)+IF(AND($V32&lt;&gt;"",$V32&lt;&gt;"--",$V32&lt;&gt;"O3/CP",$V$14=B$18),IF(LEFT($V32,1)="P",VLOOKUP(CONCATENATE(LEFT($V32,2),"H"),$R$63:$T$91,3,FALSE),VLOOKUP($V32,$R$63:$T$91,3,FALSE)))+IF(AND($V32&lt;&gt;"",$V32&lt;&gt;"O3/CP",$V$15=B$18,MID($V32,4,1)="2",$V$15&lt;&gt;$V$14),VLOOKUP(CONCATENATE(LEFT($V32,2),"L"),$R$63:$T$91,3,FALSE),0)+IF(AND($V32="O3/CP",$V$14=B$18),VLOOKUP("O3",$R$63:$T$91,3,FALSE)+VLOOKUP("CP",$R$63:$T$91,3,FALSE),0)+IF(AND($W32&lt;&gt;"",$W32&lt;&gt;"--",$W32&lt;&gt;"O3/CP",$W$14=B$18),IF(LEFT($W32,1)="P",VLOOKUP(CONCATENATE(LEFT($W32,2),"H"),$R$63:$T$91,3,FALSE),VLOOKUP($W32,$R$63:$T$91,3,FALSE)))+IF(AND($W32&lt;&gt;"",$W32&lt;&gt;"O3/CP",$W$15=B$18,MID($W32,4,1)="2",$W$15&lt;&gt;$W$14),VLOOKUP(CONCATENATE(LEFT($W32,2),"L"),$R$63:$T$91,3,FALSE),0)+IF(AND($W32="O3/CP",$W$14=B$18),VLOOKUP("O3",$R$63:$T$91,3,FALSE)+VLOOKUP("CP",$R$63:$T$91,3,FALSE),0)+IF(AND($X32&lt;&gt;"",$X32&lt;&gt;"--",$X32&lt;&gt;"O3/CP",$X$14=B$18),IF(LEFT($X32,1)="P",VLOOKUP(CONCATENATE(LEFT($X32,2),"H"),$R$63:$T$91,3,FALSE),VLOOKUP($X32,$R$63:$T$91,3,FALSE)))+IF(AND($X32&lt;&gt;"",$X32&lt;&gt;"O3/CP",$X$15=B$18,MID($X32,4,1)="2",$X$15&lt;&gt;$X$14),VLOOKUP(CONCATENATE(LEFT($X32,2),"L"),$R$63:$T$91,3,FALSE),0)+IF(AND($X32="O3/CP",$X$14=B$18),VLOOKUP("O3",$R$63:$T$91,3,FALSE)+VLOOKUP("CP",$R$63:$T$91,3,FALSE),0)+IF(AND($Y32&lt;&gt;"",$Y32&lt;&gt;"--",$Y32&lt;&gt;"O3/CP",$Y$14=B$18),IF(LEFT($Y32,1)="P",VLOOKUP(CONCATENATE(LEFT($Y32,2),"H"),$R$63:$T$91,3,FALSE),VLOOKUP($Y32,$R$63:$T$91,3,FALSE)))+IF(AND($Y32&lt;&gt;"",$Y32&lt;&gt;"O3/CP",$Y$15=B$18,MID($Y32,4,1)="2",$Y$15&lt;&gt;$Y$14),VLOOKUP(CONCATENATE(LEFT($Y32,2),"L"),$R$63:$T$91,3,FALSE),0)+IF(AND($Y32="O3/CP",$Y$14=B$18),VLOOKUP("O3",$R$63:$T$91,3,FALSE)+VLOOKUP("CP",$R$63:$T$91,3,FALSE),0)+IF(AND($K$6="CE",'[3]Supply Attribution'!$G$20=B$18),LEFT($S$90,2),0)+IF(AND($X$86&lt;&gt;"Not Set",$X$87=B$18),$X$86,0)</f>
        <v>5</v>
      </c>
      <c r="C32" s="269">
        <f>IF(AND($K32&lt;&gt;"",$K32&lt;&gt;"--",$K32&lt;&gt;"O3/CP",$K$14=C$18),IF(LEFT($K32,1)="P",VLOOKUP(CONCATENATE(LEFT($K32,2),"H"),$R$63:$T$91,3,FALSE),VLOOKUP($K32,$R$63:$T$91,3,FALSE)))+IF(AND($K32&lt;&gt;"",$K32&lt;&gt;"O3/CP",$K$15=C$18,MID($K32,4,1)="2",$K$15&lt;&gt;$K$14),VLOOKUP(CONCATENATE(LEFT($K32,2),"L"),$R$63:$T$91,3,FALSE),0)+IF(AND($K32="O3/CP",$K$14=C$18),VLOOKUP("O3",$R$63:$T$91,3,FALSE)+VLOOKUP("CP",$R$63:$T$91,3,FALSE),0)+IF(AND($L32&lt;&gt;"",$L32&lt;&gt;"--",$L32&lt;&gt;"O3/CP",$L$14=C$18),IF(LEFT($L32,1)="P",VLOOKUP(CONCATENATE(LEFT($L32,2),"H"),$R$63:$T$91,3,FALSE),VLOOKUP($L32,$R$63:$T$91,3,FALSE)))+IF(AND($L32&lt;&gt;"",$L32&lt;&gt;"O3/CP",$L$15=C$18,MID($L32,4,1)="2",$L$15&lt;&gt;$L$14),VLOOKUP(CONCATENATE(LEFT($L32,2),"L"),$R$63:$T$91,3,FALSE),0)+IF(AND($L32="O3/CP",$L$14=C$18),VLOOKUP("O3",$R$63:$T$91,3,FALSE)+VLOOKUP("CP",$R$63:$T$91,3,FALSE),0)+IF(AND($M32&lt;&gt;"",$M32&lt;&gt;"--",$M32&lt;&gt;"O3/CP",$M$14=C$18),IF(LEFT($M32,1)="P",VLOOKUP(CONCATENATE(LEFT($M32,2),"H"),$R$63:$T$91,3,FALSE),VLOOKUP($M32,$R$63:$T$91,3,FALSE)))+IF(AND($M32&lt;&gt;"",$M32&lt;&gt;"O3/CP",$M$15=C$18,MID($M32,4,1)="2",$M$15&lt;&gt;$M$14),VLOOKUP(CONCATENATE(LEFT($M32,2),"L"),$R$63:$T$91,3,FALSE),0)+IF(AND($M32="O3/CP",$M$14=C$18),VLOOKUP("O3",$R$63:$T$91,3,FALSE)+VLOOKUP("CP",$R$63:$T$91,3,FALSE),0)+IF(AND($N32&lt;&gt;"",$N32&lt;&gt;"--",$N32&lt;&gt;"O3/CP",$N$14=C$18),IF(LEFT($N32,1)="P",VLOOKUP(CONCATENATE(LEFT($N32,2),"H"),$R$63:$T$91,3,FALSE),VLOOKUP($N32,$R$63:$T$91,3,FALSE)))+IF(AND($N32&lt;&gt;"",$N32&lt;&gt;"O3/CP",$N$15=C$18,MID($N32,4,1)="2",$N$15&lt;&gt;$N$14),VLOOKUP(CONCATENATE(LEFT($N32,2),"L"),$R$63:$T$91,3,FALSE),0)+IF(AND($N32="O3/CP",$N$14=C$18),VLOOKUP("O3",$R$63:$T$91,3,FALSE)+VLOOKUP("CP",$R$63:$T$91,3,FALSE),0)+IF(AND($O32&lt;&gt;"",$O32&lt;&gt;"--",$O32&lt;&gt;"O3/CP",$O$14=C$18),IF(LEFT($O32,1)="P",VLOOKUP(CONCATENATE(LEFT($O32,2),"H"),$R$63:$T$91,3,FALSE),VLOOKUP($O32,$R$63:$T$91,3,FALSE)))+IF(AND($O32&lt;&gt;"",$O32&lt;&gt;"O3/CP",$O$15=C$18,MID($O32,4,1)="2",$O$15&lt;&gt;$O$14),VLOOKUP(CONCATENATE(LEFT($O32,2),"L"),$R$63:$T$91,3,FALSE),0)+IF(AND($O32="O3/CP",$O$14=C$18),VLOOKUP("O3",$R$63:$T$91,3,FALSE)+VLOOKUP("CP",$R$63:$T$91,3,FALSE),0)+IF(AND($P32&lt;&gt;"",$P32&lt;&gt;"--",$P32&lt;&gt;"O3/CP",$P$14=C$18),IF(LEFT($P32,1)="P",VLOOKUP(CONCATENATE(LEFT($P32,2),"H"),$R$63:$T$91,3,FALSE),VLOOKUP($P32,$R$63:$T$91,3,FALSE)))+IF(AND($P32&lt;&gt;"",$P32&lt;&gt;"O3/CP",$P$15=C$18,MID($P32,4,1)="2",$P$15&lt;&gt;$P$14),VLOOKUP(CONCATENATE(LEFT($P32,2),"L"),$R$63:$T$91,3,FALSE),0)+IF(AND($P32="O3/CP",$P$14=C$18),VLOOKUP("O3",$R$63:$T$91,3,FALSE)+VLOOKUP("CP",$R$63:$T$91,3,FALSE),0)+IF(AND($Q32&lt;&gt;"",$Q32&lt;&gt;"--",$Q32&lt;&gt;"O3/CP",$Q$14=C$18),IF(LEFT($Q32,1)="P",VLOOKUP(CONCATENATE(LEFT($Q32,2),"H"),$R$63:$T$91,3,FALSE),VLOOKUP($Q32,$R$63:$T$91,3,FALSE)))+IF(AND($Q32&lt;&gt;"",$Q32&lt;&gt;"O3/CP",$Q$15=C$18,MID($Q32,4,1)="2",$Q$15&lt;&gt;$Q$14),VLOOKUP(CONCATENATE(LEFT($Q32,2),"L"),$R$63:$T$91,3,FALSE),0)+IF(AND($Q32="O3/CP",$Q$14=C$18),VLOOKUP("O3",$R$63:$T$91,3,FALSE)+VLOOKUP("CP",$R$63:$T$91,3,FALSE),0)+IF(AND($R32&lt;&gt;"",$R32&lt;&gt;"--",$R32&lt;&gt;"O3/CP",$R$14=C$18),IF(LEFT($R32,1)="P",VLOOKUP(CONCATENATE(LEFT($R32,2),"H"),$R$63:$T$91,3,FALSE),VLOOKUP($R32,$R$63:$T$91,3,FALSE)))+IF(AND($R32&lt;&gt;"",$R32&lt;&gt;"O3/CP",$R$15=C$18,MID($R32,4,1)="2",$R$15&lt;&gt;$R$14),VLOOKUP(CONCATENATE(LEFT($R32,2),"L"),$R$63:$T$91,3,FALSE),0)+IF(AND($R32="O3/CP",$R$14=C$18),VLOOKUP("O3",$R$63:$T$91,3,FALSE)+VLOOKUP("CP",$R$63:$T$91,3,FALSE),0)+IF(AND($S32&lt;&gt;"",$S32&lt;&gt;"--",$S32&lt;&gt;"O3/CP",$S$14=C$18),IF(LEFT($S32,1)="P",VLOOKUP(CONCATENATE(LEFT($S32,2),"H"),$R$63:$T$91,3,FALSE),VLOOKUP($S32,$R$63:$T$91,3,FALSE)))+IF(AND($S32&lt;&gt;"",$S32&lt;&gt;"O3/CP",$S$15=C$18,MID($S32,4,1)="2",$S$15&lt;&gt;$S$14),VLOOKUP(CONCATENATE(LEFT($S32,2),"L"),$R$63:$T$91,3,FALSE),0)+IF(AND($S32="O3/CP",$S$14=C$18),VLOOKUP("O3",$R$63:$T$91,3,FALSE)+VLOOKUP("CP",$R$63:$T$91,3,FALSE),0)+IF(AND($T32&lt;&gt;"",$T32&lt;&gt;"--",$T32&lt;&gt;"O3/CP",$T$14=C$18),IF(LEFT($T32,1)="P",VLOOKUP(CONCATENATE(LEFT($T32,2),"H"),$R$63:$T$91,3,FALSE),VLOOKUP($T32,$R$63:$T$91,3,FALSE)))+IF(AND($T32&lt;&gt;"",$T32&lt;&gt;"O3/CP",$T$15=C$18,MID($T32,4,1)="2",$T$15&lt;&gt;$T$14),VLOOKUP(CONCATENATE(LEFT($T32,2),"L"),$R$63:$T$91,3,FALSE),0)+IF(AND($T32="O3/CP",$T$14=C$18),VLOOKUP("O3",$R$63:$T$91,3,FALSE)+VLOOKUP("CP",$R$63:$T$91,3,FALSE),0)+IF(AND($U32&lt;&gt;"",$U32&lt;&gt;"--",$U32&lt;&gt;"O3/CP",$U$14=C$18),IF(LEFT($U32,1)="P",VLOOKUP(CONCATENATE(LEFT($U32,2),"H"),$R$63:$T$91,3,FALSE),VLOOKUP($U32,$R$63:$T$91,3,FALSE)))+IF(AND($U32&lt;&gt;"",$U32&lt;&gt;"O3/CP",$U$15=C$18,MID($U32,4,1)="2",$U$15&lt;&gt;$U$14),VLOOKUP(CONCATENATE(LEFT($U32,2),"L"),$R$63:$T$91,3,FALSE),0)+IF(AND($U32="O3/CP",$T$14=C$18),VLOOKUP("O3",$R$63:$T$91,3,FALSE)+VLOOKUP("CP",$R$63:$T$91,3,FALSE),0)+IF(AND($V32&lt;&gt;"",$V32&lt;&gt;"--",$V32&lt;&gt;"O3/CP",$V$14=C$18),IF(LEFT($V32,1)="P",VLOOKUP(CONCATENATE(LEFT($V32,2),"H"),$R$63:$T$91,3,FALSE),VLOOKUP($V32,$R$63:$T$91,3,FALSE)))+IF(AND($V32&lt;&gt;"",$V32&lt;&gt;"O3/CP",$V$15=C$18,MID($V32,4,1)="2",$V$15&lt;&gt;$V$14),VLOOKUP(CONCATENATE(LEFT($V32,2),"L"),$R$63:$T$91,3,FALSE),0)+IF(AND($V32="O3/CP",$V$14=C$18),VLOOKUP("O3",$R$63:$T$91,3,FALSE)+VLOOKUP("CP",$R$63:$T$91,3,FALSE),0)+IF(AND($W32&lt;&gt;"",$W32&lt;&gt;"--",$W32&lt;&gt;"O3/CP",$W$14=C$18),IF(LEFT($W32,1)="P",VLOOKUP(CONCATENATE(LEFT($W32,2),"H"),$R$63:$T$91,3,FALSE),VLOOKUP($W32,$R$63:$T$91,3,FALSE)))+IF(AND($W32&lt;&gt;"",$W32&lt;&gt;"O3/CP",$W$15=C$18,MID($W32,4,1)="2",$W$15&lt;&gt;$W$14),VLOOKUP(CONCATENATE(LEFT($W32,2),"L"),$R$63:$T$91,3,FALSE),0)+IF(AND($W32="O3/CP",$W$14=C$18),VLOOKUP("O3",$R$63:$T$91,3,FALSE)+VLOOKUP("CP",$R$63:$T$91,3,FALSE),0)+IF(AND($X32&lt;&gt;"",$X32&lt;&gt;"--",$X32&lt;&gt;"O3/CP",$X$14=C$18),IF(LEFT($X32,1)="P",VLOOKUP(CONCATENATE(LEFT($X32,2),"H"),$R$63:$T$91,3,FALSE),VLOOKUP($X32,$R$63:$T$91,3,FALSE)))+IF(AND($X32&lt;&gt;"",$X32&lt;&gt;"O3/CP",$X$15=C$18,MID($X32,4,1)="2",$X$15&lt;&gt;$X$14),VLOOKUP(CONCATENATE(LEFT($X32,2),"L"),$R$63:$T$91,3,FALSE),0)+IF(AND($X32="O3/CP",$X$14=C$18),VLOOKUP("O3",$R$63:$T$91,3,FALSE)+VLOOKUP("CP",$R$63:$T$91,3,FALSE),0)+IF(AND($Y32&lt;&gt;"",$Y32&lt;&gt;"--",$Y32&lt;&gt;"O3/CP",$Y$14=C$18),IF(LEFT($Y32,1)="P",VLOOKUP(CONCATENATE(LEFT($Y32,2),"H"),$R$63:$T$91,3,FALSE),VLOOKUP($Y32,$R$63:$T$91,3,FALSE)))+IF(AND($Y32&lt;&gt;"",$Y32&lt;&gt;"O3/CP",$Y$15=C$18,MID($Y32,4,1)="2",$Y$15&lt;&gt;$Y$14),VLOOKUP(CONCATENATE(LEFT($Y32,2),"L"),$R$63:$T$91,3,FALSE),0)+IF(AND($Y32="O3/CP",$Y$14=C$18),VLOOKUP("O3",$R$63:$T$91,3,FALSE)+VLOOKUP("CP",$R$63:$T$91,3,FALSE),0)+IF(AND($K$6="CE",'[3]Supply Attribution'!$G$20=C$18),LEFT($S$90,2),0)+IF(AND($X$86&lt;&gt;"Not Set",$X$87=C$18),$X$86,0)</f>
        <v>12</v>
      </c>
      <c r="D32" s="269">
        <f>IF(AND($K32&lt;&gt;"",$K32&lt;&gt;"--",$K32&lt;&gt;"O3/CP",$K$14=D$18),IF(LEFT($K32,1)="P",VLOOKUP(CONCATENATE(LEFT($K32,2),"H"),$R$63:$T$91,3,FALSE),VLOOKUP($K32,$R$63:$T$91,3,FALSE)))+IF(AND($K32&lt;&gt;"",$K32&lt;&gt;"O3/CP",$K$15=D$18,MID($K32,4,1)="2",$K$15&lt;&gt;$K$14),VLOOKUP(CONCATENATE(LEFT($K32,2),"L"),$R$63:$T$91,3,FALSE),0)+IF(AND($K32="O3/CP",$K$14=D$18),VLOOKUP("O3",$R$63:$T$91,3,FALSE)+VLOOKUP("CP",$R$63:$T$91,3,FALSE),0)+IF(AND($L32&lt;&gt;"",$L32&lt;&gt;"--",$L32&lt;&gt;"O3/CP",$L$14=D$18),IF(LEFT($L32,1)="P",VLOOKUP(CONCATENATE(LEFT($L32,2),"H"),$R$63:$T$91,3,FALSE),VLOOKUP($L32,$R$63:$T$91,3,FALSE)))+IF(AND($L32&lt;&gt;"",$L32&lt;&gt;"O3/CP",$L$15=D$18,MID($L32,4,1)="2",$L$15&lt;&gt;$L$14),VLOOKUP(CONCATENATE(LEFT($L32,2),"L"),$R$63:$T$91,3,FALSE),0)+IF(AND($L32="O3/CP",$L$14=D$18),VLOOKUP("O3",$R$63:$T$91,3,FALSE)+VLOOKUP("CP",$R$63:$T$91,3,FALSE),0)+IF(AND($M32&lt;&gt;"",$M32&lt;&gt;"--",$M32&lt;&gt;"O3/CP",$M$14=D$18),IF(LEFT($M32,1)="P",VLOOKUP(CONCATENATE(LEFT($M32,2),"H"),$R$63:$T$91,3,FALSE),VLOOKUP($M32,$R$63:$T$91,3,FALSE)))+IF(AND($M32&lt;&gt;"",$M32&lt;&gt;"O3/CP",$M$15=D$18,MID($M32,4,1)="2",$M$15&lt;&gt;$M$14),VLOOKUP(CONCATENATE(LEFT($M32,2),"L"),$R$63:$T$91,3,FALSE),0)+IF(AND($M32="O3/CP",$M$14=D$18),VLOOKUP("O3",$R$63:$T$91,3,FALSE)+VLOOKUP("CP",$R$63:$T$91,3,FALSE),0)+IF(AND($N32&lt;&gt;"",$N32&lt;&gt;"--",$N32&lt;&gt;"O3/CP",$N$14=D$18),IF(LEFT($N32,1)="P",VLOOKUP(CONCATENATE(LEFT($N32,2),"H"),$R$63:$T$91,3,FALSE),VLOOKUP($N32,$R$63:$T$91,3,FALSE)))+IF(AND($N32&lt;&gt;"",$N32&lt;&gt;"O3/CP",$N$15=D$18,MID($N32,4,1)="2",$N$15&lt;&gt;$N$14),VLOOKUP(CONCATENATE(LEFT($N32,2),"L"),$R$63:$T$91,3,FALSE),0)+IF(AND($N32="O3/CP",$N$14=D$18),VLOOKUP("O3",$R$63:$T$91,3,FALSE)+VLOOKUP("CP",$R$63:$T$91,3,FALSE),0)+IF(AND($O32&lt;&gt;"",$O32&lt;&gt;"--",$O32&lt;&gt;"O3/CP",$O$14=D$18),IF(LEFT($O32,1)="P",VLOOKUP(CONCATENATE(LEFT($O32,2),"H"),$R$63:$T$91,3,FALSE),VLOOKUP($O32,$R$63:$T$91,3,FALSE)))+IF(AND($O32&lt;&gt;"",$O32&lt;&gt;"O3/CP",$O$15=D$18,MID($O32,4,1)="2",$O$15&lt;&gt;$O$14),VLOOKUP(CONCATENATE(LEFT($O32,2),"L"),$R$63:$T$91,3,FALSE),0)+IF(AND($O32="O3/CP",$O$14=D$18),VLOOKUP("O3",$R$63:$T$91,3,FALSE)+VLOOKUP("CP",$R$63:$T$91,3,FALSE),0)+IF(AND($P32&lt;&gt;"",$P32&lt;&gt;"--",$P32&lt;&gt;"O3/CP",$P$14=D$18),IF(LEFT($P32,1)="P",VLOOKUP(CONCATENATE(LEFT($P32,2),"H"),$R$63:$T$91,3,FALSE),VLOOKUP($P32,$R$63:$T$91,3,FALSE)))+IF(AND($P32&lt;&gt;"",$P32&lt;&gt;"O3/CP",$P$15=D$18,MID($P32,4,1)="2",$P$15&lt;&gt;$P$14),VLOOKUP(CONCATENATE(LEFT($P32,2),"L"),$R$63:$T$91,3,FALSE),0)+IF(AND($P32="O3/CP",$P$14=D$18),VLOOKUP("O3",$R$63:$T$91,3,FALSE)+VLOOKUP("CP",$R$63:$T$91,3,FALSE),0)+IF(AND($Q32&lt;&gt;"",$Q32&lt;&gt;"--",$Q32&lt;&gt;"O3/CP",$Q$14=D$18),IF(LEFT($Q32,1)="P",VLOOKUP(CONCATENATE(LEFT($Q32,2),"H"),$R$63:$T$91,3,FALSE),VLOOKUP($Q32,$R$63:$T$91,3,FALSE)))+IF(AND($Q32&lt;&gt;"",$Q32&lt;&gt;"O3/CP",$Q$15=D$18,MID($Q32,4,1)="2",$Q$15&lt;&gt;$Q$14),VLOOKUP(CONCATENATE(LEFT($Q32,2),"L"),$R$63:$T$91,3,FALSE),0)+IF(AND($Q32="O3/CP",$Q$14=D$18),VLOOKUP("O3",$R$63:$T$91,3,FALSE)+VLOOKUP("CP",$R$63:$T$91,3,FALSE),0)+IF(AND($R32&lt;&gt;"",$R32&lt;&gt;"--",$R32&lt;&gt;"O3/CP",$R$14=D$18),IF(LEFT($R32,1)="P",VLOOKUP(CONCATENATE(LEFT($R32,2),"H"),$R$63:$T$91,3,FALSE),VLOOKUP($R32,$R$63:$T$91,3,FALSE)))+IF(AND($R32&lt;&gt;"",$R32&lt;&gt;"O3/CP",$R$15=D$18,MID($R32,4,1)="2",$R$15&lt;&gt;$R$14),VLOOKUP(CONCATENATE(LEFT($R32,2),"L"),$R$63:$T$91,3,FALSE),0)+IF(AND($R32="O3/CP",$R$14=D$18),VLOOKUP("O3",$R$63:$T$91,3,FALSE)+VLOOKUP("CP",$R$63:$T$91,3,FALSE),0)+IF(AND($S32&lt;&gt;"",$S32&lt;&gt;"--",$S32&lt;&gt;"O3/CP",$S$14=D$18),IF(LEFT($S32,1)="P",VLOOKUP(CONCATENATE(LEFT($S32,2),"H"),$R$63:$T$91,3,FALSE),VLOOKUP($S32,$R$63:$T$91,3,FALSE)))+IF(AND($S32&lt;&gt;"",$S32&lt;&gt;"O3/CP",$S$15=D$18,MID($S32,4,1)="2",$S$15&lt;&gt;$S$14),VLOOKUP(CONCATENATE(LEFT($S32,2),"L"),$R$63:$T$91,3,FALSE),0)+IF(AND($S32="O3/CP",$S$14=D$18),VLOOKUP("O3",$R$63:$T$91,3,FALSE)+VLOOKUP("CP",$R$63:$T$91,3,FALSE),0)+IF(AND($T32&lt;&gt;"",$T32&lt;&gt;"--",$T32&lt;&gt;"O3/CP",$T$14=D$18),IF(LEFT($T32,1)="P",VLOOKUP(CONCATENATE(LEFT($T32,2),"H"),$R$63:$T$91,3,FALSE),VLOOKUP($T32,$R$63:$T$91,3,FALSE)))+IF(AND($T32&lt;&gt;"",$T32&lt;&gt;"O3/CP",$T$15=D$18,MID($T32,4,1)="2",$T$15&lt;&gt;$T$14),VLOOKUP(CONCATENATE(LEFT($T32,2),"L"),$R$63:$T$91,3,FALSE),0)+IF(AND($T32="O3/CP",$T$14=D$18),VLOOKUP("O3",$R$63:$T$91,3,FALSE)+VLOOKUP("CP",$R$63:$T$91,3,FALSE),0)+IF(AND($U32&lt;&gt;"",$U32&lt;&gt;"--",$U32&lt;&gt;"O3/CP",$U$14=D$18),IF(LEFT($U32,1)="P",VLOOKUP(CONCATENATE(LEFT($U32,2),"H"),$R$63:$T$91,3,FALSE),VLOOKUP($U32,$R$63:$T$91,3,FALSE)))+IF(AND($U32&lt;&gt;"",$U32&lt;&gt;"O3/CP",$U$15=D$18,MID($U32,4,1)="2",$U$15&lt;&gt;$U$14),VLOOKUP(CONCATENATE(LEFT($U32,2),"L"),$R$63:$T$91,3,FALSE),0)+IF(AND($U32="O3/CP",$T$14=D$18),VLOOKUP("O3",$R$63:$T$91,3,FALSE)+VLOOKUP("CP",$R$63:$T$91,3,FALSE),0)+IF(AND($V32&lt;&gt;"",$V32&lt;&gt;"--",$V32&lt;&gt;"O3/CP",$V$14=D$18),IF(LEFT($V32,1)="P",VLOOKUP(CONCATENATE(LEFT($V32,2),"H"),$R$63:$T$91,3,FALSE),VLOOKUP($V32,$R$63:$T$91,3,FALSE)))+IF(AND($V32&lt;&gt;"",$V32&lt;&gt;"O3/CP",$V$15=D$18,MID($V32,4,1)="2",$V$15&lt;&gt;$V$14),VLOOKUP(CONCATENATE(LEFT($V32,2),"L"),$R$63:$T$91,3,FALSE),0)+IF(AND($V32="O3/CP",$V$14=D$18),VLOOKUP("O3",$R$63:$T$91,3,FALSE)+VLOOKUP("CP",$R$63:$T$91,3,FALSE),0)+IF(AND($W32&lt;&gt;"",$W32&lt;&gt;"--",$W32&lt;&gt;"O3/CP",$W$14=D$18),IF(LEFT($W32,1)="P",VLOOKUP(CONCATENATE(LEFT($W32,2),"H"),$R$63:$T$91,3,FALSE),VLOOKUP($W32,$R$63:$T$91,3,FALSE)))+IF(AND($W32&lt;&gt;"",$W32&lt;&gt;"O3/CP",$W$15=D$18,MID($W32,4,1)="2",$W$15&lt;&gt;$W$14),VLOOKUP(CONCATENATE(LEFT($W32,2),"L"),$R$63:$T$91,3,FALSE),0)+IF(AND($W32="O3/CP",$W$14=D$18),VLOOKUP("O3",$R$63:$T$91,3,FALSE)+VLOOKUP("CP",$R$63:$T$91,3,FALSE),0)+IF(AND($X32&lt;&gt;"",$X32&lt;&gt;"--",$X32&lt;&gt;"O3/CP",$X$14=D$18),IF(LEFT($X32,1)="P",VLOOKUP(CONCATENATE(LEFT($X32,2),"H"),$R$63:$T$91,3,FALSE),VLOOKUP($X32,$R$63:$T$91,3,FALSE)))+IF(AND($X32&lt;&gt;"",$X32&lt;&gt;"O3/CP",$X$15=D$18,MID($X32,4,1)="2",$X$15&lt;&gt;$X$14),VLOOKUP(CONCATENATE(LEFT($X32,2),"L"),$R$63:$T$91,3,FALSE),0)+IF(AND($X32="O3/CP",$X$14=D$18),VLOOKUP("O3",$R$63:$T$91,3,FALSE)+VLOOKUP("CP",$R$63:$T$91,3,FALSE),0)+IF(AND($Y32&lt;&gt;"",$Y32&lt;&gt;"--",$Y32&lt;&gt;"O3/CP",$Y$14=D$18),IF(LEFT($Y32,1)="P",VLOOKUP(CONCATENATE(LEFT($Y32,2),"H"),$R$63:$T$91,3,FALSE),VLOOKUP($Y32,$R$63:$T$91,3,FALSE)))+IF(AND($Y32&lt;&gt;"",$Y32&lt;&gt;"O3/CP",$Y$15=D$18,MID($Y32,4,1)="2",$Y$15&lt;&gt;$Y$14),VLOOKUP(CONCATENATE(LEFT($Y32,2),"L"),$R$63:$T$91,3,FALSE),0)+IF(AND($Y32="O3/CP",$Y$14=D$18),VLOOKUP("O3",$R$63:$T$91,3,FALSE)+VLOOKUP("CP",$R$63:$T$91,3,FALSE),0)+IF(AND($K$6="CE",'[3]Supply Attribution'!$G$20=D$18),LEFT($S$90,2),0)+IF(AND($X$86&lt;&gt;"Not Set",$X$87=D$18),$X$86,0)</f>
        <v>0</v>
      </c>
      <c r="E32" s="269">
        <f>IF(AND($K32&lt;&gt;"",$K32&lt;&gt;"--",$K32&lt;&gt;"O3/CP",$K$14=E$18),IF(LEFT($K32,1)="P",VLOOKUP(CONCATENATE(LEFT($K32,2),"H"),$R$63:$T$91,3,FALSE),VLOOKUP($K32,$R$63:$T$91,3,FALSE)))+IF(AND($K32&lt;&gt;"",$K32&lt;&gt;"O3/CP",$K$15=E$18,MID($K32,4,1)="2",$K$15&lt;&gt;$K$14),VLOOKUP(CONCATENATE(LEFT($K32,2),"L"),$R$63:$T$91,3,FALSE),0)+IF(AND($K32="O3/CP",$K$14=E$18),VLOOKUP("O3",$R$63:$T$91,3,FALSE)+VLOOKUP("CP",$R$63:$T$91,3,FALSE),0)+IF(AND($L32&lt;&gt;"",$L32&lt;&gt;"--",$L32&lt;&gt;"O3/CP",$L$14=E$18),IF(LEFT($L32,1)="P",VLOOKUP(CONCATENATE(LEFT($L32,2),"H"),$R$63:$T$91,3,FALSE),VLOOKUP($L32,$R$63:$T$91,3,FALSE)))+IF(AND($L32&lt;&gt;"",$L32&lt;&gt;"O3/CP",$L$15=E$18,MID($L32,4,1)="2",$L$15&lt;&gt;$L$14),VLOOKUP(CONCATENATE(LEFT($L32,2),"L"),$R$63:$T$91,3,FALSE),0)+IF(AND($L32="O3/CP",$L$14=E$18),VLOOKUP("O3",$R$63:$T$91,3,FALSE)+VLOOKUP("CP",$R$63:$T$91,3,FALSE),0)+IF(AND($M32&lt;&gt;"",$M32&lt;&gt;"--",$M32&lt;&gt;"O3/CP",$M$14=E$18),IF(LEFT($M32,1)="P",VLOOKUP(CONCATENATE(LEFT($M32,2),"H"),$R$63:$T$91,3,FALSE),VLOOKUP($M32,$R$63:$T$91,3,FALSE)))+IF(AND($M32&lt;&gt;"",$M32&lt;&gt;"O3/CP",$M$15=E$18,MID($M32,4,1)="2",$M$15&lt;&gt;$M$14),VLOOKUP(CONCATENATE(LEFT($M32,2),"L"),$R$63:$T$91,3,FALSE),0)+IF(AND($M32="O3/CP",$M$14=E$18),VLOOKUP("O3",$R$63:$T$91,3,FALSE)+VLOOKUP("CP",$R$63:$T$91,3,FALSE),0)+IF(AND($N32&lt;&gt;"",$N32&lt;&gt;"--",$N32&lt;&gt;"O3/CP",$N$14=E$18),IF(LEFT($N32,1)="P",VLOOKUP(CONCATENATE(LEFT($N32,2),"H"),$R$63:$T$91,3,FALSE),VLOOKUP($N32,$R$63:$T$91,3,FALSE)))+IF(AND($N32&lt;&gt;"",$N32&lt;&gt;"O3/CP",$N$15=E$18,MID($N32,4,1)="2",$N$15&lt;&gt;$N$14),VLOOKUP(CONCATENATE(LEFT($N32,2),"L"),$R$63:$T$91,3,FALSE),0)+IF(AND($N32="O3/CP",$N$14=E$18),VLOOKUP("O3",$R$63:$T$91,3,FALSE)+VLOOKUP("CP",$R$63:$T$91,3,FALSE),0)+IF(AND($O32&lt;&gt;"",$O32&lt;&gt;"--",$O32&lt;&gt;"O3/CP",$O$14=E$18),IF(LEFT($O32,1)="P",VLOOKUP(CONCATENATE(LEFT($O32,2),"H"),$R$63:$T$91,3,FALSE),VLOOKUP($O32,$R$63:$T$91,3,FALSE)))+IF(AND($O32&lt;&gt;"",$O32&lt;&gt;"O3/CP",$O$15=E$18,MID($O32,4,1)="2",$O$15&lt;&gt;$O$14),VLOOKUP(CONCATENATE(LEFT($O32,2),"L"),$R$63:$T$91,3,FALSE),0)+IF(AND($O32="O3/CP",$O$14=E$18),VLOOKUP("O3",$R$63:$T$91,3,FALSE)+VLOOKUP("CP",$R$63:$T$91,3,FALSE),0)+IF(AND($P32&lt;&gt;"",$P32&lt;&gt;"--",$P32&lt;&gt;"O3/CP",$P$14=E$18),IF(LEFT($P32,1)="P",VLOOKUP(CONCATENATE(LEFT($P32,2),"H"),$R$63:$T$91,3,FALSE),VLOOKUP($P32,$R$63:$T$91,3,FALSE)))+IF(AND($P32&lt;&gt;"",$P32&lt;&gt;"O3/CP",$P$15=E$18,MID($P32,4,1)="2",$P$15&lt;&gt;$P$14),VLOOKUP(CONCATENATE(LEFT($P32,2),"L"),$R$63:$T$91,3,FALSE),0)+IF(AND($P32="O3/CP",$P$14=E$18),VLOOKUP("O3",$R$63:$T$91,3,FALSE)+VLOOKUP("CP",$R$63:$T$91,3,FALSE),0)+IF(AND($Q32&lt;&gt;"",$Q32&lt;&gt;"--",$Q32&lt;&gt;"O3/CP",$Q$14=E$18),IF(LEFT($Q32,1)="P",VLOOKUP(CONCATENATE(LEFT($Q32,2),"H"),$R$63:$T$91,3,FALSE),VLOOKUP($Q32,$R$63:$T$91,3,FALSE)))+IF(AND($Q32&lt;&gt;"",$Q32&lt;&gt;"O3/CP",$Q$15=E$18,MID($Q32,4,1)="2",$Q$15&lt;&gt;$Q$14),VLOOKUP(CONCATENATE(LEFT($Q32,2),"L"),$R$63:$T$91,3,FALSE),0)+IF(AND($Q32="O3/CP",$Q$14=E$18),VLOOKUP("O3",$R$63:$T$91,3,FALSE)+VLOOKUP("CP",$R$63:$T$91,3,FALSE),0)+IF(AND($R32&lt;&gt;"",$R32&lt;&gt;"--",$R32&lt;&gt;"O3/CP",$R$14=E$18),IF(LEFT($R32,1)="P",VLOOKUP(CONCATENATE(LEFT($R32,2),"H"),$R$63:$T$91,3,FALSE),VLOOKUP($R32,$R$63:$T$91,3,FALSE)))+IF(AND($R32&lt;&gt;"",$R32&lt;&gt;"O3/CP",$R$15=E$18,MID($R32,4,1)="2",$R$15&lt;&gt;$R$14),VLOOKUP(CONCATENATE(LEFT($R32,2),"L"),$R$63:$T$91,3,FALSE),0)+IF(AND($R32="O3/CP",$R$14=E$18),VLOOKUP("O3",$R$63:$T$91,3,FALSE)+VLOOKUP("CP",$R$63:$T$91,3,FALSE),0)+IF(AND($S32&lt;&gt;"",$S32&lt;&gt;"--",$S32&lt;&gt;"O3/CP",$S$14=E$18),IF(LEFT($S32,1)="P",VLOOKUP(CONCATENATE(LEFT($S32,2),"H"),$R$63:$T$91,3,FALSE),VLOOKUP($S32,$R$63:$T$91,3,FALSE)))+IF(AND($S32&lt;&gt;"",$S32&lt;&gt;"O3/CP",$S$15=E$18,MID($S32,4,1)="2",$S$15&lt;&gt;$S$14),VLOOKUP(CONCATENATE(LEFT($S32,2),"L"),$R$63:$T$91,3,FALSE),0)+IF(AND($S32="O3/CP",$S$14=E$18),VLOOKUP("O3",$R$63:$T$91,3,FALSE)+VLOOKUP("CP",$R$63:$T$91,3,FALSE),0)+IF(AND($T32&lt;&gt;"",$T32&lt;&gt;"--",$T32&lt;&gt;"O3/CP",$T$14=E$18),IF(LEFT($T32,1)="P",VLOOKUP(CONCATENATE(LEFT($T32,2),"H"),$R$63:$T$91,3,FALSE),VLOOKUP($T32,$R$63:$T$91,3,FALSE)))+IF(AND($T32&lt;&gt;"",$T32&lt;&gt;"O3/CP",$T$15=E$18,MID($T32,4,1)="2",$T$15&lt;&gt;$T$14),VLOOKUP(CONCATENATE(LEFT($T32,2),"L"),$R$63:$T$91,3,FALSE),0)+IF(AND($T32="O3/CP",$T$14=E$18),VLOOKUP("O3",$R$63:$T$91,3,FALSE)+VLOOKUP("CP",$R$63:$T$91,3,FALSE),0)+IF(AND($U32&lt;&gt;"",$U32&lt;&gt;"--",$U32&lt;&gt;"O3/CP",$U$14=E$18),IF(LEFT($U32,1)="P",VLOOKUP(CONCATENATE(LEFT($U32,2),"H"),$R$63:$T$91,3,FALSE),VLOOKUP($U32,$R$63:$T$91,3,FALSE)))+IF(AND($U32&lt;&gt;"",$U32&lt;&gt;"O3/CP",$U$15=E$18,MID($U32,4,1)="2",$U$15&lt;&gt;$U$14),VLOOKUP(CONCATENATE(LEFT($U32,2),"L"),$R$63:$T$91,3,FALSE),0)+IF(AND($U32="O3/CP",$T$14=E$18),VLOOKUP("O3",$R$63:$T$91,3,FALSE)+VLOOKUP("CP",$R$63:$T$91,3,FALSE),0)+IF(AND($V32&lt;&gt;"",$V32&lt;&gt;"--",$V32&lt;&gt;"O3/CP",$V$14=E$18),IF(LEFT($V32,1)="P",VLOOKUP(CONCATENATE(LEFT($V32,2),"H"),$R$63:$T$91,3,FALSE),VLOOKUP($V32,$R$63:$T$91,3,FALSE)))+IF(AND($V32&lt;&gt;"",$V32&lt;&gt;"O3/CP",$V$15=E$18,MID($V32,4,1)="2",$V$15&lt;&gt;$V$14),VLOOKUP(CONCATENATE(LEFT($V32,2),"L"),$R$63:$T$91,3,FALSE),0)+IF(AND($V32="O3/CP",$V$14=E$18),VLOOKUP("O3",$R$63:$T$91,3,FALSE)+VLOOKUP("CP",$R$63:$T$91,3,FALSE),0)+IF(AND($W32&lt;&gt;"",$W32&lt;&gt;"--",$W32&lt;&gt;"O3/CP",$W$14=E$18),IF(LEFT($W32,1)="P",VLOOKUP(CONCATENATE(LEFT($W32,2),"H"),$R$63:$T$91,3,FALSE),VLOOKUP($W32,$R$63:$T$91,3,FALSE)))+IF(AND($W32&lt;&gt;"",$W32&lt;&gt;"O3/CP",$W$15=E$18,MID($W32,4,1)="2",$W$15&lt;&gt;$W$14),VLOOKUP(CONCATENATE(LEFT($W32,2),"L"),$R$63:$T$91,3,FALSE),0)+IF(AND($W32="O3/CP",$W$14=E$18),VLOOKUP("O3",$R$63:$T$91,3,FALSE)+VLOOKUP("CP",$R$63:$T$91,3,FALSE),0)+IF(AND($X32&lt;&gt;"",$X32&lt;&gt;"--",$X32&lt;&gt;"O3/CP",$X$14=E$18),IF(LEFT($X32,1)="P",VLOOKUP(CONCATENATE(LEFT($X32,2),"H"),$R$63:$T$91,3,FALSE),VLOOKUP($X32,$R$63:$T$91,3,FALSE)))+IF(AND($X32&lt;&gt;"",$X32&lt;&gt;"O3/CP",$X$15=E$18,MID($X32,4,1)="2",$X$15&lt;&gt;$X$14),VLOOKUP(CONCATENATE(LEFT($X32,2),"L"),$R$63:$T$91,3,FALSE),0)+IF(AND($X32="O3/CP",$X$14=E$18),VLOOKUP("O3",$R$63:$T$91,3,FALSE)+VLOOKUP("CP",$R$63:$T$91,3,FALSE),0)+IF(AND($Y32&lt;&gt;"",$Y32&lt;&gt;"--",$Y32&lt;&gt;"O3/CP",$Y$14=E$18),IF(LEFT($Y32,1)="P",VLOOKUP(CONCATENATE(LEFT($Y32,2),"H"),$R$63:$T$91,3,FALSE),VLOOKUP($Y32,$R$63:$T$91,3,FALSE)))+IF(AND($Y32&lt;&gt;"",$Y32&lt;&gt;"O3/CP",$Y$15=E$18,MID($Y32,4,1)="2",$Y$15&lt;&gt;$Y$14),VLOOKUP(CONCATENATE(LEFT($Y32,2),"L"),$R$63:$T$91,3,FALSE),0)+IF(AND($Y32="O3/CP",$Y$14=E$18),VLOOKUP("O3",$R$63:$T$91,3,FALSE)+VLOOKUP("CP",$R$63:$T$91,3,FALSE),0)+IF(AND($K$6="CE",'[3]Supply Attribution'!$G$20=E$18),LEFT($S$90,2),0)+IF(AND($X$86&lt;&gt;"Not Set",$X$87=E$18),$X$86,0)</f>
        <v>0</v>
      </c>
      <c r="F32" s="268">
        <f>IF(AND($K32&lt;&gt;"",$K32&lt;&gt;"--",$K32&lt;&gt;"O3/CP",$K$14=F$18),IF(LEFT($K32,1)="P",VLOOKUP(CONCATENATE(LEFT($K32,2),"H"),$R$63:$T$91,3,FALSE),VLOOKUP($K32,$R$63:$T$91,3,FALSE)))+IF(AND($K32&lt;&gt;"",$K32&lt;&gt;"O3/CP",$K$15=F$18,MID($K32,4,1)="2",$K$15&lt;&gt;$K$14),VLOOKUP(CONCATENATE(LEFT($K32,2),"L"),$R$63:$T$91,3,FALSE),0)+IF(AND($K32="O3/CP",$K$14=F$18),VLOOKUP("O3",$R$63:$T$91,3,FALSE)+VLOOKUP("CP",$R$63:$T$91,3,FALSE),0)+IF(AND($L32&lt;&gt;"",$L32&lt;&gt;"--",$L32&lt;&gt;"O3/CP",$L$14=F$18),IF(LEFT($L32,1)="P",VLOOKUP(CONCATENATE(LEFT($L32,2),"H"),$R$63:$T$91,3,FALSE),VLOOKUP($L32,$R$63:$T$91,3,FALSE)))+IF(AND($L32&lt;&gt;"",$L32&lt;&gt;"O3/CP",$L$15=F$18,MID($L32,4,1)="2",$L$15&lt;&gt;$L$14),VLOOKUP(CONCATENATE(LEFT($L32,2),"L"),$R$63:$T$91,3,FALSE),0)+IF(AND($L32="O3/CP",$L$14=F$18),VLOOKUP("O3",$R$63:$T$91,3,FALSE)+VLOOKUP("CP",$R$63:$T$91,3,FALSE),0)+IF(AND($M32&lt;&gt;"",$M32&lt;&gt;"--",$M32&lt;&gt;"O3/CP",$M$14=F$18),IF(LEFT($M32,1)="P",VLOOKUP(CONCATENATE(LEFT($M32,2),"H"),$R$63:$T$91,3,FALSE),VLOOKUP($M32,$R$63:$T$91,3,FALSE)))+IF(AND($M32&lt;&gt;"",$M32&lt;&gt;"O3/CP",$M$15=F$18,MID($M32,4,1)="2",$M$15&lt;&gt;$M$14),VLOOKUP(CONCATENATE(LEFT($M32,2),"L"),$R$63:$T$91,3,FALSE),0)+IF(AND($M32="O3/CP",$M$14=F$18),VLOOKUP("O3",$R$63:$T$91,3,FALSE)+VLOOKUP("CP",$R$63:$T$91,3,FALSE),0)+IF(AND($N32&lt;&gt;"",$N32&lt;&gt;"--",$N32&lt;&gt;"O3/CP",$N$14=F$18),IF(LEFT($N32,1)="P",VLOOKUP(CONCATENATE(LEFT($N32,2),"H"),$R$63:$T$91,3,FALSE),VLOOKUP($N32,$R$63:$T$91,3,FALSE)))+IF(AND($N32&lt;&gt;"",$N32&lt;&gt;"O3/CP",$N$15=F$18,MID($N32,4,1)="2",$N$15&lt;&gt;$N$14),VLOOKUP(CONCATENATE(LEFT($N32,2),"L"),$R$63:$T$91,3,FALSE),0)+IF(AND($N32="O3/CP",$N$14=F$18),VLOOKUP("O3",$R$63:$T$91,3,FALSE)+VLOOKUP("CP",$R$63:$T$91,3,FALSE),0)+IF(AND($O32&lt;&gt;"",$O32&lt;&gt;"--",$O32&lt;&gt;"O3/CP",$O$14=F$18),IF(LEFT($O32,1)="P",VLOOKUP(CONCATENATE(LEFT($O32,2),"H"),$R$63:$T$91,3,FALSE),VLOOKUP($O32,$R$63:$T$91,3,FALSE)))+IF(AND($O32&lt;&gt;"",$O32&lt;&gt;"O3/CP",$O$15=F$18,MID($O32,4,1)="2",$O$15&lt;&gt;$O$14),VLOOKUP(CONCATENATE(LEFT($O32,2),"L"),$R$63:$T$91,3,FALSE),0)+IF(AND($O32="O3/CP",$O$14=F$18),VLOOKUP("O3",$R$63:$T$91,3,FALSE)+VLOOKUP("CP",$R$63:$T$91,3,FALSE),0)+IF(AND($P32&lt;&gt;"",$P32&lt;&gt;"--",$P32&lt;&gt;"O3/CP",$P$14=F$18),IF(LEFT($P32,1)="P",VLOOKUP(CONCATENATE(LEFT($P32,2),"H"),$R$63:$T$91,3,FALSE),VLOOKUP($P32,$R$63:$T$91,3,FALSE)))+IF(AND($P32&lt;&gt;"",$P32&lt;&gt;"O3/CP",$P$15=F$18,MID($P32,4,1)="2",$P$15&lt;&gt;$P$14),VLOOKUP(CONCATENATE(LEFT($P32,2),"L"),$R$63:$T$91,3,FALSE),0)+IF(AND($P32="O3/CP",$P$14=F$18),VLOOKUP("O3",$R$63:$T$91,3,FALSE)+VLOOKUP("CP",$R$63:$T$91,3,FALSE),0)+IF(AND($Q32&lt;&gt;"",$Q32&lt;&gt;"--",$Q32&lt;&gt;"O3/CP",$Q$14=F$18),IF(LEFT($Q32,1)="P",VLOOKUP(CONCATENATE(LEFT($Q32,2),"H"),$R$63:$T$91,3,FALSE),VLOOKUP($Q32,$R$63:$T$91,3,FALSE)))+IF(AND($Q32&lt;&gt;"",$Q32&lt;&gt;"O3/CP",$Q$15=F$18,MID($Q32,4,1)="2",$Q$15&lt;&gt;$Q$14),VLOOKUP(CONCATENATE(LEFT($Q32,2),"L"),$R$63:$T$91,3,FALSE),0)+IF(AND($Q32="O3/CP",$Q$14=F$18),VLOOKUP("O3",$R$63:$T$91,3,FALSE)+VLOOKUP("CP",$R$63:$T$91,3,FALSE),0)+IF(AND($R32&lt;&gt;"",$R32&lt;&gt;"--",$R32&lt;&gt;"O3/CP",$R$14=F$18),IF(LEFT($R32,1)="P",VLOOKUP(CONCATENATE(LEFT($R32,2),"H"),$R$63:$T$91,3,FALSE),VLOOKUP($R32,$R$63:$T$91,3,FALSE)))+IF(AND($R32&lt;&gt;"",$R32&lt;&gt;"O3/CP",$R$15=F$18,MID($R32,4,1)="2",$R$15&lt;&gt;$R$14),VLOOKUP(CONCATENATE(LEFT($R32,2),"L"),$R$63:$T$91,3,FALSE),0)+IF(AND($R32="O3/CP",$R$14=F$18),VLOOKUP("O3",$R$63:$T$91,3,FALSE)+VLOOKUP("CP",$R$63:$T$91,3,FALSE),0)+IF(AND($S32&lt;&gt;"",$S32&lt;&gt;"--",$S32&lt;&gt;"O3/CP",$S$14=F$18),IF(LEFT($S32,1)="P",VLOOKUP(CONCATENATE(LEFT($S32,2),"H"),$R$63:$T$91,3,FALSE),VLOOKUP($S32,$R$63:$T$91,3,FALSE)))+IF(AND($S32&lt;&gt;"",$S32&lt;&gt;"O3/CP",$S$15=F$18,MID($S32,4,1)="2",$S$15&lt;&gt;$S$14),VLOOKUP(CONCATENATE(LEFT($S32,2),"L"),$R$63:$T$91,3,FALSE),0)+IF(AND($S32="O3/CP",$S$14=F$18),VLOOKUP("O3",$R$63:$T$91,3,FALSE)+VLOOKUP("CP",$R$63:$T$91,3,FALSE),0)+IF(AND($T32&lt;&gt;"",$T32&lt;&gt;"--",$T32&lt;&gt;"O3/CP",$T$14=F$18),IF(LEFT($T32,1)="P",VLOOKUP(CONCATENATE(LEFT($T32,2),"H"),$R$63:$T$91,3,FALSE),VLOOKUP($T32,$R$63:$T$91,3,FALSE)))+IF(AND($T32&lt;&gt;"",$T32&lt;&gt;"O3/CP",$T$15=F$18,MID($T32,4,1)="2",$T$15&lt;&gt;$T$14),VLOOKUP(CONCATENATE(LEFT($T32,2),"L"),$R$63:$T$91,3,FALSE),0)+IF(AND($T32="O3/CP",$T$14=F$18),VLOOKUP("O3",$R$63:$T$91,3,FALSE)+VLOOKUP("CP",$R$63:$T$91,3,FALSE),0)+IF(AND($U32&lt;&gt;"",$U32&lt;&gt;"--",$U32&lt;&gt;"O3/CP",$U$14=F$18),IF(LEFT($U32,1)="P",VLOOKUP(CONCATENATE(LEFT($U32,2),"H"),$R$63:$T$91,3,FALSE),VLOOKUP($U32,$R$63:$T$91,3,FALSE)))+IF(AND($U32&lt;&gt;"",$U32&lt;&gt;"O3/CP",$U$15=F$18,MID($U32,4,1)="2",$U$15&lt;&gt;$U$14),VLOOKUP(CONCATENATE(LEFT($U32,2),"L"),$R$63:$T$91,3,FALSE),0)+IF(AND($U32="O3/CP",$T$14=F$18),VLOOKUP("O3",$R$63:$T$91,3,FALSE)+VLOOKUP("CP",$R$63:$T$91,3,FALSE),0)+IF(AND($V32&lt;&gt;"",$V32&lt;&gt;"--",$V32&lt;&gt;"O3/CP",$V$14=F$18),IF(LEFT($V32,1)="P",VLOOKUP(CONCATENATE(LEFT($V32,2),"H"),$R$63:$T$91,3,FALSE),VLOOKUP($V32,$R$63:$T$91,3,FALSE)))+IF(AND($V32&lt;&gt;"",$V32&lt;&gt;"O3/CP",$V$15=F$18,MID($V32,4,1)="2",$V$15&lt;&gt;$V$14),VLOOKUP(CONCATENATE(LEFT($V32,2),"L"),$R$63:$T$91,3,FALSE),0)+IF(AND($V32="O3/CP",$V$14=F$18),VLOOKUP("O3",$R$63:$T$91,3,FALSE)+VLOOKUP("CP",$R$63:$T$91,3,FALSE),0)+IF(AND($W32&lt;&gt;"",$W32&lt;&gt;"--",$W32&lt;&gt;"O3/CP",$W$14=F$18),IF(LEFT($W32,1)="P",VLOOKUP(CONCATENATE(LEFT($W32,2),"H"),$R$63:$T$91,3,FALSE),VLOOKUP($W32,$R$63:$T$91,3,FALSE)))+IF(AND($W32&lt;&gt;"",$W32&lt;&gt;"O3/CP",$W$15=F$18,MID($W32,4,1)="2",$W$15&lt;&gt;$W$14),VLOOKUP(CONCATENATE(LEFT($W32,2),"L"),$R$63:$T$91,3,FALSE),0)+IF(AND($W32="O3/CP",$W$14=F$18),VLOOKUP("O3",$R$63:$T$91,3,FALSE)+VLOOKUP("CP",$R$63:$T$91,3,FALSE),0)+IF(AND($X32&lt;&gt;"",$X32&lt;&gt;"--",$X32&lt;&gt;"O3/CP",$X$14=F$18),IF(LEFT($X32,1)="P",VLOOKUP(CONCATENATE(LEFT($X32,2),"H"),$R$63:$T$91,3,FALSE),VLOOKUP($X32,$R$63:$T$91,3,FALSE)))+IF(AND($X32&lt;&gt;"",$X32&lt;&gt;"O3/CP",$X$15=F$18,MID($X32,4,1)="2",$X$15&lt;&gt;$X$14),VLOOKUP(CONCATENATE(LEFT($X32,2),"L"),$R$63:$T$91,3,FALSE),0)+IF(AND($X32="O3/CP",$X$14=F$18),VLOOKUP("O3",$R$63:$T$91,3,FALSE)+VLOOKUP("CP",$R$63:$T$91,3,FALSE),0)+IF(AND($Y32&lt;&gt;"",$Y32&lt;&gt;"--",$Y32&lt;&gt;"O3/CP",$Y$14=F$18),IF(LEFT($Y32,1)="P",VLOOKUP(CONCATENATE(LEFT($Y32,2),"H"),$R$63:$T$91,3,FALSE),VLOOKUP($Y32,$R$63:$T$91,3,FALSE)))+IF(AND($Y32&lt;&gt;"",$Y32&lt;&gt;"O3/CP",$Y$15=F$18,MID($Y32,4,1)="2",$Y$15&lt;&gt;$Y$14),VLOOKUP(CONCATENATE(LEFT($Y32,2),"L"),$R$63:$T$91,3,FALSE),0)+IF(AND($Y32="O3/CP",$Y$14=F$18),VLOOKUP("O3",$R$63:$T$91,3,FALSE)+VLOOKUP("CP",$R$63:$T$91,3,FALSE),0)+IF(AND($K$6="CE",'[3]Supply Attribution'!$G$20=F$18),LEFT($S$90,2),0)+IF(AND($X$86&lt;&gt;"Not Set",$X$87=F$18),$X$86,0)</f>
        <v>0</v>
      </c>
      <c r="G32" s="269">
        <f>IF(AND($K$6="CE",$T$59="1 Phase"),SUM(A32:F32)-IF(AND($K$14&lt;&gt;$K$15,RIGHT($K32,3)="2SP"),VLOOKUP(CONCATENATE(LEFT($K32,2),"L"),$R$63:$T$90,3,FALSE),0)-IF(AND($L$14&lt;&gt;$L$15,RIGHT($L32,3)="2SP"),VLOOKUP(CONCATENATE(LEFT($L32,2),"L"),$R$63:$T$90,3,FALSE),0)-IF(AND($M$14&lt;&gt;$M$15,RIGHT($M32,3)="2SP"),VLOOKUP(CONCATENATE(LEFT($M32,2),"L"),$R$63:$T$90,3,FALSE),0)-IF(AND($N$14&lt;&gt;$N$15,RIGHT($N32,3)="2SP"),VLOOKUP(CONCATENATE(LEFT($N32,2),"L"),$R$63:$T$90,3,FALSE),0)-IF(AND($O$14&lt;&gt;$O$15,RIGHT($O32,3)="2SP"),VLOOKUP(CONCATENATE(LEFT($O32,2),"L"),$R$63:$T$90,3,FALSE),0)-IF(AND($P$14&lt;&gt;$P$15,RIGHT($P32,3)="2SP"),VLOOKUP(CONCATENATE(LEFT($P32,2),"L"),$R$63:$T$90,3,FALSE),0)-IF(AND($Q$14&lt;&gt;$Q$15,RIGHT($Q32,3)="2SP"),VLOOKUP(CONCATENATE(LEFT($Q32,2),"L"),$R$63:$T$90,3,FALSE),0)-IF(AND($R$14&lt;&gt;$R$15,RIGHT($T32,3)="2SP"),VLOOKUP(CONCATENATE(LEFT($R32,2),"L"),$R$63:$T$90,3,FALSE),0)-IF(AND($S$14&lt;&gt;$S$15,RIGHT($T32,3)="2SP"),VLOOKUP(CONCATENATE(LEFT($S32,2),"L"),$R$63:$T$90,3,FALSE),0)-IF(AND($T$14&lt;&gt;$T$15,RIGHT($T32,3)="2SP"),VLOOKUP(CONCATENATE(LEFT($T32,2),"L"),$R$63:$T$90,3,FALSE),0)-IF(AND($U$14&lt;&gt;$U$15,RIGHT($U32,3)="2SP"),VLOOKUP(CONCATENATE(LEFT($U32,2),"L"),$R$63:$T$90,3,FALSE),0)-IF(AND($V$14&lt;&gt;$V$15,RIGHT($V32,3)="2SP"),VLOOKUP(CONCATENATE(LEFT($V32,2),"L"),$R$63:$T$90,3,FALSE),0)-IF(AND($W$14&lt;&gt;$W$15,RIGHT($W32,3)="2SP"),VLOOKUP(CONCATENATE(LEFT($W32,2),"L"),$R$63:$T$90,3,FALSE),0)-IF(AND($X$14&lt;&gt;$X$15,RIGHT($X32,3)="2SP"),VLOOKUP(CONCATENATE(LEFT($X32,2),"L"),$R$63:$T$90,3,FALSE),0)-IF(AND($Y$14&lt;&gt;$Y$15,RIGHT($Y32,3)="2SP"),VLOOKUP(CONCATENATE(LEFT($Y32,2),"L"),$R$63:$T$90,3,FALSE),0),IF(VLOOKUP(CONCATENATE($A$18,"Line"),'[3]Supply Attribution'!$F$31:$G$37,2,FALSE)=G$18,$A32,0)+IF(VLOOKUP(CONCATENATE($B$18,"Line"),'[3]Supply Attribution'!$F$31:$G$37,2,FALSE)=G$18,$B32,0)+IF(VLOOKUP(CONCATENATE($C$18,"Line"),'[3]Supply Attribution'!$F$31:$G$37,2,FALSE)=G$18,$C32,0)+IF(VLOOKUP(CONCATENATE($D$18,"Line"),'[3]Supply Attribution'!$F$31:$G$37,2,FALSE)=G$18,$D32,0)+IF(VLOOKUP(CONCATENATE($E$18,"Line"),'[3]Supply Attribution'!$F$31:$G$37,2,FALSE)=G$18,$E32,0)+IF(VLOOKUP(CONCATENATE($F$18,"Line"),'[3]Supply Attribution'!$F$31:$G$37,2,FALSE)=G$18,$F32,0)+IF($K$6="UL",LEFT($S$90,2),0)-IF(AND($K$16=G$18,$K$14&lt;&gt;$K$15,$K$16=$K$17,RIGHT($K32,3)="2SP"),VLOOKUP(CONCATENATE(LEFT($K32,2),"L"),$R$63:$T$90,3,FALSE),0)-IF(AND($L$16=G$18,$L$14&lt;&gt;$L$15,$L$16=$L$17,RIGHT($L32,3)="2SP"),VLOOKUP(CONCATENATE(LEFT($L32,2),"L"),$R$63:$T$90,3,FALSE),0)-IF(AND($M$16=G$18,$M$14&lt;&gt;$M$15,$M$16=$M$17,RIGHT($M32,3)="2SP"),VLOOKUP(CONCATENATE(LEFT($M32,2),"L"),$R$63:$T$90,3,FALSE),0)-IF(AND($N$16=G$18,$N$14&lt;&gt;$N$15,$N$16=$N$17,RIGHT($N32,3)="2SP"),VLOOKUP(CONCATENATE(LEFT($N32,2),"L"),$R$63:$T$90,3,FALSE),0)-IF(AND($O$16=G$18,$O$14&lt;&gt;$O$15,$O$16=$O$17,RIGHT($O32,3)="2SP"),VLOOKUP(CONCATENATE(LEFT($O32,2),"L"),$R$63:$T$90,3,FALSE),0)-IF(AND($P$16=G$18,$P$14&lt;&gt;$P$15,$P$16=$P$17,RIGHT($P32,3)="2SP"),VLOOKUP(CONCATENATE(LEFT($P32,2),"L"),$R$63:$T$90,3,FALSE),0)-IF(AND($Q$16=G$18,$Q$14&lt;&gt;$Q$15,$Q$16=$Q$17,RIGHT($Q32,3)="2SP"),VLOOKUP(CONCATENATE(LEFT($Q32,2),"L"),$R$63:$T$90,3,FALSE),0)-IF(AND($R$16=G$18,$R$14&lt;&gt;$R$15,$R$16=$R$17,RIGHT($R32,3)="2SP"),VLOOKUP(CONCATENATE(LEFT($R32,2),"L"),$R$63:$T$90,3,FALSE),0)-IF(AND($S$16=G$18,$S$14&lt;&gt;$S$15,$S$16=$S$17,RIGHT($S32,3)="2SP"),VLOOKUP(CONCATENATE(LEFT($S32,2),"L"),$R$63:$T$90,3,FALSE),0)-IF(AND($T$16=G$18,$T$14&lt;&gt;$T$15,$T$16=$T$17,RIGHT($T32,3)="2SP"),VLOOKUP(CONCATENATE(LEFT($T32,2),"L"),$R$63:$T$90,3,FALSE),0)-IF(AND($U$16=G$18,$U$14&lt;&gt;$U$15,$U$16=$U$17,RIGHT($U32,3)="2SP"),VLOOKUP(CONCATENATE(LEFT($U32,2),"L"),$R$63:$T$90,3,FALSE),0)-IF(AND($V$16=G$18,$V$14&lt;&gt;$V$15,$V$16=$V$17,RIGHT($V32,3)="2SP"),VLOOKUP(CONCATENATE(LEFT($V32,2),"L"),$R$63:$T$90,3,FALSE),0)-IF(AND($W$16=G$18,$W$14&lt;&gt;$W$15,$W$16=$W$17,RIGHT($W32,3)="2SP"),VLOOKUP(CONCATENATE(LEFT($W32,2),"L"),$R$63:$T$90,3,FALSE),0)-IF(AND($X$16=G$18,$X$14&lt;&gt;$X$15,$X$16=$X$17,RIGHT($X32,3)="2SP"),VLOOKUP(CONCATENATE(LEFT($X32,2),"L"),$R$63:$T$90,3,FALSE),0)-IF(AND($Y$16=G$18,$Y$14&lt;&gt;$Y$15,$Y$16=$Y$17,RIGHT($Y32,3)="2SP"),VLOOKUP(CONCATENATE(LEFT($Y32,2),"L"),$R$63:$T$90,3,FALSE),0))</f>
        <v>43</v>
      </c>
      <c r="H32" s="269" t="str">
        <f>IF(H$18&lt;&gt;"",IF(VLOOKUP(CONCATENATE($A$18,"Line"),'Supply Attribution'!$F$31:$G$37,2,FALSE)=H$18,$A32,0)+IF(VLOOKUP(CONCATENATE($B$18,"Line"),'Supply Attribution'!$F$31:$G$37,2,FALSE)=H$18,$B32,0)+IF(VLOOKUP(CONCATENATE($C$18,"Line"),'Supply Attribution'!$F$31:$G$37,2,FALSE)=H$18,$C32,0)+IF(VLOOKUP(CONCATENATE($D$18,"Line"),'Supply Attribution'!$F$31:$G$37,2,FALSE)=H$18,$D32,0)+IF(VLOOKUP(CONCATENATE($E$18,"Line"),'Supply Attribution'!$F$31:$G$37,2,FALSE)=H$18,$E32,0)+IF(VLOOKUP(CONCATENATE($F$18,"Line"),'Supply Attribution'!$F$31:$G$37,2,FALSE)=H$18,$F32,0)+IF($K$6="UL",LEFT($S$90,2),0)-IF(AND($K$16=H$18,$K$14&lt;&gt;$K$15,$K$16=$K$17,RIGHT($K32,3)="2SP"),VLOOKUP(CONCATENATE(LEFT($K32,2),"L"),$R$63:$T$90,3,FALSE),0)-IF(AND($L$16=H$18,$L$14&lt;&gt;$L$15,$L$16=$L$17,RIGHT($L32,3)="2SP"),VLOOKUP(CONCATENATE(LEFT($L32,2),"L"),$R$63:$T$90,3,FALSE),0)-IF(AND($M$16=H$18,$M$14&lt;&gt;$M$15,$M$16=$M$17,RIGHT($M32,3)="2SP"),VLOOKUP(CONCATENATE(LEFT($M32,2),"L"),$R$63:$T$90,3,FALSE),0)-IF(AND($N$16=H$18,$N$14&lt;&gt;$N$15,$N$16=$N$17,RIGHT($N32,3)="2SP"),VLOOKUP(CONCATENATE(LEFT($N32,2),"L"),$R$63:$T$90,3,FALSE),0)-IF(AND($O$16=H$18,$O$14&lt;&gt;$O$15,$O$16=$O$17,RIGHT($O32,3)="2SP"),VLOOKUP(CONCATENATE(LEFT($O32,2),"L"),$R$63:$T$90,3,FALSE),0)-IF(AND($P$16=H$18,$P$14&lt;&gt;$P$15,$P$16=$P$17,RIGHT($P32,3)="2SP"),VLOOKUP(CONCATENATE(LEFT($P32,2),"L"),$R$63:$T$90,3,FALSE),0)-IF(AND($Q$16=H$18,$Q$14&lt;&gt;$Q$15,$Q$16=$Q$17,RIGHT($Q32,3)="2SP"),VLOOKUP(CONCATENATE(LEFT($Q32,2),"L"),$R$63:$T$90,3,FALSE),0)-IF(AND($T$16=H$18,$T$14&lt;&gt;$T$15,$T$16=$T$17,RIGHT($T32,3)="2SP"),VLOOKUP(CONCATENATE(LEFT($T32,2),"L"),$R$63:$T$90,3,FALSE),0)-IF(AND($U$16=H$18,$U$14&lt;&gt;$U$15,$U$16=$U$17,RIGHT($U32,3)="2SP"),VLOOKUP(CONCATENATE(LEFT($U32,2),"L"),$R$63:$T$90,3,FALSE),0)-IF(AND($V$16=H$18,$V$14&lt;&gt;$V$15,$V$16=$V$17,RIGHT($V32,3)="2SP"),VLOOKUP(CONCATENATE(LEFT($V32,2),"L"),$R$63:$T$90,3,FALSE),0)-IF(AND($W$16=H$18,$W$14&lt;&gt;$W$15,$W$16=$W$17,RIGHT($W32,3)="2SP"),VLOOKUP(CONCATENATE(LEFT($W32,2),"L"),$R$63:$T$90,3,FALSE),0)-IF(AND($X$16=H$18,$X$14&lt;&gt;$X$15,$X$16=$X$17,RIGHT($X32,3)="2SP"),VLOOKUP(CONCATENATE(LEFT($X32,2),"L"),$R$63:$T$90,3,FALSE),0)-IF(AND($Y$16=H$18,$Y$14&lt;&gt;$Y$15,$Y$16=$Y$17,RIGHT($Y32,3)="2SP"),VLOOKUP(CONCATENATE(LEFT($Y32,2),"L"),$R$63:$T$90,3,FALSE),0)+IF(AND($K$6="CE",$T$59="2 Phases",H$18&lt;&gt;""),IF(VLOOKUP(CONCATENATE($A$18,"Line"),'Supply Attribution'!$F$31:$G$37,2,FALSE)="Line3",$A32,0)+IF(VLOOKUP(CONCATENATE($B$18,"Line"),'Supply Attribution'!$F$31:$G$37,2,FALSE)="Line3",$B32,0)+IF(VLOOKUP(CONCATENATE($C$18,"Line"),'Supply Attribution'!$F$31:$G$37,2,FALSE)="Line3",$C32,0)+IF(VLOOKUP(CONCATENATE($D$18,"Line"),'Supply Attribution'!$F$31:$G$37,2,FALSE)="Line3",$D32,0)+IF(VLOOKUP(CONCATENATE($E$18,"Line"),'Supply Attribution'!$F$31:$G$37,2,FALSE)="Line3",$E32,0)+IF(VLOOKUP(CONCATENATE($F$18,"Line"),'Supply Attribution'!$F$31:$G$37,2,FALSE)="Line3",$F32,0)-IF(AND($K$16=I$18,$K$14&lt;&gt;$K$15,$K$16=$K$17,RIGHT($K32,3)="2SP"),VLOOKUP(CONCATENATE(LEFT($K32,2),"L"),$R$63:$T$90,3,FALSE),0)-IF(AND($L$16=I$18,$L$14&lt;&gt;$L$15,$L$16=$L$17,RIGHT($L32,3)="2SP"),VLOOKUP(CONCATENATE(LEFT($L32,2),"L"),$R$63:$T$90,3,FALSE),0)-IF(AND($M$16=I$18,$M$14&lt;&gt;$M$15,$M$16=$M$17,RIGHT($M32,3)="2SP"),VLOOKUP(CONCATENATE(LEFT($M32,2),"L"),$R$63:$T$90,3,FALSE),0)-IF(AND($N$16=I$18,$N$14&lt;&gt;$N$15,$N$16=$N$17,RIGHT($N32,3)="2SP"),VLOOKUP(CONCATENATE(LEFT($N32,2),"L"),$R$63:$T$90,3,FALSE),0)-IF(AND($O$16=I$18,$O$14&lt;&gt;$O$15,$O$16=$O$17,RIGHT($O32,3)="2SP"),VLOOKUP(CONCATENATE(LEFT($O32,2),"L"),$R$63:$T$90,3,FALSE),0)-IF(AND($P$16=I$18,$P$14&lt;&gt;$P$15,$P$16=$P$17,RIGHT($P32,3)="2SP"),VLOOKUP(CONCATENATE(LEFT($P32,2),"L"),$R$63:$T$90,3,FALSE),0)-IF(AND($Q$16=I$18,$Q$14&lt;&gt;$Q$15,$Q$16=$Q$17,RIGHT($Q32,3)="2SP"),VLOOKUP(CONCATENATE(LEFT($Q32,2),"L"),$R$63:$T$90,3,FALSE),0)-IF(AND($T$16=I$18,$T$14&lt;&gt;$T$15,$T$16=$T$17,RIGHT($T32,3)="2SP"),VLOOKUP(CONCATENATE(LEFT($T32,2),"L"),$R$63:$T$90,3,FALSE),0)-IF(AND($U$16=I$18,$U$14&lt;&gt;$U$15,$U$16=$U$17,RIGHT($U32,3)="2SP"),VLOOKUP(CONCATENATE(LEFT($U32,2),"L"),$R$63:$T$90,3,FALSE),0)-IF(AND($V$16=I$18,$V$14&lt;&gt;$V$15,$V$16=$V$17,RIGHT($V32,3)="2SP"),VLOOKUP(CONCATENATE(LEFT($V32,2),"L"),$R$63:$T$90,3,FALSE),0)-IF(AND($W$16=I$18,$W$14&lt;&gt;$W$15,$W$16=$W$17,RIGHT($W32,3)="2SP"),VLOOKUP(CONCATENATE(LEFT($W32,2),"L"),$R$63:$T$90,3,FALSE),0)-IF(AND($X$16=I$18,$X$14&lt;&gt;$X$15,$X$16=$X$17,RIGHT($X32,3)="2SP"),VLOOKUP(CONCATENATE(LEFT($X32,2),"L"),$R$63:$T$90,3,FALSE),0)-IF(AND($Y$16=I$18,$Y$14&lt;&gt;$Y$15,$Y$16=$Y$17,RIGHT($Y32,3)="2SP"),VLOOKUP(CONCATENATE(LEFT($Y32,2),"L"),$R$63:$T$90,3,FALSE),0),0),"")</f>
        <v/>
      </c>
      <c r="I32" s="269" t="str">
        <f>IF(I$18&lt;&gt;"",IF(VLOOKUP(CONCATENATE($A$18,"Line"),'Supply Attribution'!$F$31:$G$37,2,FALSE)=I$18,$A32,0)+IF(VLOOKUP(CONCATENATE($B$18,"Line"),'Supply Attribution'!$F$31:$G$37,2,FALSE)=I$18,$B32,0)+IF(VLOOKUP(CONCATENATE($C$18,"Line"),'Supply Attribution'!$F$31:$G$37,2,FALSE)=I$18,$C32,0)+IF(VLOOKUP(CONCATENATE($D$18,"Line"),'Supply Attribution'!$F$31:$G$37,2,FALSE)=I$18,$D32,0)+IF(VLOOKUP(CONCATENATE($E$18,"Line"),'Supply Attribution'!$F$31:$G$37,2,FALSE)=I$18,$E32,0)+IF(VLOOKUP(CONCATENATE($F$18,"Line"),'Supply Attribution'!$F$31:$G$37,2,FALSE)=I$18,$F32,0)+IF($K$6="UL",LEFT($S$90,2),0)-IF(AND($K$16=I$18,$K$14&lt;&gt;$K$15,$K$16=$K$17,RIGHT($K32,3)="2SP"),VLOOKUP(CONCATENATE(LEFT($K32,2),"L"),$R$63:$T$90,3,FALSE),0)-IF(AND($L$16=I$18,$L$14&lt;&gt;$L$15,$L$16=$L$17,RIGHT($L32,3)="2SP"),VLOOKUP(CONCATENATE(LEFT($L32,2),"L"),$R$63:$T$90,3,FALSE),0)-IF(AND($M$16=I$18,$M$14&lt;&gt;$M$15,$M$16=$M$17,RIGHT($M32,3)="2SP"),VLOOKUP(CONCATENATE(LEFT($M32,2),"L"),$R$63:$T$90,3,FALSE),0)-IF(AND($N$16=I$18,$N$14&lt;&gt;$N$15,$N$16=$N$17,RIGHT($N32,3)="2SP"),VLOOKUP(CONCATENATE(LEFT($N32,2),"L"),$R$63:$T$90,3,FALSE),0)-IF(AND($O$16=I$18,$O$14&lt;&gt;$O$15,$O$16=$O$17,RIGHT($O32,3)="2SP"),VLOOKUP(CONCATENATE(LEFT($O32,2),"L"),$R$63:$T$90,3,FALSE),0)-IF(AND($P$16=I$18,$P$14&lt;&gt;$P$15,$P$16=$P$17,RIGHT($P32,3)="2SP"),VLOOKUP(CONCATENATE(LEFT($P32,2),"L"),$R$63:$T$90,3,FALSE),0)-IF(AND($Q$16=I$18,$Q$14&lt;&gt;$Q$15,$Q$16=$Q$17,RIGHT($Q32,3)="2SP"),VLOOKUP(CONCATENATE(LEFT($Q32,2),"L"),$R$63:$T$90,3,FALSE),0)-IF(AND($T$16=I$18,$T$14&lt;&gt;$T$15,$T$16=$T$17,RIGHT($T32,3)="2SP"),VLOOKUP(CONCATENATE(LEFT($T32,2),"L"),$R$63:$T$90,3,FALSE),0)-IF(AND($U$16=I$18,$U$14&lt;&gt;$U$15,$U$16=$U$17,RIGHT($U32,3)="2SP"),VLOOKUP(CONCATENATE(LEFT($U32,2),"L"),$R$63:$T$90,3,FALSE),0)-IF(AND($V$16=I$18,$V$14&lt;&gt;$V$15,$V$16=$V$17,RIGHT($V32,3)="2SP"),VLOOKUP(CONCATENATE(LEFT($V32,2),"L"),$R$63:$T$90,3,FALSE),0)-IF(AND($W$16=I$18,$W$14&lt;&gt;$W$15,$W$16=$W$17,RIGHT($W32,3)="2SP"),VLOOKUP(CONCATENATE(LEFT($W32,2),"L"),$R$63:$T$90,3,FALSE),0)-IF(AND($X$16=I$18,$X$14&lt;&gt;$X$15,$X$16=$X$17,RIGHT($X32,3)="2SP"),VLOOKUP(CONCATENATE(LEFT($X32,2),"L"),$R$63:$T$90,3,FALSE),0)-IF(AND($Y$16=I$18,$Y$14&lt;&gt;$Y$15,$Y$16=$Y$17,RIGHT($Y32,3)="2SP"),VLOOKUP(CONCATENATE(LEFT($Y32,2),"L"),$R$63:$T$90,3,FALSE),0),"")</f>
        <v/>
      </c>
      <c r="J32" s="134">
        <v>21</v>
      </c>
      <c r="K32" s="135" t="s">
        <v>22</v>
      </c>
      <c r="L32" s="135" t="s">
        <v>390</v>
      </c>
      <c r="M32" s="135" t="s">
        <v>391</v>
      </c>
      <c r="N32" s="135" t="s">
        <v>24</v>
      </c>
      <c r="O32" s="135" t="s">
        <v>286</v>
      </c>
      <c r="P32" s="135"/>
      <c r="Q32" s="135"/>
      <c r="R32" s="135"/>
      <c r="S32" s="135"/>
      <c r="T32" s="135"/>
      <c r="U32" s="135"/>
      <c r="V32" s="135"/>
      <c r="W32" s="135"/>
      <c r="X32" s="135"/>
      <c r="Y32" s="135"/>
      <c r="Z32" s="136" t="s">
        <v>24</v>
      </c>
      <c r="AA32" s="136" t="s">
        <v>357</v>
      </c>
      <c r="AB32" s="137" t="s">
        <v>164</v>
      </c>
      <c r="AC32" s="137" t="s">
        <v>568</v>
      </c>
      <c r="AD32" s="137" t="s">
        <v>164</v>
      </c>
      <c r="AE32" s="138">
        <f t="shared" si="0"/>
        <v>21</v>
      </c>
      <c r="AF32" s="78"/>
    </row>
    <row r="33" spans="1:32" ht="13.15" customHeight="1">
      <c r="A33" s="264">
        <f>IF(AND($K33&lt;&gt;"",$K33&lt;&gt;"--",$K33&lt;&gt;"O3/CP",$K$14=A$18),IF(LEFT($K33,1)="P",VLOOKUP(CONCATENATE(LEFT($K33,2),"H"),$R$63:$T$91,3,FALSE),VLOOKUP($K33,$R$63:$T$91,3,FALSE)))+IF(AND($K33&lt;&gt;"",$K33&lt;&gt;"O3/CP",$K$15=A$18,MID($K33,4,1)="2",$K$15&lt;&gt;$K$14),VLOOKUP(CONCATENATE(LEFT($K33,2),"L"),$R$63:$T$91,3,FALSE),0)+IF(AND($K33="O3/CP",$K$14=A$18),VLOOKUP("O3",$R$63:$T$91,3,FALSE)+VLOOKUP("CP",$R$63:$T$91,3,FALSE),0)+IF(AND($L33&lt;&gt;"",$L33&lt;&gt;"--",$L33&lt;&gt;"O3/CP",$L$14=A$18),IF(LEFT($L33,1)="P",VLOOKUP(CONCATENATE(LEFT($L33,2),"H"),$R$63:$T$91,3,FALSE),VLOOKUP($L33,$R$63:$T$91,3,FALSE)))+IF(AND($L33&lt;&gt;"",$L33&lt;&gt;"O3/CP",$L$15=A$18,MID($L33,4,1)="2",$L$15&lt;&gt;$L$14),VLOOKUP(CONCATENATE(LEFT($L33,2),"L"),$R$63:$T$91,3,FALSE),0)+IF(AND($L33="O3/CP",$L$14=A$18),VLOOKUP("O3",$R$63:$T$91,3,FALSE)+VLOOKUP("CP",$R$63:$T$91,3,FALSE),0)+IF(AND($M33&lt;&gt;"",$M33&lt;&gt;"--",$M33&lt;&gt;"O3/CP",$M$14=A$18),IF(LEFT($M33,1)="P",VLOOKUP(CONCATENATE(LEFT($M33,2),"H"),$R$63:$T$91,3,FALSE),VLOOKUP($M33,$R$63:$T$91,3,FALSE)))+IF(AND($M33&lt;&gt;"",$M33&lt;&gt;"O3/CP",$M$15=A$18,MID($M33,4,1)="2",$M$15&lt;&gt;$M$14),VLOOKUP(CONCATENATE(LEFT($M33,2),"L"),$R$63:$T$91,3,FALSE),0)+IF(AND($M33="O3/CP",$M$14=A$18),VLOOKUP("O3",$R$63:$T$91,3,FALSE)+VLOOKUP("CP",$R$63:$T$91,3,FALSE),0)+IF(AND($N33&lt;&gt;"",$N33&lt;&gt;"--",$N33&lt;&gt;"O3/CP",$N$14=A$18),IF(LEFT($N33,1)="P",VLOOKUP(CONCATENATE(LEFT($N33,2),"H"),$R$63:$T$91,3,FALSE),VLOOKUP($N33,$R$63:$T$91,3,FALSE)))+IF(AND($N33&lt;&gt;"",$N33&lt;&gt;"O3/CP",$N$15=A$18,MID($N33,4,1)="2",$N$15&lt;&gt;$N$14),VLOOKUP(CONCATENATE(LEFT($N33,2),"L"),$R$63:$T$91,3,FALSE),0)+IF(AND($N33="O3/CP",$N$14=A$18),VLOOKUP("O3",$R$63:$T$91,3,FALSE)+VLOOKUP("CP",$R$63:$T$91,3,FALSE),0)+IF(AND($O33&lt;&gt;"",$O33&lt;&gt;"--",$O33&lt;&gt;"O3/CP",$O$14=A$18),IF(LEFT($O33,1)="P",VLOOKUP(CONCATENATE(LEFT($O33,2),"H"),$R$63:$T$91,3,FALSE),VLOOKUP($O33,$R$63:$T$91,3,FALSE)))+IF(AND($O33&lt;&gt;"",$O33&lt;&gt;"O3/CP",$O$15=A$18,MID($O33,4,1)="2",$O$15&lt;&gt;$O$14),VLOOKUP(CONCATENATE(LEFT($O33,2),"L"),$R$63:$T$91,3,FALSE),0)+IF(AND($O33="O3/CP",$O$14=A$18),VLOOKUP("O3",$R$63:$T$91,3,FALSE)+VLOOKUP("CP",$R$63:$T$91,3,FALSE),0)+IF(AND($P33&lt;&gt;"",$P33&lt;&gt;"--",$P33&lt;&gt;"O3/CP",$P$14=A$18),IF(LEFT($P33,1)="P",VLOOKUP(CONCATENATE(LEFT($P33,2),"H"),$R$63:$T$91,3,FALSE),VLOOKUP($P33,$R$63:$T$91,3,FALSE)))+IF(AND($P33&lt;&gt;"",$P33&lt;&gt;"O3/CP",$P$15=A$18,MID($P33,4,1)="2",$P$15&lt;&gt;$P$14),VLOOKUP(CONCATENATE(LEFT($P33,2),"L"),$R$63:$T$91,3,FALSE),0)+IF(AND($P33="O3/CP",$P$14=A$18),VLOOKUP("O3",$R$63:$T$91,3,FALSE)+VLOOKUP("CP",$R$63:$T$91,3,FALSE),0)+IF(AND($Q33&lt;&gt;"",$Q33&lt;&gt;"--",$Q33&lt;&gt;"O3/CP",$Q$14=A$18),IF(LEFT($Q33,1)="P",VLOOKUP(CONCATENATE(LEFT($Q33,2),"H"),$R$63:$T$91,3,FALSE),VLOOKUP($Q33,$R$63:$T$91,3,FALSE)))+IF(AND($Q33&lt;&gt;"",$Q33&lt;&gt;"O3/CP",$Q$15=A$18,MID($Q33,4,1)="2",$Q$15&lt;&gt;$Q$14),VLOOKUP(CONCATENATE(LEFT($Q33,2),"L"),$R$63:$T$91,3,FALSE),0)+IF(AND($Q33="O3/CP",$Q$14=A$18),VLOOKUP("O3",$R$63:$T$91,3,FALSE)+VLOOKUP("CP",$R$63:$T$91,3,FALSE),0)+IF(AND($R33&lt;&gt;"",$R33&lt;&gt;"--",$R33&lt;&gt;"O3/CP",$R$14=A$18),IF(LEFT($R33,1)="P",VLOOKUP(CONCATENATE(LEFT($R33,2),"H"),$R$63:$T$91,3,FALSE),VLOOKUP($R33,$R$63:$T$91,3,FALSE)))+IF(AND($R33&lt;&gt;"",$R33&lt;&gt;"O3/CP",$R$15=A$18,MID($R33,4,1)="2",$R$15&lt;&gt;$R$14),VLOOKUP(CONCATENATE(LEFT($R33,2),"L"),$R$63:$T$91,3,FALSE),0)+IF(AND($R33="O3/CP",$R$14=A$18),VLOOKUP("O3",$R$63:$T$91,3,FALSE)+VLOOKUP("CP",$R$63:$T$91,3,FALSE),0)+IF(AND($S33&lt;&gt;"",$S33&lt;&gt;"--",$S33&lt;&gt;"O3/CP",$S$14=A$18),IF(LEFT($S33,1)="P",VLOOKUP(CONCATENATE(LEFT($S33,2),"H"),$R$63:$T$91,3,FALSE),VLOOKUP($S33,$R$63:$T$91,3,FALSE)))+IF(AND($S33&lt;&gt;"",$S33&lt;&gt;"O3/CP",$S$15=A$18,MID($S33,4,1)="2",$S$15&lt;&gt;$S$14),VLOOKUP(CONCATENATE(LEFT($S33,2),"L"),$R$63:$T$91,3,FALSE),0)+IF(AND($S33="O3/CP",$S$14=A$18),VLOOKUP("O3",$R$63:$T$91,3,FALSE)+VLOOKUP("CP",$R$63:$T$91,3,FALSE),0)+IF(AND($T33&lt;&gt;"",$T33&lt;&gt;"--",$T33&lt;&gt;"O3/CP",$T$14=A$18),IF(LEFT($T33,1)="P",VLOOKUP(CONCATENATE(LEFT($T33,2),"H"),$R$63:$T$91,3,FALSE),VLOOKUP($T33,$R$63:$T$91,3,FALSE)))+IF(AND($T33&lt;&gt;"",$T33&lt;&gt;"O3/CP",$T$15=A$18,MID($T33,4,1)="2",$T$15&lt;&gt;$T$14),VLOOKUP(CONCATENATE(LEFT($T33,2),"L"),$R$63:$T$91,3,FALSE),0)+IF(AND($T33="O3/CP",$T$14=A$18),VLOOKUP("O3",$R$63:$T$91,3,FALSE)+VLOOKUP("CP",$R$63:$T$91,3,FALSE),0)+IF(AND($U33&lt;&gt;"",$U33&lt;&gt;"--",$U33&lt;&gt;"O3/CP",$U$14=A$18),IF(LEFT($U33,1)="P",VLOOKUP(CONCATENATE(LEFT($U33,2),"H"),$R$63:$T$91,3,FALSE),VLOOKUP($U33,$R$63:$T$91,3,FALSE)))+IF(AND($U33&lt;&gt;"",$U33&lt;&gt;"O3/CP",$U$15=A$18,MID($U33,4,1)="2",$U$15&lt;&gt;$U$14),VLOOKUP(CONCATENATE(LEFT($U33,2),"L"),$R$63:$T$91,3,FALSE),0)+IF(AND($U33="O3/CP",$T$14=A$18),VLOOKUP("O3",$R$63:$T$91,3,FALSE)+VLOOKUP("CP",$R$63:$T$91,3,FALSE),0)+IF(AND($V33&lt;&gt;"",$V33&lt;&gt;"--",$V33&lt;&gt;"O3/CP",$V$14=A$18),IF(LEFT($V33,1)="P",VLOOKUP(CONCATENATE(LEFT($V33,2),"H"),$R$63:$T$91,3,FALSE),VLOOKUP($V33,$R$63:$T$91,3,FALSE)))+IF(AND($V33&lt;&gt;"",$V33&lt;&gt;"O3/CP",$V$15=A$18,MID($V33,4,1)="2",$V$15&lt;&gt;$V$14),VLOOKUP(CONCATENATE(LEFT($V33,2),"L"),$R$63:$T$91,3,FALSE),0)+IF(AND($V33="O3/CP",$V$14=A$18),VLOOKUP("O3",$R$63:$T$91,3,FALSE)+VLOOKUP("CP",$R$63:$T$91,3,FALSE),0)+IF(AND($W33&lt;&gt;"",$W33&lt;&gt;"--",$W33&lt;&gt;"O3/CP",$W$14=A$18),IF(LEFT($W33,1)="P",VLOOKUP(CONCATENATE(LEFT($W33,2),"H"),$R$63:$T$91,3,FALSE),VLOOKUP($W33,$R$63:$T$91,3,FALSE)))+IF(AND($W33&lt;&gt;"",$W33&lt;&gt;"O3/CP",$W$15=A$18,MID($W33,4,1)="2",$W$15&lt;&gt;$W$14),VLOOKUP(CONCATENATE(LEFT($W33,2),"L"),$R$63:$T$91,3,FALSE),0)+IF(AND($W33="O3/CP",$W$14=A$18),VLOOKUP("O3",$R$63:$T$91,3,FALSE)+VLOOKUP("CP",$R$63:$T$91,3,FALSE),0)+IF(AND($X33&lt;&gt;"",$X33&lt;&gt;"--",$X33&lt;&gt;"O3/CP",$X$14=A$18),IF(LEFT($X33,1)="P",VLOOKUP(CONCATENATE(LEFT($X33,2),"H"),$R$63:$T$91,3,FALSE),VLOOKUP($X33,$R$63:$T$91,3,FALSE)))+IF(AND($X33&lt;&gt;"",$X33&lt;&gt;"O3/CP",$X$15=A$18,MID($X33,4,1)="2",$X$15&lt;&gt;$X$14),VLOOKUP(CONCATENATE(LEFT($X33,2),"L"),$R$63:$T$91,3,FALSE),0)+IF(AND($X33="O3/CP",$X$14=A$18),VLOOKUP("O3",$R$63:$T$91,3,FALSE)+VLOOKUP("CP",$R$63:$T$91,3,FALSE),0)+IF(AND($Y33&lt;&gt;"",$Y33&lt;&gt;"--",$Y33&lt;&gt;"O3/CP",$Y$14=A$18),IF(LEFT($Y33,1)="P",VLOOKUP(CONCATENATE(LEFT($Y33,2),"H"),$R$63:$T$91,3,FALSE),VLOOKUP($Y33,$R$63:$T$91,3,FALSE)))+IF(AND($Y33&lt;&gt;"",$Y33&lt;&gt;"O3/CP",$Y$15=A$18,MID($Y33,4,1)="2",$Y$15&lt;&gt;$Y$14),VLOOKUP(CONCATENATE(LEFT($Y33,2),"L"),$R$63:$T$91,3,FALSE),0)+IF(AND($Y33="O3/CP",$Y$14=A$18),VLOOKUP("O3",$R$63:$T$91,3,FALSE)+VLOOKUP("CP",$R$63:$T$91,3,FALSE),0)+IF(AND($K$6="CE",'[3]Supply Attribution'!$G$20=A$18),LEFT($S$90,2),0)+IF(AND($X$86&lt;&gt;"Not Set",$X$87=A$18),$X$86,0)</f>
        <v>0</v>
      </c>
      <c r="B33" s="271">
        <f>IF(AND($K33&lt;&gt;"",$K33&lt;&gt;"--",$K33&lt;&gt;"O3/CP",$K$14=B$18),IF(LEFT($K33,1)="P",VLOOKUP(CONCATENATE(LEFT($K33,2),"H"),$R$63:$T$91,3,FALSE),VLOOKUP($K33,$R$63:$T$91,3,FALSE)))+IF(AND($K33&lt;&gt;"",$K33&lt;&gt;"O3/CP",$K$15=B$18,MID($K33,4,1)="2",$K$15&lt;&gt;$K$14),VLOOKUP(CONCATENATE(LEFT($K33,2),"L"),$R$63:$T$91,3,FALSE),0)+IF(AND($K33="O3/CP",$K$14=B$18),VLOOKUP("O3",$R$63:$T$91,3,FALSE)+VLOOKUP("CP",$R$63:$T$91,3,FALSE),0)+IF(AND($L33&lt;&gt;"",$L33&lt;&gt;"--",$L33&lt;&gt;"O3/CP",$L$14=B$18),IF(LEFT($L33,1)="P",VLOOKUP(CONCATENATE(LEFT($L33,2),"H"),$R$63:$T$91,3,FALSE),VLOOKUP($L33,$R$63:$T$91,3,FALSE)))+IF(AND($L33&lt;&gt;"",$L33&lt;&gt;"O3/CP",$L$15=B$18,MID($L33,4,1)="2",$L$15&lt;&gt;$L$14),VLOOKUP(CONCATENATE(LEFT($L33,2),"L"),$R$63:$T$91,3,FALSE),0)+IF(AND($L33="O3/CP",$L$14=B$18),VLOOKUP("O3",$R$63:$T$91,3,FALSE)+VLOOKUP("CP",$R$63:$T$91,3,FALSE),0)+IF(AND($M33&lt;&gt;"",$M33&lt;&gt;"--",$M33&lt;&gt;"O3/CP",$M$14=B$18),IF(LEFT($M33,1)="P",VLOOKUP(CONCATENATE(LEFT($M33,2),"H"),$R$63:$T$91,3,FALSE),VLOOKUP($M33,$R$63:$T$91,3,FALSE)))+IF(AND($M33&lt;&gt;"",$M33&lt;&gt;"O3/CP",$M$15=B$18,MID($M33,4,1)="2",$M$15&lt;&gt;$M$14),VLOOKUP(CONCATENATE(LEFT($M33,2),"L"),$R$63:$T$91,3,FALSE),0)+IF(AND($M33="O3/CP",$M$14=B$18),VLOOKUP("O3",$R$63:$T$91,3,FALSE)+VLOOKUP("CP",$R$63:$T$91,3,FALSE),0)+IF(AND($N33&lt;&gt;"",$N33&lt;&gt;"--",$N33&lt;&gt;"O3/CP",$N$14=B$18),IF(LEFT($N33,1)="P",VLOOKUP(CONCATENATE(LEFT($N33,2),"H"),$R$63:$T$91,3,FALSE),VLOOKUP($N33,$R$63:$T$91,3,FALSE)))+IF(AND($N33&lt;&gt;"",$N33&lt;&gt;"O3/CP",$N$15=B$18,MID($N33,4,1)="2",$N$15&lt;&gt;$N$14),VLOOKUP(CONCATENATE(LEFT($N33,2),"L"),$R$63:$T$91,3,FALSE),0)+IF(AND($N33="O3/CP",$N$14=B$18),VLOOKUP("O3",$R$63:$T$91,3,FALSE)+VLOOKUP("CP",$R$63:$T$91,3,FALSE),0)+IF(AND($O33&lt;&gt;"",$O33&lt;&gt;"--",$O33&lt;&gt;"O3/CP",$O$14=B$18),IF(LEFT($O33,1)="P",VLOOKUP(CONCATENATE(LEFT($O33,2),"H"),$R$63:$T$91,3,FALSE),VLOOKUP($O33,$R$63:$T$91,3,FALSE)))+IF(AND($O33&lt;&gt;"",$O33&lt;&gt;"O3/CP",$O$15=B$18,MID($O33,4,1)="2",$O$15&lt;&gt;$O$14),VLOOKUP(CONCATENATE(LEFT($O33,2),"L"),$R$63:$T$91,3,FALSE),0)+IF(AND($O33="O3/CP",$O$14=B$18),VLOOKUP("O3",$R$63:$T$91,3,FALSE)+VLOOKUP("CP",$R$63:$T$91,3,FALSE),0)+IF(AND($P33&lt;&gt;"",$P33&lt;&gt;"--",$P33&lt;&gt;"O3/CP",$P$14=B$18),IF(LEFT($P33,1)="P",VLOOKUP(CONCATENATE(LEFT($P33,2),"H"),$R$63:$T$91,3,FALSE),VLOOKUP($P33,$R$63:$T$91,3,FALSE)))+IF(AND($P33&lt;&gt;"",$P33&lt;&gt;"O3/CP",$P$15=B$18,MID($P33,4,1)="2",$P$15&lt;&gt;$P$14),VLOOKUP(CONCATENATE(LEFT($P33,2),"L"),$R$63:$T$91,3,FALSE),0)+IF(AND($P33="O3/CP",$P$14=B$18),VLOOKUP("O3",$R$63:$T$91,3,FALSE)+VLOOKUP("CP",$R$63:$T$91,3,FALSE),0)+IF(AND($Q33&lt;&gt;"",$Q33&lt;&gt;"--",$Q33&lt;&gt;"O3/CP",$Q$14=B$18),IF(LEFT($Q33,1)="P",VLOOKUP(CONCATENATE(LEFT($Q33,2),"H"),$R$63:$T$91,3,FALSE),VLOOKUP($Q33,$R$63:$T$91,3,FALSE)))+IF(AND($Q33&lt;&gt;"",$Q33&lt;&gt;"O3/CP",$Q$15=B$18,MID($Q33,4,1)="2",$Q$15&lt;&gt;$Q$14),VLOOKUP(CONCATENATE(LEFT($Q33,2),"L"),$R$63:$T$91,3,FALSE),0)+IF(AND($Q33="O3/CP",$Q$14=B$18),VLOOKUP("O3",$R$63:$T$91,3,FALSE)+VLOOKUP("CP",$R$63:$T$91,3,FALSE),0)+IF(AND($R33&lt;&gt;"",$R33&lt;&gt;"--",$R33&lt;&gt;"O3/CP",$R$14=B$18),IF(LEFT($R33,1)="P",VLOOKUP(CONCATENATE(LEFT($R33,2),"H"),$R$63:$T$91,3,FALSE),VLOOKUP($R33,$R$63:$T$91,3,FALSE)))+IF(AND($R33&lt;&gt;"",$R33&lt;&gt;"O3/CP",$R$15=B$18,MID($R33,4,1)="2",$R$15&lt;&gt;$R$14),VLOOKUP(CONCATENATE(LEFT($R33,2),"L"),$R$63:$T$91,3,FALSE),0)+IF(AND($R33="O3/CP",$R$14=B$18),VLOOKUP("O3",$R$63:$T$91,3,FALSE)+VLOOKUP("CP",$R$63:$T$91,3,FALSE),0)+IF(AND($S33&lt;&gt;"",$S33&lt;&gt;"--",$S33&lt;&gt;"O3/CP",$S$14=B$18),IF(LEFT($S33,1)="P",VLOOKUP(CONCATENATE(LEFT($S33,2),"H"),$R$63:$T$91,3,FALSE),VLOOKUP($S33,$R$63:$T$91,3,FALSE)))+IF(AND($S33&lt;&gt;"",$S33&lt;&gt;"O3/CP",$S$15=B$18,MID($S33,4,1)="2",$S$15&lt;&gt;$S$14),VLOOKUP(CONCATENATE(LEFT($S33,2),"L"),$R$63:$T$91,3,FALSE),0)+IF(AND($S33="O3/CP",$S$14=B$18),VLOOKUP("O3",$R$63:$T$91,3,FALSE)+VLOOKUP("CP",$R$63:$T$91,3,FALSE),0)+IF(AND($T33&lt;&gt;"",$T33&lt;&gt;"--",$T33&lt;&gt;"O3/CP",$T$14=B$18),IF(LEFT($T33,1)="P",VLOOKUP(CONCATENATE(LEFT($T33,2),"H"),$R$63:$T$91,3,FALSE),VLOOKUP($T33,$R$63:$T$91,3,FALSE)))+IF(AND($T33&lt;&gt;"",$T33&lt;&gt;"O3/CP",$T$15=B$18,MID($T33,4,1)="2",$T$15&lt;&gt;$T$14),VLOOKUP(CONCATENATE(LEFT($T33,2),"L"),$R$63:$T$91,3,FALSE),0)+IF(AND($T33="O3/CP",$T$14=B$18),VLOOKUP("O3",$R$63:$T$91,3,FALSE)+VLOOKUP("CP",$R$63:$T$91,3,FALSE),0)+IF(AND($U33&lt;&gt;"",$U33&lt;&gt;"--",$U33&lt;&gt;"O3/CP",$U$14=B$18),IF(LEFT($U33,1)="P",VLOOKUP(CONCATENATE(LEFT($U33,2),"H"),$R$63:$T$91,3,FALSE),VLOOKUP($U33,$R$63:$T$91,3,FALSE)))+IF(AND($U33&lt;&gt;"",$U33&lt;&gt;"O3/CP",$U$15=B$18,MID($U33,4,1)="2",$U$15&lt;&gt;$U$14),VLOOKUP(CONCATENATE(LEFT($U33,2),"L"),$R$63:$T$91,3,FALSE),0)+IF(AND($U33="O3/CP",$T$14=B$18),VLOOKUP("O3",$R$63:$T$91,3,FALSE)+VLOOKUP("CP",$R$63:$T$91,3,FALSE),0)+IF(AND($V33&lt;&gt;"",$V33&lt;&gt;"--",$V33&lt;&gt;"O3/CP",$V$14=B$18),IF(LEFT($V33,1)="P",VLOOKUP(CONCATENATE(LEFT($V33,2),"H"),$R$63:$T$91,3,FALSE),VLOOKUP($V33,$R$63:$T$91,3,FALSE)))+IF(AND($V33&lt;&gt;"",$V33&lt;&gt;"O3/CP",$V$15=B$18,MID($V33,4,1)="2",$V$15&lt;&gt;$V$14),VLOOKUP(CONCATENATE(LEFT($V33,2),"L"),$R$63:$T$91,3,FALSE),0)+IF(AND($V33="O3/CP",$V$14=B$18),VLOOKUP("O3",$R$63:$T$91,3,FALSE)+VLOOKUP("CP",$R$63:$T$91,3,FALSE),0)+IF(AND($W33&lt;&gt;"",$W33&lt;&gt;"--",$W33&lt;&gt;"O3/CP",$W$14=B$18),IF(LEFT($W33,1)="P",VLOOKUP(CONCATENATE(LEFT($W33,2),"H"),$R$63:$T$91,3,FALSE),VLOOKUP($W33,$R$63:$T$91,3,FALSE)))+IF(AND($W33&lt;&gt;"",$W33&lt;&gt;"O3/CP",$W$15=B$18,MID($W33,4,1)="2",$W$15&lt;&gt;$W$14),VLOOKUP(CONCATENATE(LEFT($W33,2),"L"),$R$63:$T$91,3,FALSE),0)+IF(AND($W33="O3/CP",$W$14=B$18),VLOOKUP("O3",$R$63:$T$91,3,FALSE)+VLOOKUP("CP",$R$63:$T$91,3,FALSE),0)+IF(AND($X33&lt;&gt;"",$X33&lt;&gt;"--",$X33&lt;&gt;"O3/CP",$X$14=B$18),IF(LEFT($X33,1)="P",VLOOKUP(CONCATENATE(LEFT($X33,2),"H"),$R$63:$T$91,3,FALSE),VLOOKUP($X33,$R$63:$T$91,3,FALSE)))+IF(AND($X33&lt;&gt;"",$X33&lt;&gt;"O3/CP",$X$15=B$18,MID($X33,4,1)="2",$X$15&lt;&gt;$X$14),VLOOKUP(CONCATENATE(LEFT($X33,2),"L"),$R$63:$T$91,3,FALSE),0)+IF(AND($X33="O3/CP",$X$14=B$18),VLOOKUP("O3",$R$63:$T$91,3,FALSE)+VLOOKUP("CP",$R$63:$T$91,3,FALSE),0)+IF(AND($Y33&lt;&gt;"",$Y33&lt;&gt;"--",$Y33&lt;&gt;"O3/CP",$Y$14=B$18),IF(LEFT($Y33,1)="P",VLOOKUP(CONCATENATE(LEFT($Y33,2),"H"),$R$63:$T$91,3,FALSE),VLOOKUP($Y33,$R$63:$T$91,3,FALSE)))+IF(AND($Y33&lt;&gt;"",$Y33&lt;&gt;"O3/CP",$Y$15=B$18,MID($Y33,4,1)="2",$Y$15&lt;&gt;$Y$14),VLOOKUP(CONCATENATE(LEFT($Y33,2),"L"),$R$63:$T$91,3,FALSE),0)+IF(AND($Y33="O3/CP",$Y$14=B$18),VLOOKUP("O3",$R$63:$T$91,3,FALSE)+VLOOKUP("CP",$R$63:$T$91,3,FALSE),0)+IF(AND($K$6="CE",'[3]Supply Attribution'!$G$20=B$18),LEFT($S$90,2),0)+IF(AND($X$86&lt;&gt;"Not Set",$X$87=B$18),$X$86,0)</f>
        <v>0</v>
      </c>
      <c r="C33" s="271">
        <f>IF(AND($K33&lt;&gt;"",$K33&lt;&gt;"--",$K33&lt;&gt;"O3/CP",$K$14=C$18),IF(LEFT($K33,1)="P",VLOOKUP(CONCATENATE(LEFT($K33,2),"H"),$R$63:$T$91,3,FALSE),VLOOKUP($K33,$R$63:$T$91,3,FALSE)))+IF(AND($K33&lt;&gt;"",$K33&lt;&gt;"O3/CP",$K$15=C$18,MID($K33,4,1)="2",$K$15&lt;&gt;$K$14),VLOOKUP(CONCATENATE(LEFT($K33,2),"L"),$R$63:$T$91,3,FALSE),0)+IF(AND($K33="O3/CP",$K$14=C$18),VLOOKUP("O3",$R$63:$T$91,3,FALSE)+VLOOKUP("CP",$R$63:$T$91,3,FALSE),0)+IF(AND($L33&lt;&gt;"",$L33&lt;&gt;"--",$L33&lt;&gt;"O3/CP",$L$14=C$18),IF(LEFT($L33,1)="P",VLOOKUP(CONCATENATE(LEFT($L33,2),"H"),$R$63:$T$91,3,FALSE),VLOOKUP($L33,$R$63:$T$91,3,FALSE)))+IF(AND($L33&lt;&gt;"",$L33&lt;&gt;"O3/CP",$L$15=C$18,MID($L33,4,1)="2",$L$15&lt;&gt;$L$14),VLOOKUP(CONCATENATE(LEFT($L33,2),"L"),$R$63:$T$91,3,FALSE),0)+IF(AND($L33="O3/CP",$L$14=C$18),VLOOKUP("O3",$R$63:$T$91,3,FALSE)+VLOOKUP("CP",$R$63:$T$91,3,FALSE),0)+IF(AND($M33&lt;&gt;"",$M33&lt;&gt;"--",$M33&lt;&gt;"O3/CP",$M$14=C$18),IF(LEFT($M33,1)="P",VLOOKUP(CONCATENATE(LEFT($M33,2),"H"),$R$63:$T$91,3,FALSE),VLOOKUP($M33,$R$63:$T$91,3,FALSE)))+IF(AND($M33&lt;&gt;"",$M33&lt;&gt;"O3/CP",$M$15=C$18,MID($M33,4,1)="2",$M$15&lt;&gt;$M$14),VLOOKUP(CONCATENATE(LEFT($M33,2),"L"),$R$63:$T$91,3,FALSE),0)+IF(AND($M33="O3/CP",$M$14=C$18),VLOOKUP("O3",$R$63:$T$91,3,FALSE)+VLOOKUP("CP",$R$63:$T$91,3,FALSE),0)+IF(AND($N33&lt;&gt;"",$N33&lt;&gt;"--",$N33&lt;&gt;"O3/CP",$N$14=C$18),IF(LEFT($N33,1)="P",VLOOKUP(CONCATENATE(LEFT($N33,2),"H"),$R$63:$T$91,3,FALSE),VLOOKUP($N33,$R$63:$T$91,3,FALSE)))+IF(AND($N33&lt;&gt;"",$N33&lt;&gt;"O3/CP",$N$15=C$18,MID($N33,4,1)="2",$N$15&lt;&gt;$N$14),VLOOKUP(CONCATENATE(LEFT($N33,2),"L"),$R$63:$T$91,3,FALSE),0)+IF(AND($N33="O3/CP",$N$14=C$18),VLOOKUP("O3",$R$63:$T$91,3,FALSE)+VLOOKUP("CP",$R$63:$T$91,3,FALSE),0)+IF(AND($O33&lt;&gt;"",$O33&lt;&gt;"--",$O33&lt;&gt;"O3/CP",$O$14=C$18),IF(LEFT($O33,1)="P",VLOOKUP(CONCATENATE(LEFT($O33,2),"H"),$R$63:$T$91,3,FALSE),VLOOKUP($O33,$R$63:$T$91,3,FALSE)))+IF(AND($O33&lt;&gt;"",$O33&lt;&gt;"O3/CP",$O$15=C$18,MID($O33,4,1)="2",$O$15&lt;&gt;$O$14),VLOOKUP(CONCATENATE(LEFT($O33,2),"L"),$R$63:$T$91,3,FALSE),0)+IF(AND($O33="O3/CP",$O$14=C$18),VLOOKUP("O3",$R$63:$T$91,3,FALSE)+VLOOKUP("CP",$R$63:$T$91,3,FALSE),0)+IF(AND($P33&lt;&gt;"",$P33&lt;&gt;"--",$P33&lt;&gt;"O3/CP",$P$14=C$18),IF(LEFT($P33,1)="P",VLOOKUP(CONCATENATE(LEFT($P33,2),"H"),$R$63:$T$91,3,FALSE),VLOOKUP($P33,$R$63:$T$91,3,FALSE)))+IF(AND($P33&lt;&gt;"",$P33&lt;&gt;"O3/CP",$P$15=C$18,MID($P33,4,1)="2",$P$15&lt;&gt;$P$14),VLOOKUP(CONCATENATE(LEFT($P33,2),"L"),$R$63:$T$91,3,FALSE),0)+IF(AND($P33="O3/CP",$P$14=C$18),VLOOKUP("O3",$R$63:$T$91,3,FALSE)+VLOOKUP("CP",$R$63:$T$91,3,FALSE),0)+IF(AND($Q33&lt;&gt;"",$Q33&lt;&gt;"--",$Q33&lt;&gt;"O3/CP",$Q$14=C$18),IF(LEFT($Q33,1)="P",VLOOKUP(CONCATENATE(LEFT($Q33,2),"H"),$R$63:$T$91,3,FALSE),VLOOKUP($Q33,$R$63:$T$91,3,FALSE)))+IF(AND($Q33&lt;&gt;"",$Q33&lt;&gt;"O3/CP",$Q$15=C$18,MID($Q33,4,1)="2",$Q$15&lt;&gt;$Q$14),VLOOKUP(CONCATENATE(LEFT($Q33,2),"L"),$R$63:$T$91,3,FALSE),0)+IF(AND($Q33="O3/CP",$Q$14=C$18),VLOOKUP("O3",$R$63:$T$91,3,FALSE)+VLOOKUP("CP",$R$63:$T$91,3,FALSE),0)+IF(AND($R33&lt;&gt;"",$R33&lt;&gt;"--",$R33&lt;&gt;"O3/CP",$R$14=C$18),IF(LEFT($R33,1)="P",VLOOKUP(CONCATENATE(LEFT($R33,2),"H"),$R$63:$T$91,3,FALSE),VLOOKUP($R33,$R$63:$T$91,3,FALSE)))+IF(AND($R33&lt;&gt;"",$R33&lt;&gt;"O3/CP",$R$15=C$18,MID($R33,4,1)="2",$R$15&lt;&gt;$R$14),VLOOKUP(CONCATENATE(LEFT($R33,2),"L"),$R$63:$T$91,3,FALSE),0)+IF(AND($R33="O3/CP",$R$14=C$18),VLOOKUP("O3",$R$63:$T$91,3,FALSE)+VLOOKUP("CP",$R$63:$T$91,3,FALSE),0)+IF(AND($S33&lt;&gt;"",$S33&lt;&gt;"--",$S33&lt;&gt;"O3/CP",$S$14=C$18),IF(LEFT($S33,1)="P",VLOOKUP(CONCATENATE(LEFT($S33,2),"H"),$R$63:$T$91,3,FALSE),VLOOKUP($S33,$R$63:$T$91,3,FALSE)))+IF(AND($S33&lt;&gt;"",$S33&lt;&gt;"O3/CP",$S$15=C$18,MID($S33,4,1)="2",$S$15&lt;&gt;$S$14),VLOOKUP(CONCATENATE(LEFT($S33,2),"L"),$R$63:$T$91,3,FALSE),0)+IF(AND($S33="O3/CP",$S$14=C$18),VLOOKUP("O3",$R$63:$T$91,3,FALSE)+VLOOKUP("CP",$R$63:$T$91,3,FALSE),0)+IF(AND($T33&lt;&gt;"",$T33&lt;&gt;"--",$T33&lt;&gt;"O3/CP",$T$14=C$18),IF(LEFT($T33,1)="P",VLOOKUP(CONCATENATE(LEFT($T33,2),"H"),$R$63:$T$91,3,FALSE),VLOOKUP($T33,$R$63:$T$91,3,FALSE)))+IF(AND($T33&lt;&gt;"",$T33&lt;&gt;"O3/CP",$T$15=C$18,MID($T33,4,1)="2",$T$15&lt;&gt;$T$14),VLOOKUP(CONCATENATE(LEFT($T33,2),"L"),$R$63:$T$91,3,FALSE),0)+IF(AND($T33="O3/CP",$T$14=C$18),VLOOKUP("O3",$R$63:$T$91,3,FALSE)+VLOOKUP("CP",$R$63:$T$91,3,FALSE),0)+IF(AND($U33&lt;&gt;"",$U33&lt;&gt;"--",$U33&lt;&gt;"O3/CP",$U$14=C$18),IF(LEFT($U33,1)="P",VLOOKUP(CONCATENATE(LEFT($U33,2),"H"),$R$63:$T$91,3,FALSE),VLOOKUP($U33,$R$63:$T$91,3,FALSE)))+IF(AND($U33&lt;&gt;"",$U33&lt;&gt;"O3/CP",$U$15=C$18,MID($U33,4,1)="2",$U$15&lt;&gt;$U$14),VLOOKUP(CONCATENATE(LEFT($U33,2),"L"),$R$63:$T$91,3,FALSE),0)+IF(AND($U33="O3/CP",$T$14=C$18),VLOOKUP("O3",$R$63:$T$91,3,FALSE)+VLOOKUP("CP",$R$63:$T$91,3,FALSE),0)+IF(AND($V33&lt;&gt;"",$V33&lt;&gt;"--",$V33&lt;&gt;"O3/CP",$V$14=C$18),IF(LEFT($V33,1)="P",VLOOKUP(CONCATENATE(LEFT($V33,2),"H"),$R$63:$T$91,3,FALSE),VLOOKUP($V33,$R$63:$T$91,3,FALSE)))+IF(AND($V33&lt;&gt;"",$V33&lt;&gt;"O3/CP",$V$15=C$18,MID($V33,4,1)="2",$V$15&lt;&gt;$V$14),VLOOKUP(CONCATENATE(LEFT($V33,2),"L"),$R$63:$T$91,3,FALSE),0)+IF(AND($V33="O3/CP",$V$14=C$18),VLOOKUP("O3",$R$63:$T$91,3,FALSE)+VLOOKUP("CP",$R$63:$T$91,3,FALSE),0)+IF(AND($W33&lt;&gt;"",$W33&lt;&gt;"--",$W33&lt;&gt;"O3/CP",$W$14=C$18),IF(LEFT($W33,1)="P",VLOOKUP(CONCATENATE(LEFT($W33,2),"H"),$R$63:$T$91,3,FALSE),VLOOKUP($W33,$R$63:$T$91,3,FALSE)))+IF(AND($W33&lt;&gt;"",$W33&lt;&gt;"O3/CP",$W$15=C$18,MID($W33,4,1)="2",$W$15&lt;&gt;$W$14),VLOOKUP(CONCATENATE(LEFT($W33,2),"L"),$R$63:$T$91,3,FALSE),0)+IF(AND($W33="O3/CP",$W$14=C$18),VLOOKUP("O3",$R$63:$T$91,3,FALSE)+VLOOKUP("CP",$R$63:$T$91,3,FALSE),0)+IF(AND($X33&lt;&gt;"",$X33&lt;&gt;"--",$X33&lt;&gt;"O3/CP",$X$14=C$18),IF(LEFT($X33,1)="P",VLOOKUP(CONCATENATE(LEFT($X33,2),"H"),$R$63:$T$91,3,FALSE),VLOOKUP($X33,$R$63:$T$91,3,FALSE)))+IF(AND($X33&lt;&gt;"",$X33&lt;&gt;"O3/CP",$X$15=C$18,MID($X33,4,1)="2",$X$15&lt;&gt;$X$14),VLOOKUP(CONCATENATE(LEFT($X33,2),"L"),$R$63:$T$91,3,FALSE),0)+IF(AND($X33="O3/CP",$X$14=C$18),VLOOKUP("O3",$R$63:$T$91,3,FALSE)+VLOOKUP("CP",$R$63:$T$91,3,FALSE),0)+IF(AND($Y33&lt;&gt;"",$Y33&lt;&gt;"--",$Y33&lt;&gt;"O3/CP",$Y$14=C$18),IF(LEFT($Y33,1)="P",VLOOKUP(CONCATENATE(LEFT($Y33,2),"H"),$R$63:$T$91,3,FALSE),VLOOKUP($Y33,$R$63:$T$91,3,FALSE)))+IF(AND($Y33&lt;&gt;"",$Y33&lt;&gt;"O3/CP",$Y$15=C$18,MID($Y33,4,1)="2",$Y$15&lt;&gt;$Y$14),VLOOKUP(CONCATENATE(LEFT($Y33,2),"L"),$R$63:$T$91,3,FALSE),0)+IF(AND($Y33="O3/CP",$Y$14=C$18),VLOOKUP("O3",$R$63:$T$91,3,FALSE)+VLOOKUP("CP",$R$63:$T$91,3,FALSE),0)+IF(AND($K$6="CE",'[3]Supply Attribution'!$G$20=C$18),LEFT($S$90,2),0)+IF(AND($X$86&lt;&gt;"Not Set",$X$87=C$18),$X$86,0)</f>
        <v>0</v>
      </c>
      <c r="D33" s="271">
        <f>IF(AND($K33&lt;&gt;"",$K33&lt;&gt;"--",$K33&lt;&gt;"O3/CP",$K$14=D$18),IF(LEFT($K33,1)="P",VLOOKUP(CONCATENATE(LEFT($K33,2),"H"),$R$63:$T$91,3,FALSE),VLOOKUP($K33,$R$63:$T$91,3,FALSE)))+IF(AND($K33&lt;&gt;"",$K33&lt;&gt;"O3/CP",$K$15=D$18,MID($K33,4,1)="2",$K$15&lt;&gt;$K$14),VLOOKUP(CONCATENATE(LEFT($K33,2),"L"),$R$63:$T$91,3,FALSE),0)+IF(AND($K33="O3/CP",$K$14=D$18),VLOOKUP("O3",$R$63:$T$91,3,FALSE)+VLOOKUP("CP",$R$63:$T$91,3,FALSE),0)+IF(AND($L33&lt;&gt;"",$L33&lt;&gt;"--",$L33&lt;&gt;"O3/CP",$L$14=D$18),IF(LEFT($L33,1)="P",VLOOKUP(CONCATENATE(LEFT($L33,2),"H"),$R$63:$T$91,3,FALSE),VLOOKUP($L33,$R$63:$T$91,3,FALSE)))+IF(AND($L33&lt;&gt;"",$L33&lt;&gt;"O3/CP",$L$15=D$18,MID($L33,4,1)="2",$L$15&lt;&gt;$L$14),VLOOKUP(CONCATENATE(LEFT($L33,2),"L"),$R$63:$T$91,3,FALSE),0)+IF(AND($L33="O3/CP",$L$14=D$18),VLOOKUP("O3",$R$63:$T$91,3,FALSE)+VLOOKUP("CP",$R$63:$T$91,3,FALSE),0)+IF(AND($M33&lt;&gt;"",$M33&lt;&gt;"--",$M33&lt;&gt;"O3/CP",$M$14=D$18),IF(LEFT($M33,1)="P",VLOOKUP(CONCATENATE(LEFT($M33,2),"H"),$R$63:$T$91,3,FALSE),VLOOKUP($M33,$R$63:$T$91,3,FALSE)))+IF(AND($M33&lt;&gt;"",$M33&lt;&gt;"O3/CP",$M$15=D$18,MID($M33,4,1)="2",$M$15&lt;&gt;$M$14),VLOOKUP(CONCATENATE(LEFT($M33,2),"L"),$R$63:$T$91,3,FALSE),0)+IF(AND($M33="O3/CP",$M$14=D$18),VLOOKUP("O3",$R$63:$T$91,3,FALSE)+VLOOKUP("CP",$R$63:$T$91,3,FALSE),0)+IF(AND($N33&lt;&gt;"",$N33&lt;&gt;"--",$N33&lt;&gt;"O3/CP",$N$14=D$18),IF(LEFT($N33,1)="P",VLOOKUP(CONCATENATE(LEFT($N33,2),"H"),$R$63:$T$91,3,FALSE),VLOOKUP($N33,$R$63:$T$91,3,FALSE)))+IF(AND($N33&lt;&gt;"",$N33&lt;&gt;"O3/CP",$N$15=D$18,MID($N33,4,1)="2",$N$15&lt;&gt;$N$14),VLOOKUP(CONCATENATE(LEFT($N33,2),"L"),$R$63:$T$91,3,FALSE),0)+IF(AND($N33="O3/CP",$N$14=D$18),VLOOKUP("O3",$R$63:$T$91,3,FALSE)+VLOOKUP("CP",$R$63:$T$91,3,FALSE),0)+IF(AND($O33&lt;&gt;"",$O33&lt;&gt;"--",$O33&lt;&gt;"O3/CP",$O$14=D$18),IF(LEFT($O33,1)="P",VLOOKUP(CONCATENATE(LEFT($O33,2),"H"),$R$63:$T$91,3,FALSE),VLOOKUP($O33,$R$63:$T$91,3,FALSE)))+IF(AND($O33&lt;&gt;"",$O33&lt;&gt;"O3/CP",$O$15=D$18,MID($O33,4,1)="2",$O$15&lt;&gt;$O$14),VLOOKUP(CONCATENATE(LEFT($O33,2),"L"),$R$63:$T$91,3,FALSE),0)+IF(AND($O33="O3/CP",$O$14=D$18),VLOOKUP("O3",$R$63:$T$91,3,FALSE)+VLOOKUP("CP",$R$63:$T$91,3,FALSE),0)+IF(AND($P33&lt;&gt;"",$P33&lt;&gt;"--",$P33&lt;&gt;"O3/CP",$P$14=D$18),IF(LEFT($P33,1)="P",VLOOKUP(CONCATENATE(LEFT($P33,2),"H"),$R$63:$T$91,3,FALSE),VLOOKUP($P33,$R$63:$T$91,3,FALSE)))+IF(AND($P33&lt;&gt;"",$P33&lt;&gt;"O3/CP",$P$15=D$18,MID($P33,4,1)="2",$P$15&lt;&gt;$P$14),VLOOKUP(CONCATENATE(LEFT($P33,2),"L"),$R$63:$T$91,3,FALSE),0)+IF(AND($P33="O3/CP",$P$14=D$18),VLOOKUP("O3",$R$63:$T$91,3,FALSE)+VLOOKUP("CP",$R$63:$T$91,3,FALSE),0)+IF(AND($Q33&lt;&gt;"",$Q33&lt;&gt;"--",$Q33&lt;&gt;"O3/CP",$Q$14=D$18),IF(LEFT($Q33,1)="P",VLOOKUP(CONCATENATE(LEFT($Q33,2),"H"),$R$63:$T$91,3,FALSE),VLOOKUP($Q33,$R$63:$T$91,3,FALSE)))+IF(AND($Q33&lt;&gt;"",$Q33&lt;&gt;"O3/CP",$Q$15=D$18,MID($Q33,4,1)="2",$Q$15&lt;&gt;$Q$14),VLOOKUP(CONCATENATE(LEFT($Q33,2),"L"),$R$63:$T$91,3,FALSE),0)+IF(AND($Q33="O3/CP",$Q$14=D$18),VLOOKUP("O3",$R$63:$T$91,3,FALSE)+VLOOKUP("CP",$R$63:$T$91,3,FALSE),0)+IF(AND($R33&lt;&gt;"",$R33&lt;&gt;"--",$R33&lt;&gt;"O3/CP",$R$14=D$18),IF(LEFT($R33,1)="P",VLOOKUP(CONCATENATE(LEFT($R33,2),"H"),$R$63:$T$91,3,FALSE),VLOOKUP($R33,$R$63:$T$91,3,FALSE)))+IF(AND($R33&lt;&gt;"",$R33&lt;&gt;"O3/CP",$R$15=D$18,MID($R33,4,1)="2",$R$15&lt;&gt;$R$14),VLOOKUP(CONCATENATE(LEFT($R33,2),"L"),$R$63:$T$91,3,FALSE),0)+IF(AND($R33="O3/CP",$R$14=D$18),VLOOKUP("O3",$R$63:$T$91,3,FALSE)+VLOOKUP("CP",$R$63:$T$91,3,FALSE),0)+IF(AND($S33&lt;&gt;"",$S33&lt;&gt;"--",$S33&lt;&gt;"O3/CP",$S$14=D$18),IF(LEFT($S33,1)="P",VLOOKUP(CONCATENATE(LEFT($S33,2),"H"),$R$63:$T$91,3,FALSE),VLOOKUP($S33,$R$63:$T$91,3,FALSE)))+IF(AND($S33&lt;&gt;"",$S33&lt;&gt;"O3/CP",$S$15=D$18,MID($S33,4,1)="2",$S$15&lt;&gt;$S$14),VLOOKUP(CONCATENATE(LEFT($S33,2),"L"),$R$63:$T$91,3,FALSE),0)+IF(AND($S33="O3/CP",$S$14=D$18),VLOOKUP("O3",$R$63:$T$91,3,FALSE)+VLOOKUP("CP",$R$63:$T$91,3,FALSE),0)+IF(AND($T33&lt;&gt;"",$T33&lt;&gt;"--",$T33&lt;&gt;"O3/CP",$T$14=D$18),IF(LEFT($T33,1)="P",VLOOKUP(CONCATENATE(LEFT($T33,2),"H"),$R$63:$T$91,3,FALSE),VLOOKUP($T33,$R$63:$T$91,3,FALSE)))+IF(AND($T33&lt;&gt;"",$T33&lt;&gt;"O3/CP",$T$15=D$18,MID($T33,4,1)="2",$T$15&lt;&gt;$T$14),VLOOKUP(CONCATENATE(LEFT($T33,2),"L"),$R$63:$T$91,3,FALSE),0)+IF(AND($T33="O3/CP",$T$14=D$18),VLOOKUP("O3",$R$63:$T$91,3,FALSE)+VLOOKUP("CP",$R$63:$T$91,3,FALSE),0)+IF(AND($U33&lt;&gt;"",$U33&lt;&gt;"--",$U33&lt;&gt;"O3/CP",$U$14=D$18),IF(LEFT($U33,1)="P",VLOOKUP(CONCATENATE(LEFT($U33,2),"H"),$R$63:$T$91,3,FALSE),VLOOKUP($U33,$R$63:$T$91,3,FALSE)))+IF(AND($U33&lt;&gt;"",$U33&lt;&gt;"O3/CP",$U$15=D$18,MID($U33,4,1)="2",$U$15&lt;&gt;$U$14),VLOOKUP(CONCATENATE(LEFT($U33,2),"L"),$R$63:$T$91,3,FALSE),0)+IF(AND($U33="O3/CP",$T$14=D$18),VLOOKUP("O3",$R$63:$T$91,3,FALSE)+VLOOKUP("CP",$R$63:$T$91,3,FALSE),0)+IF(AND($V33&lt;&gt;"",$V33&lt;&gt;"--",$V33&lt;&gt;"O3/CP",$V$14=D$18),IF(LEFT($V33,1)="P",VLOOKUP(CONCATENATE(LEFT($V33,2),"H"),$R$63:$T$91,3,FALSE),VLOOKUP($V33,$R$63:$T$91,3,FALSE)))+IF(AND($V33&lt;&gt;"",$V33&lt;&gt;"O3/CP",$V$15=D$18,MID($V33,4,1)="2",$V$15&lt;&gt;$V$14),VLOOKUP(CONCATENATE(LEFT($V33,2),"L"),$R$63:$T$91,3,FALSE),0)+IF(AND($V33="O3/CP",$V$14=D$18),VLOOKUP("O3",$R$63:$T$91,3,FALSE)+VLOOKUP("CP",$R$63:$T$91,3,FALSE),0)+IF(AND($W33&lt;&gt;"",$W33&lt;&gt;"--",$W33&lt;&gt;"O3/CP",$W$14=D$18),IF(LEFT($W33,1)="P",VLOOKUP(CONCATENATE(LEFT($W33,2),"H"),$R$63:$T$91,3,FALSE),VLOOKUP($W33,$R$63:$T$91,3,FALSE)))+IF(AND($W33&lt;&gt;"",$W33&lt;&gt;"O3/CP",$W$15=D$18,MID($W33,4,1)="2",$W$15&lt;&gt;$W$14),VLOOKUP(CONCATENATE(LEFT($W33,2),"L"),$R$63:$T$91,3,FALSE),0)+IF(AND($W33="O3/CP",$W$14=D$18),VLOOKUP("O3",$R$63:$T$91,3,FALSE)+VLOOKUP("CP",$R$63:$T$91,3,FALSE),0)+IF(AND($X33&lt;&gt;"",$X33&lt;&gt;"--",$X33&lt;&gt;"O3/CP",$X$14=D$18),IF(LEFT($X33,1)="P",VLOOKUP(CONCATENATE(LEFT($X33,2),"H"),$R$63:$T$91,3,FALSE),VLOOKUP($X33,$R$63:$T$91,3,FALSE)))+IF(AND($X33&lt;&gt;"",$X33&lt;&gt;"O3/CP",$X$15=D$18,MID($X33,4,1)="2",$X$15&lt;&gt;$X$14),VLOOKUP(CONCATENATE(LEFT($X33,2),"L"),$R$63:$T$91,3,FALSE),0)+IF(AND($X33="O3/CP",$X$14=D$18),VLOOKUP("O3",$R$63:$T$91,3,FALSE)+VLOOKUP("CP",$R$63:$T$91,3,FALSE),0)+IF(AND($Y33&lt;&gt;"",$Y33&lt;&gt;"--",$Y33&lt;&gt;"O3/CP",$Y$14=D$18),IF(LEFT($Y33,1)="P",VLOOKUP(CONCATENATE(LEFT($Y33,2),"H"),$R$63:$T$91,3,FALSE),VLOOKUP($Y33,$R$63:$T$91,3,FALSE)))+IF(AND($Y33&lt;&gt;"",$Y33&lt;&gt;"O3/CP",$Y$15=D$18,MID($Y33,4,1)="2",$Y$15&lt;&gt;$Y$14),VLOOKUP(CONCATENATE(LEFT($Y33,2),"L"),$R$63:$T$91,3,FALSE),0)+IF(AND($Y33="O3/CP",$Y$14=D$18),VLOOKUP("O3",$R$63:$T$91,3,FALSE)+VLOOKUP("CP",$R$63:$T$91,3,FALSE),0)+IF(AND($K$6="CE",'[3]Supply Attribution'!$G$20=D$18),LEFT($S$90,2),0)+IF(AND($X$86&lt;&gt;"Not Set",$X$87=D$18),$X$86,0)</f>
        <v>0</v>
      </c>
      <c r="E33" s="271">
        <f>IF(AND($K33&lt;&gt;"",$K33&lt;&gt;"--",$K33&lt;&gt;"O3/CP",$K$14=E$18),IF(LEFT($K33,1)="P",VLOOKUP(CONCATENATE(LEFT($K33,2),"H"),$R$63:$T$91,3,FALSE),VLOOKUP($K33,$R$63:$T$91,3,FALSE)))+IF(AND($K33&lt;&gt;"",$K33&lt;&gt;"O3/CP",$K$15=E$18,MID($K33,4,1)="2",$K$15&lt;&gt;$K$14),VLOOKUP(CONCATENATE(LEFT($K33,2),"L"),$R$63:$T$91,3,FALSE),0)+IF(AND($K33="O3/CP",$K$14=E$18),VLOOKUP("O3",$R$63:$T$91,3,FALSE)+VLOOKUP("CP",$R$63:$T$91,3,FALSE),0)+IF(AND($L33&lt;&gt;"",$L33&lt;&gt;"--",$L33&lt;&gt;"O3/CP",$L$14=E$18),IF(LEFT($L33,1)="P",VLOOKUP(CONCATENATE(LEFT($L33,2),"H"),$R$63:$T$91,3,FALSE),VLOOKUP($L33,$R$63:$T$91,3,FALSE)))+IF(AND($L33&lt;&gt;"",$L33&lt;&gt;"O3/CP",$L$15=E$18,MID($L33,4,1)="2",$L$15&lt;&gt;$L$14),VLOOKUP(CONCATENATE(LEFT($L33,2),"L"),$R$63:$T$91,3,FALSE),0)+IF(AND($L33="O3/CP",$L$14=E$18),VLOOKUP("O3",$R$63:$T$91,3,FALSE)+VLOOKUP("CP",$R$63:$T$91,3,FALSE),0)+IF(AND($M33&lt;&gt;"",$M33&lt;&gt;"--",$M33&lt;&gt;"O3/CP",$M$14=E$18),IF(LEFT($M33,1)="P",VLOOKUP(CONCATENATE(LEFT($M33,2),"H"),$R$63:$T$91,3,FALSE),VLOOKUP($M33,$R$63:$T$91,3,FALSE)))+IF(AND($M33&lt;&gt;"",$M33&lt;&gt;"O3/CP",$M$15=E$18,MID($M33,4,1)="2",$M$15&lt;&gt;$M$14),VLOOKUP(CONCATENATE(LEFT($M33,2),"L"),$R$63:$T$91,3,FALSE),0)+IF(AND($M33="O3/CP",$M$14=E$18),VLOOKUP("O3",$R$63:$T$91,3,FALSE)+VLOOKUP("CP",$R$63:$T$91,3,FALSE),0)+IF(AND($N33&lt;&gt;"",$N33&lt;&gt;"--",$N33&lt;&gt;"O3/CP",$N$14=E$18),IF(LEFT($N33,1)="P",VLOOKUP(CONCATENATE(LEFT($N33,2),"H"),$R$63:$T$91,3,FALSE),VLOOKUP($N33,$R$63:$T$91,3,FALSE)))+IF(AND($N33&lt;&gt;"",$N33&lt;&gt;"O3/CP",$N$15=E$18,MID($N33,4,1)="2",$N$15&lt;&gt;$N$14),VLOOKUP(CONCATENATE(LEFT($N33,2),"L"),$R$63:$T$91,3,FALSE),0)+IF(AND($N33="O3/CP",$N$14=E$18),VLOOKUP("O3",$R$63:$T$91,3,FALSE)+VLOOKUP("CP",$R$63:$T$91,3,FALSE),0)+IF(AND($O33&lt;&gt;"",$O33&lt;&gt;"--",$O33&lt;&gt;"O3/CP",$O$14=E$18),IF(LEFT($O33,1)="P",VLOOKUP(CONCATENATE(LEFT($O33,2),"H"),$R$63:$T$91,3,FALSE),VLOOKUP($O33,$R$63:$T$91,3,FALSE)))+IF(AND($O33&lt;&gt;"",$O33&lt;&gt;"O3/CP",$O$15=E$18,MID($O33,4,1)="2",$O$15&lt;&gt;$O$14),VLOOKUP(CONCATENATE(LEFT($O33,2),"L"),$R$63:$T$91,3,FALSE),0)+IF(AND($O33="O3/CP",$O$14=E$18),VLOOKUP("O3",$R$63:$T$91,3,FALSE)+VLOOKUP("CP",$R$63:$T$91,3,FALSE),0)+IF(AND($P33&lt;&gt;"",$P33&lt;&gt;"--",$P33&lt;&gt;"O3/CP",$P$14=E$18),IF(LEFT($P33,1)="P",VLOOKUP(CONCATENATE(LEFT($P33,2),"H"),$R$63:$T$91,3,FALSE),VLOOKUP($P33,$R$63:$T$91,3,FALSE)))+IF(AND($P33&lt;&gt;"",$P33&lt;&gt;"O3/CP",$P$15=E$18,MID($P33,4,1)="2",$P$15&lt;&gt;$P$14),VLOOKUP(CONCATENATE(LEFT($P33,2),"L"),$R$63:$T$91,3,FALSE),0)+IF(AND($P33="O3/CP",$P$14=E$18),VLOOKUP("O3",$R$63:$T$91,3,FALSE)+VLOOKUP("CP",$R$63:$T$91,3,FALSE),0)+IF(AND($Q33&lt;&gt;"",$Q33&lt;&gt;"--",$Q33&lt;&gt;"O3/CP",$Q$14=E$18),IF(LEFT($Q33,1)="P",VLOOKUP(CONCATENATE(LEFT($Q33,2),"H"),$R$63:$T$91,3,FALSE),VLOOKUP($Q33,$R$63:$T$91,3,FALSE)))+IF(AND($Q33&lt;&gt;"",$Q33&lt;&gt;"O3/CP",$Q$15=E$18,MID($Q33,4,1)="2",$Q$15&lt;&gt;$Q$14),VLOOKUP(CONCATENATE(LEFT($Q33,2),"L"),$R$63:$T$91,3,FALSE),0)+IF(AND($Q33="O3/CP",$Q$14=E$18),VLOOKUP("O3",$R$63:$T$91,3,FALSE)+VLOOKUP("CP",$R$63:$T$91,3,FALSE),0)+IF(AND($R33&lt;&gt;"",$R33&lt;&gt;"--",$R33&lt;&gt;"O3/CP",$R$14=E$18),IF(LEFT($R33,1)="P",VLOOKUP(CONCATENATE(LEFT($R33,2),"H"),$R$63:$T$91,3,FALSE),VLOOKUP($R33,$R$63:$T$91,3,FALSE)))+IF(AND($R33&lt;&gt;"",$R33&lt;&gt;"O3/CP",$R$15=E$18,MID($R33,4,1)="2",$R$15&lt;&gt;$R$14),VLOOKUP(CONCATENATE(LEFT($R33,2),"L"),$R$63:$T$91,3,FALSE),0)+IF(AND($R33="O3/CP",$R$14=E$18),VLOOKUP("O3",$R$63:$T$91,3,FALSE)+VLOOKUP("CP",$R$63:$T$91,3,FALSE),0)+IF(AND($S33&lt;&gt;"",$S33&lt;&gt;"--",$S33&lt;&gt;"O3/CP",$S$14=E$18),IF(LEFT($S33,1)="P",VLOOKUP(CONCATENATE(LEFT($S33,2),"H"),$R$63:$T$91,3,FALSE),VLOOKUP($S33,$R$63:$T$91,3,FALSE)))+IF(AND($S33&lt;&gt;"",$S33&lt;&gt;"O3/CP",$S$15=E$18,MID($S33,4,1)="2",$S$15&lt;&gt;$S$14),VLOOKUP(CONCATENATE(LEFT($S33,2),"L"),$R$63:$T$91,3,FALSE),0)+IF(AND($S33="O3/CP",$S$14=E$18),VLOOKUP("O3",$R$63:$T$91,3,FALSE)+VLOOKUP("CP",$R$63:$T$91,3,FALSE),0)+IF(AND($T33&lt;&gt;"",$T33&lt;&gt;"--",$T33&lt;&gt;"O3/CP",$T$14=E$18),IF(LEFT($T33,1)="P",VLOOKUP(CONCATENATE(LEFT($T33,2),"H"),$R$63:$T$91,3,FALSE),VLOOKUP($T33,$R$63:$T$91,3,FALSE)))+IF(AND($T33&lt;&gt;"",$T33&lt;&gt;"O3/CP",$T$15=E$18,MID($T33,4,1)="2",$T$15&lt;&gt;$T$14),VLOOKUP(CONCATENATE(LEFT($T33,2),"L"),$R$63:$T$91,3,FALSE),0)+IF(AND($T33="O3/CP",$T$14=E$18),VLOOKUP("O3",$R$63:$T$91,3,FALSE)+VLOOKUP("CP",$R$63:$T$91,3,FALSE),0)+IF(AND($U33&lt;&gt;"",$U33&lt;&gt;"--",$U33&lt;&gt;"O3/CP",$U$14=E$18),IF(LEFT($U33,1)="P",VLOOKUP(CONCATENATE(LEFT($U33,2),"H"),$R$63:$T$91,3,FALSE),VLOOKUP($U33,$R$63:$T$91,3,FALSE)))+IF(AND($U33&lt;&gt;"",$U33&lt;&gt;"O3/CP",$U$15=E$18,MID($U33,4,1)="2",$U$15&lt;&gt;$U$14),VLOOKUP(CONCATENATE(LEFT($U33,2),"L"),$R$63:$T$91,3,FALSE),0)+IF(AND($U33="O3/CP",$T$14=E$18),VLOOKUP("O3",$R$63:$T$91,3,FALSE)+VLOOKUP("CP",$R$63:$T$91,3,FALSE),0)+IF(AND($V33&lt;&gt;"",$V33&lt;&gt;"--",$V33&lt;&gt;"O3/CP",$V$14=E$18),IF(LEFT($V33,1)="P",VLOOKUP(CONCATENATE(LEFT($V33,2),"H"),$R$63:$T$91,3,FALSE),VLOOKUP($V33,$R$63:$T$91,3,FALSE)))+IF(AND($V33&lt;&gt;"",$V33&lt;&gt;"O3/CP",$V$15=E$18,MID($V33,4,1)="2",$V$15&lt;&gt;$V$14),VLOOKUP(CONCATENATE(LEFT($V33,2),"L"),$R$63:$T$91,3,FALSE),0)+IF(AND($V33="O3/CP",$V$14=E$18),VLOOKUP("O3",$R$63:$T$91,3,FALSE)+VLOOKUP("CP",$R$63:$T$91,3,FALSE),0)+IF(AND($W33&lt;&gt;"",$W33&lt;&gt;"--",$W33&lt;&gt;"O3/CP",$W$14=E$18),IF(LEFT($W33,1)="P",VLOOKUP(CONCATENATE(LEFT($W33,2),"H"),$R$63:$T$91,3,FALSE),VLOOKUP($W33,$R$63:$T$91,3,FALSE)))+IF(AND($W33&lt;&gt;"",$W33&lt;&gt;"O3/CP",$W$15=E$18,MID($W33,4,1)="2",$W$15&lt;&gt;$W$14),VLOOKUP(CONCATENATE(LEFT($W33,2),"L"),$R$63:$T$91,3,FALSE),0)+IF(AND($W33="O3/CP",$W$14=E$18),VLOOKUP("O3",$R$63:$T$91,3,FALSE)+VLOOKUP("CP",$R$63:$T$91,3,FALSE),0)+IF(AND($X33&lt;&gt;"",$X33&lt;&gt;"--",$X33&lt;&gt;"O3/CP",$X$14=E$18),IF(LEFT($X33,1)="P",VLOOKUP(CONCATENATE(LEFT($X33,2),"H"),$R$63:$T$91,3,FALSE),VLOOKUP($X33,$R$63:$T$91,3,FALSE)))+IF(AND($X33&lt;&gt;"",$X33&lt;&gt;"O3/CP",$X$15=E$18,MID($X33,4,1)="2",$X$15&lt;&gt;$X$14),VLOOKUP(CONCATENATE(LEFT($X33,2),"L"),$R$63:$T$91,3,FALSE),0)+IF(AND($X33="O3/CP",$X$14=E$18),VLOOKUP("O3",$R$63:$T$91,3,FALSE)+VLOOKUP("CP",$R$63:$T$91,3,FALSE),0)+IF(AND($Y33&lt;&gt;"",$Y33&lt;&gt;"--",$Y33&lt;&gt;"O3/CP",$Y$14=E$18),IF(LEFT($Y33,1)="P",VLOOKUP(CONCATENATE(LEFT($Y33,2),"H"),$R$63:$T$91,3,FALSE),VLOOKUP($Y33,$R$63:$T$91,3,FALSE)))+IF(AND($Y33&lt;&gt;"",$Y33&lt;&gt;"O3/CP",$Y$15=E$18,MID($Y33,4,1)="2",$Y$15&lt;&gt;$Y$14),VLOOKUP(CONCATENATE(LEFT($Y33,2),"L"),$R$63:$T$91,3,FALSE),0)+IF(AND($Y33="O3/CP",$Y$14=E$18),VLOOKUP("O3",$R$63:$T$91,3,FALSE)+VLOOKUP("CP",$R$63:$T$91,3,FALSE),0)+IF(AND($K$6="CE",'[3]Supply Attribution'!$G$20=E$18),LEFT($S$90,2),0)+IF(AND($X$86&lt;&gt;"Not Set",$X$87=E$18),$X$86,0)</f>
        <v>0</v>
      </c>
      <c r="F33" s="272">
        <f>IF(AND($K33&lt;&gt;"",$K33&lt;&gt;"--",$K33&lt;&gt;"O3/CP",$K$14=F$18),IF(LEFT($K33,1)="P",VLOOKUP(CONCATENATE(LEFT($K33,2),"H"),$R$63:$T$91,3,FALSE),VLOOKUP($K33,$R$63:$T$91,3,FALSE)))+IF(AND($K33&lt;&gt;"",$K33&lt;&gt;"O3/CP",$K$15=F$18,MID($K33,4,1)="2",$K$15&lt;&gt;$K$14),VLOOKUP(CONCATENATE(LEFT($K33,2),"L"),$R$63:$T$91,3,FALSE),0)+IF(AND($K33="O3/CP",$K$14=F$18),VLOOKUP("O3",$R$63:$T$91,3,FALSE)+VLOOKUP("CP",$R$63:$T$91,3,FALSE),0)+IF(AND($L33&lt;&gt;"",$L33&lt;&gt;"--",$L33&lt;&gt;"O3/CP",$L$14=F$18),IF(LEFT($L33,1)="P",VLOOKUP(CONCATENATE(LEFT($L33,2),"H"),$R$63:$T$91,3,FALSE),VLOOKUP($L33,$R$63:$T$91,3,FALSE)))+IF(AND($L33&lt;&gt;"",$L33&lt;&gt;"O3/CP",$L$15=F$18,MID($L33,4,1)="2",$L$15&lt;&gt;$L$14),VLOOKUP(CONCATENATE(LEFT($L33,2),"L"),$R$63:$T$91,3,FALSE),0)+IF(AND($L33="O3/CP",$L$14=F$18),VLOOKUP("O3",$R$63:$T$91,3,FALSE)+VLOOKUP("CP",$R$63:$T$91,3,FALSE),0)+IF(AND($M33&lt;&gt;"",$M33&lt;&gt;"--",$M33&lt;&gt;"O3/CP",$M$14=F$18),IF(LEFT($M33,1)="P",VLOOKUP(CONCATENATE(LEFT($M33,2),"H"),$R$63:$T$91,3,FALSE),VLOOKUP($M33,$R$63:$T$91,3,FALSE)))+IF(AND($M33&lt;&gt;"",$M33&lt;&gt;"O3/CP",$M$15=F$18,MID($M33,4,1)="2",$M$15&lt;&gt;$M$14),VLOOKUP(CONCATENATE(LEFT($M33,2),"L"),$R$63:$T$91,3,FALSE),0)+IF(AND($M33="O3/CP",$M$14=F$18),VLOOKUP("O3",$R$63:$T$91,3,FALSE)+VLOOKUP("CP",$R$63:$T$91,3,FALSE),0)+IF(AND($N33&lt;&gt;"",$N33&lt;&gt;"--",$N33&lt;&gt;"O3/CP",$N$14=F$18),IF(LEFT($N33,1)="P",VLOOKUP(CONCATENATE(LEFT($N33,2),"H"),$R$63:$T$91,3,FALSE),VLOOKUP($N33,$R$63:$T$91,3,FALSE)))+IF(AND($N33&lt;&gt;"",$N33&lt;&gt;"O3/CP",$N$15=F$18,MID($N33,4,1)="2",$N$15&lt;&gt;$N$14),VLOOKUP(CONCATENATE(LEFT($N33,2),"L"),$R$63:$T$91,3,FALSE),0)+IF(AND($N33="O3/CP",$N$14=F$18),VLOOKUP("O3",$R$63:$T$91,3,FALSE)+VLOOKUP("CP",$R$63:$T$91,3,FALSE),0)+IF(AND($O33&lt;&gt;"",$O33&lt;&gt;"--",$O33&lt;&gt;"O3/CP",$O$14=F$18),IF(LEFT($O33,1)="P",VLOOKUP(CONCATENATE(LEFT($O33,2),"H"),$R$63:$T$91,3,FALSE),VLOOKUP($O33,$R$63:$T$91,3,FALSE)))+IF(AND($O33&lt;&gt;"",$O33&lt;&gt;"O3/CP",$O$15=F$18,MID($O33,4,1)="2",$O$15&lt;&gt;$O$14),VLOOKUP(CONCATENATE(LEFT($O33,2),"L"),$R$63:$T$91,3,FALSE),0)+IF(AND($O33="O3/CP",$O$14=F$18),VLOOKUP("O3",$R$63:$T$91,3,FALSE)+VLOOKUP("CP",$R$63:$T$91,3,FALSE),0)+IF(AND($P33&lt;&gt;"",$P33&lt;&gt;"--",$P33&lt;&gt;"O3/CP",$P$14=F$18),IF(LEFT($P33,1)="P",VLOOKUP(CONCATENATE(LEFT($P33,2),"H"),$R$63:$T$91,3,FALSE),VLOOKUP($P33,$R$63:$T$91,3,FALSE)))+IF(AND($P33&lt;&gt;"",$P33&lt;&gt;"O3/CP",$P$15=F$18,MID($P33,4,1)="2",$P$15&lt;&gt;$P$14),VLOOKUP(CONCATENATE(LEFT($P33,2),"L"),$R$63:$T$91,3,FALSE),0)+IF(AND($P33="O3/CP",$P$14=F$18),VLOOKUP("O3",$R$63:$T$91,3,FALSE)+VLOOKUP("CP",$R$63:$T$91,3,FALSE),0)+IF(AND($Q33&lt;&gt;"",$Q33&lt;&gt;"--",$Q33&lt;&gt;"O3/CP",$Q$14=F$18),IF(LEFT($Q33,1)="P",VLOOKUP(CONCATENATE(LEFT($Q33,2),"H"),$R$63:$T$91,3,FALSE),VLOOKUP($Q33,$R$63:$T$91,3,FALSE)))+IF(AND($Q33&lt;&gt;"",$Q33&lt;&gt;"O3/CP",$Q$15=F$18,MID($Q33,4,1)="2",$Q$15&lt;&gt;$Q$14),VLOOKUP(CONCATENATE(LEFT($Q33,2),"L"),$R$63:$T$91,3,FALSE),0)+IF(AND($Q33="O3/CP",$Q$14=F$18),VLOOKUP("O3",$R$63:$T$91,3,FALSE)+VLOOKUP("CP",$R$63:$T$91,3,FALSE),0)+IF(AND($R33&lt;&gt;"",$R33&lt;&gt;"--",$R33&lt;&gt;"O3/CP",$R$14=F$18),IF(LEFT($R33,1)="P",VLOOKUP(CONCATENATE(LEFT($R33,2),"H"),$R$63:$T$91,3,FALSE),VLOOKUP($R33,$R$63:$T$91,3,FALSE)))+IF(AND($R33&lt;&gt;"",$R33&lt;&gt;"O3/CP",$R$15=F$18,MID($R33,4,1)="2",$R$15&lt;&gt;$R$14),VLOOKUP(CONCATENATE(LEFT($R33,2),"L"),$R$63:$T$91,3,FALSE),0)+IF(AND($R33="O3/CP",$R$14=F$18),VLOOKUP("O3",$R$63:$T$91,3,FALSE)+VLOOKUP("CP",$R$63:$T$91,3,FALSE),0)+IF(AND($S33&lt;&gt;"",$S33&lt;&gt;"--",$S33&lt;&gt;"O3/CP",$S$14=F$18),IF(LEFT($S33,1)="P",VLOOKUP(CONCATENATE(LEFT($S33,2),"H"),$R$63:$T$91,3,FALSE),VLOOKUP($S33,$R$63:$T$91,3,FALSE)))+IF(AND($S33&lt;&gt;"",$S33&lt;&gt;"O3/CP",$S$15=F$18,MID($S33,4,1)="2",$S$15&lt;&gt;$S$14),VLOOKUP(CONCATENATE(LEFT($S33,2),"L"),$R$63:$T$91,3,FALSE),0)+IF(AND($S33="O3/CP",$S$14=F$18),VLOOKUP("O3",$R$63:$T$91,3,FALSE)+VLOOKUP("CP",$R$63:$T$91,3,FALSE),0)+IF(AND($T33&lt;&gt;"",$T33&lt;&gt;"--",$T33&lt;&gt;"O3/CP",$T$14=F$18),IF(LEFT($T33,1)="P",VLOOKUP(CONCATENATE(LEFT($T33,2),"H"),$R$63:$T$91,3,FALSE),VLOOKUP($T33,$R$63:$T$91,3,FALSE)))+IF(AND($T33&lt;&gt;"",$T33&lt;&gt;"O3/CP",$T$15=F$18,MID($T33,4,1)="2",$T$15&lt;&gt;$T$14),VLOOKUP(CONCATENATE(LEFT($T33,2),"L"),$R$63:$T$91,3,FALSE),0)+IF(AND($T33="O3/CP",$T$14=F$18),VLOOKUP("O3",$R$63:$T$91,3,FALSE)+VLOOKUP("CP",$R$63:$T$91,3,FALSE),0)+IF(AND($U33&lt;&gt;"",$U33&lt;&gt;"--",$U33&lt;&gt;"O3/CP",$U$14=F$18),IF(LEFT($U33,1)="P",VLOOKUP(CONCATENATE(LEFT($U33,2),"H"),$R$63:$T$91,3,FALSE),VLOOKUP($U33,$R$63:$T$91,3,FALSE)))+IF(AND($U33&lt;&gt;"",$U33&lt;&gt;"O3/CP",$U$15=F$18,MID($U33,4,1)="2",$U$15&lt;&gt;$U$14),VLOOKUP(CONCATENATE(LEFT($U33,2),"L"),$R$63:$T$91,3,FALSE),0)+IF(AND($U33="O3/CP",$T$14=F$18),VLOOKUP("O3",$R$63:$T$91,3,FALSE)+VLOOKUP("CP",$R$63:$T$91,3,FALSE),0)+IF(AND($V33&lt;&gt;"",$V33&lt;&gt;"--",$V33&lt;&gt;"O3/CP",$V$14=F$18),IF(LEFT($V33,1)="P",VLOOKUP(CONCATENATE(LEFT($V33,2),"H"),$R$63:$T$91,3,FALSE),VLOOKUP($V33,$R$63:$T$91,3,FALSE)))+IF(AND($V33&lt;&gt;"",$V33&lt;&gt;"O3/CP",$V$15=F$18,MID($V33,4,1)="2",$V$15&lt;&gt;$V$14),VLOOKUP(CONCATENATE(LEFT($V33,2),"L"),$R$63:$T$91,3,FALSE),0)+IF(AND($V33="O3/CP",$V$14=F$18),VLOOKUP("O3",$R$63:$T$91,3,FALSE)+VLOOKUP("CP",$R$63:$T$91,3,FALSE),0)+IF(AND($W33&lt;&gt;"",$W33&lt;&gt;"--",$W33&lt;&gt;"O3/CP",$W$14=F$18),IF(LEFT($W33,1)="P",VLOOKUP(CONCATENATE(LEFT($W33,2),"H"),$R$63:$T$91,3,FALSE),VLOOKUP($W33,$R$63:$T$91,3,FALSE)))+IF(AND($W33&lt;&gt;"",$W33&lt;&gt;"O3/CP",$W$15=F$18,MID($W33,4,1)="2",$W$15&lt;&gt;$W$14),VLOOKUP(CONCATENATE(LEFT($W33,2),"L"),$R$63:$T$91,3,FALSE),0)+IF(AND($W33="O3/CP",$W$14=F$18),VLOOKUP("O3",$R$63:$T$91,3,FALSE)+VLOOKUP("CP",$R$63:$T$91,3,FALSE),0)+IF(AND($X33&lt;&gt;"",$X33&lt;&gt;"--",$X33&lt;&gt;"O3/CP",$X$14=F$18),IF(LEFT($X33,1)="P",VLOOKUP(CONCATENATE(LEFT($X33,2),"H"),$R$63:$T$91,3,FALSE),VLOOKUP($X33,$R$63:$T$91,3,FALSE)))+IF(AND($X33&lt;&gt;"",$X33&lt;&gt;"O3/CP",$X$15=F$18,MID($X33,4,1)="2",$X$15&lt;&gt;$X$14),VLOOKUP(CONCATENATE(LEFT($X33,2),"L"),$R$63:$T$91,3,FALSE),0)+IF(AND($X33="O3/CP",$X$14=F$18),VLOOKUP("O3",$R$63:$T$91,3,FALSE)+VLOOKUP("CP",$R$63:$T$91,3,FALSE),0)+IF(AND($Y33&lt;&gt;"",$Y33&lt;&gt;"--",$Y33&lt;&gt;"O3/CP",$Y$14=F$18),IF(LEFT($Y33,1)="P",VLOOKUP(CONCATENATE(LEFT($Y33,2),"H"),$R$63:$T$91,3,FALSE),VLOOKUP($Y33,$R$63:$T$91,3,FALSE)))+IF(AND($Y33&lt;&gt;"",$Y33&lt;&gt;"O3/CP",$Y$15=F$18,MID($Y33,4,1)="2",$Y$15&lt;&gt;$Y$14),VLOOKUP(CONCATENATE(LEFT($Y33,2),"L"),$R$63:$T$91,3,FALSE),0)+IF(AND($Y33="O3/CP",$Y$14=F$18),VLOOKUP("O3",$R$63:$T$91,3,FALSE)+VLOOKUP("CP",$R$63:$T$91,3,FALSE),0)+IF(AND($K$6="CE",'[3]Supply Attribution'!$G$20=F$18),LEFT($S$90,2),0)+IF(AND($X$86&lt;&gt;"Not Set",$X$87=F$18),$X$86,0)</f>
        <v>0</v>
      </c>
      <c r="G33" s="271">
        <f>IF(AND($K$6="CE",$T$59="1 Phase"),SUM(A33:F33)-IF(AND($K$14&lt;&gt;$K$15,RIGHT($K33,3)="2SP"),VLOOKUP(CONCATENATE(LEFT($K33,2),"L"),$R$63:$T$90,3,FALSE),0)-IF(AND($L$14&lt;&gt;$L$15,RIGHT($L33,3)="2SP"),VLOOKUP(CONCATENATE(LEFT($L33,2),"L"),$R$63:$T$90,3,FALSE),0)-IF(AND($M$14&lt;&gt;$M$15,RIGHT($M33,3)="2SP"),VLOOKUP(CONCATENATE(LEFT($M33,2),"L"),$R$63:$T$90,3,FALSE),0)-IF(AND($N$14&lt;&gt;$N$15,RIGHT($N33,3)="2SP"),VLOOKUP(CONCATENATE(LEFT($N33,2),"L"),$R$63:$T$90,3,FALSE),0)-IF(AND($O$14&lt;&gt;$O$15,RIGHT($O33,3)="2SP"),VLOOKUP(CONCATENATE(LEFT($O33,2),"L"),$R$63:$T$90,3,FALSE),0)-IF(AND($P$14&lt;&gt;$P$15,RIGHT($P33,3)="2SP"),VLOOKUP(CONCATENATE(LEFT($P33,2),"L"),$R$63:$T$90,3,FALSE),0)-IF(AND($Q$14&lt;&gt;$Q$15,RIGHT($Q33,3)="2SP"),VLOOKUP(CONCATENATE(LEFT($Q33,2),"L"),$R$63:$T$90,3,FALSE),0)-IF(AND($R$14&lt;&gt;$R$15,RIGHT($T33,3)="2SP"),VLOOKUP(CONCATENATE(LEFT($R33,2),"L"),$R$63:$T$90,3,FALSE),0)-IF(AND($S$14&lt;&gt;$S$15,RIGHT($T33,3)="2SP"),VLOOKUP(CONCATENATE(LEFT($S33,2),"L"),$R$63:$T$90,3,FALSE),0)-IF(AND($T$14&lt;&gt;$T$15,RIGHT($T33,3)="2SP"),VLOOKUP(CONCATENATE(LEFT($T33,2),"L"),$R$63:$T$90,3,FALSE),0)-IF(AND($U$14&lt;&gt;$U$15,RIGHT($U33,3)="2SP"),VLOOKUP(CONCATENATE(LEFT($U33,2),"L"),$R$63:$T$90,3,FALSE),0)-IF(AND($V$14&lt;&gt;$V$15,RIGHT($V33,3)="2SP"),VLOOKUP(CONCATENATE(LEFT($V33,2),"L"),$R$63:$T$90,3,FALSE),0)-IF(AND($W$14&lt;&gt;$W$15,RIGHT($W33,3)="2SP"),VLOOKUP(CONCATENATE(LEFT($W33,2),"L"),$R$63:$T$90,3,FALSE),0)-IF(AND($X$14&lt;&gt;$X$15,RIGHT($X33,3)="2SP"),VLOOKUP(CONCATENATE(LEFT($X33,2),"L"),$R$63:$T$90,3,FALSE),0)-IF(AND($Y$14&lt;&gt;$Y$15,RIGHT($Y33,3)="2SP"),VLOOKUP(CONCATENATE(LEFT($Y33,2),"L"),$R$63:$T$90,3,FALSE),0),IF(VLOOKUP(CONCATENATE($A$18,"Line"),'[3]Supply Attribution'!$F$31:$G$37,2,FALSE)=G$18,$A33,0)+IF(VLOOKUP(CONCATENATE($B$18,"Line"),'[3]Supply Attribution'!$F$31:$G$37,2,FALSE)=G$18,$B33,0)+IF(VLOOKUP(CONCATENATE($C$18,"Line"),'[3]Supply Attribution'!$F$31:$G$37,2,FALSE)=G$18,$C33,0)+IF(VLOOKUP(CONCATENATE($D$18,"Line"),'[3]Supply Attribution'!$F$31:$G$37,2,FALSE)=G$18,$D33,0)+IF(VLOOKUP(CONCATENATE($E$18,"Line"),'[3]Supply Attribution'!$F$31:$G$37,2,FALSE)=G$18,$E33,0)+IF(VLOOKUP(CONCATENATE($F$18,"Line"),'[3]Supply Attribution'!$F$31:$G$37,2,FALSE)=G$18,$F33,0)+IF($K$6="UL",LEFT($S$90,2),0)-IF(AND($K$16=G$18,$K$14&lt;&gt;$K$15,$K$16=$K$17,RIGHT($K33,3)="2SP"),VLOOKUP(CONCATENATE(LEFT($K33,2),"L"),$R$63:$T$90,3,FALSE),0)-IF(AND($L$16=G$18,$L$14&lt;&gt;$L$15,$L$16=$L$17,RIGHT($L33,3)="2SP"),VLOOKUP(CONCATENATE(LEFT($L33,2),"L"),$R$63:$T$90,3,FALSE),0)-IF(AND($M$16=G$18,$M$14&lt;&gt;$M$15,$M$16=$M$17,RIGHT($M33,3)="2SP"),VLOOKUP(CONCATENATE(LEFT($M33,2),"L"),$R$63:$T$90,3,FALSE),0)-IF(AND($N$16=G$18,$N$14&lt;&gt;$N$15,$N$16=$N$17,RIGHT($N33,3)="2SP"),VLOOKUP(CONCATENATE(LEFT($N33,2),"L"),$R$63:$T$90,3,FALSE),0)-IF(AND($O$16=G$18,$O$14&lt;&gt;$O$15,$O$16=$O$17,RIGHT($O33,3)="2SP"),VLOOKUP(CONCATENATE(LEFT($O33,2),"L"),$R$63:$T$90,3,FALSE),0)-IF(AND($P$16=G$18,$P$14&lt;&gt;$P$15,$P$16=$P$17,RIGHT($P33,3)="2SP"),VLOOKUP(CONCATENATE(LEFT($P33,2),"L"),$R$63:$T$90,3,FALSE),0)-IF(AND($Q$16=G$18,$Q$14&lt;&gt;$Q$15,$Q$16=$Q$17,RIGHT($Q33,3)="2SP"),VLOOKUP(CONCATENATE(LEFT($Q33,2),"L"),$R$63:$T$90,3,FALSE),0)-IF(AND($R$16=G$18,$R$14&lt;&gt;$R$15,$R$16=$R$17,RIGHT($R33,3)="2SP"),VLOOKUP(CONCATENATE(LEFT($R33,2),"L"),$R$63:$T$90,3,FALSE),0)-IF(AND($S$16=G$18,$S$14&lt;&gt;$S$15,$S$16=$S$17,RIGHT($S33,3)="2SP"),VLOOKUP(CONCATENATE(LEFT($S33,2),"L"),$R$63:$T$90,3,FALSE),0)-IF(AND($T$16=G$18,$T$14&lt;&gt;$T$15,$T$16=$T$17,RIGHT($T33,3)="2SP"),VLOOKUP(CONCATENATE(LEFT($T33,2),"L"),$R$63:$T$90,3,FALSE),0)-IF(AND($U$16=G$18,$U$14&lt;&gt;$U$15,$U$16=$U$17,RIGHT($U33,3)="2SP"),VLOOKUP(CONCATENATE(LEFT($U33,2),"L"),$R$63:$T$90,3,FALSE),0)-IF(AND($V$16=G$18,$V$14&lt;&gt;$V$15,$V$16=$V$17,RIGHT($V33,3)="2SP"),VLOOKUP(CONCATENATE(LEFT($V33,2),"L"),$R$63:$T$90,3,FALSE),0)-IF(AND($W$16=G$18,$W$14&lt;&gt;$W$15,$W$16=$W$17,RIGHT($W33,3)="2SP"),VLOOKUP(CONCATENATE(LEFT($W33,2),"L"),$R$63:$T$90,3,FALSE),0)-IF(AND($X$16=G$18,$X$14&lt;&gt;$X$15,$X$16=$X$17,RIGHT($X33,3)="2SP"),VLOOKUP(CONCATENATE(LEFT($X33,2),"L"),$R$63:$T$90,3,FALSE),0)-IF(AND($Y$16=G$18,$Y$14&lt;&gt;$Y$15,$Y$16=$Y$17,RIGHT($Y33,3)="2SP"),VLOOKUP(CONCATENATE(LEFT($Y33,2),"L"),$R$63:$T$90,3,FALSE),0))</f>
        <v>17</v>
      </c>
      <c r="H33" s="271" t="str">
        <f>IF(H$18&lt;&gt;"",IF(VLOOKUP(CONCATENATE($A$18,"Line"),'Supply Attribution'!$F$31:$G$37,2,FALSE)=H$18,$A33,0)+IF(VLOOKUP(CONCATENATE($B$18,"Line"),'Supply Attribution'!$F$31:$G$37,2,FALSE)=H$18,$B33,0)+IF(VLOOKUP(CONCATENATE($C$18,"Line"),'Supply Attribution'!$F$31:$G$37,2,FALSE)=H$18,$C33,0)+IF(VLOOKUP(CONCATENATE($D$18,"Line"),'Supply Attribution'!$F$31:$G$37,2,FALSE)=H$18,$D33,0)+IF(VLOOKUP(CONCATENATE($E$18,"Line"),'Supply Attribution'!$F$31:$G$37,2,FALSE)=H$18,$E33,0)+IF(VLOOKUP(CONCATENATE($F$18,"Line"),'Supply Attribution'!$F$31:$G$37,2,FALSE)=H$18,$F33,0)+IF($K$6="UL",LEFT($S$90,2),0)-IF(AND($K$16=H$18,$K$14&lt;&gt;$K$15,$K$16=$K$17,RIGHT($K33,3)="2SP"),VLOOKUP(CONCATENATE(LEFT($K33,2),"L"),$R$63:$T$90,3,FALSE),0)-IF(AND($L$16=H$18,$L$14&lt;&gt;$L$15,$L$16=$L$17,RIGHT($L33,3)="2SP"),VLOOKUP(CONCATENATE(LEFT($L33,2),"L"),$R$63:$T$90,3,FALSE),0)-IF(AND($M$16=H$18,$M$14&lt;&gt;$M$15,$M$16=$M$17,RIGHT($M33,3)="2SP"),VLOOKUP(CONCATENATE(LEFT($M33,2),"L"),$R$63:$T$90,3,FALSE),0)-IF(AND($N$16=H$18,$N$14&lt;&gt;$N$15,$N$16=$N$17,RIGHT($N33,3)="2SP"),VLOOKUP(CONCATENATE(LEFT($N33,2),"L"),$R$63:$T$90,3,FALSE),0)-IF(AND($O$16=H$18,$O$14&lt;&gt;$O$15,$O$16=$O$17,RIGHT($O33,3)="2SP"),VLOOKUP(CONCATENATE(LEFT($O33,2),"L"),$R$63:$T$90,3,FALSE),0)-IF(AND($P$16=H$18,$P$14&lt;&gt;$P$15,$P$16=$P$17,RIGHT($P33,3)="2SP"),VLOOKUP(CONCATENATE(LEFT($P33,2),"L"),$R$63:$T$90,3,FALSE),0)-IF(AND($Q$16=H$18,$Q$14&lt;&gt;$Q$15,$Q$16=$Q$17,RIGHT($Q33,3)="2SP"),VLOOKUP(CONCATENATE(LEFT($Q33,2),"L"),$R$63:$T$90,3,FALSE),0)-IF(AND($T$16=H$18,$T$14&lt;&gt;$T$15,$T$16=$T$17,RIGHT($T33,3)="2SP"),VLOOKUP(CONCATENATE(LEFT($T33,2),"L"),$R$63:$T$90,3,FALSE),0)-IF(AND($U$16=H$18,$U$14&lt;&gt;$U$15,$U$16=$U$17,RIGHT($U33,3)="2SP"),VLOOKUP(CONCATENATE(LEFT($U33,2),"L"),$R$63:$T$90,3,FALSE),0)-IF(AND($V$16=H$18,$V$14&lt;&gt;$V$15,$V$16=$V$17,RIGHT($V33,3)="2SP"),VLOOKUP(CONCATENATE(LEFT($V33,2),"L"),$R$63:$T$90,3,FALSE),0)-IF(AND($W$16=H$18,$W$14&lt;&gt;$W$15,$W$16=$W$17,RIGHT($W33,3)="2SP"),VLOOKUP(CONCATENATE(LEFT($W33,2),"L"),$R$63:$T$90,3,FALSE),0)-IF(AND($X$16=H$18,$X$14&lt;&gt;$X$15,$X$16=$X$17,RIGHT($X33,3)="2SP"),VLOOKUP(CONCATENATE(LEFT($X33,2),"L"),$R$63:$T$90,3,FALSE),0)-IF(AND($Y$16=H$18,$Y$14&lt;&gt;$Y$15,$Y$16=$Y$17,RIGHT($Y33,3)="2SP"),VLOOKUP(CONCATENATE(LEFT($Y33,2),"L"),$R$63:$T$90,3,FALSE),0)+IF(AND($K$6="CE",$T$59="2 Phases",H$18&lt;&gt;""),IF(VLOOKUP(CONCATENATE($A$18,"Line"),'Supply Attribution'!$F$31:$G$37,2,FALSE)="Line3",$A33,0)+IF(VLOOKUP(CONCATENATE($B$18,"Line"),'Supply Attribution'!$F$31:$G$37,2,FALSE)="Line3",$B33,0)+IF(VLOOKUP(CONCATENATE($C$18,"Line"),'Supply Attribution'!$F$31:$G$37,2,FALSE)="Line3",$C33,0)+IF(VLOOKUP(CONCATENATE($D$18,"Line"),'Supply Attribution'!$F$31:$G$37,2,FALSE)="Line3",$D33,0)+IF(VLOOKUP(CONCATENATE($E$18,"Line"),'Supply Attribution'!$F$31:$G$37,2,FALSE)="Line3",$E33,0)+IF(VLOOKUP(CONCATENATE($F$18,"Line"),'Supply Attribution'!$F$31:$G$37,2,FALSE)="Line3",$F33,0)-IF(AND($K$16=I$18,$K$14&lt;&gt;$K$15,$K$16=$K$17,RIGHT($K33,3)="2SP"),VLOOKUP(CONCATENATE(LEFT($K33,2),"L"),$R$63:$T$90,3,FALSE),0)-IF(AND($L$16=I$18,$L$14&lt;&gt;$L$15,$L$16=$L$17,RIGHT($L33,3)="2SP"),VLOOKUP(CONCATENATE(LEFT($L33,2),"L"),$R$63:$T$90,3,FALSE),0)-IF(AND($M$16=I$18,$M$14&lt;&gt;$M$15,$M$16=$M$17,RIGHT($M33,3)="2SP"),VLOOKUP(CONCATENATE(LEFT($M33,2),"L"),$R$63:$T$90,3,FALSE),0)-IF(AND($N$16=I$18,$N$14&lt;&gt;$N$15,$N$16=$N$17,RIGHT($N33,3)="2SP"),VLOOKUP(CONCATENATE(LEFT($N33,2),"L"),$R$63:$T$90,3,FALSE),0)-IF(AND($O$16=I$18,$O$14&lt;&gt;$O$15,$O$16=$O$17,RIGHT($O33,3)="2SP"),VLOOKUP(CONCATENATE(LEFT($O33,2),"L"),$R$63:$T$90,3,FALSE),0)-IF(AND($P$16=I$18,$P$14&lt;&gt;$P$15,$P$16=$P$17,RIGHT($P33,3)="2SP"),VLOOKUP(CONCATENATE(LEFT($P33,2),"L"),$R$63:$T$90,3,FALSE),0)-IF(AND($Q$16=I$18,$Q$14&lt;&gt;$Q$15,$Q$16=$Q$17,RIGHT($Q33,3)="2SP"),VLOOKUP(CONCATENATE(LEFT($Q33,2),"L"),$R$63:$T$90,3,FALSE),0)-IF(AND($T$16=I$18,$T$14&lt;&gt;$T$15,$T$16=$T$17,RIGHT($T33,3)="2SP"),VLOOKUP(CONCATENATE(LEFT($T33,2),"L"),$R$63:$T$90,3,FALSE),0)-IF(AND($U$16=I$18,$U$14&lt;&gt;$U$15,$U$16=$U$17,RIGHT($U33,3)="2SP"),VLOOKUP(CONCATENATE(LEFT($U33,2),"L"),$R$63:$T$90,3,FALSE),0)-IF(AND($V$16=I$18,$V$14&lt;&gt;$V$15,$V$16=$V$17,RIGHT($V33,3)="2SP"),VLOOKUP(CONCATENATE(LEFT($V33,2),"L"),$R$63:$T$90,3,FALSE),0)-IF(AND($W$16=I$18,$W$14&lt;&gt;$W$15,$W$16=$W$17,RIGHT($W33,3)="2SP"),VLOOKUP(CONCATENATE(LEFT($W33,2),"L"),$R$63:$T$90,3,FALSE),0)-IF(AND($X$16=I$18,$X$14&lt;&gt;$X$15,$X$16=$X$17,RIGHT($X33,3)="2SP"),VLOOKUP(CONCATENATE(LEFT($X33,2),"L"),$R$63:$T$90,3,FALSE),0)-IF(AND($Y$16=I$18,$Y$14&lt;&gt;$Y$15,$Y$16=$Y$17,RIGHT($Y33,3)="2SP"),VLOOKUP(CONCATENATE(LEFT($Y33,2),"L"),$R$63:$T$90,3,FALSE),0),0),"")</f>
        <v/>
      </c>
      <c r="I33" s="271" t="str">
        <f>IF(I$18&lt;&gt;"",IF(VLOOKUP(CONCATENATE($A$18,"Line"),'Supply Attribution'!$F$31:$G$37,2,FALSE)=I$18,$A33,0)+IF(VLOOKUP(CONCATENATE($B$18,"Line"),'Supply Attribution'!$F$31:$G$37,2,FALSE)=I$18,$B33,0)+IF(VLOOKUP(CONCATENATE($C$18,"Line"),'Supply Attribution'!$F$31:$G$37,2,FALSE)=I$18,$C33,0)+IF(VLOOKUP(CONCATENATE($D$18,"Line"),'Supply Attribution'!$F$31:$G$37,2,FALSE)=I$18,$D33,0)+IF(VLOOKUP(CONCATENATE($E$18,"Line"),'Supply Attribution'!$F$31:$G$37,2,FALSE)=I$18,$E33,0)+IF(VLOOKUP(CONCATENATE($F$18,"Line"),'Supply Attribution'!$F$31:$G$37,2,FALSE)=I$18,$F33,0)+IF($K$6="UL",LEFT($S$90,2),0)-IF(AND($K$16=I$18,$K$14&lt;&gt;$K$15,$K$16=$K$17,RIGHT($K33,3)="2SP"),VLOOKUP(CONCATENATE(LEFT($K33,2),"L"),$R$63:$T$90,3,FALSE),0)-IF(AND($L$16=I$18,$L$14&lt;&gt;$L$15,$L$16=$L$17,RIGHT($L33,3)="2SP"),VLOOKUP(CONCATENATE(LEFT($L33,2),"L"),$R$63:$T$90,3,FALSE),0)-IF(AND($M$16=I$18,$M$14&lt;&gt;$M$15,$M$16=$M$17,RIGHT($M33,3)="2SP"),VLOOKUP(CONCATENATE(LEFT($M33,2),"L"),$R$63:$T$90,3,FALSE),0)-IF(AND($N$16=I$18,$N$14&lt;&gt;$N$15,$N$16=$N$17,RIGHT($N33,3)="2SP"),VLOOKUP(CONCATENATE(LEFT($N33,2),"L"),$R$63:$T$90,3,FALSE),0)-IF(AND($O$16=I$18,$O$14&lt;&gt;$O$15,$O$16=$O$17,RIGHT($O33,3)="2SP"),VLOOKUP(CONCATENATE(LEFT($O33,2),"L"),$R$63:$T$90,3,FALSE),0)-IF(AND($P$16=I$18,$P$14&lt;&gt;$P$15,$P$16=$P$17,RIGHT($P33,3)="2SP"),VLOOKUP(CONCATENATE(LEFT($P33,2),"L"),$R$63:$T$90,3,FALSE),0)-IF(AND($Q$16=I$18,$Q$14&lt;&gt;$Q$15,$Q$16=$Q$17,RIGHT($Q33,3)="2SP"),VLOOKUP(CONCATENATE(LEFT($Q33,2),"L"),$R$63:$T$90,3,FALSE),0)-IF(AND($T$16=I$18,$T$14&lt;&gt;$T$15,$T$16=$T$17,RIGHT($T33,3)="2SP"),VLOOKUP(CONCATENATE(LEFT($T33,2),"L"),$R$63:$T$90,3,FALSE),0)-IF(AND($U$16=I$18,$U$14&lt;&gt;$U$15,$U$16=$U$17,RIGHT($U33,3)="2SP"),VLOOKUP(CONCATENATE(LEFT($U33,2),"L"),$R$63:$T$90,3,FALSE),0)-IF(AND($V$16=I$18,$V$14&lt;&gt;$V$15,$V$16=$V$17,RIGHT($V33,3)="2SP"),VLOOKUP(CONCATENATE(LEFT($V33,2),"L"),$R$63:$T$90,3,FALSE),0)-IF(AND($W$16=I$18,$W$14&lt;&gt;$W$15,$W$16=$W$17,RIGHT($W33,3)="2SP"),VLOOKUP(CONCATENATE(LEFT($W33,2),"L"),$R$63:$T$90,3,FALSE),0)-IF(AND($X$16=I$18,$X$14&lt;&gt;$X$15,$X$16=$X$17,RIGHT($X33,3)="2SP"),VLOOKUP(CONCATENATE(LEFT($X33,2),"L"),$R$63:$T$90,3,FALSE),0)-IF(AND($Y$16=I$18,$Y$14&lt;&gt;$Y$15,$Y$16=$Y$17,RIGHT($Y33,3)="2SP"),VLOOKUP(CONCATENATE(LEFT($Y33,2),"L"),$R$63:$T$90,3,FALSE),0),"")</f>
        <v/>
      </c>
      <c r="J33" s="129"/>
      <c r="K33" s="130"/>
      <c r="L33" s="130"/>
      <c r="M33" s="130"/>
      <c r="N33" s="130"/>
      <c r="O33" s="130"/>
      <c r="P33" s="130"/>
      <c r="Q33" s="130"/>
      <c r="R33" s="130"/>
      <c r="S33" s="130"/>
      <c r="T33" s="130"/>
      <c r="U33" s="130"/>
      <c r="V33" s="130"/>
      <c r="W33" s="130"/>
      <c r="X33" s="130"/>
      <c r="Y33" s="130"/>
      <c r="Z33" s="131"/>
      <c r="AA33" s="131"/>
      <c r="AB33" s="132"/>
      <c r="AC33" s="132"/>
      <c r="AD33" s="132"/>
      <c r="AE33" s="133">
        <f t="shared" si="0"/>
        <v>0</v>
      </c>
      <c r="AF33" s="78"/>
    </row>
    <row r="34" spans="1:32">
      <c r="A34" s="270">
        <f>IF(AND($K34&lt;&gt;"",$K34&lt;&gt;"--",$K34&lt;&gt;"O3/CP",$K$14=A$18),IF(LEFT($K34,1)="P",VLOOKUP(CONCATENATE(LEFT($K34,2),"H"),$R$63:$T$91,3,FALSE),VLOOKUP($K34,$R$63:$T$91,3,FALSE)))+IF(AND($K34&lt;&gt;"",$K34&lt;&gt;"O3/CP",$K$15=A$18,MID($K34,4,1)="2",$K$15&lt;&gt;$K$14),VLOOKUP(CONCATENATE(LEFT($K34,2),"L"),$R$63:$T$91,3,FALSE),0)+IF(AND($K34="O3/CP",$K$14=A$18),VLOOKUP("O3",$R$63:$T$91,3,FALSE)+VLOOKUP("CP",$R$63:$T$91,3,FALSE),0)+IF(AND($L34&lt;&gt;"",$L34&lt;&gt;"--",$L34&lt;&gt;"O3/CP",$L$14=A$18),IF(LEFT($L34,1)="P",VLOOKUP(CONCATENATE(LEFT($L34,2),"H"),$R$63:$T$91,3,FALSE),VLOOKUP($L34,$R$63:$T$91,3,FALSE)))+IF(AND($L34&lt;&gt;"",$L34&lt;&gt;"O3/CP",$L$15=A$18,MID($L34,4,1)="2",$L$15&lt;&gt;$L$14),VLOOKUP(CONCATENATE(LEFT($L34,2),"L"),$R$63:$T$91,3,FALSE),0)+IF(AND($L34="O3/CP",$L$14=A$18),VLOOKUP("O3",$R$63:$T$91,3,FALSE)+VLOOKUP("CP",$R$63:$T$91,3,FALSE),0)+IF(AND($M34&lt;&gt;"",$M34&lt;&gt;"--",$M34&lt;&gt;"O3/CP",$M$14=A$18),IF(LEFT($M34,1)="P",VLOOKUP(CONCATENATE(LEFT($M34,2),"H"),$R$63:$T$91,3,FALSE),VLOOKUP($M34,$R$63:$T$91,3,FALSE)))+IF(AND($M34&lt;&gt;"",$M34&lt;&gt;"O3/CP",$M$15=A$18,MID($M34,4,1)="2",$M$15&lt;&gt;$M$14),VLOOKUP(CONCATENATE(LEFT($M34,2),"L"),$R$63:$T$91,3,FALSE),0)+IF(AND($M34="O3/CP",$M$14=A$18),VLOOKUP("O3",$R$63:$T$91,3,FALSE)+VLOOKUP("CP",$R$63:$T$91,3,FALSE),0)+IF(AND($N34&lt;&gt;"",$N34&lt;&gt;"--",$N34&lt;&gt;"O3/CP",$N$14=A$18),IF(LEFT($N34,1)="P",VLOOKUP(CONCATENATE(LEFT($N34,2),"H"),$R$63:$T$91,3,FALSE),VLOOKUP($N34,$R$63:$T$91,3,FALSE)))+IF(AND($N34&lt;&gt;"",$N34&lt;&gt;"O3/CP",$N$15=A$18,MID($N34,4,1)="2",$N$15&lt;&gt;$N$14),VLOOKUP(CONCATENATE(LEFT($N34,2),"L"),$R$63:$T$91,3,FALSE),0)+IF(AND($N34="O3/CP",$N$14=A$18),VLOOKUP("O3",$R$63:$T$91,3,FALSE)+VLOOKUP("CP",$R$63:$T$91,3,FALSE),0)+IF(AND($O34&lt;&gt;"",$O34&lt;&gt;"--",$O34&lt;&gt;"O3/CP",$O$14=A$18),IF(LEFT($O34,1)="P",VLOOKUP(CONCATENATE(LEFT($O34,2),"H"),$R$63:$T$91,3,FALSE),VLOOKUP($O34,$R$63:$T$91,3,FALSE)))+IF(AND($O34&lt;&gt;"",$O34&lt;&gt;"O3/CP",$O$15=A$18,MID($O34,4,1)="2",$O$15&lt;&gt;$O$14),VLOOKUP(CONCATENATE(LEFT($O34,2),"L"),$R$63:$T$91,3,FALSE),0)+IF(AND($O34="O3/CP",$O$14=A$18),VLOOKUP("O3",$R$63:$T$91,3,FALSE)+VLOOKUP("CP",$R$63:$T$91,3,FALSE),0)+IF(AND($P34&lt;&gt;"",$P34&lt;&gt;"--",$P34&lt;&gt;"O3/CP",$P$14=A$18),IF(LEFT($P34,1)="P",VLOOKUP(CONCATENATE(LEFT($P34,2),"H"),$R$63:$T$91,3,FALSE),VLOOKUP($P34,$R$63:$T$91,3,FALSE)))+IF(AND($P34&lt;&gt;"",$P34&lt;&gt;"O3/CP",$P$15=A$18,MID($P34,4,1)="2",$P$15&lt;&gt;$P$14),VLOOKUP(CONCATENATE(LEFT($P34,2),"L"),$R$63:$T$91,3,FALSE),0)+IF(AND($P34="O3/CP",$P$14=A$18),VLOOKUP("O3",$R$63:$T$91,3,FALSE)+VLOOKUP("CP",$R$63:$T$91,3,FALSE),0)+IF(AND($Q34&lt;&gt;"",$Q34&lt;&gt;"--",$Q34&lt;&gt;"O3/CP",$Q$14=A$18),IF(LEFT($Q34,1)="P",VLOOKUP(CONCATENATE(LEFT($Q34,2),"H"),$R$63:$T$91,3,FALSE),VLOOKUP($Q34,$R$63:$T$91,3,FALSE)))+IF(AND($Q34&lt;&gt;"",$Q34&lt;&gt;"O3/CP",$Q$15=A$18,MID($Q34,4,1)="2",$Q$15&lt;&gt;$Q$14),VLOOKUP(CONCATENATE(LEFT($Q34,2),"L"),$R$63:$T$91,3,FALSE),0)+IF(AND($Q34="O3/CP",$Q$14=A$18),VLOOKUP("O3",$R$63:$T$91,3,FALSE)+VLOOKUP("CP",$R$63:$T$91,3,FALSE),0)+IF(AND($R34&lt;&gt;"",$R34&lt;&gt;"--",$R34&lt;&gt;"O3/CP",$R$14=A$18),IF(LEFT($R34,1)="P",VLOOKUP(CONCATENATE(LEFT($R34,2),"H"),$R$63:$T$91,3,FALSE),VLOOKUP($R34,$R$63:$T$91,3,FALSE)))+IF(AND($R34&lt;&gt;"",$R34&lt;&gt;"O3/CP",$R$15=A$18,MID($R34,4,1)="2",$R$15&lt;&gt;$R$14),VLOOKUP(CONCATENATE(LEFT($R34,2),"L"),$R$63:$T$91,3,FALSE),0)+IF(AND($R34="O3/CP",$R$14=A$18),VLOOKUP("O3",$R$63:$T$91,3,FALSE)+VLOOKUP("CP",$R$63:$T$91,3,FALSE),0)+IF(AND($S34&lt;&gt;"",$S34&lt;&gt;"--",$S34&lt;&gt;"O3/CP",$S$14=A$18),IF(LEFT($S34,1)="P",VLOOKUP(CONCATENATE(LEFT($S34,2),"H"),$R$63:$T$91,3,FALSE),VLOOKUP($S34,$R$63:$T$91,3,FALSE)))+IF(AND($S34&lt;&gt;"",$S34&lt;&gt;"O3/CP",$S$15=A$18,MID($S34,4,1)="2",$S$15&lt;&gt;$S$14),VLOOKUP(CONCATENATE(LEFT($S34,2),"L"),$R$63:$T$91,3,FALSE),0)+IF(AND($S34="O3/CP",$S$14=A$18),VLOOKUP("O3",$R$63:$T$91,3,FALSE)+VLOOKUP("CP",$R$63:$T$91,3,FALSE),0)+IF(AND($T34&lt;&gt;"",$T34&lt;&gt;"--",$T34&lt;&gt;"O3/CP",$T$14=A$18),IF(LEFT($T34,1)="P",VLOOKUP(CONCATENATE(LEFT($T34,2),"H"),$R$63:$T$91,3,FALSE),VLOOKUP($T34,$R$63:$T$91,3,FALSE)))+IF(AND($T34&lt;&gt;"",$T34&lt;&gt;"O3/CP",$T$15=A$18,MID($T34,4,1)="2",$T$15&lt;&gt;$T$14),VLOOKUP(CONCATENATE(LEFT($T34,2),"L"),$R$63:$T$91,3,FALSE),0)+IF(AND($T34="O3/CP",$T$14=A$18),VLOOKUP("O3",$R$63:$T$91,3,FALSE)+VLOOKUP("CP",$R$63:$T$91,3,FALSE),0)+IF(AND($U34&lt;&gt;"",$U34&lt;&gt;"--",$U34&lt;&gt;"O3/CP",$U$14=A$18),IF(LEFT($U34,1)="P",VLOOKUP(CONCATENATE(LEFT($U34,2),"H"),$R$63:$T$91,3,FALSE),VLOOKUP($U34,$R$63:$T$91,3,FALSE)))+IF(AND($U34&lt;&gt;"",$U34&lt;&gt;"O3/CP",$U$15=A$18,MID($U34,4,1)="2",$U$15&lt;&gt;$U$14),VLOOKUP(CONCATENATE(LEFT($U34,2),"L"),$R$63:$T$91,3,FALSE),0)+IF(AND($U34="O3/CP",$T$14=A$18),VLOOKUP("O3",$R$63:$T$91,3,FALSE)+VLOOKUP("CP",$R$63:$T$91,3,FALSE),0)+IF(AND($V34&lt;&gt;"",$V34&lt;&gt;"--",$V34&lt;&gt;"O3/CP",$V$14=A$18),IF(LEFT($V34,1)="P",VLOOKUP(CONCATENATE(LEFT($V34,2),"H"),$R$63:$T$91,3,FALSE),VLOOKUP($V34,$R$63:$T$91,3,FALSE)))+IF(AND($V34&lt;&gt;"",$V34&lt;&gt;"O3/CP",$V$15=A$18,MID($V34,4,1)="2",$V$15&lt;&gt;$V$14),VLOOKUP(CONCATENATE(LEFT($V34,2),"L"),$R$63:$T$91,3,FALSE),0)+IF(AND($V34="O3/CP",$V$14=A$18),VLOOKUP("O3",$R$63:$T$91,3,FALSE)+VLOOKUP("CP",$R$63:$T$91,3,FALSE),0)+IF(AND($W34&lt;&gt;"",$W34&lt;&gt;"--",$W34&lt;&gt;"O3/CP",$W$14=A$18),IF(LEFT($W34,1)="P",VLOOKUP(CONCATENATE(LEFT($W34,2),"H"),$R$63:$T$91,3,FALSE),VLOOKUP($W34,$R$63:$T$91,3,FALSE)))+IF(AND($W34&lt;&gt;"",$W34&lt;&gt;"O3/CP",$W$15=A$18,MID($W34,4,1)="2",$W$15&lt;&gt;$W$14),VLOOKUP(CONCATENATE(LEFT($W34,2),"L"),$R$63:$T$91,3,FALSE),0)+IF(AND($W34="O3/CP",$W$14=A$18),VLOOKUP("O3",$R$63:$T$91,3,FALSE)+VLOOKUP("CP",$R$63:$T$91,3,FALSE),0)+IF(AND($X34&lt;&gt;"",$X34&lt;&gt;"--",$X34&lt;&gt;"O3/CP",$X$14=A$18),IF(LEFT($X34,1)="P",VLOOKUP(CONCATENATE(LEFT($X34,2),"H"),$R$63:$T$91,3,FALSE),VLOOKUP($X34,$R$63:$T$91,3,FALSE)))+IF(AND($X34&lt;&gt;"",$X34&lt;&gt;"O3/CP",$X$15=A$18,MID($X34,4,1)="2",$X$15&lt;&gt;$X$14),VLOOKUP(CONCATENATE(LEFT($X34,2),"L"),$R$63:$T$91,3,FALSE),0)+IF(AND($X34="O3/CP",$X$14=A$18),VLOOKUP("O3",$R$63:$T$91,3,FALSE)+VLOOKUP("CP",$R$63:$T$91,3,FALSE),0)+IF(AND($Y34&lt;&gt;"",$Y34&lt;&gt;"--",$Y34&lt;&gt;"O3/CP",$Y$14=A$18),IF(LEFT($Y34,1)="P",VLOOKUP(CONCATENATE(LEFT($Y34,2),"H"),$R$63:$T$91,3,FALSE),VLOOKUP($Y34,$R$63:$T$91,3,FALSE)))+IF(AND($Y34&lt;&gt;"",$Y34&lt;&gt;"O3/CP",$Y$15=A$18,MID($Y34,4,1)="2",$Y$15&lt;&gt;$Y$14),VLOOKUP(CONCATENATE(LEFT($Y34,2),"L"),$R$63:$T$91,3,FALSE),0)+IF(AND($Y34="O3/CP",$Y$14=A$18),VLOOKUP("O3",$R$63:$T$91,3,FALSE)+VLOOKUP("CP",$R$63:$T$91,3,FALSE),0)+IF(AND($K$6="CE",'[3]Supply Attribution'!$G$20=A$18),LEFT($S$90,2),0)+IF(AND($X$86&lt;&gt;"Not Set",$X$87=A$18),$X$86,0)</f>
        <v>13</v>
      </c>
      <c r="B34" s="269">
        <f>IF(AND($K34&lt;&gt;"",$K34&lt;&gt;"--",$K34&lt;&gt;"O3/CP",$K$14=B$18),IF(LEFT($K34,1)="P",VLOOKUP(CONCATENATE(LEFT($K34,2),"H"),$R$63:$T$91,3,FALSE),VLOOKUP($K34,$R$63:$T$91,3,FALSE)))+IF(AND($K34&lt;&gt;"",$K34&lt;&gt;"O3/CP",$K$15=B$18,MID($K34,4,1)="2",$K$15&lt;&gt;$K$14),VLOOKUP(CONCATENATE(LEFT($K34,2),"L"),$R$63:$T$91,3,FALSE),0)+IF(AND($K34="O3/CP",$K$14=B$18),VLOOKUP("O3",$R$63:$T$91,3,FALSE)+VLOOKUP("CP",$R$63:$T$91,3,FALSE),0)+IF(AND($L34&lt;&gt;"",$L34&lt;&gt;"--",$L34&lt;&gt;"O3/CP",$L$14=B$18),IF(LEFT($L34,1)="P",VLOOKUP(CONCATENATE(LEFT($L34,2),"H"),$R$63:$T$91,3,FALSE),VLOOKUP($L34,$R$63:$T$91,3,FALSE)))+IF(AND($L34&lt;&gt;"",$L34&lt;&gt;"O3/CP",$L$15=B$18,MID($L34,4,1)="2",$L$15&lt;&gt;$L$14),VLOOKUP(CONCATENATE(LEFT($L34,2),"L"),$R$63:$T$91,3,FALSE),0)+IF(AND($L34="O3/CP",$L$14=B$18),VLOOKUP("O3",$R$63:$T$91,3,FALSE)+VLOOKUP("CP",$R$63:$T$91,3,FALSE),0)+IF(AND($M34&lt;&gt;"",$M34&lt;&gt;"--",$M34&lt;&gt;"O3/CP",$M$14=B$18),IF(LEFT($M34,1)="P",VLOOKUP(CONCATENATE(LEFT($M34,2),"H"),$R$63:$T$91,3,FALSE),VLOOKUP($M34,$R$63:$T$91,3,FALSE)))+IF(AND($M34&lt;&gt;"",$M34&lt;&gt;"O3/CP",$M$15=B$18,MID($M34,4,1)="2",$M$15&lt;&gt;$M$14),VLOOKUP(CONCATENATE(LEFT($M34,2),"L"),$R$63:$T$91,3,FALSE),0)+IF(AND($M34="O3/CP",$M$14=B$18),VLOOKUP("O3",$R$63:$T$91,3,FALSE)+VLOOKUP("CP",$R$63:$T$91,3,FALSE),0)+IF(AND($N34&lt;&gt;"",$N34&lt;&gt;"--",$N34&lt;&gt;"O3/CP",$N$14=B$18),IF(LEFT($N34,1)="P",VLOOKUP(CONCATENATE(LEFT($N34,2),"H"),$R$63:$T$91,3,FALSE),VLOOKUP($N34,$R$63:$T$91,3,FALSE)))+IF(AND($N34&lt;&gt;"",$N34&lt;&gt;"O3/CP",$N$15=B$18,MID($N34,4,1)="2",$N$15&lt;&gt;$N$14),VLOOKUP(CONCATENATE(LEFT($N34,2),"L"),$R$63:$T$91,3,FALSE),0)+IF(AND($N34="O3/CP",$N$14=B$18),VLOOKUP("O3",$R$63:$T$91,3,FALSE)+VLOOKUP("CP",$R$63:$T$91,3,FALSE),0)+IF(AND($O34&lt;&gt;"",$O34&lt;&gt;"--",$O34&lt;&gt;"O3/CP",$O$14=B$18),IF(LEFT($O34,1)="P",VLOOKUP(CONCATENATE(LEFT($O34,2),"H"),$R$63:$T$91,3,FALSE),VLOOKUP($O34,$R$63:$T$91,3,FALSE)))+IF(AND($O34&lt;&gt;"",$O34&lt;&gt;"O3/CP",$O$15=B$18,MID($O34,4,1)="2",$O$15&lt;&gt;$O$14),VLOOKUP(CONCATENATE(LEFT($O34,2),"L"),$R$63:$T$91,3,FALSE),0)+IF(AND($O34="O3/CP",$O$14=B$18),VLOOKUP("O3",$R$63:$T$91,3,FALSE)+VLOOKUP("CP",$R$63:$T$91,3,FALSE),0)+IF(AND($P34&lt;&gt;"",$P34&lt;&gt;"--",$P34&lt;&gt;"O3/CP",$P$14=B$18),IF(LEFT($P34,1)="P",VLOOKUP(CONCATENATE(LEFT($P34,2),"H"),$R$63:$T$91,3,FALSE),VLOOKUP($P34,$R$63:$T$91,3,FALSE)))+IF(AND($P34&lt;&gt;"",$P34&lt;&gt;"O3/CP",$P$15=B$18,MID($P34,4,1)="2",$P$15&lt;&gt;$P$14),VLOOKUP(CONCATENATE(LEFT($P34,2),"L"),$R$63:$T$91,3,FALSE),0)+IF(AND($P34="O3/CP",$P$14=B$18),VLOOKUP("O3",$R$63:$T$91,3,FALSE)+VLOOKUP("CP",$R$63:$T$91,3,FALSE),0)+IF(AND($Q34&lt;&gt;"",$Q34&lt;&gt;"--",$Q34&lt;&gt;"O3/CP",$Q$14=B$18),IF(LEFT($Q34,1)="P",VLOOKUP(CONCATENATE(LEFT($Q34,2),"H"),$R$63:$T$91,3,FALSE),VLOOKUP($Q34,$R$63:$T$91,3,FALSE)))+IF(AND($Q34&lt;&gt;"",$Q34&lt;&gt;"O3/CP",$Q$15=B$18,MID($Q34,4,1)="2",$Q$15&lt;&gt;$Q$14),VLOOKUP(CONCATENATE(LEFT($Q34,2),"L"),$R$63:$T$91,3,FALSE),0)+IF(AND($Q34="O3/CP",$Q$14=B$18),VLOOKUP("O3",$R$63:$T$91,3,FALSE)+VLOOKUP("CP",$R$63:$T$91,3,FALSE),0)+IF(AND($R34&lt;&gt;"",$R34&lt;&gt;"--",$R34&lt;&gt;"O3/CP",$R$14=B$18),IF(LEFT($R34,1)="P",VLOOKUP(CONCATENATE(LEFT($R34,2),"H"),$R$63:$T$91,3,FALSE),VLOOKUP($R34,$R$63:$T$91,3,FALSE)))+IF(AND($R34&lt;&gt;"",$R34&lt;&gt;"O3/CP",$R$15=B$18,MID($R34,4,1)="2",$R$15&lt;&gt;$R$14),VLOOKUP(CONCATENATE(LEFT($R34,2),"L"),$R$63:$T$91,3,FALSE),0)+IF(AND($R34="O3/CP",$R$14=B$18),VLOOKUP("O3",$R$63:$T$91,3,FALSE)+VLOOKUP("CP",$R$63:$T$91,3,FALSE),0)+IF(AND($S34&lt;&gt;"",$S34&lt;&gt;"--",$S34&lt;&gt;"O3/CP",$S$14=B$18),IF(LEFT($S34,1)="P",VLOOKUP(CONCATENATE(LEFT($S34,2),"H"),$R$63:$T$91,3,FALSE),VLOOKUP($S34,$R$63:$T$91,3,FALSE)))+IF(AND($S34&lt;&gt;"",$S34&lt;&gt;"O3/CP",$S$15=B$18,MID($S34,4,1)="2",$S$15&lt;&gt;$S$14),VLOOKUP(CONCATENATE(LEFT($S34,2),"L"),$R$63:$T$91,3,FALSE),0)+IF(AND($S34="O3/CP",$S$14=B$18),VLOOKUP("O3",$R$63:$T$91,3,FALSE)+VLOOKUP("CP",$R$63:$T$91,3,FALSE),0)+IF(AND($T34&lt;&gt;"",$T34&lt;&gt;"--",$T34&lt;&gt;"O3/CP",$T$14=B$18),IF(LEFT($T34,1)="P",VLOOKUP(CONCATENATE(LEFT($T34,2),"H"),$R$63:$T$91,3,FALSE),VLOOKUP($T34,$R$63:$T$91,3,FALSE)))+IF(AND($T34&lt;&gt;"",$T34&lt;&gt;"O3/CP",$T$15=B$18,MID($T34,4,1)="2",$T$15&lt;&gt;$T$14),VLOOKUP(CONCATENATE(LEFT($T34,2),"L"),$R$63:$T$91,3,FALSE),0)+IF(AND($T34="O3/CP",$T$14=B$18),VLOOKUP("O3",$R$63:$T$91,3,FALSE)+VLOOKUP("CP",$R$63:$T$91,3,FALSE),0)+IF(AND($U34&lt;&gt;"",$U34&lt;&gt;"--",$U34&lt;&gt;"O3/CP",$U$14=B$18),IF(LEFT($U34,1)="P",VLOOKUP(CONCATENATE(LEFT($U34,2),"H"),$R$63:$T$91,3,FALSE),VLOOKUP($U34,$R$63:$T$91,3,FALSE)))+IF(AND($U34&lt;&gt;"",$U34&lt;&gt;"O3/CP",$U$15=B$18,MID($U34,4,1)="2",$U$15&lt;&gt;$U$14),VLOOKUP(CONCATENATE(LEFT($U34,2),"L"),$R$63:$T$91,3,FALSE),0)+IF(AND($U34="O3/CP",$T$14=B$18),VLOOKUP("O3",$R$63:$T$91,3,FALSE)+VLOOKUP("CP",$R$63:$T$91,3,FALSE),0)+IF(AND($V34&lt;&gt;"",$V34&lt;&gt;"--",$V34&lt;&gt;"O3/CP",$V$14=B$18),IF(LEFT($V34,1)="P",VLOOKUP(CONCATENATE(LEFT($V34,2),"H"),$R$63:$T$91,3,FALSE),VLOOKUP($V34,$R$63:$T$91,3,FALSE)))+IF(AND($V34&lt;&gt;"",$V34&lt;&gt;"O3/CP",$V$15=B$18,MID($V34,4,1)="2",$V$15&lt;&gt;$V$14),VLOOKUP(CONCATENATE(LEFT($V34,2),"L"),$R$63:$T$91,3,FALSE),0)+IF(AND($V34="O3/CP",$V$14=B$18),VLOOKUP("O3",$R$63:$T$91,3,FALSE)+VLOOKUP("CP",$R$63:$T$91,3,FALSE),0)+IF(AND($W34&lt;&gt;"",$W34&lt;&gt;"--",$W34&lt;&gt;"O3/CP",$W$14=B$18),IF(LEFT($W34,1)="P",VLOOKUP(CONCATENATE(LEFT($W34,2),"H"),$R$63:$T$91,3,FALSE),VLOOKUP($W34,$R$63:$T$91,3,FALSE)))+IF(AND($W34&lt;&gt;"",$W34&lt;&gt;"O3/CP",$W$15=B$18,MID($W34,4,1)="2",$W$15&lt;&gt;$W$14),VLOOKUP(CONCATENATE(LEFT($W34,2),"L"),$R$63:$T$91,3,FALSE),0)+IF(AND($W34="O3/CP",$W$14=B$18),VLOOKUP("O3",$R$63:$T$91,3,FALSE)+VLOOKUP("CP",$R$63:$T$91,3,FALSE),0)+IF(AND($X34&lt;&gt;"",$X34&lt;&gt;"--",$X34&lt;&gt;"O3/CP",$X$14=B$18),IF(LEFT($X34,1)="P",VLOOKUP(CONCATENATE(LEFT($X34,2),"H"),$R$63:$T$91,3,FALSE),VLOOKUP($X34,$R$63:$T$91,3,FALSE)))+IF(AND($X34&lt;&gt;"",$X34&lt;&gt;"O3/CP",$X$15=B$18,MID($X34,4,1)="2",$X$15&lt;&gt;$X$14),VLOOKUP(CONCATENATE(LEFT($X34,2),"L"),$R$63:$T$91,3,FALSE),0)+IF(AND($X34="O3/CP",$X$14=B$18),VLOOKUP("O3",$R$63:$T$91,3,FALSE)+VLOOKUP("CP",$R$63:$T$91,3,FALSE),0)+IF(AND($Y34&lt;&gt;"",$Y34&lt;&gt;"--",$Y34&lt;&gt;"O3/CP",$Y$14=B$18),IF(LEFT($Y34,1)="P",VLOOKUP(CONCATENATE(LEFT($Y34,2),"H"),$R$63:$T$91,3,FALSE),VLOOKUP($Y34,$R$63:$T$91,3,FALSE)))+IF(AND($Y34&lt;&gt;"",$Y34&lt;&gt;"O3/CP",$Y$15=B$18,MID($Y34,4,1)="2",$Y$15&lt;&gt;$Y$14),VLOOKUP(CONCATENATE(LEFT($Y34,2),"L"),$R$63:$T$91,3,FALSE),0)+IF(AND($Y34="O3/CP",$Y$14=B$18),VLOOKUP("O3",$R$63:$T$91,3,FALSE)+VLOOKUP("CP",$R$63:$T$91,3,FALSE),0)+IF(AND($K$6="CE",'[3]Supply Attribution'!$G$20=B$18),LEFT($S$90,2),0)+IF(AND($X$86&lt;&gt;"Not Set",$X$87=B$18),$X$86,0)</f>
        <v>6</v>
      </c>
      <c r="C34" s="269">
        <f>IF(AND($K34&lt;&gt;"",$K34&lt;&gt;"--",$K34&lt;&gt;"O3/CP",$K$14=C$18),IF(LEFT($K34,1)="P",VLOOKUP(CONCATENATE(LEFT($K34,2),"H"),$R$63:$T$91,3,FALSE),VLOOKUP($K34,$R$63:$T$91,3,FALSE)))+IF(AND($K34&lt;&gt;"",$K34&lt;&gt;"O3/CP",$K$15=C$18,MID($K34,4,1)="2",$K$15&lt;&gt;$K$14),VLOOKUP(CONCATENATE(LEFT($K34,2),"L"),$R$63:$T$91,3,FALSE),0)+IF(AND($K34="O3/CP",$K$14=C$18),VLOOKUP("O3",$R$63:$T$91,3,FALSE)+VLOOKUP("CP",$R$63:$T$91,3,FALSE),0)+IF(AND($L34&lt;&gt;"",$L34&lt;&gt;"--",$L34&lt;&gt;"O3/CP",$L$14=C$18),IF(LEFT($L34,1)="P",VLOOKUP(CONCATENATE(LEFT($L34,2),"H"),$R$63:$T$91,3,FALSE),VLOOKUP($L34,$R$63:$T$91,3,FALSE)))+IF(AND($L34&lt;&gt;"",$L34&lt;&gt;"O3/CP",$L$15=C$18,MID($L34,4,1)="2",$L$15&lt;&gt;$L$14),VLOOKUP(CONCATENATE(LEFT($L34,2),"L"),$R$63:$T$91,3,FALSE),0)+IF(AND($L34="O3/CP",$L$14=C$18),VLOOKUP("O3",$R$63:$T$91,3,FALSE)+VLOOKUP("CP",$R$63:$T$91,3,FALSE),0)+IF(AND($M34&lt;&gt;"",$M34&lt;&gt;"--",$M34&lt;&gt;"O3/CP",$M$14=C$18),IF(LEFT($M34,1)="P",VLOOKUP(CONCATENATE(LEFT($M34,2),"H"),$R$63:$T$91,3,FALSE),VLOOKUP($M34,$R$63:$T$91,3,FALSE)))+IF(AND($M34&lt;&gt;"",$M34&lt;&gt;"O3/CP",$M$15=C$18,MID($M34,4,1)="2",$M$15&lt;&gt;$M$14),VLOOKUP(CONCATENATE(LEFT($M34,2),"L"),$R$63:$T$91,3,FALSE),0)+IF(AND($M34="O3/CP",$M$14=C$18),VLOOKUP("O3",$R$63:$T$91,3,FALSE)+VLOOKUP("CP",$R$63:$T$91,3,FALSE),0)+IF(AND($N34&lt;&gt;"",$N34&lt;&gt;"--",$N34&lt;&gt;"O3/CP",$N$14=C$18),IF(LEFT($N34,1)="P",VLOOKUP(CONCATENATE(LEFT($N34,2),"H"),$R$63:$T$91,3,FALSE),VLOOKUP($N34,$R$63:$T$91,3,FALSE)))+IF(AND($N34&lt;&gt;"",$N34&lt;&gt;"O3/CP",$N$15=C$18,MID($N34,4,1)="2",$N$15&lt;&gt;$N$14),VLOOKUP(CONCATENATE(LEFT($N34,2),"L"),$R$63:$T$91,3,FALSE),0)+IF(AND($N34="O3/CP",$N$14=C$18),VLOOKUP("O3",$R$63:$T$91,3,FALSE)+VLOOKUP("CP",$R$63:$T$91,3,FALSE),0)+IF(AND($O34&lt;&gt;"",$O34&lt;&gt;"--",$O34&lt;&gt;"O3/CP",$O$14=C$18),IF(LEFT($O34,1)="P",VLOOKUP(CONCATENATE(LEFT($O34,2),"H"),$R$63:$T$91,3,FALSE),VLOOKUP($O34,$R$63:$T$91,3,FALSE)))+IF(AND($O34&lt;&gt;"",$O34&lt;&gt;"O3/CP",$O$15=C$18,MID($O34,4,1)="2",$O$15&lt;&gt;$O$14),VLOOKUP(CONCATENATE(LEFT($O34,2),"L"),$R$63:$T$91,3,FALSE),0)+IF(AND($O34="O3/CP",$O$14=C$18),VLOOKUP("O3",$R$63:$T$91,3,FALSE)+VLOOKUP("CP",$R$63:$T$91,3,FALSE),0)+IF(AND($P34&lt;&gt;"",$P34&lt;&gt;"--",$P34&lt;&gt;"O3/CP",$P$14=C$18),IF(LEFT($P34,1)="P",VLOOKUP(CONCATENATE(LEFT($P34,2),"H"),$R$63:$T$91,3,FALSE),VLOOKUP($P34,$R$63:$T$91,3,FALSE)))+IF(AND($P34&lt;&gt;"",$P34&lt;&gt;"O3/CP",$P$15=C$18,MID($P34,4,1)="2",$P$15&lt;&gt;$P$14),VLOOKUP(CONCATENATE(LEFT($P34,2),"L"),$R$63:$T$91,3,FALSE),0)+IF(AND($P34="O3/CP",$P$14=C$18),VLOOKUP("O3",$R$63:$T$91,3,FALSE)+VLOOKUP("CP",$R$63:$T$91,3,FALSE),0)+IF(AND($Q34&lt;&gt;"",$Q34&lt;&gt;"--",$Q34&lt;&gt;"O3/CP",$Q$14=C$18),IF(LEFT($Q34,1)="P",VLOOKUP(CONCATENATE(LEFT($Q34,2),"H"),$R$63:$T$91,3,FALSE),VLOOKUP($Q34,$R$63:$T$91,3,FALSE)))+IF(AND($Q34&lt;&gt;"",$Q34&lt;&gt;"O3/CP",$Q$15=C$18,MID($Q34,4,1)="2",$Q$15&lt;&gt;$Q$14),VLOOKUP(CONCATENATE(LEFT($Q34,2),"L"),$R$63:$T$91,3,FALSE),0)+IF(AND($Q34="O3/CP",$Q$14=C$18),VLOOKUP("O3",$R$63:$T$91,3,FALSE)+VLOOKUP("CP",$R$63:$T$91,3,FALSE),0)+IF(AND($R34&lt;&gt;"",$R34&lt;&gt;"--",$R34&lt;&gt;"O3/CP",$R$14=C$18),IF(LEFT($R34,1)="P",VLOOKUP(CONCATENATE(LEFT($R34,2),"H"),$R$63:$T$91,3,FALSE),VLOOKUP($R34,$R$63:$T$91,3,FALSE)))+IF(AND($R34&lt;&gt;"",$R34&lt;&gt;"O3/CP",$R$15=C$18,MID($R34,4,1)="2",$R$15&lt;&gt;$R$14),VLOOKUP(CONCATENATE(LEFT($R34,2),"L"),$R$63:$T$91,3,FALSE),0)+IF(AND($R34="O3/CP",$R$14=C$18),VLOOKUP("O3",$R$63:$T$91,3,FALSE)+VLOOKUP("CP",$R$63:$T$91,3,FALSE),0)+IF(AND($S34&lt;&gt;"",$S34&lt;&gt;"--",$S34&lt;&gt;"O3/CP",$S$14=C$18),IF(LEFT($S34,1)="P",VLOOKUP(CONCATENATE(LEFT($S34,2),"H"),$R$63:$T$91,3,FALSE),VLOOKUP($S34,$R$63:$T$91,3,FALSE)))+IF(AND($S34&lt;&gt;"",$S34&lt;&gt;"O3/CP",$S$15=C$18,MID($S34,4,1)="2",$S$15&lt;&gt;$S$14),VLOOKUP(CONCATENATE(LEFT($S34,2),"L"),$R$63:$T$91,3,FALSE),0)+IF(AND($S34="O3/CP",$S$14=C$18),VLOOKUP("O3",$R$63:$T$91,3,FALSE)+VLOOKUP("CP",$R$63:$T$91,3,FALSE),0)+IF(AND($T34&lt;&gt;"",$T34&lt;&gt;"--",$T34&lt;&gt;"O3/CP",$T$14=C$18),IF(LEFT($T34,1)="P",VLOOKUP(CONCATENATE(LEFT($T34,2),"H"),$R$63:$T$91,3,FALSE),VLOOKUP($T34,$R$63:$T$91,3,FALSE)))+IF(AND($T34&lt;&gt;"",$T34&lt;&gt;"O3/CP",$T$15=C$18,MID($T34,4,1)="2",$T$15&lt;&gt;$T$14),VLOOKUP(CONCATENATE(LEFT($T34,2),"L"),$R$63:$T$91,3,FALSE),0)+IF(AND($T34="O3/CP",$T$14=C$18),VLOOKUP("O3",$R$63:$T$91,3,FALSE)+VLOOKUP("CP",$R$63:$T$91,3,FALSE),0)+IF(AND($U34&lt;&gt;"",$U34&lt;&gt;"--",$U34&lt;&gt;"O3/CP",$U$14=C$18),IF(LEFT($U34,1)="P",VLOOKUP(CONCATENATE(LEFT($U34,2),"H"),$R$63:$T$91,3,FALSE),VLOOKUP($U34,$R$63:$T$91,3,FALSE)))+IF(AND($U34&lt;&gt;"",$U34&lt;&gt;"O3/CP",$U$15=C$18,MID($U34,4,1)="2",$U$15&lt;&gt;$U$14),VLOOKUP(CONCATENATE(LEFT($U34,2),"L"),$R$63:$T$91,3,FALSE),0)+IF(AND($U34="O3/CP",$T$14=C$18),VLOOKUP("O3",$R$63:$T$91,3,FALSE)+VLOOKUP("CP",$R$63:$T$91,3,FALSE),0)+IF(AND($V34&lt;&gt;"",$V34&lt;&gt;"--",$V34&lt;&gt;"O3/CP",$V$14=C$18),IF(LEFT($V34,1)="P",VLOOKUP(CONCATENATE(LEFT($V34,2),"H"),$R$63:$T$91,3,FALSE),VLOOKUP($V34,$R$63:$T$91,3,FALSE)))+IF(AND($V34&lt;&gt;"",$V34&lt;&gt;"O3/CP",$V$15=C$18,MID($V34,4,1)="2",$V$15&lt;&gt;$V$14),VLOOKUP(CONCATENATE(LEFT($V34,2),"L"),$R$63:$T$91,3,FALSE),0)+IF(AND($V34="O3/CP",$V$14=C$18),VLOOKUP("O3",$R$63:$T$91,3,FALSE)+VLOOKUP("CP",$R$63:$T$91,3,FALSE),0)+IF(AND($W34&lt;&gt;"",$W34&lt;&gt;"--",$W34&lt;&gt;"O3/CP",$W$14=C$18),IF(LEFT($W34,1)="P",VLOOKUP(CONCATENATE(LEFT($W34,2),"H"),$R$63:$T$91,3,FALSE),VLOOKUP($W34,$R$63:$T$91,3,FALSE)))+IF(AND($W34&lt;&gt;"",$W34&lt;&gt;"O3/CP",$W$15=C$18,MID($W34,4,1)="2",$W$15&lt;&gt;$W$14),VLOOKUP(CONCATENATE(LEFT($W34,2),"L"),$R$63:$T$91,3,FALSE),0)+IF(AND($W34="O3/CP",$W$14=C$18),VLOOKUP("O3",$R$63:$T$91,3,FALSE)+VLOOKUP("CP",$R$63:$T$91,3,FALSE),0)+IF(AND($X34&lt;&gt;"",$X34&lt;&gt;"--",$X34&lt;&gt;"O3/CP",$X$14=C$18),IF(LEFT($X34,1)="P",VLOOKUP(CONCATENATE(LEFT($X34,2),"H"),$R$63:$T$91,3,FALSE),VLOOKUP($X34,$R$63:$T$91,3,FALSE)))+IF(AND($X34&lt;&gt;"",$X34&lt;&gt;"O3/CP",$X$15=C$18,MID($X34,4,1)="2",$X$15&lt;&gt;$X$14),VLOOKUP(CONCATENATE(LEFT($X34,2),"L"),$R$63:$T$91,3,FALSE),0)+IF(AND($X34="O3/CP",$X$14=C$18),VLOOKUP("O3",$R$63:$T$91,3,FALSE)+VLOOKUP("CP",$R$63:$T$91,3,FALSE),0)+IF(AND($Y34&lt;&gt;"",$Y34&lt;&gt;"--",$Y34&lt;&gt;"O3/CP",$Y$14=C$18),IF(LEFT($Y34,1)="P",VLOOKUP(CONCATENATE(LEFT($Y34,2),"H"),$R$63:$T$91,3,FALSE),VLOOKUP($Y34,$R$63:$T$91,3,FALSE)))+IF(AND($Y34&lt;&gt;"",$Y34&lt;&gt;"O3/CP",$Y$15=C$18,MID($Y34,4,1)="2",$Y$15&lt;&gt;$Y$14),VLOOKUP(CONCATENATE(LEFT($Y34,2),"L"),$R$63:$T$91,3,FALSE),0)+IF(AND($Y34="O3/CP",$Y$14=C$18),VLOOKUP("O3",$R$63:$T$91,3,FALSE)+VLOOKUP("CP",$R$63:$T$91,3,FALSE),0)+IF(AND($K$6="CE",'[3]Supply Attribution'!$G$20=C$18),LEFT($S$90,2),0)+IF(AND($X$86&lt;&gt;"Not Set",$X$87=C$18),$X$86,0)</f>
        <v>12</v>
      </c>
      <c r="D34" s="269">
        <f>IF(AND($K34&lt;&gt;"",$K34&lt;&gt;"--",$K34&lt;&gt;"O3/CP",$K$14=D$18),IF(LEFT($K34,1)="P",VLOOKUP(CONCATENATE(LEFT($K34,2),"H"),$R$63:$T$91,3,FALSE),VLOOKUP($K34,$R$63:$T$91,3,FALSE)))+IF(AND($K34&lt;&gt;"",$K34&lt;&gt;"O3/CP",$K$15=D$18,MID($K34,4,1)="2",$K$15&lt;&gt;$K$14),VLOOKUP(CONCATENATE(LEFT($K34,2),"L"),$R$63:$T$91,3,FALSE),0)+IF(AND($K34="O3/CP",$K$14=D$18),VLOOKUP("O3",$R$63:$T$91,3,FALSE)+VLOOKUP("CP",$R$63:$T$91,3,FALSE),0)+IF(AND($L34&lt;&gt;"",$L34&lt;&gt;"--",$L34&lt;&gt;"O3/CP",$L$14=D$18),IF(LEFT($L34,1)="P",VLOOKUP(CONCATENATE(LEFT($L34,2),"H"),$R$63:$T$91,3,FALSE),VLOOKUP($L34,$R$63:$T$91,3,FALSE)))+IF(AND($L34&lt;&gt;"",$L34&lt;&gt;"O3/CP",$L$15=D$18,MID($L34,4,1)="2",$L$15&lt;&gt;$L$14),VLOOKUP(CONCATENATE(LEFT($L34,2),"L"),$R$63:$T$91,3,FALSE),0)+IF(AND($L34="O3/CP",$L$14=D$18),VLOOKUP("O3",$R$63:$T$91,3,FALSE)+VLOOKUP("CP",$R$63:$T$91,3,FALSE),0)+IF(AND($M34&lt;&gt;"",$M34&lt;&gt;"--",$M34&lt;&gt;"O3/CP",$M$14=D$18),IF(LEFT($M34,1)="P",VLOOKUP(CONCATENATE(LEFT($M34,2),"H"),$R$63:$T$91,3,FALSE),VLOOKUP($M34,$R$63:$T$91,3,FALSE)))+IF(AND($M34&lt;&gt;"",$M34&lt;&gt;"O3/CP",$M$15=D$18,MID($M34,4,1)="2",$M$15&lt;&gt;$M$14),VLOOKUP(CONCATENATE(LEFT($M34,2),"L"),$R$63:$T$91,3,FALSE),0)+IF(AND($M34="O3/CP",$M$14=D$18),VLOOKUP("O3",$R$63:$T$91,3,FALSE)+VLOOKUP("CP",$R$63:$T$91,3,FALSE),0)+IF(AND($N34&lt;&gt;"",$N34&lt;&gt;"--",$N34&lt;&gt;"O3/CP",$N$14=D$18),IF(LEFT($N34,1)="P",VLOOKUP(CONCATENATE(LEFT($N34,2),"H"),$R$63:$T$91,3,FALSE),VLOOKUP($N34,$R$63:$T$91,3,FALSE)))+IF(AND($N34&lt;&gt;"",$N34&lt;&gt;"O3/CP",$N$15=D$18,MID($N34,4,1)="2",$N$15&lt;&gt;$N$14),VLOOKUP(CONCATENATE(LEFT($N34,2),"L"),$R$63:$T$91,3,FALSE),0)+IF(AND($N34="O3/CP",$N$14=D$18),VLOOKUP("O3",$R$63:$T$91,3,FALSE)+VLOOKUP("CP",$R$63:$T$91,3,FALSE),0)+IF(AND($O34&lt;&gt;"",$O34&lt;&gt;"--",$O34&lt;&gt;"O3/CP",$O$14=D$18),IF(LEFT($O34,1)="P",VLOOKUP(CONCATENATE(LEFT($O34,2),"H"),$R$63:$T$91,3,FALSE),VLOOKUP($O34,$R$63:$T$91,3,FALSE)))+IF(AND($O34&lt;&gt;"",$O34&lt;&gt;"O3/CP",$O$15=D$18,MID($O34,4,1)="2",$O$15&lt;&gt;$O$14),VLOOKUP(CONCATENATE(LEFT($O34,2),"L"),$R$63:$T$91,3,FALSE),0)+IF(AND($O34="O3/CP",$O$14=D$18),VLOOKUP("O3",$R$63:$T$91,3,FALSE)+VLOOKUP("CP",$R$63:$T$91,3,FALSE),0)+IF(AND($P34&lt;&gt;"",$P34&lt;&gt;"--",$P34&lt;&gt;"O3/CP",$P$14=D$18),IF(LEFT($P34,1)="P",VLOOKUP(CONCATENATE(LEFT($P34,2),"H"),$R$63:$T$91,3,FALSE),VLOOKUP($P34,$R$63:$T$91,3,FALSE)))+IF(AND($P34&lt;&gt;"",$P34&lt;&gt;"O3/CP",$P$15=D$18,MID($P34,4,1)="2",$P$15&lt;&gt;$P$14),VLOOKUP(CONCATENATE(LEFT($P34,2),"L"),$R$63:$T$91,3,FALSE),0)+IF(AND($P34="O3/CP",$P$14=D$18),VLOOKUP("O3",$R$63:$T$91,3,FALSE)+VLOOKUP("CP",$R$63:$T$91,3,FALSE),0)+IF(AND($Q34&lt;&gt;"",$Q34&lt;&gt;"--",$Q34&lt;&gt;"O3/CP",$Q$14=D$18),IF(LEFT($Q34,1)="P",VLOOKUP(CONCATENATE(LEFT($Q34,2),"H"),$R$63:$T$91,3,FALSE),VLOOKUP($Q34,$R$63:$T$91,3,FALSE)))+IF(AND($Q34&lt;&gt;"",$Q34&lt;&gt;"O3/CP",$Q$15=D$18,MID($Q34,4,1)="2",$Q$15&lt;&gt;$Q$14),VLOOKUP(CONCATENATE(LEFT($Q34,2),"L"),$R$63:$T$91,3,FALSE),0)+IF(AND($Q34="O3/CP",$Q$14=D$18),VLOOKUP("O3",$R$63:$T$91,3,FALSE)+VLOOKUP("CP",$R$63:$T$91,3,FALSE),0)+IF(AND($R34&lt;&gt;"",$R34&lt;&gt;"--",$R34&lt;&gt;"O3/CP",$R$14=D$18),IF(LEFT($R34,1)="P",VLOOKUP(CONCATENATE(LEFT($R34,2),"H"),$R$63:$T$91,3,FALSE),VLOOKUP($R34,$R$63:$T$91,3,FALSE)))+IF(AND($R34&lt;&gt;"",$R34&lt;&gt;"O3/CP",$R$15=D$18,MID($R34,4,1)="2",$R$15&lt;&gt;$R$14),VLOOKUP(CONCATENATE(LEFT($R34,2),"L"),$R$63:$T$91,3,FALSE),0)+IF(AND($R34="O3/CP",$R$14=D$18),VLOOKUP("O3",$R$63:$T$91,3,FALSE)+VLOOKUP("CP",$R$63:$T$91,3,FALSE),0)+IF(AND($S34&lt;&gt;"",$S34&lt;&gt;"--",$S34&lt;&gt;"O3/CP",$S$14=D$18),IF(LEFT($S34,1)="P",VLOOKUP(CONCATENATE(LEFT($S34,2),"H"),$R$63:$T$91,3,FALSE),VLOOKUP($S34,$R$63:$T$91,3,FALSE)))+IF(AND($S34&lt;&gt;"",$S34&lt;&gt;"O3/CP",$S$15=D$18,MID($S34,4,1)="2",$S$15&lt;&gt;$S$14),VLOOKUP(CONCATENATE(LEFT($S34,2),"L"),$R$63:$T$91,3,FALSE),0)+IF(AND($S34="O3/CP",$S$14=D$18),VLOOKUP("O3",$R$63:$T$91,3,FALSE)+VLOOKUP("CP",$R$63:$T$91,3,FALSE),0)+IF(AND($T34&lt;&gt;"",$T34&lt;&gt;"--",$T34&lt;&gt;"O3/CP",$T$14=D$18),IF(LEFT($T34,1)="P",VLOOKUP(CONCATENATE(LEFT($T34,2),"H"),$R$63:$T$91,3,FALSE),VLOOKUP($T34,$R$63:$T$91,3,FALSE)))+IF(AND($T34&lt;&gt;"",$T34&lt;&gt;"O3/CP",$T$15=D$18,MID($T34,4,1)="2",$T$15&lt;&gt;$T$14),VLOOKUP(CONCATENATE(LEFT($T34,2),"L"),$R$63:$T$91,3,FALSE),0)+IF(AND($T34="O3/CP",$T$14=D$18),VLOOKUP("O3",$R$63:$T$91,3,FALSE)+VLOOKUP("CP",$R$63:$T$91,3,FALSE),0)+IF(AND($U34&lt;&gt;"",$U34&lt;&gt;"--",$U34&lt;&gt;"O3/CP",$U$14=D$18),IF(LEFT($U34,1)="P",VLOOKUP(CONCATENATE(LEFT($U34,2),"H"),$R$63:$T$91,3,FALSE),VLOOKUP($U34,$R$63:$T$91,3,FALSE)))+IF(AND($U34&lt;&gt;"",$U34&lt;&gt;"O3/CP",$U$15=D$18,MID($U34,4,1)="2",$U$15&lt;&gt;$U$14),VLOOKUP(CONCATENATE(LEFT($U34,2),"L"),$R$63:$T$91,3,FALSE),0)+IF(AND($U34="O3/CP",$T$14=D$18),VLOOKUP("O3",$R$63:$T$91,3,FALSE)+VLOOKUP("CP",$R$63:$T$91,3,FALSE),0)+IF(AND($V34&lt;&gt;"",$V34&lt;&gt;"--",$V34&lt;&gt;"O3/CP",$V$14=D$18),IF(LEFT($V34,1)="P",VLOOKUP(CONCATENATE(LEFT($V34,2),"H"),$R$63:$T$91,3,FALSE),VLOOKUP($V34,$R$63:$T$91,3,FALSE)))+IF(AND($V34&lt;&gt;"",$V34&lt;&gt;"O3/CP",$V$15=D$18,MID($V34,4,1)="2",$V$15&lt;&gt;$V$14),VLOOKUP(CONCATENATE(LEFT($V34,2),"L"),$R$63:$T$91,3,FALSE),0)+IF(AND($V34="O3/CP",$V$14=D$18),VLOOKUP("O3",$R$63:$T$91,3,FALSE)+VLOOKUP("CP",$R$63:$T$91,3,FALSE),0)+IF(AND($W34&lt;&gt;"",$W34&lt;&gt;"--",$W34&lt;&gt;"O3/CP",$W$14=D$18),IF(LEFT($W34,1)="P",VLOOKUP(CONCATENATE(LEFT($W34,2),"H"),$R$63:$T$91,3,FALSE),VLOOKUP($W34,$R$63:$T$91,3,FALSE)))+IF(AND($W34&lt;&gt;"",$W34&lt;&gt;"O3/CP",$W$15=D$18,MID($W34,4,1)="2",$W$15&lt;&gt;$W$14),VLOOKUP(CONCATENATE(LEFT($W34,2),"L"),$R$63:$T$91,3,FALSE),0)+IF(AND($W34="O3/CP",$W$14=D$18),VLOOKUP("O3",$R$63:$T$91,3,FALSE)+VLOOKUP("CP",$R$63:$T$91,3,FALSE),0)+IF(AND($X34&lt;&gt;"",$X34&lt;&gt;"--",$X34&lt;&gt;"O3/CP",$X$14=D$18),IF(LEFT($X34,1)="P",VLOOKUP(CONCATENATE(LEFT($X34,2),"H"),$R$63:$T$91,3,FALSE),VLOOKUP($X34,$R$63:$T$91,3,FALSE)))+IF(AND($X34&lt;&gt;"",$X34&lt;&gt;"O3/CP",$X$15=D$18,MID($X34,4,1)="2",$X$15&lt;&gt;$X$14),VLOOKUP(CONCATENATE(LEFT($X34,2),"L"),$R$63:$T$91,3,FALSE),0)+IF(AND($X34="O3/CP",$X$14=D$18),VLOOKUP("O3",$R$63:$T$91,3,FALSE)+VLOOKUP("CP",$R$63:$T$91,3,FALSE),0)+IF(AND($Y34&lt;&gt;"",$Y34&lt;&gt;"--",$Y34&lt;&gt;"O3/CP",$Y$14=D$18),IF(LEFT($Y34,1)="P",VLOOKUP(CONCATENATE(LEFT($Y34,2),"H"),$R$63:$T$91,3,FALSE),VLOOKUP($Y34,$R$63:$T$91,3,FALSE)))+IF(AND($Y34&lt;&gt;"",$Y34&lt;&gt;"O3/CP",$Y$15=D$18,MID($Y34,4,1)="2",$Y$15&lt;&gt;$Y$14),VLOOKUP(CONCATENATE(LEFT($Y34,2),"L"),$R$63:$T$91,3,FALSE),0)+IF(AND($Y34="O3/CP",$Y$14=D$18),VLOOKUP("O3",$R$63:$T$91,3,FALSE)+VLOOKUP("CP",$R$63:$T$91,3,FALSE),0)+IF(AND($K$6="CE",'[3]Supply Attribution'!$G$20=D$18),LEFT($S$90,2),0)+IF(AND($X$86&lt;&gt;"Not Set",$X$87=D$18),$X$86,0)</f>
        <v>0</v>
      </c>
      <c r="E34" s="269">
        <f>IF(AND($K34&lt;&gt;"",$K34&lt;&gt;"--",$K34&lt;&gt;"O3/CP",$K$14=E$18),IF(LEFT($K34,1)="P",VLOOKUP(CONCATENATE(LEFT($K34,2),"H"),$R$63:$T$91,3,FALSE),VLOOKUP($K34,$R$63:$T$91,3,FALSE)))+IF(AND($K34&lt;&gt;"",$K34&lt;&gt;"O3/CP",$K$15=E$18,MID($K34,4,1)="2",$K$15&lt;&gt;$K$14),VLOOKUP(CONCATENATE(LEFT($K34,2),"L"),$R$63:$T$91,3,FALSE),0)+IF(AND($K34="O3/CP",$K$14=E$18),VLOOKUP("O3",$R$63:$T$91,3,FALSE)+VLOOKUP("CP",$R$63:$T$91,3,FALSE),0)+IF(AND($L34&lt;&gt;"",$L34&lt;&gt;"--",$L34&lt;&gt;"O3/CP",$L$14=E$18),IF(LEFT($L34,1)="P",VLOOKUP(CONCATENATE(LEFT($L34,2),"H"),$R$63:$T$91,3,FALSE),VLOOKUP($L34,$R$63:$T$91,3,FALSE)))+IF(AND($L34&lt;&gt;"",$L34&lt;&gt;"O3/CP",$L$15=E$18,MID($L34,4,1)="2",$L$15&lt;&gt;$L$14),VLOOKUP(CONCATENATE(LEFT($L34,2),"L"),$R$63:$T$91,3,FALSE),0)+IF(AND($L34="O3/CP",$L$14=E$18),VLOOKUP("O3",$R$63:$T$91,3,FALSE)+VLOOKUP("CP",$R$63:$T$91,3,FALSE),0)+IF(AND($M34&lt;&gt;"",$M34&lt;&gt;"--",$M34&lt;&gt;"O3/CP",$M$14=E$18),IF(LEFT($M34,1)="P",VLOOKUP(CONCATENATE(LEFT($M34,2),"H"),$R$63:$T$91,3,FALSE),VLOOKUP($M34,$R$63:$T$91,3,FALSE)))+IF(AND($M34&lt;&gt;"",$M34&lt;&gt;"O3/CP",$M$15=E$18,MID($M34,4,1)="2",$M$15&lt;&gt;$M$14),VLOOKUP(CONCATENATE(LEFT($M34,2),"L"),$R$63:$T$91,3,FALSE),0)+IF(AND($M34="O3/CP",$M$14=E$18),VLOOKUP("O3",$R$63:$T$91,3,FALSE)+VLOOKUP("CP",$R$63:$T$91,3,FALSE),0)+IF(AND($N34&lt;&gt;"",$N34&lt;&gt;"--",$N34&lt;&gt;"O3/CP",$N$14=E$18),IF(LEFT($N34,1)="P",VLOOKUP(CONCATENATE(LEFT($N34,2),"H"),$R$63:$T$91,3,FALSE),VLOOKUP($N34,$R$63:$T$91,3,FALSE)))+IF(AND($N34&lt;&gt;"",$N34&lt;&gt;"O3/CP",$N$15=E$18,MID($N34,4,1)="2",$N$15&lt;&gt;$N$14),VLOOKUP(CONCATENATE(LEFT($N34,2),"L"),$R$63:$T$91,3,FALSE),0)+IF(AND($N34="O3/CP",$N$14=E$18),VLOOKUP("O3",$R$63:$T$91,3,FALSE)+VLOOKUP("CP",$R$63:$T$91,3,FALSE),0)+IF(AND($O34&lt;&gt;"",$O34&lt;&gt;"--",$O34&lt;&gt;"O3/CP",$O$14=E$18),IF(LEFT($O34,1)="P",VLOOKUP(CONCATENATE(LEFT($O34,2),"H"),$R$63:$T$91,3,FALSE),VLOOKUP($O34,$R$63:$T$91,3,FALSE)))+IF(AND($O34&lt;&gt;"",$O34&lt;&gt;"O3/CP",$O$15=E$18,MID($O34,4,1)="2",$O$15&lt;&gt;$O$14),VLOOKUP(CONCATENATE(LEFT($O34,2),"L"),$R$63:$T$91,3,FALSE),0)+IF(AND($O34="O3/CP",$O$14=E$18),VLOOKUP("O3",$R$63:$T$91,3,FALSE)+VLOOKUP("CP",$R$63:$T$91,3,FALSE),0)+IF(AND($P34&lt;&gt;"",$P34&lt;&gt;"--",$P34&lt;&gt;"O3/CP",$P$14=E$18),IF(LEFT($P34,1)="P",VLOOKUP(CONCATENATE(LEFT($P34,2),"H"),$R$63:$T$91,3,FALSE),VLOOKUP($P34,$R$63:$T$91,3,FALSE)))+IF(AND($P34&lt;&gt;"",$P34&lt;&gt;"O3/CP",$P$15=E$18,MID($P34,4,1)="2",$P$15&lt;&gt;$P$14),VLOOKUP(CONCATENATE(LEFT($P34,2),"L"),$R$63:$T$91,3,FALSE),0)+IF(AND($P34="O3/CP",$P$14=E$18),VLOOKUP("O3",$R$63:$T$91,3,FALSE)+VLOOKUP("CP",$R$63:$T$91,3,FALSE),0)+IF(AND($Q34&lt;&gt;"",$Q34&lt;&gt;"--",$Q34&lt;&gt;"O3/CP",$Q$14=E$18),IF(LEFT($Q34,1)="P",VLOOKUP(CONCATENATE(LEFT($Q34,2),"H"),$R$63:$T$91,3,FALSE),VLOOKUP($Q34,$R$63:$T$91,3,FALSE)))+IF(AND($Q34&lt;&gt;"",$Q34&lt;&gt;"O3/CP",$Q$15=E$18,MID($Q34,4,1)="2",$Q$15&lt;&gt;$Q$14),VLOOKUP(CONCATENATE(LEFT($Q34,2),"L"),$R$63:$T$91,3,FALSE),0)+IF(AND($Q34="O3/CP",$Q$14=E$18),VLOOKUP("O3",$R$63:$T$91,3,FALSE)+VLOOKUP("CP",$R$63:$T$91,3,FALSE),0)+IF(AND($R34&lt;&gt;"",$R34&lt;&gt;"--",$R34&lt;&gt;"O3/CP",$R$14=E$18),IF(LEFT($R34,1)="P",VLOOKUP(CONCATENATE(LEFT($R34,2),"H"),$R$63:$T$91,3,FALSE),VLOOKUP($R34,$R$63:$T$91,3,FALSE)))+IF(AND($R34&lt;&gt;"",$R34&lt;&gt;"O3/CP",$R$15=E$18,MID($R34,4,1)="2",$R$15&lt;&gt;$R$14),VLOOKUP(CONCATENATE(LEFT($R34,2),"L"),$R$63:$T$91,3,FALSE),0)+IF(AND($R34="O3/CP",$R$14=E$18),VLOOKUP("O3",$R$63:$T$91,3,FALSE)+VLOOKUP("CP",$R$63:$T$91,3,FALSE),0)+IF(AND($S34&lt;&gt;"",$S34&lt;&gt;"--",$S34&lt;&gt;"O3/CP",$S$14=E$18),IF(LEFT($S34,1)="P",VLOOKUP(CONCATENATE(LEFT($S34,2),"H"),$R$63:$T$91,3,FALSE),VLOOKUP($S34,$R$63:$T$91,3,FALSE)))+IF(AND($S34&lt;&gt;"",$S34&lt;&gt;"O3/CP",$S$15=E$18,MID($S34,4,1)="2",$S$15&lt;&gt;$S$14),VLOOKUP(CONCATENATE(LEFT($S34,2),"L"),$R$63:$T$91,3,FALSE),0)+IF(AND($S34="O3/CP",$S$14=E$18),VLOOKUP("O3",$R$63:$T$91,3,FALSE)+VLOOKUP("CP",$R$63:$T$91,3,FALSE),0)+IF(AND($T34&lt;&gt;"",$T34&lt;&gt;"--",$T34&lt;&gt;"O3/CP",$T$14=E$18),IF(LEFT($T34,1)="P",VLOOKUP(CONCATENATE(LEFT($T34,2),"H"),$R$63:$T$91,3,FALSE),VLOOKUP($T34,$R$63:$T$91,3,FALSE)))+IF(AND($T34&lt;&gt;"",$T34&lt;&gt;"O3/CP",$T$15=E$18,MID($T34,4,1)="2",$T$15&lt;&gt;$T$14),VLOOKUP(CONCATENATE(LEFT($T34,2),"L"),$R$63:$T$91,3,FALSE),0)+IF(AND($T34="O3/CP",$T$14=E$18),VLOOKUP("O3",$R$63:$T$91,3,FALSE)+VLOOKUP("CP",$R$63:$T$91,3,FALSE),0)+IF(AND($U34&lt;&gt;"",$U34&lt;&gt;"--",$U34&lt;&gt;"O3/CP",$U$14=E$18),IF(LEFT($U34,1)="P",VLOOKUP(CONCATENATE(LEFT($U34,2),"H"),$R$63:$T$91,3,FALSE),VLOOKUP($U34,$R$63:$T$91,3,FALSE)))+IF(AND($U34&lt;&gt;"",$U34&lt;&gt;"O3/CP",$U$15=E$18,MID($U34,4,1)="2",$U$15&lt;&gt;$U$14),VLOOKUP(CONCATENATE(LEFT($U34,2),"L"),$R$63:$T$91,3,FALSE),0)+IF(AND($U34="O3/CP",$T$14=E$18),VLOOKUP("O3",$R$63:$T$91,3,FALSE)+VLOOKUP("CP",$R$63:$T$91,3,FALSE),0)+IF(AND($V34&lt;&gt;"",$V34&lt;&gt;"--",$V34&lt;&gt;"O3/CP",$V$14=E$18),IF(LEFT($V34,1)="P",VLOOKUP(CONCATENATE(LEFT($V34,2),"H"),$R$63:$T$91,3,FALSE),VLOOKUP($V34,$R$63:$T$91,3,FALSE)))+IF(AND($V34&lt;&gt;"",$V34&lt;&gt;"O3/CP",$V$15=E$18,MID($V34,4,1)="2",$V$15&lt;&gt;$V$14),VLOOKUP(CONCATENATE(LEFT($V34,2),"L"),$R$63:$T$91,3,FALSE),0)+IF(AND($V34="O3/CP",$V$14=E$18),VLOOKUP("O3",$R$63:$T$91,3,FALSE)+VLOOKUP("CP",$R$63:$T$91,3,FALSE),0)+IF(AND($W34&lt;&gt;"",$W34&lt;&gt;"--",$W34&lt;&gt;"O3/CP",$W$14=E$18),IF(LEFT($W34,1)="P",VLOOKUP(CONCATENATE(LEFT($W34,2),"H"),$R$63:$T$91,3,FALSE),VLOOKUP($W34,$R$63:$T$91,3,FALSE)))+IF(AND($W34&lt;&gt;"",$W34&lt;&gt;"O3/CP",$W$15=E$18,MID($W34,4,1)="2",$W$15&lt;&gt;$W$14),VLOOKUP(CONCATENATE(LEFT($W34,2),"L"),$R$63:$T$91,3,FALSE),0)+IF(AND($W34="O3/CP",$W$14=E$18),VLOOKUP("O3",$R$63:$T$91,3,FALSE)+VLOOKUP("CP",$R$63:$T$91,3,FALSE),0)+IF(AND($X34&lt;&gt;"",$X34&lt;&gt;"--",$X34&lt;&gt;"O3/CP",$X$14=E$18),IF(LEFT($X34,1)="P",VLOOKUP(CONCATENATE(LEFT($X34,2),"H"),$R$63:$T$91,3,FALSE),VLOOKUP($X34,$R$63:$T$91,3,FALSE)))+IF(AND($X34&lt;&gt;"",$X34&lt;&gt;"O3/CP",$X$15=E$18,MID($X34,4,1)="2",$X$15&lt;&gt;$X$14),VLOOKUP(CONCATENATE(LEFT($X34,2),"L"),$R$63:$T$91,3,FALSE),0)+IF(AND($X34="O3/CP",$X$14=E$18),VLOOKUP("O3",$R$63:$T$91,3,FALSE)+VLOOKUP("CP",$R$63:$T$91,3,FALSE),0)+IF(AND($Y34&lt;&gt;"",$Y34&lt;&gt;"--",$Y34&lt;&gt;"O3/CP",$Y$14=E$18),IF(LEFT($Y34,1)="P",VLOOKUP(CONCATENATE(LEFT($Y34,2),"H"),$R$63:$T$91,3,FALSE),VLOOKUP($Y34,$R$63:$T$91,3,FALSE)))+IF(AND($Y34&lt;&gt;"",$Y34&lt;&gt;"O3/CP",$Y$15=E$18,MID($Y34,4,1)="2",$Y$15&lt;&gt;$Y$14),VLOOKUP(CONCATENATE(LEFT($Y34,2),"L"),$R$63:$T$91,3,FALSE),0)+IF(AND($Y34="O3/CP",$Y$14=E$18),VLOOKUP("O3",$R$63:$T$91,3,FALSE)+VLOOKUP("CP",$R$63:$T$91,3,FALSE),0)+IF(AND($K$6="CE",'[3]Supply Attribution'!$G$20=E$18),LEFT($S$90,2),0)+IF(AND($X$86&lt;&gt;"Not Set",$X$87=E$18),$X$86,0)</f>
        <v>0</v>
      </c>
      <c r="F34" s="268">
        <f>IF(AND($K34&lt;&gt;"",$K34&lt;&gt;"--",$K34&lt;&gt;"O3/CP",$K$14=F$18),IF(LEFT($K34,1)="P",VLOOKUP(CONCATENATE(LEFT($K34,2),"H"),$R$63:$T$91,3,FALSE),VLOOKUP($K34,$R$63:$T$91,3,FALSE)))+IF(AND($K34&lt;&gt;"",$K34&lt;&gt;"O3/CP",$K$15=F$18,MID($K34,4,1)="2",$K$15&lt;&gt;$K$14),VLOOKUP(CONCATENATE(LEFT($K34,2),"L"),$R$63:$T$91,3,FALSE),0)+IF(AND($K34="O3/CP",$K$14=F$18),VLOOKUP("O3",$R$63:$T$91,3,FALSE)+VLOOKUP("CP",$R$63:$T$91,3,FALSE),0)+IF(AND($L34&lt;&gt;"",$L34&lt;&gt;"--",$L34&lt;&gt;"O3/CP",$L$14=F$18),IF(LEFT($L34,1)="P",VLOOKUP(CONCATENATE(LEFT($L34,2),"H"),$R$63:$T$91,3,FALSE),VLOOKUP($L34,$R$63:$T$91,3,FALSE)))+IF(AND($L34&lt;&gt;"",$L34&lt;&gt;"O3/CP",$L$15=F$18,MID($L34,4,1)="2",$L$15&lt;&gt;$L$14),VLOOKUP(CONCATENATE(LEFT($L34,2),"L"),$R$63:$T$91,3,FALSE),0)+IF(AND($L34="O3/CP",$L$14=F$18),VLOOKUP("O3",$R$63:$T$91,3,FALSE)+VLOOKUP("CP",$R$63:$T$91,3,FALSE),0)+IF(AND($M34&lt;&gt;"",$M34&lt;&gt;"--",$M34&lt;&gt;"O3/CP",$M$14=F$18),IF(LEFT($M34,1)="P",VLOOKUP(CONCATENATE(LEFT($M34,2),"H"),$R$63:$T$91,3,FALSE),VLOOKUP($M34,$R$63:$T$91,3,FALSE)))+IF(AND($M34&lt;&gt;"",$M34&lt;&gt;"O3/CP",$M$15=F$18,MID($M34,4,1)="2",$M$15&lt;&gt;$M$14),VLOOKUP(CONCATENATE(LEFT($M34,2),"L"),$R$63:$T$91,3,FALSE),0)+IF(AND($M34="O3/CP",$M$14=F$18),VLOOKUP("O3",$R$63:$T$91,3,FALSE)+VLOOKUP("CP",$R$63:$T$91,3,FALSE),0)+IF(AND($N34&lt;&gt;"",$N34&lt;&gt;"--",$N34&lt;&gt;"O3/CP",$N$14=F$18),IF(LEFT($N34,1)="P",VLOOKUP(CONCATENATE(LEFT($N34,2),"H"),$R$63:$T$91,3,FALSE),VLOOKUP($N34,$R$63:$T$91,3,FALSE)))+IF(AND($N34&lt;&gt;"",$N34&lt;&gt;"O3/CP",$N$15=F$18,MID($N34,4,1)="2",$N$15&lt;&gt;$N$14),VLOOKUP(CONCATENATE(LEFT($N34,2),"L"),$R$63:$T$91,3,FALSE),0)+IF(AND($N34="O3/CP",$N$14=F$18),VLOOKUP("O3",$R$63:$T$91,3,FALSE)+VLOOKUP("CP",$R$63:$T$91,3,FALSE),0)+IF(AND($O34&lt;&gt;"",$O34&lt;&gt;"--",$O34&lt;&gt;"O3/CP",$O$14=F$18),IF(LEFT($O34,1)="P",VLOOKUP(CONCATENATE(LEFT($O34,2),"H"),$R$63:$T$91,3,FALSE),VLOOKUP($O34,$R$63:$T$91,3,FALSE)))+IF(AND($O34&lt;&gt;"",$O34&lt;&gt;"O3/CP",$O$15=F$18,MID($O34,4,1)="2",$O$15&lt;&gt;$O$14),VLOOKUP(CONCATENATE(LEFT($O34,2),"L"),$R$63:$T$91,3,FALSE),0)+IF(AND($O34="O3/CP",$O$14=F$18),VLOOKUP("O3",$R$63:$T$91,3,FALSE)+VLOOKUP("CP",$R$63:$T$91,3,FALSE),0)+IF(AND($P34&lt;&gt;"",$P34&lt;&gt;"--",$P34&lt;&gt;"O3/CP",$P$14=F$18),IF(LEFT($P34,1)="P",VLOOKUP(CONCATENATE(LEFT($P34,2),"H"),$R$63:$T$91,3,FALSE),VLOOKUP($P34,$R$63:$T$91,3,FALSE)))+IF(AND($P34&lt;&gt;"",$P34&lt;&gt;"O3/CP",$P$15=F$18,MID($P34,4,1)="2",$P$15&lt;&gt;$P$14),VLOOKUP(CONCATENATE(LEFT($P34,2),"L"),$R$63:$T$91,3,FALSE),0)+IF(AND($P34="O3/CP",$P$14=F$18),VLOOKUP("O3",$R$63:$T$91,3,FALSE)+VLOOKUP("CP",$R$63:$T$91,3,FALSE),0)+IF(AND($Q34&lt;&gt;"",$Q34&lt;&gt;"--",$Q34&lt;&gt;"O3/CP",$Q$14=F$18),IF(LEFT($Q34,1)="P",VLOOKUP(CONCATENATE(LEFT($Q34,2),"H"),$R$63:$T$91,3,FALSE),VLOOKUP($Q34,$R$63:$T$91,3,FALSE)))+IF(AND($Q34&lt;&gt;"",$Q34&lt;&gt;"O3/CP",$Q$15=F$18,MID($Q34,4,1)="2",$Q$15&lt;&gt;$Q$14),VLOOKUP(CONCATENATE(LEFT($Q34,2),"L"),$R$63:$T$91,3,FALSE),0)+IF(AND($Q34="O3/CP",$Q$14=F$18),VLOOKUP("O3",$R$63:$T$91,3,FALSE)+VLOOKUP("CP",$R$63:$T$91,3,FALSE),0)+IF(AND($R34&lt;&gt;"",$R34&lt;&gt;"--",$R34&lt;&gt;"O3/CP",$R$14=F$18),IF(LEFT($R34,1)="P",VLOOKUP(CONCATENATE(LEFT($R34,2),"H"),$R$63:$T$91,3,FALSE),VLOOKUP($R34,$R$63:$T$91,3,FALSE)))+IF(AND($R34&lt;&gt;"",$R34&lt;&gt;"O3/CP",$R$15=F$18,MID($R34,4,1)="2",$R$15&lt;&gt;$R$14),VLOOKUP(CONCATENATE(LEFT($R34,2),"L"),$R$63:$T$91,3,FALSE),0)+IF(AND($R34="O3/CP",$R$14=F$18),VLOOKUP("O3",$R$63:$T$91,3,FALSE)+VLOOKUP("CP",$R$63:$T$91,3,FALSE),0)+IF(AND($S34&lt;&gt;"",$S34&lt;&gt;"--",$S34&lt;&gt;"O3/CP",$S$14=F$18),IF(LEFT($S34,1)="P",VLOOKUP(CONCATENATE(LEFT($S34,2),"H"),$R$63:$T$91,3,FALSE),VLOOKUP($S34,$R$63:$T$91,3,FALSE)))+IF(AND($S34&lt;&gt;"",$S34&lt;&gt;"O3/CP",$S$15=F$18,MID($S34,4,1)="2",$S$15&lt;&gt;$S$14),VLOOKUP(CONCATENATE(LEFT($S34,2),"L"),$R$63:$T$91,3,FALSE),0)+IF(AND($S34="O3/CP",$S$14=F$18),VLOOKUP("O3",$R$63:$T$91,3,FALSE)+VLOOKUP("CP",$R$63:$T$91,3,FALSE),0)+IF(AND($T34&lt;&gt;"",$T34&lt;&gt;"--",$T34&lt;&gt;"O3/CP",$T$14=F$18),IF(LEFT($T34,1)="P",VLOOKUP(CONCATENATE(LEFT($T34,2),"H"),$R$63:$T$91,3,FALSE),VLOOKUP($T34,$R$63:$T$91,3,FALSE)))+IF(AND($T34&lt;&gt;"",$T34&lt;&gt;"O3/CP",$T$15=F$18,MID($T34,4,1)="2",$T$15&lt;&gt;$T$14),VLOOKUP(CONCATENATE(LEFT($T34,2),"L"),$R$63:$T$91,3,FALSE),0)+IF(AND($T34="O3/CP",$T$14=F$18),VLOOKUP("O3",$R$63:$T$91,3,FALSE)+VLOOKUP("CP",$R$63:$T$91,3,FALSE),0)+IF(AND($U34&lt;&gt;"",$U34&lt;&gt;"--",$U34&lt;&gt;"O3/CP",$U$14=F$18),IF(LEFT($U34,1)="P",VLOOKUP(CONCATENATE(LEFT($U34,2),"H"),$R$63:$T$91,3,FALSE),VLOOKUP($U34,$R$63:$T$91,3,FALSE)))+IF(AND($U34&lt;&gt;"",$U34&lt;&gt;"O3/CP",$U$15=F$18,MID($U34,4,1)="2",$U$15&lt;&gt;$U$14),VLOOKUP(CONCATENATE(LEFT($U34,2),"L"),$R$63:$T$91,3,FALSE),0)+IF(AND($U34="O3/CP",$T$14=F$18),VLOOKUP("O3",$R$63:$T$91,3,FALSE)+VLOOKUP("CP",$R$63:$T$91,3,FALSE),0)+IF(AND($V34&lt;&gt;"",$V34&lt;&gt;"--",$V34&lt;&gt;"O3/CP",$V$14=F$18),IF(LEFT($V34,1)="P",VLOOKUP(CONCATENATE(LEFT($V34,2),"H"),$R$63:$T$91,3,FALSE),VLOOKUP($V34,$R$63:$T$91,3,FALSE)))+IF(AND($V34&lt;&gt;"",$V34&lt;&gt;"O3/CP",$V$15=F$18,MID($V34,4,1)="2",$V$15&lt;&gt;$V$14),VLOOKUP(CONCATENATE(LEFT($V34,2),"L"),$R$63:$T$91,3,FALSE),0)+IF(AND($V34="O3/CP",$V$14=F$18),VLOOKUP("O3",$R$63:$T$91,3,FALSE)+VLOOKUP("CP",$R$63:$T$91,3,FALSE),0)+IF(AND($W34&lt;&gt;"",$W34&lt;&gt;"--",$W34&lt;&gt;"O3/CP",$W$14=F$18),IF(LEFT($W34,1)="P",VLOOKUP(CONCATENATE(LEFT($W34,2),"H"),$R$63:$T$91,3,FALSE),VLOOKUP($W34,$R$63:$T$91,3,FALSE)))+IF(AND($W34&lt;&gt;"",$W34&lt;&gt;"O3/CP",$W$15=F$18,MID($W34,4,1)="2",$W$15&lt;&gt;$W$14),VLOOKUP(CONCATENATE(LEFT($W34,2),"L"),$R$63:$T$91,3,FALSE),0)+IF(AND($W34="O3/CP",$W$14=F$18),VLOOKUP("O3",$R$63:$T$91,3,FALSE)+VLOOKUP("CP",$R$63:$T$91,3,FALSE),0)+IF(AND($X34&lt;&gt;"",$X34&lt;&gt;"--",$X34&lt;&gt;"O3/CP",$X$14=F$18),IF(LEFT($X34,1)="P",VLOOKUP(CONCATENATE(LEFT($X34,2),"H"),$R$63:$T$91,3,FALSE),VLOOKUP($X34,$R$63:$T$91,3,FALSE)))+IF(AND($X34&lt;&gt;"",$X34&lt;&gt;"O3/CP",$X$15=F$18,MID($X34,4,1)="2",$X$15&lt;&gt;$X$14),VLOOKUP(CONCATENATE(LEFT($X34,2),"L"),$R$63:$T$91,3,FALSE),0)+IF(AND($X34="O3/CP",$X$14=F$18),VLOOKUP("O3",$R$63:$T$91,3,FALSE)+VLOOKUP("CP",$R$63:$T$91,3,FALSE),0)+IF(AND($Y34&lt;&gt;"",$Y34&lt;&gt;"--",$Y34&lt;&gt;"O3/CP",$Y$14=F$18),IF(LEFT($Y34,1)="P",VLOOKUP(CONCATENATE(LEFT($Y34,2),"H"),$R$63:$T$91,3,FALSE),VLOOKUP($Y34,$R$63:$T$91,3,FALSE)))+IF(AND($Y34&lt;&gt;"",$Y34&lt;&gt;"O3/CP",$Y$15=F$18,MID($Y34,4,1)="2",$Y$15&lt;&gt;$Y$14),VLOOKUP(CONCATENATE(LEFT($Y34,2),"L"),$R$63:$T$91,3,FALSE),0)+IF(AND($Y34="O3/CP",$Y$14=F$18),VLOOKUP("O3",$R$63:$T$91,3,FALSE)+VLOOKUP("CP",$R$63:$T$91,3,FALSE),0)+IF(AND($K$6="CE",'[3]Supply Attribution'!$G$20=F$18),LEFT($S$90,2),0)+IF(AND($X$86&lt;&gt;"Not Set",$X$87=F$18),$X$86,0)</f>
        <v>0</v>
      </c>
      <c r="G34" s="269">
        <f>IF(AND($K$6="CE",$T$59="1 Phase"),SUM(A34:F34)-IF(AND($K$14&lt;&gt;$K$15,RIGHT($K34,3)="2SP"),VLOOKUP(CONCATENATE(LEFT($K34,2),"L"),$R$63:$T$90,3,FALSE),0)-IF(AND($L$14&lt;&gt;$L$15,RIGHT($L34,3)="2SP"),VLOOKUP(CONCATENATE(LEFT($L34,2),"L"),$R$63:$T$90,3,FALSE),0)-IF(AND($M$14&lt;&gt;$M$15,RIGHT($M34,3)="2SP"),VLOOKUP(CONCATENATE(LEFT($M34,2),"L"),$R$63:$T$90,3,FALSE),0)-IF(AND($N$14&lt;&gt;$N$15,RIGHT($N34,3)="2SP"),VLOOKUP(CONCATENATE(LEFT($N34,2),"L"),$R$63:$T$90,3,FALSE),0)-IF(AND($O$14&lt;&gt;$O$15,RIGHT($O34,3)="2SP"),VLOOKUP(CONCATENATE(LEFT($O34,2),"L"),$R$63:$T$90,3,FALSE),0)-IF(AND($P$14&lt;&gt;$P$15,RIGHT($P34,3)="2SP"),VLOOKUP(CONCATENATE(LEFT($P34,2),"L"),$R$63:$T$90,3,FALSE),0)-IF(AND($Q$14&lt;&gt;$Q$15,RIGHT($Q34,3)="2SP"),VLOOKUP(CONCATENATE(LEFT($Q34,2),"L"),$R$63:$T$90,3,FALSE),0)-IF(AND($R$14&lt;&gt;$R$15,RIGHT($T34,3)="2SP"),VLOOKUP(CONCATENATE(LEFT($R34,2),"L"),$R$63:$T$90,3,FALSE),0)-IF(AND($S$14&lt;&gt;$S$15,RIGHT($T34,3)="2SP"),VLOOKUP(CONCATENATE(LEFT($S34,2),"L"),$R$63:$T$90,3,FALSE),0)-IF(AND($T$14&lt;&gt;$T$15,RIGHT($T34,3)="2SP"),VLOOKUP(CONCATENATE(LEFT($T34,2),"L"),$R$63:$T$90,3,FALSE),0)-IF(AND($U$14&lt;&gt;$U$15,RIGHT($U34,3)="2SP"),VLOOKUP(CONCATENATE(LEFT($U34,2),"L"),$R$63:$T$90,3,FALSE),0)-IF(AND($V$14&lt;&gt;$V$15,RIGHT($V34,3)="2SP"),VLOOKUP(CONCATENATE(LEFT($V34,2),"L"),$R$63:$T$90,3,FALSE),0)-IF(AND($W$14&lt;&gt;$W$15,RIGHT($W34,3)="2SP"),VLOOKUP(CONCATENATE(LEFT($W34,2),"L"),$R$63:$T$90,3,FALSE),0)-IF(AND($X$14&lt;&gt;$X$15,RIGHT($X34,3)="2SP"),VLOOKUP(CONCATENATE(LEFT($X34,2),"L"),$R$63:$T$90,3,FALSE),0)-IF(AND($Y$14&lt;&gt;$Y$15,RIGHT($Y34,3)="2SP"),VLOOKUP(CONCATENATE(LEFT($Y34,2),"L"),$R$63:$T$90,3,FALSE),0),IF(VLOOKUP(CONCATENATE($A$18,"Line"),'[3]Supply Attribution'!$F$31:$G$37,2,FALSE)=G$18,$A34,0)+IF(VLOOKUP(CONCATENATE($B$18,"Line"),'[3]Supply Attribution'!$F$31:$G$37,2,FALSE)=G$18,$B34,0)+IF(VLOOKUP(CONCATENATE($C$18,"Line"),'[3]Supply Attribution'!$F$31:$G$37,2,FALSE)=G$18,$C34,0)+IF(VLOOKUP(CONCATENATE($D$18,"Line"),'[3]Supply Attribution'!$F$31:$G$37,2,FALSE)=G$18,$D34,0)+IF(VLOOKUP(CONCATENATE($E$18,"Line"),'[3]Supply Attribution'!$F$31:$G$37,2,FALSE)=G$18,$E34,0)+IF(VLOOKUP(CONCATENATE($F$18,"Line"),'[3]Supply Attribution'!$F$31:$G$37,2,FALSE)=G$18,$F34,0)+IF($K$6="UL",LEFT($S$90,2),0)-IF(AND($K$16=G$18,$K$14&lt;&gt;$K$15,$K$16=$K$17,RIGHT($K34,3)="2SP"),VLOOKUP(CONCATENATE(LEFT($K34,2),"L"),$R$63:$T$90,3,FALSE),0)-IF(AND($L$16=G$18,$L$14&lt;&gt;$L$15,$L$16=$L$17,RIGHT($L34,3)="2SP"),VLOOKUP(CONCATENATE(LEFT($L34,2),"L"),$R$63:$T$90,3,FALSE),0)-IF(AND($M$16=G$18,$M$14&lt;&gt;$M$15,$M$16=$M$17,RIGHT($M34,3)="2SP"),VLOOKUP(CONCATENATE(LEFT($M34,2),"L"),$R$63:$T$90,3,FALSE),0)-IF(AND($N$16=G$18,$N$14&lt;&gt;$N$15,$N$16=$N$17,RIGHT($N34,3)="2SP"),VLOOKUP(CONCATENATE(LEFT($N34,2),"L"),$R$63:$T$90,3,FALSE),0)-IF(AND($O$16=G$18,$O$14&lt;&gt;$O$15,$O$16=$O$17,RIGHT($O34,3)="2SP"),VLOOKUP(CONCATENATE(LEFT($O34,2),"L"),$R$63:$T$90,3,FALSE),0)-IF(AND($P$16=G$18,$P$14&lt;&gt;$P$15,$P$16=$P$17,RIGHT($P34,3)="2SP"),VLOOKUP(CONCATENATE(LEFT($P34,2),"L"),$R$63:$T$90,3,FALSE),0)-IF(AND($Q$16=G$18,$Q$14&lt;&gt;$Q$15,$Q$16=$Q$17,RIGHT($Q34,3)="2SP"),VLOOKUP(CONCATENATE(LEFT($Q34,2),"L"),$R$63:$T$90,3,FALSE),0)-IF(AND($R$16=G$18,$R$14&lt;&gt;$R$15,$R$16=$R$17,RIGHT($R34,3)="2SP"),VLOOKUP(CONCATENATE(LEFT($R34,2),"L"),$R$63:$T$90,3,FALSE),0)-IF(AND($S$16=G$18,$S$14&lt;&gt;$S$15,$S$16=$S$17,RIGHT($S34,3)="2SP"),VLOOKUP(CONCATENATE(LEFT($S34,2),"L"),$R$63:$T$90,3,FALSE),0)-IF(AND($T$16=G$18,$T$14&lt;&gt;$T$15,$T$16=$T$17,RIGHT($T34,3)="2SP"),VLOOKUP(CONCATENATE(LEFT($T34,2),"L"),$R$63:$T$90,3,FALSE),0)-IF(AND($U$16=G$18,$U$14&lt;&gt;$U$15,$U$16=$U$17,RIGHT($U34,3)="2SP"),VLOOKUP(CONCATENATE(LEFT($U34,2),"L"),$R$63:$T$90,3,FALSE),0)-IF(AND($V$16=G$18,$V$14&lt;&gt;$V$15,$V$16=$V$17,RIGHT($V34,3)="2SP"),VLOOKUP(CONCATENATE(LEFT($V34,2),"L"),$R$63:$T$90,3,FALSE),0)-IF(AND($W$16=G$18,$W$14&lt;&gt;$W$15,$W$16=$W$17,RIGHT($W34,3)="2SP"),VLOOKUP(CONCATENATE(LEFT($W34,2),"L"),$R$63:$T$90,3,FALSE),0)-IF(AND($X$16=G$18,$X$14&lt;&gt;$X$15,$X$16=$X$17,RIGHT($X34,3)="2SP"),VLOOKUP(CONCATENATE(LEFT($X34,2),"L"),$R$63:$T$90,3,FALSE),0)-IF(AND($Y$16=G$18,$Y$14&lt;&gt;$Y$15,$Y$16=$Y$17,RIGHT($Y34,3)="2SP"),VLOOKUP(CONCATENATE(LEFT($Y34,2),"L"),$R$63:$T$90,3,FALSE),0))</f>
        <v>44</v>
      </c>
      <c r="H34" s="269" t="str">
        <f>IF(H$18&lt;&gt;"",IF(VLOOKUP(CONCATENATE($A$18,"Line"),'Supply Attribution'!$F$31:$G$37,2,FALSE)=H$18,$A34,0)+IF(VLOOKUP(CONCATENATE($B$18,"Line"),'Supply Attribution'!$F$31:$G$37,2,FALSE)=H$18,$B34,0)+IF(VLOOKUP(CONCATENATE($C$18,"Line"),'Supply Attribution'!$F$31:$G$37,2,FALSE)=H$18,$C34,0)+IF(VLOOKUP(CONCATENATE($D$18,"Line"),'Supply Attribution'!$F$31:$G$37,2,FALSE)=H$18,$D34,0)+IF(VLOOKUP(CONCATENATE($E$18,"Line"),'Supply Attribution'!$F$31:$G$37,2,FALSE)=H$18,$E34,0)+IF(VLOOKUP(CONCATENATE($F$18,"Line"),'Supply Attribution'!$F$31:$G$37,2,FALSE)=H$18,$F34,0)+IF($K$6="UL",LEFT($S$90,2),0)-IF(AND($K$16=H$18,$K$14&lt;&gt;$K$15,$K$16=$K$17,RIGHT($K34,3)="2SP"),VLOOKUP(CONCATENATE(LEFT($K34,2),"L"),$R$63:$T$90,3,FALSE),0)-IF(AND($L$16=H$18,$L$14&lt;&gt;$L$15,$L$16=$L$17,RIGHT($L34,3)="2SP"),VLOOKUP(CONCATENATE(LEFT($L34,2),"L"),$R$63:$T$90,3,FALSE),0)-IF(AND($M$16=H$18,$M$14&lt;&gt;$M$15,$M$16=$M$17,RIGHT($M34,3)="2SP"),VLOOKUP(CONCATENATE(LEFT($M34,2),"L"),$R$63:$T$90,3,FALSE),0)-IF(AND($N$16=H$18,$N$14&lt;&gt;$N$15,$N$16=$N$17,RIGHT($N34,3)="2SP"),VLOOKUP(CONCATENATE(LEFT($N34,2),"L"),$R$63:$T$90,3,FALSE),0)-IF(AND($O$16=H$18,$O$14&lt;&gt;$O$15,$O$16=$O$17,RIGHT($O34,3)="2SP"),VLOOKUP(CONCATENATE(LEFT($O34,2),"L"),$R$63:$T$90,3,FALSE),0)-IF(AND($P$16=H$18,$P$14&lt;&gt;$P$15,$P$16=$P$17,RIGHT($P34,3)="2SP"),VLOOKUP(CONCATENATE(LEFT($P34,2),"L"),$R$63:$T$90,3,FALSE),0)-IF(AND($Q$16=H$18,$Q$14&lt;&gt;$Q$15,$Q$16=$Q$17,RIGHT($Q34,3)="2SP"),VLOOKUP(CONCATENATE(LEFT($Q34,2),"L"),$R$63:$T$90,3,FALSE),0)-IF(AND($T$16=H$18,$T$14&lt;&gt;$T$15,$T$16=$T$17,RIGHT($T34,3)="2SP"),VLOOKUP(CONCATENATE(LEFT($T34,2),"L"),$R$63:$T$90,3,FALSE),0)-IF(AND($U$16=H$18,$U$14&lt;&gt;$U$15,$U$16=$U$17,RIGHT($U34,3)="2SP"),VLOOKUP(CONCATENATE(LEFT($U34,2),"L"),$R$63:$T$90,3,FALSE),0)-IF(AND($V$16=H$18,$V$14&lt;&gt;$V$15,$V$16=$V$17,RIGHT($V34,3)="2SP"),VLOOKUP(CONCATENATE(LEFT($V34,2),"L"),$R$63:$T$90,3,FALSE),0)-IF(AND($W$16=H$18,$W$14&lt;&gt;$W$15,$W$16=$W$17,RIGHT($W34,3)="2SP"),VLOOKUP(CONCATENATE(LEFT($W34,2),"L"),$R$63:$T$90,3,FALSE),0)-IF(AND($X$16=H$18,$X$14&lt;&gt;$X$15,$X$16=$X$17,RIGHT($X34,3)="2SP"),VLOOKUP(CONCATENATE(LEFT($X34,2),"L"),$R$63:$T$90,3,FALSE),0)-IF(AND($Y$16=H$18,$Y$14&lt;&gt;$Y$15,$Y$16=$Y$17,RIGHT($Y34,3)="2SP"),VLOOKUP(CONCATENATE(LEFT($Y34,2),"L"),$R$63:$T$90,3,FALSE),0)+IF(AND($K$6="CE",$T$59="2 Phases",H$18&lt;&gt;""),IF(VLOOKUP(CONCATENATE($A$18,"Line"),'Supply Attribution'!$F$31:$G$37,2,FALSE)="Line3",$A34,0)+IF(VLOOKUP(CONCATENATE($B$18,"Line"),'Supply Attribution'!$F$31:$G$37,2,FALSE)="Line3",$B34,0)+IF(VLOOKUP(CONCATENATE($C$18,"Line"),'Supply Attribution'!$F$31:$G$37,2,FALSE)="Line3",$C34,0)+IF(VLOOKUP(CONCATENATE($D$18,"Line"),'Supply Attribution'!$F$31:$G$37,2,FALSE)="Line3",$D34,0)+IF(VLOOKUP(CONCATENATE($E$18,"Line"),'Supply Attribution'!$F$31:$G$37,2,FALSE)="Line3",$E34,0)+IF(VLOOKUP(CONCATENATE($F$18,"Line"),'Supply Attribution'!$F$31:$G$37,2,FALSE)="Line3",$F34,0)-IF(AND($K$16=I$18,$K$14&lt;&gt;$K$15,$K$16=$K$17,RIGHT($K34,3)="2SP"),VLOOKUP(CONCATENATE(LEFT($K34,2),"L"),$R$63:$T$90,3,FALSE),0)-IF(AND($L$16=I$18,$L$14&lt;&gt;$L$15,$L$16=$L$17,RIGHT($L34,3)="2SP"),VLOOKUP(CONCATENATE(LEFT($L34,2),"L"),$R$63:$T$90,3,FALSE),0)-IF(AND($M$16=I$18,$M$14&lt;&gt;$M$15,$M$16=$M$17,RIGHT($M34,3)="2SP"),VLOOKUP(CONCATENATE(LEFT($M34,2),"L"),$R$63:$T$90,3,FALSE),0)-IF(AND($N$16=I$18,$N$14&lt;&gt;$N$15,$N$16=$N$17,RIGHT($N34,3)="2SP"),VLOOKUP(CONCATENATE(LEFT($N34,2),"L"),$R$63:$T$90,3,FALSE),0)-IF(AND($O$16=I$18,$O$14&lt;&gt;$O$15,$O$16=$O$17,RIGHT($O34,3)="2SP"),VLOOKUP(CONCATENATE(LEFT($O34,2),"L"),$R$63:$T$90,3,FALSE),0)-IF(AND($P$16=I$18,$P$14&lt;&gt;$P$15,$P$16=$P$17,RIGHT($P34,3)="2SP"),VLOOKUP(CONCATENATE(LEFT($P34,2),"L"),$R$63:$T$90,3,FALSE),0)-IF(AND($Q$16=I$18,$Q$14&lt;&gt;$Q$15,$Q$16=$Q$17,RIGHT($Q34,3)="2SP"),VLOOKUP(CONCATENATE(LEFT($Q34,2),"L"),$R$63:$T$90,3,FALSE),0)-IF(AND($T$16=I$18,$T$14&lt;&gt;$T$15,$T$16=$T$17,RIGHT($T34,3)="2SP"),VLOOKUP(CONCATENATE(LEFT($T34,2),"L"),$R$63:$T$90,3,FALSE),0)-IF(AND($U$16=I$18,$U$14&lt;&gt;$U$15,$U$16=$U$17,RIGHT($U34,3)="2SP"),VLOOKUP(CONCATENATE(LEFT($U34,2),"L"),$R$63:$T$90,3,FALSE),0)-IF(AND($V$16=I$18,$V$14&lt;&gt;$V$15,$V$16=$V$17,RIGHT($V34,3)="2SP"),VLOOKUP(CONCATENATE(LEFT($V34,2),"L"),$R$63:$T$90,3,FALSE),0)-IF(AND($W$16=I$18,$W$14&lt;&gt;$W$15,$W$16=$W$17,RIGHT($W34,3)="2SP"),VLOOKUP(CONCATENATE(LEFT($W34,2),"L"),$R$63:$T$90,3,FALSE),0)-IF(AND($X$16=I$18,$X$14&lt;&gt;$X$15,$X$16=$X$17,RIGHT($X34,3)="2SP"),VLOOKUP(CONCATENATE(LEFT($X34,2),"L"),$R$63:$T$90,3,FALSE),0)-IF(AND($Y$16=I$18,$Y$14&lt;&gt;$Y$15,$Y$16=$Y$17,RIGHT($Y34,3)="2SP"),VLOOKUP(CONCATENATE(LEFT($Y34,2),"L"),$R$63:$T$90,3,FALSE),0),0),"")</f>
        <v/>
      </c>
      <c r="I34" s="269" t="str">
        <f>IF(I$18&lt;&gt;"",IF(VLOOKUP(CONCATENATE($A$18,"Line"),'Supply Attribution'!$F$31:$G$37,2,FALSE)=I$18,$A34,0)+IF(VLOOKUP(CONCATENATE($B$18,"Line"),'Supply Attribution'!$F$31:$G$37,2,FALSE)=I$18,$B34,0)+IF(VLOOKUP(CONCATENATE($C$18,"Line"),'Supply Attribution'!$F$31:$G$37,2,FALSE)=I$18,$C34,0)+IF(VLOOKUP(CONCATENATE($D$18,"Line"),'Supply Attribution'!$F$31:$G$37,2,FALSE)=I$18,$D34,0)+IF(VLOOKUP(CONCATENATE($E$18,"Line"),'Supply Attribution'!$F$31:$G$37,2,FALSE)=I$18,$E34,0)+IF(VLOOKUP(CONCATENATE($F$18,"Line"),'Supply Attribution'!$F$31:$G$37,2,FALSE)=I$18,$F34,0)+IF($K$6="UL",LEFT($S$90,2),0)-IF(AND($K$16=I$18,$K$14&lt;&gt;$K$15,$K$16=$K$17,RIGHT($K34,3)="2SP"),VLOOKUP(CONCATENATE(LEFT($K34,2),"L"),$R$63:$T$90,3,FALSE),0)-IF(AND($L$16=I$18,$L$14&lt;&gt;$L$15,$L$16=$L$17,RIGHT($L34,3)="2SP"),VLOOKUP(CONCATENATE(LEFT($L34,2),"L"),$R$63:$T$90,3,FALSE),0)-IF(AND($M$16=I$18,$M$14&lt;&gt;$M$15,$M$16=$M$17,RIGHT($M34,3)="2SP"),VLOOKUP(CONCATENATE(LEFT($M34,2),"L"),$R$63:$T$90,3,FALSE),0)-IF(AND($N$16=I$18,$N$14&lt;&gt;$N$15,$N$16=$N$17,RIGHT($N34,3)="2SP"),VLOOKUP(CONCATENATE(LEFT($N34,2),"L"),$R$63:$T$90,3,FALSE),0)-IF(AND($O$16=I$18,$O$14&lt;&gt;$O$15,$O$16=$O$17,RIGHT($O34,3)="2SP"),VLOOKUP(CONCATENATE(LEFT($O34,2),"L"),$R$63:$T$90,3,FALSE),0)-IF(AND($P$16=I$18,$P$14&lt;&gt;$P$15,$P$16=$P$17,RIGHT($P34,3)="2SP"),VLOOKUP(CONCATENATE(LEFT($P34,2),"L"),$R$63:$T$90,3,FALSE),0)-IF(AND($Q$16=I$18,$Q$14&lt;&gt;$Q$15,$Q$16=$Q$17,RIGHT($Q34,3)="2SP"),VLOOKUP(CONCATENATE(LEFT($Q34,2),"L"),$R$63:$T$90,3,FALSE),0)-IF(AND($T$16=I$18,$T$14&lt;&gt;$T$15,$T$16=$T$17,RIGHT($T34,3)="2SP"),VLOOKUP(CONCATENATE(LEFT($T34,2),"L"),$R$63:$T$90,3,FALSE),0)-IF(AND($U$16=I$18,$U$14&lt;&gt;$U$15,$U$16=$U$17,RIGHT($U34,3)="2SP"),VLOOKUP(CONCATENATE(LEFT($U34,2),"L"),$R$63:$T$90,3,FALSE),0)-IF(AND($V$16=I$18,$V$14&lt;&gt;$V$15,$V$16=$V$17,RIGHT($V34,3)="2SP"),VLOOKUP(CONCATENATE(LEFT($V34,2),"L"),$R$63:$T$90,3,FALSE),0)-IF(AND($W$16=I$18,$W$14&lt;&gt;$W$15,$W$16=$W$17,RIGHT($W34,3)="2SP"),VLOOKUP(CONCATENATE(LEFT($W34,2),"L"),$R$63:$T$90,3,FALSE),0)-IF(AND($X$16=I$18,$X$14&lt;&gt;$X$15,$X$16=$X$17,RIGHT($X34,3)="2SP"),VLOOKUP(CONCATENATE(LEFT($X34,2),"L"),$R$63:$T$90,3,FALSE),0)-IF(AND($Y$16=I$18,$Y$14&lt;&gt;$Y$15,$Y$16=$Y$17,RIGHT($Y34,3)="2SP"),VLOOKUP(CONCATENATE(LEFT($Y34,2),"L"),$R$63:$T$90,3,FALSE),0),"")</f>
        <v/>
      </c>
      <c r="J34" s="134">
        <v>25</v>
      </c>
      <c r="K34" s="135" t="s">
        <v>389</v>
      </c>
      <c r="L34" s="135" t="s">
        <v>567</v>
      </c>
      <c r="M34" s="135" t="s">
        <v>391</v>
      </c>
      <c r="N34" s="135" t="s">
        <v>24</v>
      </c>
      <c r="O34" s="135" t="s">
        <v>286</v>
      </c>
      <c r="P34" s="135"/>
      <c r="Q34" s="135"/>
      <c r="R34" s="135"/>
      <c r="S34" s="135"/>
      <c r="T34" s="135"/>
      <c r="U34" s="135"/>
      <c r="V34" s="135"/>
      <c r="W34" s="135"/>
      <c r="X34" s="135"/>
      <c r="Y34" s="135"/>
      <c r="Z34" s="136" t="s">
        <v>7</v>
      </c>
      <c r="AA34" s="136" t="s">
        <v>357</v>
      </c>
      <c r="AB34" s="137" t="s">
        <v>18</v>
      </c>
      <c r="AC34" s="137" t="s">
        <v>183</v>
      </c>
      <c r="AD34" s="137" t="s">
        <v>18</v>
      </c>
      <c r="AE34" s="138">
        <f t="shared" si="0"/>
        <v>25</v>
      </c>
      <c r="AF34" s="78"/>
    </row>
    <row r="35" spans="1:32" ht="13.15" customHeight="1">
      <c r="A35" s="264">
        <f>IF(AND($K35&lt;&gt;"",$K35&lt;&gt;"--",$K35&lt;&gt;"O3/CP",$K$14=A$18),IF(LEFT($K35,1)="P",VLOOKUP(CONCATENATE(LEFT($K35,2),"H"),$R$63:$T$91,3,FALSE),VLOOKUP($K35,$R$63:$T$91,3,FALSE)))+IF(AND($K35&lt;&gt;"",$K35&lt;&gt;"O3/CP",$K$15=A$18,MID($K35,4,1)="2",$K$15&lt;&gt;$K$14),VLOOKUP(CONCATENATE(LEFT($K35,2),"L"),$R$63:$T$91,3,FALSE),0)+IF(AND($K35="O3/CP",$K$14=A$18),VLOOKUP("O3",$R$63:$T$91,3,FALSE)+VLOOKUP("CP",$R$63:$T$91,3,FALSE),0)+IF(AND($L35&lt;&gt;"",$L35&lt;&gt;"--",$L35&lt;&gt;"O3/CP",$L$14=A$18),IF(LEFT($L35,1)="P",VLOOKUP(CONCATENATE(LEFT($L35,2),"H"),$R$63:$T$91,3,FALSE),VLOOKUP($L35,$R$63:$T$91,3,FALSE)))+IF(AND($L35&lt;&gt;"",$L35&lt;&gt;"O3/CP",$L$15=A$18,MID($L35,4,1)="2",$L$15&lt;&gt;$L$14),VLOOKUP(CONCATENATE(LEFT($L35,2),"L"),$R$63:$T$91,3,FALSE),0)+IF(AND($L35="O3/CP",$L$14=A$18),VLOOKUP("O3",$R$63:$T$91,3,FALSE)+VLOOKUP("CP",$R$63:$T$91,3,FALSE),0)+IF(AND($M35&lt;&gt;"",$M35&lt;&gt;"--",$M35&lt;&gt;"O3/CP",$M$14=A$18),IF(LEFT($M35,1)="P",VLOOKUP(CONCATENATE(LEFT($M35,2),"H"),$R$63:$T$91,3,FALSE),VLOOKUP($M35,$R$63:$T$91,3,FALSE)))+IF(AND($M35&lt;&gt;"",$M35&lt;&gt;"O3/CP",$M$15=A$18,MID($M35,4,1)="2",$M$15&lt;&gt;$M$14),VLOOKUP(CONCATENATE(LEFT($M35,2),"L"),$R$63:$T$91,3,FALSE),0)+IF(AND($M35="O3/CP",$M$14=A$18),VLOOKUP("O3",$R$63:$T$91,3,FALSE)+VLOOKUP("CP",$R$63:$T$91,3,FALSE),0)+IF(AND($N35&lt;&gt;"",$N35&lt;&gt;"--",$N35&lt;&gt;"O3/CP",$N$14=A$18),IF(LEFT($N35,1)="P",VLOOKUP(CONCATENATE(LEFT($N35,2),"H"),$R$63:$T$91,3,FALSE),VLOOKUP($N35,$R$63:$T$91,3,FALSE)))+IF(AND($N35&lt;&gt;"",$N35&lt;&gt;"O3/CP",$N$15=A$18,MID($N35,4,1)="2",$N$15&lt;&gt;$N$14),VLOOKUP(CONCATENATE(LEFT($N35,2),"L"),$R$63:$T$91,3,FALSE),0)+IF(AND($N35="O3/CP",$N$14=A$18),VLOOKUP("O3",$R$63:$T$91,3,FALSE)+VLOOKUP("CP",$R$63:$T$91,3,FALSE),0)+IF(AND($O35&lt;&gt;"",$O35&lt;&gt;"--",$O35&lt;&gt;"O3/CP",$O$14=A$18),IF(LEFT($O35,1)="P",VLOOKUP(CONCATENATE(LEFT($O35,2),"H"),$R$63:$T$91,3,FALSE),VLOOKUP($O35,$R$63:$T$91,3,FALSE)))+IF(AND($O35&lt;&gt;"",$O35&lt;&gt;"O3/CP",$O$15=A$18,MID($O35,4,1)="2",$O$15&lt;&gt;$O$14),VLOOKUP(CONCATENATE(LEFT($O35,2),"L"),$R$63:$T$91,3,FALSE),0)+IF(AND($O35="O3/CP",$O$14=A$18),VLOOKUP("O3",$R$63:$T$91,3,FALSE)+VLOOKUP("CP",$R$63:$T$91,3,FALSE),0)+IF(AND($P35&lt;&gt;"",$P35&lt;&gt;"--",$P35&lt;&gt;"O3/CP",$P$14=A$18),IF(LEFT($P35,1)="P",VLOOKUP(CONCATENATE(LEFT($P35,2),"H"),$R$63:$T$91,3,FALSE),VLOOKUP($P35,$R$63:$T$91,3,FALSE)))+IF(AND($P35&lt;&gt;"",$P35&lt;&gt;"O3/CP",$P$15=A$18,MID($P35,4,1)="2",$P$15&lt;&gt;$P$14),VLOOKUP(CONCATENATE(LEFT($P35,2),"L"),$R$63:$T$91,3,FALSE),0)+IF(AND($P35="O3/CP",$P$14=A$18),VLOOKUP("O3",$R$63:$T$91,3,FALSE)+VLOOKUP("CP",$R$63:$T$91,3,FALSE),0)+IF(AND($Q35&lt;&gt;"",$Q35&lt;&gt;"--",$Q35&lt;&gt;"O3/CP",$Q$14=A$18),IF(LEFT($Q35,1)="P",VLOOKUP(CONCATENATE(LEFT($Q35,2),"H"),$R$63:$T$91,3,FALSE),VLOOKUP($Q35,$R$63:$T$91,3,FALSE)))+IF(AND($Q35&lt;&gt;"",$Q35&lt;&gt;"O3/CP",$Q$15=A$18,MID($Q35,4,1)="2",$Q$15&lt;&gt;$Q$14),VLOOKUP(CONCATENATE(LEFT($Q35,2),"L"),$R$63:$T$91,3,FALSE),0)+IF(AND($Q35="O3/CP",$Q$14=A$18),VLOOKUP("O3",$R$63:$T$91,3,FALSE)+VLOOKUP("CP",$R$63:$T$91,3,FALSE),0)+IF(AND($R35&lt;&gt;"",$R35&lt;&gt;"--",$R35&lt;&gt;"O3/CP",$R$14=A$18),IF(LEFT($R35,1)="P",VLOOKUP(CONCATENATE(LEFT($R35,2),"H"),$R$63:$T$91,3,FALSE),VLOOKUP($R35,$R$63:$T$91,3,FALSE)))+IF(AND($R35&lt;&gt;"",$R35&lt;&gt;"O3/CP",$R$15=A$18,MID($R35,4,1)="2",$R$15&lt;&gt;$R$14),VLOOKUP(CONCATENATE(LEFT($R35,2),"L"),$R$63:$T$91,3,FALSE),0)+IF(AND($R35="O3/CP",$R$14=A$18),VLOOKUP("O3",$R$63:$T$91,3,FALSE)+VLOOKUP("CP",$R$63:$T$91,3,FALSE),0)+IF(AND($S35&lt;&gt;"",$S35&lt;&gt;"--",$S35&lt;&gt;"O3/CP",$S$14=A$18),IF(LEFT($S35,1)="P",VLOOKUP(CONCATENATE(LEFT($S35,2),"H"),$R$63:$T$91,3,FALSE),VLOOKUP($S35,$R$63:$T$91,3,FALSE)))+IF(AND($S35&lt;&gt;"",$S35&lt;&gt;"O3/CP",$S$15=A$18,MID($S35,4,1)="2",$S$15&lt;&gt;$S$14),VLOOKUP(CONCATENATE(LEFT($S35,2),"L"),$R$63:$T$91,3,FALSE),0)+IF(AND($S35="O3/CP",$S$14=A$18),VLOOKUP("O3",$R$63:$T$91,3,FALSE)+VLOOKUP("CP",$R$63:$T$91,3,FALSE),0)+IF(AND($T35&lt;&gt;"",$T35&lt;&gt;"--",$T35&lt;&gt;"O3/CP",$T$14=A$18),IF(LEFT($T35,1)="P",VLOOKUP(CONCATENATE(LEFT($T35,2),"H"),$R$63:$T$91,3,FALSE),VLOOKUP($T35,$R$63:$T$91,3,FALSE)))+IF(AND($T35&lt;&gt;"",$T35&lt;&gt;"O3/CP",$T$15=A$18,MID($T35,4,1)="2",$T$15&lt;&gt;$T$14),VLOOKUP(CONCATENATE(LEFT($T35,2),"L"),$R$63:$T$91,3,FALSE),0)+IF(AND($T35="O3/CP",$T$14=A$18),VLOOKUP("O3",$R$63:$T$91,3,FALSE)+VLOOKUP("CP",$R$63:$T$91,3,FALSE),0)+IF(AND($U35&lt;&gt;"",$U35&lt;&gt;"--",$U35&lt;&gt;"O3/CP",$U$14=A$18),IF(LEFT($U35,1)="P",VLOOKUP(CONCATENATE(LEFT($U35,2),"H"),$R$63:$T$91,3,FALSE),VLOOKUP($U35,$R$63:$T$91,3,FALSE)))+IF(AND($U35&lt;&gt;"",$U35&lt;&gt;"O3/CP",$U$15=A$18,MID($U35,4,1)="2",$U$15&lt;&gt;$U$14),VLOOKUP(CONCATENATE(LEFT($U35,2),"L"),$R$63:$T$91,3,FALSE),0)+IF(AND($U35="O3/CP",$T$14=A$18),VLOOKUP("O3",$R$63:$T$91,3,FALSE)+VLOOKUP("CP",$R$63:$T$91,3,FALSE),0)+IF(AND($V35&lt;&gt;"",$V35&lt;&gt;"--",$V35&lt;&gt;"O3/CP",$V$14=A$18),IF(LEFT($V35,1)="P",VLOOKUP(CONCATENATE(LEFT($V35,2),"H"),$R$63:$T$91,3,FALSE),VLOOKUP($V35,$R$63:$T$91,3,FALSE)))+IF(AND($V35&lt;&gt;"",$V35&lt;&gt;"O3/CP",$V$15=A$18,MID($V35,4,1)="2",$V$15&lt;&gt;$V$14),VLOOKUP(CONCATENATE(LEFT($V35,2),"L"),$R$63:$T$91,3,FALSE),0)+IF(AND($V35="O3/CP",$V$14=A$18),VLOOKUP("O3",$R$63:$T$91,3,FALSE)+VLOOKUP("CP",$R$63:$T$91,3,FALSE),0)+IF(AND($W35&lt;&gt;"",$W35&lt;&gt;"--",$W35&lt;&gt;"O3/CP",$W$14=A$18),IF(LEFT($W35,1)="P",VLOOKUP(CONCATENATE(LEFT($W35,2),"H"),$R$63:$T$91,3,FALSE),VLOOKUP($W35,$R$63:$T$91,3,FALSE)))+IF(AND($W35&lt;&gt;"",$W35&lt;&gt;"O3/CP",$W$15=A$18,MID($W35,4,1)="2",$W$15&lt;&gt;$W$14),VLOOKUP(CONCATENATE(LEFT($W35,2),"L"),$R$63:$T$91,3,FALSE),0)+IF(AND($W35="O3/CP",$W$14=A$18),VLOOKUP("O3",$R$63:$T$91,3,FALSE)+VLOOKUP("CP",$R$63:$T$91,3,FALSE),0)+IF(AND($X35&lt;&gt;"",$X35&lt;&gt;"--",$X35&lt;&gt;"O3/CP",$X$14=A$18),IF(LEFT($X35,1)="P",VLOOKUP(CONCATENATE(LEFT($X35,2),"H"),$R$63:$T$91,3,FALSE),VLOOKUP($X35,$R$63:$T$91,3,FALSE)))+IF(AND($X35&lt;&gt;"",$X35&lt;&gt;"O3/CP",$X$15=A$18,MID($X35,4,1)="2",$X$15&lt;&gt;$X$14),VLOOKUP(CONCATENATE(LEFT($X35,2),"L"),$R$63:$T$91,3,FALSE),0)+IF(AND($X35="O3/CP",$X$14=A$18),VLOOKUP("O3",$R$63:$T$91,3,FALSE)+VLOOKUP("CP",$R$63:$T$91,3,FALSE),0)+IF(AND($Y35&lt;&gt;"",$Y35&lt;&gt;"--",$Y35&lt;&gt;"O3/CP",$Y$14=A$18),IF(LEFT($Y35,1)="P",VLOOKUP(CONCATENATE(LEFT($Y35,2),"H"),$R$63:$T$91,3,FALSE),VLOOKUP($Y35,$R$63:$T$91,3,FALSE)))+IF(AND($Y35&lt;&gt;"",$Y35&lt;&gt;"O3/CP",$Y$15=A$18,MID($Y35,4,1)="2",$Y$15&lt;&gt;$Y$14),VLOOKUP(CONCATENATE(LEFT($Y35,2),"L"),$R$63:$T$91,3,FALSE),0)+IF(AND($Y35="O3/CP",$Y$14=A$18),VLOOKUP("O3",$R$63:$T$91,3,FALSE)+VLOOKUP("CP",$R$63:$T$91,3,FALSE),0)+IF(AND($K$6="CE",'[3]Supply Attribution'!$G$20=A$18),LEFT($S$90,2),0)+IF(AND($X$86&lt;&gt;"Not Set",$X$87=A$18),$X$86,0)</f>
        <v>13</v>
      </c>
      <c r="B35" s="271">
        <f>IF(AND($K35&lt;&gt;"",$K35&lt;&gt;"--",$K35&lt;&gt;"O3/CP",$K$14=B$18),IF(LEFT($K35,1)="P",VLOOKUP(CONCATENATE(LEFT($K35,2),"H"),$R$63:$T$91,3,FALSE),VLOOKUP($K35,$R$63:$T$91,3,FALSE)))+IF(AND($K35&lt;&gt;"",$K35&lt;&gt;"O3/CP",$K$15=B$18,MID($K35,4,1)="2",$K$15&lt;&gt;$K$14),VLOOKUP(CONCATENATE(LEFT($K35,2),"L"),$R$63:$T$91,3,FALSE),0)+IF(AND($K35="O3/CP",$K$14=B$18),VLOOKUP("O3",$R$63:$T$91,3,FALSE)+VLOOKUP("CP",$R$63:$T$91,3,FALSE),0)+IF(AND($L35&lt;&gt;"",$L35&lt;&gt;"--",$L35&lt;&gt;"O3/CP",$L$14=B$18),IF(LEFT($L35,1)="P",VLOOKUP(CONCATENATE(LEFT($L35,2),"H"),$R$63:$T$91,3,FALSE),VLOOKUP($L35,$R$63:$T$91,3,FALSE)))+IF(AND($L35&lt;&gt;"",$L35&lt;&gt;"O3/CP",$L$15=B$18,MID($L35,4,1)="2",$L$15&lt;&gt;$L$14),VLOOKUP(CONCATENATE(LEFT($L35,2),"L"),$R$63:$T$91,3,FALSE),0)+IF(AND($L35="O3/CP",$L$14=B$18),VLOOKUP("O3",$R$63:$T$91,3,FALSE)+VLOOKUP("CP",$R$63:$T$91,3,FALSE),0)+IF(AND($M35&lt;&gt;"",$M35&lt;&gt;"--",$M35&lt;&gt;"O3/CP",$M$14=B$18),IF(LEFT($M35,1)="P",VLOOKUP(CONCATENATE(LEFT($M35,2),"H"),$R$63:$T$91,3,FALSE),VLOOKUP($M35,$R$63:$T$91,3,FALSE)))+IF(AND($M35&lt;&gt;"",$M35&lt;&gt;"O3/CP",$M$15=B$18,MID($M35,4,1)="2",$M$15&lt;&gt;$M$14),VLOOKUP(CONCATENATE(LEFT($M35,2),"L"),$R$63:$T$91,3,FALSE),0)+IF(AND($M35="O3/CP",$M$14=B$18),VLOOKUP("O3",$R$63:$T$91,3,FALSE)+VLOOKUP("CP",$R$63:$T$91,3,FALSE),0)+IF(AND($N35&lt;&gt;"",$N35&lt;&gt;"--",$N35&lt;&gt;"O3/CP",$N$14=B$18),IF(LEFT($N35,1)="P",VLOOKUP(CONCATENATE(LEFT($N35,2),"H"),$R$63:$T$91,3,FALSE),VLOOKUP($N35,$R$63:$T$91,3,FALSE)))+IF(AND($N35&lt;&gt;"",$N35&lt;&gt;"O3/CP",$N$15=B$18,MID($N35,4,1)="2",$N$15&lt;&gt;$N$14),VLOOKUP(CONCATENATE(LEFT($N35,2),"L"),$R$63:$T$91,3,FALSE),0)+IF(AND($N35="O3/CP",$N$14=B$18),VLOOKUP("O3",$R$63:$T$91,3,FALSE)+VLOOKUP("CP",$R$63:$T$91,3,FALSE),0)+IF(AND($O35&lt;&gt;"",$O35&lt;&gt;"--",$O35&lt;&gt;"O3/CP",$O$14=B$18),IF(LEFT($O35,1)="P",VLOOKUP(CONCATENATE(LEFT($O35,2),"H"),$R$63:$T$91,3,FALSE),VLOOKUP($O35,$R$63:$T$91,3,FALSE)))+IF(AND($O35&lt;&gt;"",$O35&lt;&gt;"O3/CP",$O$15=B$18,MID($O35,4,1)="2",$O$15&lt;&gt;$O$14),VLOOKUP(CONCATENATE(LEFT($O35,2),"L"),$R$63:$T$91,3,FALSE),0)+IF(AND($O35="O3/CP",$O$14=B$18),VLOOKUP("O3",$R$63:$T$91,3,FALSE)+VLOOKUP("CP",$R$63:$T$91,3,FALSE),0)+IF(AND($P35&lt;&gt;"",$P35&lt;&gt;"--",$P35&lt;&gt;"O3/CP",$P$14=B$18),IF(LEFT($P35,1)="P",VLOOKUP(CONCATENATE(LEFT($P35,2),"H"),$R$63:$T$91,3,FALSE),VLOOKUP($P35,$R$63:$T$91,3,FALSE)))+IF(AND($P35&lt;&gt;"",$P35&lt;&gt;"O3/CP",$P$15=B$18,MID($P35,4,1)="2",$P$15&lt;&gt;$P$14),VLOOKUP(CONCATENATE(LEFT($P35,2),"L"),$R$63:$T$91,3,FALSE),0)+IF(AND($P35="O3/CP",$P$14=B$18),VLOOKUP("O3",$R$63:$T$91,3,FALSE)+VLOOKUP("CP",$R$63:$T$91,3,FALSE),0)+IF(AND($Q35&lt;&gt;"",$Q35&lt;&gt;"--",$Q35&lt;&gt;"O3/CP",$Q$14=B$18),IF(LEFT($Q35,1)="P",VLOOKUP(CONCATENATE(LEFT($Q35,2),"H"),$R$63:$T$91,3,FALSE),VLOOKUP($Q35,$R$63:$T$91,3,FALSE)))+IF(AND($Q35&lt;&gt;"",$Q35&lt;&gt;"O3/CP",$Q$15=B$18,MID($Q35,4,1)="2",$Q$15&lt;&gt;$Q$14),VLOOKUP(CONCATENATE(LEFT($Q35,2),"L"),$R$63:$T$91,3,FALSE),0)+IF(AND($Q35="O3/CP",$Q$14=B$18),VLOOKUP("O3",$R$63:$T$91,3,FALSE)+VLOOKUP("CP",$R$63:$T$91,3,FALSE),0)+IF(AND($R35&lt;&gt;"",$R35&lt;&gt;"--",$R35&lt;&gt;"O3/CP",$R$14=B$18),IF(LEFT($R35,1)="P",VLOOKUP(CONCATENATE(LEFT($R35,2),"H"),$R$63:$T$91,3,FALSE),VLOOKUP($R35,$R$63:$T$91,3,FALSE)))+IF(AND($R35&lt;&gt;"",$R35&lt;&gt;"O3/CP",$R$15=B$18,MID($R35,4,1)="2",$R$15&lt;&gt;$R$14),VLOOKUP(CONCATENATE(LEFT($R35,2),"L"),$R$63:$T$91,3,FALSE),0)+IF(AND($R35="O3/CP",$R$14=B$18),VLOOKUP("O3",$R$63:$T$91,3,FALSE)+VLOOKUP("CP",$R$63:$T$91,3,FALSE),0)+IF(AND($S35&lt;&gt;"",$S35&lt;&gt;"--",$S35&lt;&gt;"O3/CP",$S$14=B$18),IF(LEFT($S35,1)="P",VLOOKUP(CONCATENATE(LEFT($S35,2),"H"),$R$63:$T$91,3,FALSE),VLOOKUP($S35,$R$63:$T$91,3,FALSE)))+IF(AND($S35&lt;&gt;"",$S35&lt;&gt;"O3/CP",$S$15=B$18,MID($S35,4,1)="2",$S$15&lt;&gt;$S$14),VLOOKUP(CONCATENATE(LEFT($S35,2),"L"),$R$63:$T$91,3,FALSE),0)+IF(AND($S35="O3/CP",$S$14=B$18),VLOOKUP("O3",$R$63:$T$91,3,FALSE)+VLOOKUP("CP",$R$63:$T$91,3,FALSE),0)+IF(AND($T35&lt;&gt;"",$T35&lt;&gt;"--",$T35&lt;&gt;"O3/CP",$T$14=B$18),IF(LEFT($T35,1)="P",VLOOKUP(CONCATENATE(LEFT($T35,2),"H"),$R$63:$T$91,3,FALSE),VLOOKUP($T35,$R$63:$T$91,3,FALSE)))+IF(AND($T35&lt;&gt;"",$T35&lt;&gt;"O3/CP",$T$15=B$18,MID($T35,4,1)="2",$T$15&lt;&gt;$T$14),VLOOKUP(CONCATENATE(LEFT($T35,2),"L"),$R$63:$T$91,3,FALSE),0)+IF(AND($T35="O3/CP",$T$14=B$18),VLOOKUP("O3",$R$63:$T$91,3,FALSE)+VLOOKUP("CP",$R$63:$T$91,3,FALSE),0)+IF(AND($U35&lt;&gt;"",$U35&lt;&gt;"--",$U35&lt;&gt;"O3/CP",$U$14=B$18),IF(LEFT($U35,1)="P",VLOOKUP(CONCATENATE(LEFT($U35,2),"H"),$R$63:$T$91,3,FALSE),VLOOKUP($U35,$R$63:$T$91,3,FALSE)))+IF(AND($U35&lt;&gt;"",$U35&lt;&gt;"O3/CP",$U$15=B$18,MID($U35,4,1)="2",$U$15&lt;&gt;$U$14),VLOOKUP(CONCATENATE(LEFT($U35,2),"L"),$R$63:$T$91,3,FALSE),0)+IF(AND($U35="O3/CP",$T$14=B$18),VLOOKUP("O3",$R$63:$T$91,3,FALSE)+VLOOKUP("CP",$R$63:$T$91,3,FALSE),0)+IF(AND($V35&lt;&gt;"",$V35&lt;&gt;"--",$V35&lt;&gt;"O3/CP",$V$14=B$18),IF(LEFT($V35,1)="P",VLOOKUP(CONCATENATE(LEFT($V35,2),"H"),$R$63:$T$91,3,FALSE),VLOOKUP($V35,$R$63:$T$91,3,FALSE)))+IF(AND($V35&lt;&gt;"",$V35&lt;&gt;"O3/CP",$V$15=B$18,MID($V35,4,1)="2",$V$15&lt;&gt;$V$14),VLOOKUP(CONCATENATE(LEFT($V35,2),"L"),$R$63:$T$91,3,FALSE),0)+IF(AND($V35="O3/CP",$V$14=B$18),VLOOKUP("O3",$R$63:$T$91,3,FALSE)+VLOOKUP("CP",$R$63:$T$91,3,FALSE),0)+IF(AND($W35&lt;&gt;"",$W35&lt;&gt;"--",$W35&lt;&gt;"O3/CP",$W$14=B$18),IF(LEFT($W35,1)="P",VLOOKUP(CONCATENATE(LEFT($W35,2),"H"),$R$63:$T$91,3,FALSE),VLOOKUP($W35,$R$63:$T$91,3,FALSE)))+IF(AND($W35&lt;&gt;"",$W35&lt;&gt;"O3/CP",$W$15=B$18,MID($W35,4,1)="2",$W$15&lt;&gt;$W$14),VLOOKUP(CONCATENATE(LEFT($W35,2),"L"),$R$63:$T$91,3,FALSE),0)+IF(AND($W35="O3/CP",$W$14=B$18),VLOOKUP("O3",$R$63:$T$91,3,FALSE)+VLOOKUP("CP",$R$63:$T$91,3,FALSE),0)+IF(AND($X35&lt;&gt;"",$X35&lt;&gt;"--",$X35&lt;&gt;"O3/CP",$X$14=B$18),IF(LEFT($X35,1)="P",VLOOKUP(CONCATENATE(LEFT($X35,2),"H"),$R$63:$T$91,3,FALSE),VLOOKUP($X35,$R$63:$T$91,3,FALSE)))+IF(AND($X35&lt;&gt;"",$X35&lt;&gt;"O3/CP",$X$15=B$18,MID($X35,4,1)="2",$X$15&lt;&gt;$X$14),VLOOKUP(CONCATENATE(LEFT($X35,2),"L"),$R$63:$T$91,3,FALSE),0)+IF(AND($X35="O3/CP",$X$14=B$18),VLOOKUP("O3",$R$63:$T$91,3,FALSE)+VLOOKUP("CP",$R$63:$T$91,3,FALSE),0)+IF(AND($Y35&lt;&gt;"",$Y35&lt;&gt;"--",$Y35&lt;&gt;"O3/CP",$Y$14=B$18),IF(LEFT($Y35,1)="P",VLOOKUP(CONCATENATE(LEFT($Y35,2),"H"),$R$63:$T$91,3,FALSE),VLOOKUP($Y35,$R$63:$T$91,3,FALSE)))+IF(AND($Y35&lt;&gt;"",$Y35&lt;&gt;"O3/CP",$Y$15=B$18,MID($Y35,4,1)="2",$Y$15&lt;&gt;$Y$14),VLOOKUP(CONCATENATE(LEFT($Y35,2),"L"),$R$63:$T$91,3,FALSE),0)+IF(AND($Y35="O3/CP",$Y$14=B$18),VLOOKUP("O3",$R$63:$T$91,3,FALSE)+VLOOKUP("CP",$R$63:$T$91,3,FALSE),0)+IF(AND($K$6="CE",'[3]Supply Attribution'!$G$20=B$18),LEFT($S$90,2),0)+IF(AND($X$86&lt;&gt;"Not Set",$X$87=B$18),$X$86,0)</f>
        <v>9</v>
      </c>
      <c r="C35" s="271">
        <f>IF(AND($K35&lt;&gt;"",$K35&lt;&gt;"--",$K35&lt;&gt;"O3/CP",$K$14=C$18),IF(LEFT($K35,1)="P",VLOOKUP(CONCATENATE(LEFT($K35,2),"H"),$R$63:$T$91,3,FALSE),VLOOKUP($K35,$R$63:$T$91,3,FALSE)))+IF(AND($K35&lt;&gt;"",$K35&lt;&gt;"O3/CP",$K$15=C$18,MID($K35,4,1)="2",$K$15&lt;&gt;$K$14),VLOOKUP(CONCATENATE(LEFT($K35,2),"L"),$R$63:$T$91,3,FALSE),0)+IF(AND($K35="O3/CP",$K$14=C$18),VLOOKUP("O3",$R$63:$T$91,3,FALSE)+VLOOKUP("CP",$R$63:$T$91,3,FALSE),0)+IF(AND($L35&lt;&gt;"",$L35&lt;&gt;"--",$L35&lt;&gt;"O3/CP",$L$14=C$18),IF(LEFT($L35,1)="P",VLOOKUP(CONCATENATE(LEFT($L35,2),"H"),$R$63:$T$91,3,FALSE),VLOOKUP($L35,$R$63:$T$91,3,FALSE)))+IF(AND($L35&lt;&gt;"",$L35&lt;&gt;"O3/CP",$L$15=C$18,MID($L35,4,1)="2",$L$15&lt;&gt;$L$14),VLOOKUP(CONCATENATE(LEFT($L35,2),"L"),$R$63:$T$91,3,FALSE),0)+IF(AND($L35="O3/CP",$L$14=C$18),VLOOKUP("O3",$R$63:$T$91,3,FALSE)+VLOOKUP("CP",$R$63:$T$91,3,FALSE),0)+IF(AND($M35&lt;&gt;"",$M35&lt;&gt;"--",$M35&lt;&gt;"O3/CP",$M$14=C$18),IF(LEFT($M35,1)="P",VLOOKUP(CONCATENATE(LEFT($M35,2),"H"),$R$63:$T$91,3,FALSE),VLOOKUP($M35,$R$63:$T$91,3,FALSE)))+IF(AND($M35&lt;&gt;"",$M35&lt;&gt;"O3/CP",$M$15=C$18,MID($M35,4,1)="2",$M$15&lt;&gt;$M$14),VLOOKUP(CONCATENATE(LEFT($M35,2),"L"),$R$63:$T$91,3,FALSE),0)+IF(AND($M35="O3/CP",$M$14=C$18),VLOOKUP("O3",$R$63:$T$91,3,FALSE)+VLOOKUP("CP",$R$63:$T$91,3,FALSE),0)+IF(AND($N35&lt;&gt;"",$N35&lt;&gt;"--",$N35&lt;&gt;"O3/CP",$N$14=C$18),IF(LEFT($N35,1)="P",VLOOKUP(CONCATENATE(LEFT($N35,2),"H"),$R$63:$T$91,3,FALSE),VLOOKUP($N35,$R$63:$T$91,3,FALSE)))+IF(AND($N35&lt;&gt;"",$N35&lt;&gt;"O3/CP",$N$15=C$18,MID($N35,4,1)="2",$N$15&lt;&gt;$N$14),VLOOKUP(CONCATENATE(LEFT($N35,2),"L"),$R$63:$T$91,3,FALSE),0)+IF(AND($N35="O3/CP",$N$14=C$18),VLOOKUP("O3",$R$63:$T$91,3,FALSE)+VLOOKUP("CP",$R$63:$T$91,3,FALSE),0)+IF(AND($O35&lt;&gt;"",$O35&lt;&gt;"--",$O35&lt;&gt;"O3/CP",$O$14=C$18),IF(LEFT($O35,1)="P",VLOOKUP(CONCATENATE(LEFT($O35,2),"H"),$R$63:$T$91,3,FALSE),VLOOKUP($O35,$R$63:$T$91,3,FALSE)))+IF(AND($O35&lt;&gt;"",$O35&lt;&gt;"O3/CP",$O$15=C$18,MID($O35,4,1)="2",$O$15&lt;&gt;$O$14),VLOOKUP(CONCATENATE(LEFT($O35,2),"L"),$R$63:$T$91,3,FALSE),0)+IF(AND($O35="O3/CP",$O$14=C$18),VLOOKUP("O3",$R$63:$T$91,3,FALSE)+VLOOKUP("CP",$R$63:$T$91,3,FALSE),0)+IF(AND($P35&lt;&gt;"",$P35&lt;&gt;"--",$P35&lt;&gt;"O3/CP",$P$14=C$18),IF(LEFT($P35,1)="P",VLOOKUP(CONCATENATE(LEFT($P35,2),"H"),$R$63:$T$91,3,FALSE),VLOOKUP($P35,$R$63:$T$91,3,FALSE)))+IF(AND($P35&lt;&gt;"",$P35&lt;&gt;"O3/CP",$P$15=C$18,MID($P35,4,1)="2",$P$15&lt;&gt;$P$14),VLOOKUP(CONCATENATE(LEFT($P35,2),"L"),$R$63:$T$91,3,FALSE),0)+IF(AND($P35="O3/CP",$P$14=C$18),VLOOKUP("O3",$R$63:$T$91,3,FALSE)+VLOOKUP("CP",$R$63:$T$91,3,FALSE),0)+IF(AND($Q35&lt;&gt;"",$Q35&lt;&gt;"--",$Q35&lt;&gt;"O3/CP",$Q$14=C$18),IF(LEFT($Q35,1)="P",VLOOKUP(CONCATENATE(LEFT($Q35,2),"H"),$R$63:$T$91,3,FALSE),VLOOKUP($Q35,$R$63:$T$91,3,FALSE)))+IF(AND($Q35&lt;&gt;"",$Q35&lt;&gt;"O3/CP",$Q$15=C$18,MID($Q35,4,1)="2",$Q$15&lt;&gt;$Q$14),VLOOKUP(CONCATENATE(LEFT($Q35,2),"L"),$R$63:$T$91,3,FALSE),0)+IF(AND($Q35="O3/CP",$Q$14=C$18),VLOOKUP("O3",$R$63:$T$91,3,FALSE)+VLOOKUP("CP",$R$63:$T$91,3,FALSE),0)+IF(AND($R35&lt;&gt;"",$R35&lt;&gt;"--",$R35&lt;&gt;"O3/CP",$R$14=C$18),IF(LEFT($R35,1)="P",VLOOKUP(CONCATENATE(LEFT($R35,2),"H"),$R$63:$T$91,3,FALSE),VLOOKUP($R35,$R$63:$T$91,3,FALSE)))+IF(AND($R35&lt;&gt;"",$R35&lt;&gt;"O3/CP",$R$15=C$18,MID($R35,4,1)="2",$R$15&lt;&gt;$R$14),VLOOKUP(CONCATENATE(LEFT($R35,2),"L"),$R$63:$T$91,3,FALSE),0)+IF(AND($R35="O3/CP",$R$14=C$18),VLOOKUP("O3",$R$63:$T$91,3,FALSE)+VLOOKUP("CP",$R$63:$T$91,3,FALSE),0)+IF(AND($S35&lt;&gt;"",$S35&lt;&gt;"--",$S35&lt;&gt;"O3/CP",$S$14=C$18),IF(LEFT($S35,1)="P",VLOOKUP(CONCATENATE(LEFT($S35,2),"H"),$R$63:$T$91,3,FALSE),VLOOKUP($S35,$R$63:$T$91,3,FALSE)))+IF(AND($S35&lt;&gt;"",$S35&lt;&gt;"O3/CP",$S$15=C$18,MID($S35,4,1)="2",$S$15&lt;&gt;$S$14),VLOOKUP(CONCATENATE(LEFT($S35,2),"L"),$R$63:$T$91,3,FALSE),0)+IF(AND($S35="O3/CP",$S$14=C$18),VLOOKUP("O3",$R$63:$T$91,3,FALSE)+VLOOKUP("CP",$R$63:$T$91,3,FALSE),0)+IF(AND($T35&lt;&gt;"",$T35&lt;&gt;"--",$T35&lt;&gt;"O3/CP",$T$14=C$18),IF(LEFT($T35,1)="P",VLOOKUP(CONCATENATE(LEFT($T35,2),"H"),$R$63:$T$91,3,FALSE),VLOOKUP($T35,$R$63:$T$91,3,FALSE)))+IF(AND($T35&lt;&gt;"",$T35&lt;&gt;"O3/CP",$T$15=C$18,MID($T35,4,1)="2",$T$15&lt;&gt;$T$14),VLOOKUP(CONCATENATE(LEFT($T35,2),"L"),$R$63:$T$91,3,FALSE),0)+IF(AND($T35="O3/CP",$T$14=C$18),VLOOKUP("O3",$R$63:$T$91,3,FALSE)+VLOOKUP("CP",$R$63:$T$91,3,FALSE),0)+IF(AND($U35&lt;&gt;"",$U35&lt;&gt;"--",$U35&lt;&gt;"O3/CP",$U$14=C$18),IF(LEFT($U35,1)="P",VLOOKUP(CONCATENATE(LEFT($U35,2),"H"),$R$63:$T$91,3,FALSE),VLOOKUP($U35,$R$63:$T$91,3,FALSE)))+IF(AND($U35&lt;&gt;"",$U35&lt;&gt;"O3/CP",$U$15=C$18,MID($U35,4,1)="2",$U$15&lt;&gt;$U$14),VLOOKUP(CONCATENATE(LEFT($U35,2),"L"),$R$63:$T$91,3,FALSE),0)+IF(AND($U35="O3/CP",$T$14=C$18),VLOOKUP("O3",$R$63:$T$91,3,FALSE)+VLOOKUP("CP",$R$63:$T$91,3,FALSE),0)+IF(AND($V35&lt;&gt;"",$V35&lt;&gt;"--",$V35&lt;&gt;"O3/CP",$V$14=C$18),IF(LEFT($V35,1)="P",VLOOKUP(CONCATENATE(LEFT($V35,2),"H"),$R$63:$T$91,3,FALSE),VLOOKUP($V35,$R$63:$T$91,3,FALSE)))+IF(AND($V35&lt;&gt;"",$V35&lt;&gt;"O3/CP",$V$15=C$18,MID($V35,4,1)="2",$V$15&lt;&gt;$V$14),VLOOKUP(CONCATENATE(LEFT($V35,2),"L"),$R$63:$T$91,3,FALSE),0)+IF(AND($V35="O3/CP",$V$14=C$18),VLOOKUP("O3",$R$63:$T$91,3,FALSE)+VLOOKUP("CP",$R$63:$T$91,3,FALSE),0)+IF(AND($W35&lt;&gt;"",$W35&lt;&gt;"--",$W35&lt;&gt;"O3/CP",$W$14=C$18),IF(LEFT($W35,1)="P",VLOOKUP(CONCATENATE(LEFT($W35,2),"H"),$R$63:$T$91,3,FALSE),VLOOKUP($W35,$R$63:$T$91,3,FALSE)))+IF(AND($W35&lt;&gt;"",$W35&lt;&gt;"O3/CP",$W$15=C$18,MID($W35,4,1)="2",$W$15&lt;&gt;$W$14),VLOOKUP(CONCATENATE(LEFT($W35,2),"L"),$R$63:$T$91,3,FALSE),0)+IF(AND($W35="O3/CP",$W$14=C$18),VLOOKUP("O3",$R$63:$T$91,3,FALSE)+VLOOKUP("CP",$R$63:$T$91,3,FALSE),0)+IF(AND($X35&lt;&gt;"",$X35&lt;&gt;"--",$X35&lt;&gt;"O3/CP",$X$14=C$18),IF(LEFT($X35,1)="P",VLOOKUP(CONCATENATE(LEFT($X35,2),"H"),$R$63:$T$91,3,FALSE),VLOOKUP($X35,$R$63:$T$91,3,FALSE)))+IF(AND($X35&lt;&gt;"",$X35&lt;&gt;"O3/CP",$X$15=C$18,MID($X35,4,1)="2",$X$15&lt;&gt;$X$14),VLOOKUP(CONCATENATE(LEFT($X35,2),"L"),$R$63:$T$91,3,FALSE),0)+IF(AND($X35="O3/CP",$X$14=C$18),VLOOKUP("O3",$R$63:$T$91,3,FALSE)+VLOOKUP("CP",$R$63:$T$91,3,FALSE),0)+IF(AND($Y35&lt;&gt;"",$Y35&lt;&gt;"--",$Y35&lt;&gt;"O3/CP",$Y$14=C$18),IF(LEFT($Y35,1)="P",VLOOKUP(CONCATENATE(LEFT($Y35,2),"H"),$R$63:$T$91,3,FALSE),VLOOKUP($Y35,$R$63:$T$91,3,FALSE)))+IF(AND($Y35&lt;&gt;"",$Y35&lt;&gt;"O3/CP",$Y$15=C$18,MID($Y35,4,1)="2",$Y$15&lt;&gt;$Y$14),VLOOKUP(CONCATENATE(LEFT($Y35,2),"L"),$R$63:$T$91,3,FALSE),0)+IF(AND($Y35="O3/CP",$Y$14=C$18),VLOOKUP("O3",$R$63:$T$91,3,FALSE)+VLOOKUP("CP",$R$63:$T$91,3,FALSE),0)+IF(AND($K$6="CE",'[3]Supply Attribution'!$G$20=C$18),LEFT($S$90,2),0)+IF(AND($X$86&lt;&gt;"Not Set",$X$87=C$18),$X$86,0)</f>
        <v>12</v>
      </c>
      <c r="D35" s="271">
        <f>IF(AND($K35&lt;&gt;"",$K35&lt;&gt;"--",$K35&lt;&gt;"O3/CP",$K$14=D$18),IF(LEFT($K35,1)="P",VLOOKUP(CONCATENATE(LEFT($K35,2),"H"),$R$63:$T$91,3,FALSE),VLOOKUP($K35,$R$63:$T$91,3,FALSE)))+IF(AND($K35&lt;&gt;"",$K35&lt;&gt;"O3/CP",$K$15=D$18,MID($K35,4,1)="2",$K$15&lt;&gt;$K$14),VLOOKUP(CONCATENATE(LEFT($K35,2),"L"),$R$63:$T$91,3,FALSE),0)+IF(AND($K35="O3/CP",$K$14=D$18),VLOOKUP("O3",$R$63:$T$91,3,FALSE)+VLOOKUP("CP",$R$63:$T$91,3,FALSE),0)+IF(AND($L35&lt;&gt;"",$L35&lt;&gt;"--",$L35&lt;&gt;"O3/CP",$L$14=D$18),IF(LEFT($L35,1)="P",VLOOKUP(CONCATENATE(LEFT($L35,2),"H"),$R$63:$T$91,3,FALSE),VLOOKUP($L35,$R$63:$T$91,3,FALSE)))+IF(AND($L35&lt;&gt;"",$L35&lt;&gt;"O3/CP",$L$15=D$18,MID($L35,4,1)="2",$L$15&lt;&gt;$L$14),VLOOKUP(CONCATENATE(LEFT($L35,2),"L"),$R$63:$T$91,3,FALSE),0)+IF(AND($L35="O3/CP",$L$14=D$18),VLOOKUP("O3",$R$63:$T$91,3,FALSE)+VLOOKUP("CP",$R$63:$T$91,3,FALSE),0)+IF(AND($M35&lt;&gt;"",$M35&lt;&gt;"--",$M35&lt;&gt;"O3/CP",$M$14=D$18),IF(LEFT($M35,1)="P",VLOOKUP(CONCATENATE(LEFT($M35,2),"H"),$R$63:$T$91,3,FALSE),VLOOKUP($M35,$R$63:$T$91,3,FALSE)))+IF(AND($M35&lt;&gt;"",$M35&lt;&gt;"O3/CP",$M$15=D$18,MID($M35,4,1)="2",$M$15&lt;&gt;$M$14),VLOOKUP(CONCATENATE(LEFT($M35,2),"L"),$R$63:$T$91,3,FALSE),0)+IF(AND($M35="O3/CP",$M$14=D$18),VLOOKUP("O3",$R$63:$T$91,3,FALSE)+VLOOKUP("CP",$R$63:$T$91,3,FALSE),0)+IF(AND($N35&lt;&gt;"",$N35&lt;&gt;"--",$N35&lt;&gt;"O3/CP",$N$14=D$18),IF(LEFT($N35,1)="P",VLOOKUP(CONCATENATE(LEFT($N35,2),"H"),$R$63:$T$91,3,FALSE),VLOOKUP($N35,$R$63:$T$91,3,FALSE)))+IF(AND($N35&lt;&gt;"",$N35&lt;&gt;"O3/CP",$N$15=D$18,MID($N35,4,1)="2",$N$15&lt;&gt;$N$14),VLOOKUP(CONCATENATE(LEFT($N35,2),"L"),$R$63:$T$91,3,FALSE),0)+IF(AND($N35="O3/CP",$N$14=D$18),VLOOKUP("O3",$R$63:$T$91,3,FALSE)+VLOOKUP("CP",$R$63:$T$91,3,FALSE),0)+IF(AND($O35&lt;&gt;"",$O35&lt;&gt;"--",$O35&lt;&gt;"O3/CP",$O$14=D$18),IF(LEFT($O35,1)="P",VLOOKUP(CONCATENATE(LEFT($O35,2),"H"),$R$63:$T$91,3,FALSE),VLOOKUP($O35,$R$63:$T$91,3,FALSE)))+IF(AND($O35&lt;&gt;"",$O35&lt;&gt;"O3/CP",$O$15=D$18,MID($O35,4,1)="2",$O$15&lt;&gt;$O$14),VLOOKUP(CONCATENATE(LEFT($O35,2),"L"),$R$63:$T$91,3,FALSE),0)+IF(AND($O35="O3/CP",$O$14=D$18),VLOOKUP("O3",$R$63:$T$91,3,FALSE)+VLOOKUP("CP",$R$63:$T$91,3,FALSE),0)+IF(AND($P35&lt;&gt;"",$P35&lt;&gt;"--",$P35&lt;&gt;"O3/CP",$P$14=D$18),IF(LEFT($P35,1)="P",VLOOKUP(CONCATENATE(LEFT($P35,2),"H"),$R$63:$T$91,3,FALSE),VLOOKUP($P35,$R$63:$T$91,3,FALSE)))+IF(AND($P35&lt;&gt;"",$P35&lt;&gt;"O3/CP",$P$15=D$18,MID($P35,4,1)="2",$P$15&lt;&gt;$P$14),VLOOKUP(CONCATENATE(LEFT($P35,2),"L"),$R$63:$T$91,3,FALSE),0)+IF(AND($P35="O3/CP",$P$14=D$18),VLOOKUP("O3",$R$63:$T$91,3,FALSE)+VLOOKUP("CP",$R$63:$T$91,3,FALSE),0)+IF(AND($Q35&lt;&gt;"",$Q35&lt;&gt;"--",$Q35&lt;&gt;"O3/CP",$Q$14=D$18),IF(LEFT($Q35,1)="P",VLOOKUP(CONCATENATE(LEFT($Q35,2),"H"),$R$63:$T$91,3,FALSE),VLOOKUP($Q35,$R$63:$T$91,3,FALSE)))+IF(AND($Q35&lt;&gt;"",$Q35&lt;&gt;"O3/CP",$Q$15=D$18,MID($Q35,4,1)="2",$Q$15&lt;&gt;$Q$14),VLOOKUP(CONCATENATE(LEFT($Q35,2),"L"),$R$63:$T$91,3,FALSE),0)+IF(AND($Q35="O3/CP",$Q$14=D$18),VLOOKUP("O3",$R$63:$T$91,3,FALSE)+VLOOKUP("CP",$R$63:$T$91,3,FALSE),0)+IF(AND($R35&lt;&gt;"",$R35&lt;&gt;"--",$R35&lt;&gt;"O3/CP",$R$14=D$18),IF(LEFT($R35,1)="P",VLOOKUP(CONCATENATE(LEFT($R35,2),"H"),$R$63:$T$91,3,FALSE),VLOOKUP($R35,$R$63:$T$91,3,FALSE)))+IF(AND($R35&lt;&gt;"",$R35&lt;&gt;"O3/CP",$R$15=D$18,MID($R35,4,1)="2",$R$15&lt;&gt;$R$14),VLOOKUP(CONCATENATE(LEFT($R35,2),"L"),$R$63:$T$91,3,FALSE),0)+IF(AND($R35="O3/CP",$R$14=D$18),VLOOKUP("O3",$R$63:$T$91,3,FALSE)+VLOOKUP("CP",$R$63:$T$91,3,FALSE),0)+IF(AND($S35&lt;&gt;"",$S35&lt;&gt;"--",$S35&lt;&gt;"O3/CP",$S$14=D$18),IF(LEFT($S35,1)="P",VLOOKUP(CONCATENATE(LEFT($S35,2),"H"),$R$63:$T$91,3,FALSE),VLOOKUP($S35,$R$63:$T$91,3,FALSE)))+IF(AND($S35&lt;&gt;"",$S35&lt;&gt;"O3/CP",$S$15=D$18,MID($S35,4,1)="2",$S$15&lt;&gt;$S$14),VLOOKUP(CONCATENATE(LEFT($S35,2),"L"),$R$63:$T$91,3,FALSE),0)+IF(AND($S35="O3/CP",$S$14=D$18),VLOOKUP("O3",$R$63:$T$91,3,FALSE)+VLOOKUP("CP",$R$63:$T$91,3,FALSE),0)+IF(AND($T35&lt;&gt;"",$T35&lt;&gt;"--",$T35&lt;&gt;"O3/CP",$T$14=D$18),IF(LEFT($T35,1)="P",VLOOKUP(CONCATENATE(LEFT($T35,2),"H"),$R$63:$T$91,3,FALSE),VLOOKUP($T35,$R$63:$T$91,3,FALSE)))+IF(AND($T35&lt;&gt;"",$T35&lt;&gt;"O3/CP",$T$15=D$18,MID($T35,4,1)="2",$T$15&lt;&gt;$T$14),VLOOKUP(CONCATENATE(LEFT($T35,2),"L"),$R$63:$T$91,3,FALSE),0)+IF(AND($T35="O3/CP",$T$14=D$18),VLOOKUP("O3",$R$63:$T$91,3,FALSE)+VLOOKUP("CP",$R$63:$T$91,3,FALSE),0)+IF(AND($U35&lt;&gt;"",$U35&lt;&gt;"--",$U35&lt;&gt;"O3/CP",$U$14=D$18),IF(LEFT($U35,1)="P",VLOOKUP(CONCATENATE(LEFT($U35,2),"H"),$R$63:$T$91,3,FALSE),VLOOKUP($U35,$R$63:$T$91,3,FALSE)))+IF(AND($U35&lt;&gt;"",$U35&lt;&gt;"O3/CP",$U$15=D$18,MID($U35,4,1)="2",$U$15&lt;&gt;$U$14),VLOOKUP(CONCATENATE(LEFT($U35,2),"L"),$R$63:$T$91,3,FALSE),0)+IF(AND($U35="O3/CP",$T$14=D$18),VLOOKUP("O3",$R$63:$T$91,3,FALSE)+VLOOKUP("CP",$R$63:$T$91,3,FALSE),0)+IF(AND($V35&lt;&gt;"",$V35&lt;&gt;"--",$V35&lt;&gt;"O3/CP",$V$14=D$18),IF(LEFT($V35,1)="P",VLOOKUP(CONCATENATE(LEFT($V35,2),"H"),$R$63:$T$91,3,FALSE),VLOOKUP($V35,$R$63:$T$91,3,FALSE)))+IF(AND($V35&lt;&gt;"",$V35&lt;&gt;"O3/CP",$V$15=D$18,MID($V35,4,1)="2",$V$15&lt;&gt;$V$14),VLOOKUP(CONCATENATE(LEFT($V35,2),"L"),$R$63:$T$91,3,FALSE),0)+IF(AND($V35="O3/CP",$V$14=D$18),VLOOKUP("O3",$R$63:$T$91,3,FALSE)+VLOOKUP("CP",$R$63:$T$91,3,FALSE),0)+IF(AND($W35&lt;&gt;"",$W35&lt;&gt;"--",$W35&lt;&gt;"O3/CP",$W$14=D$18),IF(LEFT($W35,1)="P",VLOOKUP(CONCATENATE(LEFT($W35,2),"H"),$R$63:$T$91,3,FALSE),VLOOKUP($W35,$R$63:$T$91,3,FALSE)))+IF(AND($W35&lt;&gt;"",$W35&lt;&gt;"O3/CP",$W$15=D$18,MID($W35,4,1)="2",$W$15&lt;&gt;$W$14),VLOOKUP(CONCATENATE(LEFT($W35,2),"L"),$R$63:$T$91,3,FALSE),0)+IF(AND($W35="O3/CP",$W$14=D$18),VLOOKUP("O3",$R$63:$T$91,3,FALSE)+VLOOKUP("CP",$R$63:$T$91,3,FALSE),0)+IF(AND($X35&lt;&gt;"",$X35&lt;&gt;"--",$X35&lt;&gt;"O3/CP",$X$14=D$18),IF(LEFT($X35,1)="P",VLOOKUP(CONCATENATE(LEFT($X35,2),"H"),$R$63:$T$91,3,FALSE),VLOOKUP($X35,$R$63:$T$91,3,FALSE)))+IF(AND($X35&lt;&gt;"",$X35&lt;&gt;"O3/CP",$X$15=D$18,MID($X35,4,1)="2",$X$15&lt;&gt;$X$14),VLOOKUP(CONCATENATE(LEFT($X35,2),"L"),$R$63:$T$91,3,FALSE),0)+IF(AND($X35="O3/CP",$X$14=D$18),VLOOKUP("O3",$R$63:$T$91,3,FALSE)+VLOOKUP("CP",$R$63:$T$91,3,FALSE),0)+IF(AND($Y35&lt;&gt;"",$Y35&lt;&gt;"--",$Y35&lt;&gt;"O3/CP",$Y$14=D$18),IF(LEFT($Y35,1)="P",VLOOKUP(CONCATENATE(LEFT($Y35,2),"H"),$R$63:$T$91,3,FALSE),VLOOKUP($Y35,$R$63:$T$91,3,FALSE)))+IF(AND($Y35&lt;&gt;"",$Y35&lt;&gt;"O3/CP",$Y$15=D$18,MID($Y35,4,1)="2",$Y$15&lt;&gt;$Y$14),VLOOKUP(CONCATENATE(LEFT($Y35,2),"L"),$R$63:$T$91,3,FALSE),0)+IF(AND($Y35="O3/CP",$Y$14=D$18),VLOOKUP("O3",$R$63:$T$91,3,FALSE)+VLOOKUP("CP",$R$63:$T$91,3,FALSE),0)+IF(AND($K$6="CE",'[3]Supply Attribution'!$G$20=D$18),LEFT($S$90,2),0)+IF(AND($X$86&lt;&gt;"Not Set",$X$87=D$18),$X$86,0)</f>
        <v>0</v>
      </c>
      <c r="E35" s="271">
        <f>IF(AND($K35&lt;&gt;"",$K35&lt;&gt;"--",$K35&lt;&gt;"O3/CP",$K$14=E$18),IF(LEFT($K35,1)="P",VLOOKUP(CONCATENATE(LEFT($K35,2),"H"),$R$63:$T$91,3,FALSE),VLOOKUP($K35,$R$63:$T$91,3,FALSE)))+IF(AND($K35&lt;&gt;"",$K35&lt;&gt;"O3/CP",$K$15=E$18,MID($K35,4,1)="2",$K$15&lt;&gt;$K$14),VLOOKUP(CONCATENATE(LEFT($K35,2),"L"),$R$63:$T$91,3,FALSE),0)+IF(AND($K35="O3/CP",$K$14=E$18),VLOOKUP("O3",$R$63:$T$91,3,FALSE)+VLOOKUP("CP",$R$63:$T$91,3,FALSE),0)+IF(AND($L35&lt;&gt;"",$L35&lt;&gt;"--",$L35&lt;&gt;"O3/CP",$L$14=E$18),IF(LEFT($L35,1)="P",VLOOKUP(CONCATENATE(LEFT($L35,2),"H"),$R$63:$T$91,3,FALSE),VLOOKUP($L35,$R$63:$T$91,3,FALSE)))+IF(AND($L35&lt;&gt;"",$L35&lt;&gt;"O3/CP",$L$15=E$18,MID($L35,4,1)="2",$L$15&lt;&gt;$L$14),VLOOKUP(CONCATENATE(LEFT($L35,2),"L"),$R$63:$T$91,3,FALSE),0)+IF(AND($L35="O3/CP",$L$14=E$18),VLOOKUP("O3",$R$63:$T$91,3,FALSE)+VLOOKUP("CP",$R$63:$T$91,3,FALSE),0)+IF(AND($M35&lt;&gt;"",$M35&lt;&gt;"--",$M35&lt;&gt;"O3/CP",$M$14=E$18),IF(LEFT($M35,1)="P",VLOOKUP(CONCATENATE(LEFT($M35,2),"H"),$R$63:$T$91,3,FALSE),VLOOKUP($M35,$R$63:$T$91,3,FALSE)))+IF(AND($M35&lt;&gt;"",$M35&lt;&gt;"O3/CP",$M$15=E$18,MID($M35,4,1)="2",$M$15&lt;&gt;$M$14),VLOOKUP(CONCATENATE(LEFT($M35,2),"L"),$R$63:$T$91,3,FALSE),0)+IF(AND($M35="O3/CP",$M$14=E$18),VLOOKUP("O3",$R$63:$T$91,3,FALSE)+VLOOKUP("CP",$R$63:$T$91,3,FALSE),0)+IF(AND($N35&lt;&gt;"",$N35&lt;&gt;"--",$N35&lt;&gt;"O3/CP",$N$14=E$18),IF(LEFT($N35,1)="P",VLOOKUP(CONCATENATE(LEFT($N35,2),"H"),$R$63:$T$91,3,FALSE),VLOOKUP($N35,$R$63:$T$91,3,FALSE)))+IF(AND($N35&lt;&gt;"",$N35&lt;&gt;"O3/CP",$N$15=E$18,MID($N35,4,1)="2",$N$15&lt;&gt;$N$14),VLOOKUP(CONCATENATE(LEFT($N35,2),"L"),$R$63:$T$91,3,FALSE),0)+IF(AND($N35="O3/CP",$N$14=E$18),VLOOKUP("O3",$R$63:$T$91,3,FALSE)+VLOOKUP("CP",$R$63:$T$91,3,FALSE),0)+IF(AND($O35&lt;&gt;"",$O35&lt;&gt;"--",$O35&lt;&gt;"O3/CP",$O$14=E$18),IF(LEFT($O35,1)="P",VLOOKUP(CONCATENATE(LEFT($O35,2),"H"),$R$63:$T$91,3,FALSE),VLOOKUP($O35,$R$63:$T$91,3,FALSE)))+IF(AND($O35&lt;&gt;"",$O35&lt;&gt;"O3/CP",$O$15=E$18,MID($O35,4,1)="2",$O$15&lt;&gt;$O$14),VLOOKUP(CONCATENATE(LEFT($O35,2),"L"),$R$63:$T$91,3,FALSE),0)+IF(AND($O35="O3/CP",$O$14=E$18),VLOOKUP("O3",$R$63:$T$91,3,FALSE)+VLOOKUP("CP",$R$63:$T$91,3,FALSE),0)+IF(AND($P35&lt;&gt;"",$P35&lt;&gt;"--",$P35&lt;&gt;"O3/CP",$P$14=E$18),IF(LEFT($P35,1)="P",VLOOKUP(CONCATENATE(LEFT($P35,2),"H"),$R$63:$T$91,3,FALSE),VLOOKUP($P35,$R$63:$T$91,3,FALSE)))+IF(AND($P35&lt;&gt;"",$P35&lt;&gt;"O3/CP",$P$15=E$18,MID($P35,4,1)="2",$P$15&lt;&gt;$P$14),VLOOKUP(CONCATENATE(LEFT($P35,2),"L"),$R$63:$T$91,3,FALSE),0)+IF(AND($P35="O3/CP",$P$14=E$18),VLOOKUP("O3",$R$63:$T$91,3,FALSE)+VLOOKUP("CP",$R$63:$T$91,3,FALSE),0)+IF(AND($Q35&lt;&gt;"",$Q35&lt;&gt;"--",$Q35&lt;&gt;"O3/CP",$Q$14=E$18),IF(LEFT($Q35,1)="P",VLOOKUP(CONCATENATE(LEFT($Q35,2),"H"),$R$63:$T$91,3,FALSE),VLOOKUP($Q35,$R$63:$T$91,3,FALSE)))+IF(AND($Q35&lt;&gt;"",$Q35&lt;&gt;"O3/CP",$Q$15=E$18,MID($Q35,4,1)="2",$Q$15&lt;&gt;$Q$14),VLOOKUP(CONCATENATE(LEFT($Q35,2),"L"),$R$63:$T$91,3,FALSE),0)+IF(AND($Q35="O3/CP",$Q$14=E$18),VLOOKUP("O3",$R$63:$T$91,3,FALSE)+VLOOKUP("CP",$R$63:$T$91,3,FALSE),0)+IF(AND($R35&lt;&gt;"",$R35&lt;&gt;"--",$R35&lt;&gt;"O3/CP",$R$14=E$18),IF(LEFT($R35,1)="P",VLOOKUP(CONCATENATE(LEFT($R35,2),"H"),$R$63:$T$91,3,FALSE),VLOOKUP($R35,$R$63:$T$91,3,FALSE)))+IF(AND($R35&lt;&gt;"",$R35&lt;&gt;"O3/CP",$R$15=E$18,MID($R35,4,1)="2",$R$15&lt;&gt;$R$14),VLOOKUP(CONCATENATE(LEFT($R35,2),"L"),$R$63:$T$91,3,FALSE),0)+IF(AND($R35="O3/CP",$R$14=E$18),VLOOKUP("O3",$R$63:$T$91,3,FALSE)+VLOOKUP("CP",$R$63:$T$91,3,FALSE),0)+IF(AND($S35&lt;&gt;"",$S35&lt;&gt;"--",$S35&lt;&gt;"O3/CP",$S$14=E$18),IF(LEFT($S35,1)="P",VLOOKUP(CONCATENATE(LEFT($S35,2),"H"),$R$63:$T$91,3,FALSE),VLOOKUP($S35,$R$63:$T$91,3,FALSE)))+IF(AND($S35&lt;&gt;"",$S35&lt;&gt;"O3/CP",$S$15=E$18,MID($S35,4,1)="2",$S$15&lt;&gt;$S$14),VLOOKUP(CONCATENATE(LEFT($S35,2),"L"),$R$63:$T$91,3,FALSE),0)+IF(AND($S35="O3/CP",$S$14=E$18),VLOOKUP("O3",$R$63:$T$91,3,FALSE)+VLOOKUP("CP",$R$63:$T$91,3,FALSE),0)+IF(AND($T35&lt;&gt;"",$T35&lt;&gt;"--",$T35&lt;&gt;"O3/CP",$T$14=E$18),IF(LEFT($T35,1)="P",VLOOKUP(CONCATENATE(LEFT($T35,2),"H"),$R$63:$T$91,3,FALSE),VLOOKUP($T35,$R$63:$T$91,3,FALSE)))+IF(AND($T35&lt;&gt;"",$T35&lt;&gt;"O3/CP",$T$15=E$18,MID($T35,4,1)="2",$T$15&lt;&gt;$T$14),VLOOKUP(CONCATENATE(LEFT($T35,2),"L"),$R$63:$T$91,3,FALSE),0)+IF(AND($T35="O3/CP",$T$14=E$18),VLOOKUP("O3",$R$63:$T$91,3,FALSE)+VLOOKUP("CP",$R$63:$T$91,3,FALSE),0)+IF(AND($U35&lt;&gt;"",$U35&lt;&gt;"--",$U35&lt;&gt;"O3/CP",$U$14=E$18),IF(LEFT($U35,1)="P",VLOOKUP(CONCATENATE(LEFT($U35,2),"H"),$R$63:$T$91,3,FALSE),VLOOKUP($U35,$R$63:$T$91,3,FALSE)))+IF(AND($U35&lt;&gt;"",$U35&lt;&gt;"O3/CP",$U$15=E$18,MID($U35,4,1)="2",$U$15&lt;&gt;$U$14),VLOOKUP(CONCATENATE(LEFT($U35,2),"L"),$R$63:$T$91,3,FALSE),0)+IF(AND($U35="O3/CP",$T$14=E$18),VLOOKUP("O3",$R$63:$T$91,3,FALSE)+VLOOKUP("CP",$R$63:$T$91,3,FALSE),0)+IF(AND($V35&lt;&gt;"",$V35&lt;&gt;"--",$V35&lt;&gt;"O3/CP",$V$14=E$18),IF(LEFT($V35,1)="P",VLOOKUP(CONCATENATE(LEFT($V35,2),"H"),$R$63:$T$91,3,FALSE),VLOOKUP($V35,$R$63:$T$91,3,FALSE)))+IF(AND($V35&lt;&gt;"",$V35&lt;&gt;"O3/CP",$V$15=E$18,MID($V35,4,1)="2",$V$15&lt;&gt;$V$14),VLOOKUP(CONCATENATE(LEFT($V35,2),"L"),$R$63:$T$91,3,FALSE),0)+IF(AND($V35="O3/CP",$V$14=E$18),VLOOKUP("O3",$R$63:$T$91,3,FALSE)+VLOOKUP("CP",$R$63:$T$91,3,FALSE),0)+IF(AND($W35&lt;&gt;"",$W35&lt;&gt;"--",$W35&lt;&gt;"O3/CP",$W$14=E$18),IF(LEFT($W35,1)="P",VLOOKUP(CONCATENATE(LEFT($W35,2),"H"),$R$63:$T$91,3,FALSE),VLOOKUP($W35,$R$63:$T$91,3,FALSE)))+IF(AND($W35&lt;&gt;"",$W35&lt;&gt;"O3/CP",$W$15=E$18,MID($W35,4,1)="2",$W$15&lt;&gt;$W$14),VLOOKUP(CONCATENATE(LEFT($W35,2),"L"),$R$63:$T$91,3,FALSE),0)+IF(AND($W35="O3/CP",$W$14=E$18),VLOOKUP("O3",$R$63:$T$91,3,FALSE)+VLOOKUP("CP",$R$63:$T$91,3,FALSE),0)+IF(AND($X35&lt;&gt;"",$X35&lt;&gt;"--",$X35&lt;&gt;"O3/CP",$X$14=E$18),IF(LEFT($X35,1)="P",VLOOKUP(CONCATENATE(LEFT($X35,2),"H"),$R$63:$T$91,3,FALSE),VLOOKUP($X35,$R$63:$T$91,3,FALSE)))+IF(AND($X35&lt;&gt;"",$X35&lt;&gt;"O3/CP",$X$15=E$18,MID($X35,4,1)="2",$X$15&lt;&gt;$X$14),VLOOKUP(CONCATENATE(LEFT($X35,2),"L"),$R$63:$T$91,3,FALSE),0)+IF(AND($X35="O3/CP",$X$14=E$18),VLOOKUP("O3",$R$63:$T$91,3,FALSE)+VLOOKUP("CP",$R$63:$T$91,3,FALSE),0)+IF(AND($Y35&lt;&gt;"",$Y35&lt;&gt;"--",$Y35&lt;&gt;"O3/CP",$Y$14=E$18),IF(LEFT($Y35,1)="P",VLOOKUP(CONCATENATE(LEFT($Y35,2),"H"),$R$63:$T$91,3,FALSE),VLOOKUP($Y35,$R$63:$T$91,3,FALSE)))+IF(AND($Y35&lt;&gt;"",$Y35&lt;&gt;"O3/CP",$Y$15=E$18,MID($Y35,4,1)="2",$Y$15&lt;&gt;$Y$14),VLOOKUP(CONCATENATE(LEFT($Y35,2),"L"),$R$63:$T$91,3,FALSE),0)+IF(AND($Y35="O3/CP",$Y$14=E$18),VLOOKUP("O3",$R$63:$T$91,3,FALSE)+VLOOKUP("CP",$R$63:$T$91,3,FALSE),0)+IF(AND($K$6="CE",'[3]Supply Attribution'!$G$20=E$18),LEFT($S$90,2),0)+IF(AND($X$86&lt;&gt;"Not Set",$X$87=E$18),$X$86,0)</f>
        <v>0</v>
      </c>
      <c r="F35" s="272">
        <f>IF(AND($K35&lt;&gt;"",$K35&lt;&gt;"--",$K35&lt;&gt;"O3/CP",$K$14=F$18),IF(LEFT($K35,1)="P",VLOOKUP(CONCATENATE(LEFT($K35,2),"H"),$R$63:$T$91,3,FALSE),VLOOKUP($K35,$R$63:$T$91,3,FALSE)))+IF(AND($K35&lt;&gt;"",$K35&lt;&gt;"O3/CP",$K$15=F$18,MID($K35,4,1)="2",$K$15&lt;&gt;$K$14),VLOOKUP(CONCATENATE(LEFT($K35,2),"L"),$R$63:$T$91,3,FALSE),0)+IF(AND($K35="O3/CP",$K$14=F$18),VLOOKUP("O3",$R$63:$T$91,3,FALSE)+VLOOKUP("CP",$R$63:$T$91,3,FALSE),0)+IF(AND($L35&lt;&gt;"",$L35&lt;&gt;"--",$L35&lt;&gt;"O3/CP",$L$14=F$18),IF(LEFT($L35,1)="P",VLOOKUP(CONCATENATE(LEFT($L35,2),"H"),$R$63:$T$91,3,FALSE),VLOOKUP($L35,$R$63:$T$91,3,FALSE)))+IF(AND($L35&lt;&gt;"",$L35&lt;&gt;"O3/CP",$L$15=F$18,MID($L35,4,1)="2",$L$15&lt;&gt;$L$14),VLOOKUP(CONCATENATE(LEFT($L35,2),"L"),$R$63:$T$91,3,FALSE),0)+IF(AND($L35="O3/CP",$L$14=F$18),VLOOKUP("O3",$R$63:$T$91,3,FALSE)+VLOOKUP("CP",$R$63:$T$91,3,FALSE),0)+IF(AND($M35&lt;&gt;"",$M35&lt;&gt;"--",$M35&lt;&gt;"O3/CP",$M$14=F$18),IF(LEFT($M35,1)="P",VLOOKUP(CONCATENATE(LEFT($M35,2),"H"),$R$63:$T$91,3,FALSE),VLOOKUP($M35,$R$63:$T$91,3,FALSE)))+IF(AND($M35&lt;&gt;"",$M35&lt;&gt;"O3/CP",$M$15=F$18,MID($M35,4,1)="2",$M$15&lt;&gt;$M$14),VLOOKUP(CONCATENATE(LEFT($M35,2),"L"),$R$63:$T$91,3,FALSE),0)+IF(AND($M35="O3/CP",$M$14=F$18),VLOOKUP("O3",$R$63:$T$91,3,FALSE)+VLOOKUP("CP",$R$63:$T$91,3,FALSE),0)+IF(AND($N35&lt;&gt;"",$N35&lt;&gt;"--",$N35&lt;&gt;"O3/CP",$N$14=F$18),IF(LEFT($N35,1)="P",VLOOKUP(CONCATENATE(LEFT($N35,2),"H"),$R$63:$T$91,3,FALSE),VLOOKUP($N35,$R$63:$T$91,3,FALSE)))+IF(AND($N35&lt;&gt;"",$N35&lt;&gt;"O3/CP",$N$15=F$18,MID($N35,4,1)="2",$N$15&lt;&gt;$N$14),VLOOKUP(CONCATENATE(LEFT($N35,2),"L"),$R$63:$T$91,3,FALSE),0)+IF(AND($N35="O3/CP",$N$14=F$18),VLOOKUP("O3",$R$63:$T$91,3,FALSE)+VLOOKUP("CP",$R$63:$T$91,3,FALSE),0)+IF(AND($O35&lt;&gt;"",$O35&lt;&gt;"--",$O35&lt;&gt;"O3/CP",$O$14=F$18),IF(LEFT($O35,1)="P",VLOOKUP(CONCATENATE(LEFT($O35,2),"H"),$R$63:$T$91,3,FALSE),VLOOKUP($O35,$R$63:$T$91,3,FALSE)))+IF(AND($O35&lt;&gt;"",$O35&lt;&gt;"O3/CP",$O$15=F$18,MID($O35,4,1)="2",$O$15&lt;&gt;$O$14),VLOOKUP(CONCATENATE(LEFT($O35,2),"L"),$R$63:$T$91,3,FALSE),0)+IF(AND($O35="O3/CP",$O$14=F$18),VLOOKUP("O3",$R$63:$T$91,3,FALSE)+VLOOKUP("CP",$R$63:$T$91,3,FALSE),0)+IF(AND($P35&lt;&gt;"",$P35&lt;&gt;"--",$P35&lt;&gt;"O3/CP",$P$14=F$18),IF(LEFT($P35,1)="P",VLOOKUP(CONCATENATE(LEFT($P35,2),"H"),$R$63:$T$91,3,FALSE),VLOOKUP($P35,$R$63:$T$91,3,FALSE)))+IF(AND($P35&lt;&gt;"",$P35&lt;&gt;"O3/CP",$P$15=F$18,MID($P35,4,1)="2",$P$15&lt;&gt;$P$14),VLOOKUP(CONCATENATE(LEFT($P35,2),"L"),$R$63:$T$91,3,FALSE),0)+IF(AND($P35="O3/CP",$P$14=F$18),VLOOKUP("O3",$R$63:$T$91,3,FALSE)+VLOOKUP("CP",$R$63:$T$91,3,FALSE),0)+IF(AND($Q35&lt;&gt;"",$Q35&lt;&gt;"--",$Q35&lt;&gt;"O3/CP",$Q$14=F$18),IF(LEFT($Q35,1)="P",VLOOKUP(CONCATENATE(LEFT($Q35,2),"H"),$R$63:$T$91,3,FALSE),VLOOKUP($Q35,$R$63:$T$91,3,FALSE)))+IF(AND($Q35&lt;&gt;"",$Q35&lt;&gt;"O3/CP",$Q$15=F$18,MID($Q35,4,1)="2",$Q$15&lt;&gt;$Q$14),VLOOKUP(CONCATENATE(LEFT($Q35,2),"L"),$R$63:$T$91,3,FALSE),0)+IF(AND($Q35="O3/CP",$Q$14=F$18),VLOOKUP("O3",$R$63:$T$91,3,FALSE)+VLOOKUP("CP",$R$63:$T$91,3,FALSE),0)+IF(AND($R35&lt;&gt;"",$R35&lt;&gt;"--",$R35&lt;&gt;"O3/CP",$R$14=F$18),IF(LEFT($R35,1)="P",VLOOKUP(CONCATENATE(LEFT($R35,2),"H"),$R$63:$T$91,3,FALSE),VLOOKUP($R35,$R$63:$T$91,3,FALSE)))+IF(AND($R35&lt;&gt;"",$R35&lt;&gt;"O3/CP",$R$15=F$18,MID($R35,4,1)="2",$R$15&lt;&gt;$R$14),VLOOKUP(CONCATENATE(LEFT($R35,2),"L"),$R$63:$T$91,3,FALSE),0)+IF(AND($R35="O3/CP",$R$14=F$18),VLOOKUP("O3",$R$63:$T$91,3,FALSE)+VLOOKUP("CP",$R$63:$T$91,3,FALSE),0)+IF(AND($S35&lt;&gt;"",$S35&lt;&gt;"--",$S35&lt;&gt;"O3/CP",$S$14=F$18),IF(LEFT($S35,1)="P",VLOOKUP(CONCATENATE(LEFT($S35,2),"H"),$R$63:$T$91,3,FALSE),VLOOKUP($S35,$R$63:$T$91,3,FALSE)))+IF(AND($S35&lt;&gt;"",$S35&lt;&gt;"O3/CP",$S$15=F$18,MID($S35,4,1)="2",$S$15&lt;&gt;$S$14),VLOOKUP(CONCATENATE(LEFT($S35,2),"L"),$R$63:$T$91,3,FALSE),0)+IF(AND($S35="O3/CP",$S$14=F$18),VLOOKUP("O3",$R$63:$T$91,3,FALSE)+VLOOKUP("CP",$R$63:$T$91,3,FALSE),0)+IF(AND($T35&lt;&gt;"",$T35&lt;&gt;"--",$T35&lt;&gt;"O3/CP",$T$14=F$18),IF(LEFT($T35,1)="P",VLOOKUP(CONCATENATE(LEFT($T35,2),"H"),$R$63:$T$91,3,FALSE),VLOOKUP($T35,$R$63:$T$91,3,FALSE)))+IF(AND($T35&lt;&gt;"",$T35&lt;&gt;"O3/CP",$T$15=F$18,MID($T35,4,1)="2",$T$15&lt;&gt;$T$14),VLOOKUP(CONCATENATE(LEFT($T35,2),"L"),$R$63:$T$91,3,FALSE),0)+IF(AND($T35="O3/CP",$T$14=F$18),VLOOKUP("O3",$R$63:$T$91,3,FALSE)+VLOOKUP("CP",$R$63:$T$91,3,FALSE),0)+IF(AND($U35&lt;&gt;"",$U35&lt;&gt;"--",$U35&lt;&gt;"O3/CP",$U$14=F$18),IF(LEFT($U35,1)="P",VLOOKUP(CONCATENATE(LEFT($U35,2),"H"),$R$63:$T$91,3,FALSE),VLOOKUP($U35,$R$63:$T$91,3,FALSE)))+IF(AND($U35&lt;&gt;"",$U35&lt;&gt;"O3/CP",$U$15=F$18,MID($U35,4,1)="2",$U$15&lt;&gt;$U$14),VLOOKUP(CONCATENATE(LEFT($U35,2),"L"),$R$63:$T$91,3,FALSE),0)+IF(AND($U35="O3/CP",$T$14=F$18),VLOOKUP("O3",$R$63:$T$91,3,FALSE)+VLOOKUP("CP",$R$63:$T$91,3,FALSE),0)+IF(AND($V35&lt;&gt;"",$V35&lt;&gt;"--",$V35&lt;&gt;"O3/CP",$V$14=F$18),IF(LEFT($V35,1)="P",VLOOKUP(CONCATENATE(LEFT($V35,2),"H"),$R$63:$T$91,3,FALSE),VLOOKUP($V35,$R$63:$T$91,3,FALSE)))+IF(AND($V35&lt;&gt;"",$V35&lt;&gt;"O3/CP",$V$15=F$18,MID($V35,4,1)="2",$V$15&lt;&gt;$V$14),VLOOKUP(CONCATENATE(LEFT($V35,2),"L"),$R$63:$T$91,3,FALSE),0)+IF(AND($V35="O3/CP",$V$14=F$18),VLOOKUP("O3",$R$63:$T$91,3,FALSE)+VLOOKUP("CP",$R$63:$T$91,3,FALSE),0)+IF(AND($W35&lt;&gt;"",$W35&lt;&gt;"--",$W35&lt;&gt;"O3/CP",$W$14=F$18),IF(LEFT($W35,1)="P",VLOOKUP(CONCATENATE(LEFT($W35,2),"H"),$R$63:$T$91,3,FALSE),VLOOKUP($W35,$R$63:$T$91,3,FALSE)))+IF(AND($W35&lt;&gt;"",$W35&lt;&gt;"O3/CP",$W$15=F$18,MID($W35,4,1)="2",$W$15&lt;&gt;$W$14),VLOOKUP(CONCATENATE(LEFT($W35,2),"L"),$R$63:$T$91,3,FALSE),0)+IF(AND($W35="O3/CP",$W$14=F$18),VLOOKUP("O3",$R$63:$T$91,3,FALSE)+VLOOKUP("CP",$R$63:$T$91,3,FALSE),0)+IF(AND($X35&lt;&gt;"",$X35&lt;&gt;"--",$X35&lt;&gt;"O3/CP",$X$14=F$18),IF(LEFT($X35,1)="P",VLOOKUP(CONCATENATE(LEFT($X35,2),"H"),$R$63:$T$91,3,FALSE),VLOOKUP($X35,$R$63:$T$91,3,FALSE)))+IF(AND($X35&lt;&gt;"",$X35&lt;&gt;"O3/CP",$X$15=F$18,MID($X35,4,1)="2",$X$15&lt;&gt;$X$14),VLOOKUP(CONCATENATE(LEFT($X35,2),"L"),$R$63:$T$91,3,FALSE),0)+IF(AND($X35="O3/CP",$X$14=F$18),VLOOKUP("O3",$R$63:$T$91,3,FALSE)+VLOOKUP("CP",$R$63:$T$91,3,FALSE),0)+IF(AND($Y35&lt;&gt;"",$Y35&lt;&gt;"--",$Y35&lt;&gt;"O3/CP",$Y$14=F$18),IF(LEFT($Y35,1)="P",VLOOKUP(CONCATENATE(LEFT($Y35,2),"H"),$R$63:$T$91,3,FALSE),VLOOKUP($Y35,$R$63:$T$91,3,FALSE)))+IF(AND($Y35&lt;&gt;"",$Y35&lt;&gt;"O3/CP",$Y$15=F$18,MID($Y35,4,1)="2",$Y$15&lt;&gt;$Y$14),VLOOKUP(CONCATENATE(LEFT($Y35,2),"L"),$R$63:$T$91,3,FALSE),0)+IF(AND($Y35="O3/CP",$Y$14=F$18),VLOOKUP("O3",$R$63:$T$91,3,FALSE)+VLOOKUP("CP",$R$63:$T$91,3,FALSE),0)+IF(AND($K$6="CE",'[3]Supply Attribution'!$G$20=F$18),LEFT($S$90,2),0)+IF(AND($X$86&lt;&gt;"Not Set",$X$87=F$18),$X$86,0)</f>
        <v>0</v>
      </c>
      <c r="G35" s="271">
        <f>IF(AND($K$6="CE",$T$59="1 Phase"),SUM(A35:F35)-IF(AND($K$14&lt;&gt;$K$15,RIGHT($K35,3)="2SP"),VLOOKUP(CONCATENATE(LEFT($K35,2),"L"),$R$63:$T$90,3,FALSE),0)-IF(AND($L$14&lt;&gt;$L$15,RIGHT($L35,3)="2SP"),VLOOKUP(CONCATENATE(LEFT($L35,2),"L"),$R$63:$T$90,3,FALSE),0)-IF(AND($M$14&lt;&gt;$M$15,RIGHT($M35,3)="2SP"),VLOOKUP(CONCATENATE(LEFT($M35,2),"L"),$R$63:$T$90,3,FALSE),0)-IF(AND($N$14&lt;&gt;$N$15,RIGHT($N35,3)="2SP"),VLOOKUP(CONCATENATE(LEFT($N35,2),"L"),$R$63:$T$90,3,FALSE),0)-IF(AND($O$14&lt;&gt;$O$15,RIGHT($O35,3)="2SP"),VLOOKUP(CONCATENATE(LEFT($O35,2),"L"),$R$63:$T$90,3,FALSE),0)-IF(AND($P$14&lt;&gt;$P$15,RIGHT($P35,3)="2SP"),VLOOKUP(CONCATENATE(LEFT($P35,2),"L"),$R$63:$T$90,3,FALSE),0)-IF(AND($Q$14&lt;&gt;$Q$15,RIGHT($Q35,3)="2SP"),VLOOKUP(CONCATENATE(LEFT($Q35,2),"L"),$R$63:$T$90,3,FALSE),0)-IF(AND($R$14&lt;&gt;$R$15,RIGHT($T35,3)="2SP"),VLOOKUP(CONCATENATE(LEFT($R35,2),"L"),$R$63:$T$90,3,FALSE),0)-IF(AND($S$14&lt;&gt;$S$15,RIGHT($T35,3)="2SP"),VLOOKUP(CONCATENATE(LEFT($S35,2),"L"),$R$63:$T$90,3,FALSE),0)-IF(AND($T$14&lt;&gt;$T$15,RIGHT($T35,3)="2SP"),VLOOKUP(CONCATENATE(LEFT($T35,2),"L"),$R$63:$T$90,3,FALSE),0)-IF(AND($U$14&lt;&gt;$U$15,RIGHT($U35,3)="2SP"),VLOOKUP(CONCATENATE(LEFT($U35,2),"L"),$R$63:$T$90,3,FALSE),0)-IF(AND($V$14&lt;&gt;$V$15,RIGHT($V35,3)="2SP"),VLOOKUP(CONCATENATE(LEFT($V35,2),"L"),$R$63:$T$90,3,FALSE),0)-IF(AND($W$14&lt;&gt;$W$15,RIGHT($W35,3)="2SP"),VLOOKUP(CONCATENATE(LEFT($W35,2),"L"),$R$63:$T$90,3,FALSE),0)-IF(AND($X$14&lt;&gt;$X$15,RIGHT($X35,3)="2SP"),VLOOKUP(CONCATENATE(LEFT($X35,2),"L"),$R$63:$T$90,3,FALSE),0)-IF(AND($Y$14&lt;&gt;$Y$15,RIGHT($Y35,3)="2SP"),VLOOKUP(CONCATENATE(LEFT($Y35,2),"L"),$R$63:$T$90,3,FALSE),0),IF(VLOOKUP(CONCATENATE($A$18,"Line"),'[3]Supply Attribution'!$F$31:$G$37,2,FALSE)=G$18,$A35,0)+IF(VLOOKUP(CONCATENATE($B$18,"Line"),'[3]Supply Attribution'!$F$31:$G$37,2,FALSE)=G$18,$B35,0)+IF(VLOOKUP(CONCATENATE($C$18,"Line"),'[3]Supply Attribution'!$F$31:$G$37,2,FALSE)=G$18,$C35,0)+IF(VLOOKUP(CONCATENATE($D$18,"Line"),'[3]Supply Attribution'!$F$31:$G$37,2,FALSE)=G$18,$D35,0)+IF(VLOOKUP(CONCATENATE($E$18,"Line"),'[3]Supply Attribution'!$F$31:$G$37,2,FALSE)=G$18,$E35,0)+IF(VLOOKUP(CONCATENATE($F$18,"Line"),'[3]Supply Attribution'!$F$31:$G$37,2,FALSE)=G$18,$F35,0)+IF($K$6="UL",LEFT($S$90,2),0)-IF(AND($K$16=G$18,$K$14&lt;&gt;$K$15,$K$16=$K$17,RIGHT($K35,3)="2SP"),VLOOKUP(CONCATENATE(LEFT($K35,2),"L"),$R$63:$T$90,3,FALSE),0)-IF(AND($L$16=G$18,$L$14&lt;&gt;$L$15,$L$16=$L$17,RIGHT($L35,3)="2SP"),VLOOKUP(CONCATENATE(LEFT($L35,2),"L"),$R$63:$T$90,3,FALSE),0)-IF(AND($M$16=G$18,$M$14&lt;&gt;$M$15,$M$16=$M$17,RIGHT($M35,3)="2SP"),VLOOKUP(CONCATENATE(LEFT($M35,2),"L"),$R$63:$T$90,3,FALSE),0)-IF(AND($N$16=G$18,$N$14&lt;&gt;$N$15,$N$16=$N$17,RIGHT($N35,3)="2SP"),VLOOKUP(CONCATENATE(LEFT($N35,2),"L"),$R$63:$T$90,3,FALSE),0)-IF(AND($O$16=G$18,$O$14&lt;&gt;$O$15,$O$16=$O$17,RIGHT($O35,3)="2SP"),VLOOKUP(CONCATENATE(LEFT($O35,2),"L"),$R$63:$T$90,3,FALSE),0)-IF(AND($P$16=G$18,$P$14&lt;&gt;$P$15,$P$16=$P$17,RIGHT($P35,3)="2SP"),VLOOKUP(CONCATENATE(LEFT($P35,2),"L"),$R$63:$T$90,3,FALSE),0)-IF(AND($Q$16=G$18,$Q$14&lt;&gt;$Q$15,$Q$16=$Q$17,RIGHT($Q35,3)="2SP"),VLOOKUP(CONCATENATE(LEFT($Q35,2),"L"),$R$63:$T$90,3,FALSE),0)-IF(AND($R$16=G$18,$R$14&lt;&gt;$R$15,$R$16=$R$17,RIGHT($R35,3)="2SP"),VLOOKUP(CONCATENATE(LEFT($R35,2),"L"),$R$63:$T$90,3,FALSE),0)-IF(AND($S$16=G$18,$S$14&lt;&gt;$S$15,$S$16=$S$17,RIGHT($S35,3)="2SP"),VLOOKUP(CONCATENATE(LEFT($S35,2),"L"),$R$63:$T$90,3,FALSE),0)-IF(AND($T$16=G$18,$T$14&lt;&gt;$T$15,$T$16=$T$17,RIGHT($T35,3)="2SP"),VLOOKUP(CONCATENATE(LEFT($T35,2),"L"),$R$63:$T$90,3,FALSE),0)-IF(AND($U$16=G$18,$U$14&lt;&gt;$U$15,$U$16=$U$17,RIGHT($U35,3)="2SP"),VLOOKUP(CONCATENATE(LEFT($U35,2),"L"),$R$63:$T$90,3,FALSE),0)-IF(AND($V$16=G$18,$V$14&lt;&gt;$V$15,$V$16=$V$17,RIGHT($V35,3)="2SP"),VLOOKUP(CONCATENATE(LEFT($V35,2),"L"),$R$63:$T$90,3,FALSE),0)-IF(AND($W$16=G$18,$W$14&lt;&gt;$W$15,$W$16=$W$17,RIGHT($W35,3)="2SP"),VLOOKUP(CONCATENATE(LEFT($W35,2),"L"),$R$63:$T$90,3,FALSE),0)-IF(AND($X$16=G$18,$X$14&lt;&gt;$X$15,$X$16=$X$17,RIGHT($X35,3)="2SP"),VLOOKUP(CONCATENATE(LEFT($X35,2),"L"),$R$63:$T$90,3,FALSE),0)-IF(AND($Y$16=G$18,$Y$14&lt;&gt;$Y$15,$Y$16=$Y$17,RIGHT($Y35,3)="2SP"),VLOOKUP(CONCATENATE(LEFT($Y35,2),"L"),$R$63:$T$90,3,FALSE),0))</f>
        <v>47</v>
      </c>
      <c r="H35" s="271" t="str">
        <f>IF(H$18&lt;&gt;"",IF(VLOOKUP(CONCATENATE($A$18,"Line"),'Supply Attribution'!$F$31:$G$37,2,FALSE)=H$18,$A35,0)+IF(VLOOKUP(CONCATENATE($B$18,"Line"),'Supply Attribution'!$F$31:$G$37,2,FALSE)=H$18,$B35,0)+IF(VLOOKUP(CONCATENATE($C$18,"Line"),'Supply Attribution'!$F$31:$G$37,2,FALSE)=H$18,$C35,0)+IF(VLOOKUP(CONCATENATE($D$18,"Line"),'Supply Attribution'!$F$31:$G$37,2,FALSE)=H$18,$D35,0)+IF(VLOOKUP(CONCATENATE($E$18,"Line"),'Supply Attribution'!$F$31:$G$37,2,FALSE)=H$18,$E35,0)+IF(VLOOKUP(CONCATENATE($F$18,"Line"),'Supply Attribution'!$F$31:$G$37,2,FALSE)=H$18,$F35,0)+IF($K$6="UL",LEFT($S$90,2),0)-IF(AND($K$16=H$18,$K$14&lt;&gt;$K$15,$K$16=$K$17,RIGHT($K35,3)="2SP"),VLOOKUP(CONCATENATE(LEFT($K35,2),"L"),$R$63:$T$90,3,FALSE),0)-IF(AND($L$16=H$18,$L$14&lt;&gt;$L$15,$L$16=$L$17,RIGHT($L35,3)="2SP"),VLOOKUP(CONCATENATE(LEFT($L35,2),"L"),$R$63:$T$90,3,FALSE),0)-IF(AND($M$16=H$18,$M$14&lt;&gt;$M$15,$M$16=$M$17,RIGHT($M35,3)="2SP"),VLOOKUP(CONCATENATE(LEFT($M35,2),"L"),$R$63:$T$90,3,FALSE),0)-IF(AND($N$16=H$18,$N$14&lt;&gt;$N$15,$N$16=$N$17,RIGHT($N35,3)="2SP"),VLOOKUP(CONCATENATE(LEFT($N35,2),"L"),$R$63:$T$90,3,FALSE),0)-IF(AND($O$16=H$18,$O$14&lt;&gt;$O$15,$O$16=$O$17,RIGHT($O35,3)="2SP"),VLOOKUP(CONCATENATE(LEFT($O35,2),"L"),$R$63:$T$90,3,FALSE),0)-IF(AND($P$16=H$18,$P$14&lt;&gt;$P$15,$P$16=$P$17,RIGHT($P35,3)="2SP"),VLOOKUP(CONCATENATE(LEFT($P35,2),"L"),$R$63:$T$90,3,FALSE),0)-IF(AND($Q$16=H$18,$Q$14&lt;&gt;$Q$15,$Q$16=$Q$17,RIGHT($Q35,3)="2SP"),VLOOKUP(CONCATENATE(LEFT($Q35,2),"L"),$R$63:$T$90,3,FALSE),0)-IF(AND($T$16=H$18,$T$14&lt;&gt;$T$15,$T$16=$T$17,RIGHT($T35,3)="2SP"),VLOOKUP(CONCATENATE(LEFT($T35,2),"L"),$R$63:$T$90,3,FALSE),0)-IF(AND($U$16=H$18,$U$14&lt;&gt;$U$15,$U$16=$U$17,RIGHT($U35,3)="2SP"),VLOOKUP(CONCATENATE(LEFT($U35,2),"L"),$R$63:$T$90,3,FALSE),0)-IF(AND($V$16=H$18,$V$14&lt;&gt;$V$15,$V$16=$V$17,RIGHT($V35,3)="2SP"),VLOOKUP(CONCATENATE(LEFT($V35,2),"L"),$R$63:$T$90,3,FALSE),0)-IF(AND($W$16=H$18,$W$14&lt;&gt;$W$15,$W$16=$W$17,RIGHT($W35,3)="2SP"),VLOOKUP(CONCATENATE(LEFT($W35,2),"L"),$R$63:$T$90,3,FALSE),0)-IF(AND($X$16=H$18,$X$14&lt;&gt;$X$15,$X$16=$X$17,RIGHT($X35,3)="2SP"),VLOOKUP(CONCATENATE(LEFT($X35,2),"L"),$R$63:$T$90,3,FALSE),0)-IF(AND($Y$16=H$18,$Y$14&lt;&gt;$Y$15,$Y$16=$Y$17,RIGHT($Y35,3)="2SP"),VLOOKUP(CONCATENATE(LEFT($Y35,2),"L"),$R$63:$T$90,3,FALSE),0)+IF(AND($K$6="CE",$T$59="2 Phases",H$18&lt;&gt;""),IF(VLOOKUP(CONCATENATE($A$18,"Line"),'Supply Attribution'!$F$31:$G$37,2,FALSE)="Line3",$A35,0)+IF(VLOOKUP(CONCATENATE($B$18,"Line"),'Supply Attribution'!$F$31:$G$37,2,FALSE)="Line3",$B35,0)+IF(VLOOKUP(CONCATENATE($C$18,"Line"),'Supply Attribution'!$F$31:$G$37,2,FALSE)="Line3",$C35,0)+IF(VLOOKUP(CONCATENATE($D$18,"Line"),'Supply Attribution'!$F$31:$G$37,2,FALSE)="Line3",$D35,0)+IF(VLOOKUP(CONCATENATE($E$18,"Line"),'Supply Attribution'!$F$31:$G$37,2,FALSE)="Line3",$E35,0)+IF(VLOOKUP(CONCATENATE($F$18,"Line"),'Supply Attribution'!$F$31:$G$37,2,FALSE)="Line3",$F35,0)-IF(AND($K$16=I$18,$K$14&lt;&gt;$K$15,$K$16=$K$17,RIGHT($K35,3)="2SP"),VLOOKUP(CONCATENATE(LEFT($K35,2),"L"),$R$63:$T$90,3,FALSE),0)-IF(AND($L$16=I$18,$L$14&lt;&gt;$L$15,$L$16=$L$17,RIGHT($L35,3)="2SP"),VLOOKUP(CONCATENATE(LEFT($L35,2),"L"),$R$63:$T$90,3,FALSE),0)-IF(AND($M$16=I$18,$M$14&lt;&gt;$M$15,$M$16=$M$17,RIGHT($M35,3)="2SP"),VLOOKUP(CONCATENATE(LEFT($M35,2),"L"),$R$63:$T$90,3,FALSE),0)-IF(AND($N$16=I$18,$N$14&lt;&gt;$N$15,$N$16=$N$17,RIGHT($N35,3)="2SP"),VLOOKUP(CONCATENATE(LEFT($N35,2),"L"),$R$63:$T$90,3,FALSE),0)-IF(AND($O$16=I$18,$O$14&lt;&gt;$O$15,$O$16=$O$17,RIGHT($O35,3)="2SP"),VLOOKUP(CONCATENATE(LEFT($O35,2),"L"),$R$63:$T$90,3,FALSE),0)-IF(AND($P$16=I$18,$P$14&lt;&gt;$P$15,$P$16=$P$17,RIGHT($P35,3)="2SP"),VLOOKUP(CONCATENATE(LEFT($P35,2),"L"),$R$63:$T$90,3,FALSE),0)-IF(AND($Q$16=I$18,$Q$14&lt;&gt;$Q$15,$Q$16=$Q$17,RIGHT($Q35,3)="2SP"),VLOOKUP(CONCATENATE(LEFT($Q35,2),"L"),$R$63:$T$90,3,FALSE),0)-IF(AND($T$16=I$18,$T$14&lt;&gt;$T$15,$T$16=$T$17,RIGHT($T35,3)="2SP"),VLOOKUP(CONCATENATE(LEFT($T35,2),"L"),$R$63:$T$90,3,FALSE),0)-IF(AND($U$16=I$18,$U$14&lt;&gt;$U$15,$U$16=$U$17,RIGHT($U35,3)="2SP"),VLOOKUP(CONCATENATE(LEFT($U35,2),"L"),$R$63:$T$90,3,FALSE),0)-IF(AND($V$16=I$18,$V$14&lt;&gt;$V$15,$V$16=$V$17,RIGHT($V35,3)="2SP"),VLOOKUP(CONCATENATE(LEFT($V35,2),"L"),$R$63:$T$90,3,FALSE),0)-IF(AND($W$16=I$18,$W$14&lt;&gt;$W$15,$W$16=$W$17,RIGHT($W35,3)="2SP"),VLOOKUP(CONCATENATE(LEFT($W35,2),"L"),$R$63:$T$90,3,FALSE),0)-IF(AND($X$16=I$18,$X$14&lt;&gt;$X$15,$X$16=$X$17,RIGHT($X35,3)="2SP"),VLOOKUP(CONCATENATE(LEFT($X35,2),"L"),$R$63:$T$90,3,FALSE),0)-IF(AND($Y$16=I$18,$Y$14&lt;&gt;$Y$15,$Y$16=$Y$17,RIGHT($Y35,3)="2SP"),VLOOKUP(CONCATENATE(LEFT($Y35,2),"L"),$R$63:$T$90,3,FALSE),0),0),"")</f>
        <v/>
      </c>
      <c r="I35" s="271" t="str">
        <f>IF(I$18&lt;&gt;"",IF(VLOOKUP(CONCATENATE($A$18,"Line"),'Supply Attribution'!$F$31:$G$37,2,FALSE)=I$18,$A35,0)+IF(VLOOKUP(CONCATENATE($B$18,"Line"),'Supply Attribution'!$F$31:$G$37,2,FALSE)=I$18,$B35,0)+IF(VLOOKUP(CONCATENATE($C$18,"Line"),'Supply Attribution'!$F$31:$G$37,2,FALSE)=I$18,$C35,0)+IF(VLOOKUP(CONCATENATE($D$18,"Line"),'Supply Attribution'!$F$31:$G$37,2,FALSE)=I$18,$D35,0)+IF(VLOOKUP(CONCATENATE($E$18,"Line"),'Supply Attribution'!$F$31:$G$37,2,FALSE)=I$18,$E35,0)+IF(VLOOKUP(CONCATENATE($F$18,"Line"),'Supply Attribution'!$F$31:$G$37,2,FALSE)=I$18,$F35,0)+IF($K$6="UL",LEFT($S$90,2),0)-IF(AND($K$16=I$18,$K$14&lt;&gt;$K$15,$K$16=$K$17,RIGHT($K35,3)="2SP"),VLOOKUP(CONCATENATE(LEFT($K35,2),"L"),$R$63:$T$90,3,FALSE),0)-IF(AND($L$16=I$18,$L$14&lt;&gt;$L$15,$L$16=$L$17,RIGHT($L35,3)="2SP"),VLOOKUP(CONCATENATE(LEFT($L35,2),"L"),$R$63:$T$90,3,FALSE),0)-IF(AND($M$16=I$18,$M$14&lt;&gt;$M$15,$M$16=$M$17,RIGHT($M35,3)="2SP"),VLOOKUP(CONCATENATE(LEFT($M35,2),"L"),$R$63:$T$90,3,FALSE),0)-IF(AND($N$16=I$18,$N$14&lt;&gt;$N$15,$N$16=$N$17,RIGHT($N35,3)="2SP"),VLOOKUP(CONCATENATE(LEFT($N35,2),"L"),$R$63:$T$90,3,FALSE),0)-IF(AND($O$16=I$18,$O$14&lt;&gt;$O$15,$O$16=$O$17,RIGHT($O35,3)="2SP"),VLOOKUP(CONCATENATE(LEFT($O35,2),"L"),$R$63:$T$90,3,FALSE),0)-IF(AND($P$16=I$18,$P$14&lt;&gt;$P$15,$P$16=$P$17,RIGHT($P35,3)="2SP"),VLOOKUP(CONCATENATE(LEFT($P35,2),"L"),$R$63:$T$90,3,FALSE),0)-IF(AND($Q$16=I$18,$Q$14&lt;&gt;$Q$15,$Q$16=$Q$17,RIGHT($Q35,3)="2SP"),VLOOKUP(CONCATENATE(LEFT($Q35,2),"L"),$R$63:$T$90,3,FALSE),0)-IF(AND($T$16=I$18,$T$14&lt;&gt;$T$15,$T$16=$T$17,RIGHT($T35,3)="2SP"),VLOOKUP(CONCATENATE(LEFT($T35,2),"L"),$R$63:$T$90,3,FALSE),0)-IF(AND($U$16=I$18,$U$14&lt;&gt;$U$15,$U$16=$U$17,RIGHT($U35,3)="2SP"),VLOOKUP(CONCATENATE(LEFT($U35,2),"L"),$R$63:$T$90,3,FALSE),0)-IF(AND($V$16=I$18,$V$14&lt;&gt;$V$15,$V$16=$V$17,RIGHT($V35,3)="2SP"),VLOOKUP(CONCATENATE(LEFT($V35,2),"L"),$R$63:$T$90,3,FALSE),0)-IF(AND($W$16=I$18,$W$14&lt;&gt;$W$15,$W$16=$W$17,RIGHT($W35,3)="2SP"),VLOOKUP(CONCATENATE(LEFT($W35,2),"L"),$R$63:$T$90,3,FALSE),0)-IF(AND($X$16=I$18,$X$14&lt;&gt;$X$15,$X$16=$X$17,RIGHT($X35,3)="2SP"),VLOOKUP(CONCATENATE(LEFT($X35,2),"L"),$R$63:$T$90,3,FALSE),0)-IF(AND($Y$16=I$18,$Y$14&lt;&gt;$Y$15,$Y$16=$Y$17,RIGHT($Y35,3)="2SP"),VLOOKUP(CONCATENATE(LEFT($Y35,2),"L"),$R$63:$T$90,3,FALSE),0),"")</f>
        <v/>
      </c>
      <c r="J35" s="129">
        <f>J34+1</f>
        <v>26</v>
      </c>
      <c r="K35" s="130" t="s">
        <v>3</v>
      </c>
      <c r="L35" s="130" t="s">
        <v>566</v>
      </c>
      <c r="M35" s="130" t="s">
        <v>391</v>
      </c>
      <c r="N35" s="130" t="s">
        <v>24</v>
      </c>
      <c r="O35" s="130" t="s">
        <v>286</v>
      </c>
      <c r="P35" s="130"/>
      <c r="Q35" s="130"/>
      <c r="R35" s="130"/>
      <c r="S35" s="130"/>
      <c r="T35" s="130"/>
      <c r="U35" s="130"/>
      <c r="V35" s="130"/>
      <c r="W35" s="130"/>
      <c r="X35" s="130"/>
      <c r="Y35" s="130"/>
      <c r="Z35" s="131" t="s">
        <v>24</v>
      </c>
      <c r="AA35" s="131" t="s">
        <v>357</v>
      </c>
      <c r="AB35" s="132" t="s">
        <v>164</v>
      </c>
      <c r="AC35" s="132" t="s">
        <v>568</v>
      </c>
      <c r="AD35" s="132" t="s">
        <v>164</v>
      </c>
      <c r="AE35" s="133">
        <f t="shared" ref="AE35" si="2">J35</f>
        <v>26</v>
      </c>
      <c r="AF35" s="78"/>
    </row>
    <row r="36" spans="1:32">
      <c r="A36" s="270">
        <f>IF(AND($K36&lt;&gt;"",$K36&lt;&gt;"--",$K36&lt;&gt;"O3/CP",$K$14=A$18),IF(LEFT($K36,1)="P",VLOOKUP(CONCATENATE(LEFT($K36,2),"H"),$R$63:$T$91,3,FALSE),VLOOKUP($K36,$R$63:$T$91,3,FALSE)))+IF(AND($K36&lt;&gt;"",$K36&lt;&gt;"O3/CP",$K$15=A$18,MID($K36,4,1)="2",$K$15&lt;&gt;$K$14),VLOOKUP(CONCATENATE(LEFT($K36,2),"L"),$R$63:$T$91,3,FALSE),0)+IF(AND($K36="O3/CP",$K$14=A$18),VLOOKUP("O3",$R$63:$T$91,3,FALSE)+VLOOKUP("CP",$R$63:$T$91,3,FALSE),0)+IF(AND($L36&lt;&gt;"",$L36&lt;&gt;"--",$L36&lt;&gt;"O3/CP",$L$14=A$18),IF(LEFT($L36,1)="P",VLOOKUP(CONCATENATE(LEFT($L36,2),"H"),$R$63:$T$91,3,FALSE),VLOOKUP($L36,$R$63:$T$91,3,FALSE)))+IF(AND($L36&lt;&gt;"",$L36&lt;&gt;"O3/CP",$L$15=A$18,MID($L36,4,1)="2",$L$15&lt;&gt;$L$14),VLOOKUP(CONCATENATE(LEFT($L36,2),"L"),$R$63:$T$91,3,FALSE),0)+IF(AND($L36="O3/CP",$L$14=A$18),VLOOKUP("O3",$R$63:$T$91,3,FALSE)+VLOOKUP("CP",$R$63:$T$91,3,FALSE),0)+IF(AND($M36&lt;&gt;"",$M36&lt;&gt;"--",$M36&lt;&gt;"O3/CP",$M$14=A$18),IF(LEFT($M36,1)="P",VLOOKUP(CONCATENATE(LEFT($M36,2),"H"),$R$63:$T$91,3,FALSE),VLOOKUP($M36,$R$63:$T$91,3,FALSE)))+IF(AND($M36&lt;&gt;"",$M36&lt;&gt;"O3/CP",$M$15=A$18,MID($M36,4,1)="2",$M$15&lt;&gt;$M$14),VLOOKUP(CONCATENATE(LEFT($M36,2),"L"),$R$63:$T$91,3,FALSE),0)+IF(AND($M36="O3/CP",$M$14=A$18),VLOOKUP("O3",$R$63:$T$91,3,FALSE)+VLOOKUP("CP",$R$63:$T$91,3,FALSE),0)+IF(AND($N36&lt;&gt;"",$N36&lt;&gt;"--",$N36&lt;&gt;"O3/CP",$N$14=A$18),IF(LEFT($N36,1)="P",VLOOKUP(CONCATENATE(LEFT($N36,2),"H"),$R$63:$T$91,3,FALSE),VLOOKUP($N36,$R$63:$T$91,3,FALSE)))+IF(AND($N36&lt;&gt;"",$N36&lt;&gt;"O3/CP",$N$15=A$18,MID($N36,4,1)="2",$N$15&lt;&gt;$N$14),VLOOKUP(CONCATENATE(LEFT($N36,2),"L"),$R$63:$T$91,3,FALSE),0)+IF(AND($N36="O3/CP",$N$14=A$18),VLOOKUP("O3",$R$63:$T$91,3,FALSE)+VLOOKUP("CP",$R$63:$T$91,3,FALSE),0)+IF(AND($O36&lt;&gt;"",$O36&lt;&gt;"--",$O36&lt;&gt;"O3/CP",$O$14=A$18),IF(LEFT($O36,1)="P",VLOOKUP(CONCATENATE(LEFT($O36,2),"H"),$R$63:$T$91,3,FALSE),VLOOKUP($O36,$R$63:$T$91,3,FALSE)))+IF(AND($O36&lt;&gt;"",$O36&lt;&gt;"O3/CP",$O$15=A$18,MID($O36,4,1)="2",$O$15&lt;&gt;$O$14),VLOOKUP(CONCATENATE(LEFT($O36,2),"L"),$R$63:$T$91,3,FALSE),0)+IF(AND($O36="O3/CP",$O$14=A$18),VLOOKUP("O3",$R$63:$T$91,3,FALSE)+VLOOKUP("CP",$R$63:$T$91,3,FALSE),0)+IF(AND($P36&lt;&gt;"",$P36&lt;&gt;"--",$P36&lt;&gt;"O3/CP",$P$14=A$18),IF(LEFT($P36,1)="P",VLOOKUP(CONCATENATE(LEFT($P36,2),"H"),$R$63:$T$91,3,FALSE),VLOOKUP($P36,$R$63:$T$91,3,FALSE)))+IF(AND($P36&lt;&gt;"",$P36&lt;&gt;"O3/CP",$P$15=A$18,MID($P36,4,1)="2",$P$15&lt;&gt;$P$14),VLOOKUP(CONCATENATE(LEFT($P36,2),"L"),$R$63:$T$91,3,FALSE),0)+IF(AND($P36="O3/CP",$P$14=A$18),VLOOKUP("O3",$R$63:$T$91,3,FALSE)+VLOOKUP("CP",$R$63:$T$91,3,FALSE),0)+IF(AND($Q36&lt;&gt;"",$Q36&lt;&gt;"--",$Q36&lt;&gt;"O3/CP",$Q$14=A$18),IF(LEFT($Q36,1)="P",VLOOKUP(CONCATENATE(LEFT($Q36,2),"H"),$R$63:$T$91,3,FALSE),VLOOKUP($Q36,$R$63:$T$91,3,FALSE)))+IF(AND($Q36&lt;&gt;"",$Q36&lt;&gt;"O3/CP",$Q$15=A$18,MID($Q36,4,1)="2",$Q$15&lt;&gt;$Q$14),VLOOKUP(CONCATENATE(LEFT($Q36,2),"L"),$R$63:$T$91,3,FALSE),0)+IF(AND($Q36="O3/CP",$Q$14=A$18),VLOOKUP("O3",$R$63:$T$91,3,FALSE)+VLOOKUP("CP",$R$63:$T$91,3,FALSE),0)+IF(AND($R36&lt;&gt;"",$R36&lt;&gt;"--",$R36&lt;&gt;"O3/CP",$R$14=A$18),IF(LEFT($R36,1)="P",VLOOKUP(CONCATENATE(LEFT($R36,2),"H"),$R$63:$T$91,3,FALSE),VLOOKUP($R36,$R$63:$T$91,3,FALSE)))+IF(AND($R36&lt;&gt;"",$R36&lt;&gt;"O3/CP",$R$15=A$18,MID($R36,4,1)="2",$R$15&lt;&gt;$R$14),VLOOKUP(CONCATENATE(LEFT($R36,2),"L"),$R$63:$T$91,3,FALSE),0)+IF(AND($R36="O3/CP",$R$14=A$18),VLOOKUP("O3",$R$63:$T$91,3,FALSE)+VLOOKUP("CP",$R$63:$T$91,3,FALSE),0)+IF(AND($S36&lt;&gt;"",$S36&lt;&gt;"--",$S36&lt;&gt;"O3/CP",$S$14=A$18),IF(LEFT($S36,1)="P",VLOOKUP(CONCATENATE(LEFT($S36,2),"H"),$R$63:$T$91,3,FALSE),VLOOKUP($S36,$R$63:$T$91,3,FALSE)))+IF(AND($S36&lt;&gt;"",$S36&lt;&gt;"O3/CP",$S$15=A$18,MID($S36,4,1)="2",$S$15&lt;&gt;$S$14),VLOOKUP(CONCATENATE(LEFT($S36,2),"L"),$R$63:$T$91,3,FALSE),0)+IF(AND($S36="O3/CP",$S$14=A$18),VLOOKUP("O3",$R$63:$T$91,3,FALSE)+VLOOKUP("CP",$R$63:$T$91,3,FALSE),0)+IF(AND($T36&lt;&gt;"",$T36&lt;&gt;"--",$T36&lt;&gt;"O3/CP",$T$14=A$18),IF(LEFT($T36,1)="P",VLOOKUP(CONCATENATE(LEFT($T36,2),"H"),$R$63:$T$91,3,FALSE),VLOOKUP($T36,$R$63:$T$91,3,FALSE)))+IF(AND($T36&lt;&gt;"",$T36&lt;&gt;"O3/CP",$T$15=A$18,MID($T36,4,1)="2",$T$15&lt;&gt;$T$14),VLOOKUP(CONCATENATE(LEFT($T36,2),"L"),$R$63:$T$91,3,FALSE),0)+IF(AND($T36="O3/CP",$T$14=A$18),VLOOKUP("O3",$R$63:$T$91,3,FALSE)+VLOOKUP("CP",$R$63:$T$91,3,FALSE),0)+IF(AND($U36&lt;&gt;"",$U36&lt;&gt;"--",$U36&lt;&gt;"O3/CP",$U$14=A$18),IF(LEFT($U36,1)="P",VLOOKUP(CONCATENATE(LEFT($U36,2),"H"),$R$63:$T$91,3,FALSE),VLOOKUP($U36,$R$63:$T$91,3,FALSE)))+IF(AND($U36&lt;&gt;"",$U36&lt;&gt;"O3/CP",$U$15=A$18,MID($U36,4,1)="2",$U$15&lt;&gt;$U$14),VLOOKUP(CONCATENATE(LEFT($U36,2),"L"),$R$63:$T$91,3,FALSE),0)+IF(AND($U36="O3/CP",$T$14=A$18),VLOOKUP("O3",$R$63:$T$91,3,FALSE)+VLOOKUP("CP",$R$63:$T$91,3,FALSE),0)+IF(AND($V36&lt;&gt;"",$V36&lt;&gt;"--",$V36&lt;&gt;"O3/CP",$V$14=A$18),IF(LEFT($V36,1)="P",VLOOKUP(CONCATENATE(LEFT($V36,2),"H"),$R$63:$T$91,3,FALSE),VLOOKUP($V36,$R$63:$T$91,3,FALSE)))+IF(AND($V36&lt;&gt;"",$V36&lt;&gt;"O3/CP",$V$15=A$18,MID($V36,4,1)="2",$V$15&lt;&gt;$V$14),VLOOKUP(CONCATENATE(LEFT($V36,2),"L"),$R$63:$T$91,3,FALSE),0)+IF(AND($V36="O3/CP",$V$14=A$18),VLOOKUP("O3",$R$63:$T$91,3,FALSE)+VLOOKUP("CP",$R$63:$T$91,3,FALSE),0)+IF(AND($W36&lt;&gt;"",$W36&lt;&gt;"--",$W36&lt;&gt;"O3/CP",$W$14=A$18),IF(LEFT($W36,1)="P",VLOOKUP(CONCATENATE(LEFT($W36,2),"H"),$R$63:$T$91,3,FALSE),VLOOKUP($W36,$R$63:$T$91,3,FALSE)))+IF(AND($W36&lt;&gt;"",$W36&lt;&gt;"O3/CP",$W$15=A$18,MID($W36,4,1)="2",$W$15&lt;&gt;$W$14),VLOOKUP(CONCATENATE(LEFT($W36,2),"L"),$R$63:$T$91,3,FALSE),0)+IF(AND($W36="O3/CP",$W$14=A$18),VLOOKUP("O3",$R$63:$T$91,3,FALSE)+VLOOKUP("CP",$R$63:$T$91,3,FALSE),0)+IF(AND($X36&lt;&gt;"",$X36&lt;&gt;"--",$X36&lt;&gt;"O3/CP",$X$14=A$18),IF(LEFT($X36,1)="P",VLOOKUP(CONCATENATE(LEFT($X36,2),"H"),$R$63:$T$91,3,FALSE),VLOOKUP($X36,$R$63:$T$91,3,FALSE)))+IF(AND($X36&lt;&gt;"",$X36&lt;&gt;"O3/CP",$X$15=A$18,MID($X36,4,1)="2",$X$15&lt;&gt;$X$14),VLOOKUP(CONCATENATE(LEFT($X36,2),"L"),$R$63:$T$91,3,FALSE),0)+IF(AND($X36="O3/CP",$X$14=A$18),VLOOKUP("O3",$R$63:$T$91,3,FALSE)+VLOOKUP("CP",$R$63:$T$91,3,FALSE),0)+IF(AND($Y36&lt;&gt;"",$Y36&lt;&gt;"--",$Y36&lt;&gt;"O3/CP",$Y$14=A$18),IF(LEFT($Y36,1)="P",VLOOKUP(CONCATENATE(LEFT($Y36,2),"H"),$R$63:$T$91,3,FALSE),VLOOKUP($Y36,$R$63:$T$91,3,FALSE)))+IF(AND($Y36&lt;&gt;"",$Y36&lt;&gt;"O3/CP",$Y$15=A$18,MID($Y36,4,1)="2",$Y$15&lt;&gt;$Y$14),VLOOKUP(CONCATENATE(LEFT($Y36,2),"L"),$R$63:$T$91,3,FALSE),0)+IF(AND($Y36="O3/CP",$Y$14=A$18),VLOOKUP("O3",$R$63:$T$91,3,FALSE)+VLOOKUP("CP",$R$63:$T$91,3,FALSE),0)+IF(AND($K$6="CE",'[3]Supply Attribution'!$G$20=A$18),LEFT($S$90,2),0)+IF(AND($X$86&lt;&gt;"Not Set",$X$87=A$18),$X$86,0)</f>
        <v>13</v>
      </c>
      <c r="B36" s="269">
        <f>IF(AND($K36&lt;&gt;"",$K36&lt;&gt;"--",$K36&lt;&gt;"O3/CP",$K$14=B$18),IF(LEFT($K36,1)="P",VLOOKUP(CONCATENATE(LEFT($K36,2),"H"),$R$63:$T$91,3,FALSE),VLOOKUP($K36,$R$63:$T$91,3,FALSE)))+IF(AND($K36&lt;&gt;"",$K36&lt;&gt;"O3/CP",$K$15=B$18,MID($K36,4,1)="2",$K$15&lt;&gt;$K$14),VLOOKUP(CONCATENATE(LEFT($K36,2),"L"),$R$63:$T$91,3,FALSE),0)+IF(AND($K36="O3/CP",$K$14=B$18),VLOOKUP("O3",$R$63:$T$91,3,FALSE)+VLOOKUP("CP",$R$63:$T$91,3,FALSE),0)+IF(AND($L36&lt;&gt;"",$L36&lt;&gt;"--",$L36&lt;&gt;"O3/CP",$L$14=B$18),IF(LEFT($L36,1)="P",VLOOKUP(CONCATENATE(LEFT($L36,2),"H"),$R$63:$T$91,3,FALSE),VLOOKUP($L36,$R$63:$T$91,3,FALSE)))+IF(AND($L36&lt;&gt;"",$L36&lt;&gt;"O3/CP",$L$15=B$18,MID($L36,4,1)="2",$L$15&lt;&gt;$L$14),VLOOKUP(CONCATENATE(LEFT($L36,2),"L"),$R$63:$T$91,3,FALSE),0)+IF(AND($L36="O3/CP",$L$14=B$18),VLOOKUP("O3",$R$63:$T$91,3,FALSE)+VLOOKUP("CP",$R$63:$T$91,3,FALSE),0)+IF(AND($M36&lt;&gt;"",$M36&lt;&gt;"--",$M36&lt;&gt;"O3/CP",$M$14=B$18),IF(LEFT($M36,1)="P",VLOOKUP(CONCATENATE(LEFT($M36,2),"H"),$R$63:$T$91,3,FALSE),VLOOKUP($M36,$R$63:$T$91,3,FALSE)))+IF(AND($M36&lt;&gt;"",$M36&lt;&gt;"O3/CP",$M$15=B$18,MID($M36,4,1)="2",$M$15&lt;&gt;$M$14),VLOOKUP(CONCATENATE(LEFT($M36,2),"L"),$R$63:$T$91,3,FALSE),0)+IF(AND($M36="O3/CP",$M$14=B$18),VLOOKUP("O3",$R$63:$T$91,3,FALSE)+VLOOKUP("CP",$R$63:$T$91,3,FALSE),0)+IF(AND($N36&lt;&gt;"",$N36&lt;&gt;"--",$N36&lt;&gt;"O3/CP",$N$14=B$18),IF(LEFT($N36,1)="P",VLOOKUP(CONCATENATE(LEFT($N36,2),"H"),$R$63:$T$91,3,FALSE),VLOOKUP($N36,$R$63:$T$91,3,FALSE)))+IF(AND($N36&lt;&gt;"",$N36&lt;&gt;"O3/CP",$N$15=B$18,MID($N36,4,1)="2",$N$15&lt;&gt;$N$14),VLOOKUP(CONCATENATE(LEFT($N36,2),"L"),$R$63:$T$91,3,FALSE),0)+IF(AND($N36="O3/CP",$N$14=B$18),VLOOKUP("O3",$R$63:$T$91,3,FALSE)+VLOOKUP("CP",$R$63:$T$91,3,FALSE),0)+IF(AND($O36&lt;&gt;"",$O36&lt;&gt;"--",$O36&lt;&gt;"O3/CP",$O$14=B$18),IF(LEFT($O36,1)="P",VLOOKUP(CONCATENATE(LEFT($O36,2),"H"),$R$63:$T$91,3,FALSE),VLOOKUP($O36,$R$63:$T$91,3,FALSE)))+IF(AND($O36&lt;&gt;"",$O36&lt;&gt;"O3/CP",$O$15=B$18,MID($O36,4,1)="2",$O$15&lt;&gt;$O$14),VLOOKUP(CONCATENATE(LEFT($O36,2),"L"),$R$63:$T$91,3,FALSE),0)+IF(AND($O36="O3/CP",$O$14=B$18),VLOOKUP("O3",$R$63:$T$91,3,FALSE)+VLOOKUP("CP",$R$63:$T$91,3,FALSE),0)+IF(AND($P36&lt;&gt;"",$P36&lt;&gt;"--",$P36&lt;&gt;"O3/CP",$P$14=B$18),IF(LEFT($P36,1)="P",VLOOKUP(CONCATENATE(LEFT($P36,2),"H"),$R$63:$T$91,3,FALSE),VLOOKUP($P36,$R$63:$T$91,3,FALSE)))+IF(AND($P36&lt;&gt;"",$P36&lt;&gt;"O3/CP",$P$15=B$18,MID($P36,4,1)="2",$P$15&lt;&gt;$P$14),VLOOKUP(CONCATENATE(LEFT($P36,2),"L"),$R$63:$T$91,3,FALSE),0)+IF(AND($P36="O3/CP",$P$14=B$18),VLOOKUP("O3",$R$63:$T$91,3,FALSE)+VLOOKUP("CP",$R$63:$T$91,3,FALSE),0)+IF(AND($Q36&lt;&gt;"",$Q36&lt;&gt;"--",$Q36&lt;&gt;"O3/CP",$Q$14=B$18),IF(LEFT($Q36,1)="P",VLOOKUP(CONCATENATE(LEFT($Q36,2),"H"),$R$63:$T$91,3,FALSE),VLOOKUP($Q36,$R$63:$T$91,3,FALSE)))+IF(AND($Q36&lt;&gt;"",$Q36&lt;&gt;"O3/CP",$Q$15=B$18,MID($Q36,4,1)="2",$Q$15&lt;&gt;$Q$14),VLOOKUP(CONCATENATE(LEFT($Q36,2),"L"),$R$63:$T$91,3,FALSE),0)+IF(AND($Q36="O3/CP",$Q$14=B$18),VLOOKUP("O3",$R$63:$T$91,3,FALSE)+VLOOKUP("CP",$R$63:$T$91,3,FALSE),0)+IF(AND($R36&lt;&gt;"",$R36&lt;&gt;"--",$R36&lt;&gt;"O3/CP",$R$14=B$18),IF(LEFT($R36,1)="P",VLOOKUP(CONCATENATE(LEFT($R36,2),"H"),$R$63:$T$91,3,FALSE),VLOOKUP($R36,$R$63:$T$91,3,FALSE)))+IF(AND($R36&lt;&gt;"",$R36&lt;&gt;"O3/CP",$R$15=B$18,MID($R36,4,1)="2",$R$15&lt;&gt;$R$14),VLOOKUP(CONCATENATE(LEFT($R36,2),"L"),$R$63:$T$91,3,FALSE),0)+IF(AND($R36="O3/CP",$R$14=B$18),VLOOKUP("O3",$R$63:$T$91,3,FALSE)+VLOOKUP("CP",$R$63:$T$91,3,FALSE),0)+IF(AND($S36&lt;&gt;"",$S36&lt;&gt;"--",$S36&lt;&gt;"O3/CP",$S$14=B$18),IF(LEFT($S36,1)="P",VLOOKUP(CONCATENATE(LEFT($S36,2),"H"),$R$63:$T$91,3,FALSE),VLOOKUP($S36,$R$63:$T$91,3,FALSE)))+IF(AND($S36&lt;&gt;"",$S36&lt;&gt;"O3/CP",$S$15=B$18,MID($S36,4,1)="2",$S$15&lt;&gt;$S$14),VLOOKUP(CONCATENATE(LEFT($S36,2),"L"),$R$63:$T$91,3,FALSE),0)+IF(AND($S36="O3/CP",$S$14=B$18),VLOOKUP("O3",$R$63:$T$91,3,FALSE)+VLOOKUP("CP",$R$63:$T$91,3,FALSE),0)+IF(AND($T36&lt;&gt;"",$T36&lt;&gt;"--",$T36&lt;&gt;"O3/CP",$T$14=B$18),IF(LEFT($T36,1)="P",VLOOKUP(CONCATENATE(LEFT($T36,2),"H"),$R$63:$T$91,3,FALSE),VLOOKUP($T36,$R$63:$T$91,3,FALSE)))+IF(AND($T36&lt;&gt;"",$T36&lt;&gt;"O3/CP",$T$15=B$18,MID($T36,4,1)="2",$T$15&lt;&gt;$T$14),VLOOKUP(CONCATENATE(LEFT($T36,2),"L"),$R$63:$T$91,3,FALSE),0)+IF(AND($T36="O3/CP",$T$14=B$18),VLOOKUP("O3",$R$63:$T$91,3,FALSE)+VLOOKUP("CP",$R$63:$T$91,3,FALSE),0)+IF(AND($U36&lt;&gt;"",$U36&lt;&gt;"--",$U36&lt;&gt;"O3/CP",$U$14=B$18),IF(LEFT($U36,1)="P",VLOOKUP(CONCATENATE(LEFT($U36,2),"H"),$R$63:$T$91,3,FALSE),VLOOKUP($U36,$R$63:$T$91,3,FALSE)))+IF(AND($U36&lt;&gt;"",$U36&lt;&gt;"O3/CP",$U$15=B$18,MID($U36,4,1)="2",$U$15&lt;&gt;$U$14),VLOOKUP(CONCATENATE(LEFT($U36,2),"L"),$R$63:$T$91,3,FALSE),0)+IF(AND($U36="O3/CP",$T$14=B$18),VLOOKUP("O3",$R$63:$T$91,3,FALSE)+VLOOKUP("CP",$R$63:$T$91,3,FALSE),0)+IF(AND($V36&lt;&gt;"",$V36&lt;&gt;"--",$V36&lt;&gt;"O3/CP",$V$14=B$18),IF(LEFT($V36,1)="P",VLOOKUP(CONCATENATE(LEFT($V36,2),"H"),$R$63:$T$91,3,FALSE),VLOOKUP($V36,$R$63:$T$91,3,FALSE)))+IF(AND($V36&lt;&gt;"",$V36&lt;&gt;"O3/CP",$V$15=B$18,MID($V36,4,1)="2",$V$15&lt;&gt;$V$14),VLOOKUP(CONCATENATE(LEFT($V36,2),"L"),$R$63:$T$91,3,FALSE),0)+IF(AND($V36="O3/CP",$V$14=B$18),VLOOKUP("O3",$R$63:$T$91,3,FALSE)+VLOOKUP("CP",$R$63:$T$91,3,FALSE),0)+IF(AND($W36&lt;&gt;"",$W36&lt;&gt;"--",$W36&lt;&gt;"O3/CP",$W$14=B$18),IF(LEFT($W36,1)="P",VLOOKUP(CONCATENATE(LEFT($W36,2),"H"),$R$63:$T$91,3,FALSE),VLOOKUP($W36,$R$63:$T$91,3,FALSE)))+IF(AND($W36&lt;&gt;"",$W36&lt;&gt;"O3/CP",$W$15=B$18,MID($W36,4,1)="2",$W$15&lt;&gt;$W$14),VLOOKUP(CONCATENATE(LEFT($W36,2),"L"),$R$63:$T$91,3,FALSE),0)+IF(AND($W36="O3/CP",$W$14=B$18),VLOOKUP("O3",$R$63:$T$91,3,FALSE)+VLOOKUP("CP",$R$63:$T$91,3,FALSE),0)+IF(AND($X36&lt;&gt;"",$X36&lt;&gt;"--",$X36&lt;&gt;"O3/CP",$X$14=B$18),IF(LEFT($X36,1)="P",VLOOKUP(CONCATENATE(LEFT($X36,2),"H"),$R$63:$T$91,3,FALSE),VLOOKUP($X36,$R$63:$T$91,3,FALSE)))+IF(AND($X36&lt;&gt;"",$X36&lt;&gt;"O3/CP",$X$15=B$18,MID($X36,4,1)="2",$X$15&lt;&gt;$X$14),VLOOKUP(CONCATENATE(LEFT($X36,2),"L"),$R$63:$T$91,3,FALSE),0)+IF(AND($X36="O3/CP",$X$14=B$18),VLOOKUP("O3",$R$63:$T$91,3,FALSE)+VLOOKUP("CP",$R$63:$T$91,3,FALSE),0)+IF(AND($Y36&lt;&gt;"",$Y36&lt;&gt;"--",$Y36&lt;&gt;"O3/CP",$Y$14=B$18),IF(LEFT($Y36,1)="P",VLOOKUP(CONCATENATE(LEFT($Y36,2),"H"),$R$63:$T$91,3,FALSE),VLOOKUP($Y36,$R$63:$T$91,3,FALSE)))+IF(AND($Y36&lt;&gt;"",$Y36&lt;&gt;"O3/CP",$Y$15=B$18,MID($Y36,4,1)="2",$Y$15&lt;&gt;$Y$14),VLOOKUP(CONCATENATE(LEFT($Y36,2),"L"),$R$63:$T$91,3,FALSE),0)+IF(AND($Y36="O3/CP",$Y$14=B$18),VLOOKUP("O3",$R$63:$T$91,3,FALSE)+VLOOKUP("CP",$R$63:$T$91,3,FALSE),0)+IF(AND($K$6="CE",'[3]Supply Attribution'!$G$20=B$18),LEFT($S$90,2),0)+IF(AND($X$86&lt;&gt;"Not Set",$X$87=B$18),$X$86,0)</f>
        <v>5</v>
      </c>
      <c r="C36" s="269">
        <f>IF(AND($K36&lt;&gt;"",$K36&lt;&gt;"--",$K36&lt;&gt;"O3/CP",$K$14=C$18),IF(LEFT($K36,1)="P",VLOOKUP(CONCATENATE(LEFT($K36,2),"H"),$R$63:$T$91,3,FALSE),VLOOKUP($K36,$R$63:$T$91,3,FALSE)))+IF(AND($K36&lt;&gt;"",$K36&lt;&gt;"O3/CP",$K$15=C$18,MID($K36,4,1)="2",$K$15&lt;&gt;$K$14),VLOOKUP(CONCATENATE(LEFT($K36,2),"L"),$R$63:$T$91,3,FALSE),0)+IF(AND($K36="O3/CP",$K$14=C$18),VLOOKUP("O3",$R$63:$T$91,3,FALSE)+VLOOKUP("CP",$R$63:$T$91,3,FALSE),0)+IF(AND($L36&lt;&gt;"",$L36&lt;&gt;"--",$L36&lt;&gt;"O3/CP",$L$14=C$18),IF(LEFT($L36,1)="P",VLOOKUP(CONCATENATE(LEFT($L36,2),"H"),$R$63:$T$91,3,FALSE),VLOOKUP($L36,$R$63:$T$91,3,FALSE)))+IF(AND($L36&lt;&gt;"",$L36&lt;&gt;"O3/CP",$L$15=C$18,MID($L36,4,1)="2",$L$15&lt;&gt;$L$14),VLOOKUP(CONCATENATE(LEFT($L36,2),"L"),$R$63:$T$91,3,FALSE),0)+IF(AND($L36="O3/CP",$L$14=C$18),VLOOKUP("O3",$R$63:$T$91,3,FALSE)+VLOOKUP("CP",$R$63:$T$91,3,FALSE),0)+IF(AND($M36&lt;&gt;"",$M36&lt;&gt;"--",$M36&lt;&gt;"O3/CP",$M$14=C$18),IF(LEFT($M36,1)="P",VLOOKUP(CONCATENATE(LEFT($M36,2),"H"),$R$63:$T$91,3,FALSE),VLOOKUP($M36,$R$63:$T$91,3,FALSE)))+IF(AND($M36&lt;&gt;"",$M36&lt;&gt;"O3/CP",$M$15=C$18,MID($M36,4,1)="2",$M$15&lt;&gt;$M$14),VLOOKUP(CONCATENATE(LEFT($M36,2),"L"),$R$63:$T$91,3,FALSE),0)+IF(AND($M36="O3/CP",$M$14=C$18),VLOOKUP("O3",$R$63:$T$91,3,FALSE)+VLOOKUP("CP",$R$63:$T$91,3,FALSE),0)+IF(AND($N36&lt;&gt;"",$N36&lt;&gt;"--",$N36&lt;&gt;"O3/CP",$N$14=C$18),IF(LEFT($N36,1)="P",VLOOKUP(CONCATENATE(LEFT($N36,2),"H"),$R$63:$T$91,3,FALSE),VLOOKUP($N36,$R$63:$T$91,3,FALSE)))+IF(AND($N36&lt;&gt;"",$N36&lt;&gt;"O3/CP",$N$15=C$18,MID($N36,4,1)="2",$N$15&lt;&gt;$N$14),VLOOKUP(CONCATENATE(LEFT($N36,2),"L"),$R$63:$T$91,3,FALSE),0)+IF(AND($N36="O3/CP",$N$14=C$18),VLOOKUP("O3",$R$63:$T$91,3,FALSE)+VLOOKUP("CP",$R$63:$T$91,3,FALSE),0)+IF(AND($O36&lt;&gt;"",$O36&lt;&gt;"--",$O36&lt;&gt;"O3/CP",$O$14=C$18),IF(LEFT($O36,1)="P",VLOOKUP(CONCATENATE(LEFT($O36,2),"H"),$R$63:$T$91,3,FALSE),VLOOKUP($O36,$R$63:$T$91,3,FALSE)))+IF(AND($O36&lt;&gt;"",$O36&lt;&gt;"O3/CP",$O$15=C$18,MID($O36,4,1)="2",$O$15&lt;&gt;$O$14),VLOOKUP(CONCATENATE(LEFT($O36,2),"L"),$R$63:$T$91,3,FALSE),0)+IF(AND($O36="O3/CP",$O$14=C$18),VLOOKUP("O3",$R$63:$T$91,3,FALSE)+VLOOKUP("CP",$R$63:$T$91,3,FALSE),0)+IF(AND($P36&lt;&gt;"",$P36&lt;&gt;"--",$P36&lt;&gt;"O3/CP",$P$14=C$18),IF(LEFT($P36,1)="P",VLOOKUP(CONCATENATE(LEFT($P36,2),"H"),$R$63:$T$91,3,FALSE),VLOOKUP($P36,$R$63:$T$91,3,FALSE)))+IF(AND($P36&lt;&gt;"",$P36&lt;&gt;"O3/CP",$P$15=C$18,MID($P36,4,1)="2",$P$15&lt;&gt;$P$14),VLOOKUP(CONCATENATE(LEFT($P36,2),"L"),$R$63:$T$91,3,FALSE),0)+IF(AND($P36="O3/CP",$P$14=C$18),VLOOKUP("O3",$R$63:$T$91,3,FALSE)+VLOOKUP("CP",$R$63:$T$91,3,FALSE),0)+IF(AND($Q36&lt;&gt;"",$Q36&lt;&gt;"--",$Q36&lt;&gt;"O3/CP",$Q$14=C$18),IF(LEFT($Q36,1)="P",VLOOKUP(CONCATENATE(LEFT($Q36,2),"H"),$R$63:$T$91,3,FALSE),VLOOKUP($Q36,$R$63:$T$91,3,FALSE)))+IF(AND($Q36&lt;&gt;"",$Q36&lt;&gt;"O3/CP",$Q$15=C$18,MID($Q36,4,1)="2",$Q$15&lt;&gt;$Q$14),VLOOKUP(CONCATENATE(LEFT($Q36,2),"L"),$R$63:$T$91,3,FALSE),0)+IF(AND($Q36="O3/CP",$Q$14=C$18),VLOOKUP("O3",$R$63:$T$91,3,FALSE)+VLOOKUP("CP",$R$63:$T$91,3,FALSE),0)+IF(AND($R36&lt;&gt;"",$R36&lt;&gt;"--",$R36&lt;&gt;"O3/CP",$R$14=C$18),IF(LEFT($R36,1)="P",VLOOKUP(CONCATENATE(LEFT($R36,2),"H"),$R$63:$T$91,3,FALSE),VLOOKUP($R36,$R$63:$T$91,3,FALSE)))+IF(AND($R36&lt;&gt;"",$R36&lt;&gt;"O3/CP",$R$15=C$18,MID($R36,4,1)="2",$R$15&lt;&gt;$R$14),VLOOKUP(CONCATENATE(LEFT($R36,2),"L"),$R$63:$T$91,3,FALSE),0)+IF(AND($R36="O3/CP",$R$14=C$18),VLOOKUP("O3",$R$63:$T$91,3,FALSE)+VLOOKUP("CP",$R$63:$T$91,3,FALSE),0)+IF(AND($S36&lt;&gt;"",$S36&lt;&gt;"--",$S36&lt;&gt;"O3/CP",$S$14=C$18),IF(LEFT($S36,1)="P",VLOOKUP(CONCATENATE(LEFT($S36,2),"H"),$R$63:$T$91,3,FALSE),VLOOKUP($S36,$R$63:$T$91,3,FALSE)))+IF(AND($S36&lt;&gt;"",$S36&lt;&gt;"O3/CP",$S$15=C$18,MID($S36,4,1)="2",$S$15&lt;&gt;$S$14),VLOOKUP(CONCATENATE(LEFT($S36,2),"L"),$R$63:$T$91,3,FALSE),0)+IF(AND($S36="O3/CP",$S$14=C$18),VLOOKUP("O3",$R$63:$T$91,3,FALSE)+VLOOKUP("CP",$R$63:$T$91,3,FALSE),0)+IF(AND($T36&lt;&gt;"",$T36&lt;&gt;"--",$T36&lt;&gt;"O3/CP",$T$14=C$18),IF(LEFT($T36,1)="P",VLOOKUP(CONCATENATE(LEFT($T36,2),"H"),$R$63:$T$91,3,FALSE),VLOOKUP($T36,$R$63:$T$91,3,FALSE)))+IF(AND($T36&lt;&gt;"",$T36&lt;&gt;"O3/CP",$T$15=C$18,MID($T36,4,1)="2",$T$15&lt;&gt;$T$14),VLOOKUP(CONCATENATE(LEFT($T36,2),"L"),$R$63:$T$91,3,FALSE),0)+IF(AND($T36="O3/CP",$T$14=C$18),VLOOKUP("O3",$R$63:$T$91,3,FALSE)+VLOOKUP("CP",$R$63:$T$91,3,FALSE),0)+IF(AND($U36&lt;&gt;"",$U36&lt;&gt;"--",$U36&lt;&gt;"O3/CP",$U$14=C$18),IF(LEFT($U36,1)="P",VLOOKUP(CONCATENATE(LEFT($U36,2),"H"),$R$63:$T$91,3,FALSE),VLOOKUP($U36,$R$63:$T$91,3,FALSE)))+IF(AND($U36&lt;&gt;"",$U36&lt;&gt;"O3/CP",$U$15=C$18,MID($U36,4,1)="2",$U$15&lt;&gt;$U$14),VLOOKUP(CONCATENATE(LEFT($U36,2),"L"),$R$63:$T$91,3,FALSE),0)+IF(AND($U36="O3/CP",$T$14=C$18),VLOOKUP("O3",$R$63:$T$91,3,FALSE)+VLOOKUP("CP",$R$63:$T$91,3,FALSE),0)+IF(AND($V36&lt;&gt;"",$V36&lt;&gt;"--",$V36&lt;&gt;"O3/CP",$V$14=C$18),IF(LEFT($V36,1)="P",VLOOKUP(CONCATENATE(LEFT($V36,2),"H"),$R$63:$T$91,3,FALSE),VLOOKUP($V36,$R$63:$T$91,3,FALSE)))+IF(AND($V36&lt;&gt;"",$V36&lt;&gt;"O3/CP",$V$15=C$18,MID($V36,4,1)="2",$V$15&lt;&gt;$V$14),VLOOKUP(CONCATENATE(LEFT($V36,2),"L"),$R$63:$T$91,3,FALSE),0)+IF(AND($V36="O3/CP",$V$14=C$18),VLOOKUP("O3",$R$63:$T$91,3,FALSE)+VLOOKUP("CP",$R$63:$T$91,3,FALSE),0)+IF(AND($W36&lt;&gt;"",$W36&lt;&gt;"--",$W36&lt;&gt;"O3/CP",$W$14=C$18),IF(LEFT($W36,1)="P",VLOOKUP(CONCATENATE(LEFT($W36,2),"H"),$R$63:$T$91,3,FALSE),VLOOKUP($W36,$R$63:$T$91,3,FALSE)))+IF(AND($W36&lt;&gt;"",$W36&lt;&gt;"O3/CP",$W$15=C$18,MID($W36,4,1)="2",$W$15&lt;&gt;$W$14),VLOOKUP(CONCATENATE(LEFT($W36,2),"L"),$R$63:$T$91,3,FALSE),0)+IF(AND($W36="O3/CP",$W$14=C$18),VLOOKUP("O3",$R$63:$T$91,3,FALSE)+VLOOKUP("CP",$R$63:$T$91,3,FALSE),0)+IF(AND($X36&lt;&gt;"",$X36&lt;&gt;"--",$X36&lt;&gt;"O3/CP",$X$14=C$18),IF(LEFT($X36,1)="P",VLOOKUP(CONCATENATE(LEFT($X36,2),"H"),$R$63:$T$91,3,FALSE),VLOOKUP($X36,$R$63:$T$91,3,FALSE)))+IF(AND($X36&lt;&gt;"",$X36&lt;&gt;"O3/CP",$X$15=C$18,MID($X36,4,1)="2",$X$15&lt;&gt;$X$14),VLOOKUP(CONCATENATE(LEFT($X36,2),"L"),$R$63:$T$91,3,FALSE),0)+IF(AND($X36="O3/CP",$X$14=C$18),VLOOKUP("O3",$R$63:$T$91,3,FALSE)+VLOOKUP("CP",$R$63:$T$91,3,FALSE),0)+IF(AND($Y36&lt;&gt;"",$Y36&lt;&gt;"--",$Y36&lt;&gt;"O3/CP",$Y$14=C$18),IF(LEFT($Y36,1)="P",VLOOKUP(CONCATENATE(LEFT($Y36,2),"H"),$R$63:$T$91,3,FALSE),VLOOKUP($Y36,$R$63:$T$91,3,FALSE)))+IF(AND($Y36&lt;&gt;"",$Y36&lt;&gt;"O3/CP",$Y$15=C$18,MID($Y36,4,1)="2",$Y$15&lt;&gt;$Y$14),VLOOKUP(CONCATENATE(LEFT($Y36,2),"L"),$R$63:$T$91,3,FALSE),0)+IF(AND($Y36="O3/CP",$Y$14=C$18),VLOOKUP("O3",$R$63:$T$91,3,FALSE)+VLOOKUP("CP",$R$63:$T$91,3,FALSE),0)+IF(AND($K$6="CE",'[3]Supply Attribution'!$G$20=C$18),LEFT($S$90,2),0)+IF(AND($X$86&lt;&gt;"Not Set",$X$87=C$18),$X$86,0)</f>
        <v>12</v>
      </c>
      <c r="D36" s="269">
        <f>IF(AND($K36&lt;&gt;"",$K36&lt;&gt;"--",$K36&lt;&gt;"O3/CP",$K$14=D$18),IF(LEFT($K36,1)="P",VLOOKUP(CONCATENATE(LEFT($K36,2),"H"),$R$63:$T$91,3,FALSE),VLOOKUP($K36,$R$63:$T$91,3,FALSE)))+IF(AND($K36&lt;&gt;"",$K36&lt;&gt;"O3/CP",$K$15=D$18,MID($K36,4,1)="2",$K$15&lt;&gt;$K$14),VLOOKUP(CONCATENATE(LEFT($K36,2),"L"),$R$63:$T$91,3,FALSE),0)+IF(AND($K36="O3/CP",$K$14=D$18),VLOOKUP("O3",$R$63:$T$91,3,FALSE)+VLOOKUP("CP",$R$63:$T$91,3,FALSE),0)+IF(AND($L36&lt;&gt;"",$L36&lt;&gt;"--",$L36&lt;&gt;"O3/CP",$L$14=D$18),IF(LEFT($L36,1)="P",VLOOKUP(CONCATENATE(LEFT($L36,2),"H"),$R$63:$T$91,3,FALSE),VLOOKUP($L36,$R$63:$T$91,3,FALSE)))+IF(AND($L36&lt;&gt;"",$L36&lt;&gt;"O3/CP",$L$15=D$18,MID($L36,4,1)="2",$L$15&lt;&gt;$L$14),VLOOKUP(CONCATENATE(LEFT($L36,2),"L"),$R$63:$T$91,3,FALSE),0)+IF(AND($L36="O3/CP",$L$14=D$18),VLOOKUP("O3",$R$63:$T$91,3,FALSE)+VLOOKUP("CP",$R$63:$T$91,3,FALSE),0)+IF(AND($M36&lt;&gt;"",$M36&lt;&gt;"--",$M36&lt;&gt;"O3/CP",$M$14=D$18),IF(LEFT($M36,1)="P",VLOOKUP(CONCATENATE(LEFT($M36,2),"H"),$R$63:$T$91,3,FALSE),VLOOKUP($M36,$R$63:$T$91,3,FALSE)))+IF(AND($M36&lt;&gt;"",$M36&lt;&gt;"O3/CP",$M$15=D$18,MID($M36,4,1)="2",$M$15&lt;&gt;$M$14),VLOOKUP(CONCATENATE(LEFT($M36,2),"L"),$R$63:$T$91,3,FALSE),0)+IF(AND($M36="O3/CP",$M$14=D$18),VLOOKUP("O3",$R$63:$T$91,3,FALSE)+VLOOKUP("CP",$R$63:$T$91,3,FALSE),0)+IF(AND($N36&lt;&gt;"",$N36&lt;&gt;"--",$N36&lt;&gt;"O3/CP",$N$14=D$18),IF(LEFT($N36,1)="P",VLOOKUP(CONCATENATE(LEFT($N36,2),"H"),$R$63:$T$91,3,FALSE),VLOOKUP($N36,$R$63:$T$91,3,FALSE)))+IF(AND($N36&lt;&gt;"",$N36&lt;&gt;"O3/CP",$N$15=D$18,MID($N36,4,1)="2",$N$15&lt;&gt;$N$14),VLOOKUP(CONCATENATE(LEFT($N36,2),"L"),$R$63:$T$91,3,FALSE),0)+IF(AND($N36="O3/CP",$N$14=D$18),VLOOKUP("O3",$R$63:$T$91,3,FALSE)+VLOOKUP("CP",$R$63:$T$91,3,FALSE),0)+IF(AND($O36&lt;&gt;"",$O36&lt;&gt;"--",$O36&lt;&gt;"O3/CP",$O$14=D$18),IF(LEFT($O36,1)="P",VLOOKUP(CONCATENATE(LEFT($O36,2),"H"),$R$63:$T$91,3,FALSE),VLOOKUP($O36,$R$63:$T$91,3,FALSE)))+IF(AND($O36&lt;&gt;"",$O36&lt;&gt;"O3/CP",$O$15=D$18,MID($O36,4,1)="2",$O$15&lt;&gt;$O$14),VLOOKUP(CONCATENATE(LEFT($O36,2),"L"),$R$63:$T$91,3,FALSE),0)+IF(AND($O36="O3/CP",$O$14=D$18),VLOOKUP("O3",$R$63:$T$91,3,FALSE)+VLOOKUP("CP",$R$63:$T$91,3,FALSE),0)+IF(AND($P36&lt;&gt;"",$P36&lt;&gt;"--",$P36&lt;&gt;"O3/CP",$P$14=D$18),IF(LEFT($P36,1)="P",VLOOKUP(CONCATENATE(LEFT($P36,2),"H"),$R$63:$T$91,3,FALSE),VLOOKUP($P36,$R$63:$T$91,3,FALSE)))+IF(AND($P36&lt;&gt;"",$P36&lt;&gt;"O3/CP",$P$15=D$18,MID($P36,4,1)="2",$P$15&lt;&gt;$P$14),VLOOKUP(CONCATENATE(LEFT($P36,2),"L"),$R$63:$T$91,3,FALSE),0)+IF(AND($P36="O3/CP",$P$14=D$18),VLOOKUP("O3",$R$63:$T$91,3,FALSE)+VLOOKUP("CP",$R$63:$T$91,3,FALSE),0)+IF(AND($Q36&lt;&gt;"",$Q36&lt;&gt;"--",$Q36&lt;&gt;"O3/CP",$Q$14=D$18),IF(LEFT($Q36,1)="P",VLOOKUP(CONCATENATE(LEFT($Q36,2),"H"),$R$63:$T$91,3,FALSE),VLOOKUP($Q36,$R$63:$T$91,3,FALSE)))+IF(AND($Q36&lt;&gt;"",$Q36&lt;&gt;"O3/CP",$Q$15=D$18,MID($Q36,4,1)="2",$Q$15&lt;&gt;$Q$14),VLOOKUP(CONCATENATE(LEFT($Q36,2),"L"),$R$63:$T$91,3,FALSE),0)+IF(AND($Q36="O3/CP",$Q$14=D$18),VLOOKUP("O3",$R$63:$T$91,3,FALSE)+VLOOKUP("CP",$R$63:$T$91,3,FALSE),0)+IF(AND($R36&lt;&gt;"",$R36&lt;&gt;"--",$R36&lt;&gt;"O3/CP",$R$14=D$18),IF(LEFT($R36,1)="P",VLOOKUP(CONCATENATE(LEFT($R36,2),"H"),$R$63:$T$91,3,FALSE),VLOOKUP($R36,$R$63:$T$91,3,FALSE)))+IF(AND($R36&lt;&gt;"",$R36&lt;&gt;"O3/CP",$R$15=D$18,MID($R36,4,1)="2",$R$15&lt;&gt;$R$14),VLOOKUP(CONCATENATE(LEFT($R36,2),"L"),$R$63:$T$91,3,FALSE),0)+IF(AND($R36="O3/CP",$R$14=D$18),VLOOKUP("O3",$R$63:$T$91,3,FALSE)+VLOOKUP("CP",$R$63:$T$91,3,FALSE),0)+IF(AND($S36&lt;&gt;"",$S36&lt;&gt;"--",$S36&lt;&gt;"O3/CP",$S$14=D$18),IF(LEFT($S36,1)="P",VLOOKUP(CONCATENATE(LEFT($S36,2),"H"),$R$63:$T$91,3,FALSE),VLOOKUP($S36,$R$63:$T$91,3,FALSE)))+IF(AND($S36&lt;&gt;"",$S36&lt;&gt;"O3/CP",$S$15=D$18,MID($S36,4,1)="2",$S$15&lt;&gt;$S$14),VLOOKUP(CONCATENATE(LEFT($S36,2),"L"),$R$63:$T$91,3,FALSE),0)+IF(AND($S36="O3/CP",$S$14=D$18),VLOOKUP("O3",$R$63:$T$91,3,FALSE)+VLOOKUP("CP",$R$63:$T$91,3,FALSE),0)+IF(AND($T36&lt;&gt;"",$T36&lt;&gt;"--",$T36&lt;&gt;"O3/CP",$T$14=D$18),IF(LEFT($T36,1)="P",VLOOKUP(CONCATENATE(LEFT($T36,2),"H"),$R$63:$T$91,3,FALSE),VLOOKUP($T36,$R$63:$T$91,3,FALSE)))+IF(AND($T36&lt;&gt;"",$T36&lt;&gt;"O3/CP",$T$15=D$18,MID($T36,4,1)="2",$T$15&lt;&gt;$T$14),VLOOKUP(CONCATENATE(LEFT($T36,2),"L"),$R$63:$T$91,3,FALSE),0)+IF(AND($T36="O3/CP",$T$14=D$18),VLOOKUP("O3",$R$63:$T$91,3,FALSE)+VLOOKUP("CP",$R$63:$T$91,3,FALSE),0)+IF(AND($U36&lt;&gt;"",$U36&lt;&gt;"--",$U36&lt;&gt;"O3/CP",$U$14=D$18),IF(LEFT($U36,1)="P",VLOOKUP(CONCATENATE(LEFT($U36,2),"H"),$R$63:$T$91,3,FALSE),VLOOKUP($U36,$R$63:$T$91,3,FALSE)))+IF(AND($U36&lt;&gt;"",$U36&lt;&gt;"O3/CP",$U$15=D$18,MID($U36,4,1)="2",$U$15&lt;&gt;$U$14),VLOOKUP(CONCATENATE(LEFT($U36,2),"L"),$R$63:$T$91,3,FALSE),0)+IF(AND($U36="O3/CP",$T$14=D$18),VLOOKUP("O3",$R$63:$T$91,3,FALSE)+VLOOKUP("CP",$R$63:$T$91,3,FALSE),0)+IF(AND($V36&lt;&gt;"",$V36&lt;&gt;"--",$V36&lt;&gt;"O3/CP",$V$14=D$18),IF(LEFT($V36,1)="P",VLOOKUP(CONCATENATE(LEFT($V36,2),"H"),$R$63:$T$91,3,FALSE),VLOOKUP($V36,$R$63:$T$91,3,FALSE)))+IF(AND($V36&lt;&gt;"",$V36&lt;&gt;"O3/CP",$V$15=D$18,MID($V36,4,1)="2",$V$15&lt;&gt;$V$14),VLOOKUP(CONCATENATE(LEFT($V36,2),"L"),$R$63:$T$91,3,FALSE),0)+IF(AND($V36="O3/CP",$V$14=D$18),VLOOKUP("O3",$R$63:$T$91,3,FALSE)+VLOOKUP("CP",$R$63:$T$91,3,FALSE),0)+IF(AND($W36&lt;&gt;"",$W36&lt;&gt;"--",$W36&lt;&gt;"O3/CP",$W$14=D$18),IF(LEFT($W36,1)="P",VLOOKUP(CONCATENATE(LEFT($W36,2),"H"),$R$63:$T$91,3,FALSE),VLOOKUP($W36,$R$63:$T$91,3,FALSE)))+IF(AND($W36&lt;&gt;"",$W36&lt;&gt;"O3/CP",$W$15=D$18,MID($W36,4,1)="2",$W$15&lt;&gt;$W$14),VLOOKUP(CONCATENATE(LEFT($W36,2),"L"),$R$63:$T$91,3,FALSE),0)+IF(AND($W36="O3/CP",$W$14=D$18),VLOOKUP("O3",$R$63:$T$91,3,FALSE)+VLOOKUP("CP",$R$63:$T$91,3,FALSE),0)+IF(AND($X36&lt;&gt;"",$X36&lt;&gt;"--",$X36&lt;&gt;"O3/CP",$X$14=D$18),IF(LEFT($X36,1)="P",VLOOKUP(CONCATENATE(LEFT($X36,2),"H"),$R$63:$T$91,3,FALSE),VLOOKUP($X36,$R$63:$T$91,3,FALSE)))+IF(AND($X36&lt;&gt;"",$X36&lt;&gt;"O3/CP",$X$15=D$18,MID($X36,4,1)="2",$X$15&lt;&gt;$X$14),VLOOKUP(CONCATENATE(LEFT($X36,2),"L"),$R$63:$T$91,3,FALSE),0)+IF(AND($X36="O3/CP",$X$14=D$18),VLOOKUP("O3",$R$63:$T$91,3,FALSE)+VLOOKUP("CP",$R$63:$T$91,3,FALSE),0)+IF(AND($Y36&lt;&gt;"",$Y36&lt;&gt;"--",$Y36&lt;&gt;"O3/CP",$Y$14=D$18),IF(LEFT($Y36,1)="P",VLOOKUP(CONCATENATE(LEFT($Y36,2),"H"),$R$63:$T$91,3,FALSE),VLOOKUP($Y36,$R$63:$T$91,3,FALSE)))+IF(AND($Y36&lt;&gt;"",$Y36&lt;&gt;"O3/CP",$Y$15=D$18,MID($Y36,4,1)="2",$Y$15&lt;&gt;$Y$14),VLOOKUP(CONCATENATE(LEFT($Y36,2),"L"),$R$63:$T$91,3,FALSE),0)+IF(AND($Y36="O3/CP",$Y$14=D$18),VLOOKUP("O3",$R$63:$T$91,3,FALSE)+VLOOKUP("CP",$R$63:$T$91,3,FALSE),0)+IF(AND($K$6="CE",'[3]Supply Attribution'!$G$20=D$18),LEFT($S$90,2),0)+IF(AND($X$86&lt;&gt;"Not Set",$X$87=D$18),$X$86,0)</f>
        <v>0</v>
      </c>
      <c r="E36" s="269">
        <f>IF(AND($K36&lt;&gt;"",$K36&lt;&gt;"--",$K36&lt;&gt;"O3/CP",$K$14=E$18),IF(LEFT($K36,1)="P",VLOOKUP(CONCATENATE(LEFT($K36,2),"H"),$R$63:$T$91,3,FALSE),VLOOKUP($K36,$R$63:$T$91,3,FALSE)))+IF(AND($K36&lt;&gt;"",$K36&lt;&gt;"O3/CP",$K$15=E$18,MID($K36,4,1)="2",$K$15&lt;&gt;$K$14),VLOOKUP(CONCATENATE(LEFT($K36,2),"L"),$R$63:$T$91,3,FALSE),0)+IF(AND($K36="O3/CP",$K$14=E$18),VLOOKUP("O3",$R$63:$T$91,3,FALSE)+VLOOKUP("CP",$R$63:$T$91,3,FALSE),0)+IF(AND($L36&lt;&gt;"",$L36&lt;&gt;"--",$L36&lt;&gt;"O3/CP",$L$14=E$18),IF(LEFT($L36,1)="P",VLOOKUP(CONCATENATE(LEFT($L36,2),"H"),$R$63:$T$91,3,FALSE),VLOOKUP($L36,$R$63:$T$91,3,FALSE)))+IF(AND($L36&lt;&gt;"",$L36&lt;&gt;"O3/CP",$L$15=E$18,MID($L36,4,1)="2",$L$15&lt;&gt;$L$14),VLOOKUP(CONCATENATE(LEFT($L36,2),"L"),$R$63:$T$91,3,FALSE),0)+IF(AND($L36="O3/CP",$L$14=E$18),VLOOKUP("O3",$R$63:$T$91,3,FALSE)+VLOOKUP("CP",$R$63:$T$91,3,FALSE),0)+IF(AND($M36&lt;&gt;"",$M36&lt;&gt;"--",$M36&lt;&gt;"O3/CP",$M$14=E$18),IF(LEFT($M36,1)="P",VLOOKUP(CONCATENATE(LEFT($M36,2),"H"),$R$63:$T$91,3,FALSE),VLOOKUP($M36,$R$63:$T$91,3,FALSE)))+IF(AND($M36&lt;&gt;"",$M36&lt;&gt;"O3/CP",$M$15=E$18,MID($M36,4,1)="2",$M$15&lt;&gt;$M$14),VLOOKUP(CONCATENATE(LEFT($M36,2),"L"),$R$63:$T$91,3,FALSE),0)+IF(AND($M36="O3/CP",$M$14=E$18),VLOOKUP("O3",$R$63:$T$91,3,FALSE)+VLOOKUP("CP",$R$63:$T$91,3,FALSE),0)+IF(AND($N36&lt;&gt;"",$N36&lt;&gt;"--",$N36&lt;&gt;"O3/CP",$N$14=E$18),IF(LEFT($N36,1)="P",VLOOKUP(CONCATENATE(LEFT($N36,2),"H"),$R$63:$T$91,3,FALSE),VLOOKUP($N36,$R$63:$T$91,3,FALSE)))+IF(AND($N36&lt;&gt;"",$N36&lt;&gt;"O3/CP",$N$15=E$18,MID($N36,4,1)="2",$N$15&lt;&gt;$N$14),VLOOKUP(CONCATENATE(LEFT($N36,2),"L"),$R$63:$T$91,3,FALSE),0)+IF(AND($N36="O3/CP",$N$14=E$18),VLOOKUP("O3",$R$63:$T$91,3,FALSE)+VLOOKUP("CP",$R$63:$T$91,3,FALSE),0)+IF(AND($O36&lt;&gt;"",$O36&lt;&gt;"--",$O36&lt;&gt;"O3/CP",$O$14=E$18),IF(LEFT($O36,1)="P",VLOOKUP(CONCATENATE(LEFT($O36,2),"H"),$R$63:$T$91,3,FALSE),VLOOKUP($O36,$R$63:$T$91,3,FALSE)))+IF(AND($O36&lt;&gt;"",$O36&lt;&gt;"O3/CP",$O$15=E$18,MID($O36,4,1)="2",$O$15&lt;&gt;$O$14),VLOOKUP(CONCATENATE(LEFT($O36,2),"L"),$R$63:$T$91,3,FALSE),0)+IF(AND($O36="O3/CP",$O$14=E$18),VLOOKUP("O3",$R$63:$T$91,3,FALSE)+VLOOKUP("CP",$R$63:$T$91,3,FALSE),0)+IF(AND($P36&lt;&gt;"",$P36&lt;&gt;"--",$P36&lt;&gt;"O3/CP",$P$14=E$18),IF(LEFT($P36,1)="P",VLOOKUP(CONCATENATE(LEFT($P36,2),"H"),$R$63:$T$91,3,FALSE),VLOOKUP($P36,$R$63:$T$91,3,FALSE)))+IF(AND($P36&lt;&gt;"",$P36&lt;&gt;"O3/CP",$P$15=E$18,MID($P36,4,1)="2",$P$15&lt;&gt;$P$14),VLOOKUP(CONCATENATE(LEFT($P36,2),"L"),$R$63:$T$91,3,FALSE),0)+IF(AND($P36="O3/CP",$P$14=E$18),VLOOKUP("O3",$R$63:$T$91,3,FALSE)+VLOOKUP("CP",$R$63:$T$91,3,FALSE),0)+IF(AND($Q36&lt;&gt;"",$Q36&lt;&gt;"--",$Q36&lt;&gt;"O3/CP",$Q$14=E$18),IF(LEFT($Q36,1)="P",VLOOKUP(CONCATENATE(LEFT($Q36,2),"H"),$R$63:$T$91,3,FALSE),VLOOKUP($Q36,$R$63:$T$91,3,FALSE)))+IF(AND($Q36&lt;&gt;"",$Q36&lt;&gt;"O3/CP",$Q$15=E$18,MID($Q36,4,1)="2",$Q$15&lt;&gt;$Q$14),VLOOKUP(CONCATENATE(LEFT($Q36,2),"L"),$R$63:$T$91,3,FALSE),0)+IF(AND($Q36="O3/CP",$Q$14=E$18),VLOOKUP("O3",$R$63:$T$91,3,FALSE)+VLOOKUP("CP",$R$63:$T$91,3,FALSE),0)+IF(AND($R36&lt;&gt;"",$R36&lt;&gt;"--",$R36&lt;&gt;"O3/CP",$R$14=E$18),IF(LEFT($R36,1)="P",VLOOKUP(CONCATENATE(LEFT($R36,2),"H"),$R$63:$T$91,3,FALSE),VLOOKUP($R36,$R$63:$T$91,3,FALSE)))+IF(AND($R36&lt;&gt;"",$R36&lt;&gt;"O3/CP",$R$15=E$18,MID($R36,4,1)="2",$R$15&lt;&gt;$R$14),VLOOKUP(CONCATENATE(LEFT($R36,2),"L"),$R$63:$T$91,3,FALSE),0)+IF(AND($R36="O3/CP",$R$14=E$18),VLOOKUP("O3",$R$63:$T$91,3,FALSE)+VLOOKUP("CP",$R$63:$T$91,3,FALSE),0)+IF(AND($S36&lt;&gt;"",$S36&lt;&gt;"--",$S36&lt;&gt;"O3/CP",$S$14=E$18),IF(LEFT($S36,1)="P",VLOOKUP(CONCATENATE(LEFT($S36,2),"H"),$R$63:$T$91,3,FALSE),VLOOKUP($S36,$R$63:$T$91,3,FALSE)))+IF(AND($S36&lt;&gt;"",$S36&lt;&gt;"O3/CP",$S$15=E$18,MID($S36,4,1)="2",$S$15&lt;&gt;$S$14),VLOOKUP(CONCATENATE(LEFT($S36,2),"L"),$R$63:$T$91,3,FALSE),0)+IF(AND($S36="O3/CP",$S$14=E$18),VLOOKUP("O3",$R$63:$T$91,3,FALSE)+VLOOKUP("CP",$R$63:$T$91,3,FALSE),0)+IF(AND($T36&lt;&gt;"",$T36&lt;&gt;"--",$T36&lt;&gt;"O3/CP",$T$14=E$18),IF(LEFT($T36,1)="P",VLOOKUP(CONCATENATE(LEFT($T36,2),"H"),$R$63:$T$91,3,FALSE),VLOOKUP($T36,$R$63:$T$91,3,FALSE)))+IF(AND($T36&lt;&gt;"",$T36&lt;&gt;"O3/CP",$T$15=E$18,MID($T36,4,1)="2",$T$15&lt;&gt;$T$14),VLOOKUP(CONCATENATE(LEFT($T36,2),"L"),$R$63:$T$91,3,FALSE),0)+IF(AND($T36="O3/CP",$T$14=E$18),VLOOKUP("O3",$R$63:$T$91,3,FALSE)+VLOOKUP("CP",$R$63:$T$91,3,FALSE),0)+IF(AND($U36&lt;&gt;"",$U36&lt;&gt;"--",$U36&lt;&gt;"O3/CP",$U$14=E$18),IF(LEFT($U36,1)="P",VLOOKUP(CONCATENATE(LEFT($U36,2),"H"),$R$63:$T$91,3,FALSE),VLOOKUP($U36,$R$63:$T$91,3,FALSE)))+IF(AND($U36&lt;&gt;"",$U36&lt;&gt;"O3/CP",$U$15=E$18,MID($U36,4,1)="2",$U$15&lt;&gt;$U$14),VLOOKUP(CONCATENATE(LEFT($U36,2),"L"),$R$63:$T$91,3,FALSE),0)+IF(AND($U36="O3/CP",$T$14=E$18),VLOOKUP("O3",$R$63:$T$91,3,FALSE)+VLOOKUP("CP",$R$63:$T$91,3,FALSE),0)+IF(AND($V36&lt;&gt;"",$V36&lt;&gt;"--",$V36&lt;&gt;"O3/CP",$V$14=E$18),IF(LEFT($V36,1)="P",VLOOKUP(CONCATENATE(LEFT($V36,2),"H"),$R$63:$T$91,3,FALSE),VLOOKUP($V36,$R$63:$T$91,3,FALSE)))+IF(AND($V36&lt;&gt;"",$V36&lt;&gt;"O3/CP",$V$15=E$18,MID($V36,4,1)="2",$V$15&lt;&gt;$V$14),VLOOKUP(CONCATENATE(LEFT($V36,2),"L"),$R$63:$T$91,3,FALSE),0)+IF(AND($V36="O3/CP",$V$14=E$18),VLOOKUP("O3",$R$63:$T$91,3,FALSE)+VLOOKUP("CP",$R$63:$T$91,3,FALSE),0)+IF(AND($W36&lt;&gt;"",$W36&lt;&gt;"--",$W36&lt;&gt;"O3/CP",$W$14=E$18),IF(LEFT($W36,1)="P",VLOOKUP(CONCATENATE(LEFT($W36,2),"H"),$R$63:$T$91,3,FALSE),VLOOKUP($W36,$R$63:$T$91,3,FALSE)))+IF(AND($W36&lt;&gt;"",$W36&lt;&gt;"O3/CP",$W$15=E$18,MID($W36,4,1)="2",$W$15&lt;&gt;$W$14),VLOOKUP(CONCATENATE(LEFT($W36,2),"L"),$R$63:$T$91,3,FALSE),0)+IF(AND($W36="O3/CP",$W$14=E$18),VLOOKUP("O3",$R$63:$T$91,3,FALSE)+VLOOKUP("CP",$R$63:$T$91,3,FALSE),0)+IF(AND($X36&lt;&gt;"",$X36&lt;&gt;"--",$X36&lt;&gt;"O3/CP",$X$14=E$18),IF(LEFT($X36,1)="P",VLOOKUP(CONCATENATE(LEFT($X36,2),"H"),$R$63:$T$91,3,FALSE),VLOOKUP($X36,$R$63:$T$91,3,FALSE)))+IF(AND($X36&lt;&gt;"",$X36&lt;&gt;"O3/CP",$X$15=E$18,MID($X36,4,1)="2",$X$15&lt;&gt;$X$14),VLOOKUP(CONCATENATE(LEFT($X36,2),"L"),$R$63:$T$91,3,FALSE),0)+IF(AND($X36="O3/CP",$X$14=E$18),VLOOKUP("O3",$R$63:$T$91,3,FALSE)+VLOOKUP("CP",$R$63:$T$91,3,FALSE),0)+IF(AND($Y36&lt;&gt;"",$Y36&lt;&gt;"--",$Y36&lt;&gt;"O3/CP",$Y$14=E$18),IF(LEFT($Y36,1)="P",VLOOKUP(CONCATENATE(LEFT($Y36,2),"H"),$R$63:$T$91,3,FALSE),VLOOKUP($Y36,$R$63:$T$91,3,FALSE)))+IF(AND($Y36&lt;&gt;"",$Y36&lt;&gt;"O3/CP",$Y$15=E$18,MID($Y36,4,1)="2",$Y$15&lt;&gt;$Y$14),VLOOKUP(CONCATENATE(LEFT($Y36,2),"L"),$R$63:$T$91,3,FALSE),0)+IF(AND($Y36="O3/CP",$Y$14=E$18),VLOOKUP("O3",$R$63:$T$91,3,FALSE)+VLOOKUP("CP",$R$63:$T$91,3,FALSE),0)+IF(AND($K$6="CE",'[3]Supply Attribution'!$G$20=E$18),LEFT($S$90,2),0)+IF(AND($X$86&lt;&gt;"Not Set",$X$87=E$18),$X$86,0)</f>
        <v>0</v>
      </c>
      <c r="F36" s="268">
        <f>IF(AND($K36&lt;&gt;"",$K36&lt;&gt;"--",$K36&lt;&gt;"O3/CP",$K$14=F$18),IF(LEFT($K36,1)="P",VLOOKUP(CONCATENATE(LEFT($K36,2),"H"),$R$63:$T$91,3,FALSE),VLOOKUP($K36,$R$63:$T$91,3,FALSE)))+IF(AND($K36&lt;&gt;"",$K36&lt;&gt;"O3/CP",$K$15=F$18,MID($K36,4,1)="2",$K$15&lt;&gt;$K$14),VLOOKUP(CONCATENATE(LEFT($K36,2),"L"),$R$63:$T$91,3,FALSE),0)+IF(AND($K36="O3/CP",$K$14=F$18),VLOOKUP("O3",$R$63:$T$91,3,FALSE)+VLOOKUP("CP",$R$63:$T$91,3,FALSE),0)+IF(AND($L36&lt;&gt;"",$L36&lt;&gt;"--",$L36&lt;&gt;"O3/CP",$L$14=F$18),IF(LEFT($L36,1)="P",VLOOKUP(CONCATENATE(LEFT($L36,2),"H"),$R$63:$T$91,3,FALSE),VLOOKUP($L36,$R$63:$T$91,3,FALSE)))+IF(AND($L36&lt;&gt;"",$L36&lt;&gt;"O3/CP",$L$15=F$18,MID($L36,4,1)="2",$L$15&lt;&gt;$L$14),VLOOKUP(CONCATENATE(LEFT($L36,2),"L"),$R$63:$T$91,3,FALSE),0)+IF(AND($L36="O3/CP",$L$14=F$18),VLOOKUP("O3",$R$63:$T$91,3,FALSE)+VLOOKUP("CP",$R$63:$T$91,3,FALSE),0)+IF(AND($M36&lt;&gt;"",$M36&lt;&gt;"--",$M36&lt;&gt;"O3/CP",$M$14=F$18),IF(LEFT($M36,1)="P",VLOOKUP(CONCATENATE(LEFT($M36,2),"H"),$R$63:$T$91,3,FALSE),VLOOKUP($M36,$R$63:$T$91,3,FALSE)))+IF(AND($M36&lt;&gt;"",$M36&lt;&gt;"O3/CP",$M$15=F$18,MID($M36,4,1)="2",$M$15&lt;&gt;$M$14),VLOOKUP(CONCATENATE(LEFT($M36,2),"L"),$R$63:$T$91,3,FALSE),0)+IF(AND($M36="O3/CP",$M$14=F$18),VLOOKUP("O3",$R$63:$T$91,3,FALSE)+VLOOKUP("CP",$R$63:$T$91,3,FALSE),0)+IF(AND($N36&lt;&gt;"",$N36&lt;&gt;"--",$N36&lt;&gt;"O3/CP",$N$14=F$18),IF(LEFT($N36,1)="P",VLOOKUP(CONCATENATE(LEFT($N36,2),"H"),$R$63:$T$91,3,FALSE),VLOOKUP($N36,$R$63:$T$91,3,FALSE)))+IF(AND($N36&lt;&gt;"",$N36&lt;&gt;"O3/CP",$N$15=F$18,MID($N36,4,1)="2",$N$15&lt;&gt;$N$14),VLOOKUP(CONCATENATE(LEFT($N36,2),"L"),$R$63:$T$91,3,FALSE),0)+IF(AND($N36="O3/CP",$N$14=F$18),VLOOKUP("O3",$R$63:$T$91,3,FALSE)+VLOOKUP("CP",$R$63:$T$91,3,FALSE),0)+IF(AND($O36&lt;&gt;"",$O36&lt;&gt;"--",$O36&lt;&gt;"O3/CP",$O$14=F$18),IF(LEFT($O36,1)="P",VLOOKUP(CONCATENATE(LEFT($O36,2),"H"),$R$63:$T$91,3,FALSE),VLOOKUP($O36,$R$63:$T$91,3,FALSE)))+IF(AND($O36&lt;&gt;"",$O36&lt;&gt;"O3/CP",$O$15=F$18,MID($O36,4,1)="2",$O$15&lt;&gt;$O$14),VLOOKUP(CONCATENATE(LEFT($O36,2),"L"),$R$63:$T$91,3,FALSE),0)+IF(AND($O36="O3/CP",$O$14=F$18),VLOOKUP("O3",$R$63:$T$91,3,FALSE)+VLOOKUP("CP",$R$63:$T$91,3,FALSE),0)+IF(AND($P36&lt;&gt;"",$P36&lt;&gt;"--",$P36&lt;&gt;"O3/CP",$P$14=F$18),IF(LEFT($P36,1)="P",VLOOKUP(CONCATENATE(LEFT($P36,2),"H"),$R$63:$T$91,3,FALSE),VLOOKUP($P36,$R$63:$T$91,3,FALSE)))+IF(AND($P36&lt;&gt;"",$P36&lt;&gt;"O3/CP",$P$15=F$18,MID($P36,4,1)="2",$P$15&lt;&gt;$P$14),VLOOKUP(CONCATENATE(LEFT($P36,2),"L"),$R$63:$T$91,3,FALSE),0)+IF(AND($P36="O3/CP",$P$14=F$18),VLOOKUP("O3",$R$63:$T$91,3,FALSE)+VLOOKUP("CP",$R$63:$T$91,3,FALSE),0)+IF(AND($Q36&lt;&gt;"",$Q36&lt;&gt;"--",$Q36&lt;&gt;"O3/CP",$Q$14=F$18),IF(LEFT($Q36,1)="P",VLOOKUP(CONCATENATE(LEFT($Q36,2),"H"),$R$63:$T$91,3,FALSE),VLOOKUP($Q36,$R$63:$T$91,3,FALSE)))+IF(AND($Q36&lt;&gt;"",$Q36&lt;&gt;"O3/CP",$Q$15=F$18,MID($Q36,4,1)="2",$Q$15&lt;&gt;$Q$14),VLOOKUP(CONCATENATE(LEFT($Q36,2),"L"),$R$63:$T$91,3,FALSE),0)+IF(AND($Q36="O3/CP",$Q$14=F$18),VLOOKUP("O3",$R$63:$T$91,3,FALSE)+VLOOKUP("CP",$R$63:$T$91,3,FALSE),0)+IF(AND($R36&lt;&gt;"",$R36&lt;&gt;"--",$R36&lt;&gt;"O3/CP",$R$14=F$18),IF(LEFT($R36,1)="P",VLOOKUP(CONCATENATE(LEFT($R36,2),"H"),$R$63:$T$91,3,FALSE),VLOOKUP($R36,$R$63:$T$91,3,FALSE)))+IF(AND($R36&lt;&gt;"",$R36&lt;&gt;"O3/CP",$R$15=F$18,MID($R36,4,1)="2",$R$15&lt;&gt;$R$14),VLOOKUP(CONCATENATE(LEFT($R36,2),"L"),$R$63:$T$91,3,FALSE),0)+IF(AND($R36="O3/CP",$R$14=F$18),VLOOKUP("O3",$R$63:$T$91,3,FALSE)+VLOOKUP("CP",$R$63:$T$91,3,FALSE),0)+IF(AND($S36&lt;&gt;"",$S36&lt;&gt;"--",$S36&lt;&gt;"O3/CP",$S$14=F$18),IF(LEFT($S36,1)="P",VLOOKUP(CONCATENATE(LEFT($S36,2),"H"),$R$63:$T$91,3,FALSE),VLOOKUP($S36,$R$63:$T$91,3,FALSE)))+IF(AND($S36&lt;&gt;"",$S36&lt;&gt;"O3/CP",$S$15=F$18,MID($S36,4,1)="2",$S$15&lt;&gt;$S$14),VLOOKUP(CONCATENATE(LEFT($S36,2),"L"),$R$63:$T$91,3,FALSE),0)+IF(AND($S36="O3/CP",$S$14=F$18),VLOOKUP("O3",$R$63:$T$91,3,FALSE)+VLOOKUP("CP",$R$63:$T$91,3,FALSE),0)+IF(AND($T36&lt;&gt;"",$T36&lt;&gt;"--",$T36&lt;&gt;"O3/CP",$T$14=F$18),IF(LEFT($T36,1)="P",VLOOKUP(CONCATENATE(LEFT($T36,2),"H"),$R$63:$T$91,3,FALSE),VLOOKUP($T36,$R$63:$T$91,3,FALSE)))+IF(AND($T36&lt;&gt;"",$T36&lt;&gt;"O3/CP",$T$15=F$18,MID($T36,4,1)="2",$T$15&lt;&gt;$T$14),VLOOKUP(CONCATENATE(LEFT($T36,2),"L"),$R$63:$T$91,3,FALSE),0)+IF(AND($T36="O3/CP",$T$14=F$18),VLOOKUP("O3",$R$63:$T$91,3,FALSE)+VLOOKUP("CP",$R$63:$T$91,3,FALSE),0)+IF(AND($U36&lt;&gt;"",$U36&lt;&gt;"--",$U36&lt;&gt;"O3/CP",$U$14=F$18),IF(LEFT($U36,1)="P",VLOOKUP(CONCATENATE(LEFT($U36,2),"H"),$R$63:$T$91,3,FALSE),VLOOKUP($U36,$R$63:$T$91,3,FALSE)))+IF(AND($U36&lt;&gt;"",$U36&lt;&gt;"O3/CP",$U$15=F$18,MID($U36,4,1)="2",$U$15&lt;&gt;$U$14),VLOOKUP(CONCATENATE(LEFT($U36,2),"L"),$R$63:$T$91,3,FALSE),0)+IF(AND($U36="O3/CP",$T$14=F$18),VLOOKUP("O3",$R$63:$T$91,3,FALSE)+VLOOKUP("CP",$R$63:$T$91,3,FALSE),0)+IF(AND($V36&lt;&gt;"",$V36&lt;&gt;"--",$V36&lt;&gt;"O3/CP",$V$14=F$18),IF(LEFT($V36,1)="P",VLOOKUP(CONCATENATE(LEFT($V36,2),"H"),$R$63:$T$91,3,FALSE),VLOOKUP($V36,$R$63:$T$91,3,FALSE)))+IF(AND($V36&lt;&gt;"",$V36&lt;&gt;"O3/CP",$V$15=F$18,MID($V36,4,1)="2",$V$15&lt;&gt;$V$14),VLOOKUP(CONCATENATE(LEFT($V36,2),"L"),$R$63:$T$91,3,FALSE),0)+IF(AND($V36="O3/CP",$V$14=F$18),VLOOKUP("O3",$R$63:$T$91,3,FALSE)+VLOOKUP("CP",$R$63:$T$91,3,FALSE),0)+IF(AND($W36&lt;&gt;"",$W36&lt;&gt;"--",$W36&lt;&gt;"O3/CP",$W$14=F$18),IF(LEFT($W36,1)="P",VLOOKUP(CONCATENATE(LEFT($W36,2),"H"),$R$63:$T$91,3,FALSE),VLOOKUP($W36,$R$63:$T$91,3,FALSE)))+IF(AND($W36&lt;&gt;"",$W36&lt;&gt;"O3/CP",$W$15=F$18,MID($W36,4,1)="2",$W$15&lt;&gt;$W$14),VLOOKUP(CONCATENATE(LEFT($W36,2),"L"),$R$63:$T$91,3,FALSE),0)+IF(AND($W36="O3/CP",$W$14=F$18),VLOOKUP("O3",$R$63:$T$91,3,FALSE)+VLOOKUP("CP",$R$63:$T$91,3,FALSE),0)+IF(AND($X36&lt;&gt;"",$X36&lt;&gt;"--",$X36&lt;&gt;"O3/CP",$X$14=F$18),IF(LEFT($X36,1)="P",VLOOKUP(CONCATENATE(LEFT($X36,2),"H"),$R$63:$T$91,3,FALSE),VLOOKUP($X36,$R$63:$T$91,3,FALSE)))+IF(AND($X36&lt;&gt;"",$X36&lt;&gt;"O3/CP",$X$15=F$18,MID($X36,4,1)="2",$X$15&lt;&gt;$X$14),VLOOKUP(CONCATENATE(LEFT($X36,2),"L"),$R$63:$T$91,3,FALSE),0)+IF(AND($X36="O3/CP",$X$14=F$18),VLOOKUP("O3",$R$63:$T$91,3,FALSE)+VLOOKUP("CP",$R$63:$T$91,3,FALSE),0)+IF(AND($Y36&lt;&gt;"",$Y36&lt;&gt;"--",$Y36&lt;&gt;"O3/CP",$Y$14=F$18),IF(LEFT($Y36,1)="P",VLOOKUP(CONCATENATE(LEFT($Y36,2),"H"),$R$63:$T$91,3,FALSE),VLOOKUP($Y36,$R$63:$T$91,3,FALSE)))+IF(AND($Y36&lt;&gt;"",$Y36&lt;&gt;"O3/CP",$Y$15=F$18,MID($Y36,4,1)="2",$Y$15&lt;&gt;$Y$14),VLOOKUP(CONCATENATE(LEFT($Y36,2),"L"),$R$63:$T$91,3,FALSE),0)+IF(AND($Y36="O3/CP",$Y$14=F$18),VLOOKUP("O3",$R$63:$T$91,3,FALSE)+VLOOKUP("CP",$R$63:$T$91,3,FALSE),0)+IF(AND($K$6="CE",'[3]Supply Attribution'!$G$20=F$18),LEFT($S$90,2),0)+IF(AND($X$86&lt;&gt;"Not Set",$X$87=F$18),$X$86,0)</f>
        <v>12</v>
      </c>
      <c r="G36" s="269">
        <f>IF(AND($K$6="CE",$T$59="1 Phase"),SUM(A36:F36)-IF(AND($K$14&lt;&gt;$K$15,RIGHT($K36,3)="2SP"),VLOOKUP(CONCATENATE(LEFT($K36,2),"L"),$R$63:$T$90,3,FALSE),0)-IF(AND($L$14&lt;&gt;$L$15,RIGHT($L36,3)="2SP"),VLOOKUP(CONCATENATE(LEFT($L36,2),"L"),$R$63:$T$90,3,FALSE),0)-IF(AND($M$14&lt;&gt;$M$15,RIGHT($M36,3)="2SP"),VLOOKUP(CONCATENATE(LEFT($M36,2),"L"),$R$63:$T$90,3,FALSE),0)-IF(AND($N$14&lt;&gt;$N$15,RIGHT($N36,3)="2SP"),VLOOKUP(CONCATENATE(LEFT($N36,2),"L"),$R$63:$T$90,3,FALSE),0)-IF(AND($O$14&lt;&gt;$O$15,RIGHT($O36,3)="2SP"),VLOOKUP(CONCATENATE(LEFT($O36,2),"L"),$R$63:$T$90,3,FALSE),0)-IF(AND($P$14&lt;&gt;$P$15,RIGHT($P36,3)="2SP"),VLOOKUP(CONCATENATE(LEFT($P36,2),"L"),$R$63:$T$90,3,FALSE),0)-IF(AND($Q$14&lt;&gt;$Q$15,RIGHT($Q36,3)="2SP"),VLOOKUP(CONCATENATE(LEFT($Q36,2),"L"),$R$63:$T$90,3,FALSE),0)-IF(AND($R$14&lt;&gt;$R$15,RIGHT($T36,3)="2SP"),VLOOKUP(CONCATENATE(LEFT($R36,2),"L"),$R$63:$T$90,3,FALSE),0)-IF(AND($S$14&lt;&gt;$S$15,RIGHT($T36,3)="2SP"),VLOOKUP(CONCATENATE(LEFT($S36,2),"L"),$R$63:$T$90,3,FALSE),0)-IF(AND($T$14&lt;&gt;$T$15,RIGHT($T36,3)="2SP"),VLOOKUP(CONCATENATE(LEFT($T36,2),"L"),$R$63:$T$90,3,FALSE),0)-IF(AND($U$14&lt;&gt;$U$15,RIGHT($U36,3)="2SP"),VLOOKUP(CONCATENATE(LEFT($U36,2),"L"),$R$63:$T$90,3,FALSE),0)-IF(AND($V$14&lt;&gt;$V$15,RIGHT($V36,3)="2SP"),VLOOKUP(CONCATENATE(LEFT($V36,2),"L"),$R$63:$T$90,3,FALSE),0)-IF(AND($W$14&lt;&gt;$W$15,RIGHT($W36,3)="2SP"),VLOOKUP(CONCATENATE(LEFT($W36,2),"L"),$R$63:$T$90,3,FALSE),0)-IF(AND($X$14&lt;&gt;$X$15,RIGHT($X36,3)="2SP"),VLOOKUP(CONCATENATE(LEFT($X36,2),"L"),$R$63:$T$90,3,FALSE),0)-IF(AND($Y$14&lt;&gt;$Y$15,RIGHT($Y36,3)="2SP"),VLOOKUP(CONCATENATE(LEFT($Y36,2),"L"),$R$63:$T$90,3,FALSE),0),IF(VLOOKUP(CONCATENATE($A$18,"Line"),'[3]Supply Attribution'!$F$31:$G$37,2,FALSE)=G$18,$A36,0)+IF(VLOOKUP(CONCATENATE($B$18,"Line"),'[3]Supply Attribution'!$F$31:$G$37,2,FALSE)=G$18,$B36,0)+IF(VLOOKUP(CONCATENATE($C$18,"Line"),'[3]Supply Attribution'!$F$31:$G$37,2,FALSE)=G$18,$C36,0)+IF(VLOOKUP(CONCATENATE($D$18,"Line"),'[3]Supply Attribution'!$F$31:$G$37,2,FALSE)=G$18,$D36,0)+IF(VLOOKUP(CONCATENATE($E$18,"Line"),'[3]Supply Attribution'!$F$31:$G$37,2,FALSE)=G$18,$E36,0)+IF(VLOOKUP(CONCATENATE($F$18,"Line"),'[3]Supply Attribution'!$F$31:$G$37,2,FALSE)=G$18,$F36,0)+IF($K$6="UL",LEFT($S$90,2),0)-IF(AND($K$16=G$18,$K$14&lt;&gt;$K$15,$K$16=$K$17,RIGHT($K36,3)="2SP"),VLOOKUP(CONCATENATE(LEFT($K36,2),"L"),$R$63:$T$90,3,FALSE),0)-IF(AND($L$16=G$18,$L$14&lt;&gt;$L$15,$L$16=$L$17,RIGHT($L36,3)="2SP"),VLOOKUP(CONCATENATE(LEFT($L36,2),"L"),$R$63:$T$90,3,FALSE),0)-IF(AND($M$16=G$18,$M$14&lt;&gt;$M$15,$M$16=$M$17,RIGHT($M36,3)="2SP"),VLOOKUP(CONCATENATE(LEFT($M36,2),"L"),$R$63:$T$90,3,FALSE),0)-IF(AND($N$16=G$18,$N$14&lt;&gt;$N$15,$N$16=$N$17,RIGHT($N36,3)="2SP"),VLOOKUP(CONCATENATE(LEFT($N36,2),"L"),$R$63:$T$90,3,FALSE),0)-IF(AND($O$16=G$18,$O$14&lt;&gt;$O$15,$O$16=$O$17,RIGHT($O36,3)="2SP"),VLOOKUP(CONCATENATE(LEFT($O36,2),"L"),$R$63:$T$90,3,FALSE),0)-IF(AND($P$16=G$18,$P$14&lt;&gt;$P$15,$P$16=$P$17,RIGHT($P36,3)="2SP"),VLOOKUP(CONCATENATE(LEFT($P36,2),"L"),$R$63:$T$90,3,FALSE),0)-IF(AND($Q$16=G$18,$Q$14&lt;&gt;$Q$15,$Q$16=$Q$17,RIGHT($Q36,3)="2SP"),VLOOKUP(CONCATENATE(LEFT($Q36,2),"L"),$R$63:$T$90,3,FALSE),0)-IF(AND($R$16=G$18,$R$14&lt;&gt;$R$15,$R$16=$R$17,RIGHT($R36,3)="2SP"),VLOOKUP(CONCATENATE(LEFT($R36,2),"L"),$R$63:$T$90,3,FALSE),0)-IF(AND($S$16=G$18,$S$14&lt;&gt;$S$15,$S$16=$S$17,RIGHT($S36,3)="2SP"),VLOOKUP(CONCATENATE(LEFT($S36,2),"L"),$R$63:$T$90,3,FALSE),0)-IF(AND($T$16=G$18,$T$14&lt;&gt;$T$15,$T$16=$T$17,RIGHT($T36,3)="2SP"),VLOOKUP(CONCATENATE(LEFT($T36,2),"L"),$R$63:$T$90,3,FALSE),0)-IF(AND($U$16=G$18,$U$14&lt;&gt;$U$15,$U$16=$U$17,RIGHT($U36,3)="2SP"),VLOOKUP(CONCATENATE(LEFT($U36,2),"L"),$R$63:$T$90,3,FALSE),0)-IF(AND($V$16=G$18,$V$14&lt;&gt;$V$15,$V$16=$V$17,RIGHT($V36,3)="2SP"),VLOOKUP(CONCATENATE(LEFT($V36,2),"L"),$R$63:$T$90,3,FALSE),0)-IF(AND($W$16=G$18,$W$14&lt;&gt;$W$15,$W$16=$W$17,RIGHT($W36,3)="2SP"),VLOOKUP(CONCATENATE(LEFT($W36,2),"L"),$R$63:$T$90,3,FALSE),0)-IF(AND($X$16=G$18,$X$14&lt;&gt;$X$15,$X$16=$X$17,RIGHT($X36,3)="2SP"),VLOOKUP(CONCATENATE(LEFT($X36,2),"L"),$R$63:$T$90,3,FALSE),0)-IF(AND($Y$16=G$18,$Y$14&lt;&gt;$Y$15,$Y$16=$Y$17,RIGHT($Y36,3)="2SP"),VLOOKUP(CONCATENATE(LEFT($Y36,2),"L"),$R$63:$T$90,3,FALSE),0))</f>
        <v>55</v>
      </c>
      <c r="H36" s="269" t="str">
        <f>IF(H$18&lt;&gt;"",IF(VLOOKUP(CONCATENATE($A$18,"Line"),'Supply Attribution'!$F$31:$G$37,2,FALSE)=H$18,$A36,0)+IF(VLOOKUP(CONCATENATE($B$18,"Line"),'Supply Attribution'!$F$31:$G$37,2,FALSE)=H$18,$B36,0)+IF(VLOOKUP(CONCATENATE($C$18,"Line"),'Supply Attribution'!$F$31:$G$37,2,FALSE)=H$18,$C36,0)+IF(VLOOKUP(CONCATENATE($D$18,"Line"),'Supply Attribution'!$F$31:$G$37,2,FALSE)=H$18,$D36,0)+IF(VLOOKUP(CONCATENATE($E$18,"Line"),'Supply Attribution'!$F$31:$G$37,2,FALSE)=H$18,$E36,0)+IF(VLOOKUP(CONCATENATE($F$18,"Line"),'Supply Attribution'!$F$31:$G$37,2,FALSE)=H$18,$F36,0)+IF($K$6="UL",LEFT($S$90,2),0)-IF(AND($K$16=H$18,$K$14&lt;&gt;$K$15,$K$16=$K$17,RIGHT($K36,3)="2SP"),VLOOKUP(CONCATENATE(LEFT($K36,2),"L"),$R$63:$T$90,3,FALSE),0)-IF(AND($L$16=H$18,$L$14&lt;&gt;$L$15,$L$16=$L$17,RIGHT($L36,3)="2SP"),VLOOKUP(CONCATENATE(LEFT($L36,2),"L"),$R$63:$T$90,3,FALSE),0)-IF(AND($M$16=H$18,$M$14&lt;&gt;$M$15,$M$16=$M$17,RIGHT($M36,3)="2SP"),VLOOKUP(CONCATENATE(LEFT($M36,2),"L"),$R$63:$T$90,3,FALSE),0)-IF(AND($N$16=H$18,$N$14&lt;&gt;$N$15,$N$16=$N$17,RIGHT($N36,3)="2SP"),VLOOKUP(CONCATENATE(LEFT($N36,2),"L"),$R$63:$T$90,3,FALSE),0)-IF(AND($O$16=H$18,$O$14&lt;&gt;$O$15,$O$16=$O$17,RIGHT($O36,3)="2SP"),VLOOKUP(CONCATENATE(LEFT($O36,2),"L"),$R$63:$T$90,3,FALSE),0)-IF(AND($P$16=H$18,$P$14&lt;&gt;$P$15,$P$16=$P$17,RIGHT($P36,3)="2SP"),VLOOKUP(CONCATENATE(LEFT($P36,2),"L"),$R$63:$T$90,3,FALSE),0)-IF(AND($Q$16=H$18,$Q$14&lt;&gt;$Q$15,$Q$16=$Q$17,RIGHT($Q36,3)="2SP"),VLOOKUP(CONCATENATE(LEFT($Q36,2),"L"),$R$63:$T$90,3,FALSE),0)-IF(AND($T$16=H$18,$T$14&lt;&gt;$T$15,$T$16=$T$17,RIGHT($T36,3)="2SP"),VLOOKUP(CONCATENATE(LEFT($T36,2),"L"),$R$63:$T$90,3,FALSE),0)-IF(AND($U$16=H$18,$U$14&lt;&gt;$U$15,$U$16=$U$17,RIGHT($U36,3)="2SP"),VLOOKUP(CONCATENATE(LEFT($U36,2),"L"),$R$63:$T$90,3,FALSE),0)-IF(AND($V$16=H$18,$V$14&lt;&gt;$V$15,$V$16=$V$17,RIGHT($V36,3)="2SP"),VLOOKUP(CONCATENATE(LEFT($V36,2),"L"),$R$63:$T$90,3,FALSE),0)-IF(AND($W$16=H$18,$W$14&lt;&gt;$W$15,$W$16=$W$17,RIGHT($W36,3)="2SP"),VLOOKUP(CONCATENATE(LEFT($W36,2),"L"),$R$63:$T$90,3,FALSE),0)-IF(AND($X$16=H$18,$X$14&lt;&gt;$X$15,$X$16=$X$17,RIGHT($X36,3)="2SP"),VLOOKUP(CONCATENATE(LEFT($X36,2),"L"),$R$63:$T$90,3,FALSE),0)-IF(AND($Y$16=H$18,$Y$14&lt;&gt;$Y$15,$Y$16=$Y$17,RIGHT($Y36,3)="2SP"),VLOOKUP(CONCATENATE(LEFT($Y36,2),"L"),$R$63:$T$90,3,FALSE),0)+IF(AND($K$6="CE",$T$59="2 Phases",H$18&lt;&gt;""),IF(VLOOKUP(CONCATENATE($A$18,"Line"),'Supply Attribution'!$F$31:$G$37,2,FALSE)="Line3",$A36,0)+IF(VLOOKUP(CONCATENATE($B$18,"Line"),'Supply Attribution'!$F$31:$G$37,2,FALSE)="Line3",$B36,0)+IF(VLOOKUP(CONCATENATE($C$18,"Line"),'Supply Attribution'!$F$31:$G$37,2,FALSE)="Line3",$C36,0)+IF(VLOOKUP(CONCATENATE($D$18,"Line"),'Supply Attribution'!$F$31:$G$37,2,FALSE)="Line3",$D36,0)+IF(VLOOKUP(CONCATENATE($E$18,"Line"),'Supply Attribution'!$F$31:$G$37,2,FALSE)="Line3",$E36,0)+IF(VLOOKUP(CONCATENATE($F$18,"Line"),'Supply Attribution'!$F$31:$G$37,2,FALSE)="Line3",$F36,0)-IF(AND($K$16=I$18,$K$14&lt;&gt;$K$15,$K$16=$K$17,RIGHT($K36,3)="2SP"),VLOOKUP(CONCATENATE(LEFT($K36,2),"L"),$R$63:$T$90,3,FALSE),0)-IF(AND($L$16=I$18,$L$14&lt;&gt;$L$15,$L$16=$L$17,RIGHT($L36,3)="2SP"),VLOOKUP(CONCATENATE(LEFT($L36,2),"L"),$R$63:$T$90,3,FALSE),0)-IF(AND($M$16=I$18,$M$14&lt;&gt;$M$15,$M$16=$M$17,RIGHT($M36,3)="2SP"),VLOOKUP(CONCATENATE(LEFT($M36,2),"L"),$R$63:$T$90,3,FALSE),0)-IF(AND($N$16=I$18,$N$14&lt;&gt;$N$15,$N$16=$N$17,RIGHT($N36,3)="2SP"),VLOOKUP(CONCATENATE(LEFT($N36,2),"L"),$R$63:$T$90,3,FALSE),0)-IF(AND($O$16=I$18,$O$14&lt;&gt;$O$15,$O$16=$O$17,RIGHT($O36,3)="2SP"),VLOOKUP(CONCATENATE(LEFT($O36,2),"L"),$R$63:$T$90,3,FALSE),0)-IF(AND($P$16=I$18,$P$14&lt;&gt;$P$15,$P$16=$P$17,RIGHT($P36,3)="2SP"),VLOOKUP(CONCATENATE(LEFT($P36,2),"L"),$R$63:$T$90,3,FALSE),0)-IF(AND($Q$16=I$18,$Q$14&lt;&gt;$Q$15,$Q$16=$Q$17,RIGHT($Q36,3)="2SP"),VLOOKUP(CONCATENATE(LEFT($Q36,2),"L"),$R$63:$T$90,3,FALSE),0)-IF(AND($T$16=I$18,$T$14&lt;&gt;$T$15,$T$16=$T$17,RIGHT($T36,3)="2SP"),VLOOKUP(CONCATENATE(LEFT($T36,2),"L"),$R$63:$T$90,3,FALSE),0)-IF(AND($U$16=I$18,$U$14&lt;&gt;$U$15,$U$16=$U$17,RIGHT($U36,3)="2SP"),VLOOKUP(CONCATENATE(LEFT($U36,2),"L"),$R$63:$T$90,3,FALSE),0)-IF(AND($V$16=I$18,$V$14&lt;&gt;$V$15,$V$16=$V$17,RIGHT($V36,3)="2SP"),VLOOKUP(CONCATENATE(LEFT($V36,2),"L"),$R$63:$T$90,3,FALSE),0)-IF(AND($W$16=I$18,$W$14&lt;&gt;$W$15,$W$16=$W$17,RIGHT($W36,3)="2SP"),VLOOKUP(CONCATENATE(LEFT($W36,2),"L"),$R$63:$T$90,3,FALSE),0)-IF(AND($X$16=I$18,$X$14&lt;&gt;$X$15,$X$16=$X$17,RIGHT($X36,3)="2SP"),VLOOKUP(CONCATENATE(LEFT($X36,2),"L"),$R$63:$T$90,3,FALSE),0)-IF(AND($Y$16=I$18,$Y$14&lt;&gt;$Y$15,$Y$16=$Y$17,RIGHT($Y36,3)="2SP"),VLOOKUP(CONCATENATE(LEFT($Y36,2),"L"),$R$63:$T$90,3,FALSE),0),0),"")</f>
        <v/>
      </c>
      <c r="I36" s="269" t="str">
        <f>IF(I$18&lt;&gt;"",IF(VLOOKUP(CONCATENATE($A$18,"Line"),'Supply Attribution'!$F$31:$G$37,2,FALSE)=I$18,$A36,0)+IF(VLOOKUP(CONCATENATE($B$18,"Line"),'Supply Attribution'!$F$31:$G$37,2,FALSE)=I$18,$B36,0)+IF(VLOOKUP(CONCATENATE($C$18,"Line"),'Supply Attribution'!$F$31:$G$37,2,FALSE)=I$18,$C36,0)+IF(VLOOKUP(CONCATENATE($D$18,"Line"),'Supply Attribution'!$F$31:$G$37,2,FALSE)=I$18,$D36,0)+IF(VLOOKUP(CONCATENATE($E$18,"Line"),'Supply Attribution'!$F$31:$G$37,2,FALSE)=I$18,$E36,0)+IF(VLOOKUP(CONCATENATE($F$18,"Line"),'Supply Attribution'!$F$31:$G$37,2,FALSE)=I$18,$F36,0)+IF($K$6="UL",LEFT($S$90,2),0)-IF(AND($K$16=I$18,$K$14&lt;&gt;$K$15,$K$16=$K$17,RIGHT($K36,3)="2SP"),VLOOKUP(CONCATENATE(LEFT($K36,2),"L"),$R$63:$T$90,3,FALSE),0)-IF(AND($L$16=I$18,$L$14&lt;&gt;$L$15,$L$16=$L$17,RIGHT($L36,3)="2SP"),VLOOKUP(CONCATENATE(LEFT($L36,2),"L"),$R$63:$T$90,3,FALSE),0)-IF(AND($M$16=I$18,$M$14&lt;&gt;$M$15,$M$16=$M$17,RIGHT($M36,3)="2SP"),VLOOKUP(CONCATENATE(LEFT($M36,2),"L"),$R$63:$T$90,3,FALSE),0)-IF(AND($N$16=I$18,$N$14&lt;&gt;$N$15,$N$16=$N$17,RIGHT($N36,3)="2SP"),VLOOKUP(CONCATENATE(LEFT($N36,2),"L"),$R$63:$T$90,3,FALSE),0)-IF(AND($O$16=I$18,$O$14&lt;&gt;$O$15,$O$16=$O$17,RIGHT($O36,3)="2SP"),VLOOKUP(CONCATENATE(LEFT($O36,2),"L"),$R$63:$T$90,3,FALSE),0)-IF(AND($P$16=I$18,$P$14&lt;&gt;$P$15,$P$16=$P$17,RIGHT($P36,3)="2SP"),VLOOKUP(CONCATENATE(LEFT($P36,2),"L"),$R$63:$T$90,3,FALSE),0)-IF(AND($Q$16=I$18,$Q$14&lt;&gt;$Q$15,$Q$16=$Q$17,RIGHT($Q36,3)="2SP"),VLOOKUP(CONCATENATE(LEFT($Q36,2),"L"),$R$63:$T$90,3,FALSE),0)-IF(AND($T$16=I$18,$T$14&lt;&gt;$T$15,$T$16=$T$17,RIGHT($T36,3)="2SP"),VLOOKUP(CONCATENATE(LEFT($T36,2),"L"),$R$63:$T$90,3,FALSE),0)-IF(AND($U$16=I$18,$U$14&lt;&gt;$U$15,$U$16=$U$17,RIGHT($U36,3)="2SP"),VLOOKUP(CONCATENATE(LEFT($U36,2),"L"),$R$63:$T$90,3,FALSE),0)-IF(AND($V$16=I$18,$V$14&lt;&gt;$V$15,$V$16=$V$17,RIGHT($V36,3)="2SP"),VLOOKUP(CONCATENATE(LEFT($V36,2),"L"),$R$63:$T$90,3,FALSE),0)-IF(AND($W$16=I$18,$W$14&lt;&gt;$W$15,$W$16=$W$17,RIGHT($W36,3)="2SP"),VLOOKUP(CONCATENATE(LEFT($W36,2),"L"),$R$63:$T$90,3,FALSE),0)-IF(AND($X$16=I$18,$X$14&lt;&gt;$X$15,$X$16=$X$17,RIGHT($X36,3)="2SP"),VLOOKUP(CONCATENATE(LEFT($X36,2),"L"),$R$63:$T$90,3,FALSE),0)-IF(AND($Y$16=I$18,$Y$14&lt;&gt;$Y$15,$Y$16=$Y$17,RIGHT($Y36,3)="2SP"),VLOOKUP(CONCATENATE(LEFT($Y36,2),"L"),$R$63:$T$90,3,FALSE),0),"")</f>
        <v/>
      </c>
      <c r="J36" s="134">
        <f t="shared" ref="J36:J40" si="3">J35+1</f>
        <v>27</v>
      </c>
      <c r="K36" s="135" t="s">
        <v>22</v>
      </c>
      <c r="L36" s="135" t="s">
        <v>566</v>
      </c>
      <c r="M36" s="135" t="s">
        <v>391</v>
      </c>
      <c r="N36" s="135"/>
      <c r="O36" s="135" t="s">
        <v>286</v>
      </c>
      <c r="P36" s="135" t="s">
        <v>388</v>
      </c>
      <c r="Q36" s="135"/>
      <c r="R36" s="135"/>
      <c r="S36" s="135"/>
      <c r="T36" s="135"/>
      <c r="U36" s="135"/>
      <c r="V36" s="135"/>
      <c r="W36" s="135"/>
      <c r="X36" s="135"/>
      <c r="Y36" s="135"/>
      <c r="Z36" s="136"/>
      <c r="AA36" s="136" t="s">
        <v>357</v>
      </c>
      <c r="AB36" s="137" t="s">
        <v>164</v>
      </c>
      <c r="AC36" s="137" t="s">
        <v>568</v>
      </c>
      <c r="AD36" s="137" t="s">
        <v>164</v>
      </c>
      <c r="AE36" s="138">
        <f t="shared" si="0"/>
        <v>27</v>
      </c>
      <c r="AF36" s="78"/>
    </row>
    <row r="37" spans="1:32">
      <c r="A37" s="264">
        <f>IF(AND($K37&lt;&gt;"",$K37&lt;&gt;"--",$K37&lt;&gt;"O3/CP",$K$14=A$18),IF(LEFT($K37,1)="P",VLOOKUP(CONCATENATE(LEFT($K37,2),"H"),$R$63:$T$91,3,FALSE),VLOOKUP($K37,$R$63:$T$91,3,FALSE)))+IF(AND($K37&lt;&gt;"",$K37&lt;&gt;"O3/CP",$K$15=A$18,MID($K37,4,1)="2",$K$15&lt;&gt;$K$14),VLOOKUP(CONCATENATE(LEFT($K37,2),"L"),$R$63:$T$91,3,FALSE),0)+IF(AND($K37="O3/CP",$K$14=A$18),VLOOKUP("O3",$R$63:$T$91,3,FALSE)+VLOOKUP("CP",$R$63:$T$91,3,FALSE),0)+IF(AND($L37&lt;&gt;"",$L37&lt;&gt;"--",$L37&lt;&gt;"O3/CP",$L$14=A$18),IF(LEFT($L37,1)="P",VLOOKUP(CONCATENATE(LEFT($L37,2),"H"),$R$63:$T$91,3,FALSE),VLOOKUP($L37,$R$63:$T$91,3,FALSE)))+IF(AND($L37&lt;&gt;"",$L37&lt;&gt;"O3/CP",$L$15=A$18,MID($L37,4,1)="2",$L$15&lt;&gt;$L$14),VLOOKUP(CONCATENATE(LEFT($L37,2),"L"),$R$63:$T$91,3,FALSE),0)+IF(AND($L37="O3/CP",$L$14=A$18),VLOOKUP("O3",$R$63:$T$91,3,FALSE)+VLOOKUP("CP",$R$63:$T$91,3,FALSE),0)+IF(AND($M37&lt;&gt;"",$M37&lt;&gt;"--",$M37&lt;&gt;"O3/CP",$M$14=A$18),IF(LEFT($M37,1)="P",VLOOKUP(CONCATENATE(LEFT($M37,2),"H"),$R$63:$T$91,3,FALSE),VLOOKUP($M37,$R$63:$T$91,3,FALSE)))+IF(AND($M37&lt;&gt;"",$M37&lt;&gt;"O3/CP",$M$15=A$18,MID($M37,4,1)="2",$M$15&lt;&gt;$M$14),VLOOKUP(CONCATENATE(LEFT($M37,2),"L"),$R$63:$T$91,3,FALSE),0)+IF(AND($M37="O3/CP",$M$14=A$18),VLOOKUP("O3",$R$63:$T$91,3,FALSE)+VLOOKUP("CP",$R$63:$T$91,3,FALSE),0)+IF(AND($N37&lt;&gt;"",$N37&lt;&gt;"--",$N37&lt;&gt;"O3/CP",$N$14=A$18),IF(LEFT($N37,1)="P",VLOOKUP(CONCATENATE(LEFT($N37,2),"H"),$R$63:$T$91,3,FALSE),VLOOKUP($N37,$R$63:$T$91,3,FALSE)))+IF(AND($N37&lt;&gt;"",$N37&lt;&gt;"O3/CP",$N$15=A$18,MID($N37,4,1)="2",$N$15&lt;&gt;$N$14),VLOOKUP(CONCATENATE(LEFT($N37,2),"L"),$R$63:$T$91,3,FALSE),0)+IF(AND($N37="O3/CP",$N$14=A$18),VLOOKUP("O3",$R$63:$T$91,3,FALSE)+VLOOKUP("CP",$R$63:$T$91,3,FALSE),0)+IF(AND($O37&lt;&gt;"",$O37&lt;&gt;"--",$O37&lt;&gt;"O3/CP",$O$14=A$18),IF(LEFT($O37,1)="P",VLOOKUP(CONCATENATE(LEFT($O37,2),"H"),$R$63:$T$91,3,FALSE),VLOOKUP($O37,$R$63:$T$91,3,FALSE)))+IF(AND($O37&lt;&gt;"",$O37&lt;&gt;"O3/CP",$O$15=A$18,MID($O37,4,1)="2",$O$15&lt;&gt;$O$14),VLOOKUP(CONCATENATE(LEFT($O37,2),"L"),$R$63:$T$91,3,FALSE),0)+IF(AND($O37="O3/CP",$O$14=A$18),VLOOKUP("O3",$R$63:$T$91,3,FALSE)+VLOOKUP("CP",$R$63:$T$91,3,FALSE),0)+IF(AND($P37&lt;&gt;"",$P37&lt;&gt;"--",$P37&lt;&gt;"O3/CP",$P$14=A$18),IF(LEFT($P37,1)="P",VLOOKUP(CONCATENATE(LEFT($P37,2),"H"),$R$63:$T$91,3,FALSE),VLOOKUP($P37,$R$63:$T$91,3,FALSE)))+IF(AND($P37&lt;&gt;"",$P37&lt;&gt;"O3/CP",$P$15=A$18,MID($P37,4,1)="2",$P$15&lt;&gt;$P$14),VLOOKUP(CONCATENATE(LEFT($P37,2),"L"),$R$63:$T$91,3,FALSE),0)+IF(AND($P37="O3/CP",$P$14=A$18),VLOOKUP("O3",$R$63:$T$91,3,FALSE)+VLOOKUP("CP",$R$63:$T$91,3,FALSE),0)+IF(AND($Q37&lt;&gt;"",$Q37&lt;&gt;"--",$Q37&lt;&gt;"O3/CP",$Q$14=A$18),IF(LEFT($Q37,1)="P",VLOOKUP(CONCATENATE(LEFT($Q37,2),"H"),$R$63:$T$91,3,FALSE),VLOOKUP($Q37,$R$63:$T$91,3,FALSE)))+IF(AND($Q37&lt;&gt;"",$Q37&lt;&gt;"O3/CP",$Q$15=A$18,MID($Q37,4,1)="2",$Q$15&lt;&gt;$Q$14),VLOOKUP(CONCATENATE(LEFT($Q37,2),"L"),$R$63:$T$91,3,FALSE),0)+IF(AND($Q37="O3/CP",$Q$14=A$18),VLOOKUP("O3",$R$63:$T$91,3,FALSE)+VLOOKUP("CP",$R$63:$T$91,3,FALSE),0)+IF(AND($R37&lt;&gt;"",$R37&lt;&gt;"--",$R37&lt;&gt;"O3/CP",$R$14=A$18),IF(LEFT($R37,1)="P",VLOOKUP(CONCATENATE(LEFT($R37,2),"H"),$R$63:$T$91,3,FALSE),VLOOKUP($R37,$R$63:$T$91,3,FALSE)))+IF(AND($R37&lt;&gt;"",$R37&lt;&gt;"O3/CP",$R$15=A$18,MID($R37,4,1)="2",$R$15&lt;&gt;$R$14),VLOOKUP(CONCATENATE(LEFT($R37,2),"L"),$R$63:$T$91,3,FALSE),0)+IF(AND($R37="O3/CP",$R$14=A$18),VLOOKUP("O3",$R$63:$T$91,3,FALSE)+VLOOKUP("CP",$R$63:$T$91,3,FALSE),0)+IF(AND($S37&lt;&gt;"",$S37&lt;&gt;"--",$S37&lt;&gt;"O3/CP",$S$14=A$18),IF(LEFT($S37,1)="P",VLOOKUP(CONCATENATE(LEFT($S37,2),"H"),$R$63:$T$91,3,FALSE),VLOOKUP($S37,$R$63:$T$91,3,FALSE)))+IF(AND($S37&lt;&gt;"",$S37&lt;&gt;"O3/CP",$S$15=A$18,MID($S37,4,1)="2",$S$15&lt;&gt;$S$14),VLOOKUP(CONCATENATE(LEFT($S37,2),"L"),$R$63:$T$91,3,FALSE),0)+IF(AND($S37="O3/CP",$S$14=A$18),VLOOKUP("O3",$R$63:$T$91,3,FALSE)+VLOOKUP("CP",$R$63:$T$91,3,FALSE),0)+IF(AND($T37&lt;&gt;"",$T37&lt;&gt;"--",$T37&lt;&gt;"O3/CP",$T$14=A$18),IF(LEFT($T37,1)="P",VLOOKUP(CONCATENATE(LEFT($T37,2),"H"),$R$63:$T$91,3,FALSE),VLOOKUP($T37,$R$63:$T$91,3,FALSE)))+IF(AND($T37&lt;&gt;"",$T37&lt;&gt;"O3/CP",$T$15=A$18,MID($T37,4,1)="2",$T$15&lt;&gt;$T$14),VLOOKUP(CONCATENATE(LEFT($T37,2),"L"),$R$63:$T$91,3,FALSE),0)+IF(AND($T37="O3/CP",$T$14=A$18),VLOOKUP("O3",$R$63:$T$91,3,FALSE)+VLOOKUP("CP",$R$63:$T$91,3,FALSE),0)+IF(AND($U37&lt;&gt;"",$U37&lt;&gt;"--",$U37&lt;&gt;"O3/CP",$U$14=A$18),IF(LEFT($U37,1)="P",VLOOKUP(CONCATENATE(LEFT($U37,2),"H"),$R$63:$T$91,3,FALSE),VLOOKUP($U37,$R$63:$T$91,3,FALSE)))+IF(AND($U37&lt;&gt;"",$U37&lt;&gt;"O3/CP",$U$15=A$18,MID($U37,4,1)="2",$U$15&lt;&gt;$U$14),VLOOKUP(CONCATENATE(LEFT($U37,2),"L"),$R$63:$T$91,3,FALSE),0)+IF(AND($U37="O3/CP",$T$14=A$18),VLOOKUP("O3",$R$63:$T$91,3,FALSE)+VLOOKUP("CP",$R$63:$T$91,3,FALSE),0)+IF(AND($V37&lt;&gt;"",$V37&lt;&gt;"--",$V37&lt;&gt;"O3/CP",$V$14=A$18),IF(LEFT($V37,1)="P",VLOOKUP(CONCATENATE(LEFT($V37,2),"H"),$R$63:$T$91,3,FALSE),VLOOKUP($V37,$R$63:$T$91,3,FALSE)))+IF(AND($V37&lt;&gt;"",$V37&lt;&gt;"O3/CP",$V$15=A$18,MID($V37,4,1)="2",$V$15&lt;&gt;$V$14),VLOOKUP(CONCATENATE(LEFT($V37,2),"L"),$R$63:$T$91,3,FALSE),0)+IF(AND($V37="O3/CP",$V$14=A$18),VLOOKUP("O3",$R$63:$T$91,3,FALSE)+VLOOKUP("CP",$R$63:$T$91,3,FALSE),0)+IF(AND($W37&lt;&gt;"",$W37&lt;&gt;"--",$W37&lt;&gt;"O3/CP",$W$14=A$18),IF(LEFT($W37,1)="P",VLOOKUP(CONCATENATE(LEFT($W37,2),"H"),$R$63:$T$91,3,FALSE),VLOOKUP($W37,$R$63:$T$91,3,FALSE)))+IF(AND($W37&lt;&gt;"",$W37&lt;&gt;"O3/CP",$W$15=A$18,MID($W37,4,1)="2",$W$15&lt;&gt;$W$14),VLOOKUP(CONCATENATE(LEFT($W37,2),"L"),$R$63:$T$91,3,FALSE),0)+IF(AND($W37="O3/CP",$W$14=A$18),VLOOKUP("O3",$R$63:$T$91,3,FALSE)+VLOOKUP("CP",$R$63:$T$91,3,FALSE),0)+IF(AND($X37&lt;&gt;"",$X37&lt;&gt;"--",$X37&lt;&gt;"O3/CP",$X$14=A$18),IF(LEFT($X37,1)="P",VLOOKUP(CONCATENATE(LEFT($X37,2),"H"),$R$63:$T$91,3,FALSE),VLOOKUP($X37,$R$63:$T$91,3,FALSE)))+IF(AND($X37&lt;&gt;"",$X37&lt;&gt;"O3/CP",$X$15=A$18,MID($X37,4,1)="2",$X$15&lt;&gt;$X$14),VLOOKUP(CONCATENATE(LEFT($X37,2),"L"),$R$63:$T$91,3,FALSE),0)+IF(AND($X37="O3/CP",$X$14=A$18),VLOOKUP("O3",$R$63:$T$91,3,FALSE)+VLOOKUP("CP",$R$63:$T$91,3,FALSE),0)+IF(AND($Y37&lt;&gt;"",$Y37&lt;&gt;"--",$Y37&lt;&gt;"O3/CP",$Y$14=A$18),IF(LEFT($Y37,1)="P",VLOOKUP(CONCATENATE(LEFT($Y37,2),"H"),$R$63:$T$91,3,FALSE),VLOOKUP($Y37,$R$63:$T$91,3,FALSE)))+IF(AND($Y37&lt;&gt;"",$Y37&lt;&gt;"O3/CP",$Y$15=A$18,MID($Y37,4,1)="2",$Y$15&lt;&gt;$Y$14),VLOOKUP(CONCATENATE(LEFT($Y37,2),"L"),$R$63:$T$91,3,FALSE),0)+IF(AND($Y37="O3/CP",$Y$14=A$18),VLOOKUP("O3",$R$63:$T$91,3,FALSE)+VLOOKUP("CP",$R$63:$T$91,3,FALSE),0)+IF(AND($K$6="CE",'[3]Supply Attribution'!$G$20=A$18),LEFT($S$90,2),0)+IF(AND($X$86&lt;&gt;"Not Set",$X$87=A$18),$X$86,0)</f>
        <v>13</v>
      </c>
      <c r="B37" s="271">
        <f>IF(AND($K37&lt;&gt;"",$K37&lt;&gt;"--",$K37&lt;&gt;"O3/CP",$K$14=B$18),IF(LEFT($K37,1)="P",VLOOKUP(CONCATENATE(LEFT($K37,2),"H"),$R$63:$T$91,3,FALSE),VLOOKUP($K37,$R$63:$T$91,3,FALSE)))+IF(AND($K37&lt;&gt;"",$K37&lt;&gt;"O3/CP",$K$15=B$18,MID($K37,4,1)="2",$K$15&lt;&gt;$K$14),VLOOKUP(CONCATENATE(LEFT($K37,2),"L"),$R$63:$T$91,3,FALSE),0)+IF(AND($K37="O3/CP",$K$14=B$18),VLOOKUP("O3",$R$63:$T$91,3,FALSE)+VLOOKUP("CP",$R$63:$T$91,3,FALSE),0)+IF(AND($L37&lt;&gt;"",$L37&lt;&gt;"--",$L37&lt;&gt;"O3/CP",$L$14=B$18),IF(LEFT($L37,1)="P",VLOOKUP(CONCATENATE(LEFT($L37,2),"H"),$R$63:$T$91,3,FALSE),VLOOKUP($L37,$R$63:$T$91,3,FALSE)))+IF(AND($L37&lt;&gt;"",$L37&lt;&gt;"O3/CP",$L$15=B$18,MID($L37,4,1)="2",$L$15&lt;&gt;$L$14),VLOOKUP(CONCATENATE(LEFT($L37,2),"L"),$R$63:$T$91,3,FALSE),0)+IF(AND($L37="O3/CP",$L$14=B$18),VLOOKUP("O3",$R$63:$T$91,3,FALSE)+VLOOKUP("CP",$R$63:$T$91,3,FALSE),0)+IF(AND($M37&lt;&gt;"",$M37&lt;&gt;"--",$M37&lt;&gt;"O3/CP",$M$14=B$18),IF(LEFT($M37,1)="P",VLOOKUP(CONCATENATE(LEFT($M37,2),"H"),$R$63:$T$91,3,FALSE),VLOOKUP($M37,$R$63:$T$91,3,FALSE)))+IF(AND($M37&lt;&gt;"",$M37&lt;&gt;"O3/CP",$M$15=B$18,MID($M37,4,1)="2",$M$15&lt;&gt;$M$14),VLOOKUP(CONCATENATE(LEFT($M37,2),"L"),$R$63:$T$91,3,FALSE),0)+IF(AND($M37="O3/CP",$M$14=B$18),VLOOKUP("O3",$R$63:$T$91,3,FALSE)+VLOOKUP("CP",$R$63:$T$91,3,FALSE),0)+IF(AND($N37&lt;&gt;"",$N37&lt;&gt;"--",$N37&lt;&gt;"O3/CP",$N$14=B$18),IF(LEFT($N37,1)="P",VLOOKUP(CONCATENATE(LEFT($N37,2),"H"),$R$63:$T$91,3,FALSE),VLOOKUP($N37,$R$63:$T$91,3,FALSE)))+IF(AND($N37&lt;&gt;"",$N37&lt;&gt;"O3/CP",$N$15=B$18,MID($N37,4,1)="2",$N$15&lt;&gt;$N$14),VLOOKUP(CONCATENATE(LEFT($N37,2),"L"),$R$63:$T$91,3,FALSE),0)+IF(AND($N37="O3/CP",$N$14=B$18),VLOOKUP("O3",$R$63:$T$91,3,FALSE)+VLOOKUP("CP",$R$63:$T$91,3,FALSE),0)+IF(AND($O37&lt;&gt;"",$O37&lt;&gt;"--",$O37&lt;&gt;"O3/CP",$O$14=B$18),IF(LEFT($O37,1)="P",VLOOKUP(CONCATENATE(LEFT($O37,2),"H"),$R$63:$T$91,3,FALSE),VLOOKUP($O37,$R$63:$T$91,3,FALSE)))+IF(AND($O37&lt;&gt;"",$O37&lt;&gt;"O3/CP",$O$15=B$18,MID($O37,4,1)="2",$O$15&lt;&gt;$O$14),VLOOKUP(CONCATENATE(LEFT($O37,2),"L"),$R$63:$T$91,3,FALSE),0)+IF(AND($O37="O3/CP",$O$14=B$18),VLOOKUP("O3",$R$63:$T$91,3,FALSE)+VLOOKUP("CP",$R$63:$T$91,3,FALSE),0)+IF(AND($P37&lt;&gt;"",$P37&lt;&gt;"--",$P37&lt;&gt;"O3/CP",$P$14=B$18),IF(LEFT($P37,1)="P",VLOOKUP(CONCATENATE(LEFT($P37,2),"H"),$R$63:$T$91,3,FALSE),VLOOKUP($P37,$R$63:$T$91,3,FALSE)))+IF(AND($P37&lt;&gt;"",$P37&lt;&gt;"O3/CP",$P$15=B$18,MID($P37,4,1)="2",$P$15&lt;&gt;$P$14),VLOOKUP(CONCATENATE(LEFT($P37,2),"L"),$R$63:$T$91,3,FALSE),0)+IF(AND($P37="O3/CP",$P$14=B$18),VLOOKUP("O3",$R$63:$T$91,3,FALSE)+VLOOKUP("CP",$R$63:$T$91,3,FALSE),0)+IF(AND($Q37&lt;&gt;"",$Q37&lt;&gt;"--",$Q37&lt;&gt;"O3/CP",$Q$14=B$18),IF(LEFT($Q37,1)="P",VLOOKUP(CONCATENATE(LEFT($Q37,2),"H"),$R$63:$T$91,3,FALSE),VLOOKUP($Q37,$R$63:$T$91,3,FALSE)))+IF(AND($Q37&lt;&gt;"",$Q37&lt;&gt;"O3/CP",$Q$15=B$18,MID($Q37,4,1)="2",$Q$15&lt;&gt;$Q$14),VLOOKUP(CONCATENATE(LEFT($Q37,2),"L"),$R$63:$T$91,3,FALSE),0)+IF(AND($Q37="O3/CP",$Q$14=B$18),VLOOKUP("O3",$R$63:$T$91,3,FALSE)+VLOOKUP("CP",$R$63:$T$91,3,FALSE),0)+IF(AND($R37&lt;&gt;"",$R37&lt;&gt;"--",$R37&lt;&gt;"O3/CP",$R$14=B$18),IF(LEFT($R37,1)="P",VLOOKUP(CONCATENATE(LEFT($R37,2),"H"),$R$63:$T$91,3,FALSE),VLOOKUP($R37,$R$63:$T$91,3,FALSE)))+IF(AND($R37&lt;&gt;"",$R37&lt;&gt;"O3/CP",$R$15=B$18,MID($R37,4,1)="2",$R$15&lt;&gt;$R$14),VLOOKUP(CONCATENATE(LEFT($R37,2),"L"),$R$63:$T$91,3,FALSE),0)+IF(AND($R37="O3/CP",$R$14=B$18),VLOOKUP("O3",$R$63:$T$91,3,FALSE)+VLOOKUP("CP",$R$63:$T$91,3,FALSE),0)+IF(AND($S37&lt;&gt;"",$S37&lt;&gt;"--",$S37&lt;&gt;"O3/CP",$S$14=B$18),IF(LEFT($S37,1)="P",VLOOKUP(CONCATENATE(LEFT($S37,2),"H"),$R$63:$T$91,3,FALSE),VLOOKUP($S37,$R$63:$T$91,3,FALSE)))+IF(AND($S37&lt;&gt;"",$S37&lt;&gt;"O3/CP",$S$15=B$18,MID($S37,4,1)="2",$S$15&lt;&gt;$S$14),VLOOKUP(CONCATENATE(LEFT($S37,2),"L"),$R$63:$T$91,3,FALSE),0)+IF(AND($S37="O3/CP",$S$14=B$18),VLOOKUP("O3",$R$63:$T$91,3,FALSE)+VLOOKUP("CP",$R$63:$T$91,3,FALSE),0)+IF(AND($T37&lt;&gt;"",$T37&lt;&gt;"--",$T37&lt;&gt;"O3/CP",$T$14=B$18),IF(LEFT($T37,1)="P",VLOOKUP(CONCATENATE(LEFT($T37,2),"H"),$R$63:$T$91,3,FALSE),VLOOKUP($T37,$R$63:$T$91,3,FALSE)))+IF(AND($T37&lt;&gt;"",$T37&lt;&gt;"O3/CP",$T$15=B$18,MID($T37,4,1)="2",$T$15&lt;&gt;$T$14),VLOOKUP(CONCATENATE(LEFT($T37,2),"L"),$R$63:$T$91,3,FALSE),0)+IF(AND($T37="O3/CP",$T$14=B$18),VLOOKUP("O3",$R$63:$T$91,3,FALSE)+VLOOKUP("CP",$R$63:$T$91,3,FALSE),0)+IF(AND($U37&lt;&gt;"",$U37&lt;&gt;"--",$U37&lt;&gt;"O3/CP",$U$14=B$18),IF(LEFT($U37,1)="P",VLOOKUP(CONCATENATE(LEFT($U37,2),"H"),$R$63:$T$91,3,FALSE),VLOOKUP($U37,$R$63:$T$91,3,FALSE)))+IF(AND($U37&lt;&gt;"",$U37&lt;&gt;"O3/CP",$U$15=B$18,MID($U37,4,1)="2",$U$15&lt;&gt;$U$14),VLOOKUP(CONCATENATE(LEFT($U37,2),"L"),$R$63:$T$91,3,FALSE),0)+IF(AND($U37="O3/CP",$T$14=B$18),VLOOKUP("O3",$R$63:$T$91,3,FALSE)+VLOOKUP("CP",$R$63:$T$91,3,FALSE),0)+IF(AND($V37&lt;&gt;"",$V37&lt;&gt;"--",$V37&lt;&gt;"O3/CP",$V$14=B$18),IF(LEFT($V37,1)="P",VLOOKUP(CONCATENATE(LEFT($V37,2),"H"),$R$63:$T$91,3,FALSE),VLOOKUP($V37,$R$63:$T$91,3,FALSE)))+IF(AND($V37&lt;&gt;"",$V37&lt;&gt;"O3/CP",$V$15=B$18,MID($V37,4,1)="2",$V$15&lt;&gt;$V$14),VLOOKUP(CONCATENATE(LEFT($V37,2),"L"),$R$63:$T$91,3,FALSE),0)+IF(AND($V37="O3/CP",$V$14=B$18),VLOOKUP("O3",$R$63:$T$91,3,FALSE)+VLOOKUP("CP",$R$63:$T$91,3,FALSE),0)+IF(AND($W37&lt;&gt;"",$W37&lt;&gt;"--",$W37&lt;&gt;"O3/CP",$W$14=B$18),IF(LEFT($W37,1)="P",VLOOKUP(CONCATENATE(LEFT($W37,2),"H"),$R$63:$T$91,3,FALSE),VLOOKUP($W37,$R$63:$T$91,3,FALSE)))+IF(AND($W37&lt;&gt;"",$W37&lt;&gt;"O3/CP",$W$15=B$18,MID($W37,4,1)="2",$W$15&lt;&gt;$W$14),VLOOKUP(CONCATENATE(LEFT($W37,2),"L"),$R$63:$T$91,3,FALSE),0)+IF(AND($W37="O3/CP",$W$14=B$18),VLOOKUP("O3",$R$63:$T$91,3,FALSE)+VLOOKUP("CP",$R$63:$T$91,3,FALSE),0)+IF(AND($X37&lt;&gt;"",$X37&lt;&gt;"--",$X37&lt;&gt;"O3/CP",$X$14=B$18),IF(LEFT($X37,1)="P",VLOOKUP(CONCATENATE(LEFT($X37,2),"H"),$R$63:$T$91,3,FALSE),VLOOKUP($X37,$R$63:$T$91,3,FALSE)))+IF(AND($X37&lt;&gt;"",$X37&lt;&gt;"O3/CP",$X$15=B$18,MID($X37,4,1)="2",$X$15&lt;&gt;$X$14),VLOOKUP(CONCATENATE(LEFT($X37,2),"L"),$R$63:$T$91,3,FALSE),0)+IF(AND($X37="O3/CP",$X$14=B$18),VLOOKUP("O3",$R$63:$T$91,3,FALSE)+VLOOKUP("CP",$R$63:$T$91,3,FALSE),0)+IF(AND($Y37&lt;&gt;"",$Y37&lt;&gt;"--",$Y37&lt;&gt;"O3/CP",$Y$14=B$18),IF(LEFT($Y37,1)="P",VLOOKUP(CONCATENATE(LEFT($Y37,2),"H"),$R$63:$T$91,3,FALSE),VLOOKUP($Y37,$R$63:$T$91,3,FALSE)))+IF(AND($Y37&lt;&gt;"",$Y37&lt;&gt;"O3/CP",$Y$15=B$18,MID($Y37,4,1)="2",$Y$15&lt;&gt;$Y$14),VLOOKUP(CONCATENATE(LEFT($Y37,2),"L"),$R$63:$T$91,3,FALSE),0)+IF(AND($Y37="O3/CP",$Y$14=B$18),VLOOKUP("O3",$R$63:$T$91,3,FALSE)+VLOOKUP("CP",$R$63:$T$91,3,FALSE),0)+IF(AND($K$6="CE",'[3]Supply Attribution'!$G$20=B$18),LEFT($S$90,2),0)+IF(AND($X$86&lt;&gt;"Not Set",$X$87=B$18),$X$86,0)</f>
        <v>6</v>
      </c>
      <c r="C37" s="271">
        <f>IF(AND($K37&lt;&gt;"",$K37&lt;&gt;"--",$K37&lt;&gt;"O3/CP",$K$14=C$18),IF(LEFT($K37,1)="P",VLOOKUP(CONCATENATE(LEFT($K37,2),"H"),$R$63:$T$91,3,FALSE),VLOOKUP($K37,$R$63:$T$91,3,FALSE)))+IF(AND($K37&lt;&gt;"",$K37&lt;&gt;"O3/CP",$K$15=C$18,MID($K37,4,1)="2",$K$15&lt;&gt;$K$14),VLOOKUP(CONCATENATE(LEFT($K37,2),"L"),$R$63:$T$91,3,FALSE),0)+IF(AND($K37="O3/CP",$K$14=C$18),VLOOKUP("O3",$R$63:$T$91,3,FALSE)+VLOOKUP("CP",$R$63:$T$91,3,FALSE),0)+IF(AND($L37&lt;&gt;"",$L37&lt;&gt;"--",$L37&lt;&gt;"O3/CP",$L$14=C$18),IF(LEFT($L37,1)="P",VLOOKUP(CONCATENATE(LEFT($L37,2),"H"),$R$63:$T$91,3,FALSE),VLOOKUP($L37,$R$63:$T$91,3,FALSE)))+IF(AND($L37&lt;&gt;"",$L37&lt;&gt;"O3/CP",$L$15=C$18,MID($L37,4,1)="2",$L$15&lt;&gt;$L$14),VLOOKUP(CONCATENATE(LEFT($L37,2),"L"),$R$63:$T$91,3,FALSE),0)+IF(AND($L37="O3/CP",$L$14=C$18),VLOOKUP("O3",$R$63:$T$91,3,FALSE)+VLOOKUP("CP",$R$63:$T$91,3,FALSE),0)+IF(AND($M37&lt;&gt;"",$M37&lt;&gt;"--",$M37&lt;&gt;"O3/CP",$M$14=C$18),IF(LEFT($M37,1)="P",VLOOKUP(CONCATENATE(LEFT($M37,2),"H"),$R$63:$T$91,3,FALSE),VLOOKUP($M37,$R$63:$T$91,3,FALSE)))+IF(AND($M37&lt;&gt;"",$M37&lt;&gt;"O3/CP",$M$15=C$18,MID($M37,4,1)="2",$M$15&lt;&gt;$M$14),VLOOKUP(CONCATENATE(LEFT($M37,2),"L"),$R$63:$T$91,3,FALSE),0)+IF(AND($M37="O3/CP",$M$14=C$18),VLOOKUP("O3",$R$63:$T$91,3,FALSE)+VLOOKUP("CP",$R$63:$T$91,3,FALSE),0)+IF(AND($N37&lt;&gt;"",$N37&lt;&gt;"--",$N37&lt;&gt;"O3/CP",$N$14=C$18),IF(LEFT($N37,1)="P",VLOOKUP(CONCATENATE(LEFT($N37,2),"H"),$R$63:$T$91,3,FALSE),VLOOKUP($N37,$R$63:$T$91,3,FALSE)))+IF(AND($N37&lt;&gt;"",$N37&lt;&gt;"O3/CP",$N$15=C$18,MID($N37,4,1)="2",$N$15&lt;&gt;$N$14),VLOOKUP(CONCATENATE(LEFT($N37,2),"L"),$R$63:$T$91,3,FALSE),0)+IF(AND($N37="O3/CP",$N$14=C$18),VLOOKUP("O3",$R$63:$T$91,3,FALSE)+VLOOKUP("CP",$R$63:$T$91,3,FALSE),0)+IF(AND($O37&lt;&gt;"",$O37&lt;&gt;"--",$O37&lt;&gt;"O3/CP",$O$14=C$18),IF(LEFT($O37,1)="P",VLOOKUP(CONCATENATE(LEFT($O37,2),"H"),$R$63:$T$91,3,FALSE),VLOOKUP($O37,$R$63:$T$91,3,FALSE)))+IF(AND($O37&lt;&gt;"",$O37&lt;&gt;"O3/CP",$O$15=C$18,MID($O37,4,1)="2",$O$15&lt;&gt;$O$14),VLOOKUP(CONCATENATE(LEFT($O37,2),"L"),$R$63:$T$91,3,FALSE),0)+IF(AND($O37="O3/CP",$O$14=C$18),VLOOKUP("O3",$R$63:$T$91,3,FALSE)+VLOOKUP("CP",$R$63:$T$91,3,FALSE),0)+IF(AND($P37&lt;&gt;"",$P37&lt;&gt;"--",$P37&lt;&gt;"O3/CP",$P$14=C$18),IF(LEFT($P37,1)="P",VLOOKUP(CONCATENATE(LEFT($P37,2),"H"),$R$63:$T$91,3,FALSE),VLOOKUP($P37,$R$63:$T$91,3,FALSE)))+IF(AND($P37&lt;&gt;"",$P37&lt;&gt;"O3/CP",$P$15=C$18,MID($P37,4,1)="2",$P$15&lt;&gt;$P$14),VLOOKUP(CONCATENATE(LEFT($P37,2),"L"),$R$63:$T$91,3,FALSE),0)+IF(AND($P37="O3/CP",$P$14=C$18),VLOOKUP("O3",$R$63:$T$91,3,FALSE)+VLOOKUP("CP",$R$63:$T$91,3,FALSE),0)+IF(AND($Q37&lt;&gt;"",$Q37&lt;&gt;"--",$Q37&lt;&gt;"O3/CP",$Q$14=C$18),IF(LEFT($Q37,1)="P",VLOOKUP(CONCATENATE(LEFT($Q37,2),"H"),$R$63:$T$91,3,FALSE),VLOOKUP($Q37,$R$63:$T$91,3,FALSE)))+IF(AND($Q37&lt;&gt;"",$Q37&lt;&gt;"O3/CP",$Q$15=C$18,MID($Q37,4,1)="2",$Q$15&lt;&gt;$Q$14),VLOOKUP(CONCATENATE(LEFT($Q37,2),"L"),$R$63:$T$91,3,FALSE),0)+IF(AND($Q37="O3/CP",$Q$14=C$18),VLOOKUP("O3",$R$63:$T$91,3,FALSE)+VLOOKUP("CP",$R$63:$T$91,3,FALSE),0)+IF(AND($R37&lt;&gt;"",$R37&lt;&gt;"--",$R37&lt;&gt;"O3/CP",$R$14=C$18),IF(LEFT($R37,1)="P",VLOOKUP(CONCATENATE(LEFT($R37,2),"H"),$R$63:$T$91,3,FALSE),VLOOKUP($R37,$R$63:$T$91,3,FALSE)))+IF(AND($R37&lt;&gt;"",$R37&lt;&gt;"O3/CP",$R$15=C$18,MID($R37,4,1)="2",$R$15&lt;&gt;$R$14),VLOOKUP(CONCATENATE(LEFT($R37,2),"L"),$R$63:$T$91,3,FALSE),0)+IF(AND($R37="O3/CP",$R$14=C$18),VLOOKUP("O3",$R$63:$T$91,3,FALSE)+VLOOKUP("CP",$R$63:$T$91,3,FALSE),0)+IF(AND($S37&lt;&gt;"",$S37&lt;&gt;"--",$S37&lt;&gt;"O3/CP",$S$14=C$18),IF(LEFT($S37,1)="P",VLOOKUP(CONCATENATE(LEFT($S37,2),"H"),$R$63:$T$91,3,FALSE),VLOOKUP($S37,$R$63:$T$91,3,FALSE)))+IF(AND($S37&lt;&gt;"",$S37&lt;&gt;"O3/CP",$S$15=C$18,MID($S37,4,1)="2",$S$15&lt;&gt;$S$14),VLOOKUP(CONCATENATE(LEFT($S37,2),"L"),$R$63:$T$91,3,FALSE),0)+IF(AND($S37="O3/CP",$S$14=C$18),VLOOKUP("O3",$R$63:$T$91,3,FALSE)+VLOOKUP("CP",$R$63:$T$91,3,FALSE),0)+IF(AND($T37&lt;&gt;"",$T37&lt;&gt;"--",$T37&lt;&gt;"O3/CP",$T$14=C$18),IF(LEFT($T37,1)="P",VLOOKUP(CONCATENATE(LEFT($T37,2),"H"),$R$63:$T$91,3,FALSE),VLOOKUP($T37,$R$63:$T$91,3,FALSE)))+IF(AND($T37&lt;&gt;"",$T37&lt;&gt;"O3/CP",$T$15=C$18,MID($T37,4,1)="2",$T$15&lt;&gt;$T$14),VLOOKUP(CONCATENATE(LEFT($T37,2),"L"),$R$63:$T$91,3,FALSE),0)+IF(AND($T37="O3/CP",$T$14=C$18),VLOOKUP("O3",$R$63:$T$91,3,FALSE)+VLOOKUP("CP",$R$63:$T$91,3,FALSE),0)+IF(AND($U37&lt;&gt;"",$U37&lt;&gt;"--",$U37&lt;&gt;"O3/CP",$U$14=C$18),IF(LEFT($U37,1)="P",VLOOKUP(CONCATENATE(LEFT($U37,2),"H"),$R$63:$T$91,3,FALSE),VLOOKUP($U37,$R$63:$T$91,3,FALSE)))+IF(AND($U37&lt;&gt;"",$U37&lt;&gt;"O3/CP",$U$15=C$18,MID($U37,4,1)="2",$U$15&lt;&gt;$U$14),VLOOKUP(CONCATENATE(LEFT($U37,2),"L"),$R$63:$T$91,3,FALSE),0)+IF(AND($U37="O3/CP",$T$14=C$18),VLOOKUP("O3",$R$63:$T$91,3,FALSE)+VLOOKUP("CP",$R$63:$T$91,3,FALSE),0)+IF(AND($V37&lt;&gt;"",$V37&lt;&gt;"--",$V37&lt;&gt;"O3/CP",$V$14=C$18),IF(LEFT($V37,1)="P",VLOOKUP(CONCATENATE(LEFT($V37,2),"H"),$R$63:$T$91,3,FALSE),VLOOKUP($V37,$R$63:$T$91,3,FALSE)))+IF(AND($V37&lt;&gt;"",$V37&lt;&gt;"O3/CP",$V$15=C$18,MID($V37,4,1)="2",$V$15&lt;&gt;$V$14),VLOOKUP(CONCATENATE(LEFT($V37,2),"L"),$R$63:$T$91,3,FALSE),0)+IF(AND($V37="O3/CP",$V$14=C$18),VLOOKUP("O3",$R$63:$T$91,3,FALSE)+VLOOKUP("CP",$R$63:$T$91,3,FALSE),0)+IF(AND($W37&lt;&gt;"",$W37&lt;&gt;"--",$W37&lt;&gt;"O3/CP",$W$14=C$18),IF(LEFT($W37,1)="P",VLOOKUP(CONCATENATE(LEFT($W37,2),"H"),$R$63:$T$91,3,FALSE),VLOOKUP($W37,$R$63:$T$91,3,FALSE)))+IF(AND($W37&lt;&gt;"",$W37&lt;&gt;"O3/CP",$W$15=C$18,MID($W37,4,1)="2",$W$15&lt;&gt;$W$14),VLOOKUP(CONCATENATE(LEFT($W37,2),"L"),$R$63:$T$91,3,FALSE),0)+IF(AND($W37="O3/CP",$W$14=C$18),VLOOKUP("O3",$R$63:$T$91,3,FALSE)+VLOOKUP("CP",$R$63:$T$91,3,FALSE),0)+IF(AND($X37&lt;&gt;"",$X37&lt;&gt;"--",$X37&lt;&gt;"O3/CP",$X$14=C$18),IF(LEFT($X37,1)="P",VLOOKUP(CONCATENATE(LEFT($X37,2),"H"),$R$63:$T$91,3,FALSE),VLOOKUP($X37,$R$63:$T$91,3,FALSE)))+IF(AND($X37&lt;&gt;"",$X37&lt;&gt;"O3/CP",$X$15=C$18,MID($X37,4,1)="2",$X$15&lt;&gt;$X$14),VLOOKUP(CONCATENATE(LEFT($X37,2),"L"),$R$63:$T$91,3,FALSE),0)+IF(AND($X37="O3/CP",$X$14=C$18),VLOOKUP("O3",$R$63:$T$91,3,FALSE)+VLOOKUP("CP",$R$63:$T$91,3,FALSE),0)+IF(AND($Y37&lt;&gt;"",$Y37&lt;&gt;"--",$Y37&lt;&gt;"O3/CP",$Y$14=C$18),IF(LEFT($Y37,1)="P",VLOOKUP(CONCATENATE(LEFT($Y37,2),"H"),$R$63:$T$91,3,FALSE),VLOOKUP($Y37,$R$63:$T$91,3,FALSE)))+IF(AND($Y37&lt;&gt;"",$Y37&lt;&gt;"O3/CP",$Y$15=C$18,MID($Y37,4,1)="2",$Y$15&lt;&gt;$Y$14),VLOOKUP(CONCATENATE(LEFT($Y37,2),"L"),$R$63:$T$91,3,FALSE),0)+IF(AND($Y37="O3/CP",$Y$14=C$18),VLOOKUP("O3",$R$63:$T$91,3,FALSE)+VLOOKUP("CP",$R$63:$T$91,3,FALSE),0)+IF(AND($K$6="CE",'[3]Supply Attribution'!$G$20=C$18),LEFT($S$90,2),0)+IF(AND($X$86&lt;&gt;"Not Set",$X$87=C$18),$X$86,0)</f>
        <v>12</v>
      </c>
      <c r="D37" s="271">
        <f>IF(AND($K37&lt;&gt;"",$K37&lt;&gt;"--",$K37&lt;&gt;"O3/CP",$K$14=D$18),IF(LEFT($K37,1)="P",VLOOKUP(CONCATENATE(LEFT($K37,2),"H"),$R$63:$T$91,3,FALSE),VLOOKUP($K37,$R$63:$T$91,3,FALSE)))+IF(AND($K37&lt;&gt;"",$K37&lt;&gt;"O3/CP",$K$15=D$18,MID($K37,4,1)="2",$K$15&lt;&gt;$K$14),VLOOKUP(CONCATENATE(LEFT($K37,2),"L"),$R$63:$T$91,3,FALSE),0)+IF(AND($K37="O3/CP",$K$14=D$18),VLOOKUP("O3",$R$63:$T$91,3,FALSE)+VLOOKUP("CP",$R$63:$T$91,3,FALSE),0)+IF(AND($L37&lt;&gt;"",$L37&lt;&gt;"--",$L37&lt;&gt;"O3/CP",$L$14=D$18),IF(LEFT($L37,1)="P",VLOOKUP(CONCATENATE(LEFT($L37,2),"H"),$R$63:$T$91,3,FALSE),VLOOKUP($L37,$R$63:$T$91,3,FALSE)))+IF(AND($L37&lt;&gt;"",$L37&lt;&gt;"O3/CP",$L$15=D$18,MID($L37,4,1)="2",$L$15&lt;&gt;$L$14),VLOOKUP(CONCATENATE(LEFT($L37,2),"L"),$R$63:$T$91,3,FALSE),0)+IF(AND($L37="O3/CP",$L$14=D$18),VLOOKUP("O3",$R$63:$T$91,3,FALSE)+VLOOKUP("CP",$R$63:$T$91,3,FALSE),0)+IF(AND($M37&lt;&gt;"",$M37&lt;&gt;"--",$M37&lt;&gt;"O3/CP",$M$14=D$18),IF(LEFT($M37,1)="P",VLOOKUP(CONCATENATE(LEFT($M37,2),"H"),$R$63:$T$91,3,FALSE),VLOOKUP($M37,$R$63:$T$91,3,FALSE)))+IF(AND($M37&lt;&gt;"",$M37&lt;&gt;"O3/CP",$M$15=D$18,MID($M37,4,1)="2",$M$15&lt;&gt;$M$14),VLOOKUP(CONCATENATE(LEFT($M37,2),"L"),$R$63:$T$91,3,FALSE),0)+IF(AND($M37="O3/CP",$M$14=D$18),VLOOKUP("O3",$R$63:$T$91,3,FALSE)+VLOOKUP("CP",$R$63:$T$91,3,FALSE),0)+IF(AND($N37&lt;&gt;"",$N37&lt;&gt;"--",$N37&lt;&gt;"O3/CP",$N$14=D$18),IF(LEFT($N37,1)="P",VLOOKUP(CONCATENATE(LEFT($N37,2),"H"),$R$63:$T$91,3,FALSE),VLOOKUP($N37,$R$63:$T$91,3,FALSE)))+IF(AND($N37&lt;&gt;"",$N37&lt;&gt;"O3/CP",$N$15=D$18,MID($N37,4,1)="2",$N$15&lt;&gt;$N$14),VLOOKUP(CONCATENATE(LEFT($N37,2),"L"),$R$63:$T$91,3,FALSE),0)+IF(AND($N37="O3/CP",$N$14=D$18),VLOOKUP("O3",$R$63:$T$91,3,FALSE)+VLOOKUP("CP",$R$63:$T$91,3,FALSE),0)+IF(AND($O37&lt;&gt;"",$O37&lt;&gt;"--",$O37&lt;&gt;"O3/CP",$O$14=D$18),IF(LEFT($O37,1)="P",VLOOKUP(CONCATENATE(LEFT($O37,2),"H"),$R$63:$T$91,3,FALSE),VLOOKUP($O37,$R$63:$T$91,3,FALSE)))+IF(AND($O37&lt;&gt;"",$O37&lt;&gt;"O3/CP",$O$15=D$18,MID($O37,4,1)="2",$O$15&lt;&gt;$O$14),VLOOKUP(CONCATENATE(LEFT($O37,2),"L"),$R$63:$T$91,3,FALSE),0)+IF(AND($O37="O3/CP",$O$14=D$18),VLOOKUP("O3",$R$63:$T$91,3,FALSE)+VLOOKUP("CP",$R$63:$T$91,3,FALSE),0)+IF(AND($P37&lt;&gt;"",$P37&lt;&gt;"--",$P37&lt;&gt;"O3/CP",$P$14=D$18),IF(LEFT($P37,1)="P",VLOOKUP(CONCATENATE(LEFT($P37,2),"H"),$R$63:$T$91,3,FALSE),VLOOKUP($P37,$R$63:$T$91,3,FALSE)))+IF(AND($P37&lt;&gt;"",$P37&lt;&gt;"O3/CP",$P$15=D$18,MID($P37,4,1)="2",$P$15&lt;&gt;$P$14),VLOOKUP(CONCATENATE(LEFT($P37,2),"L"),$R$63:$T$91,3,FALSE),0)+IF(AND($P37="O3/CP",$P$14=D$18),VLOOKUP("O3",$R$63:$T$91,3,FALSE)+VLOOKUP("CP",$R$63:$T$91,3,FALSE),0)+IF(AND($Q37&lt;&gt;"",$Q37&lt;&gt;"--",$Q37&lt;&gt;"O3/CP",$Q$14=D$18),IF(LEFT($Q37,1)="P",VLOOKUP(CONCATENATE(LEFT($Q37,2),"H"),$R$63:$T$91,3,FALSE),VLOOKUP($Q37,$R$63:$T$91,3,FALSE)))+IF(AND($Q37&lt;&gt;"",$Q37&lt;&gt;"O3/CP",$Q$15=D$18,MID($Q37,4,1)="2",$Q$15&lt;&gt;$Q$14),VLOOKUP(CONCATENATE(LEFT($Q37,2),"L"),$R$63:$T$91,3,FALSE),0)+IF(AND($Q37="O3/CP",$Q$14=D$18),VLOOKUP("O3",$R$63:$T$91,3,FALSE)+VLOOKUP("CP",$R$63:$T$91,3,FALSE),0)+IF(AND($R37&lt;&gt;"",$R37&lt;&gt;"--",$R37&lt;&gt;"O3/CP",$R$14=D$18),IF(LEFT($R37,1)="P",VLOOKUP(CONCATENATE(LEFT($R37,2),"H"),$R$63:$T$91,3,FALSE),VLOOKUP($R37,$R$63:$T$91,3,FALSE)))+IF(AND($R37&lt;&gt;"",$R37&lt;&gt;"O3/CP",$R$15=D$18,MID($R37,4,1)="2",$R$15&lt;&gt;$R$14),VLOOKUP(CONCATENATE(LEFT($R37,2),"L"),$R$63:$T$91,3,FALSE),0)+IF(AND($R37="O3/CP",$R$14=D$18),VLOOKUP("O3",$R$63:$T$91,3,FALSE)+VLOOKUP("CP",$R$63:$T$91,3,FALSE),0)+IF(AND($S37&lt;&gt;"",$S37&lt;&gt;"--",$S37&lt;&gt;"O3/CP",$S$14=D$18),IF(LEFT($S37,1)="P",VLOOKUP(CONCATENATE(LEFT($S37,2),"H"),$R$63:$T$91,3,FALSE),VLOOKUP($S37,$R$63:$T$91,3,FALSE)))+IF(AND($S37&lt;&gt;"",$S37&lt;&gt;"O3/CP",$S$15=D$18,MID($S37,4,1)="2",$S$15&lt;&gt;$S$14),VLOOKUP(CONCATENATE(LEFT($S37,2),"L"),$R$63:$T$91,3,FALSE),0)+IF(AND($S37="O3/CP",$S$14=D$18),VLOOKUP("O3",$R$63:$T$91,3,FALSE)+VLOOKUP("CP",$R$63:$T$91,3,FALSE),0)+IF(AND($T37&lt;&gt;"",$T37&lt;&gt;"--",$T37&lt;&gt;"O3/CP",$T$14=D$18),IF(LEFT($T37,1)="P",VLOOKUP(CONCATENATE(LEFT($T37,2),"H"),$R$63:$T$91,3,FALSE),VLOOKUP($T37,$R$63:$T$91,3,FALSE)))+IF(AND($T37&lt;&gt;"",$T37&lt;&gt;"O3/CP",$T$15=D$18,MID($T37,4,1)="2",$T$15&lt;&gt;$T$14),VLOOKUP(CONCATENATE(LEFT($T37,2),"L"),$R$63:$T$91,3,FALSE),0)+IF(AND($T37="O3/CP",$T$14=D$18),VLOOKUP("O3",$R$63:$T$91,3,FALSE)+VLOOKUP("CP",$R$63:$T$91,3,FALSE),0)+IF(AND($U37&lt;&gt;"",$U37&lt;&gt;"--",$U37&lt;&gt;"O3/CP",$U$14=D$18),IF(LEFT($U37,1)="P",VLOOKUP(CONCATENATE(LEFT($U37,2),"H"),$R$63:$T$91,3,FALSE),VLOOKUP($U37,$R$63:$T$91,3,FALSE)))+IF(AND($U37&lt;&gt;"",$U37&lt;&gt;"O3/CP",$U$15=D$18,MID($U37,4,1)="2",$U$15&lt;&gt;$U$14),VLOOKUP(CONCATENATE(LEFT($U37,2),"L"),$R$63:$T$91,3,FALSE),0)+IF(AND($U37="O3/CP",$T$14=D$18),VLOOKUP("O3",$R$63:$T$91,3,FALSE)+VLOOKUP("CP",$R$63:$T$91,3,FALSE),0)+IF(AND($V37&lt;&gt;"",$V37&lt;&gt;"--",$V37&lt;&gt;"O3/CP",$V$14=D$18),IF(LEFT($V37,1)="P",VLOOKUP(CONCATENATE(LEFT($V37,2),"H"),$R$63:$T$91,3,FALSE),VLOOKUP($V37,$R$63:$T$91,3,FALSE)))+IF(AND($V37&lt;&gt;"",$V37&lt;&gt;"O3/CP",$V$15=D$18,MID($V37,4,1)="2",$V$15&lt;&gt;$V$14),VLOOKUP(CONCATENATE(LEFT($V37,2),"L"),$R$63:$T$91,3,FALSE),0)+IF(AND($V37="O3/CP",$V$14=D$18),VLOOKUP("O3",$R$63:$T$91,3,FALSE)+VLOOKUP("CP",$R$63:$T$91,3,FALSE),0)+IF(AND($W37&lt;&gt;"",$W37&lt;&gt;"--",$W37&lt;&gt;"O3/CP",$W$14=D$18),IF(LEFT($W37,1)="P",VLOOKUP(CONCATENATE(LEFT($W37,2),"H"),$R$63:$T$91,3,FALSE),VLOOKUP($W37,$R$63:$T$91,3,FALSE)))+IF(AND($W37&lt;&gt;"",$W37&lt;&gt;"O3/CP",$W$15=D$18,MID($W37,4,1)="2",$W$15&lt;&gt;$W$14),VLOOKUP(CONCATENATE(LEFT($W37,2),"L"),$R$63:$T$91,3,FALSE),0)+IF(AND($W37="O3/CP",$W$14=D$18),VLOOKUP("O3",$R$63:$T$91,3,FALSE)+VLOOKUP("CP",$R$63:$T$91,3,FALSE),0)+IF(AND($X37&lt;&gt;"",$X37&lt;&gt;"--",$X37&lt;&gt;"O3/CP",$X$14=D$18),IF(LEFT($X37,1)="P",VLOOKUP(CONCATENATE(LEFT($X37,2),"H"),$R$63:$T$91,3,FALSE),VLOOKUP($X37,$R$63:$T$91,3,FALSE)))+IF(AND($X37&lt;&gt;"",$X37&lt;&gt;"O3/CP",$X$15=D$18,MID($X37,4,1)="2",$X$15&lt;&gt;$X$14),VLOOKUP(CONCATENATE(LEFT($X37,2),"L"),$R$63:$T$91,3,FALSE),0)+IF(AND($X37="O3/CP",$X$14=D$18),VLOOKUP("O3",$R$63:$T$91,3,FALSE)+VLOOKUP("CP",$R$63:$T$91,3,FALSE),0)+IF(AND($Y37&lt;&gt;"",$Y37&lt;&gt;"--",$Y37&lt;&gt;"O3/CP",$Y$14=D$18),IF(LEFT($Y37,1)="P",VLOOKUP(CONCATENATE(LEFT($Y37,2),"H"),$R$63:$T$91,3,FALSE),VLOOKUP($Y37,$R$63:$T$91,3,FALSE)))+IF(AND($Y37&lt;&gt;"",$Y37&lt;&gt;"O3/CP",$Y$15=D$18,MID($Y37,4,1)="2",$Y$15&lt;&gt;$Y$14),VLOOKUP(CONCATENATE(LEFT($Y37,2),"L"),$R$63:$T$91,3,FALSE),0)+IF(AND($Y37="O3/CP",$Y$14=D$18),VLOOKUP("O3",$R$63:$T$91,3,FALSE)+VLOOKUP("CP",$R$63:$T$91,3,FALSE),0)+IF(AND($K$6="CE",'[3]Supply Attribution'!$G$20=D$18),LEFT($S$90,2),0)+IF(AND($X$86&lt;&gt;"Not Set",$X$87=D$18),$X$86,0)</f>
        <v>0</v>
      </c>
      <c r="E37" s="271">
        <f>IF(AND($K37&lt;&gt;"",$K37&lt;&gt;"--",$K37&lt;&gt;"O3/CP",$K$14=E$18),IF(LEFT($K37,1)="P",VLOOKUP(CONCATENATE(LEFT($K37,2),"H"),$R$63:$T$91,3,FALSE),VLOOKUP($K37,$R$63:$T$91,3,FALSE)))+IF(AND($K37&lt;&gt;"",$K37&lt;&gt;"O3/CP",$K$15=E$18,MID($K37,4,1)="2",$K$15&lt;&gt;$K$14),VLOOKUP(CONCATENATE(LEFT($K37,2),"L"),$R$63:$T$91,3,FALSE),0)+IF(AND($K37="O3/CP",$K$14=E$18),VLOOKUP("O3",$R$63:$T$91,3,FALSE)+VLOOKUP("CP",$R$63:$T$91,3,FALSE),0)+IF(AND($L37&lt;&gt;"",$L37&lt;&gt;"--",$L37&lt;&gt;"O3/CP",$L$14=E$18),IF(LEFT($L37,1)="P",VLOOKUP(CONCATENATE(LEFT($L37,2),"H"),$R$63:$T$91,3,FALSE),VLOOKUP($L37,$R$63:$T$91,3,FALSE)))+IF(AND($L37&lt;&gt;"",$L37&lt;&gt;"O3/CP",$L$15=E$18,MID($L37,4,1)="2",$L$15&lt;&gt;$L$14),VLOOKUP(CONCATENATE(LEFT($L37,2),"L"),$R$63:$T$91,3,FALSE),0)+IF(AND($L37="O3/CP",$L$14=E$18),VLOOKUP("O3",$R$63:$T$91,3,FALSE)+VLOOKUP("CP",$R$63:$T$91,3,FALSE),0)+IF(AND($M37&lt;&gt;"",$M37&lt;&gt;"--",$M37&lt;&gt;"O3/CP",$M$14=E$18),IF(LEFT($M37,1)="P",VLOOKUP(CONCATENATE(LEFT($M37,2),"H"),$R$63:$T$91,3,FALSE),VLOOKUP($M37,$R$63:$T$91,3,FALSE)))+IF(AND($M37&lt;&gt;"",$M37&lt;&gt;"O3/CP",$M$15=E$18,MID($M37,4,1)="2",$M$15&lt;&gt;$M$14),VLOOKUP(CONCATENATE(LEFT($M37,2),"L"),$R$63:$T$91,3,FALSE),0)+IF(AND($M37="O3/CP",$M$14=E$18),VLOOKUP("O3",$R$63:$T$91,3,FALSE)+VLOOKUP("CP",$R$63:$T$91,3,FALSE),0)+IF(AND($N37&lt;&gt;"",$N37&lt;&gt;"--",$N37&lt;&gt;"O3/CP",$N$14=E$18),IF(LEFT($N37,1)="P",VLOOKUP(CONCATENATE(LEFT($N37,2),"H"),$R$63:$T$91,3,FALSE),VLOOKUP($N37,$R$63:$T$91,3,FALSE)))+IF(AND($N37&lt;&gt;"",$N37&lt;&gt;"O3/CP",$N$15=E$18,MID($N37,4,1)="2",$N$15&lt;&gt;$N$14),VLOOKUP(CONCATENATE(LEFT($N37,2),"L"),$R$63:$T$91,3,FALSE),0)+IF(AND($N37="O3/CP",$N$14=E$18),VLOOKUP("O3",$R$63:$T$91,3,FALSE)+VLOOKUP("CP",$R$63:$T$91,3,FALSE),0)+IF(AND($O37&lt;&gt;"",$O37&lt;&gt;"--",$O37&lt;&gt;"O3/CP",$O$14=E$18),IF(LEFT($O37,1)="P",VLOOKUP(CONCATENATE(LEFT($O37,2),"H"),$R$63:$T$91,3,FALSE),VLOOKUP($O37,$R$63:$T$91,3,FALSE)))+IF(AND($O37&lt;&gt;"",$O37&lt;&gt;"O3/CP",$O$15=E$18,MID($O37,4,1)="2",$O$15&lt;&gt;$O$14),VLOOKUP(CONCATENATE(LEFT($O37,2),"L"),$R$63:$T$91,3,FALSE),0)+IF(AND($O37="O3/CP",$O$14=E$18),VLOOKUP("O3",$R$63:$T$91,3,FALSE)+VLOOKUP("CP",$R$63:$T$91,3,FALSE),0)+IF(AND($P37&lt;&gt;"",$P37&lt;&gt;"--",$P37&lt;&gt;"O3/CP",$P$14=E$18),IF(LEFT($P37,1)="P",VLOOKUP(CONCATENATE(LEFT($P37,2),"H"),$R$63:$T$91,3,FALSE),VLOOKUP($P37,$R$63:$T$91,3,FALSE)))+IF(AND($P37&lt;&gt;"",$P37&lt;&gt;"O3/CP",$P$15=E$18,MID($P37,4,1)="2",$P$15&lt;&gt;$P$14),VLOOKUP(CONCATENATE(LEFT($P37,2),"L"),$R$63:$T$91,3,FALSE),0)+IF(AND($P37="O3/CP",$P$14=E$18),VLOOKUP("O3",$R$63:$T$91,3,FALSE)+VLOOKUP("CP",$R$63:$T$91,3,FALSE),0)+IF(AND($Q37&lt;&gt;"",$Q37&lt;&gt;"--",$Q37&lt;&gt;"O3/CP",$Q$14=E$18),IF(LEFT($Q37,1)="P",VLOOKUP(CONCATENATE(LEFT($Q37,2),"H"),$R$63:$T$91,3,FALSE),VLOOKUP($Q37,$R$63:$T$91,3,FALSE)))+IF(AND($Q37&lt;&gt;"",$Q37&lt;&gt;"O3/CP",$Q$15=E$18,MID($Q37,4,1)="2",$Q$15&lt;&gt;$Q$14),VLOOKUP(CONCATENATE(LEFT($Q37,2),"L"),$R$63:$T$91,3,FALSE),0)+IF(AND($Q37="O3/CP",$Q$14=E$18),VLOOKUP("O3",$R$63:$T$91,3,FALSE)+VLOOKUP("CP",$R$63:$T$91,3,FALSE),0)+IF(AND($R37&lt;&gt;"",$R37&lt;&gt;"--",$R37&lt;&gt;"O3/CP",$R$14=E$18),IF(LEFT($R37,1)="P",VLOOKUP(CONCATENATE(LEFT($R37,2),"H"),$R$63:$T$91,3,FALSE),VLOOKUP($R37,$R$63:$T$91,3,FALSE)))+IF(AND($R37&lt;&gt;"",$R37&lt;&gt;"O3/CP",$R$15=E$18,MID($R37,4,1)="2",$R$15&lt;&gt;$R$14),VLOOKUP(CONCATENATE(LEFT($R37,2),"L"),$R$63:$T$91,3,FALSE),0)+IF(AND($R37="O3/CP",$R$14=E$18),VLOOKUP("O3",$R$63:$T$91,3,FALSE)+VLOOKUP("CP",$R$63:$T$91,3,FALSE),0)+IF(AND($S37&lt;&gt;"",$S37&lt;&gt;"--",$S37&lt;&gt;"O3/CP",$S$14=E$18),IF(LEFT($S37,1)="P",VLOOKUP(CONCATENATE(LEFT($S37,2),"H"),$R$63:$T$91,3,FALSE),VLOOKUP($S37,$R$63:$T$91,3,FALSE)))+IF(AND($S37&lt;&gt;"",$S37&lt;&gt;"O3/CP",$S$15=E$18,MID($S37,4,1)="2",$S$15&lt;&gt;$S$14),VLOOKUP(CONCATENATE(LEFT($S37,2),"L"),$R$63:$T$91,3,FALSE),0)+IF(AND($S37="O3/CP",$S$14=E$18),VLOOKUP("O3",$R$63:$T$91,3,FALSE)+VLOOKUP("CP",$R$63:$T$91,3,FALSE),0)+IF(AND($T37&lt;&gt;"",$T37&lt;&gt;"--",$T37&lt;&gt;"O3/CP",$T$14=E$18),IF(LEFT($T37,1)="P",VLOOKUP(CONCATENATE(LEFT($T37,2),"H"),$R$63:$T$91,3,FALSE),VLOOKUP($T37,$R$63:$T$91,3,FALSE)))+IF(AND($T37&lt;&gt;"",$T37&lt;&gt;"O3/CP",$T$15=E$18,MID($T37,4,1)="2",$T$15&lt;&gt;$T$14),VLOOKUP(CONCATENATE(LEFT($T37,2),"L"),$R$63:$T$91,3,FALSE),0)+IF(AND($T37="O3/CP",$T$14=E$18),VLOOKUP("O3",$R$63:$T$91,3,FALSE)+VLOOKUP("CP",$R$63:$T$91,3,FALSE),0)+IF(AND($U37&lt;&gt;"",$U37&lt;&gt;"--",$U37&lt;&gt;"O3/CP",$U$14=E$18),IF(LEFT($U37,1)="P",VLOOKUP(CONCATENATE(LEFT($U37,2),"H"),$R$63:$T$91,3,FALSE),VLOOKUP($U37,$R$63:$T$91,3,FALSE)))+IF(AND($U37&lt;&gt;"",$U37&lt;&gt;"O3/CP",$U$15=E$18,MID($U37,4,1)="2",$U$15&lt;&gt;$U$14),VLOOKUP(CONCATENATE(LEFT($U37,2),"L"),$R$63:$T$91,3,FALSE),0)+IF(AND($U37="O3/CP",$T$14=E$18),VLOOKUP("O3",$R$63:$T$91,3,FALSE)+VLOOKUP("CP",$R$63:$T$91,3,FALSE),0)+IF(AND($V37&lt;&gt;"",$V37&lt;&gt;"--",$V37&lt;&gt;"O3/CP",$V$14=E$18),IF(LEFT($V37,1)="P",VLOOKUP(CONCATENATE(LEFT($V37,2),"H"),$R$63:$T$91,3,FALSE),VLOOKUP($V37,$R$63:$T$91,3,FALSE)))+IF(AND($V37&lt;&gt;"",$V37&lt;&gt;"O3/CP",$V$15=E$18,MID($V37,4,1)="2",$V$15&lt;&gt;$V$14),VLOOKUP(CONCATENATE(LEFT($V37,2),"L"),$R$63:$T$91,3,FALSE),0)+IF(AND($V37="O3/CP",$V$14=E$18),VLOOKUP("O3",$R$63:$T$91,3,FALSE)+VLOOKUP("CP",$R$63:$T$91,3,FALSE),0)+IF(AND($W37&lt;&gt;"",$W37&lt;&gt;"--",$W37&lt;&gt;"O3/CP",$W$14=E$18),IF(LEFT($W37,1)="P",VLOOKUP(CONCATENATE(LEFT($W37,2),"H"),$R$63:$T$91,3,FALSE),VLOOKUP($W37,$R$63:$T$91,3,FALSE)))+IF(AND($W37&lt;&gt;"",$W37&lt;&gt;"O3/CP",$W$15=E$18,MID($W37,4,1)="2",$W$15&lt;&gt;$W$14),VLOOKUP(CONCATENATE(LEFT($W37,2),"L"),$R$63:$T$91,3,FALSE),0)+IF(AND($W37="O3/CP",$W$14=E$18),VLOOKUP("O3",$R$63:$T$91,3,FALSE)+VLOOKUP("CP",$R$63:$T$91,3,FALSE),0)+IF(AND($X37&lt;&gt;"",$X37&lt;&gt;"--",$X37&lt;&gt;"O3/CP",$X$14=E$18),IF(LEFT($X37,1)="P",VLOOKUP(CONCATENATE(LEFT($X37,2),"H"),$R$63:$T$91,3,FALSE),VLOOKUP($X37,$R$63:$T$91,3,FALSE)))+IF(AND($X37&lt;&gt;"",$X37&lt;&gt;"O3/CP",$X$15=E$18,MID($X37,4,1)="2",$X$15&lt;&gt;$X$14),VLOOKUP(CONCATENATE(LEFT($X37,2),"L"),$R$63:$T$91,3,FALSE),0)+IF(AND($X37="O3/CP",$X$14=E$18),VLOOKUP("O3",$R$63:$T$91,3,FALSE)+VLOOKUP("CP",$R$63:$T$91,3,FALSE),0)+IF(AND($Y37&lt;&gt;"",$Y37&lt;&gt;"--",$Y37&lt;&gt;"O3/CP",$Y$14=E$18),IF(LEFT($Y37,1)="P",VLOOKUP(CONCATENATE(LEFT($Y37,2),"H"),$R$63:$T$91,3,FALSE),VLOOKUP($Y37,$R$63:$T$91,3,FALSE)))+IF(AND($Y37&lt;&gt;"",$Y37&lt;&gt;"O3/CP",$Y$15=E$18,MID($Y37,4,1)="2",$Y$15&lt;&gt;$Y$14),VLOOKUP(CONCATENATE(LEFT($Y37,2),"L"),$R$63:$T$91,3,FALSE),0)+IF(AND($Y37="O3/CP",$Y$14=E$18),VLOOKUP("O3",$R$63:$T$91,3,FALSE)+VLOOKUP("CP",$R$63:$T$91,3,FALSE),0)+IF(AND($K$6="CE",'[3]Supply Attribution'!$G$20=E$18),LEFT($S$90,2),0)+IF(AND($X$86&lt;&gt;"Not Set",$X$87=E$18),$X$86,0)</f>
        <v>0</v>
      </c>
      <c r="F37" s="272">
        <f>IF(AND($K37&lt;&gt;"",$K37&lt;&gt;"--",$K37&lt;&gt;"O3/CP",$K$14=F$18),IF(LEFT($K37,1)="P",VLOOKUP(CONCATENATE(LEFT($K37,2),"H"),$R$63:$T$91,3,FALSE),VLOOKUP($K37,$R$63:$T$91,3,FALSE)))+IF(AND($K37&lt;&gt;"",$K37&lt;&gt;"O3/CP",$K$15=F$18,MID($K37,4,1)="2",$K$15&lt;&gt;$K$14),VLOOKUP(CONCATENATE(LEFT($K37,2),"L"),$R$63:$T$91,3,FALSE),0)+IF(AND($K37="O3/CP",$K$14=F$18),VLOOKUP("O3",$R$63:$T$91,3,FALSE)+VLOOKUP("CP",$R$63:$T$91,3,FALSE),0)+IF(AND($L37&lt;&gt;"",$L37&lt;&gt;"--",$L37&lt;&gt;"O3/CP",$L$14=F$18),IF(LEFT($L37,1)="P",VLOOKUP(CONCATENATE(LEFT($L37,2),"H"),$R$63:$T$91,3,FALSE),VLOOKUP($L37,$R$63:$T$91,3,FALSE)))+IF(AND($L37&lt;&gt;"",$L37&lt;&gt;"O3/CP",$L$15=F$18,MID($L37,4,1)="2",$L$15&lt;&gt;$L$14),VLOOKUP(CONCATENATE(LEFT($L37,2),"L"),$R$63:$T$91,3,FALSE),0)+IF(AND($L37="O3/CP",$L$14=F$18),VLOOKUP("O3",$R$63:$T$91,3,FALSE)+VLOOKUP("CP",$R$63:$T$91,3,FALSE),0)+IF(AND($M37&lt;&gt;"",$M37&lt;&gt;"--",$M37&lt;&gt;"O3/CP",$M$14=F$18),IF(LEFT($M37,1)="P",VLOOKUP(CONCATENATE(LEFT($M37,2),"H"),$R$63:$T$91,3,FALSE),VLOOKUP($M37,$R$63:$T$91,3,FALSE)))+IF(AND($M37&lt;&gt;"",$M37&lt;&gt;"O3/CP",$M$15=F$18,MID($M37,4,1)="2",$M$15&lt;&gt;$M$14),VLOOKUP(CONCATENATE(LEFT($M37,2),"L"),$R$63:$T$91,3,FALSE),0)+IF(AND($M37="O3/CP",$M$14=F$18),VLOOKUP("O3",$R$63:$T$91,3,FALSE)+VLOOKUP("CP",$R$63:$T$91,3,FALSE),0)+IF(AND($N37&lt;&gt;"",$N37&lt;&gt;"--",$N37&lt;&gt;"O3/CP",$N$14=F$18),IF(LEFT($N37,1)="P",VLOOKUP(CONCATENATE(LEFT($N37,2),"H"),$R$63:$T$91,3,FALSE),VLOOKUP($N37,$R$63:$T$91,3,FALSE)))+IF(AND($N37&lt;&gt;"",$N37&lt;&gt;"O3/CP",$N$15=F$18,MID($N37,4,1)="2",$N$15&lt;&gt;$N$14),VLOOKUP(CONCATENATE(LEFT($N37,2),"L"),$R$63:$T$91,3,FALSE),0)+IF(AND($N37="O3/CP",$N$14=F$18),VLOOKUP("O3",$R$63:$T$91,3,FALSE)+VLOOKUP("CP",$R$63:$T$91,3,FALSE),0)+IF(AND($O37&lt;&gt;"",$O37&lt;&gt;"--",$O37&lt;&gt;"O3/CP",$O$14=F$18),IF(LEFT($O37,1)="P",VLOOKUP(CONCATENATE(LEFT($O37,2),"H"),$R$63:$T$91,3,FALSE),VLOOKUP($O37,$R$63:$T$91,3,FALSE)))+IF(AND($O37&lt;&gt;"",$O37&lt;&gt;"O3/CP",$O$15=F$18,MID($O37,4,1)="2",$O$15&lt;&gt;$O$14),VLOOKUP(CONCATENATE(LEFT($O37,2),"L"),$R$63:$T$91,3,FALSE),0)+IF(AND($O37="O3/CP",$O$14=F$18),VLOOKUP("O3",$R$63:$T$91,3,FALSE)+VLOOKUP("CP",$R$63:$T$91,3,FALSE),0)+IF(AND($P37&lt;&gt;"",$P37&lt;&gt;"--",$P37&lt;&gt;"O3/CP",$P$14=F$18),IF(LEFT($P37,1)="P",VLOOKUP(CONCATENATE(LEFT($P37,2),"H"),$R$63:$T$91,3,FALSE),VLOOKUP($P37,$R$63:$T$91,3,FALSE)))+IF(AND($P37&lt;&gt;"",$P37&lt;&gt;"O3/CP",$P$15=F$18,MID($P37,4,1)="2",$P$15&lt;&gt;$P$14),VLOOKUP(CONCATENATE(LEFT($P37,2),"L"),$R$63:$T$91,3,FALSE),0)+IF(AND($P37="O3/CP",$P$14=F$18),VLOOKUP("O3",$R$63:$T$91,3,FALSE)+VLOOKUP("CP",$R$63:$T$91,3,FALSE),0)+IF(AND($Q37&lt;&gt;"",$Q37&lt;&gt;"--",$Q37&lt;&gt;"O3/CP",$Q$14=F$18),IF(LEFT($Q37,1)="P",VLOOKUP(CONCATENATE(LEFT($Q37,2),"H"),$R$63:$T$91,3,FALSE),VLOOKUP($Q37,$R$63:$T$91,3,FALSE)))+IF(AND($Q37&lt;&gt;"",$Q37&lt;&gt;"O3/CP",$Q$15=F$18,MID($Q37,4,1)="2",$Q$15&lt;&gt;$Q$14),VLOOKUP(CONCATENATE(LEFT($Q37,2),"L"),$R$63:$T$91,3,FALSE),0)+IF(AND($Q37="O3/CP",$Q$14=F$18),VLOOKUP("O3",$R$63:$T$91,3,FALSE)+VLOOKUP("CP",$R$63:$T$91,3,FALSE),0)+IF(AND($R37&lt;&gt;"",$R37&lt;&gt;"--",$R37&lt;&gt;"O3/CP",$R$14=F$18),IF(LEFT($R37,1)="P",VLOOKUP(CONCATENATE(LEFT($R37,2),"H"),$R$63:$T$91,3,FALSE),VLOOKUP($R37,$R$63:$T$91,3,FALSE)))+IF(AND($R37&lt;&gt;"",$R37&lt;&gt;"O3/CP",$R$15=F$18,MID($R37,4,1)="2",$R$15&lt;&gt;$R$14),VLOOKUP(CONCATENATE(LEFT($R37,2),"L"),$R$63:$T$91,3,FALSE),0)+IF(AND($R37="O3/CP",$R$14=F$18),VLOOKUP("O3",$R$63:$T$91,3,FALSE)+VLOOKUP("CP",$R$63:$T$91,3,FALSE),0)+IF(AND($S37&lt;&gt;"",$S37&lt;&gt;"--",$S37&lt;&gt;"O3/CP",$S$14=F$18),IF(LEFT($S37,1)="P",VLOOKUP(CONCATENATE(LEFT($S37,2),"H"),$R$63:$T$91,3,FALSE),VLOOKUP($S37,$R$63:$T$91,3,FALSE)))+IF(AND($S37&lt;&gt;"",$S37&lt;&gt;"O3/CP",$S$15=F$18,MID($S37,4,1)="2",$S$15&lt;&gt;$S$14),VLOOKUP(CONCATENATE(LEFT($S37,2),"L"),$R$63:$T$91,3,FALSE),0)+IF(AND($S37="O3/CP",$S$14=F$18),VLOOKUP("O3",$R$63:$T$91,3,FALSE)+VLOOKUP("CP",$R$63:$T$91,3,FALSE),0)+IF(AND($T37&lt;&gt;"",$T37&lt;&gt;"--",$T37&lt;&gt;"O3/CP",$T$14=F$18),IF(LEFT($T37,1)="P",VLOOKUP(CONCATENATE(LEFT($T37,2),"H"),$R$63:$T$91,3,FALSE),VLOOKUP($T37,$R$63:$T$91,3,FALSE)))+IF(AND($T37&lt;&gt;"",$T37&lt;&gt;"O3/CP",$T$15=F$18,MID($T37,4,1)="2",$T$15&lt;&gt;$T$14),VLOOKUP(CONCATENATE(LEFT($T37,2),"L"),$R$63:$T$91,3,FALSE),0)+IF(AND($T37="O3/CP",$T$14=F$18),VLOOKUP("O3",$R$63:$T$91,3,FALSE)+VLOOKUP("CP",$R$63:$T$91,3,FALSE),0)+IF(AND($U37&lt;&gt;"",$U37&lt;&gt;"--",$U37&lt;&gt;"O3/CP",$U$14=F$18),IF(LEFT($U37,1)="P",VLOOKUP(CONCATENATE(LEFT($U37,2),"H"),$R$63:$T$91,3,FALSE),VLOOKUP($U37,$R$63:$T$91,3,FALSE)))+IF(AND($U37&lt;&gt;"",$U37&lt;&gt;"O3/CP",$U$15=F$18,MID($U37,4,1)="2",$U$15&lt;&gt;$U$14),VLOOKUP(CONCATENATE(LEFT($U37,2),"L"),$R$63:$T$91,3,FALSE),0)+IF(AND($U37="O3/CP",$T$14=F$18),VLOOKUP("O3",$R$63:$T$91,3,FALSE)+VLOOKUP("CP",$R$63:$T$91,3,FALSE),0)+IF(AND($V37&lt;&gt;"",$V37&lt;&gt;"--",$V37&lt;&gt;"O3/CP",$V$14=F$18),IF(LEFT($V37,1)="P",VLOOKUP(CONCATENATE(LEFT($V37,2),"H"),$R$63:$T$91,3,FALSE),VLOOKUP($V37,$R$63:$T$91,3,FALSE)))+IF(AND($V37&lt;&gt;"",$V37&lt;&gt;"O3/CP",$V$15=F$18,MID($V37,4,1)="2",$V$15&lt;&gt;$V$14),VLOOKUP(CONCATENATE(LEFT($V37,2),"L"),$R$63:$T$91,3,FALSE),0)+IF(AND($V37="O3/CP",$V$14=F$18),VLOOKUP("O3",$R$63:$T$91,3,FALSE)+VLOOKUP("CP",$R$63:$T$91,3,FALSE),0)+IF(AND($W37&lt;&gt;"",$W37&lt;&gt;"--",$W37&lt;&gt;"O3/CP",$W$14=F$18),IF(LEFT($W37,1)="P",VLOOKUP(CONCATENATE(LEFT($W37,2),"H"),$R$63:$T$91,3,FALSE),VLOOKUP($W37,$R$63:$T$91,3,FALSE)))+IF(AND($W37&lt;&gt;"",$W37&lt;&gt;"O3/CP",$W$15=F$18,MID($W37,4,1)="2",$W$15&lt;&gt;$W$14),VLOOKUP(CONCATENATE(LEFT($W37,2),"L"),$R$63:$T$91,3,FALSE),0)+IF(AND($W37="O3/CP",$W$14=F$18),VLOOKUP("O3",$R$63:$T$91,3,FALSE)+VLOOKUP("CP",$R$63:$T$91,3,FALSE),0)+IF(AND($X37&lt;&gt;"",$X37&lt;&gt;"--",$X37&lt;&gt;"O3/CP",$X$14=F$18),IF(LEFT($X37,1)="P",VLOOKUP(CONCATENATE(LEFT($X37,2),"H"),$R$63:$T$91,3,FALSE),VLOOKUP($X37,$R$63:$T$91,3,FALSE)))+IF(AND($X37&lt;&gt;"",$X37&lt;&gt;"O3/CP",$X$15=F$18,MID($X37,4,1)="2",$X$15&lt;&gt;$X$14),VLOOKUP(CONCATENATE(LEFT($X37,2),"L"),$R$63:$T$91,3,FALSE),0)+IF(AND($X37="O3/CP",$X$14=F$18),VLOOKUP("O3",$R$63:$T$91,3,FALSE)+VLOOKUP("CP",$R$63:$T$91,3,FALSE),0)+IF(AND($Y37&lt;&gt;"",$Y37&lt;&gt;"--",$Y37&lt;&gt;"O3/CP",$Y$14=F$18),IF(LEFT($Y37,1)="P",VLOOKUP(CONCATENATE(LEFT($Y37,2),"H"),$R$63:$T$91,3,FALSE),VLOOKUP($Y37,$R$63:$T$91,3,FALSE)))+IF(AND($Y37&lt;&gt;"",$Y37&lt;&gt;"O3/CP",$Y$15=F$18,MID($Y37,4,1)="2",$Y$15&lt;&gt;$Y$14),VLOOKUP(CONCATENATE(LEFT($Y37,2),"L"),$R$63:$T$91,3,FALSE),0)+IF(AND($Y37="O3/CP",$Y$14=F$18),VLOOKUP("O3",$R$63:$T$91,3,FALSE)+VLOOKUP("CP",$R$63:$T$91,3,FALSE),0)+IF(AND($K$6="CE",'[3]Supply Attribution'!$G$20=F$18),LEFT($S$90,2),0)+IF(AND($X$86&lt;&gt;"Not Set",$X$87=F$18),$X$86,0)</f>
        <v>12</v>
      </c>
      <c r="G37" s="271">
        <f>IF(AND($K$6="CE",$T$59="1 Phase"),SUM(A37:F37)-IF(AND($K$14&lt;&gt;$K$15,RIGHT($K37,3)="2SP"),VLOOKUP(CONCATENATE(LEFT($K37,2),"L"),$R$63:$T$90,3,FALSE),0)-IF(AND($L$14&lt;&gt;$L$15,RIGHT($L37,3)="2SP"),VLOOKUP(CONCATENATE(LEFT($L37,2),"L"),$R$63:$T$90,3,FALSE),0)-IF(AND($M$14&lt;&gt;$M$15,RIGHT($M37,3)="2SP"),VLOOKUP(CONCATENATE(LEFT($M37,2),"L"),$R$63:$T$90,3,FALSE),0)-IF(AND($N$14&lt;&gt;$N$15,RIGHT($N37,3)="2SP"),VLOOKUP(CONCATENATE(LEFT($N37,2),"L"),$R$63:$T$90,3,FALSE),0)-IF(AND($O$14&lt;&gt;$O$15,RIGHT($O37,3)="2SP"),VLOOKUP(CONCATENATE(LEFT($O37,2),"L"),$R$63:$T$90,3,FALSE),0)-IF(AND($P$14&lt;&gt;$P$15,RIGHT($P37,3)="2SP"),VLOOKUP(CONCATENATE(LEFT($P37,2),"L"),$R$63:$T$90,3,FALSE),0)-IF(AND($Q$14&lt;&gt;$Q$15,RIGHT($Q37,3)="2SP"),VLOOKUP(CONCATENATE(LEFT($Q37,2),"L"),$R$63:$T$90,3,FALSE),0)-IF(AND($R$14&lt;&gt;$R$15,RIGHT($T37,3)="2SP"),VLOOKUP(CONCATENATE(LEFT($R37,2),"L"),$R$63:$T$90,3,FALSE),0)-IF(AND($S$14&lt;&gt;$S$15,RIGHT($T37,3)="2SP"),VLOOKUP(CONCATENATE(LEFT($S37,2),"L"),$R$63:$T$90,3,FALSE),0)-IF(AND($T$14&lt;&gt;$T$15,RIGHT($T37,3)="2SP"),VLOOKUP(CONCATENATE(LEFT($T37,2),"L"),$R$63:$T$90,3,FALSE),0)-IF(AND($U$14&lt;&gt;$U$15,RIGHT($U37,3)="2SP"),VLOOKUP(CONCATENATE(LEFT($U37,2),"L"),$R$63:$T$90,3,FALSE),0)-IF(AND($V$14&lt;&gt;$V$15,RIGHT($V37,3)="2SP"),VLOOKUP(CONCATENATE(LEFT($V37,2),"L"),$R$63:$T$90,3,FALSE),0)-IF(AND($W$14&lt;&gt;$W$15,RIGHT($W37,3)="2SP"),VLOOKUP(CONCATENATE(LEFT($W37,2),"L"),$R$63:$T$90,3,FALSE),0)-IF(AND($X$14&lt;&gt;$X$15,RIGHT($X37,3)="2SP"),VLOOKUP(CONCATENATE(LEFT($X37,2),"L"),$R$63:$T$90,3,FALSE),0)-IF(AND($Y$14&lt;&gt;$Y$15,RIGHT($Y37,3)="2SP"),VLOOKUP(CONCATENATE(LEFT($Y37,2),"L"),$R$63:$T$90,3,FALSE),0),IF(VLOOKUP(CONCATENATE($A$18,"Line"),'[3]Supply Attribution'!$F$31:$G$37,2,FALSE)=G$18,$A37,0)+IF(VLOOKUP(CONCATENATE($B$18,"Line"),'[3]Supply Attribution'!$F$31:$G$37,2,FALSE)=G$18,$B37,0)+IF(VLOOKUP(CONCATENATE($C$18,"Line"),'[3]Supply Attribution'!$F$31:$G$37,2,FALSE)=G$18,$C37,0)+IF(VLOOKUP(CONCATENATE($D$18,"Line"),'[3]Supply Attribution'!$F$31:$G$37,2,FALSE)=G$18,$D37,0)+IF(VLOOKUP(CONCATENATE($E$18,"Line"),'[3]Supply Attribution'!$F$31:$G$37,2,FALSE)=G$18,$E37,0)+IF(VLOOKUP(CONCATENATE($F$18,"Line"),'[3]Supply Attribution'!$F$31:$G$37,2,FALSE)=G$18,$F37,0)+IF($K$6="UL",LEFT($S$90,2),0)-IF(AND($K$16=G$18,$K$14&lt;&gt;$K$15,$K$16=$K$17,RIGHT($K37,3)="2SP"),VLOOKUP(CONCATENATE(LEFT($K37,2),"L"),$R$63:$T$90,3,FALSE),0)-IF(AND($L$16=G$18,$L$14&lt;&gt;$L$15,$L$16=$L$17,RIGHT($L37,3)="2SP"),VLOOKUP(CONCATENATE(LEFT($L37,2),"L"),$R$63:$T$90,3,FALSE),0)-IF(AND($M$16=G$18,$M$14&lt;&gt;$M$15,$M$16=$M$17,RIGHT($M37,3)="2SP"),VLOOKUP(CONCATENATE(LEFT($M37,2),"L"),$R$63:$T$90,3,FALSE),0)-IF(AND($N$16=G$18,$N$14&lt;&gt;$N$15,$N$16=$N$17,RIGHT($N37,3)="2SP"),VLOOKUP(CONCATENATE(LEFT($N37,2),"L"),$R$63:$T$90,3,FALSE),0)-IF(AND($O$16=G$18,$O$14&lt;&gt;$O$15,$O$16=$O$17,RIGHT($O37,3)="2SP"),VLOOKUP(CONCATENATE(LEFT($O37,2),"L"),$R$63:$T$90,3,FALSE),0)-IF(AND($P$16=G$18,$P$14&lt;&gt;$P$15,$P$16=$P$17,RIGHT($P37,3)="2SP"),VLOOKUP(CONCATENATE(LEFT($P37,2),"L"),$R$63:$T$90,3,FALSE),0)-IF(AND($Q$16=G$18,$Q$14&lt;&gt;$Q$15,$Q$16=$Q$17,RIGHT($Q37,3)="2SP"),VLOOKUP(CONCATENATE(LEFT($Q37,2),"L"),$R$63:$T$90,3,FALSE),0)-IF(AND($R$16=G$18,$R$14&lt;&gt;$R$15,$R$16=$R$17,RIGHT($R37,3)="2SP"),VLOOKUP(CONCATENATE(LEFT($R37,2),"L"),$R$63:$T$90,3,FALSE),0)-IF(AND($S$16=G$18,$S$14&lt;&gt;$S$15,$S$16=$S$17,RIGHT($S37,3)="2SP"),VLOOKUP(CONCATENATE(LEFT($S37,2),"L"),$R$63:$T$90,3,FALSE),0)-IF(AND($T$16=G$18,$T$14&lt;&gt;$T$15,$T$16=$T$17,RIGHT($T37,3)="2SP"),VLOOKUP(CONCATENATE(LEFT($T37,2),"L"),$R$63:$T$90,3,FALSE),0)-IF(AND($U$16=G$18,$U$14&lt;&gt;$U$15,$U$16=$U$17,RIGHT($U37,3)="2SP"),VLOOKUP(CONCATENATE(LEFT($U37,2),"L"),$R$63:$T$90,3,FALSE),0)-IF(AND($V$16=G$18,$V$14&lt;&gt;$V$15,$V$16=$V$17,RIGHT($V37,3)="2SP"),VLOOKUP(CONCATENATE(LEFT($V37,2),"L"),$R$63:$T$90,3,FALSE),0)-IF(AND($W$16=G$18,$W$14&lt;&gt;$W$15,$W$16=$W$17,RIGHT($W37,3)="2SP"),VLOOKUP(CONCATENATE(LEFT($W37,2),"L"),$R$63:$T$90,3,FALSE),0)-IF(AND($X$16=G$18,$X$14&lt;&gt;$X$15,$X$16=$X$17,RIGHT($X37,3)="2SP"),VLOOKUP(CONCATENATE(LEFT($X37,2),"L"),$R$63:$T$90,3,FALSE),0)-IF(AND($Y$16=G$18,$Y$14&lt;&gt;$Y$15,$Y$16=$Y$17,RIGHT($Y37,3)="2SP"),VLOOKUP(CONCATENATE(LEFT($Y37,2),"L"),$R$63:$T$90,3,FALSE),0))</f>
        <v>56</v>
      </c>
      <c r="H37" s="271" t="str">
        <f>IF(H$18&lt;&gt;"",IF(VLOOKUP(CONCATENATE($A$18,"Line"),'Supply Attribution'!$F$31:$G$37,2,FALSE)=H$18,$A37,0)+IF(VLOOKUP(CONCATENATE($B$18,"Line"),'Supply Attribution'!$F$31:$G$37,2,FALSE)=H$18,$B37,0)+IF(VLOOKUP(CONCATENATE($C$18,"Line"),'Supply Attribution'!$F$31:$G$37,2,FALSE)=H$18,$C37,0)+IF(VLOOKUP(CONCATENATE($D$18,"Line"),'Supply Attribution'!$F$31:$G$37,2,FALSE)=H$18,$D37,0)+IF(VLOOKUP(CONCATENATE($E$18,"Line"),'Supply Attribution'!$F$31:$G$37,2,FALSE)=H$18,$E37,0)+IF(VLOOKUP(CONCATENATE($F$18,"Line"),'Supply Attribution'!$F$31:$G$37,2,FALSE)=H$18,$F37,0)+IF($K$6="UL",LEFT($S$90,2),0)-IF(AND($K$16=H$18,$K$14&lt;&gt;$K$15,$K$16=$K$17,RIGHT($K37,3)="2SP"),VLOOKUP(CONCATENATE(LEFT($K37,2),"L"),$R$63:$T$90,3,FALSE),0)-IF(AND($L$16=H$18,$L$14&lt;&gt;$L$15,$L$16=$L$17,RIGHT($L37,3)="2SP"),VLOOKUP(CONCATENATE(LEFT($L37,2),"L"),$R$63:$T$90,3,FALSE),0)-IF(AND($M$16=H$18,$M$14&lt;&gt;$M$15,$M$16=$M$17,RIGHT($M37,3)="2SP"),VLOOKUP(CONCATENATE(LEFT($M37,2),"L"),$R$63:$T$90,3,FALSE),0)-IF(AND($N$16=H$18,$N$14&lt;&gt;$N$15,$N$16=$N$17,RIGHT($N37,3)="2SP"),VLOOKUP(CONCATENATE(LEFT($N37,2),"L"),$R$63:$T$90,3,FALSE),0)-IF(AND($O$16=H$18,$O$14&lt;&gt;$O$15,$O$16=$O$17,RIGHT($O37,3)="2SP"),VLOOKUP(CONCATENATE(LEFT($O37,2),"L"),$R$63:$T$90,3,FALSE),0)-IF(AND($P$16=H$18,$P$14&lt;&gt;$P$15,$P$16=$P$17,RIGHT($P37,3)="2SP"),VLOOKUP(CONCATENATE(LEFT($P37,2),"L"),$R$63:$T$90,3,FALSE),0)-IF(AND($Q$16=H$18,$Q$14&lt;&gt;$Q$15,$Q$16=$Q$17,RIGHT($Q37,3)="2SP"),VLOOKUP(CONCATENATE(LEFT($Q37,2),"L"),$R$63:$T$90,3,FALSE),0)-IF(AND($T$16=H$18,$T$14&lt;&gt;$T$15,$T$16=$T$17,RIGHT($T37,3)="2SP"),VLOOKUP(CONCATENATE(LEFT($T37,2),"L"),$R$63:$T$90,3,FALSE),0)-IF(AND($U$16=H$18,$U$14&lt;&gt;$U$15,$U$16=$U$17,RIGHT($U37,3)="2SP"),VLOOKUP(CONCATENATE(LEFT($U37,2),"L"),$R$63:$T$90,3,FALSE),0)-IF(AND($V$16=H$18,$V$14&lt;&gt;$V$15,$V$16=$V$17,RIGHT($V37,3)="2SP"),VLOOKUP(CONCATENATE(LEFT($V37,2),"L"),$R$63:$T$90,3,FALSE),0)-IF(AND($W$16=H$18,$W$14&lt;&gt;$W$15,$W$16=$W$17,RIGHT($W37,3)="2SP"),VLOOKUP(CONCATENATE(LEFT($W37,2),"L"),$R$63:$T$90,3,FALSE),0)-IF(AND($X$16=H$18,$X$14&lt;&gt;$X$15,$X$16=$X$17,RIGHT($X37,3)="2SP"),VLOOKUP(CONCATENATE(LEFT($X37,2),"L"),$R$63:$T$90,3,FALSE),0)-IF(AND($Y$16=H$18,$Y$14&lt;&gt;$Y$15,$Y$16=$Y$17,RIGHT($Y37,3)="2SP"),VLOOKUP(CONCATENATE(LEFT($Y37,2),"L"),$R$63:$T$90,3,FALSE),0)+IF(AND($K$6="CE",$T$59="2 Phases",H$18&lt;&gt;""),IF(VLOOKUP(CONCATENATE($A$18,"Line"),'Supply Attribution'!$F$31:$G$37,2,FALSE)="Line3",$A37,0)+IF(VLOOKUP(CONCATENATE($B$18,"Line"),'Supply Attribution'!$F$31:$G$37,2,FALSE)="Line3",$B37,0)+IF(VLOOKUP(CONCATENATE($C$18,"Line"),'Supply Attribution'!$F$31:$G$37,2,FALSE)="Line3",$C37,0)+IF(VLOOKUP(CONCATENATE($D$18,"Line"),'Supply Attribution'!$F$31:$G$37,2,FALSE)="Line3",$D37,0)+IF(VLOOKUP(CONCATENATE($E$18,"Line"),'Supply Attribution'!$F$31:$G$37,2,FALSE)="Line3",$E37,0)+IF(VLOOKUP(CONCATENATE($F$18,"Line"),'Supply Attribution'!$F$31:$G$37,2,FALSE)="Line3",$F37,0)-IF(AND($K$16=I$18,$K$14&lt;&gt;$K$15,$K$16=$K$17,RIGHT($K37,3)="2SP"),VLOOKUP(CONCATENATE(LEFT($K37,2),"L"),$R$63:$T$90,3,FALSE),0)-IF(AND($L$16=I$18,$L$14&lt;&gt;$L$15,$L$16=$L$17,RIGHT($L37,3)="2SP"),VLOOKUP(CONCATENATE(LEFT($L37,2),"L"),$R$63:$T$90,3,FALSE),0)-IF(AND($M$16=I$18,$M$14&lt;&gt;$M$15,$M$16=$M$17,RIGHT($M37,3)="2SP"),VLOOKUP(CONCATENATE(LEFT($M37,2),"L"),$R$63:$T$90,3,FALSE),0)-IF(AND($N$16=I$18,$N$14&lt;&gt;$N$15,$N$16=$N$17,RIGHT($N37,3)="2SP"),VLOOKUP(CONCATENATE(LEFT($N37,2),"L"),$R$63:$T$90,3,FALSE),0)-IF(AND($O$16=I$18,$O$14&lt;&gt;$O$15,$O$16=$O$17,RIGHT($O37,3)="2SP"),VLOOKUP(CONCATENATE(LEFT($O37,2),"L"),$R$63:$T$90,3,FALSE),0)-IF(AND($P$16=I$18,$P$14&lt;&gt;$P$15,$P$16=$P$17,RIGHT($P37,3)="2SP"),VLOOKUP(CONCATENATE(LEFT($P37,2),"L"),$R$63:$T$90,3,FALSE),0)-IF(AND($Q$16=I$18,$Q$14&lt;&gt;$Q$15,$Q$16=$Q$17,RIGHT($Q37,3)="2SP"),VLOOKUP(CONCATENATE(LEFT($Q37,2),"L"),$R$63:$T$90,3,FALSE),0)-IF(AND($T$16=I$18,$T$14&lt;&gt;$T$15,$T$16=$T$17,RIGHT($T37,3)="2SP"),VLOOKUP(CONCATENATE(LEFT($T37,2),"L"),$R$63:$T$90,3,FALSE),0)-IF(AND($U$16=I$18,$U$14&lt;&gt;$U$15,$U$16=$U$17,RIGHT($U37,3)="2SP"),VLOOKUP(CONCATENATE(LEFT($U37,2),"L"),$R$63:$T$90,3,FALSE),0)-IF(AND($V$16=I$18,$V$14&lt;&gt;$V$15,$V$16=$V$17,RIGHT($V37,3)="2SP"),VLOOKUP(CONCATENATE(LEFT($V37,2),"L"),$R$63:$T$90,3,FALSE),0)-IF(AND($W$16=I$18,$W$14&lt;&gt;$W$15,$W$16=$W$17,RIGHT($W37,3)="2SP"),VLOOKUP(CONCATENATE(LEFT($W37,2),"L"),$R$63:$T$90,3,FALSE),0)-IF(AND($X$16=I$18,$X$14&lt;&gt;$X$15,$X$16=$X$17,RIGHT($X37,3)="2SP"),VLOOKUP(CONCATENATE(LEFT($X37,2),"L"),$R$63:$T$90,3,FALSE),0)-IF(AND($Y$16=I$18,$Y$14&lt;&gt;$Y$15,$Y$16=$Y$17,RIGHT($Y37,3)="2SP"),VLOOKUP(CONCATENATE(LEFT($Y37,2),"L"),$R$63:$T$90,3,FALSE),0),0),"")</f>
        <v/>
      </c>
      <c r="I37" s="271" t="str">
        <f>IF(I$18&lt;&gt;"",IF(VLOOKUP(CONCATENATE($A$18,"Line"),'Supply Attribution'!$F$31:$G$37,2,FALSE)=I$18,$A37,0)+IF(VLOOKUP(CONCATENATE($B$18,"Line"),'Supply Attribution'!$F$31:$G$37,2,FALSE)=I$18,$B37,0)+IF(VLOOKUP(CONCATENATE($C$18,"Line"),'Supply Attribution'!$F$31:$G$37,2,FALSE)=I$18,$C37,0)+IF(VLOOKUP(CONCATENATE($D$18,"Line"),'Supply Attribution'!$F$31:$G$37,2,FALSE)=I$18,$D37,0)+IF(VLOOKUP(CONCATENATE($E$18,"Line"),'Supply Attribution'!$F$31:$G$37,2,FALSE)=I$18,$E37,0)+IF(VLOOKUP(CONCATENATE($F$18,"Line"),'Supply Attribution'!$F$31:$G$37,2,FALSE)=I$18,$F37,0)+IF($K$6="UL",LEFT($S$90,2),0)-IF(AND($K$16=I$18,$K$14&lt;&gt;$K$15,$K$16=$K$17,RIGHT($K37,3)="2SP"),VLOOKUP(CONCATENATE(LEFT($K37,2),"L"),$R$63:$T$90,3,FALSE),0)-IF(AND($L$16=I$18,$L$14&lt;&gt;$L$15,$L$16=$L$17,RIGHT($L37,3)="2SP"),VLOOKUP(CONCATENATE(LEFT($L37,2),"L"),$R$63:$T$90,3,FALSE),0)-IF(AND($M$16=I$18,$M$14&lt;&gt;$M$15,$M$16=$M$17,RIGHT($M37,3)="2SP"),VLOOKUP(CONCATENATE(LEFT($M37,2),"L"),$R$63:$T$90,3,FALSE),0)-IF(AND($N$16=I$18,$N$14&lt;&gt;$N$15,$N$16=$N$17,RIGHT($N37,3)="2SP"),VLOOKUP(CONCATENATE(LEFT($N37,2),"L"),$R$63:$T$90,3,FALSE),0)-IF(AND($O$16=I$18,$O$14&lt;&gt;$O$15,$O$16=$O$17,RIGHT($O37,3)="2SP"),VLOOKUP(CONCATENATE(LEFT($O37,2),"L"),$R$63:$T$90,3,FALSE),0)-IF(AND($P$16=I$18,$P$14&lt;&gt;$P$15,$P$16=$P$17,RIGHT($P37,3)="2SP"),VLOOKUP(CONCATENATE(LEFT($P37,2),"L"),$R$63:$T$90,3,FALSE),0)-IF(AND($Q$16=I$18,$Q$14&lt;&gt;$Q$15,$Q$16=$Q$17,RIGHT($Q37,3)="2SP"),VLOOKUP(CONCATENATE(LEFT($Q37,2),"L"),$R$63:$T$90,3,FALSE),0)-IF(AND($T$16=I$18,$T$14&lt;&gt;$T$15,$T$16=$T$17,RIGHT($T37,3)="2SP"),VLOOKUP(CONCATENATE(LEFT($T37,2),"L"),$R$63:$T$90,3,FALSE),0)-IF(AND($U$16=I$18,$U$14&lt;&gt;$U$15,$U$16=$U$17,RIGHT($U37,3)="2SP"),VLOOKUP(CONCATENATE(LEFT($U37,2),"L"),$R$63:$T$90,3,FALSE),0)-IF(AND($V$16=I$18,$V$14&lt;&gt;$V$15,$V$16=$V$17,RIGHT($V37,3)="2SP"),VLOOKUP(CONCATENATE(LEFT($V37,2),"L"),$R$63:$T$90,3,FALSE),0)-IF(AND($W$16=I$18,$W$14&lt;&gt;$W$15,$W$16=$W$17,RIGHT($W37,3)="2SP"),VLOOKUP(CONCATENATE(LEFT($W37,2),"L"),$R$63:$T$90,3,FALSE),0)-IF(AND($X$16=I$18,$X$14&lt;&gt;$X$15,$X$16=$X$17,RIGHT($X37,3)="2SP"),VLOOKUP(CONCATENATE(LEFT($X37,2),"L"),$R$63:$T$90,3,FALSE),0)-IF(AND($Y$16=I$18,$Y$14&lt;&gt;$Y$15,$Y$16=$Y$17,RIGHT($Y37,3)="2SP"),VLOOKUP(CONCATENATE(LEFT($Y37,2),"L"),$R$63:$T$90,3,FALSE),0),"")</f>
        <v/>
      </c>
      <c r="J37" s="129">
        <f t="shared" si="3"/>
        <v>28</v>
      </c>
      <c r="K37" s="159" t="s">
        <v>389</v>
      </c>
      <c r="L37" s="159" t="s">
        <v>566</v>
      </c>
      <c r="M37" s="159" t="s">
        <v>391</v>
      </c>
      <c r="N37" s="159" t="s">
        <v>24</v>
      </c>
      <c r="O37" s="159" t="s">
        <v>286</v>
      </c>
      <c r="P37" s="159" t="s">
        <v>388</v>
      </c>
      <c r="Q37" s="130"/>
      <c r="R37" s="130"/>
      <c r="S37" s="130"/>
      <c r="T37" s="130"/>
      <c r="U37" s="130"/>
      <c r="V37" s="130"/>
      <c r="W37" s="130"/>
      <c r="X37" s="130"/>
      <c r="Y37" s="130"/>
      <c r="Z37" s="131" t="s">
        <v>7</v>
      </c>
      <c r="AA37" s="131" t="s">
        <v>357</v>
      </c>
      <c r="AB37" s="132" t="s">
        <v>18</v>
      </c>
      <c r="AC37" s="132" t="s">
        <v>183</v>
      </c>
      <c r="AD37" s="132" t="s">
        <v>18</v>
      </c>
      <c r="AE37" s="133">
        <f t="shared" si="0"/>
        <v>28</v>
      </c>
      <c r="AF37" s="78"/>
    </row>
    <row r="38" spans="1:32">
      <c r="A38" s="270">
        <f>IF(AND($K38&lt;&gt;"",$K38&lt;&gt;"--",$K38&lt;&gt;"O3/CP",$K$14=A$18),IF(LEFT($K38,1)="P",VLOOKUP(CONCATENATE(LEFT($K38,2),"H"),$R$63:$T$91,3,FALSE),VLOOKUP($K38,$R$63:$T$91,3,FALSE)))+IF(AND($K38&lt;&gt;"",$K38&lt;&gt;"O3/CP",$K$15=A$18,MID($K38,4,1)="2",$K$15&lt;&gt;$K$14),VLOOKUP(CONCATENATE(LEFT($K38,2),"L"),$R$63:$T$91,3,FALSE),0)+IF(AND($K38="O3/CP",$K$14=A$18),VLOOKUP("O3",$R$63:$T$91,3,FALSE)+VLOOKUP("CP",$R$63:$T$91,3,FALSE),0)+IF(AND($L38&lt;&gt;"",$L38&lt;&gt;"--",$L38&lt;&gt;"O3/CP",$L$14=A$18),IF(LEFT($L38,1)="P",VLOOKUP(CONCATENATE(LEFT($L38,2),"H"),$R$63:$T$91,3,FALSE),VLOOKUP($L38,$R$63:$T$91,3,FALSE)))+IF(AND($L38&lt;&gt;"",$L38&lt;&gt;"O3/CP",$L$15=A$18,MID($L38,4,1)="2",$L$15&lt;&gt;$L$14),VLOOKUP(CONCATENATE(LEFT($L38,2),"L"),$R$63:$T$91,3,FALSE),0)+IF(AND($L38="O3/CP",$L$14=A$18),VLOOKUP("O3",$R$63:$T$91,3,FALSE)+VLOOKUP("CP",$R$63:$T$91,3,FALSE),0)+IF(AND($M38&lt;&gt;"",$M38&lt;&gt;"--",$M38&lt;&gt;"O3/CP",$M$14=A$18),IF(LEFT($M38,1)="P",VLOOKUP(CONCATENATE(LEFT($M38,2),"H"),$R$63:$T$91,3,FALSE),VLOOKUP($M38,$R$63:$T$91,3,FALSE)))+IF(AND($M38&lt;&gt;"",$M38&lt;&gt;"O3/CP",$M$15=A$18,MID($M38,4,1)="2",$M$15&lt;&gt;$M$14),VLOOKUP(CONCATENATE(LEFT($M38,2),"L"),$R$63:$T$91,3,FALSE),0)+IF(AND($M38="O3/CP",$M$14=A$18),VLOOKUP("O3",$R$63:$T$91,3,FALSE)+VLOOKUP("CP",$R$63:$T$91,3,FALSE),0)+IF(AND($N38&lt;&gt;"",$N38&lt;&gt;"--",$N38&lt;&gt;"O3/CP",$N$14=A$18),IF(LEFT($N38,1)="P",VLOOKUP(CONCATENATE(LEFT($N38,2),"H"),$R$63:$T$91,3,FALSE),VLOOKUP($N38,$R$63:$T$91,3,FALSE)))+IF(AND($N38&lt;&gt;"",$N38&lt;&gt;"O3/CP",$N$15=A$18,MID($N38,4,1)="2",$N$15&lt;&gt;$N$14),VLOOKUP(CONCATENATE(LEFT($N38,2),"L"),$R$63:$T$91,3,FALSE),0)+IF(AND($N38="O3/CP",$N$14=A$18),VLOOKUP("O3",$R$63:$T$91,3,FALSE)+VLOOKUP("CP",$R$63:$T$91,3,FALSE),0)+IF(AND($O38&lt;&gt;"",$O38&lt;&gt;"--",$O38&lt;&gt;"O3/CP",$O$14=A$18),IF(LEFT($O38,1)="P",VLOOKUP(CONCATENATE(LEFT($O38,2),"H"),$R$63:$T$91,3,FALSE),VLOOKUP($O38,$R$63:$T$91,3,FALSE)))+IF(AND($O38&lt;&gt;"",$O38&lt;&gt;"O3/CP",$O$15=A$18,MID($O38,4,1)="2",$O$15&lt;&gt;$O$14),VLOOKUP(CONCATENATE(LEFT($O38,2),"L"),$R$63:$T$91,3,FALSE),0)+IF(AND($O38="O3/CP",$O$14=A$18),VLOOKUP("O3",$R$63:$T$91,3,FALSE)+VLOOKUP("CP",$R$63:$T$91,3,FALSE),0)+IF(AND($P38&lt;&gt;"",$P38&lt;&gt;"--",$P38&lt;&gt;"O3/CP",$P$14=A$18),IF(LEFT($P38,1)="P",VLOOKUP(CONCATENATE(LEFT($P38,2),"H"),$R$63:$T$91,3,FALSE),VLOOKUP($P38,$R$63:$T$91,3,FALSE)))+IF(AND($P38&lt;&gt;"",$P38&lt;&gt;"O3/CP",$P$15=A$18,MID($P38,4,1)="2",$P$15&lt;&gt;$P$14),VLOOKUP(CONCATENATE(LEFT($P38,2),"L"),$R$63:$T$91,3,FALSE),0)+IF(AND($P38="O3/CP",$P$14=A$18),VLOOKUP("O3",$R$63:$T$91,3,FALSE)+VLOOKUP("CP",$R$63:$T$91,3,FALSE),0)+IF(AND($Q38&lt;&gt;"",$Q38&lt;&gt;"--",$Q38&lt;&gt;"O3/CP",$Q$14=A$18),IF(LEFT($Q38,1)="P",VLOOKUP(CONCATENATE(LEFT($Q38,2),"H"),$R$63:$T$91,3,FALSE),VLOOKUP($Q38,$R$63:$T$91,3,FALSE)))+IF(AND($Q38&lt;&gt;"",$Q38&lt;&gt;"O3/CP",$Q$15=A$18,MID($Q38,4,1)="2",$Q$15&lt;&gt;$Q$14),VLOOKUP(CONCATENATE(LEFT($Q38,2),"L"),$R$63:$T$91,3,FALSE),0)+IF(AND($Q38="O3/CP",$Q$14=A$18),VLOOKUP("O3",$R$63:$T$91,3,FALSE)+VLOOKUP("CP",$R$63:$T$91,3,FALSE),0)+IF(AND($R38&lt;&gt;"",$R38&lt;&gt;"--",$R38&lt;&gt;"O3/CP",$R$14=A$18),IF(LEFT($R38,1)="P",VLOOKUP(CONCATENATE(LEFT($R38,2),"H"),$R$63:$T$91,3,FALSE),VLOOKUP($R38,$R$63:$T$91,3,FALSE)))+IF(AND($R38&lt;&gt;"",$R38&lt;&gt;"O3/CP",$R$15=A$18,MID($R38,4,1)="2",$R$15&lt;&gt;$R$14),VLOOKUP(CONCATENATE(LEFT($R38,2),"L"),$R$63:$T$91,3,FALSE),0)+IF(AND($R38="O3/CP",$R$14=A$18),VLOOKUP("O3",$R$63:$T$91,3,FALSE)+VLOOKUP("CP",$R$63:$T$91,3,FALSE),0)+IF(AND($S38&lt;&gt;"",$S38&lt;&gt;"--",$S38&lt;&gt;"O3/CP",$S$14=A$18),IF(LEFT($S38,1)="P",VLOOKUP(CONCATENATE(LEFT($S38,2),"H"),$R$63:$T$91,3,FALSE),VLOOKUP($S38,$R$63:$T$91,3,FALSE)))+IF(AND($S38&lt;&gt;"",$S38&lt;&gt;"O3/CP",$S$15=A$18,MID($S38,4,1)="2",$S$15&lt;&gt;$S$14),VLOOKUP(CONCATENATE(LEFT($S38,2),"L"),$R$63:$T$91,3,FALSE),0)+IF(AND($S38="O3/CP",$S$14=A$18),VLOOKUP("O3",$R$63:$T$91,3,FALSE)+VLOOKUP("CP",$R$63:$T$91,3,FALSE),0)+IF(AND($T38&lt;&gt;"",$T38&lt;&gt;"--",$T38&lt;&gt;"O3/CP",$T$14=A$18),IF(LEFT($T38,1)="P",VLOOKUP(CONCATENATE(LEFT($T38,2),"H"),$R$63:$T$91,3,FALSE),VLOOKUP($T38,$R$63:$T$91,3,FALSE)))+IF(AND($T38&lt;&gt;"",$T38&lt;&gt;"O3/CP",$T$15=A$18,MID($T38,4,1)="2",$T$15&lt;&gt;$T$14),VLOOKUP(CONCATENATE(LEFT($T38,2),"L"),$R$63:$T$91,3,FALSE),0)+IF(AND($T38="O3/CP",$T$14=A$18),VLOOKUP("O3",$R$63:$T$91,3,FALSE)+VLOOKUP("CP",$R$63:$T$91,3,FALSE),0)+IF(AND($U38&lt;&gt;"",$U38&lt;&gt;"--",$U38&lt;&gt;"O3/CP",$U$14=A$18),IF(LEFT($U38,1)="P",VLOOKUP(CONCATENATE(LEFT($U38,2),"H"),$R$63:$T$91,3,FALSE),VLOOKUP($U38,$R$63:$T$91,3,FALSE)))+IF(AND($U38&lt;&gt;"",$U38&lt;&gt;"O3/CP",$U$15=A$18,MID($U38,4,1)="2",$U$15&lt;&gt;$U$14),VLOOKUP(CONCATENATE(LEFT($U38,2),"L"),$R$63:$T$91,3,FALSE),0)+IF(AND($U38="O3/CP",$T$14=A$18),VLOOKUP("O3",$R$63:$T$91,3,FALSE)+VLOOKUP("CP",$R$63:$T$91,3,FALSE),0)+IF(AND($V38&lt;&gt;"",$V38&lt;&gt;"--",$V38&lt;&gt;"O3/CP",$V$14=A$18),IF(LEFT($V38,1)="P",VLOOKUP(CONCATENATE(LEFT($V38,2),"H"),$R$63:$T$91,3,FALSE),VLOOKUP($V38,$R$63:$T$91,3,FALSE)))+IF(AND($V38&lt;&gt;"",$V38&lt;&gt;"O3/CP",$V$15=A$18,MID($V38,4,1)="2",$V$15&lt;&gt;$V$14),VLOOKUP(CONCATENATE(LEFT($V38,2),"L"),$R$63:$T$91,3,FALSE),0)+IF(AND($V38="O3/CP",$V$14=A$18),VLOOKUP("O3",$R$63:$T$91,3,FALSE)+VLOOKUP("CP",$R$63:$T$91,3,FALSE),0)+IF(AND($W38&lt;&gt;"",$W38&lt;&gt;"--",$W38&lt;&gt;"O3/CP",$W$14=A$18),IF(LEFT($W38,1)="P",VLOOKUP(CONCATENATE(LEFT($W38,2),"H"),$R$63:$T$91,3,FALSE),VLOOKUP($W38,$R$63:$T$91,3,FALSE)))+IF(AND($W38&lt;&gt;"",$W38&lt;&gt;"O3/CP",$W$15=A$18,MID($W38,4,1)="2",$W$15&lt;&gt;$W$14),VLOOKUP(CONCATENATE(LEFT($W38,2),"L"),$R$63:$T$91,3,FALSE),0)+IF(AND($W38="O3/CP",$W$14=A$18),VLOOKUP("O3",$R$63:$T$91,3,FALSE)+VLOOKUP("CP",$R$63:$T$91,3,FALSE),0)+IF(AND($X38&lt;&gt;"",$X38&lt;&gt;"--",$X38&lt;&gt;"O3/CP",$X$14=A$18),IF(LEFT($X38,1)="P",VLOOKUP(CONCATENATE(LEFT($X38,2),"H"),$R$63:$T$91,3,FALSE),VLOOKUP($X38,$R$63:$T$91,3,FALSE)))+IF(AND($X38&lt;&gt;"",$X38&lt;&gt;"O3/CP",$X$15=A$18,MID($X38,4,1)="2",$X$15&lt;&gt;$X$14),VLOOKUP(CONCATENATE(LEFT($X38,2),"L"),$R$63:$T$91,3,FALSE),0)+IF(AND($X38="O3/CP",$X$14=A$18),VLOOKUP("O3",$R$63:$T$91,3,FALSE)+VLOOKUP("CP",$R$63:$T$91,3,FALSE),0)+IF(AND($Y38&lt;&gt;"",$Y38&lt;&gt;"--",$Y38&lt;&gt;"O3/CP",$Y$14=A$18),IF(LEFT($Y38,1)="P",VLOOKUP(CONCATENATE(LEFT($Y38,2),"H"),$R$63:$T$91,3,FALSE),VLOOKUP($Y38,$R$63:$T$91,3,FALSE)))+IF(AND($Y38&lt;&gt;"",$Y38&lt;&gt;"O3/CP",$Y$15=A$18,MID($Y38,4,1)="2",$Y$15&lt;&gt;$Y$14),VLOOKUP(CONCATENATE(LEFT($Y38,2),"L"),$R$63:$T$91,3,FALSE),0)+IF(AND($Y38="O3/CP",$Y$14=A$18),VLOOKUP("O3",$R$63:$T$91,3,FALSE)+VLOOKUP("CP",$R$63:$T$91,3,FALSE),0)+IF(AND($K$6="CE",'[3]Supply Attribution'!$G$20=A$18),LEFT($S$90,2),0)+IF(AND($X$86&lt;&gt;"Not Set",$X$87=A$18),$X$86,0)</f>
        <v>13</v>
      </c>
      <c r="B38" s="269">
        <f>IF(AND($K38&lt;&gt;"",$K38&lt;&gt;"--",$K38&lt;&gt;"O3/CP",$K$14=B$18),IF(LEFT($K38,1)="P",VLOOKUP(CONCATENATE(LEFT($K38,2),"H"),$R$63:$T$91,3,FALSE),VLOOKUP($K38,$R$63:$T$91,3,FALSE)))+IF(AND($K38&lt;&gt;"",$K38&lt;&gt;"O3/CP",$K$15=B$18,MID($K38,4,1)="2",$K$15&lt;&gt;$K$14),VLOOKUP(CONCATENATE(LEFT($K38,2),"L"),$R$63:$T$91,3,FALSE),0)+IF(AND($K38="O3/CP",$K$14=B$18),VLOOKUP("O3",$R$63:$T$91,3,FALSE)+VLOOKUP("CP",$R$63:$T$91,3,FALSE),0)+IF(AND($L38&lt;&gt;"",$L38&lt;&gt;"--",$L38&lt;&gt;"O3/CP",$L$14=B$18),IF(LEFT($L38,1)="P",VLOOKUP(CONCATENATE(LEFT($L38,2),"H"),$R$63:$T$91,3,FALSE),VLOOKUP($L38,$R$63:$T$91,3,FALSE)))+IF(AND($L38&lt;&gt;"",$L38&lt;&gt;"O3/CP",$L$15=B$18,MID($L38,4,1)="2",$L$15&lt;&gt;$L$14),VLOOKUP(CONCATENATE(LEFT($L38,2),"L"),$R$63:$T$91,3,FALSE),0)+IF(AND($L38="O3/CP",$L$14=B$18),VLOOKUP("O3",$R$63:$T$91,3,FALSE)+VLOOKUP("CP",$R$63:$T$91,3,FALSE),0)+IF(AND($M38&lt;&gt;"",$M38&lt;&gt;"--",$M38&lt;&gt;"O3/CP",$M$14=B$18),IF(LEFT($M38,1)="P",VLOOKUP(CONCATENATE(LEFT($M38,2),"H"),$R$63:$T$91,3,FALSE),VLOOKUP($M38,$R$63:$T$91,3,FALSE)))+IF(AND($M38&lt;&gt;"",$M38&lt;&gt;"O3/CP",$M$15=B$18,MID($M38,4,1)="2",$M$15&lt;&gt;$M$14),VLOOKUP(CONCATENATE(LEFT($M38,2),"L"),$R$63:$T$91,3,FALSE),0)+IF(AND($M38="O3/CP",$M$14=B$18),VLOOKUP("O3",$R$63:$T$91,3,FALSE)+VLOOKUP("CP",$R$63:$T$91,3,FALSE),0)+IF(AND($N38&lt;&gt;"",$N38&lt;&gt;"--",$N38&lt;&gt;"O3/CP",$N$14=B$18),IF(LEFT($N38,1)="P",VLOOKUP(CONCATENATE(LEFT($N38,2),"H"),$R$63:$T$91,3,FALSE),VLOOKUP($N38,$R$63:$T$91,3,FALSE)))+IF(AND($N38&lt;&gt;"",$N38&lt;&gt;"O3/CP",$N$15=B$18,MID($N38,4,1)="2",$N$15&lt;&gt;$N$14),VLOOKUP(CONCATENATE(LEFT($N38,2),"L"),$R$63:$T$91,3,FALSE),0)+IF(AND($N38="O3/CP",$N$14=B$18),VLOOKUP("O3",$R$63:$T$91,3,FALSE)+VLOOKUP("CP",$R$63:$T$91,3,FALSE),0)+IF(AND($O38&lt;&gt;"",$O38&lt;&gt;"--",$O38&lt;&gt;"O3/CP",$O$14=B$18),IF(LEFT($O38,1)="P",VLOOKUP(CONCATENATE(LEFT($O38,2),"H"),$R$63:$T$91,3,FALSE),VLOOKUP($O38,$R$63:$T$91,3,FALSE)))+IF(AND($O38&lt;&gt;"",$O38&lt;&gt;"O3/CP",$O$15=B$18,MID($O38,4,1)="2",$O$15&lt;&gt;$O$14),VLOOKUP(CONCATENATE(LEFT($O38,2),"L"),$R$63:$T$91,3,FALSE),0)+IF(AND($O38="O3/CP",$O$14=B$18),VLOOKUP("O3",$R$63:$T$91,3,FALSE)+VLOOKUP("CP",$R$63:$T$91,3,FALSE),0)+IF(AND($P38&lt;&gt;"",$P38&lt;&gt;"--",$P38&lt;&gt;"O3/CP",$P$14=B$18),IF(LEFT($P38,1)="P",VLOOKUP(CONCATENATE(LEFT($P38,2),"H"),$R$63:$T$91,3,FALSE),VLOOKUP($P38,$R$63:$T$91,3,FALSE)))+IF(AND($P38&lt;&gt;"",$P38&lt;&gt;"O3/CP",$P$15=B$18,MID($P38,4,1)="2",$P$15&lt;&gt;$P$14),VLOOKUP(CONCATENATE(LEFT($P38,2),"L"),$R$63:$T$91,3,FALSE),0)+IF(AND($P38="O3/CP",$P$14=B$18),VLOOKUP("O3",$R$63:$T$91,3,FALSE)+VLOOKUP("CP",$R$63:$T$91,3,FALSE),0)+IF(AND($Q38&lt;&gt;"",$Q38&lt;&gt;"--",$Q38&lt;&gt;"O3/CP",$Q$14=B$18),IF(LEFT($Q38,1)="P",VLOOKUP(CONCATENATE(LEFT($Q38,2),"H"),$R$63:$T$91,3,FALSE),VLOOKUP($Q38,$R$63:$T$91,3,FALSE)))+IF(AND($Q38&lt;&gt;"",$Q38&lt;&gt;"O3/CP",$Q$15=B$18,MID($Q38,4,1)="2",$Q$15&lt;&gt;$Q$14),VLOOKUP(CONCATENATE(LEFT($Q38,2),"L"),$R$63:$T$91,3,FALSE),0)+IF(AND($Q38="O3/CP",$Q$14=B$18),VLOOKUP("O3",$R$63:$T$91,3,FALSE)+VLOOKUP("CP",$R$63:$T$91,3,FALSE),0)+IF(AND($R38&lt;&gt;"",$R38&lt;&gt;"--",$R38&lt;&gt;"O3/CP",$R$14=B$18),IF(LEFT($R38,1)="P",VLOOKUP(CONCATENATE(LEFT($R38,2),"H"),$R$63:$T$91,3,FALSE),VLOOKUP($R38,$R$63:$T$91,3,FALSE)))+IF(AND($R38&lt;&gt;"",$R38&lt;&gt;"O3/CP",$R$15=B$18,MID($R38,4,1)="2",$R$15&lt;&gt;$R$14),VLOOKUP(CONCATENATE(LEFT($R38,2),"L"),$R$63:$T$91,3,FALSE),0)+IF(AND($R38="O3/CP",$R$14=B$18),VLOOKUP("O3",$R$63:$T$91,3,FALSE)+VLOOKUP("CP",$R$63:$T$91,3,FALSE),0)+IF(AND($S38&lt;&gt;"",$S38&lt;&gt;"--",$S38&lt;&gt;"O3/CP",$S$14=B$18),IF(LEFT($S38,1)="P",VLOOKUP(CONCATENATE(LEFT($S38,2),"H"),$R$63:$T$91,3,FALSE),VLOOKUP($S38,$R$63:$T$91,3,FALSE)))+IF(AND($S38&lt;&gt;"",$S38&lt;&gt;"O3/CP",$S$15=B$18,MID($S38,4,1)="2",$S$15&lt;&gt;$S$14),VLOOKUP(CONCATENATE(LEFT($S38,2),"L"),$R$63:$T$91,3,FALSE),0)+IF(AND($S38="O3/CP",$S$14=B$18),VLOOKUP("O3",$R$63:$T$91,3,FALSE)+VLOOKUP("CP",$R$63:$T$91,3,FALSE),0)+IF(AND($T38&lt;&gt;"",$T38&lt;&gt;"--",$T38&lt;&gt;"O3/CP",$T$14=B$18),IF(LEFT($T38,1)="P",VLOOKUP(CONCATENATE(LEFT($T38,2),"H"),$R$63:$T$91,3,FALSE),VLOOKUP($T38,$R$63:$T$91,3,FALSE)))+IF(AND($T38&lt;&gt;"",$T38&lt;&gt;"O3/CP",$T$15=B$18,MID($T38,4,1)="2",$T$15&lt;&gt;$T$14),VLOOKUP(CONCATENATE(LEFT($T38,2),"L"),$R$63:$T$91,3,FALSE),0)+IF(AND($T38="O3/CP",$T$14=B$18),VLOOKUP("O3",$R$63:$T$91,3,FALSE)+VLOOKUP("CP",$R$63:$T$91,3,FALSE),0)+IF(AND($U38&lt;&gt;"",$U38&lt;&gt;"--",$U38&lt;&gt;"O3/CP",$U$14=B$18),IF(LEFT($U38,1)="P",VLOOKUP(CONCATENATE(LEFT($U38,2),"H"),$R$63:$T$91,3,FALSE),VLOOKUP($U38,$R$63:$T$91,3,FALSE)))+IF(AND($U38&lt;&gt;"",$U38&lt;&gt;"O3/CP",$U$15=B$18,MID($U38,4,1)="2",$U$15&lt;&gt;$U$14),VLOOKUP(CONCATENATE(LEFT($U38,2),"L"),$R$63:$T$91,3,FALSE),0)+IF(AND($U38="O3/CP",$T$14=B$18),VLOOKUP("O3",$R$63:$T$91,3,FALSE)+VLOOKUP("CP",$R$63:$T$91,3,FALSE),0)+IF(AND($V38&lt;&gt;"",$V38&lt;&gt;"--",$V38&lt;&gt;"O3/CP",$V$14=B$18),IF(LEFT($V38,1)="P",VLOOKUP(CONCATENATE(LEFT($V38,2),"H"),$R$63:$T$91,3,FALSE),VLOOKUP($V38,$R$63:$T$91,3,FALSE)))+IF(AND($V38&lt;&gt;"",$V38&lt;&gt;"O3/CP",$V$15=B$18,MID($V38,4,1)="2",$V$15&lt;&gt;$V$14),VLOOKUP(CONCATENATE(LEFT($V38,2),"L"),$R$63:$T$91,3,FALSE),0)+IF(AND($V38="O3/CP",$V$14=B$18),VLOOKUP("O3",$R$63:$T$91,3,FALSE)+VLOOKUP("CP",$R$63:$T$91,3,FALSE),0)+IF(AND($W38&lt;&gt;"",$W38&lt;&gt;"--",$W38&lt;&gt;"O3/CP",$W$14=B$18),IF(LEFT($W38,1)="P",VLOOKUP(CONCATENATE(LEFT($W38,2),"H"),$R$63:$T$91,3,FALSE),VLOOKUP($W38,$R$63:$T$91,3,FALSE)))+IF(AND($W38&lt;&gt;"",$W38&lt;&gt;"O3/CP",$W$15=B$18,MID($W38,4,1)="2",$W$15&lt;&gt;$W$14),VLOOKUP(CONCATENATE(LEFT($W38,2),"L"),$R$63:$T$91,3,FALSE),0)+IF(AND($W38="O3/CP",$W$14=B$18),VLOOKUP("O3",$R$63:$T$91,3,FALSE)+VLOOKUP("CP",$R$63:$T$91,3,FALSE),0)+IF(AND($X38&lt;&gt;"",$X38&lt;&gt;"--",$X38&lt;&gt;"O3/CP",$X$14=B$18),IF(LEFT($X38,1)="P",VLOOKUP(CONCATENATE(LEFT($X38,2),"H"),$R$63:$T$91,3,FALSE),VLOOKUP($X38,$R$63:$T$91,3,FALSE)))+IF(AND($X38&lt;&gt;"",$X38&lt;&gt;"O3/CP",$X$15=B$18,MID($X38,4,1)="2",$X$15&lt;&gt;$X$14),VLOOKUP(CONCATENATE(LEFT($X38,2),"L"),$R$63:$T$91,3,FALSE),0)+IF(AND($X38="O3/CP",$X$14=B$18),VLOOKUP("O3",$R$63:$T$91,3,FALSE)+VLOOKUP("CP",$R$63:$T$91,3,FALSE),0)+IF(AND($Y38&lt;&gt;"",$Y38&lt;&gt;"--",$Y38&lt;&gt;"O3/CP",$Y$14=B$18),IF(LEFT($Y38,1)="P",VLOOKUP(CONCATENATE(LEFT($Y38,2),"H"),$R$63:$T$91,3,FALSE),VLOOKUP($Y38,$R$63:$T$91,3,FALSE)))+IF(AND($Y38&lt;&gt;"",$Y38&lt;&gt;"O3/CP",$Y$15=B$18,MID($Y38,4,1)="2",$Y$15&lt;&gt;$Y$14),VLOOKUP(CONCATENATE(LEFT($Y38,2),"L"),$R$63:$T$91,3,FALSE),0)+IF(AND($Y38="O3/CP",$Y$14=B$18),VLOOKUP("O3",$R$63:$T$91,3,FALSE)+VLOOKUP("CP",$R$63:$T$91,3,FALSE),0)+IF(AND($K$6="CE",'[3]Supply Attribution'!$G$20=B$18),LEFT($S$90,2),0)+IF(AND($X$86&lt;&gt;"Not Set",$X$87=B$18),$X$86,0)</f>
        <v>9</v>
      </c>
      <c r="C38" s="269">
        <f>IF(AND($K38&lt;&gt;"",$K38&lt;&gt;"--",$K38&lt;&gt;"O3/CP",$K$14=C$18),IF(LEFT($K38,1)="P",VLOOKUP(CONCATENATE(LEFT($K38,2),"H"),$R$63:$T$91,3,FALSE),VLOOKUP($K38,$R$63:$T$91,3,FALSE)))+IF(AND($K38&lt;&gt;"",$K38&lt;&gt;"O3/CP",$K$15=C$18,MID($K38,4,1)="2",$K$15&lt;&gt;$K$14),VLOOKUP(CONCATENATE(LEFT($K38,2),"L"),$R$63:$T$91,3,FALSE),0)+IF(AND($K38="O3/CP",$K$14=C$18),VLOOKUP("O3",$R$63:$T$91,3,FALSE)+VLOOKUP("CP",$R$63:$T$91,3,FALSE),0)+IF(AND($L38&lt;&gt;"",$L38&lt;&gt;"--",$L38&lt;&gt;"O3/CP",$L$14=C$18),IF(LEFT($L38,1)="P",VLOOKUP(CONCATENATE(LEFT($L38,2),"H"),$R$63:$T$91,3,FALSE),VLOOKUP($L38,$R$63:$T$91,3,FALSE)))+IF(AND($L38&lt;&gt;"",$L38&lt;&gt;"O3/CP",$L$15=C$18,MID($L38,4,1)="2",$L$15&lt;&gt;$L$14),VLOOKUP(CONCATENATE(LEFT($L38,2),"L"),$R$63:$T$91,3,FALSE),0)+IF(AND($L38="O3/CP",$L$14=C$18),VLOOKUP("O3",$R$63:$T$91,3,FALSE)+VLOOKUP("CP",$R$63:$T$91,3,FALSE),0)+IF(AND($M38&lt;&gt;"",$M38&lt;&gt;"--",$M38&lt;&gt;"O3/CP",$M$14=C$18),IF(LEFT($M38,1)="P",VLOOKUP(CONCATENATE(LEFT($M38,2),"H"),$R$63:$T$91,3,FALSE),VLOOKUP($M38,$R$63:$T$91,3,FALSE)))+IF(AND($M38&lt;&gt;"",$M38&lt;&gt;"O3/CP",$M$15=C$18,MID($M38,4,1)="2",$M$15&lt;&gt;$M$14),VLOOKUP(CONCATENATE(LEFT($M38,2),"L"),$R$63:$T$91,3,FALSE),0)+IF(AND($M38="O3/CP",$M$14=C$18),VLOOKUP("O3",$R$63:$T$91,3,FALSE)+VLOOKUP("CP",$R$63:$T$91,3,FALSE),0)+IF(AND($N38&lt;&gt;"",$N38&lt;&gt;"--",$N38&lt;&gt;"O3/CP",$N$14=C$18),IF(LEFT($N38,1)="P",VLOOKUP(CONCATENATE(LEFT($N38,2),"H"),$R$63:$T$91,3,FALSE),VLOOKUP($N38,$R$63:$T$91,3,FALSE)))+IF(AND($N38&lt;&gt;"",$N38&lt;&gt;"O3/CP",$N$15=C$18,MID($N38,4,1)="2",$N$15&lt;&gt;$N$14),VLOOKUP(CONCATENATE(LEFT($N38,2),"L"),$R$63:$T$91,3,FALSE),0)+IF(AND($N38="O3/CP",$N$14=C$18),VLOOKUP("O3",$R$63:$T$91,3,FALSE)+VLOOKUP("CP",$R$63:$T$91,3,FALSE),0)+IF(AND($O38&lt;&gt;"",$O38&lt;&gt;"--",$O38&lt;&gt;"O3/CP",$O$14=C$18),IF(LEFT($O38,1)="P",VLOOKUP(CONCATENATE(LEFT($O38,2),"H"),$R$63:$T$91,3,FALSE),VLOOKUP($O38,$R$63:$T$91,3,FALSE)))+IF(AND($O38&lt;&gt;"",$O38&lt;&gt;"O3/CP",$O$15=C$18,MID($O38,4,1)="2",$O$15&lt;&gt;$O$14),VLOOKUP(CONCATENATE(LEFT($O38,2),"L"),$R$63:$T$91,3,FALSE),0)+IF(AND($O38="O3/CP",$O$14=C$18),VLOOKUP("O3",$R$63:$T$91,3,FALSE)+VLOOKUP("CP",$R$63:$T$91,3,FALSE),0)+IF(AND($P38&lt;&gt;"",$P38&lt;&gt;"--",$P38&lt;&gt;"O3/CP",$P$14=C$18),IF(LEFT($P38,1)="P",VLOOKUP(CONCATENATE(LEFT($P38,2),"H"),$R$63:$T$91,3,FALSE),VLOOKUP($P38,$R$63:$T$91,3,FALSE)))+IF(AND($P38&lt;&gt;"",$P38&lt;&gt;"O3/CP",$P$15=C$18,MID($P38,4,1)="2",$P$15&lt;&gt;$P$14),VLOOKUP(CONCATENATE(LEFT($P38,2),"L"),$R$63:$T$91,3,FALSE),0)+IF(AND($P38="O3/CP",$P$14=C$18),VLOOKUP("O3",$R$63:$T$91,3,FALSE)+VLOOKUP("CP",$R$63:$T$91,3,FALSE),0)+IF(AND($Q38&lt;&gt;"",$Q38&lt;&gt;"--",$Q38&lt;&gt;"O3/CP",$Q$14=C$18),IF(LEFT($Q38,1)="P",VLOOKUP(CONCATENATE(LEFT($Q38,2),"H"),$R$63:$T$91,3,FALSE),VLOOKUP($Q38,$R$63:$T$91,3,FALSE)))+IF(AND($Q38&lt;&gt;"",$Q38&lt;&gt;"O3/CP",$Q$15=C$18,MID($Q38,4,1)="2",$Q$15&lt;&gt;$Q$14),VLOOKUP(CONCATENATE(LEFT($Q38,2),"L"),$R$63:$T$91,3,FALSE),0)+IF(AND($Q38="O3/CP",$Q$14=C$18),VLOOKUP("O3",$R$63:$T$91,3,FALSE)+VLOOKUP("CP",$R$63:$T$91,3,FALSE),0)+IF(AND($R38&lt;&gt;"",$R38&lt;&gt;"--",$R38&lt;&gt;"O3/CP",$R$14=C$18),IF(LEFT($R38,1)="P",VLOOKUP(CONCATENATE(LEFT($R38,2),"H"),$R$63:$T$91,3,FALSE),VLOOKUP($R38,$R$63:$T$91,3,FALSE)))+IF(AND($R38&lt;&gt;"",$R38&lt;&gt;"O3/CP",$R$15=C$18,MID($R38,4,1)="2",$R$15&lt;&gt;$R$14),VLOOKUP(CONCATENATE(LEFT($R38,2),"L"),$R$63:$T$91,3,FALSE),0)+IF(AND($R38="O3/CP",$R$14=C$18),VLOOKUP("O3",$R$63:$T$91,3,FALSE)+VLOOKUP("CP",$R$63:$T$91,3,FALSE),0)+IF(AND($S38&lt;&gt;"",$S38&lt;&gt;"--",$S38&lt;&gt;"O3/CP",$S$14=C$18),IF(LEFT($S38,1)="P",VLOOKUP(CONCATENATE(LEFT($S38,2),"H"),$R$63:$T$91,3,FALSE),VLOOKUP($S38,$R$63:$T$91,3,FALSE)))+IF(AND($S38&lt;&gt;"",$S38&lt;&gt;"O3/CP",$S$15=C$18,MID($S38,4,1)="2",$S$15&lt;&gt;$S$14),VLOOKUP(CONCATENATE(LEFT($S38,2),"L"),$R$63:$T$91,3,FALSE),0)+IF(AND($S38="O3/CP",$S$14=C$18),VLOOKUP("O3",$R$63:$T$91,3,FALSE)+VLOOKUP("CP",$R$63:$T$91,3,FALSE),0)+IF(AND($T38&lt;&gt;"",$T38&lt;&gt;"--",$T38&lt;&gt;"O3/CP",$T$14=C$18),IF(LEFT($T38,1)="P",VLOOKUP(CONCATENATE(LEFT($T38,2),"H"),$R$63:$T$91,3,FALSE),VLOOKUP($T38,$R$63:$T$91,3,FALSE)))+IF(AND($T38&lt;&gt;"",$T38&lt;&gt;"O3/CP",$T$15=C$18,MID($T38,4,1)="2",$T$15&lt;&gt;$T$14),VLOOKUP(CONCATENATE(LEFT($T38,2),"L"),$R$63:$T$91,3,FALSE),0)+IF(AND($T38="O3/CP",$T$14=C$18),VLOOKUP("O3",$R$63:$T$91,3,FALSE)+VLOOKUP("CP",$R$63:$T$91,3,FALSE),0)+IF(AND($U38&lt;&gt;"",$U38&lt;&gt;"--",$U38&lt;&gt;"O3/CP",$U$14=C$18),IF(LEFT($U38,1)="P",VLOOKUP(CONCATENATE(LEFT($U38,2),"H"),$R$63:$T$91,3,FALSE),VLOOKUP($U38,$R$63:$T$91,3,FALSE)))+IF(AND($U38&lt;&gt;"",$U38&lt;&gt;"O3/CP",$U$15=C$18,MID($U38,4,1)="2",$U$15&lt;&gt;$U$14),VLOOKUP(CONCATENATE(LEFT($U38,2),"L"),$R$63:$T$91,3,FALSE),0)+IF(AND($U38="O3/CP",$T$14=C$18),VLOOKUP("O3",$R$63:$T$91,3,FALSE)+VLOOKUP("CP",$R$63:$T$91,3,FALSE),0)+IF(AND($V38&lt;&gt;"",$V38&lt;&gt;"--",$V38&lt;&gt;"O3/CP",$V$14=C$18),IF(LEFT($V38,1)="P",VLOOKUP(CONCATENATE(LEFT($V38,2),"H"),$R$63:$T$91,3,FALSE),VLOOKUP($V38,$R$63:$T$91,3,FALSE)))+IF(AND($V38&lt;&gt;"",$V38&lt;&gt;"O3/CP",$V$15=C$18,MID($V38,4,1)="2",$V$15&lt;&gt;$V$14),VLOOKUP(CONCATENATE(LEFT($V38,2),"L"),$R$63:$T$91,3,FALSE),0)+IF(AND($V38="O3/CP",$V$14=C$18),VLOOKUP("O3",$R$63:$T$91,3,FALSE)+VLOOKUP("CP",$R$63:$T$91,3,FALSE),0)+IF(AND($W38&lt;&gt;"",$W38&lt;&gt;"--",$W38&lt;&gt;"O3/CP",$W$14=C$18),IF(LEFT($W38,1)="P",VLOOKUP(CONCATENATE(LEFT($W38,2),"H"),$R$63:$T$91,3,FALSE),VLOOKUP($W38,$R$63:$T$91,3,FALSE)))+IF(AND($W38&lt;&gt;"",$W38&lt;&gt;"O3/CP",$W$15=C$18,MID($W38,4,1)="2",$W$15&lt;&gt;$W$14),VLOOKUP(CONCATENATE(LEFT($W38,2),"L"),$R$63:$T$91,3,FALSE),0)+IF(AND($W38="O3/CP",$W$14=C$18),VLOOKUP("O3",$R$63:$T$91,3,FALSE)+VLOOKUP("CP",$R$63:$T$91,3,FALSE),0)+IF(AND($X38&lt;&gt;"",$X38&lt;&gt;"--",$X38&lt;&gt;"O3/CP",$X$14=C$18),IF(LEFT($X38,1)="P",VLOOKUP(CONCATENATE(LEFT($X38,2),"H"),$R$63:$T$91,3,FALSE),VLOOKUP($X38,$R$63:$T$91,3,FALSE)))+IF(AND($X38&lt;&gt;"",$X38&lt;&gt;"O3/CP",$X$15=C$18,MID($X38,4,1)="2",$X$15&lt;&gt;$X$14),VLOOKUP(CONCATENATE(LEFT($X38,2),"L"),$R$63:$T$91,3,FALSE),0)+IF(AND($X38="O3/CP",$X$14=C$18),VLOOKUP("O3",$R$63:$T$91,3,FALSE)+VLOOKUP("CP",$R$63:$T$91,3,FALSE),0)+IF(AND($Y38&lt;&gt;"",$Y38&lt;&gt;"--",$Y38&lt;&gt;"O3/CP",$Y$14=C$18),IF(LEFT($Y38,1)="P",VLOOKUP(CONCATENATE(LEFT($Y38,2),"H"),$R$63:$T$91,3,FALSE),VLOOKUP($Y38,$R$63:$T$91,3,FALSE)))+IF(AND($Y38&lt;&gt;"",$Y38&lt;&gt;"O3/CP",$Y$15=C$18,MID($Y38,4,1)="2",$Y$15&lt;&gt;$Y$14),VLOOKUP(CONCATENATE(LEFT($Y38,2),"L"),$R$63:$T$91,3,FALSE),0)+IF(AND($Y38="O3/CP",$Y$14=C$18),VLOOKUP("O3",$R$63:$T$91,3,FALSE)+VLOOKUP("CP",$R$63:$T$91,3,FALSE),0)+IF(AND($K$6="CE",'[3]Supply Attribution'!$G$20=C$18),LEFT($S$90,2),0)+IF(AND($X$86&lt;&gt;"Not Set",$X$87=C$18),$X$86,0)</f>
        <v>12</v>
      </c>
      <c r="D38" s="269">
        <f>IF(AND($K38&lt;&gt;"",$K38&lt;&gt;"--",$K38&lt;&gt;"O3/CP",$K$14=D$18),IF(LEFT($K38,1)="P",VLOOKUP(CONCATENATE(LEFT($K38,2),"H"),$R$63:$T$91,3,FALSE),VLOOKUP($K38,$R$63:$T$91,3,FALSE)))+IF(AND($K38&lt;&gt;"",$K38&lt;&gt;"O3/CP",$K$15=D$18,MID($K38,4,1)="2",$K$15&lt;&gt;$K$14),VLOOKUP(CONCATENATE(LEFT($K38,2),"L"),$R$63:$T$91,3,FALSE),0)+IF(AND($K38="O3/CP",$K$14=D$18),VLOOKUP("O3",$R$63:$T$91,3,FALSE)+VLOOKUP("CP",$R$63:$T$91,3,FALSE),0)+IF(AND($L38&lt;&gt;"",$L38&lt;&gt;"--",$L38&lt;&gt;"O3/CP",$L$14=D$18),IF(LEFT($L38,1)="P",VLOOKUP(CONCATENATE(LEFT($L38,2),"H"),$R$63:$T$91,3,FALSE),VLOOKUP($L38,$R$63:$T$91,3,FALSE)))+IF(AND($L38&lt;&gt;"",$L38&lt;&gt;"O3/CP",$L$15=D$18,MID($L38,4,1)="2",$L$15&lt;&gt;$L$14),VLOOKUP(CONCATENATE(LEFT($L38,2),"L"),$R$63:$T$91,3,FALSE),0)+IF(AND($L38="O3/CP",$L$14=D$18),VLOOKUP("O3",$R$63:$T$91,3,FALSE)+VLOOKUP("CP",$R$63:$T$91,3,FALSE),0)+IF(AND($M38&lt;&gt;"",$M38&lt;&gt;"--",$M38&lt;&gt;"O3/CP",$M$14=D$18),IF(LEFT($M38,1)="P",VLOOKUP(CONCATENATE(LEFT($M38,2),"H"),$R$63:$T$91,3,FALSE),VLOOKUP($M38,$R$63:$T$91,3,FALSE)))+IF(AND($M38&lt;&gt;"",$M38&lt;&gt;"O3/CP",$M$15=D$18,MID($M38,4,1)="2",$M$15&lt;&gt;$M$14),VLOOKUP(CONCATENATE(LEFT($M38,2),"L"),$R$63:$T$91,3,FALSE),0)+IF(AND($M38="O3/CP",$M$14=D$18),VLOOKUP("O3",$R$63:$T$91,3,FALSE)+VLOOKUP("CP",$R$63:$T$91,3,FALSE),0)+IF(AND($N38&lt;&gt;"",$N38&lt;&gt;"--",$N38&lt;&gt;"O3/CP",$N$14=D$18),IF(LEFT($N38,1)="P",VLOOKUP(CONCATENATE(LEFT($N38,2),"H"),$R$63:$T$91,3,FALSE),VLOOKUP($N38,$R$63:$T$91,3,FALSE)))+IF(AND($N38&lt;&gt;"",$N38&lt;&gt;"O3/CP",$N$15=D$18,MID($N38,4,1)="2",$N$15&lt;&gt;$N$14),VLOOKUP(CONCATENATE(LEFT($N38,2),"L"),$R$63:$T$91,3,FALSE),0)+IF(AND($N38="O3/CP",$N$14=D$18),VLOOKUP("O3",$R$63:$T$91,3,FALSE)+VLOOKUP("CP",$R$63:$T$91,3,FALSE),0)+IF(AND($O38&lt;&gt;"",$O38&lt;&gt;"--",$O38&lt;&gt;"O3/CP",$O$14=D$18),IF(LEFT($O38,1)="P",VLOOKUP(CONCATENATE(LEFT($O38,2),"H"),$R$63:$T$91,3,FALSE),VLOOKUP($O38,$R$63:$T$91,3,FALSE)))+IF(AND($O38&lt;&gt;"",$O38&lt;&gt;"O3/CP",$O$15=D$18,MID($O38,4,1)="2",$O$15&lt;&gt;$O$14),VLOOKUP(CONCATENATE(LEFT($O38,2),"L"),$R$63:$T$91,3,FALSE),0)+IF(AND($O38="O3/CP",$O$14=D$18),VLOOKUP("O3",$R$63:$T$91,3,FALSE)+VLOOKUP("CP",$R$63:$T$91,3,FALSE),0)+IF(AND($P38&lt;&gt;"",$P38&lt;&gt;"--",$P38&lt;&gt;"O3/CP",$P$14=D$18),IF(LEFT($P38,1)="P",VLOOKUP(CONCATENATE(LEFT($P38,2),"H"),$R$63:$T$91,3,FALSE),VLOOKUP($P38,$R$63:$T$91,3,FALSE)))+IF(AND($P38&lt;&gt;"",$P38&lt;&gt;"O3/CP",$P$15=D$18,MID($P38,4,1)="2",$P$15&lt;&gt;$P$14),VLOOKUP(CONCATENATE(LEFT($P38,2),"L"),$R$63:$T$91,3,FALSE),0)+IF(AND($P38="O3/CP",$P$14=D$18),VLOOKUP("O3",$R$63:$T$91,3,FALSE)+VLOOKUP("CP",$R$63:$T$91,3,FALSE),0)+IF(AND($Q38&lt;&gt;"",$Q38&lt;&gt;"--",$Q38&lt;&gt;"O3/CP",$Q$14=D$18),IF(LEFT($Q38,1)="P",VLOOKUP(CONCATENATE(LEFT($Q38,2),"H"),$R$63:$T$91,3,FALSE),VLOOKUP($Q38,$R$63:$T$91,3,FALSE)))+IF(AND($Q38&lt;&gt;"",$Q38&lt;&gt;"O3/CP",$Q$15=D$18,MID($Q38,4,1)="2",$Q$15&lt;&gt;$Q$14),VLOOKUP(CONCATENATE(LEFT($Q38,2),"L"),$R$63:$T$91,3,FALSE),0)+IF(AND($Q38="O3/CP",$Q$14=D$18),VLOOKUP("O3",$R$63:$T$91,3,FALSE)+VLOOKUP("CP",$R$63:$T$91,3,FALSE),0)+IF(AND($R38&lt;&gt;"",$R38&lt;&gt;"--",$R38&lt;&gt;"O3/CP",$R$14=D$18),IF(LEFT($R38,1)="P",VLOOKUP(CONCATENATE(LEFT($R38,2),"H"),$R$63:$T$91,3,FALSE),VLOOKUP($R38,$R$63:$T$91,3,FALSE)))+IF(AND($R38&lt;&gt;"",$R38&lt;&gt;"O3/CP",$R$15=D$18,MID($R38,4,1)="2",$R$15&lt;&gt;$R$14),VLOOKUP(CONCATENATE(LEFT($R38,2),"L"),$R$63:$T$91,3,FALSE),0)+IF(AND($R38="O3/CP",$R$14=D$18),VLOOKUP("O3",$R$63:$T$91,3,FALSE)+VLOOKUP("CP",$R$63:$T$91,3,FALSE),0)+IF(AND($S38&lt;&gt;"",$S38&lt;&gt;"--",$S38&lt;&gt;"O3/CP",$S$14=D$18),IF(LEFT($S38,1)="P",VLOOKUP(CONCATENATE(LEFT($S38,2),"H"),$R$63:$T$91,3,FALSE),VLOOKUP($S38,$R$63:$T$91,3,FALSE)))+IF(AND($S38&lt;&gt;"",$S38&lt;&gt;"O3/CP",$S$15=D$18,MID($S38,4,1)="2",$S$15&lt;&gt;$S$14),VLOOKUP(CONCATENATE(LEFT($S38,2),"L"),$R$63:$T$91,3,FALSE),0)+IF(AND($S38="O3/CP",$S$14=D$18),VLOOKUP("O3",$R$63:$T$91,3,FALSE)+VLOOKUP("CP",$R$63:$T$91,3,FALSE),0)+IF(AND($T38&lt;&gt;"",$T38&lt;&gt;"--",$T38&lt;&gt;"O3/CP",$T$14=D$18),IF(LEFT($T38,1)="P",VLOOKUP(CONCATENATE(LEFT($T38,2),"H"),$R$63:$T$91,3,FALSE),VLOOKUP($T38,$R$63:$T$91,3,FALSE)))+IF(AND($T38&lt;&gt;"",$T38&lt;&gt;"O3/CP",$T$15=D$18,MID($T38,4,1)="2",$T$15&lt;&gt;$T$14),VLOOKUP(CONCATENATE(LEFT($T38,2),"L"),$R$63:$T$91,3,FALSE),0)+IF(AND($T38="O3/CP",$T$14=D$18),VLOOKUP("O3",$R$63:$T$91,3,FALSE)+VLOOKUP("CP",$R$63:$T$91,3,FALSE),0)+IF(AND($U38&lt;&gt;"",$U38&lt;&gt;"--",$U38&lt;&gt;"O3/CP",$U$14=D$18),IF(LEFT($U38,1)="P",VLOOKUP(CONCATENATE(LEFT($U38,2),"H"),$R$63:$T$91,3,FALSE),VLOOKUP($U38,$R$63:$T$91,3,FALSE)))+IF(AND($U38&lt;&gt;"",$U38&lt;&gt;"O3/CP",$U$15=D$18,MID($U38,4,1)="2",$U$15&lt;&gt;$U$14),VLOOKUP(CONCATENATE(LEFT($U38,2),"L"),$R$63:$T$91,3,FALSE),0)+IF(AND($U38="O3/CP",$T$14=D$18),VLOOKUP("O3",$R$63:$T$91,3,FALSE)+VLOOKUP("CP",$R$63:$T$91,3,FALSE),0)+IF(AND($V38&lt;&gt;"",$V38&lt;&gt;"--",$V38&lt;&gt;"O3/CP",$V$14=D$18),IF(LEFT($V38,1)="P",VLOOKUP(CONCATENATE(LEFT($V38,2),"H"),$R$63:$T$91,3,FALSE),VLOOKUP($V38,$R$63:$T$91,3,FALSE)))+IF(AND($V38&lt;&gt;"",$V38&lt;&gt;"O3/CP",$V$15=D$18,MID($V38,4,1)="2",$V$15&lt;&gt;$V$14),VLOOKUP(CONCATENATE(LEFT($V38,2),"L"),$R$63:$T$91,3,FALSE),0)+IF(AND($V38="O3/CP",$V$14=D$18),VLOOKUP("O3",$R$63:$T$91,3,FALSE)+VLOOKUP("CP",$R$63:$T$91,3,FALSE),0)+IF(AND($W38&lt;&gt;"",$W38&lt;&gt;"--",$W38&lt;&gt;"O3/CP",$W$14=D$18),IF(LEFT($W38,1)="P",VLOOKUP(CONCATENATE(LEFT($W38,2),"H"),$R$63:$T$91,3,FALSE),VLOOKUP($W38,$R$63:$T$91,3,FALSE)))+IF(AND($W38&lt;&gt;"",$W38&lt;&gt;"O3/CP",$W$15=D$18,MID($W38,4,1)="2",$W$15&lt;&gt;$W$14),VLOOKUP(CONCATENATE(LEFT($W38,2),"L"),$R$63:$T$91,3,FALSE),0)+IF(AND($W38="O3/CP",$W$14=D$18),VLOOKUP("O3",$R$63:$T$91,3,FALSE)+VLOOKUP("CP",$R$63:$T$91,3,FALSE),0)+IF(AND($X38&lt;&gt;"",$X38&lt;&gt;"--",$X38&lt;&gt;"O3/CP",$X$14=D$18),IF(LEFT($X38,1)="P",VLOOKUP(CONCATENATE(LEFT($X38,2),"H"),$R$63:$T$91,3,FALSE),VLOOKUP($X38,$R$63:$T$91,3,FALSE)))+IF(AND($X38&lt;&gt;"",$X38&lt;&gt;"O3/CP",$X$15=D$18,MID($X38,4,1)="2",$X$15&lt;&gt;$X$14),VLOOKUP(CONCATENATE(LEFT($X38,2),"L"),$R$63:$T$91,3,FALSE),0)+IF(AND($X38="O3/CP",$X$14=D$18),VLOOKUP("O3",$R$63:$T$91,3,FALSE)+VLOOKUP("CP",$R$63:$T$91,3,FALSE),0)+IF(AND($Y38&lt;&gt;"",$Y38&lt;&gt;"--",$Y38&lt;&gt;"O3/CP",$Y$14=D$18),IF(LEFT($Y38,1)="P",VLOOKUP(CONCATENATE(LEFT($Y38,2),"H"),$R$63:$T$91,3,FALSE),VLOOKUP($Y38,$R$63:$T$91,3,FALSE)))+IF(AND($Y38&lt;&gt;"",$Y38&lt;&gt;"O3/CP",$Y$15=D$18,MID($Y38,4,1)="2",$Y$15&lt;&gt;$Y$14),VLOOKUP(CONCATENATE(LEFT($Y38,2),"L"),$R$63:$T$91,3,FALSE),0)+IF(AND($Y38="O3/CP",$Y$14=D$18),VLOOKUP("O3",$R$63:$T$91,3,FALSE)+VLOOKUP("CP",$R$63:$T$91,3,FALSE),0)+IF(AND($K$6="CE",'[3]Supply Attribution'!$G$20=D$18),LEFT($S$90,2),0)+IF(AND($X$86&lt;&gt;"Not Set",$X$87=D$18),$X$86,0)</f>
        <v>0</v>
      </c>
      <c r="E38" s="269">
        <f>IF(AND($K38&lt;&gt;"",$K38&lt;&gt;"--",$K38&lt;&gt;"O3/CP",$K$14=E$18),IF(LEFT($K38,1)="P",VLOOKUP(CONCATENATE(LEFT($K38,2),"H"),$R$63:$T$91,3,FALSE),VLOOKUP($K38,$R$63:$T$91,3,FALSE)))+IF(AND($K38&lt;&gt;"",$K38&lt;&gt;"O3/CP",$K$15=E$18,MID($K38,4,1)="2",$K$15&lt;&gt;$K$14),VLOOKUP(CONCATENATE(LEFT($K38,2),"L"),$R$63:$T$91,3,FALSE),0)+IF(AND($K38="O3/CP",$K$14=E$18),VLOOKUP("O3",$R$63:$T$91,3,FALSE)+VLOOKUP("CP",$R$63:$T$91,3,FALSE),0)+IF(AND($L38&lt;&gt;"",$L38&lt;&gt;"--",$L38&lt;&gt;"O3/CP",$L$14=E$18),IF(LEFT($L38,1)="P",VLOOKUP(CONCATENATE(LEFT($L38,2),"H"),$R$63:$T$91,3,FALSE),VLOOKUP($L38,$R$63:$T$91,3,FALSE)))+IF(AND($L38&lt;&gt;"",$L38&lt;&gt;"O3/CP",$L$15=E$18,MID($L38,4,1)="2",$L$15&lt;&gt;$L$14),VLOOKUP(CONCATENATE(LEFT($L38,2),"L"),$R$63:$T$91,3,FALSE),0)+IF(AND($L38="O3/CP",$L$14=E$18),VLOOKUP("O3",$R$63:$T$91,3,FALSE)+VLOOKUP("CP",$R$63:$T$91,3,FALSE),0)+IF(AND($M38&lt;&gt;"",$M38&lt;&gt;"--",$M38&lt;&gt;"O3/CP",$M$14=E$18),IF(LEFT($M38,1)="P",VLOOKUP(CONCATENATE(LEFT($M38,2),"H"),$R$63:$T$91,3,FALSE),VLOOKUP($M38,$R$63:$T$91,3,FALSE)))+IF(AND($M38&lt;&gt;"",$M38&lt;&gt;"O3/CP",$M$15=E$18,MID($M38,4,1)="2",$M$15&lt;&gt;$M$14),VLOOKUP(CONCATENATE(LEFT($M38,2),"L"),$R$63:$T$91,3,FALSE),0)+IF(AND($M38="O3/CP",$M$14=E$18),VLOOKUP("O3",$R$63:$T$91,3,FALSE)+VLOOKUP("CP",$R$63:$T$91,3,FALSE),0)+IF(AND($N38&lt;&gt;"",$N38&lt;&gt;"--",$N38&lt;&gt;"O3/CP",$N$14=E$18),IF(LEFT($N38,1)="P",VLOOKUP(CONCATENATE(LEFT($N38,2),"H"),$R$63:$T$91,3,FALSE),VLOOKUP($N38,$R$63:$T$91,3,FALSE)))+IF(AND($N38&lt;&gt;"",$N38&lt;&gt;"O3/CP",$N$15=E$18,MID($N38,4,1)="2",$N$15&lt;&gt;$N$14),VLOOKUP(CONCATENATE(LEFT($N38,2),"L"),$R$63:$T$91,3,FALSE),0)+IF(AND($N38="O3/CP",$N$14=E$18),VLOOKUP("O3",$R$63:$T$91,3,FALSE)+VLOOKUP("CP",$R$63:$T$91,3,FALSE),0)+IF(AND($O38&lt;&gt;"",$O38&lt;&gt;"--",$O38&lt;&gt;"O3/CP",$O$14=E$18),IF(LEFT($O38,1)="P",VLOOKUP(CONCATENATE(LEFT($O38,2),"H"),$R$63:$T$91,3,FALSE),VLOOKUP($O38,$R$63:$T$91,3,FALSE)))+IF(AND($O38&lt;&gt;"",$O38&lt;&gt;"O3/CP",$O$15=E$18,MID($O38,4,1)="2",$O$15&lt;&gt;$O$14),VLOOKUP(CONCATENATE(LEFT($O38,2),"L"),$R$63:$T$91,3,FALSE),0)+IF(AND($O38="O3/CP",$O$14=E$18),VLOOKUP("O3",$R$63:$T$91,3,FALSE)+VLOOKUP("CP",$R$63:$T$91,3,FALSE),0)+IF(AND($P38&lt;&gt;"",$P38&lt;&gt;"--",$P38&lt;&gt;"O3/CP",$P$14=E$18),IF(LEFT($P38,1)="P",VLOOKUP(CONCATENATE(LEFT($P38,2),"H"),$R$63:$T$91,3,FALSE),VLOOKUP($P38,$R$63:$T$91,3,FALSE)))+IF(AND($P38&lt;&gt;"",$P38&lt;&gt;"O3/CP",$P$15=E$18,MID($P38,4,1)="2",$P$15&lt;&gt;$P$14),VLOOKUP(CONCATENATE(LEFT($P38,2),"L"),$R$63:$T$91,3,FALSE),0)+IF(AND($P38="O3/CP",$P$14=E$18),VLOOKUP("O3",$R$63:$T$91,3,FALSE)+VLOOKUP("CP",$R$63:$T$91,3,FALSE),0)+IF(AND($Q38&lt;&gt;"",$Q38&lt;&gt;"--",$Q38&lt;&gt;"O3/CP",$Q$14=E$18),IF(LEFT($Q38,1)="P",VLOOKUP(CONCATENATE(LEFT($Q38,2),"H"),$R$63:$T$91,3,FALSE),VLOOKUP($Q38,$R$63:$T$91,3,FALSE)))+IF(AND($Q38&lt;&gt;"",$Q38&lt;&gt;"O3/CP",$Q$15=E$18,MID($Q38,4,1)="2",$Q$15&lt;&gt;$Q$14),VLOOKUP(CONCATENATE(LEFT($Q38,2),"L"),$R$63:$T$91,3,FALSE),0)+IF(AND($Q38="O3/CP",$Q$14=E$18),VLOOKUP("O3",$R$63:$T$91,3,FALSE)+VLOOKUP("CP",$R$63:$T$91,3,FALSE),0)+IF(AND($R38&lt;&gt;"",$R38&lt;&gt;"--",$R38&lt;&gt;"O3/CP",$R$14=E$18),IF(LEFT($R38,1)="P",VLOOKUP(CONCATENATE(LEFT($R38,2),"H"),$R$63:$T$91,3,FALSE),VLOOKUP($R38,$R$63:$T$91,3,FALSE)))+IF(AND($R38&lt;&gt;"",$R38&lt;&gt;"O3/CP",$R$15=E$18,MID($R38,4,1)="2",$R$15&lt;&gt;$R$14),VLOOKUP(CONCATENATE(LEFT($R38,2),"L"),$R$63:$T$91,3,FALSE),0)+IF(AND($R38="O3/CP",$R$14=E$18),VLOOKUP("O3",$R$63:$T$91,3,FALSE)+VLOOKUP("CP",$R$63:$T$91,3,FALSE),0)+IF(AND($S38&lt;&gt;"",$S38&lt;&gt;"--",$S38&lt;&gt;"O3/CP",$S$14=E$18),IF(LEFT($S38,1)="P",VLOOKUP(CONCATENATE(LEFT($S38,2),"H"),$R$63:$T$91,3,FALSE),VLOOKUP($S38,$R$63:$T$91,3,FALSE)))+IF(AND($S38&lt;&gt;"",$S38&lt;&gt;"O3/CP",$S$15=E$18,MID($S38,4,1)="2",$S$15&lt;&gt;$S$14),VLOOKUP(CONCATENATE(LEFT($S38,2),"L"),$R$63:$T$91,3,FALSE),0)+IF(AND($S38="O3/CP",$S$14=E$18),VLOOKUP("O3",$R$63:$T$91,3,FALSE)+VLOOKUP("CP",$R$63:$T$91,3,FALSE),0)+IF(AND($T38&lt;&gt;"",$T38&lt;&gt;"--",$T38&lt;&gt;"O3/CP",$T$14=E$18),IF(LEFT($T38,1)="P",VLOOKUP(CONCATENATE(LEFT($T38,2),"H"),$R$63:$T$91,3,FALSE),VLOOKUP($T38,$R$63:$T$91,3,FALSE)))+IF(AND($T38&lt;&gt;"",$T38&lt;&gt;"O3/CP",$T$15=E$18,MID($T38,4,1)="2",$T$15&lt;&gt;$T$14),VLOOKUP(CONCATENATE(LEFT($T38,2),"L"),$R$63:$T$91,3,FALSE),0)+IF(AND($T38="O3/CP",$T$14=E$18),VLOOKUP("O3",$R$63:$T$91,3,FALSE)+VLOOKUP("CP",$R$63:$T$91,3,FALSE),0)+IF(AND($U38&lt;&gt;"",$U38&lt;&gt;"--",$U38&lt;&gt;"O3/CP",$U$14=E$18),IF(LEFT($U38,1)="P",VLOOKUP(CONCATENATE(LEFT($U38,2),"H"),$R$63:$T$91,3,FALSE),VLOOKUP($U38,$R$63:$T$91,3,FALSE)))+IF(AND($U38&lt;&gt;"",$U38&lt;&gt;"O3/CP",$U$15=E$18,MID($U38,4,1)="2",$U$15&lt;&gt;$U$14),VLOOKUP(CONCATENATE(LEFT($U38,2),"L"),$R$63:$T$91,3,FALSE),0)+IF(AND($U38="O3/CP",$T$14=E$18),VLOOKUP("O3",$R$63:$T$91,3,FALSE)+VLOOKUP("CP",$R$63:$T$91,3,FALSE),0)+IF(AND($V38&lt;&gt;"",$V38&lt;&gt;"--",$V38&lt;&gt;"O3/CP",$V$14=E$18),IF(LEFT($V38,1)="P",VLOOKUP(CONCATENATE(LEFT($V38,2),"H"),$R$63:$T$91,3,FALSE),VLOOKUP($V38,$R$63:$T$91,3,FALSE)))+IF(AND($V38&lt;&gt;"",$V38&lt;&gt;"O3/CP",$V$15=E$18,MID($V38,4,1)="2",$V$15&lt;&gt;$V$14),VLOOKUP(CONCATENATE(LEFT($V38,2),"L"),$R$63:$T$91,3,FALSE),0)+IF(AND($V38="O3/CP",$V$14=E$18),VLOOKUP("O3",$R$63:$T$91,3,FALSE)+VLOOKUP("CP",$R$63:$T$91,3,FALSE),0)+IF(AND($W38&lt;&gt;"",$W38&lt;&gt;"--",$W38&lt;&gt;"O3/CP",$W$14=E$18),IF(LEFT($W38,1)="P",VLOOKUP(CONCATENATE(LEFT($W38,2),"H"),$R$63:$T$91,3,FALSE),VLOOKUP($W38,$R$63:$T$91,3,FALSE)))+IF(AND($W38&lt;&gt;"",$W38&lt;&gt;"O3/CP",$W$15=E$18,MID($W38,4,1)="2",$W$15&lt;&gt;$W$14),VLOOKUP(CONCATENATE(LEFT($W38,2),"L"),$R$63:$T$91,3,FALSE),0)+IF(AND($W38="O3/CP",$W$14=E$18),VLOOKUP("O3",$R$63:$T$91,3,FALSE)+VLOOKUP("CP",$R$63:$T$91,3,FALSE),0)+IF(AND($X38&lt;&gt;"",$X38&lt;&gt;"--",$X38&lt;&gt;"O3/CP",$X$14=E$18),IF(LEFT($X38,1)="P",VLOOKUP(CONCATENATE(LEFT($X38,2),"H"),$R$63:$T$91,3,FALSE),VLOOKUP($X38,$R$63:$T$91,3,FALSE)))+IF(AND($X38&lt;&gt;"",$X38&lt;&gt;"O3/CP",$X$15=E$18,MID($X38,4,1)="2",$X$15&lt;&gt;$X$14),VLOOKUP(CONCATENATE(LEFT($X38,2),"L"),$R$63:$T$91,3,FALSE),0)+IF(AND($X38="O3/CP",$X$14=E$18),VLOOKUP("O3",$R$63:$T$91,3,FALSE)+VLOOKUP("CP",$R$63:$T$91,3,FALSE),0)+IF(AND($Y38&lt;&gt;"",$Y38&lt;&gt;"--",$Y38&lt;&gt;"O3/CP",$Y$14=E$18),IF(LEFT($Y38,1)="P",VLOOKUP(CONCATENATE(LEFT($Y38,2),"H"),$R$63:$T$91,3,FALSE),VLOOKUP($Y38,$R$63:$T$91,3,FALSE)))+IF(AND($Y38&lt;&gt;"",$Y38&lt;&gt;"O3/CP",$Y$15=E$18,MID($Y38,4,1)="2",$Y$15&lt;&gt;$Y$14),VLOOKUP(CONCATENATE(LEFT($Y38,2),"L"),$R$63:$T$91,3,FALSE),0)+IF(AND($Y38="O3/CP",$Y$14=E$18),VLOOKUP("O3",$R$63:$T$91,3,FALSE)+VLOOKUP("CP",$R$63:$T$91,3,FALSE),0)+IF(AND($K$6="CE",'[3]Supply Attribution'!$G$20=E$18),LEFT($S$90,2),0)+IF(AND($X$86&lt;&gt;"Not Set",$X$87=E$18),$X$86,0)</f>
        <v>0</v>
      </c>
      <c r="F38" s="268">
        <f>IF(AND($K38&lt;&gt;"",$K38&lt;&gt;"--",$K38&lt;&gt;"O3/CP",$K$14=F$18),IF(LEFT($K38,1)="P",VLOOKUP(CONCATENATE(LEFT($K38,2),"H"),$R$63:$T$91,3,FALSE),VLOOKUP($K38,$R$63:$T$91,3,FALSE)))+IF(AND($K38&lt;&gt;"",$K38&lt;&gt;"O3/CP",$K$15=F$18,MID($K38,4,1)="2",$K$15&lt;&gt;$K$14),VLOOKUP(CONCATENATE(LEFT($K38,2),"L"),$R$63:$T$91,3,FALSE),0)+IF(AND($K38="O3/CP",$K$14=F$18),VLOOKUP("O3",$R$63:$T$91,3,FALSE)+VLOOKUP("CP",$R$63:$T$91,3,FALSE),0)+IF(AND($L38&lt;&gt;"",$L38&lt;&gt;"--",$L38&lt;&gt;"O3/CP",$L$14=F$18),IF(LEFT($L38,1)="P",VLOOKUP(CONCATENATE(LEFT($L38,2),"H"),$R$63:$T$91,3,FALSE),VLOOKUP($L38,$R$63:$T$91,3,FALSE)))+IF(AND($L38&lt;&gt;"",$L38&lt;&gt;"O3/CP",$L$15=F$18,MID($L38,4,1)="2",$L$15&lt;&gt;$L$14),VLOOKUP(CONCATENATE(LEFT($L38,2),"L"),$R$63:$T$91,3,FALSE),0)+IF(AND($L38="O3/CP",$L$14=F$18),VLOOKUP("O3",$R$63:$T$91,3,FALSE)+VLOOKUP("CP",$R$63:$T$91,3,FALSE),0)+IF(AND($M38&lt;&gt;"",$M38&lt;&gt;"--",$M38&lt;&gt;"O3/CP",$M$14=F$18),IF(LEFT($M38,1)="P",VLOOKUP(CONCATENATE(LEFT($M38,2),"H"),$R$63:$T$91,3,FALSE),VLOOKUP($M38,$R$63:$T$91,3,FALSE)))+IF(AND($M38&lt;&gt;"",$M38&lt;&gt;"O3/CP",$M$15=F$18,MID($M38,4,1)="2",$M$15&lt;&gt;$M$14),VLOOKUP(CONCATENATE(LEFT($M38,2),"L"),$R$63:$T$91,3,FALSE),0)+IF(AND($M38="O3/CP",$M$14=F$18),VLOOKUP("O3",$R$63:$T$91,3,FALSE)+VLOOKUP("CP",$R$63:$T$91,3,FALSE),0)+IF(AND($N38&lt;&gt;"",$N38&lt;&gt;"--",$N38&lt;&gt;"O3/CP",$N$14=F$18),IF(LEFT($N38,1)="P",VLOOKUP(CONCATENATE(LEFT($N38,2),"H"),$R$63:$T$91,3,FALSE),VLOOKUP($N38,$R$63:$T$91,3,FALSE)))+IF(AND($N38&lt;&gt;"",$N38&lt;&gt;"O3/CP",$N$15=F$18,MID($N38,4,1)="2",$N$15&lt;&gt;$N$14),VLOOKUP(CONCATENATE(LEFT($N38,2),"L"),$R$63:$T$91,3,FALSE),0)+IF(AND($N38="O3/CP",$N$14=F$18),VLOOKUP("O3",$R$63:$T$91,3,FALSE)+VLOOKUP("CP",$R$63:$T$91,3,FALSE),0)+IF(AND($O38&lt;&gt;"",$O38&lt;&gt;"--",$O38&lt;&gt;"O3/CP",$O$14=F$18),IF(LEFT($O38,1)="P",VLOOKUP(CONCATENATE(LEFT($O38,2),"H"),$R$63:$T$91,3,FALSE),VLOOKUP($O38,$R$63:$T$91,3,FALSE)))+IF(AND($O38&lt;&gt;"",$O38&lt;&gt;"O3/CP",$O$15=F$18,MID($O38,4,1)="2",$O$15&lt;&gt;$O$14),VLOOKUP(CONCATENATE(LEFT($O38,2),"L"),$R$63:$T$91,3,FALSE),0)+IF(AND($O38="O3/CP",$O$14=F$18),VLOOKUP("O3",$R$63:$T$91,3,FALSE)+VLOOKUP("CP",$R$63:$T$91,3,FALSE),0)+IF(AND($P38&lt;&gt;"",$P38&lt;&gt;"--",$P38&lt;&gt;"O3/CP",$P$14=F$18),IF(LEFT($P38,1)="P",VLOOKUP(CONCATENATE(LEFT($P38,2),"H"),$R$63:$T$91,3,FALSE),VLOOKUP($P38,$R$63:$T$91,3,FALSE)))+IF(AND($P38&lt;&gt;"",$P38&lt;&gt;"O3/CP",$P$15=F$18,MID($P38,4,1)="2",$P$15&lt;&gt;$P$14),VLOOKUP(CONCATENATE(LEFT($P38,2),"L"),$R$63:$T$91,3,FALSE),0)+IF(AND($P38="O3/CP",$P$14=F$18),VLOOKUP("O3",$R$63:$T$91,3,FALSE)+VLOOKUP("CP",$R$63:$T$91,3,FALSE),0)+IF(AND($Q38&lt;&gt;"",$Q38&lt;&gt;"--",$Q38&lt;&gt;"O3/CP",$Q$14=F$18),IF(LEFT($Q38,1)="P",VLOOKUP(CONCATENATE(LEFT($Q38,2),"H"),$R$63:$T$91,3,FALSE),VLOOKUP($Q38,$R$63:$T$91,3,FALSE)))+IF(AND($Q38&lt;&gt;"",$Q38&lt;&gt;"O3/CP",$Q$15=F$18,MID($Q38,4,1)="2",$Q$15&lt;&gt;$Q$14),VLOOKUP(CONCATENATE(LEFT($Q38,2),"L"),$R$63:$T$91,3,FALSE),0)+IF(AND($Q38="O3/CP",$Q$14=F$18),VLOOKUP("O3",$R$63:$T$91,3,FALSE)+VLOOKUP("CP",$R$63:$T$91,3,FALSE),0)+IF(AND($R38&lt;&gt;"",$R38&lt;&gt;"--",$R38&lt;&gt;"O3/CP",$R$14=F$18),IF(LEFT($R38,1)="P",VLOOKUP(CONCATENATE(LEFT($R38,2),"H"),$R$63:$T$91,3,FALSE),VLOOKUP($R38,$R$63:$T$91,3,FALSE)))+IF(AND($R38&lt;&gt;"",$R38&lt;&gt;"O3/CP",$R$15=F$18,MID($R38,4,1)="2",$R$15&lt;&gt;$R$14),VLOOKUP(CONCATENATE(LEFT($R38,2),"L"),$R$63:$T$91,3,FALSE),0)+IF(AND($R38="O3/CP",$R$14=F$18),VLOOKUP("O3",$R$63:$T$91,3,FALSE)+VLOOKUP("CP",$R$63:$T$91,3,FALSE),0)+IF(AND($S38&lt;&gt;"",$S38&lt;&gt;"--",$S38&lt;&gt;"O3/CP",$S$14=F$18),IF(LEFT($S38,1)="P",VLOOKUP(CONCATENATE(LEFT($S38,2),"H"),$R$63:$T$91,3,FALSE),VLOOKUP($S38,$R$63:$T$91,3,FALSE)))+IF(AND($S38&lt;&gt;"",$S38&lt;&gt;"O3/CP",$S$15=F$18,MID($S38,4,1)="2",$S$15&lt;&gt;$S$14),VLOOKUP(CONCATENATE(LEFT($S38,2),"L"),$R$63:$T$91,3,FALSE),0)+IF(AND($S38="O3/CP",$S$14=F$18),VLOOKUP("O3",$R$63:$T$91,3,FALSE)+VLOOKUP("CP",$R$63:$T$91,3,FALSE),0)+IF(AND($T38&lt;&gt;"",$T38&lt;&gt;"--",$T38&lt;&gt;"O3/CP",$T$14=F$18),IF(LEFT($T38,1)="P",VLOOKUP(CONCATENATE(LEFT($T38,2),"H"),$R$63:$T$91,3,FALSE),VLOOKUP($T38,$R$63:$T$91,3,FALSE)))+IF(AND($T38&lt;&gt;"",$T38&lt;&gt;"O3/CP",$T$15=F$18,MID($T38,4,1)="2",$T$15&lt;&gt;$T$14),VLOOKUP(CONCATENATE(LEFT($T38,2),"L"),$R$63:$T$91,3,FALSE),0)+IF(AND($T38="O3/CP",$T$14=F$18),VLOOKUP("O3",$R$63:$T$91,3,FALSE)+VLOOKUP("CP",$R$63:$T$91,3,FALSE),0)+IF(AND($U38&lt;&gt;"",$U38&lt;&gt;"--",$U38&lt;&gt;"O3/CP",$U$14=F$18),IF(LEFT($U38,1)="P",VLOOKUP(CONCATENATE(LEFT($U38,2),"H"),$R$63:$T$91,3,FALSE),VLOOKUP($U38,$R$63:$T$91,3,FALSE)))+IF(AND($U38&lt;&gt;"",$U38&lt;&gt;"O3/CP",$U$15=F$18,MID($U38,4,1)="2",$U$15&lt;&gt;$U$14),VLOOKUP(CONCATENATE(LEFT($U38,2),"L"),$R$63:$T$91,3,FALSE),0)+IF(AND($U38="O3/CP",$T$14=F$18),VLOOKUP("O3",$R$63:$T$91,3,FALSE)+VLOOKUP("CP",$R$63:$T$91,3,FALSE),0)+IF(AND($V38&lt;&gt;"",$V38&lt;&gt;"--",$V38&lt;&gt;"O3/CP",$V$14=F$18),IF(LEFT($V38,1)="P",VLOOKUP(CONCATENATE(LEFT($V38,2),"H"),$R$63:$T$91,3,FALSE),VLOOKUP($V38,$R$63:$T$91,3,FALSE)))+IF(AND($V38&lt;&gt;"",$V38&lt;&gt;"O3/CP",$V$15=F$18,MID($V38,4,1)="2",$V$15&lt;&gt;$V$14),VLOOKUP(CONCATENATE(LEFT($V38,2),"L"),$R$63:$T$91,3,FALSE),0)+IF(AND($V38="O3/CP",$V$14=F$18),VLOOKUP("O3",$R$63:$T$91,3,FALSE)+VLOOKUP("CP",$R$63:$T$91,3,FALSE),0)+IF(AND($W38&lt;&gt;"",$W38&lt;&gt;"--",$W38&lt;&gt;"O3/CP",$W$14=F$18),IF(LEFT($W38,1)="P",VLOOKUP(CONCATENATE(LEFT($W38,2),"H"),$R$63:$T$91,3,FALSE),VLOOKUP($W38,$R$63:$T$91,3,FALSE)))+IF(AND($W38&lt;&gt;"",$W38&lt;&gt;"O3/CP",$W$15=F$18,MID($W38,4,1)="2",$W$15&lt;&gt;$W$14),VLOOKUP(CONCATENATE(LEFT($W38,2),"L"),$R$63:$T$91,3,FALSE),0)+IF(AND($W38="O3/CP",$W$14=F$18),VLOOKUP("O3",$R$63:$T$91,3,FALSE)+VLOOKUP("CP",$R$63:$T$91,3,FALSE),0)+IF(AND($X38&lt;&gt;"",$X38&lt;&gt;"--",$X38&lt;&gt;"O3/CP",$X$14=F$18),IF(LEFT($X38,1)="P",VLOOKUP(CONCATENATE(LEFT($X38,2),"H"),$R$63:$T$91,3,FALSE),VLOOKUP($X38,$R$63:$T$91,3,FALSE)))+IF(AND($X38&lt;&gt;"",$X38&lt;&gt;"O3/CP",$X$15=F$18,MID($X38,4,1)="2",$X$15&lt;&gt;$X$14),VLOOKUP(CONCATENATE(LEFT($X38,2),"L"),$R$63:$T$91,3,FALSE),0)+IF(AND($X38="O3/CP",$X$14=F$18),VLOOKUP("O3",$R$63:$T$91,3,FALSE)+VLOOKUP("CP",$R$63:$T$91,3,FALSE),0)+IF(AND($Y38&lt;&gt;"",$Y38&lt;&gt;"--",$Y38&lt;&gt;"O3/CP",$Y$14=F$18),IF(LEFT($Y38,1)="P",VLOOKUP(CONCATENATE(LEFT($Y38,2),"H"),$R$63:$T$91,3,FALSE),VLOOKUP($Y38,$R$63:$T$91,3,FALSE)))+IF(AND($Y38&lt;&gt;"",$Y38&lt;&gt;"O3/CP",$Y$15=F$18,MID($Y38,4,1)="2",$Y$15&lt;&gt;$Y$14),VLOOKUP(CONCATENATE(LEFT($Y38,2),"L"),$R$63:$T$91,3,FALSE),0)+IF(AND($Y38="O3/CP",$Y$14=F$18),VLOOKUP("O3",$R$63:$T$91,3,FALSE)+VLOOKUP("CP",$R$63:$T$91,3,FALSE),0)+IF(AND($K$6="CE",'[3]Supply Attribution'!$G$20=F$18),LEFT($S$90,2),0)+IF(AND($X$86&lt;&gt;"Not Set",$X$87=F$18),$X$86,0)</f>
        <v>12</v>
      </c>
      <c r="G38" s="269">
        <f>IF(AND($K$6="CE",$T$59="1 Phase"),SUM(A38:F38)-IF(AND($K$14&lt;&gt;$K$15,RIGHT($K38,3)="2SP"),VLOOKUP(CONCATENATE(LEFT($K38,2),"L"),$R$63:$T$90,3,FALSE),0)-IF(AND($L$14&lt;&gt;$L$15,RIGHT($L38,3)="2SP"),VLOOKUP(CONCATENATE(LEFT($L38,2),"L"),$R$63:$T$90,3,FALSE),0)-IF(AND($M$14&lt;&gt;$M$15,RIGHT($M38,3)="2SP"),VLOOKUP(CONCATENATE(LEFT($M38,2),"L"),$R$63:$T$90,3,FALSE),0)-IF(AND($N$14&lt;&gt;$N$15,RIGHT($N38,3)="2SP"),VLOOKUP(CONCATENATE(LEFT($N38,2),"L"),$R$63:$T$90,3,FALSE),0)-IF(AND($O$14&lt;&gt;$O$15,RIGHT($O38,3)="2SP"),VLOOKUP(CONCATENATE(LEFT($O38,2),"L"),$R$63:$T$90,3,FALSE),0)-IF(AND($P$14&lt;&gt;$P$15,RIGHT($P38,3)="2SP"),VLOOKUP(CONCATENATE(LEFT($P38,2),"L"),$R$63:$T$90,3,FALSE),0)-IF(AND($Q$14&lt;&gt;$Q$15,RIGHT($Q38,3)="2SP"),VLOOKUP(CONCATENATE(LEFT($Q38,2),"L"),$R$63:$T$90,3,FALSE),0)-IF(AND($R$14&lt;&gt;$R$15,RIGHT($T38,3)="2SP"),VLOOKUP(CONCATENATE(LEFT($R38,2),"L"),$R$63:$T$90,3,FALSE),0)-IF(AND($S$14&lt;&gt;$S$15,RIGHT($T38,3)="2SP"),VLOOKUP(CONCATENATE(LEFT($S38,2),"L"),$R$63:$T$90,3,FALSE),0)-IF(AND($T$14&lt;&gt;$T$15,RIGHT($T38,3)="2SP"),VLOOKUP(CONCATENATE(LEFT($T38,2),"L"),$R$63:$T$90,3,FALSE),0)-IF(AND($U$14&lt;&gt;$U$15,RIGHT($U38,3)="2SP"),VLOOKUP(CONCATENATE(LEFT($U38,2),"L"),$R$63:$T$90,3,FALSE),0)-IF(AND($V$14&lt;&gt;$V$15,RIGHT($V38,3)="2SP"),VLOOKUP(CONCATENATE(LEFT($V38,2),"L"),$R$63:$T$90,3,FALSE),0)-IF(AND($W$14&lt;&gt;$W$15,RIGHT($W38,3)="2SP"),VLOOKUP(CONCATENATE(LEFT($W38,2),"L"),$R$63:$T$90,3,FALSE),0)-IF(AND($X$14&lt;&gt;$X$15,RIGHT($X38,3)="2SP"),VLOOKUP(CONCATENATE(LEFT($X38,2),"L"),$R$63:$T$90,3,FALSE),0)-IF(AND($Y$14&lt;&gt;$Y$15,RIGHT($Y38,3)="2SP"),VLOOKUP(CONCATENATE(LEFT($Y38,2),"L"),$R$63:$T$90,3,FALSE),0),IF(VLOOKUP(CONCATENATE($A$18,"Line"),'[3]Supply Attribution'!$F$31:$G$37,2,FALSE)=G$18,$A38,0)+IF(VLOOKUP(CONCATENATE($B$18,"Line"),'[3]Supply Attribution'!$F$31:$G$37,2,FALSE)=G$18,$B38,0)+IF(VLOOKUP(CONCATENATE($C$18,"Line"),'[3]Supply Attribution'!$F$31:$G$37,2,FALSE)=G$18,$C38,0)+IF(VLOOKUP(CONCATENATE($D$18,"Line"),'[3]Supply Attribution'!$F$31:$G$37,2,FALSE)=G$18,$D38,0)+IF(VLOOKUP(CONCATENATE($E$18,"Line"),'[3]Supply Attribution'!$F$31:$G$37,2,FALSE)=G$18,$E38,0)+IF(VLOOKUP(CONCATENATE($F$18,"Line"),'[3]Supply Attribution'!$F$31:$G$37,2,FALSE)=G$18,$F38,0)+IF($K$6="UL",LEFT($S$90,2),0)-IF(AND($K$16=G$18,$K$14&lt;&gt;$K$15,$K$16=$K$17,RIGHT($K38,3)="2SP"),VLOOKUP(CONCATENATE(LEFT($K38,2),"L"),$R$63:$T$90,3,FALSE),0)-IF(AND($L$16=G$18,$L$14&lt;&gt;$L$15,$L$16=$L$17,RIGHT($L38,3)="2SP"),VLOOKUP(CONCATENATE(LEFT($L38,2),"L"),$R$63:$T$90,3,FALSE),0)-IF(AND($M$16=G$18,$M$14&lt;&gt;$M$15,$M$16=$M$17,RIGHT($M38,3)="2SP"),VLOOKUP(CONCATENATE(LEFT($M38,2),"L"),$R$63:$T$90,3,FALSE),0)-IF(AND($N$16=G$18,$N$14&lt;&gt;$N$15,$N$16=$N$17,RIGHT($N38,3)="2SP"),VLOOKUP(CONCATENATE(LEFT($N38,2),"L"),$R$63:$T$90,3,FALSE),0)-IF(AND($O$16=G$18,$O$14&lt;&gt;$O$15,$O$16=$O$17,RIGHT($O38,3)="2SP"),VLOOKUP(CONCATENATE(LEFT($O38,2),"L"),$R$63:$T$90,3,FALSE),0)-IF(AND($P$16=G$18,$P$14&lt;&gt;$P$15,$P$16=$P$17,RIGHT($P38,3)="2SP"),VLOOKUP(CONCATENATE(LEFT($P38,2),"L"),$R$63:$T$90,3,FALSE),0)-IF(AND($Q$16=G$18,$Q$14&lt;&gt;$Q$15,$Q$16=$Q$17,RIGHT($Q38,3)="2SP"),VLOOKUP(CONCATENATE(LEFT($Q38,2),"L"),$R$63:$T$90,3,FALSE),0)-IF(AND($R$16=G$18,$R$14&lt;&gt;$R$15,$R$16=$R$17,RIGHT($R38,3)="2SP"),VLOOKUP(CONCATENATE(LEFT($R38,2),"L"),$R$63:$T$90,3,FALSE),0)-IF(AND($S$16=G$18,$S$14&lt;&gt;$S$15,$S$16=$S$17,RIGHT($S38,3)="2SP"),VLOOKUP(CONCATENATE(LEFT($S38,2),"L"),$R$63:$T$90,3,FALSE),0)-IF(AND($T$16=G$18,$T$14&lt;&gt;$T$15,$T$16=$T$17,RIGHT($T38,3)="2SP"),VLOOKUP(CONCATENATE(LEFT($T38,2),"L"),$R$63:$T$90,3,FALSE),0)-IF(AND($U$16=G$18,$U$14&lt;&gt;$U$15,$U$16=$U$17,RIGHT($U38,3)="2SP"),VLOOKUP(CONCATENATE(LEFT($U38,2),"L"),$R$63:$T$90,3,FALSE),0)-IF(AND($V$16=G$18,$V$14&lt;&gt;$V$15,$V$16=$V$17,RIGHT($V38,3)="2SP"),VLOOKUP(CONCATENATE(LEFT($V38,2),"L"),$R$63:$T$90,3,FALSE),0)-IF(AND($W$16=G$18,$W$14&lt;&gt;$W$15,$W$16=$W$17,RIGHT($W38,3)="2SP"),VLOOKUP(CONCATENATE(LEFT($W38,2),"L"),$R$63:$T$90,3,FALSE),0)-IF(AND($X$16=G$18,$X$14&lt;&gt;$X$15,$X$16=$X$17,RIGHT($X38,3)="2SP"),VLOOKUP(CONCATENATE(LEFT($X38,2),"L"),$R$63:$T$90,3,FALSE),0)-IF(AND($Y$16=G$18,$Y$14&lt;&gt;$Y$15,$Y$16=$Y$17,RIGHT($Y38,3)="2SP"),VLOOKUP(CONCATENATE(LEFT($Y38,2),"L"),$R$63:$T$90,3,FALSE),0))</f>
        <v>59</v>
      </c>
      <c r="H38" s="269" t="str">
        <f>IF(H$18&lt;&gt;"",IF(VLOOKUP(CONCATENATE($A$18,"Line"),'Supply Attribution'!$F$31:$G$37,2,FALSE)=H$18,$A38,0)+IF(VLOOKUP(CONCATENATE($B$18,"Line"),'Supply Attribution'!$F$31:$G$37,2,FALSE)=H$18,$B38,0)+IF(VLOOKUP(CONCATENATE($C$18,"Line"),'Supply Attribution'!$F$31:$G$37,2,FALSE)=H$18,$C38,0)+IF(VLOOKUP(CONCATENATE($D$18,"Line"),'Supply Attribution'!$F$31:$G$37,2,FALSE)=H$18,$D38,0)+IF(VLOOKUP(CONCATENATE($E$18,"Line"),'Supply Attribution'!$F$31:$G$37,2,FALSE)=H$18,$E38,0)+IF(VLOOKUP(CONCATENATE($F$18,"Line"),'Supply Attribution'!$F$31:$G$37,2,FALSE)=H$18,$F38,0)+IF($K$6="UL",LEFT($S$90,2),0)-IF(AND($K$16=H$18,$K$14&lt;&gt;$K$15,$K$16=$K$17,RIGHT($K38,3)="2SP"),VLOOKUP(CONCATENATE(LEFT($K38,2),"L"),$R$63:$T$90,3,FALSE),0)-IF(AND($L$16=H$18,$L$14&lt;&gt;$L$15,$L$16=$L$17,RIGHT($L38,3)="2SP"),VLOOKUP(CONCATENATE(LEFT($L38,2),"L"),$R$63:$T$90,3,FALSE),0)-IF(AND($M$16=H$18,$M$14&lt;&gt;$M$15,$M$16=$M$17,RIGHT($M38,3)="2SP"),VLOOKUP(CONCATENATE(LEFT($M38,2),"L"),$R$63:$T$90,3,FALSE),0)-IF(AND($N$16=H$18,$N$14&lt;&gt;$N$15,$N$16=$N$17,RIGHT($N38,3)="2SP"),VLOOKUP(CONCATENATE(LEFT($N38,2),"L"),$R$63:$T$90,3,FALSE),0)-IF(AND($O$16=H$18,$O$14&lt;&gt;$O$15,$O$16=$O$17,RIGHT($O38,3)="2SP"),VLOOKUP(CONCATENATE(LEFT($O38,2),"L"),$R$63:$T$90,3,FALSE),0)-IF(AND($P$16=H$18,$P$14&lt;&gt;$P$15,$P$16=$P$17,RIGHT($P38,3)="2SP"),VLOOKUP(CONCATENATE(LEFT($P38,2),"L"),$R$63:$T$90,3,FALSE),0)-IF(AND($Q$16=H$18,$Q$14&lt;&gt;$Q$15,$Q$16=$Q$17,RIGHT($Q38,3)="2SP"),VLOOKUP(CONCATENATE(LEFT($Q38,2),"L"),$R$63:$T$90,3,FALSE),0)-IF(AND($T$16=H$18,$T$14&lt;&gt;$T$15,$T$16=$T$17,RIGHT($T38,3)="2SP"),VLOOKUP(CONCATENATE(LEFT($T38,2),"L"),$R$63:$T$90,3,FALSE),0)-IF(AND($U$16=H$18,$U$14&lt;&gt;$U$15,$U$16=$U$17,RIGHT($U38,3)="2SP"),VLOOKUP(CONCATENATE(LEFT($U38,2),"L"),$R$63:$T$90,3,FALSE),0)-IF(AND($V$16=H$18,$V$14&lt;&gt;$V$15,$V$16=$V$17,RIGHT($V38,3)="2SP"),VLOOKUP(CONCATENATE(LEFT($V38,2),"L"),$R$63:$T$90,3,FALSE),0)-IF(AND($W$16=H$18,$W$14&lt;&gt;$W$15,$W$16=$W$17,RIGHT($W38,3)="2SP"),VLOOKUP(CONCATENATE(LEFT($W38,2),"L"),$R$63:$T$90,3,FALSE),0)-IF(AND($X$16=H$18,$X$14&lt;&gt;$X$15,$X$16=$X$17,RIGHT($X38,3)="2SP"),VLOOKUP(CONCATENATE(LEFT($X38,2),"L"),$R$63:$T$90,3,FALSE),0)-IF(AND($Y$16=H$18,$Y$14&lt;&gt;$Y$15,$Y$16=$Y$17,RIGHT($Y38,3)="2SP"),VLOOKUP(CONCATENATE(LEFT($Y38,2),"L"),$R$63:$T$90,3,FALSE),0)+IF(AND($K$6="CE",$T$59="2 Phases",H$18&lt;&gt;""),IF(VLOOKUP(CONCATENATE($A$18,"Line"),'Supply Attribution'!$F$31:$G$37,2,FALSE)="Line3",$A38,0)+IF(VLOOKUP(CONCATENATE($B$18,"Line"),'Supply Attribution'!$F$31:$G$37,2,FALSE)="Line3",$B38,0)+IF(VLOOKUP(CONCATENATE($C$18,"Line"),'Supply Attribution'!$F$31:$G$37,2,FALSE)="Line3",$C38,0)+IF(VLOOKUP(CONCATENATE($D$18,"Line"),'Supply Attribution'!$F$31:$G$37,2,FALSE)="Line3",$D38,0)+IF(VLOOKUP(CONCATENATE($E$18,"Line"),'Supply Attribution'!$F$31:$G$37,2,FALSE)="Line3",$E38,0)+IF(VLOOKUP(CONCATENATE($F$18,"Line"),'Supply Attribution'!$F$31:$G$37,2,FALSE)="Line3",$F38,0)-IF(AND($K$16=I$18,$K$14&lt;&gt;$K$15,$K$16=$K$17,RIGHT($K38,3)="2SP"),VLOOKUP(CONCATENATE(LEFT($K38,2),"L"),$R$63:$T$90,3,FALSE),0)-IF(AND($L$16=I$18,$L$14&lt;&gt;$L$15,$L$16=$L$17,RIGHT($L38,3)="2SP"),VLOOKUP(CONCATENATE(LEFT($L38,2),"L"),$R$63:$T$90,3,FALSE),0)-IF(AND($M$16=I$18,$M$14&lt;&gt;$M$15,$M$16=$M$17,RIGHT($M38,3)="2SP"),VLOOKUP(CONCATENATE(LEFT($M38,2),"L"),$R$63:$T$90,3,FALSE),0)-IF(AND($N$16=I$18,$N$14&lt;&gt;$N$15,$N$16=$N$17,RIGHT($N38,3)="2SP"),VLOOKUP(CONCATENATE(LEFT($N38,2),"L"),$R$63:$T$90,3,FALSE),0)-IF(AND($O$16=I$18,$O$14&lt;&gt;$O$15,$O$16=$O$17,RIGHT($O38,3)="2SP"),VLOOKUP(CONCATENATE(LEFT($O38,2),"L"),$R$63:$T$90,3,FALSE),0)-IF(AND($P$16=I$18,$P$14&lt;&gt;$P$15,$P$16=$P$17,RIGHT($P38,3)="2SP"),VLOOKUP(CONCATENATE(LEFT($P38,2),"L"),$R$63:$T$90,3,FALSE),0)-IF(AND($Q$16=I$18,$Q$14&lt;&gt;$Q$15,$Q$16=$Q$17,RIGHT($Q38,3)="2SP"),VLOOKUP(CONCATENATE(LEFT($Q38,2),"L"),$R$63:$T$90,3,FALSE),0)-IF(AND($T$16=I$18,$T$14&lt;&gt;$T$15,$T$16=$T$17,RIGHT($T38,3)="2SP"),VLOOKUP(CONCATENATE(LEFT($T38,2),"L"),$R$63:$T$90,3,FALSE),0)-IF(AND($U$16=I$18,$U$14&lt;&gt;$U$15,$U$16=$U$17,RIGHT($U38,3)="2SP"),VLOOKUP(CONCATENATE(LEFT($U38,2),"L"),$R$63:$T$90,3,FALSE),0)-IF(AND($V$16=I$18,$V$14&lt;&gt;$V$15,$V$16=$V$17,RIGHT($V38,3)="2SP"),VLOOKUP(CONCATENATE(LEFT($V38,2),"L"),$R$63:$T$90,3,FALSE),0)-IF(AND($W$16=I$18,$W$14&lt;&gt;$W$15,$W$16=$W$17,RIGHT($W38,3)="2SP"),VLOOKUP(CONCATENATE(LEFT($W38,2),"L"),$R$63:$T$90,3,FALSE),0)-IF(AND($X$16=I$18,$X$14&lt;&gt;$X$15,$X$16=$X$17,RIGHT($X38,3)="2SP"),VLOOKUP(CONCATENATE(LEFT($X38,2),"L"),$R$63:$T$90,3,FALSE),0)-IF(AND($Y$16=I$18,$Y$14&lt;&gt;$Y$15,$Y$16=$Y$17,RIGHT($Y38,3)="2SP"),VLOOKUP(CONCATENATE(LEFT($Y38,2),"L"),$R$63:$T$90,3,FALSE),0),0),"")</f>
        <v/>
      </c>
      <c r="I38" s="269" t="str">
        <f>IF(I$18&lt;&gt;"",IF(VLOOKUP(CONCATENATE($A$18,"Line"),'Supply Attribution'!$F$31:$G$37,2,FALSE)=I$18,$A38,0)+IF(VLOOKUP(CONCATENATE($B$18,"Line"),'Supply Attribution'!$F$31:$G$37,2,FALSE)=I$18,$B38,0)+IF(VLOOKUP(CONCATENATE($C$18,"Line"),'Supply Attribution'!$F$31:$G$37,2,FALSE)=I$18,$C38,0)+IF(VLOOKUP(CONCATENATE($D$18,"Line"),'Supply Attribution'!$F$31:$G$37,2,FALSE)=I$18,$D38,0)+IF(VLOOKUP(CONCATENATE($E$18,"Line"),'Supply Attribution'!$F$31:$G$37,2,FALSE)=I$18,$E38,0)+IF(VLOOKUP(CONCATENATE($F$18,"Line"),'Supply Attribution'!$F$31:$G$37,2,FALSE)=I$18,$F38,0)+IF($K$6="UL",LEFT($S$90,2),0)-IF(AND($K$16=I$18,$K$14&lt;&gt;$K$15,$K$16=$K$17,RIGHT($K38,3)="2SP"),VLOOKUP(CONCATENATE(LEFT($K38,2),"L"),$R$63:$T$90,3,FALSE),0)-IF(AND($L$16=I$18,$L$14&lt;&gt;$L$15,$L$16=$L$17,RIGHT($L38,3)="2SP"),VLOOKUP(CONCATENATE(LEFT($L38,2),"L"),$R$63:$T$90,3,FALSE),0)-IF(AND($M$16=I$18,$M$14&lt;&gt;$M$15,$M$16=$M$17,RIGHT($M38,3)="2SP"),VLOOKUP(CONCATENATE(LEFT($M38,2),"L"),$R$63:$T$90,3,FALSE),0)-IF(AND($N$16=I$18,$N$14&lt;&gt;$N$15,$N$16=$N$17,RIGHT($N38,3)="2SP"),VLOOKUP(CONCATENATE(LEFT($N38,2),"L"),$R$63:$T$90,3,FALSE),0)-IF(AND($O$16=I$18,$O$14&lt;&gt;$O$15,$O$16=$O$17,RIGHT($O38,3)="2SP"),VLOOKUP(CONCATENATE(LEFT($O38,2),"L"),$R$63:$T$90,3,FALSE),0)-IF(AND($P$16=I$18,$P$14&lt;&gt;$P$15,$P$16=$P$17,RIGHT($P38,3)="2SP"),VLOOKUP(CONCATENATE(LEFT($P38,2),"L"),$R$63:$T$90,3,FALSE),0)-IF(AND($Q$16=I$18,$Q$14&lt;&gt;$Q$15,$Q$16=$Q$17,RIGHT($Q38,3)="2SP"),VLOOKUP(CONCATENATE(LEFT($Q38,2),"L"),$R$63:$T$90,3,FALSE),0)-IF(AND($T$16=I$18,$T$14&lt;&gt;$T$15,$T$16=$T$17,RIGHT($T38,3)="2SP"),VLOOKUP(CONCATENATE(LEFT($T38,2),"L"),$R$63:$T$90,3,FALSE),0)-IF(AND($U$16=I$18,$U$14&lt;&gt;$U$15,$U$16=$U$17,RIGHT($U38,3)="2SP"),VLOOKUP(CONCATENATE(LEFT($U38,2),"L"),$R$63:$T$90,3,FALSE),0)-IF(AND($V$16=I$18,$V$14&lt;&gt;$V$15,$V$16=$V$17,RIGHT($V38,3)="2SP"),VLOOKUP(CONCATENATE(LEFT($V38,2),"L"),$R$63:$T$90,3,FALSE),0)-IF(AND($W$16=I$18,$W$14&lt;&gt;$W$15,$W$16=$W$17,RIGHT($W38,3)="2SP"),VLOOKUP(CONCATENATE(LEFT($W38,2),"L"),$R$63:$T$90,3,FALSE),0)-IF(AND($X$16=I$18,$X$14&lt;&gt;$X$15,$X$16=$X$17,RIGHT($X38,3)="2SP"),VLOOKUP(CONCATENATE(LEFT($X38,2),"L"),$R$63:$T$90,3,FALSE),0)-IF(AND($Y$16=I$18,$Y$14&lt;&gt;$Y$15,$Y$16=$Y$17,RIGHT($Y38,3)="2SP"),VLOOKUP(CONCATENATE(LEFT($Y38,2),"L"),$R$63:$T$90,3,FALSE),0),"")</f>
        <v/>
      </c>
      <c r="J38" s="134">
        <f t="shared" si="3"/>
        <v>29</v>
      </c>
      <c r="K38" s="135" t="s">
        <v>3</v>
      </c>
      <c r="L38" s="135" t="s">
        <v>566</v>
      </c>
      <c r="M38" s="135" t="s">
        <v>391</v>
      </c>
      <c r="N38" s="135" t="s">
        <v>24</v>
      </c>
      <c r="O38" s="135" t="s">
        <v>286</v>
      </c>
      <c r="P38" s="135" t="s">
        <v>388</v>
      </c>
      <c r="Q38" s="135"/>
      <c r="R38" s="135"/>
      <c r="S38" s="135"/>
      <c r="T38" s="135"/>
      <c r="U38" s="135"/>
      <c r="V38" s="135"/>
      <c r="W38" s="135"/>
      <c r="X38" s="135"/>
      <c r="Y38" s="135"/>
      <c r="Z38" s="136"/>
      <c r="AA38" s="136" t="s">
        <v>357</v>
      </c>
      <c r="AB38" s="137" t="s">
        <v>164</v>
      </c>
      <c r="AC38" s="137" t="s">
        <v>568</v>
      </c>
      <c r="AD38" s="137" t="s">
        <v>164</v>
      </c>
      <c r="AE38" s="138">
        <f t="shared" si="0"/>
        <v>29</v>
      </c>
      <c r="AF38" s="78"/>
    </row>
    <row r="39" spans="1:32">
      <c r="A39" s="264">
        <f>IF(AND($K39&lt;&gt;"",$K39&lt;&gt;"--",$K39&lt;&gt;"O3/CP",$K$14=A$18),IF(LEFT($K39,1)="P",VLOOKUP(CONCATENATE(LEFT($K39,2),"H"),$R$63:$T$91,3,FALSE),VLOOKUP($K39,$R$63:$T$91,3,FALSE)))+IF(AND($K39&lt;&gt;"",$K39&lt;&gt;"O3/CP",$K$15=A$18,MID($K39,4,1)="2",$K$15&lt;&gt;$K$14),VLOOKUP(CONCATENATE(LEFT($K39,2),"L"),$R$63:$T$91,3,FALSE),0)+IF(AND($K39="O3/CP",$K$14=A$18),VLOOKUP("O3",$R$63:$T$91,3,FALSE)+VLOOKUP("CP",$R$63:$T$91,3,FALSE),0)+IF(AND($L39&lt;&gt;"",$L39&lt;&gt;"--",$L39&lt;&gt;"O3/CP",$L$14=A$18),IF(LEFT($L39,1)="P",VLOOKUP(CONCATENATE(LEFT($L39,2),"H"),$R$63:$T$91,3,FALSE),VLOOKUP($L39,$R$63:$T$91,3,FALSE)))+IF(AND($L39&lt;&gt;"",$L39&lt;&gt;"O3/CP",$L$15=A$18,MID($L39,4,1)="2",$L$15&lt;&gt;$L$14),VLOOKUP(CONCATENATE(LEFT($L39,2),"L"),$R$63:$T$91,3,FALSE),0)+IF(AND($L39="O3/CP",$L$14=A$18),VLOOKUP("O3",$R$63:$T$91,3,FALSE)+VLOOKUP("CP",$R$63:$T$91,3,FALSE),0)+IF(AND($M39&lt;&gt;"",$M39&lt;&gt;"--",$M39&lt;&gt;"O3/CP",$M$14=A$18),IF(LEFT($M39,1)="P",VLOOKUP(CONCATENATE(LEFT($M39,2),"H"),$R$63:$T$91,3,FALSE),VLOOKUP($M39,$R$63:$T$91,3,FALSE)))+IF(AND($M39&lt;&gt;"",$M39&lt;&gt;"O3/CP",$M$15=A$18,MID($M39,4,1)="2",$M$15&lt;&gt;$M$14),VLOOKUP(CONCATENATE(LEFT($M39,2),"L"),$R$63:$T$91,3,FALSE),0)+IF(AND($M39="O3/CP",$M$14=A$18),VLOOKUP("O3",$R$63:$T$91,3,FALSE)+VLOOKUP("CP",$R$63:$T$91,3,FALSE),0)+IF(AND($N39&lt;&gt;"",$N39&lt;&gt;"--",$N39&lt;&gt;"O3/CP",$N$14=A$18),IF(LEFT($N39,1)="P",VLOOKUP(CONCATENATE(LEFT($N39,2),"H"),$R$63:$T$91,3,FALSE),VLOOKUP($N39,$R$63:$T$91,3,FALSE)))+IF(AND($N39&lt;&gt;"",$N39&lt;&gt;"O3/CP",$N$15=A$18,MID($N39,4,1)="2",$N$15&lt;&gt;$N$14),VLOOKUP(CONCATENATE(LEFT($N39,2),"L"),$R$63:$T$91,3,FALSE),0)+IF(AND($N39="O3/CP",$N$14=A$18),VLOOKUP("O3",$R$63:$T$91,3,FALSE)+VLOOKUP("CP",$R$63:$T$91,3,FALSE),0)+IF(AND($O39&lt;&gt;"",$O39&lt;&gt;"--",$O39&lt;&gt;"O3/CP",$O$14=A$18),IF(LEFT($O39,1)="P",VLOOKUP(CONCATENATE(LEFT($O39,2),"H"),$R$63:$T$91,3,FALSE),VLOOKUP($O39,$R$63:$T$91,3,FALSE)))+IF(AND($O39&lt;&gt;"",$O39&lt;&gt;"O3/CP",$O$15=A$18,MID($O39,4,1)="2",$O$15&lt;&gt;$O$14),VLOOKUP(CONCATENATE(LEFT($O39,2),"L"),$R$63:$T$91,3,FALSE),0)+IF(AND($O39="O3/CP",$O$14=A$18),VLOOKUP("O3",$R$63:$T$91,3,FALSE)+VLOOKUP("CP",$R$63:$T$91,3,FALSE),0)+IF(AND($P39&lt;&gt;"",$P39&lt;&gt;"--",$P39&lt;&gt;"O3/CP",$P$14=A$18),IF(LEFT($P39,1)="P",VLOOKUP(CONCATENATE(LEFT($P39,2),"H"),$R$63:$T$91,3,FALSE),VLOOKUP($P39,$R$63:$T$91,3,FALSE)))+IF(AND($P39&lt;&gt;"",$P39&lt;&gt;"O3/CP",$P$15=A$18,MID($P39,4,1)="2",$P$15&lt;&gt;$P$14),VLOOKUP(CONCATENATE(LEFT($P39,2),"L"),$R$63:$T$91,3,FALSE),0)+IF(AND($P39="O3/CP",$P$14=A$18),VLOOKUP("O3",$R$63:$T$91,3,FALSE)+VLOOKUP("CP",$R$63:$T$91,3,FALSE),0)+IF(AND($Q39&lt;&gt;"",$Q39&lt;&gt;"--",$Q39&lt;&gt;"O3/CP",$Q$14=A$18),IF(LEFT($Q39,1)="P",VLOOKUP(CONCATENATE(LEFT($Q39,2),"H"),$R$63:$T$91,3,FALSE),VLOOKUP($Q39,$R$63:$T$91,3,FALSE)))+IF(AND($Q39&lt;&gt;"",$Q39&lt;&gt;"O3/CP",$Q$15=A$18,MID($Q39,4,1)="2",$Q$15&lt;&gt;$Q$14),VLOOKUP(CONCATENATE(LEFT($Q39,2),"L"),$R$63:$T$91,3,FALSE),0)+IF(AND($Q39="O3/CP",$Q$14=A$18),VLOOKUP("O3",$R$63:$T$91,3,FALSE)+VLOOKUP("CP",$R$63:$T$91,3,FALSE),0)+IF(AND($R39&lt;&gt;"",$R39&lt;&gt;"--",$R39&lt;&gt;"O3/CP",$R$14=A$18),IF(LEFT($R39,1)="P",VLOOKUP(CONCATENATE(LEFT($R39,2),"H"),$R$63:$T$91,3,FALSE),VLOOKUP($R39,$R$63:$T$91,3,FALSE)))+IF(AND($R39&lt;&gt;"",$R39&lt;&gt;"O3/CP",$R$15=A$18,MID($R39,4,1)="2",$R$15&lt;&gt;$R$14),VLOOKUP(CONCATENATE(LEFT($R39,2),"L"),$R$63:$T$91,3,FALSE),0)+IF(AND($R39="O3/CP",$R$14=A$18),VLOOKUP("O3",$R$63:$T$91,3,FALSE)+VLOOKUP("CP",$R$63:$T$91,3,FALSE),0)+IF(AND($S39&lt;&gt;"",$S39&lt;&gt;"--",$S39&lt;&gt;"O3/CP",$S$14=A$18),IF(LEFT($S39,1)="P",VLOOKUP(CONCATENATE(LEFT($S39,2),"H"),$R$63:$T$91,3,FALSE),VLOOKUP($S39,$R$63:$T$91,3,FALSE)))+IF(AND($S39&lt;&gt;"",$S39&lt;&gt;"O3/CP",$S$15=A$18,MID($S39,4,1)="2",$S$15&lt;&gt;$S$14),VLOOKUP(CONCATENATE(LEFT($S39,2),"L"),$R$63:$T$91,3,FALSE),0)+IF(AND($S39="O3/CP",$S$14=A$18),VLOOKUP("O3",$R$63:$T$91,3,FALSE)+VLOOKUP("CP",$R$63:$T$91,3,FALSE),0)+IF(AND($T39&lt;&gt;"",$T39&lt;&gt;"--",$T39&lt;&gt;"O3/CP",$T$14=A$18),IF(LEFT($T39,1)="P",VLOOKUP(CONCATENATE(LEFT($T39,2),"H"),$R$63:$T$91,3,FALSE),VLOOKUP($T39,$R$63:$T$91,3,FALSE)))+IF(AND($T39&lt;&gt;"",$T39&lt;&gt;"O3/CP",$T$15=A$18,MID($T39,4,1)="2",$T$15&lt;&gt;$T$14),VLOOKUP(CONCATENATE(LEFT($T39,2),"L"),$R$63:$T$91,3,FALSE),0)+IF(AND($T39="O3/CP",$T$14=A$18),VLOOKUP("O3",$R$63:$T$91,3,FALSE)+VLOOKUP("CP",$R$63:$T$91,3,FALSE),0)+IF(AND($U39&lt;&gt;"",$U39&lt;&gt;"--",$U39&lt;&gt;"O3/CP",$U$14=A$18),IF(LEFT($U39,1)="P",VLOOKUP(CONCATENATE(LEFT($U39,2),"H"),$R$63:$T$91,3,FALSE),VLOOKUP($U39,$R$63:$T$91,3,FALSE)))+IF(AND($U39&lt;&gt;"",$U39&lt;&gt;"O3/CP",$U$15=A$18,MID($U39,4,1)="2",$U$15&lt;&gt;$U$14),VLOOKUP(CONCATENATE(LEFT($U39,2),"L"),$R$63:$T$91,3,FALSE),0)+IF(AND($U39="O3/CP",$T$14=A$18),VLOOKUP("O3",$R$63:$T$91,3,FALSE)+VLOOKUP("CP",$R$63:$T$91,3,FALSE),0)+IF(AND($V39&lt;&gt;"",$V39&lt;&gt;"--",$V39&lt;&gt;"O3/CP",$V$14=A$18),IF(LEFT($V39,1)="P",VLOOKUP(CONCATENATE(LEFT($V39,2),"H"),$R$63:$T$91,3,FALSE),VLOOKUP($V39,$R$63:$T$91,3,FALSE)))+IF(AND($V39&lt;&gt;"",$V39&lt;&gt;"O3/CP",$V$15=A$18,MID($V39,4,1)="2",$V$15&lt;&gt;$V$14),VLOOKUP(CONCATENATE(LEFT($V39,2),"L"),$R$63:$T$91,3,FALSE),0)+IF(AND($V39="O3/CP",$V$14=A$18),VLOOKUP("O3",$R$63:$T$91,3,FALSE)+VLOOKUP("CP",$R$63:$T$91,3,FALSE),0)+IF(AND($W39&lt;&gt;"",$W39&lt;&gt;"--",$W39&lt;&gt;"O3/CP",$W$14=A$18),IF(LEFT($W39,1)="P",VLOOKUP(CONCATENATE(LEFT($W39,2),"H"),$R$63:$T$91,3,FALSE),VLOOKUP($W39,$R$63:$T$91,3,FALSE)))+IF(AND($W39&lt;&gt;"",$W39&lt;&gt;"O3/CP",$W$15=A$18,MID($W39,4,1)="2",$W$15&lt;&gt;$W$14),VLOOKUP(CONCATENATE(LEFT($W39,2),"L"),$R$63:$T$91,3,FALSE),0)+IF(AND($W39="O3/CP",$W$14=A$18),VLOOKUP("O3",$R$63:$T$91,3,FALSE)+VLOOKUP("CP",$R$63:$T$91,3,FALSE),0)+IF(AND($X39&lt;&gt;"",$X39&lt;&gt;"--",$X39&lt;&gt;"O3/CP",$X$14=A$18),IF(LEFT($X39,1)="P",VLOOKUP(CONCATENATE(LEFT($X39,2),"H"),$R$63:$T$91,3,FALSE),VLOOKUP($X39,$R$63:$T$91,3,FALSE)))+IF(AND($X39&lt;&gt;"",$X39&lt;&gt;"O3/CP",$X$15=A$18,MID($X39,4,1)="2",$X$15&lt;&gt;$X$14),VLOOKUP(CONCATENATE(LEFT($X39,2),"L"),$R$63:$T$91,3,FALSE),0)+IF(AND($X39="O3/CP",$X$14=A$18),VLOOKUP("O3",$R$63:$T$91,3,FALSE)+VLOOKUP("CP",$R$63:$T$91,3,FALSE),0)+IF(AND($Y39&lt;&gt;"",$Y39&lt;&gt;"--",$Y39&lt;&gt;"O3/CP",$Y$14=A$18),IF(LEFT($Y39,1)="P",VLOOKUP(CONCATENATE(LEFT($Y39,2),"H"),$R$63:$T$91,3,FALSE),VLOOKUP($Y39,$R$63:$T$91,3,FALSE)))+IF(AND($Y39&lt;&gt;"",$Y39&lt;&gt;"O3/CP",$Y$15=A$18,MID($Y39,4,1)="2",$Y$15&lt;&gt;$Y$14),VLOOKUP(CONCATENATE(LEFT($Y39,2),"L"),$R$63:$T$91,3,FALSE),0)+IF(AND($Y39="O3/CP",$Y$14=A$18),VLOOKUP("O3",$R$63:$T$91,3,FALSE)+VLOOKUP("CP",$R$63:$T$91,3,FALSE),0)+IF(AND($K$6="CE",'[3]Supply Attribution'!$G$20=A$18),LEFT($S$90,2),0)+IF(AND($X$86&lt;&gt;"Not Set",$X$87=A$18),$X$86,0)</f>
        <v>13</v>
      </c>
      <c r="B39" s="271">
        <f>IF(AND($K39&lt;&gt;"",$K39&lt;&gt;"--",$K39&lt;&gt;"O3/CP",$K$14=B$18),IF(LEFT($K39,1)="P",VLOOKUP(CONCATENATE(LEFT($K39,2),"H"),$R$63:$T$91,3,FALSE),VLOOKUP($K39,$R$63:$T$91,3,FALSE)))+IF(AND($K39&lt;&gt;"",$K39&lt;&gt;"O3/CP",$K$15=B$18,MID($K39,4,1)="2",$K$15&lt;&gt;$K$14),VLOOKUP(CONCATENATE(LEFT($K39,2),"L"),$R$63:$T$91,3,FALSE),0)+IF(AND($K39="O3/CP",$K$14=B$18),VLOOKUP("O3",$R$63:$T$91,3,FALSE)+VLOOKUP("CP",$R$63:$T$91,3,FALSE),0)+IF(AND($L39&lt;&gt;"",$L39&lt;&gt;"--",$L39&lt;&gt;"O3/CP",$L$14=B$18),IF(LEFT($L39,1)="P",VLOOKUP(CONCATENATE(LEFT($L39,2),"H"),$R$63:$T$91,3,FALSE),VLOOKUP($L39,$R$63:$T$91,3,FALSE)))+IF(AND($L39&lt;&gt;"",$L39&lt;&gt;"O3/CP",$L$15=B$18,MID($L39,4,1)="2",$L$15&lt;&gt;$L$14),VLOOKUP(CONCATENATE(LEFT($L39,2),"L"),$R$63:$T$91,3,FALSE),0)+IF(AND($L39="O3/CP",$L$14=B$18),VLOOKUP("O3",$R$63:$T$91,3,FALSE)+VLOOKUP("CP",$R$63:$T$91,3,FALSE),0)+IF(AND($M39&lt;&gt;"",$M39&lt;&gt;"--",$M39&lt;&gt;"O3/CP",$M$14=B$18),IF(LEFT($M39,1)="P",VLOOKUP(CONCATENATE(LEFT($M39,2),"H"),$R$63:$T$91,3,FALSE),VLOOKUP($M39,$R$63:$T$91,3,FALSE)))+IF(AND($M39&lt;&gt;"",$M39&lt;&gt;"O3/CP",$M$15=B$18,MID($M39,4,1)="2",$M$15&lt;&gt;$M$14),VLOOKUP(CONCATENATE(LEFT($M39,2),"L"),$R$63:$T$91,3,FALSE),0)+IF(AND($M39="O3/CP",$M$14=B$18),VLOOKUP("O3",$R$63:$T$91,3,FALSE)+VLOOKUP("CP",$R$63:$T$91,3,FALSE),0)+IF(AND($N39&lt;&gt;"",$N39&lt;&gt;"--",$N39&lt;&gt;"O3/CP",$N$14=B$18),IF(LEFT($N39,1)="P",VLOOKUP(CONCATENATE(LEFT($N39,2),"H"),$R$63:$T$91,3,FALSE),VLOOKUP($N39,$R$63:$T$91,3,FALSE)))+IF(AND($N39&lt;&gt;"",$N39&lt;&gt;"O3/CP",$N$15=B$18,MID($N39,4,1)="2",$N$15&lt;&gt;$N$14),VLOOKUP(CONCATENATE(LEFT($N39,2),"L"),$R$63:$T$91,3,FALSE),0)+IF(AND($N39="O3/CP",$N$14=B$18),VLOOKUP("O3",$R$63:$T$91,3,FALSE)+VLOOKUP("CP",$R$63:$T$91,3,FALSE),0)+IF(AND($O39&lt;&gt;"",$O39&lt;&gt;"--",$O39&lt;&gt;"O3/CP",$O$14=B$18),IF(LEFT($O39,1)="P",VLOOKUP(CONCATENATE(LEFT($O39,2),"H"),$R$63:$T$91,3,FALSE),VLOOKUP($O39,$R$63:$T$91,3,FALSE)))+IF(AND($O39&lt;&gt;"",$O39&lt;&gt;"O3/CP",$O$15=B$18,MID($O39,4,1)="2",$O$15&lt;&gt;$O$14),VLOOKUP(CONCATENATE(LEFT($O39,2),"L"),$R$63:$T$91,3,FALSE),0)+IF(AND($O39="O3/CP",$O$14=B$18),VLOOKUP("O3",$R$63:$T$91,3,FALSE)+VLOOKUP("CP",$R$63:$T$91,3,FALSE),0)+IF(AND($P39&lt;&gt;"",$P39&lt;&gt;"--",$P39&lt;&gt;"O3/CP",$P$14=B$18),IF(LEFT($P39,1)="P",VLOOKUP(CONCATENATE(LEFT($P39,2),"H"),$R$63:$T$91,3,FALSE),VLOOKUP($P39,$R$63:$T$91,3,FALSE)))+IF(AND($P39&lt;&gt;"",$P39&lt;&gt;"O3/CP",$P$15=B$18,MID($P39,4,1)="2",$P$15&lt;&gt;$P$14),VLOOKUP(CONCATENATE(LEFT($P39,2),"L"),$R$63:$T$91,3,FALSE),0)+IF(AND($P39="O3/CP",$P$14=B$18),VLOOKUP("O3",$R$63:$T$91,3,FALSE)+VLOOKUP("CP",$R$63:$T$91,3,FALSE),0)+IF(AND($Q39&lt;&gt;"",$Q39&lt;&gt;"--",$Q39&lt;&gt;"O3/CP",$Q$14=B$18),IF(LEFT($Q39,1)="P",VLOOKUP(CONCATENATE(LEFT($Q39,2),"H"),$R$63:$T$91,3,FALSE),VLOOKUP($Q39,$R$63:$T$91,3,FALSE)))+IF(AND($Q39&lt;&gt;"",$Q39&lt;&gt;"O3/CP",$Q$15=B$18,MID($Q39,4,1)="2",$Q$15&lt;&gt;$Q$14),VLOOKUP(CONCATENATE(LEFT($Q39,2),"L"),$R$63:$T$91,3,FALSE),0)+IF(AND($Q39="O3/CP",$Q$14=B$18),VLOOKUP("O3",$R$63:$T$91,3,FALSE)+VLOOKUP("CP",$R$63:$T$91,3,FALSE),0)+IF(AND($R39&lt;&gt;"",$R39&lt;&gt;"--",$R39&lt;&gt;"O3/CP",$R$14=B$18),IF(LEFT($R39,1)="P",VLOOKUP(CONCATENATE(LEFT($R39,2),"H"),$R$63:$T$91,3,FALSE),VLOOKUP($R39,$R$63:$T$91,3,FALSE)))+IF(AND($R39&lt;&gt;"",$R39&lt;&gt;"O3/CP",$R$15=B$18,MID($R39,4,1)="2",$R$15&lt;&gt;$R$14),VLOOKUP(CONCATENATE(LEFT($R39,2),"L"),$R$63:$T$91,3,FALSE),0)+IF(AND($R39="O3/CP",$R$14=B$18),VLOOKUP("O3",$R$63:$T$91,3,FALSE)+VLOOKUP("CP",$R$63:$T$91,3,FALSE),0)+IF(AND($S39&lt;&gt;"",$S39&lt;&gt;"--",$S39&lt;&gt;"O3/CP",$S$14=B$18),IF(LEFT($S39,1)="P",VLOOKUP(CONCATENATE(LEFT($S39,2),"H"),$R$63:$T$91,3,FALSE),VLOOKUP($S39,$R$63:$T$91,3,FALSE)))+IF(AND($S39&lt;&gt;"",$S39&lt;&gt;"O3/CP",$S$15=B$18,MID($S39,4,1)="2",$S$15&lt;&gt;$S$14),VLOOKUP(CONCATENATE(LEFT($S39,2),"L"),$R$63:$T$91,3,FALSE),0)+IF(AND($S39="O3/CP",$S$14=B$18),VLOOKUP("O3",$R$63:$T$91,3,FALSE)+VLOOKUP("CP",$R$63:$T$91,3,FALSE),0)+IF(AND($T39&lt;&gt;"",$T39&lt;&gt;"--",$T39&lt;&gt;"O3/CP",$T$14=B$18),IF(LEFT($T39,1)="P",VLOOKUP(CONCATENATE(LEFT($T39,2),"H"),$R$63:$T$91,3,FALSE),VLOOKUP($T39,$R$63:$T$91,3,FALSE)))+IF(AND($T39&lt;&gt;"",$T39&lt;&gt;"O3/CP",$T$15=B$18,MID($T39,4,1)="2",$T$15&lt;&gt;$T$14),VLOOKUP(CONCATENATE(LEFT($T39,2),"L"),$R$63:$T$91,3,FALSE),0)+IF(AND($T39="O3/CP",$T$14=B$18),VLOOKUP("O3",$R$63:$T$91,3,FALSE)+VLOOKUP("CP",$R$63:$T$91,3,FALSE),0)+IF(AND($U39&lt;&gt;"",$U39&lt;&gt;"--",$U39&lt;&gt;"O3/CP",$U$14=B$18),IF(LEFT($U39,1)="P",VLOOKUP(CONCATENATE(LEFT($U39,2),"H"),$R$63:$T$91,3,FALSE),VLOOKUP($U39,$R$63:$T$91,3,FALSE)))+IF(AND($U39&lt;&gt;"",$U39&lt;&gt;"O3/CP",$U$15=B$18,MID($U39,4,1)="2",$U$15&lt;&gt;$U$14),VLOOKUP(CONCATENATE(LEFT($U39,2),"L"),$R$63:$T$91,3,FALSE),0)+IF(AND($U39="O3/CP",$T$14=B$18),VLOOKUP("O3",$R$63:$T$91,3,FALSE)+VLOOKUP("CP",$R$63:$T$91,3,FALSE),0)+IF(AND($V39&lt;&gt;"",$V39&lt;&gt;"--",$V39&lt;&gt;"O3/CP",$V$14=B$18),IF(LEFT($V39,1)="P",VLOOKUP(CONCATENATE(LEFT($V39,2),"H"),$R$63:$T$91,3,FALSE),VLOOKUP($V39,$R$63:$T$91,3,FALSE)))+IF(AND($V39&lt;&gt;"",$V39&lt;&gt;"O3/CP",$V$15=B$18,MID($V39,4,1)="2",$V$15&lt;&gt;$V$14),VLOOKUP(CONCATENATE(LEFT($V39,2),"L"),$R$63:$T$91,3,FALSE),0)+IF(AND($V39="O3/CP",$V$14=B$18),VLOOKUP("O3",$R$63:$T$91,3,FALSE)+VLOOKUP("CP",$R$63:$T$91,3,FALSE),0)+IF(AND($W39&lt;&gt;"",$W39&lt;&gt;"--",$W39&lt;&gt;"O3/CP",$W$14=B$18),IF(LEFT($W39,1)="P",VLOOKUP(CONCATENATE(LEFT($W39,2),"H"),$R$63:$T$91,3,FALSE),VLOOKUP($W39,$R$63:$T$91,3,FALSE)))+IF(AND($W39&lt;&gt;"",$W39&lt;&gt;"O3/CP",$W$15=B$18,MID($W39,4,1)="2",$W$15&lt;&gt;$W$14),VLOOKUP(CONCATENATE(LEFT($W39,2),"L"),$R$63:$T$91,3,FALSE),0)+IF(AND($W39="O3/CP",$W$14=B$18),VLOOKUP("O3",$R$63:$T$91,3,FALSE)+VLOOKUP("CP",$R$63:$T$91,3,FALSE),0)+IF(AND($X39&lt;&gt;"",$X39&lt;&gt;"--",$X39&lt;&gt;"O3/CP",$X$14=B$18),IF(LEFT($X39,1)="P",VLOOKUP(CONCATENATE(LEFT($X39,2),"H"),$R$63:$T$91,3,FALSE),VLOOKUP($X39,$R$63:$T$91,3,FALSE)))+IF(AND($X39&lt;&gt;"",$X39&lt;&gt;"O3/CP",$X$15=B$18,MID($X39,4,1)="2",$X$15&lt;&gt;$X$14),VLOOKUP(CONCATENATE(LEFT($X39,2),"L"),$R$63:$T$91,3,FALSE),0)+IF(AND($X39="O3/CP",$X$14=B$18),VLOOKUP("O3",$R$63:$T$91,3,FALSE)+VLOOKUP("CP",$R$63:$T$91,3,FALSE),0)+IF(AND($Y39&lt;&gt;"",$Y39&lt;&gt;"--",$Y39&lt;&gt;"O3/CP",$Y$14=B$18),IF(LEFT($Y39,1)="P",VLOOKUP(CONCATENATE(LEFT($Y39,2),"H"),$R$63:$T$91,3,FALSE),VLOOKUP($Y39,$R$63:$T$91,3,FALSE)))+IF(AND($Y39&lt;&gt;"",$Y39&lt;&gt;"O3/CP",$Y$15=B$18,MID($Y39,4,1)="2",$Y$15&lt;&gt;$Y$14),VLOOKUP(CONCATENATE(LEFT($Y39,2),"L"),$R$63:$T$91,3,FALSE),0)+IF(AND($Y39="O3/CP",$Y$14=B$18),VLOOKUP("O3",$R$63:$T$91,3,FALSE)+VLOOKUP("CP",$R$63:$T$91,3,FALSE),0)+IF(AND($K$6="CE",'[3]Supply Attribution'!$G$20=B$18),LEFT($S$90,2),0)+IF(AND($X$86&lt;&gt;"Not Set",$X$87=B$18),$X$86,0)</f>
        <v>6</v>
      </c>
      <c r="C39" s="271">
        <f>IF(AND($K39&lt;&gt;"",$K39&lt;&gt;"--",$K39&lt;&gt;"O3/CP",$K$14=C$18),IF(LEFT($K39,1)="P",VLOOKUP(CONCATENATE(LEFT($K39,2),"H"),$R$63:$T$91,3,FALSE),VLOOKUP($K39,$R$63:$T$91,3,FALSE)))+IF(AND($K39&lt;&gt;"",$K39&lt;&gt;"O3/CP",$K$15=C$18,MID($K39,4,1)="2",$K$15&lt;&gt;$K$14),VLOOKUP(CONCATENATE(LEFT($K39,2),"L"),$R$63:$T$91,3,FALSE),0)+IF(AND($K39="O3/CP",$K$14=C$18),VLOOKUP("O3",$R$63:$T$91,3,FALSE)+VLOOKUP("CP",$R$63:$T$91,3,FALSE),0)+IF(AND($L39&lt;&gt;"",$L39&lt;&gt;"--",$L39&lt;&gt;"O3/CP",$L$14=C$18),IF(LEFT($L39,1)="P",VLOOKUP(CONCATENATE(LEFT($L39,2),"H"),$R$63:$T$91,3,FALSE),VLOOKUP($L39,$R$63:$T$91,3,FALSE)))+IF(AND($L39&lt;&gt;"",$L39&lt;&gt;"O3/CP",$L$15=C$18,MID($L39,4,1)="2",$L$15&lt;&gt;$L$14),VLOOKUP(CONCATENATE(LEFT($L39,2),"L"),$R$63:$T$91,3,FALSE),0)+IF(AND($L39="O3/CP",$L$14=C$18),VLOOKUP("O3",$R$63:$T$91,3,FALSE)+VLOOKUP("CP",$R$63:$T$91,3,FALSE),0)+IF(AND($M39&lt;&gt;"",$M39&lt;&gt;"--",$M39&lt;&gt;"O3/CP",$M$14=C$18),IF(LEFT($M39,1)="P",VLOOKUP(CONCATENATE(LEFT($M39,2),"H"),$R$63:$T$91,3,FALSE),VLOOKUP($M39,$R$63:$T$91,3,FALSE)))+IF(AND($M39&lt;&gt;"",$M39&lt;&gt;"O3/CP",$M$15=C$18,MID($M39,4,1)="2",$M$15&lt;&gt;$M$14),VLOOKUP(CONCATENATE(LEFT($M39,2),"L"),$R$63:$T$91,3,FALSE),0)+IF(AND($M39="O3/CP",$M$14=C$18),VLOOKUP("O3",$R$63:$T$91,3,FALSE)+VLOOKUP("CP",$R$63:$T$91,3,FALSE),0)+IF(AND($N39&lt;&gt;"",$N39&lt;&gt;"--",$N39&lt;&gt;"O3/CP",$N$14=C$18),IF(LEFT($N39,1)="P",VLOOKUP(CONCATENATE(LEFT($N39,2),"H"),$R$63:$T$91,3,FALSE),VLOOKUP($N39,$R$63:$T$91,3,FALSE)))+IF(AND($N39&lt;&gt;"",$N39&lt;&gt;"O3/CP",$N$15=C$18,MID($N39,4,1)="2",$N$15&lt;&gt;$N$14),VLOOKUP(CONCATENATE(LEFT($N39,2),"L"),$R$63:$T$91,3,FALSE),0)+IF(AND($N39="O3/CP",$N$14=C$18),VLOOKUP("O3",$R$63:$T$91,3,FALSE)+VLOOKUP("CP",$R$63:$T$91,3,FALSE),0)+IF(AND($O39&lt;&gt;"",$O39&lt;&gt;"--",$O39&lt;&gt;"O3/CP",$O$14=C$18),IF(LEFT($O39,1)="P",VLOOKUP(CONCATENATE(LEFT($O39,2),"H"),$R$63:$T$91,3,FALSE),VLOOKUP($O39,$R$63:$T$91,3,FALSE)))+IF(AND($O39&lt;&gt;"",$O39&lt;&gt;"O3/CP",$O$15=C$18,MID($O39,4,1)="2",$O$15&lt;&gt;$O$14),VLOOKUP(CONCATENATE(LEFT($O39,2),"L"),$R$63:$T$91,3,FALSE),0)+IF(AND($O39="O3/CP",$O$14=C$18),VLOOKUP("O3",$R$63:$T$91,3,FALSE)+VLOOKUP("CP",$R$63:$T$91,3,FALSE),0)+IF(AND($P39&lt;&gt;"",$P39&lt;&gt;"--",$P39&lt;&gt;"O3/CP",$P$14=C$18),IF(LEFT($P39,1)="P",VLOOKUP(CONCATENATE(LEFT($P39,2),"H"),$R$63:$T$91,3,FALSE),VLOOKUP($P39,$R$63:$T$91,3,FALSE)))+IF(AND($P39&lt;&gt;"",$P39&lt;&gt;"O3/CP",$P$15=C$18,MID($P39,4,1)="2",$P$15&lt;&gt;$P$14),VLOOKUP(CONCATENATE(LEFT($P39,2),"L"),$R$63:$T$91,3,FALSE),0)+IF(AND($P39="O3/CP",$P$14=C$18),VLOOKUP("O3",$R$63:$T$91,3,FALSE)+VLOOKUP("CP",$R$63:$T$91,3,FALSE),0)+IF(AND($Q39&lt;&gt;"",$Q39&lt;&gt;"--",$Q39&lt;&gt;"O3/CP",$Q$14=C$18),IF(LEFT($Q39,1)="P",VLOOKUP(CONCATENATE(LEFT($Q39,2),"H"),$R$63:$T$91,3,FALSE),VLOOKUP($Q39,$R$63:$T$91,3,FALSE)))+IF(AND($Q39&lt;&gt;"",$Q39&lt;&gt;"O3/CP",$Q$15=C$18,MID($Q39,4,1)="2",$Q$15&lt;&gt;$Q$14),VLOOKUP(CONCATENATE(LEFT($Q39,2),"L"),$R$63:$T$91,3,FALSE),0)+IF(AND($Q39="O3/CP",$Q$14=C$18),VLOOKUP("O3",$R$63:$T$91,3,FALSE)+VLOOKUP("CP",$R$63:$T$91,3,FALSE),0)+IF(AND($R39&lt;&gt;"",$R39&lt;&gt;"--",$R39&lt;&gt;"O3/CP",$R$14=C$18),IF(LEFT($R39,1)="P",VLOOKUP(CONCATENATE(LEFT($R39,2),"H"),$R$63:$T$91,3,FALSE),VLOOKUP($R39,$R$63:$T$91,3,FALSE)))+IF(AND($R39&lt;&gt;"",$R39&lt;&gt;"O3/CP",$R$15=C$18,MID($R39,4,1)="2",$R$15&lt;&gt;$R$14),VLOOKUP(CONCATENATE(LEFT($R39,2),"L"),$R$63:$T$91,3,FALSE),0)+IF(AND($R39="O3/CP",$R$14=C$18),VLOOKUP("O3",$R$63:$T$91,3,FALSE)+VLOOKUP("CP",$R$63:$T$91,3,FALSE),0)+IF(AND($S39&lt;&gt;"",$S39&lt;&gt;"--",$S39&lt;&gt;"O3/CP",$S$14=C$18),IF(LEFT($S39,1)="P",VLOOKUP(CONCATENATE(LEFT($S39,2),"H"),$R$63:$T$91,3,FALSE),VLOOKUP($S39,$R$63:$T$91,3,FALSE)))+IF(AND($S39&lt;&gt;"",$S39&lt;&gt;"O3/CP",$S$15=C$18,MID($S39,4,1)="2",$S$15&lt;&gt;$S$14),VLOOKUP(CONCATENATE(LEFT($S39,2),"L"),$R$63:$T$91,3,FALSE),0)+IF(AND($S39="O3/CP",$S$14=C$18),VLOOKUP("O3",$R$63:$T$91,3,FALSE)+VLOOKUP("CP",$R$63:$T$91,3,FALSE),0)+IF(AND($T39&lt;&gt;"",$T39&lt;&gt;"--",$T39&lt;&gt;"O3/CP",$T$14=C$18),IF(LEFT($T39,1)="P",VLOOKUP(CONCATENATE(LEFT($T39,2),"H"),$R$63:$T$91,3,FALSE),VLOOKUP($T39,$R$63:$T$91,3,FALSE)))+IF(AND($T39&lt;&gt;"",$T39&lt;&gt;"O3/CP",$T$15=C$18,MID($T39,4,1)="2",$T$15&lt;&gt;$T$14),VLOOKUP(CONCATENATE(LEFT($T39,2),"L"),$R$63:$T$91,3,FALSE),0)+IF(AND($T39="O3/CP",$T$14=C$18),VLOOKUP("O3",$R$63:$T$91,3,FALSE)+VLOOKUP("CP",$R$63:$T$91,3,FALSE),0)+IF(AND($U39&lt;&gt;"",$U39&lt;&gt;"--",$U39&lt;&gt;"O3/CP",$U$14=C$18),IF(LEFT($U39,1)="P",VLOOKUP(CONCATENATE(LEFT($U39,2),"H"),$R$63:$T$91,3,FALSE),VLOOKUP($U39,$R$63:$T$91,3,FALSE)))+IF(AND($U39&lt;&gt;"",$U39&lt;&gt;"O3/CP",$U$15=C$18,MID($U39,4,1)="2",$U$15&lt;&gt;$U$14),VLOOKUP(CONCATENATE(LEFT($U39,2),"L"),$R$63:$T$91,3,FALSE),0)+IF(AND($U39="O3/CP",$T$14=C$18),VLOOKUP("O3",$R$63:$T$91,3,FALSE)+VLOOKUP("CP",$R$63:$T$91,3,FALSE),0)+IF(AND($V39&lt;&gt;"",$V39&lt;&gt;"--",$V39&lt;&gt;"O3/CP",$V$14=C$18),IF(LEFT($V39,1)="P",VLOOKUP(CONCATENATE(LEFT($V39,2),"H"),$R$63:$T$91,3,FALSE),VLOOKUP($V39,$R$63:$T$91,3,FALSE)))+IF(AND($V39&lt;&gt;"",$V39&lt;&gt;"O3/CP",$V$15=C$18,MID($V39,4,1)="2",$V$15&lt;&gt;$V$14),VLOOKUP(CONCATENATE(LEFT($V39,2),"L"),$R$63:$T$91,3,FALSE),0)+IF(AND($V39="O3/CP",$V$14=C$18),VLOOKUP("O3",$R$63:$T$91,3,FALSE)+VLOOKUP("CP",$R$63:$T$91,3,FALSE),0)+IF(AND($W39&lt;&gt;"",$W39&lt;&gt;"--",$W39&lt;&gt;"O3/CP",$W$14=C$18),IF(LEFT($W39,1)="P",VLOOKUP(CONCATENATE(LEFT($W39,2),"H"),$R$63:$T$91,3,FALSE),VLOOKUP($W39,$R$63:$T$91,3,FALSE)))+IF(AND($W39&lt;&gt;"",$W39&lt;&gt;"O3/CP",$W$15=C$18,MID($W39,4,1)="2",$W$15&lt;&gt;$W$14),VLOOKUP(CONCATENATE(LEFT($W39,2),"L"),$R$63:$T$91,3,FALSE),0)+IF(AND($W39="O3/CP",$W$14=C$18),VLOOKUP("O3",$R$63:$T$91,3,FALSE)+VLOOKUP("CP",$R$63:$T$91,3,FALSE),0)+IF(AND($X39&lt;&gt;"",$X39&lt;&gt;"--",$X39&lt;&gt;"O3/CP",$X$14=C$18),IF(LEFT($X39,1)="P",VLOOKUP(CONCATENATE(LEFT($X39,2),"H"),$R$63:$T$91,3,FALSE),VLOOKUP($X39,$R$63:$T$91,3,FALSE)))+IF(AND($X39&lt;&gt;"",$X39&lt;&gt;"O3/CP",$X$15=C$18,MID($X39,4,1)="2",$X$15&lt;&gt;$X$14),VLOOKUP(CONCATENATE(LEFT($X39,2),"L"),$R$63:$T$91,3,FALSE),0)+IF(AND($X39="O3/CP",$X$14=C$18),VLOOKUP("O3",$R$63:$T$91,3,FALSE)+VLOOKUP("CP",$R$63:$T$91,3,FALSE),0)+IF(AND($Y39&lt;&gt;"",$Y39&lt;&gt;"--",$Y39&lt;&gt;"O3/CP",$Y$14=C$18),IF(LEFT($Y39,1)="P",VLOOKUP(CONCATENATE(LEFT($Y39,2),"H"),$R$63:$T$91,3,FALSE),VLOOKUP($Y39,$R$63:$T$91,3,FALSE)))+IF(AND($Y39&lt;&gt;"",$Y39&lt;&gt;"O3/CP",$Y$15=C$18,MID($Y39,4,1)="2",$Y$15&lt;&gt;$Y$14),VLOOKUP(CONCATENATE(LEFT($Y39,2),"L"),$R$63:$T$91,3,FALSE),0)+IF(AND($Y39="O3/CP",$Y$14=C$18),VLOOKUP("O3",$R$63:$T$91,3,FALSE)+VLOOKUP("CP",$R$63:$T$91,3,FALSE),0)+IF(AND($K$6="CE",'[3]Supply Attribution'!$G$20=C$18),LEFT($S$90,2),0)+IF(AND($X$86&lt;&gt;"Not Set",$X$87=C$18),$X$86,0)</f>
        <v>24</v>
      </c>
      <c r="D39" s="271">
        <f>IF(AND($K39&lt;&gt;"",$K39&lt;&gt;"--",$K39&lt;&gt;"O3/CP",$K$14=D$18),IF(LEFT($K39,1)="P",VLOOKUP(CONCATENATE(LEFT($K39,2),"H"),$R$63:$T$91,3,FALSE),VLOOKUP($K39,$R$63:$T$91,3,FALSE)))+IF(AND($K39&lt;&gt;"",$K39&lt;&gt;"O3/CP",$K$15=D$18,MID($K39,4,1)="2",$K$15&lt;&gt;$K$14),VLOOKUP(CONCATENATE(LEFT($K39,2),"L"),$R$63:$T$91,3,FALSE),0)+IF(AND($K39="O3/CP",$K$14=D$18),VLOOKUP("O3",$R$63:$T$91,3,FALSE)+VLOOKUP("CP",$R$63:$T$91,3,FALSE),0)+IF(AND($L39&lt;&gt;"",$L39&lt;&gt;"--",$L39&lt;&gt;"O3/CP",$L$14=D$18),IF(LEFT($L39,1)="P",VLOOKUP(CONCATENATE(LEFT($L39,2),"H"),$R$63:$T$91,3,FALSE),VLOOKUP($L39,$R$63:$T$91,3,FALSE)))+IF(AND($L39&lt;&gt;"",$L39&lt;&gt;"O3/CP",$L$15=D$18,MID($L39,4,1)="2",$L$15&lt;&gt;$L$14),VLOOKUP(CONCATENATE(LEFT($L39,2),"L"),$R$63:$T$91,3,FALSE),0)+IF(AND($L39="O3/CP",$L$14=D$18),VLOOKUP("O3",$R$63:$T$91,3,FALSE)+VLOOKUP("CP",$R$63:$T$91,3,FALSE),0)+IF(AND($M39&lt;&gt;"",$M39&lt;&gt;"--",$M39&lt;&gt;"O3/CP",$M$14=D$18),IF(LEFT($M39,1)="P",VLOOKUP(CONCATENATE(LEFT($M39,2),"H"),$R$63:$T$91,3,FALSE),VLOOKUP($M39,$R$63:$T$91,3,FALSE)))+IF(AND($M39&lt;&gt;"",$M39&lt;&gt;"O3/CP",$M$15=D$18,MID($M39,4,1)="2",$M$15&lt;&gt;$M$14),VLOOKUP(CONCATENATE(LEFT($M39,2),"L"),$R$63:$T$91,3,FALSE),0)+IF(AND($M39="O3/CP",$M$14=D$18),VLOOKUP("O3",$R$63:$T$91,3,FALSE)+VLOOKUP("CP",$R$63:$T$91,3,FALSE),0)+IF(AND($N39&lt;&gt;"",$N39&lt;&gt;"--",$N39&lt;&gt;"O3/CP",$N$14=D$18),IF(LEFT($N39,1)="P",VLOOKUP(CONCATENATE(LEFT($N39,2),"H"),$R$63:$T$91,3,FALSE),VLOOKUP($N39,$R$63:$T$91,3,FALSE)))+IF(AND($N39&lt;&gt;"",$N39&lt;&gt;"O3/CP",$N$15=D$18,MID($N39,4,1)="2",$N$15&lt;&gt;$N$14),VLOOKUP(CONCATENATE(LEFT($N39,2),"L"),$R$63:$T$91,3,FALSE),0)+IF(AND($N39="O3/CP",$N$14=D$18),VLOOKUP("O3",$R$63:$T$91,3,FALSE)+VLOOKUP("CP",$R$63:$T$91,3,FALSE),0)+IF(AND($O39&lt;&gt;"",$O39&lt;&gt;"--",$O39&lt;&gt;"O3/CP",$O$14=D$18),IF(LEFT($O39,1)="P",VLOOKUP(CONCATENATE(LEFT($O39,2),"H"),$R$63:$T$91,3,FALSE),VLOOKUP($O39,$R$63:$T$91,3,FALSE)))+IF(AND($O39&lt;&gt;"",$O39&lt;&gt;"O3/CP",$O$15=D$18,MID($O39,4,1)="2",$O$15&lt;&gt;$O$14),VLOOKUP(CONCATENATE(LEFT($O39,2),"L"),$R$63:$T$91,3,FALSE),0)+IF(AND($O39="O3/CP",$O$14=D$18),VLOOKUP("O3",$R$63:$T$91,3,FALSE)+VLOOKUP("CP",$R$63:$T$91,3,FALSE),0)+IF(AND($P39&lt;&gt;"",$P39&lt;&gt;"--",$P39&lt;&gt;"O3/CP",$P$14=D$18),IF(LEFT($P39,1)="P",VLOOKUP(CONCATENATE(LEFT($P39,2),"H"),$R$63:$T$91,3,FALSE),VLOOKUP($P39,$R$63:$T$91,3,FALSE)))+IF(AND($P39&lt;&gt;"",$P39&lt;&gt;"O3/CP",$P$15=D$18,MID($P39,4,1)="2",$P$15&lt;&gt;$P$14),VLOOKUP(CONCATENATE(LEFT($P39,2),"L"),$R$63:$T$91,3,FALSE),0)+IF(AND($P39="O3/CP",$P$14=D$18),VLOOKUP("O3",$R$63:$T$91,3,FALSE)+VLOOKUP("CP",$R$63:$T$91,3,FALSE),0)+IF(AND($Q39&lt;&gt;"",$Q39&lt;&gt;"--",$Q39&lt;&gt;"O3/CP",$Q$14=D$18),IF(LEFT($Q39,1)="P",VLOOKUP(CONCATENATE(LEFT($Q39,2),"H"),$R$63:$T$91,3,FALSE),VLOOKUP($Q39,$R$63:$T$91,3,FALSE)))+IF(AND($Q39&lt;&gt;"",$Q39&lt;&gt;"O3/CP",$Q$15=D$18,MID($Q39,4,1)="2",$Q$15&lt;&gt;$Q$14),VLOOKUP(CONCATENATE(LEFT($Q39,2),"L"),$R$63:$T$91,3,FALSE),0)+IF(AND($Q39="O3/CP",$Q$14=D$18),VLOOKUP("O3",$R$63:$T$91,3,FALSE)+VLOOKUP("CP",$R$63:$T$91,3,FALSE),0)+IF(AND($R39&lt;&gt;"",$R39&lt;&gt;"--",$R39&lt;&gt;"O3/CP",$R$14=D$18),IF(LEFT($R39,1)="P",VLOOKUP(CONCATENATE(LEFT($R39,2),"H"),$R$63:$T$91,3,FALSE),VLOOKUP($R39,$R$63:$T$91,3,FALSE)))+IF(AND($R39&lt;&gt;"",$R39&lt;&gt;"O3/CP",$R$15=D$18,MID($R39,4,1)="2",$R$15&lt;&gt;$R$14),VLOOKUP(CONCATENATE(LEFT($R39,2),"L"),$R$63:$T$91,3,FALSE),0)+IF(AND($R39="O3/CP",$R$14=D$18),VLOOKUP("O3",$R$63:$T$91,3,FALSE)+VLOOKUP("CP",$R$63:$T$91,3,FALSE),0)+IF(AND($S39&lt;&gt;"",$S39&lt;&gt;"--",$S39&lt;&gt;"O3/CP",$S$14=D$18),IF(LEFT($S39,1)="P",VLOOKUP(CONCATENATE(LEFT($S39,2),"H"),$R$63:$T$91,3,FALSE),VLOOKUP($S39,$R$63:$T$91,3,FALSE)))+IF(AND($S39&lt;&gt;"",$S39&lt;&gt;"O3/CP",$S$15=D$18,MID($S39,4,1)="2",$S$15&lt;&gt;$S$14),VLOOKUP(CONCATENATE(LEFT($S39,2),"L"),$R$63:$T$91,3,FALSE),0)+IF(AND($S39="O3/CP",$S$14=D$18),VLOOKUP("O3",$R$63:$T$91,3,FALSE)+VLOOKUP("CP",$R$63:$T$91,3,FALSE),0)+IF(AND($T39&lt;&gt;"",$T39&lt;&gt;"--",$T39&lt;&gt;"O3/CP",$T$14=D$18),IF(LEFT($T39,1)="P",VLOOKUP(CONCATENATE(LEFT($T39,2),"H"),$R$63:$T$91,3,FALSE),VLOOKUP($T39,$R$63:$T$91,3,FALSE)))+IF(AND($T39&lt;&gt;"",$T39&lt;&gt;"O3/CP",$T$15=D$18,MID($T39,4,1)="2",$T$15&lt;&gt;$T$14),VLOOKUP(CONCATENATE(LEFT($T39,2),"L"),$R$63:$T$91,3,FALSE),0)+IF(AND($T39="O3/CP",$T$14=D$18),VLOOKUP("O3",$R$63:$T$91,3,FALSE)+VLOOKUP("CP",$R$63:$T$91,3,FALSE),0)+IF(AND($U39&lt;&gt;"",$U39&lt;&gt;"--",$U39&lt;&gt;"O3/CP",$U$14=D$18),IF(LEFT($U39,1)="P",VLOOKUP(CONCATENATE(LEFT($U39,2),"H"),$R$63:$T$91,3,FALSE),VLOOKUP($U39,$R$63:$T$91,3,FALSE)))+IF(AND($U39&lt;&gt;"",$U39&lt;&gt;"O3/CP",$U$15=D$18,MID($U39,4,1)="2",$U$15&lt;&gt;$U$14),VLOOKUP(CONCATENATE(LEFT($U39,2),"L"),$R$63:$T$91,3,FALSE),0)+IF(AND($U39="O3/CP",$T$14=D$18),VLOOKUP("O3",$R$63:$T$91,3,FALSE)+VLOOKUP("CP",$R$63:$T$91,3,FALSE),0)+IF(AND($V39&lt;&gt;"",$V39&lt;&gt;"--",$V39&lt;&gt;"O3/CP",$V$14=D$18),IF(LEFT($V39,1)="P",VLOOKUP(CONCATENATE(LEFT($V39,2),"H"),$R$63:$T$91,3,FALSE),VLOOKUP($V39,$R$63:$T$91,3,FALSE)))+IF(AND($V39&lt;&gt;"",$V39&lt;&gt;"O3/CP",$V$15=D$18,MID($V39,4,1)="2",$V$15&lt;&gt;$V$14),VLOOKUP(CONCATENATE(LEFT($V39,2),"L"),$R$63:$T$91,3,FALSE),0)+IF(AND($V39="O3/CP",$V$14=D$18),VLOOKUP("O3",$R$63:$T$91,3,FALSE)+VLOOKUP("CP",$R$63:$T$91,3,FALSE),0)+IF(AND($W39&lt;&gt;"",$W39&lt;&gt;"--",$W39&lt;&gt;"O3/CP",$W$14=D$18),IF(LEFT($W39,1)="P",VLOOKUP(CONCATENATE(LEFT($W39,2),"H"),$R$63:$T$91,3,FALSE),VLOOKUP($W39,$R$63:$T$91,3,FALSE)))+IF(AND($W39&lt;&gt;"",$W39&lt;&gt;"O3/CP",$W$15=D$18,MID($W39,4,1)="2",$W$15&lt;&gt;$W$14),VLOOKUP(CONCATENATE(LEFT($W39,2),"L"),$R$63:$T$91,3,FALSE),0)+IF(AND($W39="O3/CP",$W$14=D$18),VLOOKUP("O3",$R$63:$T$91,3,FALSE)+VLOOKUP("CP",$R$63:$T$91,3,FALSE),0)+IF(AND($X39&lt;&gt;"",$X39&lt;&gt;"--",$X39&lt;&gt;"O3/CP",$X$14=D$18),IF(LEFT($X39,1)="P",VLOOKUP(CONCATENATE(LEFT($X39,2),"H"),$R$63:$T$91,3,FALSE),VLOOKUP($X39,$R$63:$T$91,3,FALSE)))+IF(AND($X39&lt;&gt;"",$X39&lt;&gt;"O3/CP",$X$15=D$18,MID($X39,4,1)="2",$X$15&lt;&gt;$X$14),VLOOKUP(CONCATENATE(LEFT($X39,2),"L"),$R$63:$T$91,3,FALSE),0)+IF(AND($X39="O3/CP",$X$14=D$18),VLOOKUP("O3",$R$63:$T$91,3,FALSE)+VLOOKUP("CP",$R$63:$T$91,3,FALSE),0)+IF(AND($Y39&lt;&gt;"",$Y39&lt;&gt;"--",$Y39&lt;&gt;"O3/CP",$Y$14=D$18),IF(LEFT($Y39,1)="P",VLOOKUP(CONCATENATE(LEFT($Y39,2),"H"),$R$63:$T$91,3,FALSE),VLOOKUP($Y39,$R$63:$T$91,3,FALSE)))+IF(AND($Y39&lt;&gt;"",$Y39&lt;&gt;"O3/CP",$Y$15=D$18,MID($Y39,4,1)="2",$Y$15&lt;&gt;$Y$14),VLOOKUP(CONCATENATE(LEFT($Y39,2),"L"),$R$63:$T$91,3,FALSE),0)+IF(AND($Y39="O3/CP",$Y$14=D$18),VLOOKUP("O3",$R$63:$T$91,3,FALSE)+VLOOKUP("CP",$R$63:$T$91,3,FALSE),0)+IF(AND($K$6="CE",'[3]Supply Attribution'!$G$20=D$18),LEFT($S$90,2),0)+IF(AND($X$86&lt;&gt;"Not Set",$X$87=D$18),$X$86,0)</f>
        <v>0</v>
      </c>
      <c r="E39" s="271">
        <f>IF(AND($K39&lt;&gt;"",$K39&lt;&gt;"--",$K39&lt;&gt;"O3/CP",$K$14=E$18),IF(LEFT($K39,1)="P",VLOOKUP(CONCATENATE(LEFT($K39,2),"H"),$R$63:$T$91,3,FALSE),VLOOKUP($K39,$R$63:$T$91,3,FALSE)))+IF(AND($K39&lt;&gt;"",$K39&lt;&gt;"O3/CP",$K$15=E$18,MID($K39,4,1)="2",$K$15&lt;&gt;$K$14),VLOOKUP(CONCATENATE(LEFT($K39,2),"L"),$R$63:$T$91,3,FALSE),0)+IF(AND($K39="O3/CP",$K$14=E$18),VLOOKUP("O3",$R$63:$T$91,3,FALSE)+VLOOKUP("CP",$R$63:$T$91,3,FALSE),0)+IF(AND($L39&lt;&gt;"",$L39&lt;&gt;"--",$L39&lt;&gt;"O3/CP",$L$14=E$18),IF(LEFT($L39,1)="P",VLOOKUP(CONCATENATE(LEFT($L39,2),"H"),$R$63:$T$91,3,FALSE),VLOOKUP($L39,$R$63:$T$91,3,FALSE)))+IF(AND($L39&lt;&gt;"",$L39&lt;&gt;"O3/CP",$L$15=E$18,MID($L39,4,1)="2",$L$15&lt;&gt;$L$14),VLOOKUP(CONCATENATE(LEFT($L39,2),"L"),$R$63:$T$91,3,FALSE),0)+IF(AND($L39="O3/CP",$L$14=E$18),VLOOKUP("O3",$R$63:$T$91,3,FALSE)+VLOOKUP("CP",$R$63:$T$91,3,FALSE),0)+IF(AND($M39&lt;&gt;"",$M39&lt;&gt;"--",$M39&lt;&gt;"O3/CP",$M$14=E$18),IF(LEFT($M39,1)="P",VLOOKUP(CONCATENATE(LEFT($M39,2),"H"),$R$63:$T$91,3,FALSE),VLOOKUP($M39,$R$63:$T$91,3,FALSE)))+IF(AND($M39&lt;&gt;"",$M39&lt;&gt;"O3/CP",$M$15=E$18,MID($M39,4,1)="2",$M$15&lt;&gt;$M$14),VLOOKUP(CONCATENATE(LEFT($M39,2),"L"),$R$63:$T$91,3,FALSE),0)+IF(AND($M39="O3/CP",$M$14=E$18),VLOOKUP("O3",$R$63:$T$91,3,FALSE)+VLOOKUP("CP",$R$63:$T$91,3,FALSE),0)+IF(AND($N39&lt;&gt;"",$N39&lt;&gt;"--",$N39&lt;&gt;"O3/CP",$N$14=E$18),IF(LEFT($N39,1)="P",VLOOKUP(CONCATENATE(LEFT($N39,2),"H"),$R$63:$T$91,3,FALSE),VLOOKUP($N39,$R$63:$T$91,3,FALSE)))+IF(AND($N39&lt;&gt;"",$N39&lt;&gt;"O3/CP",$N$15=E$18,MID($N39,4,1)="2",$N$15&lt;&gt;$N$14),VLOOKUP(CONCATENATE(LEFT($N39,2),"L"),$R$63:$T$91,3,FALSE),0)+IF(AND($N39="O3/CP",$N$14=E$18),VLOOKUP("O3",$R$63:$T$91,3,FALSE)+VLOOKUP("CP",$R$63:$T$91,3,FALSE),0)+IF(AND($O39&lt;&gt;"",$O39&lt;&gt;"--",$O39&lt;&gt;"O3/CP",$O$14=E$18),IF(LEFT($O39,1)="P",VLOOKUP(CONCATENATE(LEFT($O39,2),"H"),$R$63:$T$91,3,FALSE),VLOOKUP($O39,$R$63:$T$91,3,FALSE)))+IF(AND($O39&lt;&gt;"",$O39&lt;&gt;"O3/CP",$O$15=E$18,MID($O39,4,1)="2",$O$15&lt;&gt;$O$14),VLOOKUP(CONCATENATE(LEFT($O39,2),"L"),$R$63:$T$91,3,FALSE),0)+IF(AND($O39="O3/CP",$O$14=E$18),VLOOKUP("O3",$R$63:$T$91,3,FALSE)+VLOOKUP("CP",$R$63:$T$91,3,FALSE),0)+IF(AND($P39&lt;&gt;"",$P39&lt;&gt;"--",$P39&lt;&gt;"O3/CP",$P$14=E$18),IF(LEFT($P39,1)="P",VLOOKUP(CONCATENATE(LEFT($P39,2),"H"),$R$63:$T$91,3,FALSE),VLOOKUP($P39,$R$63:$T$91,3,FALSE)))+IF(AND($P39&lt;&gt;"",$P39&lt;&gt;"O3/CP",$P$15=E$18,MID($P39,4,1)="2",$P$15&lt;&gt;$P$14),VLOOKUP(CONCATENATE(LEFT($P39,2),"L"),$R$63:$T$91,3,FALSE),0)+IF(AND($P39="O3/CP",$P$14=E$18),VLOOKUP("O3",$R$63:$T$91,3,FALSE)+VLOOKUP("CP",$R$63:$T$91,3,FALSE),0)+IF(AND($Q39&lt;&gt;"",$Q39&lt;&gt;"--",$Q39&lt;&gt;"O3/CP",$Q$14=E$18),IF(LEFT($Q39,1)="P",VLOOKUP(CONCATENATE(LEFT($Q39,2),"H"),$R$63:$T$91,3,FALSE),VLOOKUP($Q39,$R$63:$T$91,3,FALSE)))+IF(AND($Q39&lt;&gt;"",$Q39&lt;&gt;"O3/CP",$Q$15=E$18,MID($Q39,4,1)="2",$Q$15&lt;&gt;$Q$14),VLOOKUP(CONCATENATE(LEFT($Q39,2),"L"),$R$63:$T$91,3,FALSE),0)+IF(AND($Q39="O3/CP",$Q$14=E$18),VLOOKUP("O3",$R$63:$T$91,3,FALSE)+VLOOKUP("CP",$R$63:$T$91,3,FALSE),0)+IF(AND($R39&lt;&gt;"",$R39&lt;&gt;"--",$R39&lt;&gt;"O3/CP",$R$14=E$18),IF(LEFT($R39,1)="P",VLOOKUP(CONCATENATE(LEFT($R39,2),"H"),$R$63:$T$91,3,FALSE),VLOOKUP($R39,$R$63:$T$91,3,FALSE)))+IF(AND($R39&lt;&gt;"",$R39&lt;&gt;"O3/CP",$R$15=E$18,MID($R39,4,1)="2",$R$15&lt;&gt;$R$14),VLOOKUP(CONCATENATE(LEFT($R39,2),"L"),$R$63:$T$91,3,FALSE),0)+IF(AND($R39="O3/CP",$R$14=E$18),VLOOKUP("O3",$R$63:$T$91,3,FALSE)+VLOOKUP("CP",$R$63:$T$91,3,FALSE),0)+IF(AND($S39&lt;&gt;"",$S39&lt;&gt;"--",$S39&lt;&gt;"O3/CP",$S$14=E$18),IF(LEFT($S39,1)="P",VLOOKUP(CONCATENATE(LEFT($S39,2),"H"),$R$63:$T$91,3,FALSE),VLOOKUP($S39,$R$63:$T$91,3,FALSE)))+IF(AND($S39&lt;&gt;"",$S39&lt;&gt;"O3/CP",$S$15=E$18,MID($S39,4,1)="2",$S$15&lt;&gt;$S$14),VLOOKUP(CONCATENATE(LEFT($S39,2),"L"),$R$63:$T$91,3,FALSE),0)+IF(AND($S39="O3/CP",$S$14=E$18),VLOOKUP("O3",$R$63:$T$91,3,FALSE)+VLOOKUP("CP",$R$63:$T$91,3,FALSE),0)+IF(AND($T39&lt;&gt;"",$T39&lt;&gt;"--",$T39&lt;&gt;"O3/CP",$T$14=E$18),IF(LEFT($T39,1)="P",VLOOKUP(CONCATENATE(LEFT($T39,2),"H"),$R$63:$T$91,3,FALSE),VLOOKUP($T39,$R$63:$T$91,3,FALSE)))+IF(AND($T39&lt;&gt;"",$T39&lt;&gt;"O3/CP",$T$15=E$18,MID($T39,4,1)="2",$T$15&lt;&gt;$T$14),VLOOKUP(CONCATENATE(LEFT($T39,2),"L"),$R$63:$T$91,3,FALSE),0)+IF(AND($T39="O3/CP",$T$14=E$18),VLOOKUP("O3",$R$63:$T$91,3,FALSE)+VLOOKUP("CP",$R$63:$T$91,3,FALSE),0)+IF(AND($U39&lt;&gt;"",$U39&lt;&gt;"--",$U39&lt;&gt;"O3/CP",$U$14=E$18),IF(LEFT($U39,1)="P",VLOOKUP(CONCATENATE(LEFT($U39,2),"H"),$R$63:$T$91,3,FALSE),VLOOKUP($U39,$R$63:$T$91,3,FALSE)))+IF(AND($U39&lt;&gt;"",$U39&lt;&gt;"O3/CP",$U$15=E$18,MID($U39,4,1)="2",$U$15&lt;&gt;$U$14),VLOOKUP(CONCATENATE(LEFT($U39,2),"L"),$R$63:$T$91,3,FALSE),0)+IF(AND($U39="O3/CP",$T$14=E$18),VLOOKUP("O3",$R$63:$T$91,3,FALSE)+VLOOKUP("CP",$R$63:$T$91,3,FALSE),0)+IF(AND($V39&lt;&gt;"",$V39&lt;&gt;"--",$V39&lt;&gt;"O3/CP",$V$14=E$18),IF(LEFT($V39,1)="P",VLOOKUP(CONCATENATE(LEFT($V39,2),"H"),$R$63:$T$91,3,FALSE),VLOOKUP($V39,$R$63:$T$91,3,FALSE)))+IF(AND($V39&lt;&gt;"",$V39&lt;&gt;"O3/CP",$V$15=E$18,MID($V39,4,1)="2",$V$15&lt;&gt;$V$14),VLOOKUP(CONCATENATE(LEFT($V39,2),"L"),$R$63:$T$91,3,FALSE),0)+IF(AND($V39="O3/CP",$V$14=E$18),VLOOKUP("O3",$R$63:$T$91,3,FALSE)+VLOOKUP("CP",$R$63:$T$91,3,FALSE),0)+IF(AND($W39&lt;&gt;"",$W39&lt;&gt;"--",$W39&lt;&gt;"O3/CP",$W$14=E$18),IF(LEFT($W39,1)="P",VLOOKUP(CONCATENATE(LEFT($W39,2),"H"),$R$63:$T$91,3,FALSE),VLOOKUP($W39,$R$63:$T$91,3,FALSE)))+IF(AND($W39&lt;&gt;"",$W39&lt;&gt;"O3/CP",$W$15=E$18,MID($W39,4,1)="2",$W$15&lt;&gt;$W$14),VLOOKUP(CONCATENATE(LEFT($W39,2),"L"),$R$63:$T$91,3,FALSE),0)+IF(AND($W39="O3/CP",$W$14=E$18),VLOOKUP("O3",$R$63:$T$91,3,FALSE)+VLOOKUP("CP",$R$63:$T$91,3,FALSE),0)+IF(AND($X39&lt;&gt;"",$X39&lt;&gt;"--",$X39&lt;&gt;"O3/CP",$X$14=E$18),IF(LEFT($X39,1)="P",VLOOKUP(CONCATENATE(LEFT($X39,2),"H"),$R$63:$T$91,3,FALSE),VLOOKUP($X39,$R$63:$T$91,3,FALSE)))+IF(AND($X39&lt;&gt;"",$X39&lt;&gt;"O3/CP",$X$15=E$18,MID($X39,4,1)="2",$X$15&lt;&gt;$X$14),VLOOKUP(CONCATENATE(LEFT($X39,2),"L"),$R$63:$T$91,3,FALSE),0)+IF(AND($X39="O3/CP",$X$14=E$18),VLOOKUP("O3",$R$63:$T$91,3,FALSE)+VLOOKUP("CP",$R$63:$T$91,3,FALSE),0)+IF(AND($Y39&lt;&gt;"",$Y39&lt;&gt;"--",$Y39&lt;&gt;"O3/CP",$Y$14=E$18),IF(LEFT($Y39,1)="P",VLOOKUP(CONCATENATE(LEFT($Y39,2),"H"),$R$63:$T$91,3,FALSE),VLOOKUP($Y39,$R$63:$T$91,3,FALSE)))+IF(AND($Y39&lt;&gt;"",$Y39&lt;&gt;"O3/CP",$Y$15=E$18,MID($Y39,4,1)="2",$Y$15&lt;&gt;$Y$14),VLOOKUP(CONCATENATE(LEFT($Y39,2),"L"),$R$63:$T$91,3,FALSE),0)+IF(AND($Y39="O3/CP",$Y$14=E$18),VLOOKUP("O3",$R$63:$T$91,3,FALSE)+VLOOKUP("CP",$R$63:$T$91,3,FALSE),0)+IF(AND($K$6="CE",'[3]Supply Attribution'!$G$20=E$18),LEFT($S$90,2),0)+IF(AND($X$86&lt;&gt;"Not Set",$X$87=E$18),$X$86,0)</f>
        <v>0</v>
      </c>
      <c r="F39" s="272">
        <f>IF(AND($K39&lt;&gt;"",$K39&lt;&gt;"--",$K39&lt;&gt;"O3/CP",$K$14=F$18),IF(LEFT($K39,1)="P",VLOOKUP(CONCATENATE(LEFT($K39,2),"H"),$R$63:$T$91,3,FALSE),VLOOKUP($K39,$R$63:$T$91,3,FALSE)))+IF(AND($K39&lt;&gt;"",$K39&lt;&gt;"O3/CP",$K$15=F$18,MID($K39,4,1)="2",$K$15&lt;&gt;$K$14),VLOOKUP(CONCATENATE(LEFT($K39,2),"L"),$R$63:$T$91,3,FALSE),0)+IF(AND($K39="O3/CP",$K$14=F$18),VLOOKUP("O3",$R$63:$T$91,3,FALSE)+VLOOKUP("CP",$R$63:$T$91,3,FALSE),0)+IF(AND($L39&lt;&gt;"",$L39&lt;&gt;"--",$L39&lt;&gt;"O3/CP",$L$14=F$18),IF(LEFT($L39,1)="P",VLOOKUP(CONCATENATE(LEFT($L39,2),"H"),$R$63:$T$91,3,FALSE),VLOOKUP($L39,$R$63:$T$91,3,FALSE)))+IF(AND($L39&lt;&gt;"",$L39&lt;&gt;"O3/CP",$L$15=F$18,MID($L39,4,1)="2",$L$15&lt;&gt;$L$14),VLOOKUP(CONCATENATE(LEFT($L39,2),"L"),$R$63:$T$91,3,FALSE),0)+IF(AND($L39="O3/CP",$L$14=F$18),VLOOKUP("O3",$R$63:$T$91,3,FALSE)+VLOOKUP("CP",$R$63:$T$91,3,FALSE),0)+IF(AND($M39&lt;&gt;"",$M39&lt;&gt;"--",$M39&lt;&gt;"O3/CP",$M$14=F$18),IF(LEFT($M39,1)="P",VLOOKUP(CONCATENATE(LEFT($M39,2),"H"),$R$63:$T$91,3,FALSE),VLOOKUP($M39,$R$63:$T$91,3,FALSE)))+IF(AND($M39&lt;&gt;"",$M39&lt;&gt;"O3/CP",$M$15=F$18,MID($M39,4,1)="2",$M$15&lt;&gt;$M$14),VLOOKUP(CONCATENATE(LEFT($M39,2),"L"),$R$63:$T$91,3,FALSE),0)+IF(AND($M39="O3/CP",$M$14=F$18),VLOOKUP("O3",$R$63:$T$91,3,FALSE)+VLOOKUP("CP",$R$63:$T$91,3,FALSE),0)+IF(AND($N39&lt;&gt;"",$N39&lt;&gt;"--",$N39&lt;&gt;"O3/CP",$N$14=F$18),IF(LEFT($N39,1)="P",VLOOKUP(CONCATENATE(LEFT($N39,2),"H"),$R$63:$T$91,3,FALSE),VLOOKUP($N39,$R$63:$T$91,3,FALSE)))+IF(AND($N39&lt;&gt;"",$N39&lt;&gt;"O3/CP",$N$15=F$18,MID($N39,4,1)="2",$N$15&lt;&gt;$N$14),VLOOKUP(CONCATENATE(LEFT($N39,2),"L"),$R$63:$T$91,3,FALSE),0)+IF(AND($N39="O3/CP",$N$14=F$18),VLOOKUP("O3",$R$63:$T$91,3,FALSE)+VLOOKUP("CP",$R$63:$T$91,3,FALSE),0)+IF(AND($O39&lt;&gt;"",$O39&lt;&gt;"--",$O39&lt;&gt;"O3/CP",$O$14=F$18),IF(LEFT($O39,1)="P",VLOOKUP(CONCATENATE(LEFT($O39,2),"H"),$R$63:$T$91,3,FALSE),VLOOKUP($O39,$R$63:$T$91,3,FALSE)))+IF(AND($O39&lt;&gt;"",$O39&lt;&gt;"O3/CP",$O$15=F$18,MID($O39,4,1)="2",$O$15&lt;&gt;$O$14),VLOOKUP(CONCATENATE(LEFT($O39,2),"L"),$R$63:$T$91,3,FALSE),0)+IF(AND($O39="O3/CP",$O$14=F$18),VLOOKUP("O3",$R$63:$T$91,3,FALSE)+VLOOKUP("CP",$R$63:$T$91,3,FALSE),0)+IF(AND($P39&lt;&gt;"",$P39&lt;&gt;"--",$P39&lt;&gt;"O3/CP",$P$14=F$18),IF(LEFT($P39,1)="P",VLOOKUP(CONCATENATE(LEFT($P39,2),"H"),$R$63:$T$91,3,FALSE),VLOOKUP($P39,$R$63:$T$91,3,FALSE)))+IF(AND($P39&lt;&gt;"",$P39&lt;&gt;"O3/CP",$P$15=F$18,MID($P39,4,1)="2",$P$15&lt;&gt;$P$14),VLOOKUP(CONCATENATE(LEFT($P39,2),"L"),$R$63:$T$91,3,FALSE),0)+IF(AND($P39="O3/CP",$P$14=F$18),VLOOKUP("O3",$R$63:$T$91,3,FALSE)+VLOOKUP("CP",$R$63:$T$91,3,FALSE),0)+IF(AND($Q39&lt;&gt;"",$Q39&lt;&gt;"--",$Q39&lt;&gt;"O3/CP",$Q$14=F$18),IF(LEFT($Q39,1)="P",VLOOKUP(CONCATENATE(LEFT($Q39,2),"H"),$R$63:$T$91,3,FALSE),VLOOKUP($Q39,$R$63:$T$91,3,FALSE)))+IF(AND($Q39&lt;&gt;"",$Q39&lt;&gt;"O3/CP",$Q$15=F$18,MID($Q39,4,1)="2",$Q$15&lt;&gt;$Q$14),VLOOKUP(CONCATENATE(LEFT($Q39,2),"L"),$R$63:$T$91,3,FALSE),0)+IF(AND($Q39="O3/CP",$Q$14=F$18),VLOOKUP("O3",$R$63:$T$91,3,FALSE)+VLOOKUP("CP",$R$63:$T$91,3,FALSE),0)+IF(AND($R39&lt;&gt;"",$R39&lt;&gt;"--",$R39&lt;&gt;"O3/CP",$R$14=F$18),IF(LEFT($R39,1)="P",VLOOKUP(CONCATENATE(LEFT($R39,2),"H"),$R$63:$T$91,3,FALSE),VLOOKUP($R39,$R$63:$T$91,3,FALSE)))+IF(AND($R39&lt;&gt;"",$R39&lt;&gt;"O3/CP",$R$15=F$18,MID($R39,4,1)="2",$R$15&lt;&gt;$R$14),VLOOKUP(CONCATENATE(LEFT($R39,2),"L"),$R$63:$T$91,3,FALSE),0)+IF(AND($R39="O3/CP",$R$14=F$18),VLOOKUP("O3",$R$63:$T$91,3,FALSE)+VLOOKUP("CP",$R$63:$T$91,3,FALSE),0)+IF(AND($S39&lt;&gt;"",$S39&lt;&gt;"--",$S39&lt;&gt;"O3/CP",$S$14=F$18),IF(LEFT($S39,1)="P",VLOOKUP(CONCATENATE(LEFT($S39,2),"H"),$R$63:$T$91,3,FALSE),VLOOKUP($S39,$R$63:$T$91,3,FALSE)))+IF(AND($S39&lt;&gt;"",$S39&lt;&gt;"O3/CP",$S$15=F$18,MID($S39,4,1)="2",$S$15&lt;&gt;$S$14),VLOOKUP(CONCATENATE(LEFT($S39,2),"L"),$R$63:$T$91,3,FALSE),0)+IF(AND($S39="O3/CP",$S$14=F$18),VLOOKUP("O3",$R$63:$T$91,3,FALSE)+VLOOKUP("CP",$R$63:$T$91,3,FALSE),0)+IF(AND($T39&lt;&gt;"",$T39&lt;&gt;"--",$T39&lt;&gt;"O3/CP",$T$14=F$18),IF(LEFT($T39,1)="P",VLOOKUP(CONCATENATE(LEFT($T39,2),"H"),$R$63:$T$91,3,FALSE),VLOOKUP($T39,$R$63:$T$91,3,FALSE)))+IF(AND($T39&lt;&gt;"",$T39&lt;&gt;"O3/CP",$T$15=F$18,MID($T39,4,1)="2",$T$15&lt;&gt;$T$14),VLOOKUP(CONCATENATE(LEFT($T39,2),"L"),$R$63:$T$91,3,FALSE),0)+IF(AND($T39="O3/CP",$T$14=F$18),VLOOKUP("O3",$R$63:$T$91,3,FALSE)+VLOOKUP("CP",$R$63:$T$91,3,FALSE),0)+IF(AND($U39&lt;&gt;"",$U39&lt;&gt;"--",$U39&lt;&gt;"O3/CP",$U$14=F$18),IF(LEFT($U39,1)="P",VLOOKUP(CONCATENATE(LEFT($U39,2),"H"),$R$63:$T$91,3,FALSE),VLOOKUP($U39,$R$63:$T$91,3,FALSE)))+IF(AND($U39&lt;&gt;"",$U39&lt;&gt;"O3/CP",$U$15=F$18,MID($U39,4,1)="2",$U$15&lt;&gt;$U$14),VLOOKUP(CONCATENATE(LEFT($U39,2),"L"),$R$63:$T$91,3,FALSE),0)+IF(AND($U39="O3/CP",$T$14=F$18),VLOOKUP("O3",$R$63:$T$91,3,FALSE)+VLOOKUP("CP",$R$63:$T$91,3,FALSE),0)+IF(AND($V39&lt;&gt;"",$V39&lt;&gt;"--",$V39&lt;&gt;"O3/CP",$V$14=F$18),IF(LEFT($V39,1)="P",VLOOKUP(CONCATENATE(LEFT($V39,2),"H"),$R$63:$T$91,3,FALSE),VLOOKUP($V39,$R$63:$T$91,3,FALSE)))+IF(AND($V39&lt;&gt;"",$V39&lt;&gt;"O3/CP",$V$15=F$18,MID($V39,4,1)="2",$V$15&lt;&gt;$V$14),VLOOKUP(CONCATENATE(LEFT($V39,2),"L"),$R$63:$T$91,3,FALSE),0)+IF(AND($V39="O3/CP",$V$14=F$18),VLOOKUP("O3",$R$63:$T$91,3,FALSE)+VLOOKUP("CP",$R$63:$T$91,3,FALSE),0)+IF(AND($W39&lt;&gt;"",$W39&lt;&gt;"--",$W39&lt;&gt;"O3/CP",$W$14=F$18),IF(LEFT($W39,1)="P",VLOOKUP(CONCATENATE(LEFT($W39,2),"H"),$R$63:$T$91,3,FALSE),VLOOKUP($W39,$R$63:$T$91,3,FALSE)))+IF(AND($W39&lt;&gt;"",$W39&lt;&gt;"O3/CP",$W$15=F$18,MID($W39,4,1)="2",$W$15&lt;&gt;$W$14),VLOOKUP(CONCATENATE(LEFT($W39,2),"L"),$R$63:$T$91,3,FALSE),0)+IF(AND($W39="O3/CP",$W$14=F$18),VLOOKUP("O3",$R$63:$T$91,3,FALSE)+VLOOKUP("CP",$R$63:$T$91,3,FALSE),0)+IF(AND($X39&lt;&gt;"",$X39&lt;&gt;"--",$X39&lt;&gt;"O3/CP",$X$14=F$18),IF(LEFT($X39,1)="P",VLOOKUP(CONCATENATE(LEFT($X39,2),"H"),$R$63:$T$91,3,FALSE),VLOOKUP($X39,$R$63:$T$91,3,FALSE)))+IF(AND($X39&lt;&gt;"",$X39&lt;&gt;"O3/CP",$X$15=F$18,MID($X39,4,1)="2",$X$15&lt;&gt;$X$14),VLOOKUP(CONCATENATE(LEFT($X39,2),"L"),$R$63:$T$91,3,FALSE),0)+IF(AND($X39="O3/CP",$X$14=F$18),VLOOKUP("O3",$R$63:$T$91,3,FALSE)+VLOOKUP("CP",$R$63:$T$91,3,FALSE),0)+IF(AND($Y39&lt;&gt;"",$Y39&lt;&gt;"--",$Y39&lt;&gt;"O3/CP",$Y$14=F$18),IF(LEFT($Y39,1)="P",VLOOKUP(CONCATENATE(LEFT($Y39,2),"H"),$R$63:$T$91,3,FALSE),VLOOKUP($Y39,$R$63:$T$91,3,FALSE)))+IF(AND($Y39&lt;&gt;"",$Y39&lt;&gt;"O3/CP",$Y$15=F$18,MID($Y39,4,1)="2",$Y$15&lt;&gt;$Y$14),VLOOKUP(CONCATENATE(LEFT($Y39,2),"L"),$R$63:$T$91,3,FALSE),0)+IF(AND($Y39="O3/CP",$Y$14=F$18),VLOOKUP("O3",$R$63:$T$91,3,FALSE)+VLOOKUP("CP",$R$63:$T$91,3,FALSE),0)+IF(AND($K$6="CE",'[3]Supply Attribution'!$G$20=F$18),LEFT($S$90,2),0)+IF(AND($X$86&lt;&gt;"Not Set",$X$87=F$18),$X$86,0)</f>
        <v>5</v>
      </c>
      <c r="G39" s="271">
        <f>IF(AND($K$6="CE",$T$59="1 Phase"),SUM(A39:F39)-IF(AND($K$14&lt;&gt;$K$15,RIGHT($K39,3)="2SP"),VLOOKUP(CONCATENATE(LEFT($K39,2),"L"),$R$63:$T$90,3,FALSE),0)-IF(AND($L$14&lt;&gt;$L$15,RIGHT($L39,3)="2SP"),VLOOKUP(CONCATENATE(LEFT($L39,2),"L"),$R$63:$T$90,3,FALSE),0)-IF(AND($M$14&lt;&gt;$M$15,RIGHT($M39,3)="2SP"),VLOOKUP(CONCATENATE(LEFT($M39,2),"L"),$R$63:$T$90,3,FALSE),0)-IF(AND($N$14&lt;&gt;$N$15,RIGHT($N39,3)="2SP"),VLOOKUP(CONCATENATE(LEFT($N39,2),"L"),$R$63:$T$90,3,FALSE),0)-IF(AND($O$14&lt;&gt;$O$15,RIGHT($O39,3)="2SP"),VLOOKUP(CONCATENATE(LEFT($O39,2),"L"),$R$63:$T$90,3,FALSE),0)-IF(AND($P$14&lt;&gt;$P$15,RIGHT($P39,3)="2SP"),VLOOKUP(CONCATENATE(LEFT($P39,2),"L"),$R$63:$T$90,3,FALSE),0)-IF(AND($Q$14&lt;&gt;$Q$15,RIGHT($Q39,3)="2SP"),VLOOKUP(CONCATENATE(LEFT($Q39,2),"L"),$R$63:$T$90,3,FALSE),0)-IF(AND($R$14&lt;&gt;$R$15,RIGHT($T39,3)="2SP"),VLOOKUP(CONCATENATE(LEFT($R39,2),"L"),$R$63:$T$90,3,FALSE),0)-IF(AND($S$14&lt;&gt;$S$15,RIGHT($T39,3)="2SP"),VLOOKUP(CONCATENATE(LEFT($S39,2),"L"),$R$63:$T$90,3,FALSE),0)-IF(AND($T$14&lt;&gt;$T$15,RIGHT($T39,3)="2SP"),VLOOKUP(CONCATENATE(LEFT($T39,2),"L"),$R$63:$T$90,3,FALSE),0)-IF(AND($U$14&lt;&gt;$U$15,RIGHT($U39,3)="2SP"),VLOOKUP(CONCATENATE(LEFT($U39,2),"L"),$R$63:$T$90,3,FALSE),0)-IF(AND($V$14&lt;&gt;$V$15,RIGHT($V39,3)="2SP"),VLOOKUP(CONCATENATE(LEFT($V39,2),"L"),$R$63:$T$90,3,FALSE),0)-IF(AND($W$14&lt;&gt;$W$15,RIGHT($W39,3)="2SP"),VLOOKUP(CONCATENATE(LEFT($W39,2),"L"),$R$63:$T$90,3,FALSE),0)-IF(AND($X$14&lt;&gt;$X$15,RIGHT($X39,3)="2SP"),VLOOKUP(CONCATENATE(LEFT($X39,2),"L"),$R$63:$T$90,3,FALSE),0)-IF(AND($Y$14&lt;&gt;$Y$15,RIGHT($Y39,3)="2SP"),VLOOKUP(CONCATENATE(LEFT($Y39,2),"L"),$R$63:$T$90,3,FALSE),0),IF(VLOOKUP(CONCATENATE($A$18,"Line"),'[3]Supply Attribution'!$F$31:$G$37,2,FALSE)=G$18,$A39,0)+IF(VLOOKUP(CONCATENATE($B$18,"Line"),'[3]Supply Attribution'!$F$31:$G$37,2,FALSE)=G$18,$B39,0)+IF(VLOOKUP(CONCATENATE($C$18,"Line"),'[3]Supply Attribution'!$F$31:$G$37,2,FALSE)=G$18,$C39,0)+IF(VLOOKUP(CONCATENATE($D$18,"Line"),'[3]Supply Attribution'!$F$31:$G$37,2,FALSE)=G$18,$D39,0)+IF(VLOOKUP(CONCATENATE($E$18,"Line"),'[3]Supply Attribution'!$F$31:$G$37,2,FALSE)=G$18,$E39,0)+IF(VLOOKUP(CONCATENATE($F$18,"Line"),'[3]Supply Attribution'!$F$31:$G$37,2,FALSE)=G$18,$F39,0)+IF($K$6="UL",LEFT($S$90,2),0)-IF(AND($K$16=G$18,$K$14&lt;&gt;$K$15,$K$16=$K$17,RIGHT($K39,3)="2SP"),VLOOKUP(CONCATENATE(LEFT($K39,2),"L"),$R$63:$T$90,3,FALSE),0)-IF(AND($L$16=G$18,$L$14&lt;&gt;$L$15,$L$16=$L$17,RIGHT($L39,3)="2SP"),VLOOKUP(CONCATENATE(LEFT($L39,2),"L"),$R$63:$T$90,3,FALSE),0)-IF(AND($M$16=G$18,$M$14&lt;&gt;$M$15,$M$16=$M$17,RIGHT($M39,3)="2SP"),VLOOKUP(CONCATENATE(LEFT($M39,2),"L"),$R$63:$T$90,3,FALSE),0)-IF(AND($N$16=G$18,$N$14&lt;&gt;$N$15,$N$16=$N$17,RIGHT($N39,3)="2SP"),VLOOKUP(CONCATENATE(LEFT($N39,2),"L"),$R$63:$T$90,3,FALSE),0)-IF(AND($O$16=G$18,$O$14&lt;&gt;$O$15,$O$16=$O$17,RIGHT($O39,3)="2SP"),VLOOKUP(CONCATENATE(LEFT($O39,2),"L"),$R$63:$T$90,3,FALSE),0)-IF(AND($P$16=G$18,$P$14&lt;&gt;$P$15,$P$16=$P$17,RIGHT($P39,3)="2SP"),VLOOKUP(CONCATENATE(LEFT($P39,2),"L"),$R$63:$T$90,3,FALSE),0)-IF(AND($Q$16=G$18,$Q$14&lt;&gt;$Q$15,$Q$16=$Q$17,RIGHT($Q39,3)="2SP"),VLOOKUP(CONCATENATE(LEFT($Q39,2),"L"),$R$63:$T$90,3,FALSE),0)-IF(AND($R$16=G$18,$R$14&lt;&gt;$R$15,$R$16=$R$17,RIGHT($R39,3)="2SP"),VLOOKUP(CONCATENATE(LEFT($R39,2),"L"),$R$63:$T$90,3,FALSE),0)-IF(AND($S$16=G$18,$S$14&lt;&gt;$S$15,$S$16=$S$17,RIGHT($S39,3)="2SP"),VLOOKUP(CONCATENATE(LEFT($S39,2),"L"),$R$63:$T$90,3,FALSE),0)-IF(AND($T$16=G$18,$T$14&lt;&gt;$T$15,$T$16=$T$17,RIGHT($T39,3)="2SP"),VLOOKUP(CONCATENATE(LEFT($T39,2),"L"),$R$63:$T$90,3,FALSE),0)-IF(AND($U$16=G$18,$U$14&lt;&gt;$U$15,$U$16=$U$17,RIGHT($U39,3)="2SP"),VLOOKUP(CONCATENATE(LEFT($U39,2),"L"),$R$63:$T$90,3,FALSE),0)-IF(AND($V$16=G$18,$V$14&lt;&gt;$V$15,$V$16=$V$17,RIGHT($V39,3)="2SP"),VLOOKUP(CONCATENATE(LEFT($V39,2),"L"),$R$63:$T$90,3,FALSE),0)-IF(AND($W$16=G$18,$W$14&lt;&gt;$W$15,$W$16=$W$17,RIGHT($W39,3)="2SP"),VLOOKUP(CONCATENATE(LEFT($W39,2),"L"),$R$63:$T$90,3,FALSE),0)-IF(AND($X$16=G$18,$X$14&lt;&gt;$X$15,$X$16=$X$17,RIGHT($X39,3)="2SP"),VLOOKUP(CONCATENATE(LEFT($X39,2),"L"),$R$63:$T$90,3,FALSE),0)-IF(AND($Y$16=G$18,$Y$14&lt;&gt;$Y$15,$Y$16=$Y$17,RIGHT($Y39,3)="2SP"),VLOOKUP(CONCATENATE(LEFT($Y39,2),"L"),$R$63:$T$90,3,FALSE),0))</f>
        <v>61</v>
      </c>
      <c r="H39" s="271" t="str">
        <f>IF(H$18&lt;&gt;"",IF(VLOOKUP(CONCATENATE($A$18,"Line"),'Supply Attribution'!$F$31:$G$37,2,FALSE)=H$18,$A39,0)+IF(VLOOKUP(CONCATENATE($B$18,"Line"),'Supply Attribution'!$F$31:$G$37,2,FALSE)=H$18,$B39,0)+IF(VLOOKUP(CONCATENATE($C$18,"Line"),'Supply Attribution'!$F$31:$G$37,2,FALSE)=H$18,$C39,0)+IF(VLOOKUP(CONCATENATE($D$18,"Line"),'Supply Attribution'!$F$31:$G$37,2,FALSE)=H$18,$D39,0)+IF(VLOOKUP(CONCATENATE($E$18,"Line"),'Supply Attribution'!$F$31:$G$37,2,FALSE)=H$18,$E39,0)+IF(VLOOKUP(CONCATENATE($F$18,"Line"),'Supply Attribution'!$F$31:$G$37,2,FALSE)=H$18,$F39,0)+IF($K$6="UL",LEFT($S$90,2),0)-IF(AND($K$16=H$18,$K$14&lt;&gt;$K$15,$K$16=$K$17,RIGHT($K39,3)="2SP"),VLOOKUP(CONCATENATE(LEFT($K39,2),"L"),$R$63:$T$90,3,FALSE),0)-IF(AND($L$16=H$18,$L$14&lt;&gt;$L$15,$L$16=$L$17,RIGHT($L39,3)="2SP"),VLOOKUP(CONCATENATE(LEFT($L39,2),"L"),$R$63:$T$90,3,FALSE),0)-IF(AND($M$16=H$18,$M$14&lt;&gt;$M$15,$M$16=$M$17,RIGHT($M39,3)="2SP"),VLOOKUP(CONCATENATE(LEFT($M39,2),"L"),$R$63:$T$90,3,FALSE),0)-IF(AND($N$16=H$18,$N$14&lt;&gt;$N$15,$N$16=$N$17,RIGHT($N39,3)="2SP"),VLOOKUP(CONCATENATE(LEFT($N39,2),"L"),$R$63:$T$90,3,FALSE),0)-IF(AND($O$16=H$18,$O$14&lt;&gt;$O$15,$O$16=$O$17,RIGHT($O39,3)="2SP"),VLOOKUP(CONCATENATE(LEFT($O39,2),"L"),$R$63:$T$90,3,FALSE),0)-IF(AND($P$16=H$18,$P$14&lt;&gt;$P$15,$P$16=$P$17,RIGHT($P39,3)="2SP"),VLOOKUP(CONCATENATE(LEFT($P39,2),"L"),$R$63:$T$90,3,FALSE),0)-IF(AND($Q$16=H$18,$Q$14&lt;&gt;$Q$15,$Q$16=$Q$17,RIGHT($Q39,3)="2SP"),VLOOKUP(CONCATENATE(LEFT($Q39,2),"L"),$R$63:$T$90,3,FALSE),0)-IF(AND($T$16=H$18,$T$14&lt;&gt;$T$15,$T$16=$T$17,RIGHT($T39,3)="2SP"),VLOOKUP(CONCATENATE(LEFT($T39,2),"L"),$R$63:$T$90,3,FALSE),0)-IF(AND($U$16=H$18,$U$14&lt;&gt;$U$15,$U$16=$U$17,RIGHT($U39,3)="2SP"),VLOOKUP(CONCATENATE(LEFT($U39,2),"L"),$R$63:$T$90,3,FALSE),0)-IF(AND($V$16=H$18,$V$14&lt;&gt;$V$15,$V$16=$V$17,RIGHT($V39,3)="2SP"),VLOOKUP(CONCATENATE(LEFT($V39,2),"L"),$R$63:$T$90,3,FALSE),0)-IF(AND($W$16=H$18,$W$14&lt;&gt;$W$15,$W$16=$W$17,RIGHT($W39,3)="2SP"),VLOOKUP(CONCATENATE(LEFT($W39,2),"L"),$R$63:$T$90,3,FALSE),0)-IF(AND($X$16=H$18,$X$14&lt;&gt;$X$15,$X$16=$X$17,RIGHT($X39,3)="2SP"),VLOOKUP(CONCATENATE(LEFT($X39,2),"L"),$R$63:$T$90,3,FALSE),0)-IF(AND($Y$16=H$18,$Y$14&lt;&gt;$Y$15,$Y$16=$Y$17,RIGHT($Y39,3)="2SP"),VLOOKUP(CONCATENATE(LEFT($Y39,2),"L"),$R$63:$T$90,3,FALSE),0)+IF(AND($K$6="CE",$T$59="2 Phases",H$18&lt;&gt;""),IF(VLOOKUP(CONCATENATE($A$18,"Line"),'Supply Attribution'!$F$31:$G$37,2,FALSE)="Line3",$A39,0)+IF(VLOOKUP(CONCATENATE($B$18,"Line"),'Supply Attribution'!$F$31:$G$37,2,FALSE)="Line3",$B39,0)+IF(VLOOKUP(CONCATENATE($C$18,"Line"),'Supply Attribution'!$F$31:$G$37,2,FALSE)="Line3",$C39,0)+IF(VLOOKUP(CONCATENATE($D$18,"Line"),'Supply Attribution'!$F$31:$G$37,2,FALSE)="Line3",$D39,0)+IF(VLOOKUP(CONCATENATE($E$18,"Line"),'Supply Attribution'!$F$31:$G$37,2,FALSE)="Line3",$E39,0)+IF(VLOOKUP(CONCATENATE($F$18,"Line"),'Supply Attribution'!$F$31:$G$37,2,FALSE)="Line3",$F39,0)-IF(AND($K$16=I$18,$K$14&lt;&gt;$K$15,$K$16=$K$17,RIGHT($K39,3)="2SP"),VLOOKUP(CONCATENATE(LEFT($K39,2),"L"),$R$63:$T$90,3,FALSE),0)-IF(AND($L$16=I$18,$L$14&lt;&gt;$L$15,$L$16=$L$17,RIGHT($L39,3)="2SP"),VLOOKUP(CONCATENATE(LEFT($L39,2),"L"),$R$63:$T$90,3,FALSE),0)-IF(AND($M$16=I$18,$M$14&lt;&gt;$M$15,$M$16=$M$17,RIGHT($M39,3)="2SP"),VLOOKUP(CONCATENATE(LEFT($M39,2),"L"),$R$63:$T$90,3,FALSE),0)-IF(AND($N$16=I$18,$N$14&lt;&gt;$N$15,$N$16=$N$17,RIGHT($N39,3)="2SP"),VLOOKUP(CONCATENATE(LEFT($N39,2),"L"),$R$63:$T$90,3,FALSE),0)-IF(AND($O$16=I$18,$O$14&lt;&gt;$O$15,$O$16=$O$17,RIGHT($O39,3)="2SP"),VLOOKUP(CONCATENATE(LEFT($O39,2),"L"),$R$63:$T$90,3,FALSE),0)-IF(AND($P$16=I$18,$P$14&lt;&gt;$P$15,$P$16=$P$17,RIGHT($P39,3)="2SP"),VLOOKUP(CONCATENATE(LEFT($P39,2),"L"),$R$63:$T$90,3,FALSE),0)-IF(AND($Q$16=I$18,$Q$14&lt;&gt;$Q$15,$Q$16=$Q$17,RIGHT($Q39,3)="2SP"),VLOOKUP(CONCATENATE(LEFT($Q39,2),"L"),$R$63:$T$90,3,FALSE),0)-IF(AND($T$16=I$18,$T$14&lt;&gt;$T$15,$T$16=$T$17,RIGHT($T39,3)="2SP"),VLOOKUP(CONCATENATE(LEFT($T39,2),"L"),$R$63:$T$90,3,FALSE),0)-IF(AND($U$16=I$18,$U$14&lt;&gt;$U$15,$U$16=$U$17,RIGHT($U39,3)="2SP"),VLOOKUP(CONCATENATE(LEFT($U39,2),"L"),$R$63:$T$90,3,FALSE),0)-IF(AND($V$16=I$18,$V$14&lt;&gt;$V$15,$V$16=$V$17,RIGHT($V39,3)="2SP"),VLOOKUP(CONCATENATE(LEFT($V39,2),"L"),$R$63:$T$90,3,FALSE),0)-IF(AND($W$16=I$18,$W$14&lt;&gt;$W$15,$W$16=$W$17,RIGHT($W39,3)="2SP"),VLOOKUP(CONCATENATE(LEFT($W39,2),"L"),$R$63:$T$90,3,FALSE),0)-IF(AND($X$16=I$18,$X$14&lt;&gt;$X$15,$X$16=$X$17,RIGHT($X39,3)="2SP"),VLOOKUP(CONCATENATE(LEFT($X39,2),"L"),$R$63:$T$90,3,FALSE),0)-IF(AND($Y$16=I$18,$Y$14&lt;&gt;$Y$15,$Y$16=$Y$17,RIGHT($Y39,3)="2SP"),VLOOKUP(CONCATENATE(LEFT($Y39,2),"L"),$R$63:$T$90,3,FALSE),0),0),"")</f>
        <v/>
      </c>
      <c r="I39" s="271" t="str">
        <f>IF(I$18&lt;&gt;"",IF(VLOOKUP(CONCATENATE($A$18,"Line"),'Supply Attribution'!$F$31:$G$37,2,FALSE)=I$18,$A39,0)+IF(VLOOKUP(CONCATENATE($B$18,"Line"),'Supply Attribution'!$F$31:$G$37,2,FALSE)=I$18,$B39,0)+IF(VLOOKUP(CONCATENATE($C$18,"Line"),'Supply Attribution'!$F$31:$G$37,2,FALSE)=I$18,$C39,0)+IF(VLOOKUP(CONCATENATE($D$18,"Line"),'Supply Attribution'!$F$31:$G$37,2,FALSE)=I$18,$D39,0)+IF(VLOOKUP(CONCATENATE($E$18,"Line"),'Supply Attribution'!$F$31:$G$37,2,FALSE)=I$18,$E39,0)+IF(VLOOKUP(CONCATENATE($F$18,"Line"),'Supply Attribution'!$F$31:$G$37,2,FALSE)=I$18,$F39,0)+IF($K$6="UL",LEFT($S$90,2),0)-IF(AND($K$16=I$18,$K$14&lt;&gt;$K$15,$K$16=$K$17,RIGHT($K39,3)="2SP"),VLOOKUP(CONCATENATE(LEFT($K39,2),"L"),$R$63:$T$90,3,FALSE),0)-IF(AND($L$16=I$18,$L$14&lt;&gt;$L$15,$L$16=$L$17,RIGHT($L39,3)="2SP"),VLOOKUP(CONCATENATE(LEFT($L39,2),"L"),$R$63:$T$90,3,FALSE),0)-IF(AND($M$16=I$18,$M$14&lt;&gt;$M$15,$M$16=$M$17,RIGHT($M39,3)="2SP"),VLOOKUP(CONCATENATE(LEFT($M39,2),"L"),$R$63:$T$90,3,FALSE),0)-IF(AND($N$16=I$18,$N$14&lt;&gt;$N$15,$N$16=$N$17,RIGHT($N39,3)="2SP"),VLOOKUP(CONCATENATE(LEFT($N39,2),"L"),$R$63:$T$90,3,FALSE),0)-IF(AND($O$16=I$18,$O$14&lt;&gt;$O$15,$O$16=$O$17,RIGHT($O39,3)="2SP"),VLOOKUP(CONCATENATE(LEFT($O39,2),"L"),$R$63:$T$90,3,FALSE),0)-IF(AND($P$16=I$18,$P$14&lt;&gt;$P$15,$P$16=$P$17,RIGHT($P39,3)="2SP"),VLOOKUP(CONCATENATE(LEFT($P39,2),"L"),$R$63:$T$90,3,FALSE),0)-IF(AND($Q$16=I$18,$Q$14&lt;&gt;$Q$15,$Q$16=$Q$17,RIGHT($Q39,3)="2SP"),VLOOKUP(CONCATENATE(LEFT($Q39,2),"L"),$R$63:$T$90,3,FALSE),0)-IF(AND($T$16=I$18,$T$14&lt;&gt;$T$15,$T$16=$T$17,RIGHT($T39,3)="2SP"),VLOOKUP(CONCATENATE(LEFT($T39,2),"L"),$R$63:$T$90,3,FALSE),0)-IF(AND($U$16=I$18,$U$14&lt;&gt;$U$15,$U$16=$U$17,RIGHT($U39,3)="2SP"),VLOOKUP(CONCATENATE(LEFT($U39,2),"L"),$R$63:$T$90,3,FALSE),0)-IF(AND($V$16=I$18,$V$14&lt;&gt;$V$15,$V$16=$V$17,RIGHT($V39,3)="2SP"),VLOOKUP(CONCATENATE(LEFT($V39,2),"L"),$R$63:$T$90,3,FALSE),0)-IF(AND($W$16=I$18,$W$14&lt;&gt;$W$15,$W$16=$W$17,RIGHT($W39,3)="2SP"),VLOOKUP(CONCATENATE(LEFT($W39,2),"L"),$R$63:$T$90,3,FALSE),0)-IF(AND($X$16=I$18,$X$14&lt;&gt;$X$15,$X$16=$X$17,RIGHT($X39,3)="2SP"),VLOOKUP(CONCATENATE(LEFT($X39,2),"L"),$R$63:$T$90,3,FALSE),0)-IF(AND($Y$16=I$18,$Y$14&lt;&gt;$Y$15,$Y$16=$Y$17,RIGHT($Y39,3)="2SP"),VLOOKUP(CONCATENATE(LEFT($Y39,2),"L"),$R$63:$T$90,3,FALSE),0),"")</f>
        <v/>
      </c>
      <c r="J39" s="129">
        <f t="shared" si="3"/>
        <v>30</v>
      </c>
      <c r="K39" s="130" t="s">
        <v>389</v>
      </c>
      <c r="L39" s="130" t="s">
        <v>390</v>
      </c>
      <c r="M39" s="130" t="s">
        <v>391</v>
      </c>
      <c r="N39" s="724" t="s">
        <v>388</v>
      </c>
      <c r="O39" s="130" t="s">
        <v>286</v>
      </c>
      <c r="P39" s="724" t="s">
        <v>3</v>
      </c>
      <c r="Q39" s="130"/>
      <c r="R39" s="130"/>
      <c r="S39" s="130"/>
      <c r="T39" s="130"/>
      <c r="U39" s="130"/>
      <c r="V39" s="130"/>
      <c r="W39" s="130"/>
      <c r="X39" s="130"/>
      <c r="Y39" s="130"/>
      <c r="Z39" s="131" t="s">
        <v>7</v>
      </c>
      <c r="AA39" s="131" t="s">
        <v>357</v>
      </c>
      <c r="AB39" s="132" t="s">
        <v>18</v>
      </c>
      <c r="AC39" s="132" t="s">
        <v>183</v>
      </c>
      <c r="AD39" s="132" t="s">
        <v>18</v>
      </c>
      <c r="AE39" s="133">
        <f t="shared" si="0"/>
        <v>30</v>
      </c>
      <c r="AF39" s="78"/>
    </row>
    <row r="40" spans="1:32" ht="13.15" customHeight="1">
      <c r="A40" s="270">
        <f>IF(AND($K40&lt;&gt;"",$K40&lt;&gt;"--",$K40&lt;&gt;"O3/CP",$K$14=A$18),IF(LEFT($K40,1)="P",VLOOKUP(CONCATENATE(LEFT($K40,2),"H"),$R$63:$T$91,3,FALSE),VLOOKUP($K40,$R$63:$T$91,3,FALSE)))+IF(AND($K40&lt;&gt;"",$K40&lt;&gt;"O3/CP",$K$15=A$18,MID($K40,4,1)="2",$K$15&lt;&gt;$K$14),VLOOKUP(CONCATENATE(LEFT($K40,2),"L"),$R$63:$T$91,3,FALSE),0)+IF(AND($K40="O3/CP",$K$14=A$18),VLOOKUP("O3",$R$63:$T$91,3,FALSE)+VLOOKUP("CP",$R$63:$T$91,3,FALSE),0)+IF(AND($L40&lt;&gt;"",$L40&lt;&gt;"--",$L40&lt;&gt;"O3/CP",$L$14=A$18),IF(LEFT($L40,1)="P",VLOOKUP(CONCATENATE(LEFT($L40,2),"H"),$R$63:$T$91,3,FALSE),VLOOKUP($L40,$R$63:$T$91,3,FALSE)))+IF(AND($L40&lt;&gt;"",$L40&lt;&gt;"O3/CP",$L$15=A$18,MID($L40,4,1)="2",$L$15&lt;&gt;$L$14),VLOOKUP(CONCATENATE(LEFT($L40,2),"L"),$R$63:$T$91,3,FALSE),0)+IF(AND($L40="O3/CP",$L$14=A$18),VLOOKUP("O3",$R$63:$T$91,3,FALSE)+VLOOKUP("CP",$R$63:$T$91,3,FALSE),0)+IF(AND($M40&lt;&gt;"",$M40&lt;&gt;"--",$M40&lt;&gt;"O3/CP",$M$14=A$18),IF(LEFT($M40,1)="P",VLOOKUP(CONCATENATE(LEFT($M40,2),"H"),$R$63:$T$91,3,FALSE),VLOOKUP($M40,$R$63:$T$91,3,FALSE)))+IF(AND($M40&lt;&gt;"",$M40&lt;&gt;"O3/CP",$M$15=A$18,MID($M40,4,1)="2",$M$15&lt;&gt;$M$14),VLOOKUP(CONCATENATE(LEFT($M40,2),"L"),$R$63:$T$91,3,FALSE),0)+IF(AND($M40="O3/CP",$M$14=A$18),VLOOKUP("O3",$R$63:$T$91,3,FALSE)+VLOOKUP("CP",$R$63:$T$91,3,FALSE),0)+IF(AND($N40&lt;&gt;"",$N40&lt;&gt;"--",$N40&lt;&gt;"O3/CP",$N$14=A$18),IF(LEFT($N40,1)="P",VLOOKUP(CONCATENATE(LEFT($N40,2),"H"),$R$63:$T$91,3,FALSE),VLOOKUP($N40,$R$63:$T$91,3,FALSE)))+IF(AND($N40&lt;&gt;"",$N40&lt;&gt;"O3/CP",$N$15=A$18,MID($N40,4,1)="2",$N$15&lt;&gt;$N$14),VLOOKUP(CONCATENATE(LEFT($N40,2),"L"),$R$63:$T$91,3,FALSE),0)+IF(AND($N40="O3/CP",$N$14=A$18),VLOOKUP("O3",$R$63:$T$91,3,FALSE)+VLOOKUP("CP",$R$63:$T$91,3,FALSE),0)+IF(AND($O40&lt;&gt;"",$O40&lt;&gt;"--",$O40&lt;&gt;"O3/CP",$O$14=A$18),IF(LEFT($O40,1)="P",VLOOKUP(CONCATENATE(LEFT($O40,2),"H"),$R$63:$T$91,3,FALSE),VLOOKUP($O40,$R$63:$T$91,3,FALSE)))+IF(AND($O40&lt;&gt;"",$O40&lt;&gt;"O3/CP",$O$15=A$18,MID($O40,4,1)="2",$O$15&lt;&gt;$O$14),VLOOKUP(CONCATENATE(LEFT($O40,2),"L"),$R$63:$T$91,3,FALSE),0)+IF(AND($O40="O3/CP",$O$14=A$18),VLOOKUP("O3",$R$63:$T$91,3,FALSE)+VLOOKUP("CP",$R$63:$T$91,3,FALSE),0)+IF(AND($P40&lt;&gt;"",$P40&lt;&gt;"--",$P40&lt;&gt;"O3/CP",$P$14=A$18),IF(LEFT($P40,1)="P",VLOOKUP(CONCATENATE(LEFT($P40,2),"H"),$R$63:$T$91,3,FALSE),VLOOKUP($P40,$R$63:$T$91,3,FALSE)))+IF(AND($P40&lt;&gt;"",$P40&lt;&gt;"O3/CP",$P$15=A$18,MID($P40,4,1)="2",$P$15&lt;&gt;$P$14),VLOOKUP(CONCATENATE(LEFT($P40,2),"L"),$R$63:$T$91,3,FALSE),0)+IF(AND($P40="O3/CP",$P$14=A$18),VLOOKUP("O3",$R$63:$T$91,3,FALSE)+VLOOKUP("CP",$R$63:$T$91,3,FALSE),0)+IF(AND($Q40&lt;&gt;"",$Q40&lt;&gt;"--",$Q40&lt;&gt;"O3/CP",$Q$14=A$18),IF(LEFT($Q40,1)="P",VLOOKUP(CONCATENATE(LEFT($Q40,2),"H"),$R$63:$T$91,3,FALSE),VLOOKUP($Q40,$R$63:$T$91,3,FALSE)))+IF(AND($Q40&lt;&gt;"",$Q40&lt;&gt;"O3/CP",$Q$15=A$18,MID($Q40,4,1)="2",$Q$15&lt;&gt;$Q$14),VLOOKUP(CONCATENATE(LEFT($Q40,2),"L"),$R$63:$T$91,3,FALSE),0)+IF(AND($Q40="O3/CP",$Q$14=A$18),VLOOKUP("O3",$R$63:$T$91,3,FALSE)+VLOOKUP("CP",$R$63:$T$91,3,FALSE),0)+IF(AND($R40&lt;&gt;"",$R40&lt;&gt;"--",$R40&lt;&gt;"O3/CP",$R$14=A$18),IF(LEFT($R40,1)="P",VLOOKUP(CONCATENATE(LEFT($R40,2),"H"),$R$63:$T$91,3,FALSE),VLOOKUP($R40,$R$63:$T$91,3,FALSE)))+IF(AND($R40&lt;&gt;"",$R40&lt;&gt;"O3/CP",$R$15=A$18,MID($R40,4,1)="2",$R$15&lt;&gt;$R$14),VLOOKUP(CONCATENATE(LEFT($R40,2),"L"),$R$63:$T$91,3,FALSE),0)+IF(AND($R40="O3/CP",$R$14=A$18),VLOOKUP("O3",$R$63:$T$91,3,FALSE)+VLOOKUP("CP",$R$63:$T$91,3,FALSE),0)+IF(AND($S40&lt;&gt;"",$S40&lt;&gt;"--",$S40&lt;&gt;"O3/CP",$S$14=A$18),IF(LEFT($S40,1)="P",VLOOKUP(CONCATENATE(LEFT($S40,2),"H"),$R$63:$T$91,3,FALSE),VLOOKUP($S40,$R$63:$T$91,3,FALSE)))+IF(AND($S40&lt;&gt;"",$S40&lt;&gt;"O3/CP",$S$15=A$18,MID($S40,4,1)="2",$S$15&lt;&gt;$S$14),VLOOKUP(CONCATENATE(LEFT($S40,2),"L"),$R$63:$T$91,3,FALSE),0)+IF(AND($S40="O3/CP",$S$14=A$18),VLOOKUP("O3",$R$63:$T$91,3,FALSE)+VLOOKUP("CP",$R$63:$T$91,3,FALSE),0)+IF(AND($T40&lt;&gt;"",$T40&lt;&gt;"--",$T40&lt;&gt;"O3/CP",$T$14=A$18),IF(LEFT($T40,1)="P",VLOOKUP(CONCATENATE(LEFT($T40,2),"H"),$R$63:$T$91,3,FALSE),VLOOKUP($T40,$R$63:$T$91,3,FALSE)))+IF(AND($T40&lt;&gt;"",$T40&lt;&gt;"O3/CP",$T$15=A$18,MID($T40,4,1)="2",$T$15&lt;&gt;$T$14),VLOOKUP(CONCATENATE(LEFT($T40,2),"L"),$R$63:$T$91,3,FALSE),0)+IF(AND($T40="O3/CP",$T$14=A$18),VLOOKUP("O3",$R$63:$T$91,3,FALSE)+VLOOKUP("CP",$R$63:$T$91,3,FALSE),0)+IF(AND($U40&lt;&gt;"",$U40&lt;&gt;"--",$U40&lt;&gt;"O3/CP",$U$14=A$18),IF(LEFT($U40,1)="P",VLOOKUP(CONCATENATE(LEFT($U40,2),"H"),$R$63:$T$91,3,FALSE),VLOOKUP($U40,$R$63:$T$91,3,FALSE)))+IF(AND($U40&lt;&gt;"",$U40&lt;&gt;"O3/CP",$U$15=A$18,MID($U40,4,1)="2",$U$15&lt;&gt;$U$14),VLOOKUP(CONCATENATE(LEFT($U40,2),"L"),$R$63:$T$91,3,FALSE),0)+IF(AND($U40="O3/CP",$T$14=A$18),VLOOKUP("O3",$R$63:$T$91,3,FALSE)+VLOOKUP("CP",$R$63:$T$91,3,FALSE),0)+IF(AND($V40&lt;&gt;"",$V40&lt;&gt;"--",$V40&lt;&gt;"O3/CP",$V$14=A$18),IF(LEFT($V40,1)="P",VLOOKUP(CONCATENATE(LEFT($V40,2),"H"),$R$63:$T$91,3,FALSE),VLOOKUP($V40,$R$63:$T$91,3,FALSE)))+IF(AND($V40&lt;&gt;"",$V40&lt;&gt;"O3/CP",$V$15=A$18,MID($V40,4,1)="2",$V$15&lt;&gt;$V$14),VLOOKUP(CONCATENATE(LEFT($V40,2),"L"),$R$63:$T$91,3,FALSE),0)+IF(AND($V40="O3/CP",$V$14=A$18),VLOOKUP("O3",$R$63:$T$91,3,FALSE)+VLOOKUP("CP",$R$63:$T$91,3,FALSE),0)+IF(AND($W40&lt;&gt;"",$W40&lt;&gt;"--",$W40&lt;&gt;"O3/CP",$W$14=A$18),IF(LEFT($W40,1)="P",VLOOKUP(CONCATENATE(LEFT($W40,2),"H"),$R$63:$T$91,3,FALSE),VLOOKUP($W40,$R$63:$T$91,3,FALSE)))+IF(AND($W40&lt;&gt;"",$W40&lt;&gt;"O3/CP",$W$15=A$18,MID($W40,4,1)="2",$W$15&lt;&gt;$W$14),VLOOKUP(CONCATENATE(LEFT($W40,2),"L"),$R$63:$T$91,3,FALSE),0)+IF(AND($W40="O3/CP",$W$14=A$18),VLOOKUP("O3",$R$63:$T$91,3,FALSE)+VLOOKUP("CP",$R$63:$T$91,3,FALSE),0)+IF(AND($X40&lt;&gt;"",$X40&lt;&gt;"--",$X40&lt;&gt;"O3/CP",$X$14=A$18),IF(LEFT($X40,1)="P",VLOOKUP(CONCATENATE(LEFT($X40,2),"H"),$R$63:$T$91,3,FALSE),VLOOKUP($X40,$R$63:$T$91,3,FALSE)))+IF(AND($X40&lt;&gt;"",$X40&lt;&gt;"O3/CP",$X$15=A$18,MID($X40,4,1)="2",$X$15&lt;&gt;$X$14),VLOOKUP(CONCATENATE(LEFT($X40,2),"L"),$R$63:$T$91,3,FALSE),0)+IF(AND($X40="O3/CP",$X$14=A$18),VLOOKUP("O3",$R$63:$T$91,3,FALSE)+VLOOKUP("CP",$R$63:$T$91,3,FALSE),0)+IF(AND($Y40&lt;&gt;"",$Y40&lt;&gt;"--",$Y40&lt;&gt;"O3/CP",$Y$14=A$18),IF(LEFT($Y40,1)="P",VLOOKUP(CONCATENATE(LEFT($Y40,2),"H"),$R$63:$T$91,3,FALSE),VLOOKUP($Y40,$R$63:$T$91,3,FALSE)))+IF(AND($Y40&lt;&gt;"",$Y40&lt;&gt;"O3/CP",$Y$15=A$18,MID($Y40,4,1)="2",$Y$15&lt;&gt;$Y$14),VLOOKUP(CONCATENATE(LEFT($Y40,2),"L"),$R$63:$T$91,3,FALSE),0)+IF(AND($Y40="O3/CP",$Y$14=A$18),VLOOKUP("O3",$R$63:$T$91,3,FALSE)+VLOOKUP("CP",$R$63:$T$91,3,FALSE),0)+IF(AND($K$6="CE",'[3]Supply Attribution'!$G$20=A$18),LEFT($S$90,2),0)+IF(AND($X$86&lt;&gt;"Not Set",$X$87=A$18),$X$86,0)</f>
        <v>13</v>
      </c>
      <c r="B40" s="269">
        <f>IF(AND($K40&lt;&gt;"",$K40&lt;&gt;"--",$K40&lt;&gt;"O3/CP",$K$14=B$18),IF(LEFT($K40,1)="P",VLOOKUP(CONCATENATE(LEFT($K40,2),"H"),$R$63:$T$91,3,FALSE),VLOOKUP($K40,$R$63:$T$91,3,FALSE)))+IF(AND($K40&lt;&gt;"",$K40&lt;&gt;"O3/CP",$K$15=B$18,MID($K40,4,1)="2",$K$15&lt;&gt;$K$14),VLOOKUP(CONCATENATE(LEFT($K40,2),"L"),$R$63:$T$91,3,FALSE),0)+IF(AND($K40="O3/CP",$K$14=B$18),VLOOKUP("O3",$R$63:$T$91,3,FALSE)+VLOOKUP("CP",$R$63:$T$91,3,FALSE),0)+IF(AND($L40&lt;&gt;"",$L40&lt;&gt;"--",$L40&lt;&gt;"O3/CP",$L$14=B$18),IF(LEFT($L40,1)="P",VLOOKUP(CONCATENATE(LEFT($L40,2),"H"),$R$63:$T$91,3,FALSE),VLOOKUP($L40,$R$63:$T$91,3,FALSE)))+IF(AND($L40&lt;&gt;"",$L40&lt;&gt;"O3/CP",$L$15=B$18,MID($L40,4,1)="2",$L$15&lt;&gt;$L$14),VLOOKUP(CONCATENATE(LEFT($L40,2),"L"),$R$63:$T$91,3,FALSE),0)+IF(AND($L40="O3/CP",$L$14=B$18),VLOOKUP("O3",$R$63:$T$91,3,FALSE)+VLOOKUP("CP",$R$63:$T$91,3,FALSE),0)+IF(AND($M40&lt;&gt;"",$M40&lt;&gt;"--",$M40&lt;&gt;"O3/CP",$M$14=B$18),IF(LEFT($M40,1)="P",VLOOKUP(CONCATENATE(LEFT($M40,2),"H"),$R$63:$T$91,3,FALSE),VLOOKUP($M40,$R$63:$T$91,3,FALSE)))+IF(AND($M40&lt;&gt;"",$M40&lt;&gt;"O3/CP",$M$15=B$18,MID($M40,4,1)="2",$M$15&lt;&gt;$M$14),VLOOKUP(CONCATENATE(LEFT($M40,2),"L"),$R$63:$T$91,3,FALSE),0)+IF(AND($M40="O3/CP",$M$14=B$18),VLOOKUP("O3",$R$63:$T$91,3,FALSE)+VLOOKUP("CP",$R$63:$T$91,3,FALSE),0)+IF(AND($N40&lt;&gt;"",$N40&lt;&gt;"--",$N40&lt;&gt;"O3/CP",$N$14=B$18),IF(LEFT($N40,1)="P",VLOOKUP(CONCATENATE(LEFT($N40,2),"H"),$R$63:$T$91,3,FALSE),VLOOKUP($N40,$R$63:$T$91,3,FALSE)))+IF(AND($N40&lt;&gt;"",$N40&lt;&gt;"O3/CP",$N$15=B$18,MID($N40,4,1)="2",$N$15&lt;&gt;$N$14),VLOOKUP(CONCATENATE(LEFT($N40,2),"L"),$R$63:$T$91,3,FALSE),0)+IF(AND($N40="O3/CP",$N$14=B$18),VLOOKUP("O3",$R$63:$T$91,3,FALSE)+VLOOKUP("CP",$R$63:$T$91,3,FALSE),0)+IF(AND($O40&lt;&gt;"",$O40&lt;&gt;"--",$O40&lt;&gt;"O3/CP",$O$14=B$18),IF(LEFT($O40,1)="P",VLOOKUP(CONCATENATE(LEFT($O40,2),"H"),$R$63:$T$91,3,FALSE),VLOOKUP($O40,$R$63:$T$91,3,FALSE)))+IF(AND($O40&lt;&gt;"",$O40&lt;&gt;"O3/CP",$O$15=B$18,MID($O40,4,1)="2",$O$15&lt;&gt;$O$14),VLOOKUP(CONCATENATE(LEFT($O40,2),"L"),$R$63:$T$91,3,FALSE),0)+IF(AND($O40="O3/CP",$O$14=B$18),VLOOKUP("O3",$R$63:$T$91,3,FALSE)+VLOOKUP("CP",$R$63:$T$91,3,FALSE),0)+IF(AND($P40&lt;&gt;"",$P40&lt;&gt;"--",$P40&lt;&gt;"O3/CP",$P$14=B$18),IF(LEFT($P40,1)="P",VLOOKUP(CONCATENATE(LEFT($P40,2),"H"),$R$63:$T$91,3,FALSE),VLOOKUP($P40,$R$63:$T$91,3,FALSE)))+IF(AND($P40&lt;&gt;"",$P40&lt;&gt;"O3/CP",$P$15=B$18,MID($P40,4,1)="2",$P$15&lt;&gt;$P$14),VLOOKUP(CONCATENATE(LEFT($P40,2),"L"),$R$63:$T$91,3,FALSE),0)+IF(AND($P40="O3/CP",$P$14=B$18),VLOOKUP("O3",$R$63:$T$91,3,FALSE)+VLOOKUP("CP",$R$63:$T$91,3,FALSE),0)+IF(AND($Q40&lt;&gt;"",$Q40&lt;&gt;"--",$Q40&lt;&gt;"O3/CP",$Q$14=B$18),IF(LEFT($Q40,1)="P",VLOOKUP(CONCATENATE(LEFT($Q40,2),"H"),$R$63:$T$91,3,FALSE),VLOOKUP($Q40,$R$63:$T$91,3,FALSE)))+IF(AND($Q40&lt;&gt;"",$Q40&lt;&gt;"O3/CP",$Q$15=B$18,MID($Q40,4,1)="2",$Q$15&lt;&gt;$Q$14),VLOOKUP(CONCATENATE(LEFT($Q40,2),"L"),$R$63:$T$91,3,FALSE),0)+IF(AND($Q40="O3/CP",$Q$14=B$18),VLOOKUP("O3",$R$63:$T$91,3,FALSE)+VLOOKUP("CP",$R$63:$T$91,3,FALSE),0)+IF(AND($R40&lt;&gt;"",$R40&lt;&gt;"--",$R40&lt;&gt;"O3/CP",$R$14=B$18),IF(LEFT($R40,1)="P",VLOOKUP(CONCATENATE(LEFT($R40,2),"H"),$R$63:$T$91,3,FALSE),VLOOKUP($R40,$R$63:$T$91,3,FALSE)))+IF(AND($R40&lt;&gt;"",$R40&lt;&gt;"O3/CP",$R$15=B$18,MID($R40,4,1)="2",$R$15&lt;&gt;$R$14),VLOOKUP(CONCATENATE(LEFT($R40,2),"L"),$R$63:$T$91,3,FALSE),0)+IF(AND($R40="O3/CP",$R$14=B$18),VLOOKUP("O3",$R$63:$T$91,3,FALSE)+VLOOKUP("CP",$R$63:$T$91,3,FALSE),0)+IF(AND($S40&lt;&gt;"",$S40&lt;&gt;"--",$S40&lt;&gt;"O3/CP",$S$14=B$18),IF(LEFT($S40,1)="P",VLOOKUP(CONCATENATE(LEFT($S40,2),"H"),$R$63:$T$91,3,FALSE),VLOOKUP($S40,$R$63:$T$91,3,FALSE)))+IF(AND($S40&lt;&gt;"",$S40&lt;&gt;"O3/CP",$S$15=B$18,MID($S40,4,1)="2",$S$15&lt;&gt;$S$14),VLOOKUP(CONCATENATE(LEFT($S40,2),"L"),$R$63:$T$91,3,FALSE),0)+IF(AND($S40="O3/CP",$S$14=B$18),VLOOKUP("O3",$R$63:$T$91,3,FALSE)+VLOOKUP("CP",$R$63:$T$91,3,FALSE),0)+IF(AND($T40&lt;&gt;"",$T40&lt;&gt;"--",$T40&lt;&gt;"O3/CP",$T$14=B$18),IF(LEFT($T40,1)="P",VLOOKUP(CONCATENATE(LEFT($T40,2),"H"),$R$63:$T$91,3,FALSE),VLOOKUP($T40,$R$63:$T$91,3,FALSE)))+IF(AND($T40&lt;&gt;"",$T40&lt;&gt;"O3/CP",$T$15=B$18,MID($T40,4,1)="2",$T$15&lt;&gt;$T$14),VLOOKUP(CONCATENATE(LEFT($T40,2),"L"),$R$63:$T$91,3,FALSE),0)+IF(AND($T40="O3/CP",$T$14=B$18),VLOOKUP("O3",$R$63:$T$91,3,FALSE)+VLOOKUP("CP",$R$63:$T$91,3,FALSE),0)+IF(AND($U40&lt;&gt;"",$U40&lt;&gt;"--",$U40&lt;&gt;"O3/CP",$U$14=B$18),IF(LEFT($U40,1)="P",VLOOKUP(CONCATENATE(LEFT($U40,2),"H"),$R$63:$T$91,3,FALSE),VLOOKUP($U40,$R$63:$T$91,3,FALSE)))+IF(AND($U40&lt;&gt;"",$U40&lt;&gt;"O3/CP",$U$15=B$18,MID($U40,4,1)="2",$U$15&lt;&gt;$U$14),VLOOKUP(CONCATENATE(LEFT($U40,2),"L"),$R$63:$T$91,3,FALSE),0)+IF(AND($U40="O3/CP",$T$14=B$18),VLOOKUP("O3",$R$63:$T$91,3,FALSE)+VLOOKUP("CP",$R$63:$T$91,3,FALSE),0)+IF(AND($V40&lt;&gt;"",$V40&lt;&gt;"--",$V40&lt;&gt;"O3/CP",$V$14=B$18),IF(LEFT($V40,1)="P",VLOOKUP(CONCATENATE(LEFT($V40,2),"H"),$R$63:$T$91,3,FALSE),VLOOKUP($V40,$R$63:$T$91,3,FALSE)))+IF(AND($V40&lt;&gt;"",$V40&lt;&gt;"O3/CP",$V$15=B$18,MID($V40,4,1)="2",$V$15&lt;&gt;$V$14),VLOOKUP(CONCATENATE(LEFT($V40,2),"L"),$R$63:$T$91,3,FALSE),0)+IF(AND($V40="O3/CP",$V$14=B$18),VLOOKUP("O3",$R$63:$T$91,3,FALSE)+VLOOKUP("CP",$R$63:$T$91,3,FALSE),0)+IF(AND($W40&lt;&gt;"",$W40&lt;&gt;"--",$W40&lt;&gt;"O3/CP",$W$14=B$18),IF(LEFT($W40,1)="P",VLOOKUP(CONCATENATE(LEFT($W40,2),"H"),$R$63:$T$91,3,FALSE),VLOOKUP($W40,$R$63:$T$91,3,FALSE)))+IF(AND($W40&lt;&gt;"",$W40&lt;&gt;"O3/CP",$W$15=B$18,MID($W40,4,1)="2",$W$15&lt;&gt;$W$14),VLOOKUP(CONCATENATE(LEFT($W40,2),"L"),$R$63:$T$91,3,FALSE),0)+IF(AND($W40="O3/CP",$W$14=B$18),VLOOKUP("O3",$R$63:$T$91,3,FALSE)+VLOOKUP("CP",$R$63:$T$91,3,FALSE),0)+IF(AND($X40&lt;&gt;"",$X40&lt;&gt;"--",$X40&lt;&gt;"O3/CP",$X$14=B$18),IF(LEFT($X40,1)="P",VLOOKUP(CONCATENATE(LEFT($X40,2),"H"),$R$63:$T$91,3,FALSE),VLOOKUP($X40,$R$63:$T$91,3,FALSE)))+IF(AND($X40&lt;&gt;"",$X40&lt;&gt;"O3/CP",$X$15=B$18,MID($X40,4,1)="2",$X$15&lt;&gt;$X$14),VLOOKUP(CONCATENATE(LEFT($X40,2),"L"),$R$63:$T$91,3,FALSE),0)+IF(AND($X40="O3/CP",$X$14=B$18),VLOOKUP("O3",$R$63:$T$91,3,FALSE)+VLOOKUP("CP",$R$63:$T$91,3,FALSE),0)+IF(AND($Y40&lt;&gt;"",$Y40&lt;&gt;"--",$Y40&lt;&gt;"O3/CP",$Y$14=B$18),IF(LEFT($Y40,1)="P",VLOOKUP(CONCATENATE(LEFT($Y40,2),"H"),$R$63:$T$91,3,FALSE),VLOOKUP($Y40,$R$63:$T$91,3,FALSE)))+IF(AND($Y40&lt;&gt;"",$Y40&lt;&gt;"O3/CP",$Y$15=B$18,MID($Y40,4,1)="2",$Y$15&lt;&gt;$Y$14),VLOOKUP(CONCATENATE(LEFT($Y40,2),"L"),$R$63:$T$91,3,FALSE),0)+IF(AND($Y40="O3/CP",$Y$14=B$18),VLOOKUP("O3",$R$63:$T$91,3,FALSE)+VLOOKUP("CP",$R$63:$T$91,3,FALSE),0)+IF(AND($K$6="CE",'[3]Supply Attribution'!$G$20=B$18),LEFT($S$90,2),0)+IF(AND($X$86&lt;&gt;"Not Set",$X$87=B$18),$X$86,0)</f>
        <v>5</v>
      </c>
      <c r="C40" s="269">
        <f>IF(AND($K40&lt;&gt;"",$K40&lt;&gt;"--",$K40&lt;&gt;"O3/CP",$K$14=C$18),IF(LEFT($K40,1)="P",VLOOKUP(CONCATENATE(LEFT($K40,2),"H"),$R$63:$T$91,3,FALSE),VLOOKUP($K40,$R$63:$T$91,3,FALSE)))+IF(AND($K40&lt;&gt;"",$K40&lt;&gt;"O3/CP",$K$15=C$18,MID($K40,4,1)="2",$K$15&lt;&gt;$K$14),VLOOKUP(CONCATENATE(LEFT($K40,2),"L"),$R$63:$T$91,3,FALSE),0)+IF(AND($K40="O3/CP",$K$14=C$18),VLOOKUP("O3",$R$63:$T$91,3,FALSE)+VLOOKUP("CP",$R$63:$T$91,3,FALSE),0)+IF(AND($L40&lt;&gt;"",$L40&lt;&gt;"--",$L40&lt;&gt;"O3/CP",$L$14=C$18),IF(LEFT($L40,1)="P",VLOOKUP(CONCATENATE(LEFT($L40,2),"H"),$R$63:$T$91,3,FALSE),VLOOKUP($L40,$R$63:$T$91,3,FALSE)))+IF(AND($L40&lt;&gt;"",$L40&lt;&gt;"O3/CP",$L$15=C$18,MID($L40,4,1)="2",$L$15&lt;&gt;$L$14),VLOOKUP(CONCATENATE(LEFT($L40,2),"L"),$R$63:$T$91,3,FALSE),0)+IF(AND($L40="O3/CP",$L$14=C$18),VLOOKUP("O3",$R$63:$T$91,3,FALSE)+VLOOKUP("CP",$R$63:$T$91,3,FALSE),0)+IF(AND($M40&lt;&gt;"",$M40&lt;&gt;"--",$M40&lt;&gt;"O3/CP",$M$14=C$18),IF(LEFT($M40,1)="P",VLOOKUP(CONCATENATE(LEFT($M40,2),"H"),$R$63:$T$91,3,FALSE),VLOOKUP($M40,$R$63:$T$91,3,FALSE)))+IF(AND($M40&lt;&gt;"",$M40&lt;&gt;"O3/CP",$M$15=C$18,MID($M40,4,1)="2",$M$15&lt;&gt;$M$14),VLOOKUP(CONCATENATE(LEFT($M40,2),"L"),$R$63:$T$91,3,FALSE),0)+IF(AND($M40="O3/CP",$M$14=C$18),VLOOKUP("O3",$R$63:$T$91,3,FALSE)+VLOOKUP("CP",$R$63:$T$91,3,FALSE),0)+IF(AND($N40&lt;&gt;"",$N40&lt;&gt;"--",$N40&lt;&gt;"O3/CP",$N$14=C$18),IF(LEFT($N40,1)="P",VLOOKUP(CONCATENATE(LEFT($N40,2),"H"),$R$63:$T$91,3,FALSE),VLOOKUP($N40,$R$63:$T$91,3,FALSE)))+IF(AND($N40&lt;&gt;"",$N40&lt;&gt;"O3/CP",$N$15=C$18,MID($N40,4,1)="2",$N$15&lt;&gt;$N$14),VLOOKUP(CONCATENATE(LEFT($N40,2),"L"),$R$63:$T$91,3,FALSE),0)+IF(AND($N40="O3/CP",$N$14=C$18),VLOOKUP("O3",$R$63:$T$91,3,FALSE)+VLOOKUP("CP",$R$63:$T$91,3,FALSE),0)+IF(AND($O40&lt;&gt;"",$O40&lt;&gt;"--",$O40&lt;&gt;"O3/CP",$O$14=C$18),IF(LEFT($O40,1)="P",VLOOKUP(CONCATENATE(LEFT($O40,2),"H"),$R$63:$T$91,3,FALSE),VLOOKUP($O40,$R$63:$T$91,3,FALSE)))+IF(AND($O40&lt;&gt;"",$O40&lt;&gt;"O3/CP",$O$15=C$18,MID($O40,4,1)="2",$O$15&lt;&gt;$O$14),VLOOKUP(CONCATENATE(LEFT($O40,2),"L"),$R$63:$T$91,3,FALSE),0)+IF(AND($O40="O3/CP",$O$14=C$18),VLOOKUP("O3",$R$63:$T$91,3,FALSE)+VLOOKUP("CP",$R$63:$T$91,3,FALSE),0)+IF(AND($P40&lt;&gt;"",$P40&lt;&gt;"--",$P40&lt;&gt;"O3/CP",$P$14=C$18),IF(LEFT($P40,1)="P",VLOOKUP(CONCATENATE(LEFT($P40,2),"H"),$R$63:$T$91,3,FALSE),VLOOKUP($P40,$R$63:$T$91,3,FALSE)))+IF(AND($P40&lt;&gt;"",$P40&lt;&gt;"O3/CP",$P$15=C$18,MID($P40,4,1)="2",$P$15&lt;&gt;$P$14),VLOOKUP(CONCATENATE(LEFT($P40,2),"L"),$R$63:$T$91,3,FALSE),0)+IF(AND($P40="O3/CP",$P$14=C$18),VLOOKUP("O3",$R$63:$T$91,3,FALSE)+VLOOKUP("CP",$R$63:$T$91,3,FALSE),0)+IF(AND($Q40&lt;&gt;"",$Q40&lt;&gt;"--",$Q40&lt;&gt;"O3/CP",$Q$14=C$18),IF(LEFT($Q40,1)="P",VLOOKUP(CONCATENATE(LEFT($Q40,2),"H"),$R$63:$T$91,3,FALSE),VLOOKUP($Q40,$R$63:$T$91,3,FALSE)))+IF(AND($Q40&lt;&gt;"",$Q40&lt;&gt;"O3/CP",$Q$15=C$18,MID($Q40,4,1)="2",$Q$15&lt;&gt;$Q$14),VLOOKUP(CONCATENATE(LEFT($Q40,2),"L"),$R$63:$T$91,3,FALSE),0)+IF(AND($Q40="O3/CP",$Q$14=C$18),VLOOKUP("O3",$R$63:$T$91,3,FALSE)+VLOOKUP("CP",$R$63:$T$91,3,FALSE),0)+IF(AND($R40&lt;&gt;"",$R40&lt;&gt;"--",$R40&lt;&gt;"O3/CP",$R$14=C$18),IF(LEFT($R40,1)="P",VLOOKUP(CONCATENATE(LEFT($R40,2),"H"),$R$63:$T$91,3,FALSE),VLOOKUP($R40,$R$63:$T$91,3,FALSE)))+IF(AND($R40&lt;&gt;"",$R40&lt;&gt;"O3/CP",$R$15=C$18,MID($R40,4,1)="2",$R$15&lt;&gt;$R$14),VLOOKUP(CONCATENATE(LEFT($R40,2),"L"),$R$63:$T$91,3,FALSE),0)+IF(AND($R40="O3/CP",$R$14=C$18),VLOOKUP("O3",$R$63:$T$91,3,FALSE)+VLOOKUP("CP",$R$63:$T$91,3,FALSE),0)+IF(AND($S40&lt;&gt;"",$S40&lt;&gt;"--",$S40&lt;&gt;"O3/CP",$S$14=C$18),IF(LEFT($S40,1)="P",VLOOKUP(CONCATENATE(LEFT($S40,2),"H"),$R$63:$T$91,3,FALSE),VLOOKUP($S40,$R$63:$T$91,3,FALSE)))+IF(AND($S40&lt;&gt;"",$S40&lt;&gt;"O3/CP",$S$15=C$18,MID($S40,4,1)="2",$S$15&lt;&gt;$S$14),VLOOKUP(CONCATENATE(LEFT($S40,2),"L"),$R$63:$T$91,3,FALSE),0)+IF(AND($S40="O3/CP",$S$14=C$18),VLOOKUP("O3",$R$63:$T$91,3,FALSE)+VLOOKUP("CP",$R$63:$T$91,3,FALSE),0)+IF(AND($T40&lt;&gt;"",$T40&lt;&gt;"--",$T40&lt;&gt;"O3/CP",$T$14=C$18),IF(LEFT($T40,1)="P",VLOOKUP(CONCATENATE(LEFT($T40,2),"H"),$R$63:$T$91,3,FALSE),VLOOKUP($T40,$R$63:$T$91,3,FALSE)))+IF(AND($T40&lt;&gt;"",$T40&lt;&gt;"O3/CP",$T$15=C$18,MID($T40,4,1)="2",$T$15&lt;&gt;$T$14),VLOOKUP(CONCATENATE(LEFT($T40,2),"L"),$R$63:$T$91,3,FALSE),0)+IF(AND($T40="O3/CP",$T$14=C$18),VLOOKUP("O3",$R$63:$T$91,3,FALSE)+VLOOKUP("CP",$R$63:$T$91,3,FALSE),0)+IF(AND($U40&lt;&gt;"",$U40&lt;&gt;"--",$U40&lt;&gt;"O3/CP",$U$14=C$18),IF(LEFT($U40,1)="P",VLOOKUP(CONCATENATE(LEFT($U40,2),"H"),$R$63:$T$91,3,FALSE),VLOOKUP($U40,$R$63:$T$91,3,FALSE)))+IF(AND($U40&lt;&gt;"",$U40&lt;&gt;"O3/CP",$U$15=C$18,MID($U40,4,1)="2",$U$15&lt;&gt;$U$14),VLOOKUP(CONCATENATE(LEFT($U40,2),"L"),$R$63:$T$91,3,FALSE),0)+IF(AND($U40="O3/CP",$T$14=C$18),VLOOKUP("O3",$R$63:$T$91,3,FALSE)+VLOOKUP("CP",$R$63:$T$91,3,FALSE),0)+IF(AND($V40&lt;&gt;"",$V40&lt;&gt;"--",$V40&lt;&gt;"O3/CP",$V$14=C$18),IF(LEFT($V40,1)="P",VLOOKUP(CONCATENATE(LEFT($V40,2),"H"),$R$63:$T$91,3,FALSE),VLOOKUP($V40,$R$63:$T$91,3,FALSE)))+IF(AND($V40&lt;&gt;"",$V40&lt;&gt;"O3/CP",$V$15=C$18,MID($V40,4,1)="2",$V$15&lt;&gt;$V$14),VLOOKUP(CONCATENATE(LEFT($V40,2),"L"),$R$63:$T$91,3,FALSE),0)+IF(AND($V40="O3/CP",$V$14=C$18),VLOOKUP("O3",$R$63:$T$91,3,FALSE)+VLOOKUP("CP",$R$63:$T$91,3,FALSE),0)+IF(AND($W40&lt;&gt;"",$W40&lt;&gt;"--",$W40&lt;&gt;"O3/CP",$W$14=C$18),IF(LEFT($W40,1)="P",VLOOKUP(CONCATENATE(LEFT($W40,2),"H"),$R$63:$T$91,3,FALSE),VLOOKUP($W40,$R$63:$T$91,3,FALSE)))+IF(AND($W40&lt;&gt;"",$W40&lt;&gt;"O3/CP",$W$15=C$18,MID($W40,4,1)="2",$W$15&lt;&gt;$W$14),VLOOKUP(CONCATENATE(LEFT($W40,2),"L"),$R$63:$T$91,3,FALSE),0)+IF(AND($W40="O3/CP",$W$14=C$18),VLOOKUP("O3",$R$63:$T$91,3,FALSE)+VLOOKUP("CP",$R$63:$T$91,3,FALSE),0)+IF(AND($X40&lt;&gt;"",$X40&lt;&gt;"--",$X40&lt;&gt;"O3/CP",$X$14=C$18),IF(LEFT($X40,1)="P",VLOOKUP(CONCATENATE(LEFT($X40,2),"H"),$R$63:$T$91,3,FALSE),VLOOKUP($X40,$R$63:$T$91,3,FALSE)))+IF(AND($X40&lt;&gt;"",$X40&lt;&gt;"O3/CP",$X$15=C$18,MID($X40,4,1)="2",$X$15&lt;&gt;$X$14),VLOOKUP(CONCATENATE(LEFT($X40,2),"L"),$R$63:$T$91,3,FALSE),0)+IF(AND($X40="O3/CP",$X$14=C$18),VLOOKUP("O3",$R$63:$T$91,3,FALSE)+VLOOKUP("CP",$R$63:$T$91,3,FALSE),0)+IF(AND($Y40&lt;&gt;"",$Y40&lt;&gt;"--",$Y40&lt;&gt;"O3/CP",$Y$14=C$18),IF(LEFT($Y40,1)="P",VLOOKUP(CONCATENATE(LEFT($Y40,2),"H"),$R$63:$T$91,3,FALSE),VLOOKUP($Y40,$R$63:$T$91,3,FALSE)))+IF(AND($Y40&lt;&gt;"",$Y40&lt;&gt;"O3/CP",$Y$15=C$18,MID($Y40,4,1)="2",$Y$15&lt;&gt;$Y$14),VLOOKUP(CONCATENATE(LEFT($Y40,2),"L"),$R$63:$T$91,3,FALSE),0)+IF(AND($Y40="O3/CP",$Y$14=C$18),VLOOKUP("O3",$R$63:$T$91,3,FALSE)+VLOOKUP("CP",$R$63:$T$91,3,FALSE),0)+IF(AND($K$6="CE",'[3]Supply Attribution'!$G$20=C$18),LEFT($S$90,2),0)+IF(AND($X$86&lt;&gt;"Not Set",$X$87=C$18),$X$86,0)</f>
        <v>24</v>
      </c>
      <c r="D40" s="269">
        <f>IF(AND($K40&lt;&gt;"",$K40&lt;&gt;"--",$K40&lt;&gt;"O3/CP",$K$14=D$18),IF(LEFT($K40,1)="P",VLOOKUP(CONCATENATE(LEFT($K40,2),"H"),$R$63:$T$91,3,FALSE),VLOOKUP($K40,$R$63:$T$91,3,FALSE)))+IF(AND($K40&lt;&gt;"",$K40&lt;&gt;"O3/CP",$K$15=D$18,MID($K40,4,1)="2",$K$15&lt;&gt;$K$14),VLOOKUP(CONCATENATE(LEFT($K40,2),"L"),$R$63:$T$91,3,FALSE),0)+IF(AND($K40="O3/CP",$K$14=D$18),VLOOKUP("O3",$R$63:$T$91,3,FALSE)+VLOOKUP("CP",$R$63:$T$91,3,FALSE),0)+IF(AND($L40&lt;&gt;"",$L40&lt;&gt;"--",$L40&lt;&gt;"O3/CP",$L$14=D$18),IF(LEFT($L40,1)="P",VLOOKUP(CONCATENATE(LEFT($L40,2),"H"),$R$63:$T$91,3,FALSE),VLOOKUP($L40,$R$63:$T$91,3,FALSE)))+IF(AND($L40&lt;&gt;"",$L40&lt;&gt;"O3/CP",$L$15=D$18,MID($L40,4,1)="2",$L$15&lt;&gt;$L$14),VLOOKUP(CONCATENATE(LEFT($L40,2),"L"),$R$63:$T$91,3,FALSE),0)+IF(AND($L40="O3/CP",$L$14=D$18),VLOOKUP("O3",$R$63:$T$91,3,FALSE)+VLOOKUP("CP",$R$63:$T$91,3,FALSE),0)+IF(AND($M40&lt;&gt;"",$M40&lt;&gt;"--",$M40&lt;&gt;"O3/CP",$M$14=D$18),IF(LEFT($M40,1)="P",VLOOKUP(CONCATENATE(LEFT($M40,2),"H"),$R$63:$T$91,3,FALSE),VLOOKUP($M40,$R$63:$T$91,3,FALSE)))+IF(AND($M40&lt;&gt;"",$M40&lt;&gt;"O3/CP",$M$15=D$18,MID($M40,4,1)="2",$M$15&lt;&gt;$M$14),VLOOKUP(CONCATENATE(LEFT($M40,2),"L"),$R$63:$T$91,3,FALSE),0)+IF(AND($M40="O3/CP",$M$14=D$18),VLOOKUP("O3",$R$63:$T$91,3,FALSE)+VLOOKUP("CP",$R$63:$T$91,3,FALSE),0)+IF(AND($N40&lt;&gt;"",$N40&lt;&gt;"--",$N40&lt;&gt;"O3/CP",$N$14=D$18),IF(LEFT($N40,1)="P",VLOOKUP(CONCATENATE(LEFT($N40,2),"H"),$R$63:$T$91,3,FALSE),VLOOKUP($N40,$R$63:$T$91,3,FALSE)))+IF(AND($N40&lt;&gt;"",$N40&lt;&gt;"O3/CP",$N$15=D$18,MID($N40,4,1)="2",$N$15&lt;&gt;$N$14),VLOOKUP(CONCATENATE(LEFT($N40,2),"L"),$R$63:$T$91,3,FALSE),0)+IF(AND($N40="O3/CP",$N$14=D$18),VLOOKUP("O3",$R$63:$T$91,3,FALSE)+VLOOKUP("CP",$R$63:$T$91,3,FALSE),0)+IF(AND($O40&lt;&gt;"",$O40&lt;&gt;"--",$O40&lt;&gt;"O3/CP",$O$14=D$18),IF(LEFT($O40,1)="P",VLOOKUP(CONCATENATE(LEFT($O40,2),"H"),$R$63:$T$91,3,FALSE),VLOOKUP($O40,$R$63:$T$91,3,FALSE)))+IF(AND($O40&lt;&gt;"",$O40&lt;&gt;"O3/CP",$O$15=D$18,MID($O40,4,1)="2",$O$15&lt;&gt;$O$14),VLOOKUP(CONCATENATE(LEFT($O40,2),"L"),$R$63:$T$91,3,FALSE),0)+IF(AND($O40="O3/CP",$O$14=D$18),VLOOKUP("O3",$R$63:$T$91,3,FALSE)+VLOOKUP("CP",$R$63:$T$91,3,FALSE),0)+IF(AND($P40&lt;&gt;"",$P40&lt;&gt;"--",$P40&lt;&gt;"O3/CP",$P$14=D$18),IF(LEFT($P40,1)="P",VLOOKUP(CONCATENATE(LEFT($P40,2),"H"),$R$63:$T$91,3,FALSE),VLOOKUP($P40,$R$63:$T$91,3,FALSE)))+IF(AND($P40&lt;&gt;"",$P40&lt;&gt;"O3/CP",$P$15=D$18,MID($P40,4,1)="2",$P$15&lt;&gt;$P$14),VLOOKUP(CONCATENATE(LEFT($P40,2),"L"),$R$63:$T$91,3,FALSE),0)+IF(AND($P40="O3/CP",$P$14=D$18),VLOOKUP("O3",$R$63:$T$91,3,FALSE)+VLOOKUP("CP",$R$63:$T$91,3,FALSE),0)+IF(AND($Q40&lt;&gt;"",$Q40&lt;&gt;"--",$Q40&lt;&gt;"O3/CP",$Q$14=D$18),IF(LEFT($Q40,1)="P",VLOOKUP(CONCATENATE(LEFT($Q40,2),"H"),$R$63:$T$91,3,FALSE),VLOOKUP($Q40,$R$63:$T$91,3,FALSE)))+IF(AND($Q40&lt;&gt;"",$Q40&lt;&gt;"O3/CP",$Q$15=D$18,MID($Q40,4,1)="2",$Q$15&lt;&gt;$Q$14),VLOOKUP(CONCATENATE(LEFT($Q40,2),"L"),$R$63:$T$91,3,FALSE),0)+IF(AND($Q40="O3/CP",$Q$14=D$18),VLOOKUP("O3",$R$63:$T$91,3,FALSE)+VLOOKUP("CP",$R$63:$T$91,3,FALSE),0)+IF(AND($R40&lt;&gt;"",$R40&lt;&gt;"--",$R40&lt;&gt;"O3/CP",$R$14=D$18),IF(LEFT($R40,1)="P",VLOOKUP(CONCATENATE(LEFT($R40,2),"H"),$R$63:$T$91,3,FALSE),VLOOKUP($R40,$R$63:$T$91,3,FALSE)))+IF(AND($R40&lt;&gt;"",$R40&lt;&gt;"O3/CP",$R$15=D$18,MID($R40,4,1)="2",$R$15&lt;&gt;$R$14),VLOOKUP(CONCATENATE(LEFT($R40,2),"L"),$R$63:$T$91,3,FALSE),0)+IF(AND($R40="O3/CP",$R$14=D$18),VLOOKUP("O3",$R$63:$T$91,3,FALSE)+VLOOKUP("CP",$R$63:$T$91,3,FALSE),0)+IF(AND($S40&lt;&gt;"",$S40&lt;&gt;"--",$S40&lt;&gt;"O3/CP",$S$14=D$18),IF(LEFT($S40,1)="P",VLOOKUP(CONCATENATE(LEFT($S40,2),"H"),$R$63:$T$91,3,FALSE),VLOOKUP($S40,$R$63:$T$91,3,FALSE)))+IF(AND($S40&lt;&gt;"",$S40&lt;&gt;"O3/CP",$S$15=D$18,MID($S40,4,1)="2",$S$15&lt;&gt;$S$14),VLOOKUP(CONCATENATE(LEFT($S40,2),"L"),$R$63:$T$91,3,FALSE),0)+IF(AND($S40="O3/CP",$S$14=D$18),VLOOKUP("O3",$R$63:$T$91,3,FALSE)+VLOOKUP("CP",$R$63:$T$91,3,FALSE),0)+IF(AND($T40&lt;&gt;"",$T40&lt;&gt;"--",$T40&lt;&gt;"O3/CP",$T$14=D$18),IF(LEFT($T40,1)="P",VLOOKUP(CONCATENATE(LEFT($T40,2),"H"),$R$63:$T$91,3,FALSE),VLOOKUP($T40,$R$63:$T$91,3,FALSE)))+IF(AND($T40&lt;&gt;"",$T40&lt;&gt;"O3/CP",$T$15=D$18,MID($T40,4,1)="2",$T$15&lt;&gt;$T$14),VLOOKUP(CONCATENATE(LEFT($T40,2),"L"),$R$63:$T$91,3,FALSE),0)+IF(AND($T40="O3/CP",$T$14=D$18),VLOOKUP("O3",$R$63:$T$91,3,FALSE)+VLOOKUP("CP",$R$63:$T$91,3,FALSE),0)+IF(AND($U40&lt;&gt;"",$U40&lt;&gt;"--",$U40&lt;&gt;"O3/CP",$U$14=D$18),IF(LEFT($U40,1)="P",VLOOKUP(CONCATENATE(LEFT($U40,2),"H"),$R$63:$T$91,3,FALSE),VLOOKUP($U40,$R$63:$T$91,3,FALSE)))+IF(AND($U40&lt;&gt;"",$U40&lt;&gt;"O3/CP",$U$15=D$18,MID($U40,4,1)="2",$U$15&lt;&gt;$U$14),VLOOKUP(CONCATENATE(LEFT($U40,2),"L"),$R$63:$T$91,3,FALSE),0)+IF(AND($U40="O3/CP",$T$14=D$18),VLOOKUP("O3",$R$63:$T$91,3,FALSE)+VLOOKUP("CP",$R$63:$T$91,3,FALSE),0)+IF(AND($V40&lt;&gt;"",$V40&lt;&gt;"--",$V40&lt;&gt;"O3/CP",$V$14=D$18),IF(LEFT($V40,1)="P",VLOOKUP(CONCATENATE(LEFT($V40,2),"H"),$R$63:$T$91,3,FALSE),VLOOKUP($V40,$R$63:$T$91,3,FALSE)))+IF(AND($V40&lt;&gt;"",$V40&lt;&gt;"O3/CP",$V$15=D$18,MID($V40,4,1)="2",$V$15&lt;&gt;$V$14),VLOOKUP(CONCATENATE(LEFT($V40,2),"L"),$R$63:$T$91,3,FALSE),0)+IF(AND($V40="O3/CP",$V$14=D$18),VLOOKUP("O3",$R$63:$T$91,3,FALSE)+VLOOKUP("CP",$R$63:$T$91,3,FALSE),0)+IF(AND($W40&lt;&gt;"",$W40&lt;&gt;"--",$W40&lt;&gt;"O3/CP",$W$14=D$18),IF(LEFT($W40,1)="P",VLOOKUP(CONCATENATE(LEFT($W40,2),"H"),$R$63:$T$91,3,FALSE),VLOOKUP($W40,$R$63:$T$91,3,FALSE)))+IF(AND($W40&lt;&gt;"",$W40&lt;&gt;"O3/CP",$W$15=D$18,MID($W40,4,1)="2",$W$15&lt;&gt;$W$14),VLOOKUP(CONCATENATE(LEFT($W40,2),"L"),$R$63:$T$91,3,FALSE),0)+IF(AND($W40="O3/CP",$W$14=D$18),VLOOKUP("O3",$R$63:$T$91,3,FALSE)+VLOOKUP("CP",$R$63:$T$91,3,FALSE),0)+IF(AND($X40&lt;&gt;"",$X40&lt;&gt;"--",$X40&lt;&gt;"O3/CP",$X$14=D$18),IF(LEFT($X40,1)="P",VLOOKUP(CONCATENATE(LEFT($X40,2),"H"),$R$63:$T$91,3,FALSE),VLOOKUP($X40,$R$63:$T$91,3,FALSE)))+IF(AND($X40&lt;&gt;"",$X40&lt;&gt;"O3/CP",$X$15=D$18,MID($X40,4,1)="2",$X$15&lt;&gt;$X$14),VLOOKUP(CONCATENATE(LEFT($X40,2),"L"),$R$63:$T$91,3,FALSE),0)+IF(AND($X40="O3/CP",$X$14=D$18),VLOOKUP("O3",$R$63:$T$91,3,FALSE)+VLOOKUP("CP",$R$63:$T$91,3,FALSE),0)+IF(AND($Y40&lt;&gt;"",$Y40&lt;&gt;"--",$Y40&lt;&gt;"O3/CP",$Y$14=D$18),IF(LEFT($Y40,1)="P",VLOOKUP(CONCATENATE(LEFT($Y40,2),"H"),$R$63:$T$91,3,FALSE),VLOOKUP($Y40,$R$63:$T$91,3,FALSE)))+IF(AND($Y40&lt;&gt;"",$Y40&lt;&gt;"O3/CP",$Y$15=D$18,MID($Y40,4,1)="2",$Y$15&lt;&gt;$Y$14),VLOOKUP(CONCATENATE(LEFT($Y40,2),"L"),$R$63:$T$91,3,FALSE),0)+IF(AND($Y40="O3/CP",$Y$14=D$18),VLOOKUP("O3",$R$63:$T$91,3,FALSE)+VLOOKUP("CP",$R$63:$T$91,3,FALSE),0)+IF(AND($K$6="CE",'[3]Supply Attribution'!$G$20=D$18),LEFT($S$90,2),0)+IF(AND($X$86&lt;&gt;"Not Set",$X$87=D$18),$X$86,0)</f>
        <v>0</v>
      </c>
      <c r="E40" s="269">
        <f>IF(AND($K40&lt;&gt;"",$K40&lt;&gt;"--",$K40&lt;&gt;"O3/CP",$K$14=E$18),IF(LEFT($K40,1)="P",VLOOKUP(CONCATENATE(LEFT($K40,2),"H"),$R$63:$T$91,3,FALSE),VLOOKUP($K40,$R$63:$T$91,3,FALSE)))+IF(AND($K40&lt;&gt;"",$K40&lt;&gt;"O3/CP",$K$15=E$18,MID($K40,4,1)="2",$K$15&lt;&gt;$K$14),VLOOKUP(CONCATENATE(LEFT($K40,2),"L"),$R$63:$T$91,3,FALSE),0)+IF(AND($K40="O3/CP",$K$14=E$18),VLOOKUP("O3",$R$63:$T$91,3,FALSE)+VLOOKUP("CP",$R$63:$T$91,3,FALSE),0)+IF(AND($L40&lt;&gt;"",$L40&lt;&gt;"--",$L40&lt;&gt;"O3/CP",$L$14=E$18),IF(LEFT($L40,1)="P",VLOOKUP(CONCATENATE(LEFT($L40,2),"H"),$R$63:$T$91,3,FALSE),VLOOKUP($L40,$R$63:$T$91,3,FALSE)))+IF(AND($L40&lt;&gt;"",$L40&lt;&gt;"O3/CP",$L$15=E$18,MID($L40,4,1)="2",$L$15&lt;&gt;$L$14),VLOOKUP(CONCATENATE(LEFT($L40,2),"L"),$R$63:$T$91,3,FALSE),0)+IF(AND($L40="O3/CP",$L$14=E$18),VLOOKUP("O3",$R$63:$T$91,3,FALSE)+VLOOKUP("CP",$R$63:$T$91,3,FALSE),0)+IF(AND($M40&lt;&gt;"",$M40&lt;&gt;"--",$M40&lt;&gt;"O3/CP",$M$14=E$18),IF(LEFT($M40,1)="P",VLOOKUP(CONCATENATE(LEFT($M40,2),"H"),$R$63:$T$91,3,FALSE),VLOOKUP($M40,$R$63:$T$91,3,FALSE)))+IF(AND($M40&lt;&gt;"",$M40&lt;&gt;"O3/CP",$M$15=E$18,MID($M40,4,1)="2",$M$15&lt;&gt;$M$14),VLOOKUP(CONCATENATE(LEFT($M40,2),"L"),$R$63:$T$91,3,FALSE),0)+IF(AND($M40="O3/CP",$M$14=E$18),VLOOKUP("O3",$R$63:$T$91,3,FALSE)+VLOOKUP("CP",$R$63:$T$91,3,FALSE),0)+IF(AND($N40&lt;&gt;"",$N40&lt;&gt;"--",$N40&lt;&gt;"O3/CP",$N$14=E$18),IF(LEFT($N40,1)="P",VLOOKUP(CONCATENATE(LEFT($N40,2),"H"),$R$63:$T$91,3,FALSE),VLOOKUP($N40,$R$63:$T$91,3,FALSE)))+IF(AND($N40&lt;&gt;"",$N40&lt;&gt;"O3/CP",$N$15=E$18,MID($N40,4,1)="2",$N$15&lt;&gt;$N$14),VLOOKUP(CONCATENATE(LEFT($N40,2),"L"),$R$63:$T$91,3,FALSE),0)+IF(AND($N40="O3/CP",$N$14=E$18),VLOOKUP("O3",$R$63:$T$91,3,FALSE)+VLOOKUP("CP",$R$63:$T$91,3,FALSE),0)+IF(AND($O40&lt;&gt;"",$O40&lt;&gt;"--",$O40&lt;&gt;"O3/CP",$O$14=E$18),IF(LEFT($O40,1)="P",VLOOKUP(CONCATENATE(LEFT($O40,2),"H"),$R$63:$T$91,3,FALSE),VLOOKUP($O40,$R$63:$T$91,3,FALSE)))+IF(AND($O40&lt;&gt;"",$O40&lt;&gt;"O3/CP",$O$15=E$18,MID($O40,4,1)="2",$O$15&lt;&gt;$O$14),VLOOKUP(CONCATENATE(LEFT($O40,2),"L"),$R$63:$T$91,3,FALSE),0)+IF(AND($O40="O3/CP",$O$14=E$18),VLOOKUP("O3",$R$63:$T$91,3,FALSE)+VLOOKUP("CP",$R$63:$T$91,3,FALSE),0)+IF(AND($P40&lt;&gt;"",$P40&lt;&gt;"--",$P40&lt;&gt;"O3/CP",$P$14=E$18),IF(LEFT($P40,1)="P",VLOOKUP(CONCATENATE(LEFT($P40,2),"H"),$R$63:$T$91,3,FALSE),VLOOKUP($P40,$R$63:$T$91,3,FALSE)))+IF(AND($P40&lt;&gt;"",$P40&lt;&gt;"O3/CP",$P$15=E$18,MID($P40,4,1)="2",$P$15&lt;&gt;$P$14),VLOOKUP(CONCATENATE(LEFT($P40,2),"L"),$R$63:$T$91,3,FALSE),0)+IF(AND($P40="O3/CP",$P$14=E$18),VLOOKUP("O3",$R$63:$T$91,3,FALSE)+VLOOKUP("CP",$R$63:$T$91,3,FALSE),0)+IF(AND($Q40&lt;&gt;"",$Q40&lt;&gt;"--",$Q40&lt;&gt;"O3/CP",$Q$14=E$18),IF(LEFT($Q40,1)="P",VLOOKUP(CONCATENATE(LEFT($Q40,2),"H"),$R$63:$T$91,3,FALSE),VLOOKUP($Q40,$R$63:$T$91,3,FALSE)))+IF(AND($Q40&lt;&gt;"",$Q40&lt;&gt;"O3/CP",$Q$15=E$18,MID($Q40,4,1)="2",$Q$15&lt;&gt;$Q$14),VLOOKUP(CONCATENATE(LEFT($Q40,2),"L"),$R$63:$T$91,3,FALSE),0)+IF(AND($Q40="O3/CP",$Q$14=E$18),VLOOKUP("O3",$R$63:$T$91,3,FALSE)+VLOOKUP("CP",$R$63:$T$91,3,FALSE),0)+IF(AND($R40&lt;&gt;"",$R40&lt;&gt;"--",$R40&lt;&gt;"O3/CP",$R$14=E$18),IF(LEFT($R40,1)="P",VLOOKUP(CONCATENATE(LEFT($R40,2),"H"),$R$63:$T$91,3,FALSE),VLOOKUP($R40,$R$63:$T$91,3,FALSE)))+IF(AND($R40&lt;&gt;"",$R40&lt;&gt;"O3/CP",$R$15=E$18,MID($R40,4,1)="2",$R$15&lt;&gt;$R$14),VLOOKUP(CONCATENATE(LEFT($R40,2),"L"),$R$63:$T$91,3,FALSE),0)+IF(AND($R40="O3/CP",$R$14=E$18),VLOOKUP("O3",$R$63:$T$91,3,FALSE)+VLOOKUP("CP",$R$63:$T$91,3,FALSE),0)+IF(AND($S40&lt;&gt;"",$S40&lt;&gt;"--",$S40&lt;&gt;"O3/CP",$S$14=E$18),IF(LEFT($S40,1)="P",VLOOKUP(CONCATENATE(LEFT($S40,2),"H"),$R$63:$T$91,3,FALSE),VLOOKUP($S40,$R$63:$T$91,3,FALSE)))+IF(AND($S40&lt;&gt;"",$S40&lt;&gt;"O3/CP",$S$15=E$18,MID($S40,4,1)="2",$S$15&lt;&gt;$S$14),VLOOKUP(CONCATENATE(LEFT($S40,2),"L"),$R$63:$T$91,3,FALSE),0)+IF(AND($S40="O3/CP",$S$14=E$18),VLOOKUP("O3",$R$63:$T$91,3,FALSE)+VLOOKUP("CP",$R$63:$T$91,3,FALSE),0)+IF(AND($T40&lt;&gt;"",$T40&lt;&gt;"--",$T40&lt;&gt;"O3/CP",$T$14=E$18),IF(LEFT($T40,1)="P",VLOOKUP(CONCATENATE(LEFT($T40,2),"H"),$R$63:$T$91,3,FALSE),VLOOKUP($T40,$R$63:$T$91,3,FALSE)))+IF(AND($T40&lt;&gt;"",$T40&lt;&gt;"O3/CP",$T$15=E$18,MID($T40,4,1)="2",$T$15&lt;&gt;$T$14),VLOOKUP(CONCATENATE(LEFT($T40,2),"L"),$R$63:$T$91,3,FALSE),0)+IF(AND($T40="O3/CP",$T$14=E$18),VLOOKUP("O3",$R$63:$T$91,3,FALSE)+VLOOKUP("CP",$R$63:$T$91,3,FALSE),0)+IF(AND($U40&lt;&gt;"",$U40&lt;&gt;"--",$U40&lt;&gt;"O3/CP",$U$14=E$18),IF(LEFT($U40,1)="P",VLOOKUP(CONCATENATE(LEFT($U40,2),"H"),$R$63:$T$91,3,FALSE),VLOOKUP($U40,$R$63:$T$91,3,FALSE)))+IF(AND($U40&lt;&gt;"",$U40&lt;&gt;"O3/CP",$U$15=E$18,MID($U40,4,1)="2",$U$15&lt;&gt;$U$14),VLOOKUP(CONCATENATE(LEFT($U40,2),"L"),$R$63:$T$91,3,FALSE),0)+IF(AND($U40="O3/CP",$T$14=E$18),VLOOKUP("O3",$R$63:$T$91,3,FALSE)+VLOOKUP("CP",$R$63:$T$91,3,FALSE),0)+IF(AND($V40&lt;&gt;"",$V40&lt;&gt;"--",$V40&lt;&gt;"O3/CP",$V$14=E$18),IF(LEFT($V40,1)="P",VLOOKUP(CONCATENATE(LEFT($V40,2),"H"),$R$63:$T$91,3,FALSE),VLOOKUP($V40,$R$63:$T$91,3,FALSE)))+IF(AND($V40&lt;&gt;"",$V40&lt;&gt;"O3/CP",$V$15=E$18,MID($V40,4,1)="2",$V$15&lt;&gt;$V$14),VLOOKUP(CONCATENATE(LEFT($V40,2),"L"),$R$63:$T$91,3,FALSE),0)+IF(AND($V40="O3/CP",$V$14=E$18),VLOOKUP("O3",$R$63:$T$91,3,FALSE)+VLOOKUP("CP",$R$63:$T$91,3,FALSE),0)+IF(AND($W40&lt;&gt;"",$W40&lt;&gt;"--",$W40&lt;&gt;"O3/CP",$W$14=E$18),IF(LEFT($W40,1)="P",VLOOKUP(CONCATENATE(LEFT($W40,2),"H"),$R$63:$T$91,3,FALSE),VLOOKUP($W40,$R$63:$T$91,3,FALSE)))+IF(AND($W40&lt;&gt;"",$W40&lt;&gt;"O3/CP",$W$15=E$18,MID($W40,4,1)="2",$W$15&lt;&gt;$W$14),VLOOKUP(CONCATENATE(LEFT($W40,2),"L"),$R$63:$T$91,3,FALSE),0)+IF(AND($W40="O3/CP",$W$14=E$18),VLOOKUP("O3",$R$63:$T$91,3,FALSE)+VLOOKUP("CP",$R$63:$T$91,3,FALSE),0)+IF(AND($X40&lt;&gt;"",$X40&lt;&gt;"--",$X40&lt;&gt;"O3/CP",$X$14=E$18),IF(LEFT($X40,1)="P",VLOOKUP(CONCATENATE(LEFT($X40,2),"H"),$R$63:$T$91,3,FALSE),VLOOKUP($X40,$R$63:$T$91,3,FALSE)))+IF(AND($X40&lt;&gt;"",$X40&lt;&gt;"O3/CP",$X$15=E$18,MID($X40,4,1)="2",$X$15&lt;&gt;$X$14),VLOOKUP(CONCATENATE(LEFT($X40,2),"L"),$R$63:$T$91,3,FALSE),0)+IF(AND($X40="O3/CP",$X$14=E$18),VLOOKUP("O3",$R$63:$T$91,3,FALSE)+VLOOKUP("CP",$R$63:$T$91,3,FALSE),0)+IF(AND($Y40&lt;&gt;"",$Y40&lt;&gt;"--",$Y40&lt;&gt;"O3/CP",$Y$14=E$18),IF(LEFT($Y40,1)="P",VLOOKUP(CONCATENATE(LEFT($Y40,2),"H"),$R$63:$T$91,3,FALSE),VLOOKUP($Y40,$R$63:$T$91,3,FALSE)))+IF(AND($Y40&lt;&gt;"",$Y40&lt;&gt;"O3/CP",$Y$15=E$18,MID($Y40,4,1)="2",$Y$15&lt;&gt;$Y$14),VLOOKUP(CONCATENATE(LEFT($Y40,2),"L"),$R$63:$T$91,3,FALSE),0)+IF(AND($Y40="O3/CP",$Y$14=E$18),VLOOKUP("O3",$R$63:$T$91,3,FALSE)+VLOOKUP("CP",$R$63:$T$91,3,FALSE),0)+IF(AND($K$6="CE",'[3]Supply Attribution'!$G$20=E$18),LEFT($S$90,2),0)+IF(AND($X$86&lt;&gt;"Not Set",$X$87=E$18),$X$86,0)</f>
        <v>0</v>
      </c>
      <c r="F40" s="268">
        <f>IF(AND($K40&lt;&gt;"",$K40&lt;&gt;"--",$K40&lt;&gt;"O3/CP",$K$14=F$18),IF(LEFT($K40,1)="P",VLOOKUP(CONCATENATE(LEFT($K40,2),"H"),$R$63:$T$91,3,FALSE),VLOOKUP($K40,$R$63:$T$91,3,FALSE)))+IF(AND($K40&lt;&gt;"",$K40&lt;&gt;"O3/CP",$K$15=F$18,MID($K40,4,1)="2",$K$15&lt;&gt;$K$14),VLOOKUP(CONCATENATE(LEFT($K40,2),"L"),$R$63:$T$91,3,FALSE),0)+IF(AND($K40="O3/CP",$K$14=F$18),VLOOKUP("O3",$R$63:$T$91,3,FALSE)+VLOOKUP("CP",$R$63:$T$91,3,FALSE),0)+IF(AND($L40&lt;&gt;"",$L40&lt;&gt;"--",$L40&lt;&gt;"O3/CP",$L$14=F$18),IF(LEFT($L40,1)="P",VLOOKUP(CONCATENATE(LEFT($L40,2),"H"),$R$63:$T$91,3,FALSE),VLOOKUP($L40,$R$63:$T$91,3,FALSE)))+IF(AND($L40&lt;&gt;"",$L40&lt;&gt;"O3/CP",$L$15=F$18,MID($L40,4,1)="2",$L$15&lt;&gt;$L$14),VLOOKUP(CONCATENATE(LEFT($L40,2),"L"),$R$63:$T$91,3,FALSE),0)+IF(AND($L40="O3/CP",$L$14=F$18),VLOOKUP("O3",$R$63:$T$91,3,FALSE)+VLOOKUP("CP",$R$63:$T$91,3,FALSE),0)+IF(AND($M40&lt;&gt;"",$M40&lt;&gt;"--",$M40&lt;&gt;"O3/CP",$M$14=F$18),IF(LEFT($M40,1)="P",VLOOKUP(CONCATENATE(LEFT($M40,2),"H"),$R$63:$T$91,3,FALSE),VLOOKUP($M40,$R$63:$T$91,3,FALSE)))+IF(AND($M40&lt;&gt;"",$M40&lt;&gt;"O3/CP",$M$15=F$18,MID($M40,4,1)="2",$M$15&lt;&gt;$M$14),VLOOKUP(CONCATENATE(LEFT($M40,2),"L"),$R$63:$T$91,3,FALSE),0)+IF(AND($M40="O3/CP",$M$14=F$18),VLOOKUP("O3",$R$63:$T$91,3,FALSE)+VLOOKUP("CP",$R$63:$T$91,3,FALSE),0)+IF(AND($N40&lt;&gt;"",$N40&lt;&gt;"--",$N40&lt;&gt;"O3/CP",$N$14=F$18),IF(LEFT($N40,1)="P",VLOOKUP(CONCATENATE(LEFT($N40,2),"H"),$R$63:$T$91,3,FALSE),VLOOKUP($N40,$R$63:$T$91,3,FALSE)))+IF(AND($N40&lt;&gt;"",$N40&lt;&gt;"O3/CP",$N$15=F$18,MID($N40,4,1)="2",$N$15&lt;&gt;$N$14),VLOOKUP(CONCATENATE(LEFT($N40,2),"L"),$R$63:$T$91,3,FALSE),0)+IF(AND($N40="O3/CP",$N$14=F$18),VLOOKUP("O3",$R$63:$T$91,3,FALSE)+VLOOKUP("CP",$R$63:$T$91,3,FALSE),0)+IF(AND($O40&lt;&gt;"",$O40&lt;&gt;"--",$O40&lt;&gt;"O3/CP",$O$14=F$18),IF(LEFT($O40,1)="P",VLOOKUP(CONCATENATE(LEFT($O40,2),"H"),$R$63:$T$91,3,FALSE),VLOOKUP($O40,$R$63:$T$91,3,FALSE)))+IF(AND($O40&lt;&gt;"",$O40&lt;&gt;"O3/CP",$O$15=F$18,MID($O40,4,1)="2",$O$15&lt;&gt;$O$14),VLOOKUP(CONCATENATE(LEFT($O40,2),"L"),$R$63:$T$91,3,FALSE),0)+IF(AND($O40="O3/CP",$O$14=F$18),VLOOKUP("O3",$R$63:$T$91,3,FALSE)+VLOOKUP("CP",$R$63:$T$91,3,FALSE),0)+IF(AND($P40&lt;&gt;"",$P40&lt;&gt;"--",$P40&lt;&gt;"O3/CP",$P$14=F$18),IF(LEFT($P40,1)="P",VLOOKUP(CONCATENATE(LEFT($P40,2),"H"),$R$63:$T$91,3,FALSE),VLOOKUP($P40,$R$63:$T$91,3,FALSE)))+IF(AND($P40&lt;&gt;"",$P40&lt;&gt;"O3/CP",$P$15=F$18,MID($P40,4,1)="2",$P$15&lt;&gt;$P$14),VLOOKUP(CONCATENATE(LEFT($P40,2),"L"),$R$63:$T$91,3,FALSE),0)+IF(AND($P40="O3/CP",$P$14=F$18),VLOOKUP("O3",$R$63:$T$91,3,FALSE)+VLOOKUP("CP",$R$63:$T$91,3,FALSE),0)+IF(AND($Q40&lt;&gt;"",$Q40&lt;&gt;"--",$Q40&lt;&gt;"O3/CP",$Q$14=F$18),IF(LEFT($Q40,1)="P",VLOOKUP(CONCATENATE(LEFT($Q40,2),"H"),$R$63:$T$91,3,FALSE),VLOOKUP($Q40,$R$63:$T$91,3,FALSE)))+IF(AND($Q40&lt;&gt;"",$Q40&lt;&gt;"O3/CP",$Q$15=F$18,MID($Q40,4,1)="2",$Q$15&lt;&gt;$Q$14),VLOOKUP(CONCATENATE(LEFT($Q40,2),"L"),$R$63:$T$91,3,FALSE),0)+IF(AND($Q40="O3/CP",$Q$14=F$18),VLOOKUP("O3",$R$63:$T$91,3,FALSE)+VLOOKUP("CP",$R$63:$T$91,3,FALSE),0)+IF(AND($R40&lt;&gt;"",$R40&lt;&gt;"--",$R40&lt;&gt;"O3/CP",$R$14=F$18),IF(LEFT($R40,1)="P",VLOOKUP(CONCATENATE(LEFT($R40,2),"H"),$R$63:$T$91,3,FALSE),VLOOKUP($R40,$R$63:$T$91,3,FALSE)))+IF(AND($R40&lt;&gt;"",$R40&lt;&gt;"O3/CP",$R$15=F$18,MID($R40,4,1)="2",$R$15&lt;&gt;$R$14),VLOOKUP(CONCATENATE(LEFT($R40,2),"L"),$R$63:$T$91,3,FALSE),0)+IF(AND($R40="O3/CP",$R$14=F$18),VLOOKUP("O3",$R$63:$T$91,3,FALSE)+VLOOKUP("CP",$R$63:$T$91,3,FALSE),0)+IF(AND($S40&lt;&gt;"",$S40&lt;&gt;"--",$S40&lt;&gt;"O3/CP",$S$14=F$18),IF(LEFT($S40,1)="P",VLOOKUP(CONCATENATE(LEFT($S40,2),"H"),$R$63:$T$91,3,FALSE),VLOOKUP($S40,$R$63:$T$91,3,FALSE)))+IF(AND($S40&lt;&gt;"",$S40&lt;&gt;"O3/CP",$S$15=F$18,MID($S40,4,1)="2",$S$15&lt;&gt;$S$14),VLOOKUP(CONCATENATE(LEFT($S40,2),"L"),$R$63:$T$91,3,FALSE),0)+IF(AND($S40="O3/CP",$S$14=F$18),VLOOKUP("O3",$R$63:$T$91,3,FALSE)+VLOOKUP("CP",$R$63:$T$91,3,FALSE),0)+IF(AND($T40&lt;&gt;"",$T40&lt;&gt;"--",$T40&lt;&gt;"O3/CP",$T$14=F$18),IF(LEFT($T40,1)="P",VLOOKUP(CONCATENATE(LEFT($T40,2),"H"),$R$63:$T$91,3,FALSE),VLOOKUP($T40,$R$63:$T$91,3,FALSE)))+IF(AND($T40&lt;&gt;"",$T40&lt;&gt;"O3/CP",$T$15=F$18,MID($T40,4,1)="2",$T$15&lt;&gt;$T$14),VLOOKUP(CONCATENATE(LEFT($T40,2),"L"),$R$63:$T$91,3,FALSE),0)+IF(AND($T40="O3/CP",$T$14=F$18),VLOOKUP("O3",$R$63:$T$91,3,FALSE)+VLOOKUP("CP",$R$63:$T$91,3,FALSE),0)+IF(AND($U40&lt;&gt;"",$U40&lt;&gt;"--",$U40&lt;&gt;"O3/CP",$U$14=F$18),IF(LEFT($U40,1)="P",VLOOKUP(CONCATENATE(LEFT($U40,2),"H"),$R$63:$T$91,3,FALSE),VLOOKUP($U40,$R$63:$T$91,3,FALSE)))+IF(AND($U40&lt;&gt;"",$U40&lt;&gt;"O3/CP",$U$15=F$18,MID($U40,4,1)="2",$U$15&lt;&gt;$U$14),VLOOKUP(CONCATENATE(LEFT($U40,2),"L"),$R$63:$T$91,3,FALSE),0)+IF(AND($U40="O3/CP",$T$14=F$18),VLOOKUP("O3",$R$63:$T$91,3,FALSE)+VLOOKUP("CP",$R$63:$T$91,3,FALSE),0)+IF(AND($V40&lt;&gt;"",$V40&lt;&gt;"--",$V40&lt;&gt;"O3/CP",$V$14=F$18),IF(LEFT($V40,1)="P",VLOOKUP(CONCATENATE(LEFT($V40,2),"H"),$R$63:$T$91,3,FALSE),VLOOKUP($V40,$R$63:$T$91,3,FALSE)))+IF(AND($V40&lt;&gt;"",$V40&lt;&gt;"O3/CP",$V$15=F$18,MID($V40,4,1)="2",$V$15&lt;&gt;$V$14),VLOOKUP(CONCATENATE(LEFT($V40,2),"L"),$R$63:$T$91,3,FALSE),0)+IF(AND($V40="O3/CP",$V$14=F$18),VLOOKUP("O3",$R$63:$T$91,3,FALSE)+VLOOKUP("CP",$R$63:$T$91,3,FALSE),0)+IF(AND($W40&lt;&gt;"",$W40&lt;&gt;"--",$W40&lt;&gt;"O3/CP",$W$14=F$18),IF(LEFT($W40,1)="P",VLOOKUP(CONCATENATE(LEFT($W40,2),"H"),$R$63:$T$91,3,FALSE),VLOOKUP($W40,$R$63:$T$91,3,FALSE)))+IF(AND($W40&lt;&gt;"",$W40&lt;&gt;"O3/CP",$W$15=F$18,MID($W40,4,1)="2",$W$15&lt;&gt;$W$14),VLOOKUP(CONCATENATE(LEFT($W40,2),"L"),$R$63:$T$91,3,FALSE),0)+IF(AND($W40="O3/CP",$W$14=F$18),VLOOKUP("O3",$R$63:$T$91,3,FALSE)+VLOOKUP("CP",$R$63:$T$91,3,FALSE),0)+IF(AND($X40&lt;&gt;"",$X40&lt;&gt;"--",$X40&lt;&gt;"O3/CP",$X$14=F$18),IF(LEFT($X40,1)="P",VLOOKUP(CONCATENATE(LEFT($X40,2),"H"),$R$63:$T$91,3,FALSE),VLOOKUP($X40,$R$63:$T$91,3,FALSE)))+IF(AND($X40&lt;&gt;"",$X40&lt;&gt;"O3/CP",$X$15=F$18,MID($X40,4,1)="2",$X$15&lt;&gt;$X$14),VLOOKUP(CONCATENATE(LEFT($X40,2),"L"),$R$63:$T$91,3,FALSE),0)+IF(AND($X40="O3/CP",$X$14=F$18),VLOOKUP("O3",$R$63:$T$91,3,FALSE)+VLOOKUP("CP",$R$63:$T$91,3,FALSE),0)+IF(AND($Y40&lt;&gt;"",$Y40&lt;&gt;"--",$Y40&lt;&gt;"O3/CP",$Y$14=F$18),IF(LEFT($Y40,1)="P",VLOOKUP(CONCATENATE(LEFT($Y40,2),"H"),$R$63:$T$91,3,FALSE),VLOOKUP($Y40,$R$63:$T$91,3,FALSE)))+IF(AND($Y40&lt;&gt;"",$Y40&lt;&gt;"O3/CP",$Y$15=F$18,MID($Y40,4,1)="2",$Y$15&lt;&gt;$Y$14),VLOOKUP(CONCATENATE(LEFT($Y40,2),"L"),$R$63:$T$91,3,FALSE),0)+IF(AND($Y40="O3/CP",$Y$14=F$18),VLOOKUP("O3",$R$63:$T$91,3,FALSE)+VLOOKUP("CP",$R$63:$T$91,3,FALSE),0)+IF(AND($K$6="CE",'[3]Supply Attribution'!$G$20=F$18),LEFT($S$90,2),0)+IF(AND($X$86&lt;&gt;"Not Set",$X$87=F$18),$X$86,0)</f>
        <v>5</v>
      </c>
      <c r="G40" s="269">
        <f>IF(AND($K$6="CE",$T$59="1 Phase"),SUM(A40:F40)-IF(AND($K$14&lt;&gt;$K$15,RIGHT($K40,3)="2SP"),VLOOKUP(CONCATENATE(LEFT($K40,2),"L"),$R$63:$T$90,3,FALSE),0)-IF(AND($L$14&lt;&gt;$L$15,RIGHT($L40,3)="2SP"),VLOOKUP(CONCATENATE(LEFT($L40,2),"L"),$R$63:$T$90,3,FALSE),0)-IF(AND($M$14&lt;&gt;$M$15,RIGHT($M40,3)="2SP"),VLOOKUP(CONCATENATE(LEFT($M40,2),"L"),$R$63:$T$90,3,FALSE),0)-IF(AND($N$14&lt;&gt;$N$15,RIGHT($N40,3)="2SP"),VLOOKUP(CONCATENATE(LEFT($N40,2),"L"),$R$63:$T$90,3,FALSE),0)-IF(AND($O$14&lt;&gt;$O$15,RIGHT($O40,3)="2SP"),VLOOKUP(CONCATENATE(LEFT($O40,2),"L"),$R$63:$T$90,3,FALSE),0)-IF(AND($P$14&lt;&gt;$P$15,RIGHT($P40,3)="2SP"),VLOOKUP(CONCATENATE(LEFT($P40,2),"L"),$R$63:$T$90,3,FALSE),0)-IF(AND($Q$14&lt;&gt;$Q$15,RIGHT($Q40,3)="2SP"),VLOOKUP(CONCATENATE(LEFT($Q40,2),"L"),$R$63:$T$90,3,FALSE),0)-IF(AND($R$14&lt;&gt;$R$15,RIGHT($T40,3)="2SP"),VLOOKUP(CONCATENATE(LEFT($R40,2),"L"),$R$63:$T$90,3,FALSE),0)-IF(AND($S$14&lt;&gt;$S$15,RIGHT($T40,3)="2SP"),VLOOKUP(CONCATENATE(LEFT($S40,2),"L"),$R$63:$T$90,3,FALSE),0)-IF(AND($T$14&lt;&gt;$T$15,RIGHT($T40,3)="2SP"),VLOOKUP(CONCATENATE(LEFT($T40,2),"L"),$R$63:$T$90,3,FALSE),0)-IF(AND($U$14&lt;&gt;$U$15,RIGHT($U40,3)="2SP"),VLOOKUP(CONCATENATE(LEFT($U40,2),"L"),$R$63:$T$90,3,FALSE),0)-IF(AND($V$14&lt;&gt;$V$15,RIGHT($V40,3)="2SP"),VLOOKUP(CONCATENATE(LEFT($V40,2),"L"),$R$63:$T$90,3,FALSE),0)-IF(AND($W$14&lt;&gt;$W$15,RIGHT($W40,3)="2SP"),VLOOKUP(CONCATENATE(LEFT($W40,2),"L"),$R$63:$T$90,3,FALSE),0)-IF(AND($X$14&lt;&gt;$X$15,RIGHT($X40,3)="2SP"),VLOOKUP(CONCATENATE(LEFT($X40,2),"L"),$R$63:$T$90,3,FALSE),0)-IF(AND($Y$14&lt;&gt;$Y$15,RIGHT($Y40,3)="2SP"),VLOOKUP(CONCATENATE(LEFT($Y40,2),"L"),$R$63:$T$90,3,FALSE),0),IF(VLOOKUP(CONCATENATE($A$18,"Line"),'[3]Supply Attribution'!$F$31:$G$37,2,FALSE)=G$18,$A40,0)+IF(VLOOKUP(CONCATENATE($B$18,"Line"),'[3]Supply Attribution'!$F$31:$G$37,2,FALSE)=G$18,$B40,0)+IF(VLOOKUP(CONCATENATE($C$18,"Line"),'[3]Supply Attribution'!$F$31:$G$37,2,FALSE)=G$18,$C40,0)+IF(VLOOKUP(CONCATENATE($D$18,"Line"),'[3]Supply Attribution'!$F$31:$G$37,2,FALSE)=G$18,$D40,0)+IF(VLOOKUP(CONCATENATE($E$18,"Line"),'[3]Supply Attribution'!$F$31:$G$37,2,FALSE)=G$18,$E40,0)+IF(VLOOKUP(CONCATENATE($F$18,"Line"),'[3]Supply Attribution'!$F$31:$G$37,2,FALSE)=G$18,$F40,0)+IF($K$6="UL",LEFT($S$90,2),0)-IF(AND($K$16=G$18,$K$14&lt;&gt;$K$15,$K$16=$K$17,RIGHT($K40,3)="2SP"),VLOOKUP(CONCATENATE(LEFT($K40,2),"L"),$R$63:$T$90,3,FALSE),0)-IF(AND($L$16=G$18,$L$14&lt;&gt;$L$15,$L$16=$L$17,RIGHT($L40,3)="2SP"),VLOOKUP(CONCATENATE(LEFT($L40,2),"L"),$R$63:$T$90,3,FALSE),0)-IF(AND($M$16=G$18,$M$14&lt;&gt;$M$15,$M$16=$M$17,RIGHT($M40,3)="2SP"),VLOOKUP(CONCATENATE(LEFT($M40,2),"L"),$R$63:$T$90,3,FALSE),0)-IF(AND($N$16=G$18,$N$14&lt;&gt;$N$15,$N$16=$N$17,RIGHT($N40,3)="2SP"),VLOOKUP(CONCATENATE(LEFT($N40,2),"L"),$R$63:$T$90,3,FALSE),0)-IF(AND($O$16=G$18,$O$14&lt;&gt;$O$15,$O$16=$O$17,RIGHT($O40,3)="2SP"),VLOOKUP(CONCATENATE(LEFT($O40,2),"L"),$R$63:$T$90,3,FALSE),0)-IF(AND($P$16=G$18,$P$14&lt;&gt;$P$15,$P$16=$P$17,RIGHT($P40,3)="2SP"),VLOOKUP(CONCATENATE(LEFT($P40,2),"L"),$R$63:$T$90,3,FALSE),0)-IF(AND($Q$16=G$18,$Q$14&lt;&gt;$Q$15,$Q$16=$Q$17,RIGHT($Q40,3)="2SP"),VLOOKUP(CONCATENATE(LEFT($Q40,2),"L"),$R$63:$T$90,3,FALSE),0)-IF(AND($R$16=G$18,$R$14&lt;&gt;$R$15,$R$16=$R$17,RIGHT($R40,3)="2SP"),VLOOKUP(CONCATENATE(LEFT($R40,2),"L"),$R$63:$T$90,3,FALSE),0)-IF(AND($S$16=G$18,$S$14&lt;&gt;$S$15,$S$16=$S$17,RIGHT($S40,3)="2SP"),VLOOKUP(CONCATENATE(LEFT($S40,2),"L"),$R$63:$T$90,3,FALSE),0)-IF(AND($T$16=G$18,$T$14&lt;&gt;$T$15,$T$16=$T$17,RIGHT($T40,3)="2SP"),VLOOKUP(CONCATENATE(LEFT($T40,2),"L"),$R$63:$T$90,3,FALSE),0)-IF(AND($U$16=G$18,$U$14&lt;&gt;$U$15,$U$16=$U$17,RIGHT($U40,3)="2SP"),VLOOKUP(CONCATENATE(LEFT($U40,2),"L"),$R$63:$T$90,3,FALSE),0)-IF(AND($V$16=G$18,$V$14&lt;&gt;$V$15,$V$16=$V$17,RIGHT($V40,3)="2SP"),VLOOKUP(CONCATENATE(LEFT($V40,2),"L"),$R$63:$T$90,3,FALSE),0)-IF(AND($W$16=G$18,$W$14&lt;&gt;$W$15,$W$16=$W$17,RIGHT($W40,3)="2SP"),VLOOKUP(CONCATENATE(LEFT($W40,2),"L"),$R$63:$T$90,3,FALSE),0)-IF(AND($X$16=G$18,$X$14&lt;&gt;$X$15,$X$16=$X$17,RIGHT($X40,3)="2SP"),VLOOKUP(CONCATENATE(LEFT($X40,2),"L"),$R$63:$T$90,3,FALSE),0)-IF(AND($Y$16=G$18,$Y$14&lt;&gt;$Y$15,$Y$16=$Y$17,RIGHT($Y40,3)="2SP"),VLOOKUP(CONCATENATE(LEFT($Y40,2),"L"),$R$63:$T$90,3,FALSE),0))</f>
        <v>60</v>
      </c>
      <c r="H40" s="269" t="str">
        <f>IF(H$18&lt;&gt;"",IF(VLOOKUP(CONCATENATE($A$18,"Line"),'Supply Attribution'!$F$31:$G$37,2,FALSE)=H$18,$A40,0)+IF(VLOOKUP(CONCATENATE($B$18,"Line"),'Supply Attribution'!$F$31:$G$37,2,FALSE)=H$18,$B40,0)+IF(VLOOKUP(CONCATENATE($C$18,"Line"),'Supply Attribution'!$F$31:$G$37,2,FALSE)=H$18,$C40,0)+IF(VLOOKUP(CONCATENATE($D$18,"Line"),'Supply Attribution'!$F$31:$G$37,2,FALSE)=H$18,$D40,0)+IF(VLOOKUP(CONCATENATE($E$18,"Line"),'Supply Attribution'!$F$31:$G$37,2,FALSE)=H$18,$E40,0)+IF(VLOOKUP(CONCATENATE($F$18,"Line"),'Supply Attribution'!$F$31:$G$37,2,FALSE)=H$18,$F40,0)+IF($K$6="UL",LEFT($S$90,2),0)-IF(AND($K$16=H$18,$K$14&lt;&gt;$K$15,$K$16=$K$17,RIGHT($K40,3)="2SP"),VLOOKUP(CONCATENATE(LEFT($K40,2),"L"),$R$63:$T$90,3,FALSE),0)-IF(AND($L$16=H$18,$L$14&lt;&gt;$L$15,$L$16=$L$17,RIGHT($L40,3)="2SP"),VLOOKUP(CONCATENATE(LEFT($L40,2),"L"),$R$63:$T$90,3,FALSE),0)-IF(AND($M$16=H$18,$M$14&lt;&gt;$M$15,$M$16=$M$17,RIGHT($M40,3)="2SP"),VLOOKUP(CONCATENATE(LEFT($M40,2),"L"),$R$63:$T$90,3,FALSE),0)-IF(AND($N$16=H$18,$N$14&lt;&gt;$N$15,$N$16=$N$17,RIGHT($N40,3)="2SP"),VLOOKUP(CONCATENATE(LEFT($N40,2),"L"),$R$63:$T$90,3,FALSE),0)-IF(AND($O$16=H$18,$O$14&lt;&gt;$O$15,$O$16=$O$17,RIGHT($O40,3)="2SP"),VLOOKUP(CONCATENATE(LEFT($O40,2),"L"),$R$63:$T$90,3,FALSE),0)-IF(AND($P$16=H$18,$P$14&lt;&gt;$P$15,$P$16=$P$17,RIGHT($P40,3)="2SP"),VLOOKUP(CONCATENATE(LEFT($P40,2),"L"),$R$63:$T$90,3,FALSE),0)-IF(AND($Q$16=H$18,$Q$14&lt;&gt;$Q$15,$Q$16=$Q$17,RIGHT($Q40,3)="2SP"),VLOOKUP(CONCATENATE(LEFT($Q40,2),"L"),$R$63:$T$90,3,FALSE),0)-IF(AND($T$16=H$18,$T$14&lt;&gt;$T$15,$T$16=$T$17,RIGHT($T40,3)="2SP"),VLOOKUP(CONCATENATE(LEFT($T40,2),"L"),$R$63:$T$90,3,FALSE),0)-IF(AND($U$16=H$18,$U$14&lt;&gt;$U$15,$U$16=$U$17,RIGHT($U40,3)="2SP"),VLOOKUP(CONCATENATE(LEFT($U40,2),"L"),$R$63:$T$90,3,FALSE),0)-IF(AND($V$16=H$18,$V$14&lt;&gt;$V$15,$V$16=$V$17,RIGHT($V40,3)="2SP"),VLOOKUP(CONCATENATE(LEFT($V40,2),"L"),$R$63:$T$90,3,FALSE),0)-IF(AND($W$16=H$18,$W$14&lt;&gt;$W$15,$W$16=$W$17,RIGHT($W40,3)="2SP"),VLOOKUP(CONCATENATE(LEFT($W40,2),"L"),$R$63:$T$90,3,FALSE),0)-IF(AND($X$16=H$18,$X$14&lt;&gt;$X$15,$X$16=$X$17,RIGHT($X40,3)="2SP"),VLOOKUP(CONCATENATE(LEFT($X40,2),"L"),$R$63:$T$90,3,FALSE),0)-IF(AND($Y$16=H$18,$Y$14&lt;&gt;$Y$15,$Y$16=$Y$17,RIGHT($Y40,3)="2SP"),VLOOKUP(CONCATENATE(LEFT($Y40,2),"L"),$R$63:$T$90,3,FALSE),0)+IF(AND($K$6="CE",$T$59="2 Phases",H$18&lt;&gt;""),IF(VLOOKUP(CONCATENATE($A$18,"Line"),'Supply Attribution'!$F$31:$G$37,2,FALSE)="Line3",$A40,0)+IF(VLOOKUP(CONCATENATE($B$18,"Line"),'Supply Attribution'!$F$31:$G$37,2,FALSE)="Line3",$B40,0)+IF(VLOOKUP(CONCATENATE($C$18,"Line"),'Supply Attribution'!$F$31:$G$37,2,FALSE)="Line3",$C40,0)+IF(VLOOKUP(CONCATENATE($D$18,"Line"),'Supply Attribution'!$F$31:$G$37,2,FALSE)="Line3",$D40,0)+IF(VLOOKUP(CONCATENATE($E$18,"Line"),'Supply Attribution'!$F$31:$G$37,2,FALSE)="Line3",$E40,0)+IF(VLOOKUP(CONCATENATE($F$18,"Line"),'Supply Attribution'!$F$31:$G$37,2,FALSE)="Line3",$F40,0)-IF(AND($K$16=I$18,$K$14&lt;&gt;$K$15,$K$16=$K$17,RIGHT($K40,3)="2SP"),VLOOKUP(CONCATENATE(LEFT($K40,2),"L"),$R$63:$T$90,3,FALSE),0)-IF(AND($L$16=I$18,$L$14&lt;&gt;$L$15,$L$16=$L$17,RIGHT($L40,3)="2SP"),VLOOKUP(CONCATENATE(LEFT($L40,2),"L"),$R$63:$T$90,3,FALSE),0)-IF(AND($M$16=I$18,$M$14&lt;&gt;$M$15,$M$16=$M$17,RIGHT($M40,3)="2SP"),VLOOKUP(CONCATENATE(LEFT($M40,2),"L"),$R$63:$T$90,3,FALSE),0)-IF(AND($N$16=I$18,$N$14&lt;&gt;$N$15,$N$16=$N$17,RIGHT($N40,3)="2SP"),VLOOKUP(CONCATENATE(LEFT($N40,2),"L"),$R$63:$T$90,3,FALSE),0)-IF(AND($O$16=I$18,$O$14&lt;&gt;$O$15,$O$16=$O$17,RIGHT($O40,3)="2SP"),VLOOKUP(CONCATENATE(LEFT($O40,2),"L"),$R$63:$T$90,3,FALSE),0)-IF(AND($P$16=I$18,$P$14&lt;&gt;$P$15,$P$16=$P$17,RIGHT($P40,3)="2SP"),VLOOKUP(CONCATENATE(LEFT($P40,2),"L"),$R$63:$T$90,3,FALSE),0)-IF(AND($Q$16=I$18,$Q$14&lt;&gt;$Q$15,$Q$16=$Q$17,RIGHT($Q40,3)="2SP"),VLOOKUP(CONCATENATE(LEFT($Q40,2),"L"),$R$63:$T$90,3,FALSE),0)-IF(AND($T$16=I$18,$T$14&lt;&gt;$T$15,$T$16=$T$17,RIGHT($T40,3)="2SP"),VLOOKUP(CONCATENATE(LEFT($T40,2),"L"),$R$63:$T$90,3,FALSE),0)-IF(AND($U$16=I$18,$U$14&lt;&gt;$U$15,$U$16=$U$17,RIGHT($U40,3)="2SP"),VLOOKUP(CONCATENATE(LEFT($U40,2),"L"),$R$63:$T$90,3,FALSE),0)-IF(AND($V$16=I$18,$V$14&lt;&gt;$V$15,$V$16=$V$17,RIGHT($V40,3)="2SP"),VLOOKUP(CONCATENATE(LEFT($V40,2),"L"),$R$63:$T$90,3,FALSE),0)-IF(AND($W$16=I$18,$W$14&lt;&gt;$W$15,$W$16=$W$17,RIGHT($W40,3)="2SP"),VLOOKUP(CONCATENATE(LEFT($W40,2),"L"),$R$63:$T$90,3,FALSE),0)-IF(AND($X$16=I$18,$X$14&lt;&gt;$X$15,$X$16=$X$17,RIGHT($X40,3)="2SP"),VLOOKUP(CONCATENATE(LEFT($X40,2),"L"),$R$63:$T$90,3,FALSE),0)-IF(AND($Y$16=I$18,$Y$14&lt;&gt;$Y$15,$Y$16=$Y$17,RIGHT($Y40,3)="2SP"),VLOOKUP(CONCATENATE(LEFT($Y40,2),"L"),$R$63:$T$90,3,FALSE),0),0),"")</f>
        <v/>
      </c>
      <c r="I40" s="269" t="str">
        <f>IF(I$18&lt;&gt;"",IF(VLOOKUP(CONCATENATE($A$18,"Line"),'Supply Attribution'!$F$31:$G$37,2,FALSE)=I$18,$A40,0)+IF(VLOOKUP(CONCATENATE($B$18,"Line"),'Supply Attribution'!$F$31:$G$37,2,FALSE)=I$18,$B40,0)+IF(VLOOKUP(CONCATENATE($C$18,"Line"),'Supply Attribution'!$F$31:$G$37,2,FALSE)=I$18,$C40,0)+IF(VLOOKUP(CONCATENATE($D$18,"Line"),'Supply Attribution'!$F$31:$G$37,2,FALSE)=I$18,$D40,0)+IF(VLOOKUP(CONCATENATE($E$18,"Line"),'Supply Attribution'!$F$31:$G$37,2,FALSE)=I$18,$E40,0)+IF(VLOOKUP(CONCATENATE($F$18,"Line"),'Supply Attribution'!$F$31:$G$37,2,FALSE)=I$18,$F40,0)+IF($K$6="UL",LEFT($S$90,2),0)-IF(AND($K$16=I$18,$K$14&lt;&gt;$K$15,$K$16=$K$17,RIGHT($K40,3)="2SP"),VLOOKUP(CONCATENATE(LEFT($K40,2),"L"),$R$63:$T$90,3,FALSE),0)-IF(AND($L$16=I$18,$L$14&lt;&gt;$L$15,$L$16=$L$17,RIGHT($L40,3)="2SP"),VLOOKUP(CONCATENATE(LEFT($L40,2),"L"),$R$63:$T$90,3,FALSE),0)-IF(AND($M$16=I$18,$M$14&lt;&gt;$M$15,$M$16=$M$17,RIGHT($M40,3)="2SP"),VLOOKUP(CONCATENATE(LEFT($M40,2),"L"),$R$63:$T$90,3,FALSE),0)-IF(AND($N$16=I$18,$N$14&lt;&gt;$N$15,$N$16=$N$17,RIGHT($N40,3)="2SP"),VLOOKUP(CONCATENATE(LEFT($N40,2),"L"),$R$63:$T$90,3,FALSE),0)-IF(AND($O$16=I$18,$O$14&lt;&gt;$O$15,$O$16=$O$17,RIGHT($O40,3)="2SP"),VLOOKUP(CONCATENATE(LEFT($O40,2),"L"),$R$63:$T$90,3,FALSE),0)-IF(AND($P$16=I$18,$P$14&lt;&gt;$P$15,$P$16=$P$17,RIGHT($P40,3)="2SP"),VLOOKUP(CONCATENATE(LEFT($P40,2),"L"),$R$63:$T$90,3,FALSE),0)-IF(AND($Q$16=I$18,$Q$14&lt;&gt;$Q$15,$Q$16=$Q$17,RIGHT($Q40,3)="2SP"),VLOOKUP(CONCATENATE(LEFT($Q40,2),"L"),$R$63:$T$90,3,FALSE),0)-IF(AND($T$16=I$18,$T$14&lt;&gt;$T$15,$T$16=$T$17,RIGHT($T40,3)="2SP"),VLOOKUP(CONCATENATE(LEFT($T40,2),"L"),$R$63:$T$90,3,FALSE),0)-IF(AND($U$16=I$18,$U$14&lt;&gt;$U$15,$U$16=$U$17,RIGHT($U40,3)="2SP"),VLOOKUP(CONCATENATE(LEFT($U40,2),"L"),$R$63:$T$90,3,FALSE),0)-IF(AND($V$16=I$18,$V$14&lt;&gt;$V$15,$V$16=$V$17,RIGHT($V40,3)="2SP"),VLOOKUP(CONCATENATE(LEFT($V40,2),"L"),$R$63:$T$90,3,FALSE),0)-IF(AND($W$16=I$18,$W$14&lt;&gt;$W$15,$W$16=$W$17,RIGHT($W40,3)="2SP"),VLOOKUP(CONCATENATE(LEFT($W40,2),"L"),$R$63:$T$90,3,FALSE),0)-IF(AND($X$16=I$18,$X$14&lt;&gt;$X$15,$X$16=$X$17,RIGHT($X40,3)="2SP"),VLOOKUP(CONCATENATE(LEFT($X40,2),"L"),$R$63:$T$90,3,FALSE),0)-IF(AND($Y$16=I$18,$Y$14&lt;&gt;$Y$15,$Y$16=$Y$17,RIGHT($Y40,3)="2SP"),VLOOKUP(CONCATENATE(LEFT($Y40,2),"L"),$R$63:$T$90,3,FALSE),0),"")</f>
        <v/>
      </c>
      <c r="J40" s="134">
        <f t="shared" si="3"/>
        <v>31</v>
      </c>
      <c r="K40" s="135" t="s">
        <v>22</v>
      </c>
      <c r="L40" s="135" t="s">
        <v>390</v>
      </c>
      <c r="M40" s="135" t="s">
        <v>391</v>
      </c>
      <c r="N40" s="724" t="s">
        <v>388</v>
      </c>
      <c r="O40" s="135" t="s">
        <v>286</v>
      </c>
      <c r="P40" s="724" t="s">
        <v>3</v>
      </c>
      <c r="Q40" s="135"/>
      <c r="R40" s="135"/>
      <c r="S40" s="135"/>
      <c r="T40" s="135"/>
      <c r="U40" s="135"/>
      <c r="V40" s="135"/>
      <c r="W40" s="135"/>
      <c r="X40" s="135"/>
      <c r="Y40" s="135"/>
      <c r="Z40" s="136"/>
      <c r="AA40" s="136" t="s">
        <v>357</v>
      </c>
      <c r="AB40" s="137" t="s">
        <v>164</v>
      </c>
      <c r="AC40" s="137" t="s">
        <v>568</v>
      </c>
      <c r="AD40" s="137" t="s">
        <v>164</v>
      </c>
      <c r="AE40" s="138">
        <f t="shared" si="0"/>
        <v>31</v>
      </c>
      <c r="AF40" s="78"/>
    </row>
    <row r="41" spans="1:32" ht="13.15" customHeight="1">
      <c r="A41" s="264">
        <f>IF(AND($K41&lt;&gt;"",$K41&lt;&gt;"--",$K41&lt;&gt;"O3/CP",$K$14=A$18),IF(LEFT($K41,1)="P",VLOOKUP(CONCATENATE(LEFT($K41,2),"H"),$R$63:$T$91,3,FALSE),VLOOKUP($K41,$R$63:$T$91,3,FALSE)))+IF(AND($K41&lt;&gt;"",$K41&lt;&gt;"O3/CP",$K$15=A$18,MID($K41,4,1)="2",$K$15&lt;&gt;$K$14),VLOOKUP(CONCATENATE(LEFT($K41,2),"L"),$R$63:$T$91,3,FALSE),0)+IF(AND($K41="O3/CP",$K$14=A$18),VLOOKUP("O3",$R$63:$T$91,3,FALSE)+VLOOKUP("CP",$R$63:$T$91,3,FALSE),0)+IF(AND($L41&lt;&gt;"",$L41&lt;&gt;"--",$L41&lt;&gt;"O3/CP",$L$14=A$18),IF(LEFT($L41,1)="P",VLOOKUP(CONCATENATE(LEFT($L41,2),"H"),$R$63:$T$91,3,FALSE),VLOOKUP($L41,$R$63:$T$91,3,FALSE)))+IF(AND($L41&lt;&gt;"",$L41&lt;&gt;"O3/CP",$L$15=A$18,MID($L41,4,1)="2",$L$15&lt;&gt;$L$14),VLOOKUP(CONCATENATE(LEFT($L41,2),"L"),$R$63:$T$91,3,FALSE),0)+IF(AND($L41="O3/CP",$L$14=A$18),VLOOKUP("O3",$R$63:$T$91,3,FALSE)+VLOOKUP("CP",$R$63:$T$91,3,FALSE),0)+IF(AND($M41&lt;&gt;"",$M41&lt;&gt;"--",$M41&lt;&gt;"O3/CP",$M$14=A$18),IF(LEFT($M41,1)="P",VLOOKUP(CONCATENATE(LEFT($M41,2),"H"),$R$63:$T$91,3,FALSE),VLOOKUP($M41,$R$63:$T$91,3,FALSE)))+IF(AND($M41&lt;&gt;"",$M41&lt;&gt;"O3/CP",$M$15=A$18,MID($M41,4,1)="2",$M$15&lt;&gt;$M$14),VLOOKUP(CONCATENATE(LEFT($M41,2),"L"),$R$63:$T$91,3,FALSE),0)+IF(AND($M41="O3/CP",$M$14=A$18),VLOOKUP("O3",$R$63:$T$91,3,FALSE)+VLOOKUP("CP",$R$63:$T$91,3,FALSE),0)+IF(AND($N41&lt;&gt;"",$N41&lt;&gt;"--",$N41&lt;&gt;"O3/CP",$N$14=A$18),IF(LEFT($N41,1)="P",VLOOKUP(CONCATENATE(LEFT($N41,2),"H"),$R$63:$T$91,3,FALSE),VLOOKUP($N41,$R$63:$T$91,3,FALSE)))+IF(AND($N41&lt;&gt;"",$N41&lt;&gt;"O3/CP",$N$15=A$18,MID($N41,4,1)="2",$N$15&lt;&gt;$N$14),VLOOKUP(CONCATENATE(LEFT($N41,2),"L"),$R$63:$T$91,3,FALSE),0)+IF(AND($N41="O3/CP",$N$14=A$18),VLOOKUP("O3",$R$63:$T$91,3,FALSE)+VLOOKUP("CP",$R$63:$T$91,3,FALSE),0)+IF(AND($O41&lt;&gt;"",$O41&lt;&gt;"--",$O41&lt;&gt;"O3/CP",$O$14=A$18),IF(LEFT($O41,1)="P",VLOOKUP(CONCATENATE(LEFT($O41,2),"H"),$R$63:$T$91,3,FALSE),VLOOKUP($O41,$R$63:$T$91,3,FALSE)))+IF(AND($O41&lt;&gt;"",$O41&lt;&gt;"O3/CP",$O$15=A$18,MID($O41,4,1)="2",$O$15&lt;&gt;$O$14),VLOOKUP(CONCATENATE(LEFT($O41,2),"L"),$R$63:$T$91,3,FALSE),0)+IF(AND($O41="O3/CP",$O$14=A$18),VLOOKUP("O3",$R$63:$T$91,3,FALSE)+VLOOKUP("CP",$R$63:$T$91,3,FALSE),0)+IF(AND($P41&lt;&gt;"",$P41&lt;&gt;"--",$P41&lt;&gt;"O3/CP",$P$14=A$18),IF(LEFT($P41,1)="P",VLOOKUP(CONCATENATE(LEFT($P41,2),"H"),$R$63:$T$91,3,FALSE),VLOOKUP($P41,$R$63:$T$91,3,FALSE)))+IF(AND($P41&lt;&gt;"",$P41&lt;&gt;"O3/CP",$P$15=A$18,MID($P41,4,1)="2",$P$15&lt;&gt;$P$14),VLOOKUP(CONCATENATE(LEFT($P41,2),"L"),$R$63:$T$91,3,FALSE),0)+IF(AND($P41="O3/CP",$P$14=A$18),VLOOKUP("O3",$R$63:$T$91,3,FALSE)+VLOOKUP("CP",$R$63:$T$91,3,FALSE),0)+IF(AND($Q41&lt;&gt;"",$Q41&lt;&gt;"--",$Q41&lt;&gt;"O3/CP",$Q$14=A$18),IF(LEFT($Q41,1)="P",VLOOKUP(CONCATENATE(LEFT($Q41,2),"H"),$R$63:$T$91,3,FALSE),VLOOKUP($Q41,$R$63:$T$91,3,FALSE)))+IF(AND($Q41&lt;&gt;"",$Q41&lt;&gt;"O3/CP",$Q$15=A$18,MID($Q41,4,1)="2",$Q$15&lt;&gt;$Q$14),VLOOKUP(CONCATENATE(LEFT($Q41,2),"L"),$R$63:$T$91,3,FALSE),0)+IF(AND($Q41="O3/CP",$Q$14=A$18),VLOOKUP("O3",$R$63:$T$91,3,FALSE)+VLOOKUP("CP",$R$63:$T$91,3,FALSE),0)+IF(AND($R41&lt;&gt;"",$R41&lt;&gt;"--",$R41&lt;&gt;"O3/CP",$R$14=A$18),IF(LEFT($R41,1)="P",VLOOKUP(CONCATENATE(LEFT($R41,2),"H"),$R$63:$T$91,3,FALSE),VLOOKUP($R41,$R$63:$T$91,3,FALSE)))+IF(AND($R41&lt;&gt;"",$R41&lt;&gt;"O3/CP",$R$15=A$18,MID($R41,4,1)="2",$R$15&lt;&gt;$R$14),VLOOKUP(CONCATENATE(LEFT($R41,2),"L"),$R$63:$T$91,3,FALSE),0)+IF(AND($R41="O3/CP",$R$14=A$18),VLOOKUP("O3",$R$63:$T$91,3,FALSE)+VLOOKUP("CP",$R$63:$T$91,3,FALSE),0)+IF(AND($S41&lt;&gt;"",$S41&lt;&gt;"--",$S41&lt;&gt;"O3/CP",$S$14=A$18),IF(LEFT($S41,1)="P",VLOOKUP(CONCATENATE(LEFT($S41,2),"H"),$R$63:$T$91,3,FALSE),VLOOKUP($S41,$R$63:$T$91,3,FALSE)))+IF(AND($S41&lt;&gt;"",$S41&lt;&gt;"O3/CP",$S$15=A$18,MID($S41,4,1)="2",$S$15&lt;&gt;$S$14),VLOOKUP(CONCATENATE(LEFT($S41,2),"L"),$R$63:$T$91,3,FALSE),0)+IF(AND($S41="O3/CP",$S$14=A$18),VLOOKUP("O3",$R$63:$T$91,3,FALSE)+VLOOKUP("CP",$R$63:$T$91,3,FALSE),0)+IF(AND($T41&lt;&gt;"",$T41&lt;&gt;"--",$T41&lt;&gt;"O3/CP",$T$14=A$18),IF(LEFT($T41,1)="P",VLOOKUP(CONCATENATE(LEFT($T41,2),"H"),$R$63:$T$91,3,FALSE),VLOOKUP($T41,$R$63:$T$91,3,FALSE)))+IF(AND($T41&lt;&gt;"",$T41&lt;&gt;"O3/CP",$T$15=A$18,MID($T41,4,1)="2",$T$15&lt;&gt;$T$14),VLOOKUP(CONCATENATE(LEFT($T41,2),"L"),$R$63:$T$91,3,FALSE),0)+IF(AND($T41="O3/CP",$T$14=A$18),VLOOKUP("O3",$R$63:$T$91,3,FALSE)+VLOOKUP("CP",$R$63:$T$91,3,FALSE),0)+IF(AND($U41&lt;&gt;"",$U41&lt;&gt;"--",$U41&lt;&gt;"O3/CP",$U$14=A$18),IF(LEFT($U41,1)="P",VLOOKUP(CONCATENATE(LEFT($U41,2),"H"),$R$63:$T$91,3,FALSE),VLOOKUP($U41,$R$63:$T$91,3,FALSE)))+IF(AND($U41&lt;&gt;"",$U41&lt;&gt;"O3/CP",$U$15=A$18,MID($U41,4,1)="2",$U$15&lt;&gt;$U$14),VLOOKUP(CONCATENATE(LEFT($U41,2),"L"),$R$63:$T$91,3,FALSE),0)+IF(AND($U41="O3/CP",$T$14=A$18),VLOOKUP("O3",$R$63:$T$91,3,FALSE)+VLOOKUP("CP",$R$63:$T$91,3,FALSE),0)+IF(AND($V41&lt;&gt;"",$V41&lt;&gt;"--",$V41&lt;&gt;"O3/CP",$V$14=A$18),IF(LEFT($V41,1)="P",VLOOKUP(CONCATENATE(LEFT($V41,2),"H"),$R$63:$T$91,3,FALSE),VLOOKUP($V41,$R$63:$T$91,3,FALSE)))+IF(AND($V41&lt;&gt;"",$V41&lt;&gt;"O3/CP",$V$15=A$18,MID($V41,4,1)="2",$V$15&lt;&gt;$V$14),VLOOKUP(CONCATENATE(LEFT($V41,2),"L"),$R$63:$T$91,3,FALSE),0)+IF(AND($V41="O3/CP",$V$14=A$18),VLOOKUP("O3",$R$63:$T$91,3,FALSE)+VLOOKUP("CP",$R$63:$T$91,3,FALSE),0)+IF(AND($W41&lt;&gt;"",$W41&lt;&gt;"--",$W41&lt;&gt;"O3/CP",$W$14=A$18),IF(LEFT($W41,1)="P",VLOOKUP(CONCATENATE(LEFT($W41,2),"H"),$R$63:$T$91,3,FALSE),VLOOKUP($W41,$R$63:$T$91,3,FALSE)))+IF(AND($W41&lt;&gt;"",$W41&lt;&gt;"O3/CP",$W$15=A$18,MID($W41,4,1)="2",$W$15&lt;&gt;$W$14),VLOOKUP(CONCATENATE(LEFT($W41,2),"L"),$R$63:$T$91,3,FALSE),0)+IF(AND($W41="O3/CP",$W$14=A$18),VLOOKUP("O3",$R$63:$T$91,3,FALSE)+VLOOKUP("CP",$R$63:$T$91,3,FALSE),0)+IF(AND($X41&lt;&gt;"",$X41&lt;&gt;"--",$X41&lt;&gt;"O3/CP",$X$14=A$18),IF(LEFT($X41,1)="P",VLOOKUP(CONCATENATE(LEFT($X41,2),"H"),$R$63:$T$91,3,FALSE),VLOOKUP($X41,$R$63:$T$91,3,FALSE)))+IF(AND($X41&lt;&gt;"",$X41&lt;&gt;"O3/CP",$X$15=A$18,MID($X41,4,1)="2",$X$15&lt;&gt;$X$14),VLOOKUP(CONCATENATE(LEFT($X41,2),"L"),$R$63:$T$91,3,FALSE),0)+IF(AND($X41="O3/CP",$X$14=A$18),VLOOKUP("O3",$R$63:$T$91,3,FALSE)+VLOOKUP("CP",$R$63:$T$91,3,FALSE),0)+IF(AND($Y41&lt;&gt;"",$Y41&lt;&gt;"--",$Y41&lt;&gt;"O3/CP",$Y$14=A$18),IF(LEFT($Y41,1)="P",VLOOKUP(CONCATENATE(LEFT($Y41,2),"H"),$R$63:$T$91,3,FALSE),VLOOKUP($Y41,$R$63:$T$91,3,FALSE)))+IF(AND($Y41&lt;&gt;"",$Y41&lt;&gt;"O3/CP",$Y$15=A$18,MID($Y41,4,1)="2",$Y$15&lt;&gt;$Y$14),VLOOKUP(CONCATENATE(LEFT($Y41,2),"L"),$R$63:$T$91,3,FALSE),0)+IF(AND($Y41="O3/CP",$Y$14=A$18),VLOOKUP("O3",$R$63:$T$91,3,FALSE)+VLOOKUP("CP",$R$63:$T$91,3,FALSE),0)+IF(AND($K$6="CE",'[3]Supply Attribution'!$G$20=A$18),LEFT($S$90,2),0)+IF(AND($X$86&lt;&gt;"Not Set",$X$87=A$18),$X$86,0)</f>
        <v>0</v>
      </c>
      <c r="B41" s="271">
        <f>IF(AND($K41&lt;&gt;"",$K41&lt;&gt;"--",$K41&lt;&gt;"O3/CP",$K$14=B$18),IF(LEFT($K41,1)="P",VLOOKUP(CONCATENATE(LEFT($K41,2),"H"),$R$63:$T$91,3,FALSE),VLOOKUP($K41,$R$63:$T$91,3,FALSE)))+IF(AND($K41&lt;&gt;"",$K41&lt;&gt;"O3/CP",$K$15=B$18,MID($K41,4,1)="2",$K$15&lt;&gt;$K$14),VLOOKUP(CONCATENATE(LEFT($K41,2),"L"),$R$63:$T$91,3,FALSE),0)+IF(AND($K41="O3/CP",$K$14=B$18),VLOOKUP("O3",$R$63:$T$91,3,FALSE)+VLOOKUP("CP",$R$63:$T$91,3,FALSE),0)+IF(AND($L41&lt;&gt;"",$L41&lt;&gt;"--",$L41&lt;&gt;"O3/CP",$L$14=B$18),IF(LEFT($L41,1)="P",VLOOKUP(CONCATENATE(LEFT($L41,2),"H"),$R$63:$T$91,3,FALSE),VLOOKUP($L41,$R$63:$T$91,3,FALSE)))+IF(AND($L41&lt;&gt;"",$L41&lt;&gt;"O3/CP",$L$15=B$18,MID($L41,4,1)="2",$L$15&lt;&gt;$L$14),VLOOKUP(CONCATENATE(LEFT($L41,2),"L"),$R$63:$T$91,3,FALSE),0)+IF(AND($L41="O3/CP",$L$14=B$18),VLOOKUP("O3",$R$63:$T$91,3,FALSE)+VLOOKUP("CP",$R$63:$T$91,3,FALSE),0)+IF(AND($M41&lt;&gt;"",$M41&lt;&gt;"--",$M41&lt;&gt;"O3/CP",$M$14=B$18),IF(LEFT($M41,1)="P",VLOOKUP(CONCATENATE(LEFT($M41,2),"H"),$R$63:$T$91,3,FALSE),VLOOKUP($M41,$R$63:$T$91,3,FALSE)))+IF(AND($M41&lt;&gt;"",$M41&lt;&gt;"O3/CP",$M$15=B$18,MID($M41,4,1)="2",$M$15&lt;&gt;$M$14),VLOOKUP(CONCATENATE(LEFT($M41,2),"L"),$R$63:$T$91,3,FALSE),0)+IF(AND($M41="O3/CP",$M$14=B$18),VLOOKUP("O3",$R$63:$T$91,3,FALSE)+VLOOKUP("CP",$R$63:$T$91,3,FALSE),0)+IF(AND($N41&lt;&gt;"",$N41&lt;&gt;"--",$N41&lt;&gt;"O3/CP",$N$14=B$18),IF(LEFT($N41,1)="P",VLOOKUP(CONCATENATE(LEFT($N41,2),"H"),$R$63:$T$91,3,FALSE),VLOOKUP($N41,$R$63:$T$91,3,FALSE)))+IF(AND($N41&lt;&gt;"",$N41&lt;&gt;"O3/CP",$N$15=B$18,MID($N41,4,1)="2",$N$15&lt;&gt;$N$14),VLOOKUP(CONCATENATE(LEFT($N41,2),"L"),$R$63:$T$91,3,FALSE),0)+IF(AND($N41="O3/CP",$N$14=B$18),VLOOKUP("O3",$R$63:$T$91,3,FALSE)+VLOOKUP("CP",$R$63:$T$91,3,FALSE),0)+IF(AND($O41&lt;&gt;"",$O41&lt;&gt;"--",$O41&lt;&gt;"O3/CP",$O$14=B$18),IF(LEFT($O41,1)="P",VLOOKUP(CONCATENATE(LEFT($O41,2),"H"),$R$63:$T$91,3,FALSE),VLOOKUP($O41,$R$63:$T$91,3,FALSE)))+IF(AND($O41&lt;&gt;"",$O41&lt;&gt;"O3/CP",$O$15=B$18,MID($O41,4,1)="2",$O$15&lt;&gt;$O$14),VLOOKUP(CONCATENATE(LEFT($O41,2),"L"),$R$63:$T$91,3,FALSE),0)+IF(AND($O41="O3/CP",$O$14=B$18),VLOOKUP("O3",$R$63:$T$91,3,FALSE)+VLOOKUP("CP",$R$63:$T$91,3,FALSE),0)+IF(AND($P41&lt;&gt;"",$P41&lt;&gt;"--",$P41&lt;&gt;"O3/CP",$P$14=B$18),IF(LEFT($P41,1)="P",VLOOKUP(CONCATENATE(LEFT($P41,2),"H"),$R$63:$T$91,3,FALSE),VLOOKUP($P41,$R$63:$T$91,3,FALSE)))+IF(AND($P41&lt;&gt;"",$P41&lt;&gt;"O3/CP",$P$15=B$18,MID($P41,4,1)="2",$P$15&lt;&gt;$P$14),VLOOKUP(CONCATENATE(LEFT($P41,2),"L"),$R$63:$T$91,3,FALSE),0)+IF(AND($P41="O3/CP",$P$14=B$18),VLOOKUP("O3",$R$63:$T$91,3,FALSE)+VLOOKUP("CP",$R$63:$T$91,3,FALSE),0)+IF(AND($Q41&lt;&gt;"",$Q41&lt;&gt;"--",$Q41&lt;&gt;"O3/CP",$Q$14=B$18),IF(LEFT($Q41,1)="P",VLOOKUP(CONCATENATE(LEFT($Q41,2),"H"),$R$63:$T$91,3,FALSE),VLOOKUP($Q41,$R$63:$T$91,3,FALSE)))+IF(AND($Q41&lt;&gt;"",$Q41&lt;&gt;"O3/CP",$Q$15=B$18,MID($Q41,4,1)="2",$Q$15&lt;&gt;$Q$14),VLOOKUP(CONCATENATE(LEFT($Q41,2),"L"),$R$63:$T$91,3,FALSE),0)+IF(AND($Q41="O3/CP",$Q$14=B$18),VLOOKUP("O3",$R$63:$T$91,3,FALSE)+VLOOKUP("CP",$R$63:$T$91,3,FALSE),0)+IF(AND($R41&lt;&gt;"",$R41&lt;&gt;"--",$R41&lt;&gt;"O3/CP",$R$14=B$18),IF(LEFT($R41,1)="P",VLOOKUP(CONCATENATE(LEFT($R41,2),"H"),$R$63:$T$91,3,FALSE),VLOOKUP($R41,$R$63:$T$91,3,FALSE)))+IF(AND($R41&lt;&gt;"",$R41&lt;&gt;"O3/CP",$R$15=B$18,MID($R41,4,1)="2",$R$15&lt;&gt;$R$14),VLOOKUP(CONCATENATE(LEFT($R41,2),"L"),$R$63:$T$91,3,FALSE),0)+IF(AND($R41="O3/CP",$R$14=B$18),VLOOKUP("O3",$R$63:$T$91,3,FALSE)+VLOOKUP("CP",$R$63:$T$91,3,FALSE),0)+IF(AND($S41&lt;&gt;"",$S41&lt;&gt;"--",$S41&lt;&gt;"O3/CP",$S$14=B$18),IF(LEFT($S41,1)="P",VLOOKUP(CONCATENATE(LEFT($S41,2),"H"),$R$63:$T$91,3,FALSE),VLOOKUP($S41,$R$63:$T$91,3,FALSE)))+IF(AND($S41&lt;&gt;"",$S41&lt;&gt;"O3/CP",$S$15=B$18,MID($S41,4,1)="2",$S$15&lt;&gt;$S$14),VLOOKUP(CONCATENATE(LEFT($S41,2),"L"),$R$63:$T$91,3,FALSE),0)+IF(AND($S41="O3/CP",$S$14=B$18),VLOOKUP("O3",$R$63:$T$91,3,FALSE)+VLOOKUP("CP",$R$63:$T$91,3,FALSE),0)+IF(AND($T41&lt;&gt;"",$T41&lt;&gt;"--",$T41&lt;&gt;"O3/CP",$T$14=B$18),IF(LEFT($T41,1)="P",VLOOKUP(CONCATENATE(LEFT($T41,2),"H"),$R$63:$T$91,3,FALSE),VLOOKUP($T41,$R$63:$T$91,3,FALSE)))+IF(AND($T41&lt;&gt;"",$T41&lt;&gt;"O3/CP",$T$15=B$18,MID($T41,4,1)="2",$T$15&lt;&gt;$T$14),VLOOKUP(CONCATENATE(LEFT($T41,2),"L"),$R$63:$T$91,3,FALSE),0)+IF(AND($T41="O3/CP",$T$14=B$18),VLOOKUP("O3",$R$63:$T$91,3,FALSE)+VLOOKUP("CP",$R$63:$T$91,3,FALSE),0)+IF(AND($U41&lt;&gt;"",$U41&lt;&gt;"--",$U41&lt;&gt;"O3/CP",$U$14=B$18),IF(LEFT($U41,1)="P",VLOOKUP(CONCATENATE(LEFT($U41,2),"H"),$R$63:$T$91,3,FALSE),VLOOKUP($U41,$R$63:$T$91,3,FALSE)))+IF(AND($U41&lt;&gt;"",$U41&lt;&gt;"O3/CP",$U$15=B$18,MID($U41,4,1)="2",$U$15&lt;&gt;$U$14),VLOOKUP(CONCATENATE(LEFT($U41,2),"L"),$R$63:$T$91,3,FALSE),0)+IF(AND($U41="O3/CP",$T$14=B$18),VLOOKUP("O3",$R$63:$T$91,3,FALSE)+VLOOKUP("CP",$R$63:$T$91,3,FALSE),0)+IF(AND($V41&lt;&gt;"",$V41&lt;&gt;"--",$V41&lt;&gt;"O3/CP",$V$14=B$18),IF(LEFT($V41,1)="P",VLOOKUP(CONCATENATE(LEFT($V41,2),"H"),$R$63:$T$91,3,FALSE),VLOOKUP($V41,$R$63:$T$91,3,FALSE)))+IF(AND($V41&lt;&gt;"",$V41&lt;&gt;"O3/CP",$V$15=B$18,MID($V41,4,1)="2",$V$15&lt;&gt;$V$14),VLOOKUP(CONCATENATE(LEFT($V41,2),"L"),$R$63:$T$91,3,FALSE),0)+IF(AND($V41="O3/CP",$V$14=B$18),VLOOKUP("O3",$R$63:$T$91,3,FALSE)+VLOOKUP("CP",$R$63:$T$91,3,FALSE),0)+IF(AND($W41&lt;&gt;"",$W41&lt;&gt;"--",$W41&lt;&gt;"O3/CP",$W$14=B$18),IF(LEFT($W41,1)="P",VLOOKUP(CONCATENATE(LEFT($W41,2),"H"),$R$63:$T$91,3,FALSE),VLOOKUP($W41,$R$63:$T$91,3,FALSE)))+IF(AND($W41&lt;&gt;"",$W41&lt;&gt;"O3/CP",$W$15=B$18,MID($W41,4,1)="2",$W$15&lt;&gt;$W$14),VLOOKUP(CONCATENATE(LEFT($W41,2),"L"),$R$63:$T$91,3,FALSE),0)+IF(AND($W41="O3/CP",$W$14=B$18),VLOOKUP("O3",$R$63:$T$91,3,FALSE)+VLOOKUP("CP",$R$63:$T$91,3,FALSE),0)+IF(AND($X41&lt;&gt;"",$X41&lt;&gt;"--",$X41&lt;&gt;"O3/CP",$X$14=B$18),IF(LEFT($X41,1)="P",VLOOKUP(CONCATENATE(LEFT($X41,2),"H"),$R$63:$T$91,3,FALSE),VLOOKUP($X41,$R$63:$T$91,3,FALSE)))+IF(AND($X41&lt;&gt;"",$X41&lt;&gt;"O3/CP",$X$15=B$18,MID($X41,4,1)="2",$X$15&lt;&gt;$X$14),VLOOKUP(CONCATENATE(LEFT($X41,2),"L"),$R$63:$T$91,3,FALSE),0)+IF(AND($X41="O3/CP",$X$14=B$18),VLOOKUP("O3",$R$63:$T$91,3,FALSE)+VLOOKUP("CP",$R$63:$T$91,3,FALSE),0)+IF(AND($Y41&lt;&gt;"",$Y41&lt;&gt;"--",$Y41&lt;&gt;"O3/CP",$Y$14=B$18),IF(LEFT($Y41,1)="P",VLOOKUP(CONCATENATE(LEFT($Y41,2),"H"),$R$63:$T$91,3,FALSE),VLOOKUP($Y41,$R$63:$T$91,3,FALSE)))+IF(AND($Y41&lt;&gt;"",$Y41&lt;&gt;"O3/CP",$Y$15=B$18,MID($Y41,4,1)="2",$Y$15&lt;&gt;$Y$14),VLOOKUP(CONCATENATE(LEFT($Y41,2),"L"),$R$63:$T$91,3,FALSE),0)+IF(AND($Y41="O3/CP",$Y$14=B$18),VLOOKUP("O3",$R$63:$T$91,3,FALSE)+VLOOKUP("CP",$R$63:$T$91,3,FALSE),0)+IF(AND($K$6="CE",'[3]Supply Attribution'!$G$20=B$18),LEFT($S$90,2),0)+IF(AND($X$86&lt;&gt;"Not Set",$X$87=B$18),$X$86,0)</f>
        <v>0</v>
      </c>
      <c r="C41" s="271">
        <f>IF(AND($K41&lt;&gt;"",$K41&lt;&gt;"--",$K41&lt;&gt;"O3/CP",$K$14=C$18),IF(LEFT($K41,1)="P",VLOOKUP(CONCATENATE(LEFT($K41,2),"H"),$R$63:$T$91,3,FALSE),VLOOKUP($K41,$R$63:$T$91,3,FALSE)))+IF(AND($K41&lt;&gt;"",$K41&lt;&gt;"O3/CP",$K$15=C$18,MID($K41,4,1)="2",$K$15&lt;&gt;$K$14),VLOOKUP(CONCATENATE(LEFT($K41,2),"L"),$R$63:$T$91,3,FALSE),0)+IF(AND($K41="O3/CP",$K$14=C$18),VLOOKUP("O3",$R$63:$T$91,3,FALSE)+VLOOKUP("CP",$R$63:$T$91,3,FALSE),0)+IF(AND($L41&lt;&gt;"",$L41&lt;&gt;"--",$L41&lt;&gt;"O3/CP",$L$14=C$18),IF(LEFT($L41,1)="P",VLOOKUP(CONCATENATE(LEFT($L41,2),"H"),$R$63:$T$91,3,FALSE),VLOOKUP($L41,$R$63:$T$91,3,FALSE)))+IF(AND($L41&lt;&gt;"",$L41&lt;&gt;"O3/CP",$L$15=C$18,MID($L41,4,1)="2",$L$15&lt;&gt;$L$14),VLOOKUP(CONCATENATE(LEFT($L41,2),"L"),$R$63:$T$91,3,FALSE),0)+IF(AND($L41="O3/CP",$L$14=C$18),VLOOKUP("O3",$R$63:$T$91,3,FALSE)+VLOOKUP("CP",$R$63:$T$91,3,FALSE),0)+IF(AND($M41&lt;&gt;"",$M41&lt;&gt;"--",$M41&lt;&gt;"O3/CP",$M$14=C$18),IF(LEFT($M41,1)="P",VLOOKUP(CONCATENATE(LEFT($M41,2),"H"),$R$63:$T$91,3,FALSE),VLOOKUP($M41,$R$63:$T$91,3,FALSE)))+IF(AND($M41&lt;&gt;"",$M41&lt;&gt;"O3/CP",$M$15=C$18,MID($M41,4,1)="2",$M$15&lt;&gt;$M$14),VLOOKUP(CONCATENATE(LEFT($M41,2),"L"),$R$63:$T$91,3,FALSE),0)+IF(AND($M41="O3/CP",$M$14=C$18),VLOOKUP("O3",$R$63:$T$91,3,FALSE)+VLOOKUP("CP",$R$63:$T$91,3,FALSE),0)+IF(AND($N41&lt;&gt;"",$N41&lt;&gt;"--",$N41&lt;&gt;"O3/CP",$N$14=C$18),IF(LEFT($N41,1)="P",VLOOKUP(CONCATENATE(LEFT($N41,2),"H"),$R$63:$T$91,3,FALSE),VLOOKUP($N41,$R$63:$T$91,3,FALSE)))+IF(AND($N41&lt;&gt;"",$N41&lt;&gt;"O3/CP",$N$15=C$18,MID($N41,4,1)="2",$N$15&lt;&gt;$N$14),VLOOKUP(CONCATENATE(LEFT($N41,2),"L"),$R$63:$T$91,3,FALSE),0)+IF(AND($N41="O3/CP",$N$14=C$18),VLOOKUP("O3",$R$63:$T$91,3,FALSE)+VLOOKUP("CP",$R$63:$T$91,3,FALSE),0)+IF(AND($O41&lt;&gt;"",$O41&lt;&gt;"--",$O41&lt;&gt;"O3/CP",$O$14=C$18),IF(LEFT($O41,1)="P",VLOOKUP(CONCATENATE(LEFT($O41,2),"H"),$R$63:$T$91,3,FALSE),VLOOKUP($O41,$R$63:$T$91,3,FALSE)))+IF(AND($O41&lt;&gt;"",$O41&lt;&gt;"O3/CP",$O$15=C$18,MID($O41,4,1)="2",$O$15&lt;&gt;$O$14),VLOOKUP(CONCATENATE(LEFT($O41,2),"L"),$R$63:$T$91,3,FALSE),0)+IF(AND($O41="O3/CP",$O$14=C$18),VLOOKUP("O3",$R$63:$T$91,3,FALSE)+VLOOKUP("CP",$R$63:$T$91,3,FALSE),0)+IF(AND($P41&lt;&gt;"",$P41&lt;&gt;"--",$P41&lt;&gt;"O3/CP",$P$14=C$18),IF(LEFT($P41,1)="P",VLOOKUP(CONCATENATE(LEFT($P41,2),"H"),$R$63:$T$91,3,FALSE),VLOOKUP($P41,$R$63:$T$91,3,FALSE)))+IF(AND($P41&lt;&gt;"",$P41&lt;&gt;"O3/CP",$P$15=C$18,MID($P41,4,1)="2",$P$15&lt;&gt;$P$14),VLOOKUP(CONCATENATE(LEFT($P41,2),"L"),$R$63:$T$91,3,FALSE),0)+IF(AND($P41="O3/CP",$P$14=C$18),VLOOKUP("O3",$R$63:$T$91,3,FALSE)+VLOOKUP("CP",$R$63:$T$91,3,FALSE),0)+IF(AND($Q41&lt;&gt;"",$Q41&lt;&gt;"--",$Q41&lt;&gt;"O3/CP",$Q$14=C$18),IF(LEFT($Q41,1)="P",VLOOKUP(CONCATENATE(LEFT($Q41,2),"H"),$R$63:$T$91,3,FALSE),VLOOKUP($Q41,$R$63:$T$91,3,FALSE)))+IF(AND($Q41&lt;&gt;"",$Q41&lt;&gt;"O3/CP",$Q$15=C$18,MID($Q41,4,1)="2",$Q$15&lt;&gt;$Q$14),VLOOKUP(CONCATENATE(LEFT($Q41,2),"L"),$R$63:$T$91,3,FALSE),0)+IF(AND($Q41="O3/CP",$Q$14=C$18),VLOOKUP("O3",$R$63:$T$91,3,FALSE)+VLOOKUP("CP",$R$63:$T$91,3,FALSE),0)+IF(AND($R41&lt;&gt;"",$R41&lt;&gt;"--",$R41&lt;&gt;"O3/CP",$R$14=C$18),IF(LEFT($R41,1)="P",VLOOKUP(CONCATENATE(LEFT($R41,2),"H"),$R$63:$T$91,3,FALSE),VLOOKUP($R41,$R$63:$T$91,3,FALSE)))+IF(AND($R41&lt;&gt;"",$R41&lt;&gt;"O3/CP",$R$15=C$18,MID($R41,4,1)="2",$R$15&lt;&gt;$R$14),VLOOKUP(CONCATENATE(LEFT($R41,2),"L"),$R$63:$T$91,3,FALSE),0)+IF(AND($R41="O3/CP",$R$14=C$18),VLOOKUP("O3",$R$63:$T$91,3,FALSE)+VLOOKUP("CP",$R$63:$T$91,3,FALSE),0)+IF(AND($S41&lt;&gt;"",$S41&lt;&gt;"--",$S41&lt;&gt;"O3/CP",$S$14=C$18),IF(LEFT($S41,1)="P",VLOOKUP(CONCATENATE(LEFT($S41,2),"H"),$R$63:$T$91,3,FALSE),VLOOKUP($S41,$R$63:$T$91,3,FALSE)))+IF(AND($S41&lt;&gt;"",$S41&lt;&gt;"O3/CP",$S$15=C$18,MID($S41,4,1)="2",$S$15&lt;&gt;$S$14),VLOOKUP(CONCATENATE(LEFT($S41,2),"L"),$R$63:$T$91,3,FALSE),0)+IF(AND($S41="O3/CP",$S$14=C$18),VLOOKUP("O3",$R$63:$T$91,3,FALSE)+VLOOKUP("CP",$R$63:$T$91,3,FALSE),0)+IF(AND($T41&lt;&gt;"",$T41&lt;&gt;"--",$T41&lt;&gt;"O3/CP",$T$14=C$18),IF(LEFT($T41,1)="P",VLOOKUP(CONCATENATE(LEFT($T41,2),"H"),$R$63:$T$91,3,FALSE),VLOOKUP($T41,$R$63:$T$91,3,FALSE)))+IF(AND($T41&lt;&gt;"",$T41&lt;&gt;"O3/CP",$T$15=C$18,MID($T41,4,1)="2",$T$15&lt;&gt;$T$14),VLOOKUP(CONCATENATE(LEFT($T41,2),"L"),$R$63:$T$91,3,FALSE),0)+IF(AND($T41="O3/CP",$T$14=C$18),VLOOKUP("O3",$R$63:$T$91,3,FALSE)+VLOOKUP("CP",$R$63:$T$91,3,FALSE),0)+IF(AND($U41&lt;&gt;"",$U41&lt;&gt;"--",$U41&lt;&gt;"O3/CP",$U$14=C$18),IF(LEFT($U41,1)="P",VLOOKUP(CONCATENATE(LEFT($U41,2),"H"),$R$63:$T$91,3,FALSE),VLOOKUP($U41,$R$63:$T$91,3,FALSE)))+IF(AND($U41&lt;&gt;"",$U41&lt;&gt;"O3/CP",$U$15=C$18,MID($U41,4,1)="2",$U$15&lt;&gt;$U$14),VLOOKUP(CONCATENATE(LEFT($U41,2),"L"),$R$63:$T$91,3,FALSE),0)+IF(AND($U41="O3/CP",$T$14=C$18),VLOOKUP("O3",$R$63:$T$91,3,FALSE)+VLOOKUP("CP",$R$63:$T$91,3,FALSE),0)+IF(AND($V41&lt;&gt;"",$V41&lt;&gt;"--",$V41&lt;&gt;"O3/CP",$V$14=C$18),IF(LEFT($V41,1)="P",VLOOKUP(CONCATENATE(LEFT($V41,2),"H"),$R$63:$T$91,3,FALSE),VLOOKUP($V41,$R$63:$T$91,3,FALSE)))+IF(AND($V41&lt;&gt;"",$V41&lt;&gt;"O3/CP",$V$15=C$18,MID($V41,4,1)="2",$V$15&lt;&gt;$V$14),VLOOKUP(CONCATENATE(LEFT($V41,2),"L"),$R$63:$T$91,3,FALSE),0)+IF(AND($V41="O3/CP",$V$14=C$18),VLOOKUP("O3",$R$63:$T$91,3,FALSE)+VLOOKUP("CP",$R$63:$T$91,3,FALSE),0)+IF(AND($W41&lt;&gt;"",$W41&lt;&gt;"--",$W41&lt;&gt;"O3/CP",$W$14=C$18),IF(LEFT($W41,1)="P",VLOOKUP(CONCATENATE(LEFT($W41,2),"H"),$R$63:$T$91,3,FALSE),VLOOKUP($W41,$R$63:$T$91,3,FALSE)))+IF(AND($W41&lt;&gt;"",$W41&lt;&gt;"O3/CP",$W$15=C$18,MID($W41,4,1)="2",$W$15&lt;&gt;$W$14),VLOOKUP(CONCATENATE(LEFT($W41,2),"L"),$R$63:$T$91,3,FALSE),0)+IF(AND($W41="O3/CP",$W$14=C$18),VLOOKUP("O3",$R$63:$T$91,3,FALSE)+VLOOKUP("CP",$R$63:$T$91,3,FALSE),0)+IF(AND($X41&lt;&gt;"",$X41&lt;&gt;"--",$X41&lt;&gt;"O3/CP",$X$14=C$18),IF(LEFT($X41,1)="P",VLOOKUP(CONCATENATE(LEFT($X41,2),"H"),$R$63:$T$91,3,FALSE),VLOOKUP($X41,$R$63:$T$91,3,FALSE)))+IF(AND($X41&lt;&gt;"",$X41&lt;&gt;"O3/CP",$X$15=C$18,MID($X41,4,1)="2",$X$15&lt;&gt;$X$14),VLOOKUP(CONCATENATE(LEFT($X41,2),"L"),$R$63:$T$91,3,FALSE),0)+IF(AND($X41="O3/CP",$X$14=C$18),VLOOKUP("O3",$R$63:$T$91,3,FALSE)+VLOOKUP("CP",$R$63:$T$91,3,FALSE),0)+IF(AND($Y41&lt;&gt;"",$Y41&lt;&gt;"--",$Y41&lt;&gt;"O3/CP",$Y$14=C$18),IF(LEFT($Y41,1)="P",VLOOKUP(CONCATENATE(LEFT($Y41,2),"H"),$R$63:$T$91,3,FALSE),VLOOKUP($Y41,$R$63:$T$91,3,FALSE)))+IF(AND($Y41&lt;&gt;"",$Y41&lt;&gt;"O3/CP",$Y$15=C$18,MID($Y41,4,1)="2",$Y$15&lt;&gt;$Y$14),VLOOKUP(CONCATENATE(LEFT($Y41,2),"L"),$R$63:$T$91,3,FALSE),0)+IF(AND($Y41="O3/CP",$Y$14=C$18),VLOOKUP("O3",$R$63:$T$91,3,FALSE)+VLOOKUP("CP",$R$63:$T$91,3,FALSE),0)+IF(AND($K$6="CE",'[3]Supply Attribution'!$G$20=C$18),LEFT($S$90,2),0)+IF(AND($X$86&lt;&gt;"Not Set",$X$87=C$18),$X$86,0)</f>
        <v>0</v>
      </c>
      <c r="D41" s="271">
        <f>IF(AND($K41&lt;&gt;"",$K41&lt;&gt;"--",$K41&lt;&gt;"O3/CP",$K$14=D$18),IF(LEFT($K41,1)="P",VLOOKUP(CONCATENATE(LEFT($K41,2),"H"),$R$63:$T$91,3,FALSE),VLOOKUP($K41,$R$63:$T$91,3,FALSE)))+IF(AND($K41&lt;&gt;"",$K41&lt;&gt;"O3/CP",$K$15=D$18,MID($K41,4,1)="2",$K$15&lt;&gt;$K$14),VLOOKUP(CONCATENATE(LEFT($K41,2),"L"),$R$63:$T$91,3,FALSE),0)+IF(AND($K41="O3/CP",$K$14=D$18),VLOOKUP("O3",$R$63:$T$91,3,FALSE)+VLOOKUP("CP",$R$63:$T$91,3,FALSE),0)+IF(AND($L41&lt;&gt;"",$L41&lt;&gt;"--",$L41&lt;&gt;"O3/CP",$L$14=D$18),IF(LEFT($L41,1)="P",VLOOKUP(CONCATENATE(LEFT($L41,2),"H"),$R$63:$T$91,3,FALSE),VLOOKUP($L41,$R$63:$T$91,3,FALSE)))+IF(AND($L41&lt;&gt;"",$L41&lt;&gt;"O3/CP",$L$15=D$18,MID($L41,4,1)="2",$L$15&lt;&gt;$L$14),VLOOKUP(CONCATENATE(LEFT($L41,2),"L"),$R$63:$T$91,3,FALSE),0)+IF(AND($L41="O3/CP",$L$14=D$18),VLOOKUP("O3",$R$63:$T$91,3,FALSE)+VLOOKUP("CP",$R$63:$T$91,3,FALSE),0)+IF(AND($M41&lt;&gt;"",$M41&lt;&gt;"--",$M41&lt;&gt;"O3/CP",$M$14=D$18),IF(LEFT($M41,1)="P",VLOOKUP(CONCATENATE(LEFT($M41,2),"H"),$R$63:$T$91,3,FALSE),VLOOKUP($M41,$R$63:$T$91,3,FALSE)))+IF(AND($M41&lt;&gt;"",$M41&lt;&gt;"O3/CP",$M$15=D$18,MID($M41,4,1)="2",$M$15&lt;&gt;$M$14),VLOOKUP(CONCATENATE(LEFT($M41,2),"L"),$R$63:$T$91,3,FALSE),0)+IF(AND($M41="O3/CP",$M$14=D$18),VLOOKUP("O3",$R$63:$T$91,3,FALSE)+VLOOKUP("CP",$R$63:$T$91,3,FALSE),0)+IF(AND($N41&lt;&gt;"",$N41&lt;&gt;"--",$N41&lt;&gt;"O3/CP",$N$14=D$18),IF(LEFT($N41,1)="P",VLOOKUP(CONCATENATE(LEFT($N41,2),"H"),$R$63:$T$91,3,FALSE),VLOOKUP($N41,$R$63:$T$91,3,FALSE)))+IF(AND($N41&lt;&gt;"",$N41&lt;&gt;"O3/CP",$N$15=D$18,MID($N41,4,1)="2",$N$15&lt;&gt;$N$14),VLOOKUP(CONCATENATE(LEFT($N41,2),"L"),$R$63:$T$91,3,FALSE),0)+IF(AND($N41="O3/CP",$N$14=D$18),VLOOKUP("O3",$R$63:$T$91,3,FALSE)+VLOOKUP("CP",$R$63:$T$91,3,FALSE),0)+IF(AND($O41&lt;&gt;"",$O41&lt;&gt;"--",$O41&lt;&gt;"O3/CP",$O$14=D$18),IF(LEFT($O41,1)="P",VLOOKUP(CONCATENATE(LEFT($O41,2),"H"),$R$63:$T$91,3,FALSE),VLOOKUP($O41,$R$63:$T$91,3,FALSE)))+IF(AND($O41&lt;&gt;"",$O41&lt;&gt;"O3/CP",$O$15=D$18,MID($O41,4,1)="2",$O$15&lt;&gt;$O$14),VLOOKUP(CONCATENATE(LEFT($O41,2),"L"),$R$63:$T$91,3,FALSE),0)+IF(AND($O41="O3/CP",$O$14=D$18),VLOOKUP("O3",$R$63:$T$91,3,FALSE)+VLOOKUP("CP",$R$63:$T$91,3,FALSE),0)+IF(AND($P41&lt;&gt;"",$P41&lt;&gt;"--",$P41&lt;&gt;"O3/CP",$P$14=D$18),IF(LEFT($P41,1)="P",VLOOKUP(CONCATENATE(LEFT($P41,2),"H"),$R$63:$T$91,3,FALSE),VLOOKUP($P41,$R$63:$T$91,3,FALSE)))+IF(AND($P41&lt;&gt;"",$P41&lt;&gt;"O3/CP",$P$15=D$18,MID($P41,4,1)="2",$P$15&lt;&gt;$P$14),VLOOKUP(CONCATENATE(LEFT($P41,2),"L"),$R$63:$T$91,3,FALSE),0)+IF(AND($P41="O3/CP",$P$14=D$18),VLOOKUP("O3",$R$63:$T$91,3,FALSE)+VLOOKUP("CP",$R$63:$T$91,3,FALSE),0)+IF(AND($Q41&lt;&gt;"",$Q41&lt;&gt;"--",$Q41&lt;&gt;"O3/CP",$Q$14=D$18),IF(LEFT($Q41,1)="P",VLOOKUP(CONCATENATE(LEFT($Q41,2),"H"),$R$63:$T$91,3,FALSE),VLOOKUP($Q41,$R$63:$T$91,3,FALSE)))+IF(AND($Q41&lt;&gt;"",$Q41&lt;&gt;"O3/CP",$Q$15=D$18,MID($Q41,4,1)="2",$Q$15&lt;&gt;$Q$14),VLOOKUP(CONCATENATE(LEFT($Q41,2),"L"),$R$63:$T$91,3,FALSE),0)+IF(AND($Q41="O3/CP",$Q$14=D$18),VLOOKUP("O3",$R$63:$T$91,3,FALSE)+VLOOKUP("CP",$R$63:$T$91,3,FALSE),0)+IF(AND($R41&lt;&gt;"",$R41&lt;&gt;"--",$R41&lt;&gt;"O3/CP",$R$14=D$18),IF(LEFT($R41,1)="P",VLOOKUP(CONCATENATE(LEFT($R41,2),"H"),$R$63:$T$91,3,FALSE),VLOOKUP($R41,$R$63:$T$91,3,FALSE)))+IF(AND($R41&lt;&gt;"",$R41&lt;&gt;"O3/CP",$R$15=D$18,MID($R41,4,1)="2",$R$15&lt;&gt;$R$14),VLOOKUP(CONCATENATE(LEFT($R41,2),"L"),$R$63:$T$91,3,FALSE),0)+IF(AND($R41="O3/CP",$R$14=D$18),VLOOKUP("O3",$R$63:$T$91,3,FALSE)+VLOOKUP("CP",$R$63:$T$91,3,FALSE),0)+IF(AND($S41&lt;&gt;"",$S41&lt;&gt;"--",$S41&lt;&gt;"O3/CP",$S$14=D$18),IF(LEFT($S41,1)="P",VLOOKUP(CONCATENATE(LEFT($S41,2),"H"),$R$63:$T$91,3,FALSE),VLOOKUP($S41,$R$63:$T$91,3,FALSE)))+IF(AND($S41&lt;&gt;"",$S41&lt;&gt;"O3/CP",$S$15=D$18,MID($S41,4,1)="2",$S$15&lt;&gt;$S$14),VLOOKUP(CONCATENATE(LEFT($S41,2),"L"),$R$63:$T$91,3,FALSE),0)+IF(AND($S41="O3/CP",$S$14=D$18),VLOOKUP("O3",$R$63:$T$91,3,FALSE)+VLOOKUP("CP",$R$63:$T$91,3,FALSE),0)+IF(AND($T41&lt;&gt;"",$T41&lt;&gt;"--",$T41&lt;&gt;"O3/CP",$T$14=D$18),IF(LEFT($T41,1)="P",VLOOKUP(CONCATENATE(LEFT($T41,2),"H"),$R$63:$T$91,3,FALSE),VLOOKUP($T41,$R$63:$T$91,3,FALSE)))+IF(AND($T41&lt;&gt;"",$T41&lt;&gt;"O3/CP",$T$15=D$18,MID($T41,4,1)="2",$T$15&lt;&gt;$T$14),VLOOKUP(CONCATENATE(LEFT($T41,2),"L"),$R$63:$T$91,3,FALSE),0)+IF(AND($T41="O3/CP",$T$14=D$18),VLOOKUP("O3",$R$63:$T$91,3,FALSE)+VLOOKUP("CP",$R$63:$T$91,3,FALSE),0)+IF(AND($U41&lt;&gt;"",$U41&lt;&gt;"--",$U41&lt;&gt;"O3/CP",$U$14=D$18),IF(LEFT($U41,1)="P",VLOOKUP(CONCATENATE(LEFT($U41,2),"H"),$R$63:$T$91,3,FALSE),VLOOKUP($U41,$R$63:$T$91,3,FALSE)))+IF(AND($U41&lt;&gt;"",$U41&lt;&gt;"O3/CP",$U$15=D$18,MID($U41,4,1)="2",$U$15&lt;&gt;$U$14),VLOOKUP(CONCATENATE(LEFT($U41,2),"L"),$R$63:$T$91,3,FALSE),0)+IF(AND($U41="O3/CP",$T$14=D$18),VLOOKUP("O3",$R$63:$T$91,3,FALSE)+VLOOKUP("CP",$R$63:$T$91,3,FALSE),0)+IF(AND($V41&lt;&gt;"",$V41&lt;&gt;"--",$V41&lt;&gt;"O3/CP",$V$14=D$18),IF(LEFT($V41,1)="P",VLOOKUP(CONCATENATE(LEFT($V41,2),"H"),$R$63:$T$91,3,FALSE),VLOOKUP($V41,$R$63:$T$91,3,FALSE)))+IF(AND($V41&lt;&gt;"",$V41&lt;&gt;"O3/CP",$V$15=D$18,MID($V41,4,1)="2",$V$15&lt;&gt;$V$14),VLOOKUP(CONCATENATE(LEFT($V41,2),"L"),$R$63:$T$91,3,FALSE),0)+IF(AND($V41="O3/CP",$V$14=D$18),VLOOKUP("O3",$R$63:$T$91,3,FALSE)+VLOOKUP("CP",$R$63:$T$91,3,FALSE),0)+IF(AND($W41&lt;&gt;"",$W41&lt;&gt;"--",$W41&lt;&gt;"O3/CP",$W$14=D$18),IF(LEFT($W41,1)="P",VLOOKUP(CONCATENATE(LEFT($W41,2),"H"),$R$63:$T$91,3,FALSE),VLOOKUP($W41,$R$63:$T$91,3,FALSE)))+IF(AND($W41&lt;&gt;"",$W41&lt;&gt;"O3/CP",$W$15=D$18,MID($W41,4,1)="2",$W$15&lt;&gt;$W$14),VLOOKUP(CONCATENATE(LEFT($W41,2),"L"),$R$63:$T$91,3,FALSE),0)+IF(AND($W41="O3/CP",$W$14=D$18),VLOOKUP("O3",$R$63:$T$91,3,FALSE)+VLOOKUP("CP",$R$63:$T$91,3,FALSE),0)+IF(AND($X41&lt;&gt;"",$X41&lt;&gt;"--",$X41&lt;&gt;"O3/CP",$X$14=D$18),IF(LEFT($X41,1)="P",VLOOKUP(CONCATENATE(LEFT($X41,2),"H"),$R$63:$T$91,3,FALSE),VLOOKUP($X41,$R$63:$T$91,3,FALSE)))+IF(AND($X41&lt;&gt;"",$X41&lt;&gt;"O3/CP",$X$15=D$18,MID($X41,4,1)="2",$X$15&lt;&gt;$X$14),VLOOKUP(CONCATENATE(LEFT($X41,2),"L"),$R$63:$T$91,3,FALSE),0)+IF(AND($X41="O3/CP",$X$14=D$18),VLOOKUP("O3",$R$63:$T$91,3,FALSE)+VLOOKUP("CP",$R$63:$T$91,3,FALSE),0)+IF(AND($Y41&lt;&gt;"",$Y41&lt;&gt;"--",$Y41&lt;&gt;"O3/CP",$Y$14=D$18),IF(LEFT($Y41,1)="P",VLOOKUP(CONCATENATE(LEFT($Y41,2),"H"),$R$63:$T$91,3,FALSE),VLOOKUP($Y41,$R$63:$T$91,3,FALSE)))+IF(AND($Y41&lt;&gt;"",$Y41&lt;&gt;"O3/CP",$Y$15=D$18,MID($Y41,4,1)="2",$Y$15&lt;&gt;$Y$14),VLOOKUP(CONCATENATE(LEFT($Y41,2),"L"),$R$63:$T$91,3,FALSE),0)+IF(AND($Y41="O3/CP",$Y$14=D$18),VLOOKUP("O3",$R$63:$T$91,3,FALSE)+VLOOKUP("CP",$R$63:$T$91,3,FALSE),0)+IF(AND($K$6="CE",'[3]Supply Attribution'!$G$20=D$18),LEFT($S$90,2),0)+IF(AND($X$86&lt;&gt;"Not Set",$X$87=D$18),$X$86,0)</f>
        <v>0</v>
      </c>
      <c r="E41" s="271">
        <f>IF(AND($K41&lt;&gt;"",$K41&lt;&gt;"--",$K41&lt;&gt;"O3/CP",$K$14=E$18),IF(LEFT($K41,1)="P",VLOOKUP(CONCATENATE(LEFT($K41,2),"H"),$R$63:$T$91,3,FALSE),VLOOKUP($K41,$R$63:$T$91,3,FALSE)))+IF(AND($K41&lt;&gt;"",$K41&lt;&gt;"O3/CP",$K$15=E$18,MID($K41,4,1)="2",$K$15&lt;&gt;$K$14),VLOOKUP(CONCATENATE(LEFT($K41,2),"L"),$R$63:$T$91,3,FALSE),0)+IF(AND($K41="O3/CP",$K$14=E$18),VLOOKUP("O3",$R$63:$T$91,3,FALSE)+VLOOKUP("CP",$R$63:$T$91,3,FALSE),0)+IF(AND($L41&lt;&gt;"",$L41&lt;&gt;"--",$L41&lt;&gt;"O3/CP",$L$14=E$18),IF(LEFT($L41,1)="P",VLOOKUP(CONCATENATE(LEFT($L41,2),"H"),$R$63:$T$91,3,FALSE),VLOOKUP($L41,$R$63:$T$91,3,FALSE)))+IF(AND($L41&lt;&gt;"",$L41&lt;&gt;"O3/CP",$L$15=E$18,MID($L41,4,1)="2",$L$15&lt;&gt;$L$14),VLOOKUP(CONCATENATE(LEFT($L41,2),"L"),$R$63:$T$91,3,FALSE),0)+IF(AND($L41="O3/CP",$L$14=E$18),VLOOKUP("O3",$R$63:$T$91,3,FALSE)+VLOOKUP("CP",$R$63:$T$91,3,FALSE),0)+IF(AND($M41&lt;&gt;"",$M41&lt;&gt;"--",$M41&lt;&gt;"O3/CP",$M$14=E$18),IF(LEFT($M41,1)="P",VLOOKUP(CONCATENATE(LEFT($M41,2),"H"),$R$63:$T$91,3,FALSE),VLOOKUP($M41,$R$63:$T$91,3,FALSE)))+IF(AND($M41&lt;&gt;"",$M41&lt;&gt;"O3/CP",$M$15=E$18,MID($M41,4,1)="2",$M$15&lt;&gt;$M$14),VLOOKUP(CONCATENATE(LEFT($M41,2),"L"),$R$63:$T$91,3,FALSE),0)+IF(AND($M41="O3/CP",$M$14=E$18),VLOOKUP("O3",$R$63:$T$91,3,FALSE)+VLOOKUP("CP",$R$63:$T$91,3,FALSE),0)+IF(AND($N41&lt;&gt;"",$N41&lt;&gt;"--",$N41&lt;&gt;"O3/CP",$N$14=E$18),IF(LEFT($N41,1)="P",VLOOKUP(CONCATENATE(LEFT($N41,2),"H"),$R$63:$T$91,3,FALSE),VLOOKUP($N41,$R$63:$T$91,3,FALSE)))+IF(AND($N41&lt;&gt;"",$N41&lt;&gt;"O3/CP",$N$15=E$18,MID($N41,4,1)="2",$N$15&lt;&gt;$N$14),VLOOKUP(CONCATENATE(LEFT($N41,2),"L"),$R$63:$T$91,3,FALSE),0)+IF(AND($N41="O3/CP",$N$14=E$18),VLOOKUP("O3",$R$63:$T$91,3,FALSE)+VLOOKUP("CP",$R$63:$T$91,3,FALSE),0)+IF(AND($O41&lt;&gt;"",$O41&lt;&gt;"--",$O41&lt;&gt;"O3/CP",$O$14=E$18),IF(LEFT($O41,1)="P",VLOOKUP(CONCATENATE(LEFT($O41,2),"H"),$R$63:$T$91,3,FALSE),VLOOKUP($O41,$R$63:$T$91,3,FALSE)))+IF(AND($O41&lt;&gt;"",$O41&lt;&gt;"O3/CP",$O$15=E$18,MID($O41,4,1)="2",$O$15&lt;&gt;$O$14),VLOOKUP(CONCATENATE(LEFT($O41,2),"L"),$R$63:$T$91,3,FALSE),0)+IF(AND($O41="O3/CP",$O$14=E$18),VLOOKUP("O3",$R$63:$T$91,3,FALSE)+VLOOKUP("CP",$R$63:$T$91,3,FALSE),0)+IF(AND($P41&lt;&gt;"",$P41&lt;&gt;"--",$P41&lt;&gt;"O3/CP",$P$14=E$18),IF(LEFT($P41,1)="P",VLOOKUP(CONCATENATE(LEFT($P41,2),"H"),$R$63:$T$91,3,FALSE),VLOOKUP($P41,$R$63:$T$91,3,FALSE)))+IF(AND($P41&lt;&gt;"",$P41&lt;&gt;"O3/CP",$P$15=E$18,MID($P41,4,1)="2",$P$15&lt;&gt;$P$14),VLOOKUP(CONCATENATE(LEFT($P41,2),"L"),$R$63:$T$91,3,FALSE),0)+IF(AND($P41="O3/CP",$P$14=E$18),VLOOKUP("O3",$R$63:$T$91,3,FALSE)+VLOOKUP("CP",$R$63:$T$91,3,FALSE),0)+IF(AND($Q41&lt;&gt;"",$Q41&lt;&gt;"--",$Q41&lt;&gt;"O3/CP",$Q$14=E$18),IF(LEFT($Q41,1)="P",VLOOKUP(CONCATENATE(LEFT($Q41,2),"H"),$R$63:$T$91,3,FALSE),VLOOKUP($Q41,$R$63:$T$91,3,FALSE)))+IF(AND($Q41&lt;&gt;"",$Q41&lt;&gt;"O3/CP",$Q$15=E$18,MID($Q41,4,1)="2",$Q$15&lt;&gt;$Q$14),VLOOKUP(CONCATENATE(LEFT($Q41,2),"L"),$R$63:$T$91,3,FALSE),0)+IF(AND($Q41="O3/CP",$Q$14=E$18),VLOOKUP("O3",$R$63:$T$91,3,FALSE)+VLOOKUP("CP",$R$63:$T$91,3,FALSE),0)+IF(AND($R41&lt;&gt;"",$R41&lt;&gt;"--",$R41&lt;&gt;"O3/CP",$R$14=E$18),IF(LEFT($R41,1)="P",VLOOKUP(CONCATENATE(LEFT($R41,2),"H"),$R$63:$T$91,3,FALSE),VLOOKUP($R41,$R$63:$T$91,3,FALSE)))+IF(AND($R41&lt;&gt;"",$R41&lt;&gt;"O3/CP",$R$15=E$18,MID($R41,4,1)="2",$R$15&lt;&gt;$R$14),VLOOKUP(CONCATENATE(LEFT($R41,2),"L"),$R$63:$T$91,3,FALSE),0)+IF(AND($R41="O3/CP",$R$14=E$18),VLOOKUP("O3",$R$63:$T$91,3,FALSE)+VLOOKUP("CP",$R$63:$T$91,3,FALSE),0)+IF(AND($S41&lt;&gt;"",$S41&lt;&gt;"--",$S41&lt;&gt;"O3/CP",$S$14=E$18),IF(LEFT($S41,1)="P",VLOOKUP(CONCATENATE(LEFT($S41,2),"H"),$R$63:$T$91,3,FALSE),VLOOKUP($S41,$R$63:$T$91,3,FALSE)))+IF(AND($S41&lt;&gt;"",$S41&lt;&gt;"O3/CP",$S$15=E$18,MID($S41,4,1)="2",$S$15&lt;&gt;$S$14),VLOOKUP(CONCATENATE(LEFT($S41,2),"L"),$R$63:$T$91,3,FALSE),0)+IF(AND($S41="O3/CP",$S$14=E$18),VLOOKUP("O3",$R$63:$T$91,3,FALSE)+VLOOKUP("CP",$R$63:$T$91,3,FALSE),0)+IF(AND($T41&lt;&gt;"",$T41&lt;&gt;"--",$T41&lt;&gt;"O3/CP",$T$14=E$18),IF(LEFT($T41,1)="P",VLOOKUP(CONCATENATE(LEFT($T41,2),"H"),$R$63:$T$91,3,FALSE),VLOOKUP($T41,$R$63:$T$91,3,FALSE)))+IF(AND($T41&lt;&gt;"",$T41&lt;&gt;"O3/CP",$T$15=E$18,MID($T41,4,1)="2",$T$15&lt;&gt;$T$14),VLOOKUP(CONCATENATE(LEFT($T41,2),"L"),$R$63:$T$91,3,FALSE),0)+IF(AND($T41="O3/CP",$T$14=E$18),VLOOKUP("O3",$R$63:$T$91,3,FALSE)+VLOOKUP("CP",$R$63:$T$91,3,FALSE),0)+IF(AND($U41&lt;&gt;"",$U41&lt;&gt;"--",$U41&lt;&gt;"O3/CP",$U$14=E$18),IF(LEFT($U41,1)="P",VLOOKUP(CONCATENATE(LEFT($U41,2),"H"),$R$63:$T$91,3,FALSE),VLOOKUP($U41,$R$63:$T$91,3,FALSE)))+IF(AND($U41&lt;&gt;"",$U41&lt;&gt;"O3/CP",$U$15=E$18,MID($U41,4,1)="2",$U$15&lt;&gt;$U$14),VLOOKUP(CONCATENATE(LEFT($U41,2),"L"),$R$63:$T$91,3,FALSE),0)+IF(AND($U41="O3/CP",$T$14=E$18),VLOOKUP("O3",$R$63:$T$91,3,FALSE)+VLOOKUP("CP",$R$63:$T$91,3,FALSE),0)+IF(AND($V41&lt;&gt;"",$V41&lt;&gt;"--",$V41&lt;&gt;"O3/CP",$V$14=E$18),IF(LEFT($V41,1)="P",VLOOKUP(CONCATENATE(LEFT($V41,2),"H"),$R$63:$T$91,3,FALSE),VLOOKUP($V41,$R$63:$T$91,3,FALSE)))+IF(AND($V41&lt;&gt;"",$V41&lt;&gt;"O3/CP",$V$15=E$18,MID($V41,4,1)="2",$V$15&lt;&gt;$V$14),VLOOKUP(CONCATENATE(LEFT($V41,2),"L"),$R$63:$T$91,3,FALSE),0)+IF(AND($V41="O3/CP",$V$14=E$18),VLOOKUP("O3",$R$63:$T$91,3,FALSE)+VLOOKUP("CP",$R$63:$T$91,3,FALSE),0)+IF(AND($W41&lt;&gt;"",$W41&lt;&gt;"--",$W41&lt;&gt;"O3/CP",$W$14=E$18),IF(LEFT($W41,1)="P",VLOOKUP(CONCATENATE(LEFT($W41,2),"H"),$R$63:$T$91,3,FALSE),VLOOKUP($W41,$R$63:$T$91,3,FALSE)))+IF(AND($W41&lt;&gt;"",$W41&lt;&gt;"O3/CP",$W$15=E$18,MID($W41,4,1)="2",$W$15&lt;&gt;$W$14),VLOOKUP(CONCATENATE(LEFT($W41,2),"L"),$R$63:$T$91,3,FALSE),0)+IF(AND($W41="O3/CP",$W$14=E$18),VLOOKUP("O3",$R$63:$T$91,3,FALSE)+VLOOKUP("CP",$R$63:$T$91,3,FALSE),0)+IF(AND($X41&lt;&gt;"",$X41&lt;&gt;"--",$X41&lt;&gt;"O3/CP",$X$14=E$18),IF(LEFT($X41,1)="P",VLOOKUP(CONCATENATE(LEFT($X41,2),"H"),$R$63:$T$91,3,FALSE),VLOOKUP($X41,$R$63:$T$91,3,FALSE)))+IF(AND($X41&lt;&gt;"",$X41&lt;&gt;"O3/CP",$X$15=E$18,MID($X41,4,1)="2",$X$15&lt;&gt;$X$14),VLOOKUP(CONCATENATE(LEFT($X41,2),"L"),$R$63:$T$91,3,FALSE),0)+IF(AND($X41="O3/CP",$X$14=E$18),VLOOKUP("O3",$R$63:$T$91,3,FALSE)+VLOOKUP("CP",$R$63:$T$91,3,FALSE),0)+IF(AND($Y41&lt;&gt;"",$Y41&lt;&gt;"--",$Y41&lt;&gt;"O3/CP",$Y$14=E$18),IF(LEFT($Y41,1)="P",VLOOKUP(CONCATENATE(LEFT($Y41,2),"H"),$R$63:$T$91,3,FALSE),VLOOKUP($Y41,$R$63:$T$91,3,FALSE)))+IF(AND($Y41&lt;&gt;"",$Y41&lt;&gt;"O3/CP",$Y$15=E$18,MID($Y41,4,1)="2",$Y$15&lt;&gt;$Y$14),VLOOKUP(CONCATENATE(LEFT($Y41,2),"L"),$R$63:$T$91,3,FALSE),0)+IF(AND($Y41="O3/CP",$Y$14=E$18),VLOOKUP("O3",$R$63:$T$91,3,FALSE)+VLOOKUP("CP",$R$63:$T$91,3,FALSE),0)+IF(AND($K$6="CE",'[3]Supply Attribution'!$G$20=E$18),LEFT($S$90,2),0)+IF(AND($X$86&lt;&gt;"Not Set",$X$87=E$18),$X$86,0)</f>
        <v>0</v>
      </c>
      <c r="F41" s="272">
        <f>IF(AND($K41&lt;&gt;"",$K41&lt;&gt;"--",$K41&lt;&gt;"O3/CP",$K$14=F$18),IF(LEFT($K41,1)="P",VLOOKUP(CONCATENATE(LEFT($K41,2),"H"),$R$63:$T$91,3,FALSE),VLOOKUP($K41,$R$63:$T$91,3,FALSE)))+IF(AND($K41&lt;&gt;"",$K41&lt;&gt;"O3/CP",$K$15=F$18,MID($K41,4,1)="2",$K$15&lt;&gt;$K$14),VLOOKUP(CONCATENATE(LEFT($K41,2),"L"),$R$63:$T$91,3,FALSE),0)+IF(AND($K41="O3/CP",$K$14=F$18),VLOOKUP("O3",$R$63:$T$91,3,FALSE)+VLOOKUP("CP",$R$63:$T$91,3,FALSE),0)+IF(AND($L41&lt;&gt;"",$L41&lt;&gt;"--",$L41&lt;&gt;"O3/CP",$L$14=F$18),IF(LEFT($L41,1)="P",VLOOKUP(CONCATENATE(LEFT($L41,2),"H"),$R$63:$T$91,3,FALSE),VLOOKUP($L41,$R$63:$T$91,3,FALSE)))+IF(AND($L41&lt;&gt;"",$L41&lt;&gt;"O3/CP",$L$15=F$18,MID($L41,4,1)="2",$L$15&lt;&gt;$L$14),VLOOKUP(CONCATENATE(LEFT($L41,2),"L"),$R$63:$T$91,3,FALSE),0)+IF(AND($L41="O3/CP",$L$14=F$18),VLOOKUP("O3",$R$63:$T$91,3,FALSE)+VLOOKUP("CP",$R$63:$T$91,3,FALSE),0)+IF(AND($M41&lt;&gt;"",$M41&lt;&gt;"--",$M41&lt;&gt;"O3/CP",$M$14=F$18),IF(LEFT($M41,1)="P",VLOOKUP(CONCATENATE(LEFT($M41,2),"H"),$R$63:$T$91,3,FALSE),VLOOKUP($M41,$R$63:$T$91,3,FALSE)))+IF(AND($M41&lt;&gt;"",$M41&lt;&gt;"O3/CP",$M$15=F$18,MID($M41,4,1)="2",$M$15&lt;&gt;$M$14),VLOOKUP(CONCATENATE(LEFT($M41,2),"L"),$R$63:$T$91,3,FALSE),0)+IF(AND($M41="O3/CP",$M$14=F$18),VLOOKUP("O3",$R$63:$T$91,3,FALSE)+VLOOKUP("CP",$R$63:$T$91,3,FALSE),0)+IF(AND($N41&lt;&gt;"",$N41&lt;&gt;"--",$N41&lt;&gt;"O3/CP",$N$14=F$18),IF(LEFT($N41,1)="P",VLOOKUP(CONCATENATE(LEFT($N41,2),"H"),$R$63:$T$91,3,FALSE),VLOOKUP($N41,$R$63:$T$91,3,FALSE)))+IF(AND($N41&lt;&gt;"",$N41&lt;&gt;"O3/CP",$N$15=F$18,MID($N41,4,1)="2",$N$15&lt;&gt;$N$14),VLOOKUP(CONCATENATE(LEFT($N41,2),"L"),$R$63:$T$91,3,FALSE),0)+IF(AND($N41="O3/CP",$N$14=F$18),VLOOKUP("O3",$R$63:$T$91,3,FALSE)+VLOOKUP("CP",$R$63:$T$91,3,FALSE),0)+IF(AND($O41&lt;&gt;"",$O41&lt;&gt;"--",$O41&lt;&gt;"O3/CP",$O$14=F$18),IF(LEFT($O41,1)="P",VLOOKUP(CONCATENATE(LEFT($O41,2),"H"),$R$63:$T$91,3,FALSE),VLOOKUP($O41,$R$63:$T$91,3,FALSE)))+IF(AND($O41&lt;&gt;"",$O41&lt;&gt;"O3/CP",$O$15=F$18,MID($O41,4,1)="2",$O$15&lt;&gt;$O$14),VLOOKUP(CONCATENATE(LEFT($O41,2),"L"),$R$63:$T$91,3,FALSE),0)+IF(AND($O41="O3/CP",$O$14=F$18),VLOOKUP("O3",$R$63:$T$91,3,FALSE)+VLOOKUP("CP",$R$63:$T$91,3,FALSE),0)+IF(AND($P41&lt;&gt;"",$P41&lt;&gt;"--",$P41&lt;&gt;"O3/CP",$P$14=F$18),IF(LEFT($P41,1)="P",VLOOKUP(CONCATENATE(LEFT($P41,2),"H"),$R$63:$T$91,3,FALSE),VLOOKUP($P41,$R$63:$T$91,3,FALSE)))+IF(AND($P41&lt;&gt;"",$P41&lt;&gt;"O3/CP",$P$15=F$18,MID($P41,4,1)="2",$P$15&lt;&gt;$P$14),VLOOKUP(CONCATENATE(LEFT($P41,2),"L"),$R$63:$T$91,3,FALSE),0)+IF(AND($P41="O3/CP",$P$14=F$18),VLOOKUP("O3",$R$63:$T$91,3,FALSE)+VLOOKUP("CP",$R$63:$T$91,3,FALSE),0)+IF(AND($Q41&lt;&gt;"",$Q41&lt;&gt;"--",$Q41&lt;&gt;"O3/CP",$Q$14=F$18),IF(LEFT($Q41,1)="P",VLOOKUP(CONCATENATE(LEFT($Q41,2),"H"),$R$63:$T$91,3,FALSE),VLOOKUP($Q41,$R$63:$T$91,3,FALSE)))+IF(AND($Q41&lt;&gt;"",$Q41&lt;&gt;"O3/CP",$Q$15=F$18,MID($Q41,4,1)="2",$Q$15&lt;&gt;$Q$14),VLOOKUP(CONCATENATE(LEFT($Q41,2),"L"),$R$63:$T$91,3,FALSE),0)+IF(AND($Q41="O3/CP",$Q$14=F$18),VLOOKUP("O3",$R$63:$T$91,3,FALSE)+VLOOKUP("CP",$R$63:$T$91,3,FALSE),0)+IF(AND($R41&lt;&gt;"",$R41&lt;&gt;"--",$R41&lt;&gt;"O3/CP",$R$14=F$18),IF(LEFT($R41,1)="P",VLOOKUP(CONCATENATE(LEFT($R41,2),"H"),$R$63:$T$91,3,FALSE),VLOOKUP($R41,$R$63:$T$91,3,FALSE)))+IF(AND($R41&lt;&gt;"",$R41&lt;&gt;"O3/CP",$R$15=F$18,MID($R41,4,1)="2",$R$15&lt;&gt;$R$14),VLOOKUP(CONCATENATE(LEFT($R41,2),"L"),$R$63:$T$91,3,FALSE),0)+IF(AND($R41="O3/CP",$R$14=F$18),VLOOKUP("O3",$R$63:$T$91,3,FALSE)+VLOOKUP("CP",$R$63:$T$91,3,FALSE),0)+IF(AND($S41&lt;&gt;"",$S41&lt;&gt;"--",$S41&lt;&gt;"O3/CP",$S$14=F$18),IF(LEFT($S41,1)="P",VLOOKUP(CONCATENATE(LEFT($S41,2),"H"),$R$63:$T$91,3,FALSE),VLOOKUP($S41,$R$63:$T$91,3,FALSE)))+IF(AND($S41&lt;&gt;"",$S41&lt;&gt;"O3/CP",$S$15=F$18,MID($S41,4,1)="2",$S$15&lt;&gt;$S$14),VLOOKUP(CONCATENATE(LEFT($S41,2),"L"),$R$63:$T$91,3,FALSE),0)+IF(AND($S41="O3/CP",$S$14=F$18),VLOOKUP("O3",$R$63:$T$91,3,FALSE)+VLOOKUP("CP",$R$63:$T$91,3,FALSE),0)+IF(AND($T41&lt;&gt;"",$T41&lt;&gt;"--",$T41&lt;&gt;"O3/CP",$T$14=F$18),IF(LEFT($T41,1)="P",VLOOKUP(CONCATENATE(LEFT($T41,2),"H"),$R$63:$T$91,3,FALSE),VLOOKUP($T41,$R$63:$T$91,3,FALSE)))+IF(AND($T41&lt;&gt;"",$T41&lt;&gt;"O3/CP",$T$15=F$18,MID($T41,4,1)="2",$T$15&lt;&gt;$T$14),VLOOKUP(CONCATENATE(LEFT($T41,2),"L"),$R$63:$T$91,3,FALSE),0)+IF(AND($T41="O3/CP",$T$14=F$18),VLOOKUP("O3",$R$63:$T$91,3,FALSE)+VLOOKUP("CP",$R$63:$T$91,3,FALSE),0)+IF(AND($U41&lt;&gt;"",$U41&lt;&gt;"--",$U41&lt;&gt;"O3/CP",$U$14=F$18),IF(LEFT($U41,1)="P",VLOOKUP(CONCATENATE(LEFT($U41,2),"H"),$R$63:$T$91,3,FALSE),VLOOKUP($U41,$R$63:$T$91,3,FALSE)))+IF(AND($U41&lt;&gt;"",$U41&lt;&gt;"O3/CP",$U$15=F$18,MID($U41,4,1)="2",$U$15&lt;&gt;$U$14),VLOOKUP(CONCATENATE(LEFT($U41,2),"L"),$R$63:$T$91,3,FALSE),0)+IF(AND($U41="O3/CP",$T$14=F$18),VLOOKUP("O3",$R$63:$T$91,3,FALSE)+VLOOKUP("CP",$R$63:$T$91,3,FALSE),0)+IF(AND($V41&lt;&gt;"",$V41&lt;&gt;"--",$V41&lt;&gt;"O3/CP",$V$14=F$18),IF(LEFT($V41,1)="P",VLOOKUP(CONCATENATE(LEFT($V41,2),"H"),$R$63:$T$91,3,FALSE),VLOOKUP($V41,$R$63:$T$91,3,FALSE)))+IF(AND($V41&lt;&gt;"",$V41&lt;&gt;"O3/CP",$V$15=F$18,MID($V41,4,1)="2",$V$15&lt;&gt;$V$14),VLOOKUP(CONCATENATE(LEFT($V41,2),"L"),$R$63:$T$91,3,FALSE),0)+IF(AND($V41="O3/CP",$V$14=F$18),VLOOKUP("O3",$R$63:$T$91,3,FALSE)+VLOOKUP("CP",$R$63:$T$91,3,FALSE),0)+IF(AND($W41&lt;&gt;"",$W41&lt;&gt;"--",$W41&lt;&gt;"O3/CP",$W$14=F$18),IF(LEFT($W41,1)="P",VLOOKUP(CONCATENATE(LEFT($W41,2),"H"),$R$63:$T$91,3,FALSE),VLOOKUP($W41,$R$63:$T$91,3,FALSE)))+IF(AND($W41&lt;&gt;"",$W41&lt;&gt;"O3/CP",$W$15=F$18,MID($W41,4,1)="2",$W$15&lt;&gt;$W$14),VLOOKUP(CONCATENATE(LEFT($W41,2),"L"),$R$63:$T$91,3,FALSE),0)+IF(AND($W41="O3/CP",$W$14=F$18),VLOOKUP("O3",$R$63:$T$91,3,FALSE)+VLOOKUP("CP",$R$63:$T$91,3,FALSE),0)+IF(AND($X41&lt;&gt;"",$X41&lt;&gt;"--",$X41&lt;&gt;"O3/CP",$X$14=F$18),IF(LEFT($X41,1)="P",VLOOKUP(CONCATENATE(LEFT($X41,2),"H"),$R$63:$T$91,3,FALSE),VLOOKUP($X41,$R$63:$T$91,3,FALSE)))+IF(AND($X41&lt;&gt;"",$X41&lt;&gt;"O3/CP",$X$15=F$18,MID($X41,4,1)="2",$X$15&lt;&gt;$X$14),VLOOKUP(CONCATENATE(LEFT($X41,2),"L"),$R$63:$T$91,3,FALSE),0)+IF(AND($X41="O3/CP",$X$14=F$18),VLOOKUP("O3",$R$63:$T$91,3,FALSE)+VLOOKUP("CP",$R$63:$T$91,3,FALSE),0)+IF(AND($Y41&lt;&gt;"",$Y41&lt;&gt;"--",$Y41&lt;&gt;"O3/CP",$Y$14=F$18),IF(LEFT($Y41,1)="P",VLOOKUP(CONCATENATE(LEFT($Y41,2),"H"),$R$63:$T$91,3,FALSE),VLOOKUP($Y41,$R$63:$T$91,3,FALSE)))+IF(AND($Y41&lt;&gt;"",$Y41&lt;&gt;"O3/CP",$Y$15=F$18,MID($Y41,4,1)="2",$Y$15&lt;&gt;$Y$14),VLOOKUP(CONCATENATE(LEFT($Y41,2),"L"),$R$63:$T$91,3,FALSE),0)+IF(AND($Y41="O3/CP",$Y$14=F$18),VLOOKUP("O3",$R$63:$T$91,3,FALSE)+VLOOKUP("CP",$R$63:$T$91,3,FALSE),0)+IF(AND($K$6="CE",'[3]Supply Attribution'!$G$20=F$18),LEFT($S$90,2),0)+IF(AND($X$86&lt;&gt;"Not Set",$X$87=F$18),$X$86,0)</f>
        <v>0</v>
      </c>
      <c r="G41" s="271">
        <f>IF(AND($K$6="CE",$T$59="1 Phase"),SUM(A41:F41)-IF(AND($K$14&lt;&gt;$K$15,RIGHT($K41,3)="2SP"),VLOOKUP(CONCATENATE(LEFT($K41,2),"L"),$R$63:$T$90,3,FALSE),0)-IF(AND($L$14&lt;&gt;$L$15,RIGHT($L41,3)="2SP"),VLOOKUP(CONCATENATE(LEFT($L41,2),"L"),$R$63:$T$90,3,FALSE),0)-IF(AND($M$14&lt;&gt;$M$15,RIGHT($M41,3)="2SP"),VLOOKUP(CONCATENATE(LEFT($M41,2),"L"),$R$63:$T$90,3,FALSE),0)-IF(AND($N$14&lt;&gt;$N$15,RIGHT($N41,3)="2SP"),VLOOKUP(CONCATENATE(LEFT($N41,2),"L"),$R$63:$T$90,3,FALSE),0)-IF(AND($O$14&lt;&gt;$O$15,RIGHT($O41,3)="2SP"),VLOOKUP(CONCATENATE(LEFT($O41,2),"L"),$R$63:$T$90,3,FALSE),0)-IF(AND($P$14&lt;&gt;$P$15,RIGHT($P41,3)="2SP"),VLOOKUP(CONCATENATE(LEFT($P41,2),"L"),$R$63:$T$90,3,FALSE),0)-IF(AND($Q$14&lt;&gt;$Q$15,RIGHT($Q41,3)="2SP"),VLOOKUP(CONCATENATE(LEFT($Q41,2),"L"),$R$63:$T$90,3,FALSE),0)-IF(AND($R$14&lt;&gt;$R$15,RIGHT($T41,3)="2SP"),VLOOKUP(CONCATENATE(LEFT($R41,2),"L"),$R$63:$T$90,3,FALSE),0)-IF(AND($S$14&lt;&gt;$S$15,RIGHT($T41,3)="2SP"),VLOOKUP(CONCATENATE(LEFT($S41,2),"L"),$R$63:$T$90,3,FALSE),0)-IF(AND($T$14&lt;&gt;$T$15,RIGHT($T41,3)="2SP"),VLOOKUP(CONCATENATE(LEFT($T41,2),"L"),$R$63:$T$90,3,FALSE),0)-IF(AND($U$14&lt;&gt;$U$15,RIGHT($U41,3)="2SP"),VLOOKUP(CONCATENATE(LEFT($U41,2),"L"),$R$63:$T$90,3,FALSE),0)-IF(AND($V$14&lt;&gt;$V$15,RIGHT($V41,3)="2SP"),VLOOKUP(CONCATENATE(LEFT($V41,2),"L"),$R$63:$T$90,3,FALSE),0)-IF(AND($W$14&lt;&gt;$W$15,RIGHT($W41,3)="2SP"),VLOOKUP(CONCATENATE(LEFT($W41,2),"L"),$R$63:$T$90,3,FALSE),0)-IF(AND($X$14&lt;&gt;$X$15,RIGHT($X41,3)="2SP"),VLOOKUP(CONCATENATE(LEFT($X41,2),"L"),$R$63:$T$90,3,FALSE),0)-IF(AND($Y$14&lt;&gt;$Y$15,RIGHT($Y41,3)="2SP"),VLOOKUP(CONCATENATE(LEFT($Y41,2),"L"),$R$63:$T$90,3,FALSE),0),IF(VLOOKUP(CONCATENATE($A$18,"Line"),'[3]Supply Attribution'!$F$31:$G$37,2,FALSE)=G$18,$A41,0)+IF(VLOOKUP(CONCATENATE($B$18,"Line"),'[3]Supply Attribution'!$F$31:$G$37,2,FALSE)=G$18,$B41,0)+IF(VLOOKUP(CONCATENATE($C$18,"Line"),'[3]Supply Attribution'!$F$31:$G$37,2,FALSE)=G$18,$C41,0)+IF(VLOOKUP(CONCATENATE($D$18,"Line"),'[3]Supply Attribution'!$F$31:$G$37,2,FALSE)=G$18,$D41,0)+IF(VLOOKUP(CONCATENATE($E$18,"Line"),'[3]Supply Attribution'!$F$31:$G$37,2,FALSE)=G$18,$E41,0)+IF(VLOOKUP(CONCATENATE($F$18,"Line"),'[3]Supply Attribution'!$F$31:$G$37,2,FALSE)=G$18,$F41,0)+IF($K$6="UL",LEFT($S$90,2),0)-IF(AND($K$16=G$18,$K$14&lt;&gt;$K$15,$K$16=$K$17,RIGHT($K41,3)="2SP"),VLOOKUP(CONCATENATE(LEFT($K41,2),"L"),$R$63:$T$90,3,FALSE),0)-IF(AND($L$16=G$18,$L$14&lt;&gt;$L$15,$L$16=$L$17,RIGHT($L41,3)="2SP"),VLOOKUP(CONCATENATE(LEFT($L41,2),"L"),$R$63:$T$90,3,FALSE),0)-IF(AND($M$16=G$18,$M$14&lt;&gt;$M$15,$M$16=$M$17,RIGHT($M41,3)="2SP"),VLOOKUP(CONCATENATE(LEFT($M41,2),"L"),$R$63:$T$90,3,FALSE),0)-IF(AND($N$16=G$18,$N$14&lt;&gt;$N$15,$N$16=$N$17,RIGHT($N41,3)="2SP"),VLOOKUP(CONCATENATE(LEFT($N41,2),"L"),$R$63:$T$90,3,FALSE),0)-IF(AND($O$16=G$18,$O$14&lt;&gt;$O$15,$O$16=$O$17,RIGHT($O41,3)="2SP"),VLOOKUP(CONCATENATE(LEFT($O41,2),"L"),$R$63:$T$90,3,FALSE),0)-IF(AND($P$16=G$18,$P$14&lt;&gt;$P$15,$P$16=$P$17,RIGHT($P41,3)="2SP"),VLOOKUP(CONCATENATE(LEFT($P41,2),"L"),$R$63:$T$90,3,FALSE),0)-IF(AND($Q$16=G$18,$Q$14&lt;&gt;$Q$15,$Q$16=$Q$17,RIGHT($Q41,3)="2SP"),VLOOKUP(CONCATENATE(LEFT($Q41,2),"L"),$R$63:$T$90,3,FALSE),0)-IF(AND($R$16=G$18,$R$14&lt;&gt;$R$15,$R$16=$R$17,RIGHT($R41,3)="2SP"),VLOOKUP(CONCATENATE(LEFT($R41,2),"L"),$R$63:$T$90,3,FALSE),0)-IF(AND($S$16=G$18,$S$14&lt;&gt;$S$15,$S$16=$S$17,RIGHT($S41,3)="2SP"),VLOOKUP(CONCATENATE(LEFT($S41,2),"L"),$R$63:$T$90,3,FALSE),0)-IF(AND($T$16=G$18,$T$14&lt;&gt;$T$15,$T$16=$T$17,RIGHT($T41,3)="2SP"),VLOOKUP(CONCATENATE(LEFT($T41,2),"L"),$R$63:$T$90,3,FALSE),0)-IF(AND($U$16=G$18,$U$14&lt;&gt;$U$15,$U$16=$U$17,RIGHT($U41,3)="2SP"),VLOOKUP(CONCATENATE(LEFT($U41,2),"L"),$R$63:$T$90,3,FALSE),0)-IF(AND($V$16=G$18,$V$14&lt;&gt;$V$15,$V$16=$V$17,RIGHT($V41,3)="2SP"),VLOOKUP(CONCATENATE(LEFT($V41,2),"L"),$R$63:$T$90,3,FALSE),0)-IF(AND($W$16=G$18,$W$14&lt;&gt;$W$15,$W$16=$W$17,RIGHT($W41,3)="2SP"),VLOOKUP(CONCATENATE(LEFT($W41,2),"L"),$R$63:$T$90,3,FALSE),0)-IF(AND($X$16=G$18,$X$14&lt;&gt;$X$15,$X$16=$X$17,RIGHT($X41,3)="2SP"),VLOOKUP(CONCATENATE(LEFT($X41,2),"L"),$R$63:$T$90,3,FALSE),0)-IF(AND($Y$16=G$18,$Y$14&lt;&gt;$Y$15,$Y$16=$Y$17,RIGHT($Y41,3)="2SP"),VLOOKUP(CONCATENATE(LEFT($Y41,2),"L"),$R$63:$T$90,3,FALSE),0))</f>
        <v>17</v>
      </c>
      <c r="H41" s="271" t="str">
        <f>IF(H$18&lt;&gt;"",IF(VLOOKUP(CONCATENATE($A$18,"Line"),'Supply Attribution'!$F$31:$G$37,2,FALSE)=H$18,$A41,0)+IF(VLOOKUP(CONCATENATE($B$18,"Line"),'Supply Attribution'!$F$31:$G$37,2,FALSE)=H$18,$B41,0)+IF(VLOOKUP(CONCATENATE($C$18,"Line"),'Supply Attribution'!$F$31:$G$37,2,FALSE)=H$18,$C41,0)+IF(VLOOKUP(CONCATENATE($D$18,"Line"),'Supply Attribution'!$F$31:$G$37,2,FALSE)=H$18,$D41,0)+IF(VLOOKUP(CONCATENATE($E$18,"Line"),'Supply Attribution'!$F$31:$G$37,2,FALSE)=H$18,$E41,0)+IF(VLOOKUP(CONCATENATE($F$18,"Line"),'Supply Attribution'!$F$31:$G$37,2,FALSE)=H$18,$F41,0)+IF($K$6="UL",LEFT($S$90,2),0)-IF(AND($K$16=H$18,$K$14&lt;&gt;$K$15,$K$16=$K$17,RIGHT($K41,3)="2SP"),VLOOKUP(CONCATENATE(LEFT($K41,2),"L"),$R$63:$T$90,3,FALSE),0)-IF(AND($L$16=H$18,$L$14&lt;&gt;$L$15,$L$16=$L$17,RIGHT($L41,3)="2SP"),VLOOKUP(CONCATENATE(LEFT($L41,2),"L"),$R$63:$T$90,3,FALSE),0)-IF(AND($M$16=H$18,$M$14&lt;&gt;$M$15,$M$16=$M$17,RIGHT($M41,3)="2SP"),VLOOKUP(CONCATENATE(LEFT($M41,2),"L"),$R$63:$T$90,3,FALSE),0)-IF(AND($N$16=H$18,$N$14&lt;&gt;$N$15,$N$16=$N$17,RIGHT($N41,3)="2SP"),VLOOKUP(CONCATENATE(LEFT($N41,2),"L"),$R$63:$T$90,3,FALSE),0)-IF(AND($O$16=H$18,$O$14&lt;&gt;$O$15,$O$16=$O$17,RIGHT($O41,3)="2SP"),VLOOKUP(CONCATENATE(LEFT($O41,2),"L"),$R$63:$T$90,3,FALSE),0)-IF(AND($P$16=H$18,$P$14&lt;&gt;$P$15,$P$16=$P$17,RIGHT($P41,3)="2SP"),VLOOKUP(CONCATENATE(LEFT($P41,2),"L"),$R$63:$T$90,3,FALSE),0)-IF(AND($Q$16=H$18,$Q$14&lt;&gt;$Q$15,$Q$16=$Q$17,RIGHT($Q41,3)="2SP"),VLOOKUP(CONCATENATE(LEFT($Q41,2),"L"),$R$63:$T$90,3,FALSE),0)-IF(AND($T$16=H$18,$T$14&lt;&gt;$T$15,$T$16=$T$17,RIGHT($T41,3)="2SP"),VLOOKUP(CONCATENATE(LEFT($T41,2),"L"),$R$63:$T$90,3,FALSE),0)-IF(AND($U$16=H$18,$U$14&lt;&gt;$U$15,$U$16=$U$17,RIGHT($U41,3)="2SP"),VLOOKUP(CONCATENATE(LEFT($U41,2),"L"),$R$63:$T$90,3,FALSE),0)-IF(AND($V$16=H$18,$V$14&lt;&gt;$V$15,$V$16=$V$17,RIGHT($V41,3)="2SP"),VLOOKUP(CONCATENATE(LEFT($V41,2),"L"),$R$63:$T$90,3,FALSE),0)-IF(AND($W$16=H$18,$W$14&lt;&gt;$W$15,$W$16=$W$17,RIGHT($W41,3)="2SP"),VLOOKUP(CONCATENATE(LEFT($W41,2),"L"),$R$63:$T$90,3,FALSE),0)-IF(AND($X$16=H$18,$X$14&lt;&gt;$X$15,$X$16=$X$17,RIGHT($X41,3)="2SP"),VLOOKUP(CONCATENATE(LEFT($X41,2),"L"),$R$63:$T$90,3,FALSE),0)-IF(AND($Y$16=H$18,$Y$14&lt;&gt;$Y$15,$Y$16=$Y$17,RIGHT($Y41,3)="2SP"),VLOOKUP(CONCATENATE(LEFT($Y41,2),"L"),$R$63:$T$90,3,FALSE),0)+IF(AND($K$6="CE",$T$59="2 Phases",H$18&lt;&gt;""),IF(VLOOKUP(CONCATENATE($A$18,"Line"),'Supply Attribution'!$F$31:$G$37,2,FALSE)="Line3",$A41,0)+IF(VLOOKUP(CONCATENATE($B$18,"Line"),'Supply Attribution'!$F$31:$G$37,2,FALSE)="Line3",$B41,0)+IF(VLOOKUP(CONCATENATE($C$18,"Line"),'Supply Attribution'!$F$31:$G$37,2,FALSE)="Line3",$C41,0)+IF(VLOOKUP(CONCATENATE($D$18,"Line"),'Supply Attribution'!$F$31:$G$37,2,FALSE)="Line3",$D41,0)+IF(VLOOKUP(CONCATENATE($E$18,"Line"),'Supply Attribution'!$F$31:$G$37,2,FALSE)="Line3",$E41,0)+IF(VLOOKUP(CONCATENATE($F$18,"Line"),'Supply Attribution'!$F$31:$G$37,2,FALSE)="Line3",$F41,0)-IF(AND($K$16=I$18,$K$14&lt;&gt;$K$15,$K$16=$K$17,RIGHT($K41,3)="2SP"),VLOOKUP(CONCATENATE(LEFT($K41,2),"L"),$R$63:$T$90,3,FALSE),0)-IF(AND($L$16=I$18,$L$14&lt;&gt;$L$15,$L$16=$L$17,RIGHT($L41,3)="2SP"),VLOOKUP(CONCATENATE(LEFT($L41,2),"L"),$R$63:$T$90,3,FALSE),0)-IF(AND($M$16=I$18,$M$14&lt;&gt;$M$15,$M$16=$M$17,RIGHT($M41,3)="2SP"),VLOOKUP(CONCATENATE(LEFT($M41,2),"L"),$R$63:$T$90,3,FALSE),0)-IF(AND($N$16=I$18,$N$14&lt;&gt;$N$15,$N$16=$N$17,RIGHT($N41,3)="2SP"),VLOOKUP(CONCATENATE(LEFT($N41,2),"L"),$R$63:$T$90,3,FALSE),0)-IF(AND($O$16=I$18,$O$14&lt;&gt;$O$15,$O$16=$O$17,RIGHT($O41,3)="2SP"),VLOOKUP(CONCATENATE(LEFT($O41,2),"L"),$R$63:$T$90,3,FALSE),0)-IF(AND($P$16=I$18,$P$14&lt;&gt;$P$15,$P$16=$P$17,RIGHT($P41,3)="2SP"),VLOOKUP(CONCATENATE(LEFT($P41,2),"L"),$R$63:$T$90,3,FALSE),0)-IF(AND($Q$16=I$18,$Q$14&lt;&gt;$Q$15,$Q$16=$Q$17,RIGHT($Q41,3)="2SP"),VLOOKUP(CONCATENATE(LEFT($Q41,2),"L"),$R$63:$T$90,3,FALSE),0)-IF(AND($T$16=I$18,$T$14&lt;&gt;$T$15,$T$16=$T$17,RIGHT($T41,3)="2SP"),VLOOKUP(CONCATENATE(LEFT($T41,2),"L"),$R$63:$T$90,3,FALSE),0)-IF(AND($U$16=I$18,$U$14&lt;&gt;$U$15,$U$16=$U$17,RIGHT($U41,3)="2SP"),VLOOKUP(CONCATENATE(LEFT($U41,2),"L"),$R$63:$T$90,3,FALSE),0)-IF(AND($V$16=I$18,$V$14&lt;&gt;$V$15,$V$16=$V$17,RIGHT($V41,3)="2SP"),VLOOKUP(CONCATENATE(LEFT($V41,2),"L"),$R$63:$T$90,3,FALSE),0)-IF(AND($W$16=I$18,$W$14&lt;&gt;$W$15,$W$16=$W$17,RIGHT($W41,3)="2SP"),VLOOKUP(CONCATENATE(LEFT($W41,2),"L"),$R$63:$T$90,3,FALSE),0)-IF(AND($X$16=I$18,$X$14&lt;&gt;$X$15,$X$16=$X$17,RIGHT($X41,3)="2SP"),VLOOKUP(CONCATENATE(LEFT($X41,2),"L"),$R$63:$T$90,3,FALSE),0)-IF(AND($Y$16=I$18,$Y$14&lt;&gt;$Y$15,$Y$16=$Y$17,RIGHT($Y41,3)="2SP"),VLOOKUP(CONCATENATE(LEFT($Y41,2),"L"),$R$63:$T$90,3,FALSE),0),0),"")</f>
        <v/>
      </c>
      <c r="I41" s="271" t="str">
        <f>IF(I$18&lt;&gt;"",IF(VLOOKUP(CONCATENATE($A$18,"Line"),'Supply Attribution'!$F$31:$G$37,2,FALSE)=I$18,$A41,0)+IF(VLOOKUP(CONCATENATE($B$18,"Line"),'Supply Attribution'!$F$31:$G$37,2,FALSE)=I$18,$B41,0)+IF(VLOOKUP(CONCATENATE($C$18,"Line"),'Supply Attribution'!$F$31:$G$37,2,FALSE)=I$18,$C41,0)+IF(VLOOKUP(CONCATENATE($D$18,"Line"),'Supply Attribution'!$F$31:$G$37,2,FALSE)=I$18,$D41,0)+IF(VLOOKUP(CONCATENATE($E$18,"Line"),'Supply Attribution'!$F$31:$G$37,2,FALSE)=I$18,$E41,0)+IF(VLOOKUP(CONCATENATE($F$18,"Line"),'Supply Attribution'!$F$31:$G$37,2,FALSE)=I$18,$F41,0)+IF($K$6="UL",LEFT($S$90,2),0)-IF(AND($K$16=I$18,$K$14&lt;&gt;$K$15,$K$16=$K$17,RIGHT($K41,3)="2SP"),VLOOKUP(CONCATENATE(LEFT($K41,2),"L"),$R$63:$T$90,3,FALSE),0)-IF(AND($L$16=I$18,$L$14&lt;&gt;$L$15,$L$16=$L$17,RIGHT($L41,3)="2SP"),VLOOKUP(CONCATENATE(LEFT($L41,2),"L"),$R$63:$T$90,3,FALSE),0)-IF(AND($M$16=I$18,$M$14&lt;&gt;$M$15,$M$16=$M$17,RIGHT($M41,3)="2SP"),VLOOKUP(CONCATENATE(LEFT($M41,2),"L"),$R$63:$T$90,3,FALSE),0)-IF(AND($N$16=I$18,$N$14&lt;&gt;$N$15,$N$16=$N$17,RIGHT($N41,3)="2SP"),VLOOKUP(CONCATENATE(LEFT($N41,2),"L"),$R$63:$T$90,3,FALSE),0)-IF(AND($O$16=I$18,$O$14&lt;&gt;$O$15,$O$16=$O$17,RIGHT($O41,3)="2SP"),VLOOKUP(CONCATENATE(LEFT($O41,2),"L"),$R$63:$T$90,3,FALSE),0)-IF(AND($P$16=I$18,$P$14&lt;&gt;$P$15,$P$16=$P$17,RIGHT($P41,3)="2SP"),VLOOKUP(CONCATENATE(LEFT($P41,2),"L"),$R$63:$T$90,3,FALSE),0)-IF(AND($Q$16=I$18,$Q$14&lt;&gt;$Q$15,$Q$16=$Q$17,RIGHT($Q41,3)="2SP"),VLOOKUP(CONCATENATE(LEFT($Q41,2),"L"),$R$63:$T$90,3,FALSE),0)-IF(AND($T$16=I$18,$T$14&lt;&gt;$T$15,$T$16=$T$17,RIGHT($T41,3)="2SP"),VLOOKUP(CONCATENATE(LEFT($T41,2),"L"),$R$63:$T$90,3,FALSE),0)-IF(AND($U$16=I$18,$U$14&lt;&gt;$U$15,$U$16=$U$17,RIGHT($U41,3)="2SP"),VLOOKUP(CONCATENATE(LEFT($U41,2),"L"),$R$63:$T$90,3,FALSE),0)-IF(AND($V$16=I$18,$V$14&lt;&gt;$V$15,$V$16=$V$17,RIGHT($V41,3)="2SP"),VLOOKUP(CONCATENATE(LEFT($V41,2),"L"),$R$63:$T$90,3,FALSE),0)-IF(AND($W$16=I$18,$W$14&lt;&gt;$W$15,$W$16=$W$17,RIGHT($W41,3)="2SP"),VLOOKUP(CONCATENATE(LEFT($W41,2),"L"),$R$63:$T$90,3,FALSE),0)-IF(AND($X$16=I$18,$X$14&lt;&gt;$X$15,$X$16=$X$17,RIGHT($X41,3)="2SP"),VLOOKUP(CONCATENATE(LEFT($X41,2),"L"),$R$63:$T$90,3,FALSE),0)-IF(AND($Y$16=I$18,$Y$14&lt;&gt;$Y$15,$Y$16=$Y$17,RIGHT($Y41,3)="2SP"),VLOOKUP(CONCATENATE(LEFT($Y41,2),"L"),$R$63:$T$90,3,FALSE),0),"")</f>
        <v/>
      </c>
      <c r="J41" s="129"/>
      <c r="K41" s="130"/>
      <c r="L41" s="130"/>
      <c r="M41" s="130"/>
      <c r="N41" s="130"/>
      <c r="O41" s="130"/>
      <c r="P41" s="130"/>
      <c r="Q41" s="130"/>
      <c r="R41" s="130"/>
      <c r="S41" s="130"/>
      <c r="T41" s="130"/>
      <c r="U41" s="130"/>
      <c r="V41" s="130"/>
      <c r="W41" s="130"/>
      <c r="X41" s="130"/>
      <c r="Y41" s="130"/>
      <c r="Z41" s="131"/>
      <c r="AA41" s="131"/>
      <c r="AB41" s="132"/>
      <c r="AC41" s="132"/>
      <c r="AD41" s="132"/>
      <c r="AE41" s="133">
        <f t="shared" si="0"/>
        <v>0</v>
      </c>
      <c r="AF41" s="78"/>
    </row>
    <row r="42" spans="1:32" ht="12.95" customHeight="1">
      <c r="A42" s="270">
        <f>IF(AND($K42&lt;&gt;"",$K42&lt;&gt;"--",$K42&lt;&gt;"O3/CP",$K$14=A$18),IF(LEFT($K42,1)="P",VLOOKUP(CONCATENATE(LEFT($K42,2),"H"),$R$63:$T$91,3,FALSE),VLOOKUP($K42,$R$63:$T$91,3,FALSE)))+IF(AND($K42&lt;&gt;"",$K42&lt;&gt;"O3/CP",$K$15=A$18,MID($K42,4,1)="2",$K$15&lt;&gt;$K$14),VLOOKUP(CONCATENATE(LEFT($K42,2),"L"),$R$63:$T$91,3,FALSE),0)+IF(AND($K42="O3/CP",$K$14=A$18),VLOOKUP("O3",$R$63:$T$91,3,FALSE)+VLOOKUP("CP",$R$63:$T$91,3,FALSE),0)+IF(AND($L42&lt;&gt;"",$L42&lt;&gt;"--",$L42&lt;&gt;"O3/CP",$L$14=A$18),IF(LEFT($L42,1)="P",VLOOKUP(CONCATENATE(LEFT($L42,2),"H"),$R$63:$T$91,3,FALSE),VLOOKUP($L42,$R$63:$T$91,3,FALSE)))+IF(AND($L42&lt;&gt;"",$L42&lt;&gt;"O3/CP",$L$15=A$18,MID($L42,4,1)="2",$L$15&lt;&gt;$L$14),VLOOKUP(CONCATENATE(LEFT($L42,2),"L"),$R$63:$T$91,3,FALSE),0)+IF(AND($L42="O3/CP",$L$14=A$18),VLOOKUP("O3",$R$63:$T$91,3,FALSE)+VLOOKUP("CP",$R$63:$T$91,3,FALSE),0)+IF(AND($M42&lt;&gt;"",$M42&lt;&gt;"--",$M42&lt;&gt;"O3/CP",$M$14=A$18),IF(LEFT($M42,1)="P",VLOOKUP(CONCATENATE(LEFT($M42,2),"H"),$R$63:$T$91,3,FALSE),VLOOKUP($M42,$R$63:$T$91,3,FALSE)))+IF(AND($M42&lt;&gt;"",$M42&lt;&gt;"O3/CP",$M$15=A$18,MID($M42,4,1)="2",$M$15&lt;&gt;$M$14),VLOOKUP(CONCATENATE(LEFT($M42,2),"L"),$R$63:$T$91,3,FALSE),0)+IF(AND($M42="O3/CP",$M$14=A$18),VLOOKUP("O3",$R$63:$T$91,3,FALSE)+VLOOKUP("CP",$R$63:$T$91,3,FALSE),0)+IF(AND($N42&lt;&gt;"",$N42&lt;&gt;"--",$N42&lt;&gt;"O3/CP",$N$14=A$18),IF(LEFT($N42,1)="P",VLOOKUP(CONCATENATE(LEFT($N42,2),"H"),$R$63:$T$91,3,FALSE),VLOOKUP($N42,$R$63:$T$91,3,FALSE)))+IF(AND($N42&lt;&gt;"",$N42&lt;&gt;"O3/CP",$N$15=A$18,MID($N42,4,1)="2",$N$15&lt;&gt;$N$14),VLOOKUP(CONCATENATE(LEFT($N42,2),"L"),$R$63:$T$91,3,FALSE),0)+IF(AND($N42="O3/CP",$N$14=A$18),VLOOKUP("O3",$R$63:$T$91,3,FALSE)+VLOOKUP("CP",$R$63:$T$91,3,FALSE),0)+IF(AND($O42&lt;&gt;"",$O42&lt;&gt;"--",$O42&lt;&gt;"O3/CP",$O$14=A$18),IF(LEFT($O42,1)="P",VLOOKUP(CONCATENATE(LEFT($O42,2),"H"),$R$63:$T$91,3,FALSE),VLOOKUP($O42,$R$63:$T$91,3,FALSE)))+IF(AND($O42&lt;&gt;"",$O42&lt;&gt;"O3/CP",$O$15=A$18,MID($O42,4,1)="2",$O$15&lt;&gt;$O$14),VLOOKUP(CONCATENATE(LEFT($O42,2),"L"),$R$63:$T$91,3,FALSE),0)+IF(AND($O42="O3/CP",$O$14=A$18),VLOOKUP("O3",$R$63:$T$91,3,FALSE)+VLOOKUP("CP",$R$63:$T$91,3,FALSE),0)+IF(AND($P42&lt;&gt;"",$P42&lt;&gt;"--",$P42&lt;&gt;"O3/CP",$P$14=A$18),IF(LEFT($P42,1)="P",VLOOKUP(CONCATENATE(LEFT($P42,2),"H"),$R$63:$T$91,3,FALSE),VLOOKUP($P42,$R$63:$T$91,3,FALSE)))+IF(AND($P42&lt;&gt;"",$P42&lt;&gt;"O3/CP",$P$15=A$18,MID($P42,4,1)="2",$P$15&lt;&gt;$P$14),VLOOKUP(CONCATENATE(LEFT($P42,2),"L"),$R$63:$T$91,3,FALSE),0)+IF(AND($P42="O3/CP",$P$14=A$18),VLOOKUP("O3",$R$63:$T$91,3,FALSE)+VLOOKUP("CP",$R$63:$T$91,3,FALSE),0)+IF(AND($Q42&lt;&gt;"",$Q42&lt;&gt;"--",$Q42&lt;&gt;"O3/CP",$Q$14=A$18),IF(LEFT($Q42,1)="P",VLOOKUP(CONCATENATE(LEFT($Q42,2),"H"),$R$63:$T$91,3,FALSE),VLOOKUP($Q42,$R$63:$T$91,3,FALSE)))+IF(AND($Q42&lt;&gt;"",$Q42&lt;&gt;"O3/CP",$Q$15=A$18,MID($Q42,4,1)="2",$Q$15&lt;&gt;$Q$14),VLOOKUP(CONCATENATE(LEFT($Q42,2),"L"),$R$63:$T$91,3,FALSE),0)+IF(AND($Q42="O3/CP",$Q$14=A$18),VLOOKUP("O3",$R$63:$T$91,3,FALSE)+VLOOKUP("CP",$R$63:$T$91,3,FALSE),0)+IF(AND($R42&lt;&gt;"",$R42&lt;&gt;"--",$R42&lt;&gt;"O3/CP",$R$14=A$18),IF(LEFT($R42,1)="P",VLOOKUP(CONCATENATE(LEFT($R42,2),"H"),$R$63:$T$91,3,FALSE),VLOOKUP($R42,$R$63:$T$91,3,FALSE)))+IF(AND($R42&lt;&gt;"",$R42&lt;&gt;"O3/CP",$R$15=A$18,MID($R42,4,1)="2",$R$15&lt;&gt;$R$14),VLOOKUP(CONCATENATE(LEFT($R42,2),"L"),$R$63:$T$91,3,FALSE),0)+IF(AND($R42="O3/CP",$R$14=A$18),VLOOKUP("O3",$R$63:$T$91,3,FALSE)+VLOOKUP("CP",$R$63:$T$91,3,FALSE),0)+IF(AND($S42&lt;&gt;"",$S42&lt;&gt;"--",$S42&lt;&gt;"O3/CP",$S$14=A$18),IF(LEFT($S42,1)="P",VLOOKUP(CONCATENATE(LEFT($S42,2),"H"),$R$63:$T$91,3,FALSE),VLOOKUP($S42,$R$63:$T$91,3,FALSE)))+IF(AND($S42&lt;&gt;"",$S42&lt;&gt;"O3/CP",$S$15=A$18,MID($S42,4,1)="2",$S$15&lt;&gt;$S$14),VLOOKUP(CONCATENATE(LEFT($S42,2),"L"),$R$63:$T$91,3,FALSE),0)+IF(AND($S42="O3/CP",$S$14=A$18),VLOOKUP("O3",$R$63:$T$91,3,FALSE)+VLOOKUP("CP",$R$63:$T$91,3,FALSE),0)+IF(AND($T42&lt;&gt;"",$T42&lt;&gt;"--",$T42&lt;&gt;"O3/CP",$T$14=A$18),IF(LEFT($T42,1)="P",VLOOKUP(CONCATENATE(LEFT($T42,2),"H"),$R$63:$T$91,3,FALSE),VLOOKUP($T42,$R$63:$T$91,3,FALSE)))+IF(AND($T42&lt;&gt;"",$T42&lt;&gt;"O3/CP",$T$15=A$18,MID($T42,4,1)="2",$T$15&lt;&gt;$T$14),VLOOKUP(CONCATENATE(LEFT($T42,2),"L"),$R$63:$T$91,3,FALSE),0)+IF(AND($T42="O3/CP",$T$14=A$18),VLOOKUP("O3",$R$63:$T$91,3,FALSE)+VLOOKUP("CP",$R$63:$T$91,3,FALSE),0)+IF(AND($U42&lt;&gt;"",$U42&lt;&gt;"--",$U42&lt;&gt;"O3/CP",$U$14=A$18),IF(LEFT($U42,1)="P",VLOOKUP(CONCATENATE(LEFT($U42,2),"H"),$R$63:$T$91,3,FALSE),VLOOKUP($U42,$R$63:$T$91,3,FALSE)))+IF(AND($U42&lt;&gt;"",$U42&lt;&gt;"O3/CP",$U$15=A$18,MID($U42,4,1)="2",$U$15&lt;&gt;$U$14),VLOOKUP(CONCATENATE(LEFT($U42,2),"L"),$R$63:$T$91,3,FALSE),0)+IF(AND($U42="O3/CP",$T$14=A$18),VLOOKUP("O3",$R$63:$T$91,3,FALSE)+VLOOKUP("CP",$R$63:$T$91,3,FALSE),0)+IF(AND($V42&lt;&gt;"",$V42&lt;&gt;"--",$V42&lt;&gt;"O3/CP",$V$14=A$18),IF(LEFT($V42,1)="P",VLOOKUP(CONCATENATE(LEFT($V42,2),"H"),$R$63:$T$91,3,FALSE),VLOOKUP($V42,$R$63:$T$91,3,FALSE)))+IF(AND($V42&lt;&gt;"",$V42&lt;&gt;"O3/CP",$V$15=A$18,MID($V42,4,1)="2",$V$15&lt;&gt;$V$14),VLOOKUP(CONCATENATE(LEFT($V42,2),"L"),$R$63:$T$91,3,FALSE),0)+IF(AND($V42="O3/CP",$V$14=A$18),VLOOKUP("O3",$R$63:$T$91,3,FALSE)+VLOOKUP("CP",$R$63:$T$91,3,FALSE),0)+IF(AND($W42&lt;&gt;"",$W42&lt;&gt;"--",$W42&lt;&gt;"O3/CP",$W$14=A$18),IF(LEFT($W42,1)="P",VLOOKUP(CONCATENATE(LEFT($W42,2),"H"),$R$63:$T$91,3,FALSE),VLOOKUP($W42,$R$63:$T$91,3,FALSE)))+IF(AND($W42&lt;&gt;"",$W42&lt;&gt;"O3/CP",$W$15=A$18,MID($W42,4,1)="2",$W$15&lt;&gt;$W$14),VLOOKUP(CONCATENATE(LEFT($W42,2),"L"),$R$63:$T$91,3,FALSE),0)+IF(AND($W42="O3/CP",$W$14=A$18),VLOOKUP("O3",$R$63:$T$91,3,FALSE)+VLOOKUP("CP",$R$63:$T$91,3,FALSE),0)+IF(AND($X42&lt;&gt;"",$X42&lt;&gt;"--",$X42&lt;&gt;"O3/CP",$X$14=A$18),IF(LEFT($X42,1)="P",VLOOKUP(CONCATENATE(LEFT($X42,2),"H"),$R$63:$T$91,3,FALSE),VLOOKUP($X42,$R$63:$T$91,3,FALSE)))+IF(AND($X42&lt;&gt;"",$X42&lt;&gt;"O3/CP",$X$15=A$18,MID($X42,4,1)="2",$X$15&lt;&gt;$X$14),VLOOKUP(CONCATENATE(LEFT($X42,2),"L"),$R$63:$T$91,3,FALSE),0)+IF(AND($X42="O3/CP",$X$14=A$18),VLOOKUP("O3",$R$63:$T$91,3,FALSE)+VLOOKUP("CP",$R$63:$T$91,3,FALSE),0)+IF(AND($Y42&lt;&gt;"",$Y42&lt;&gt;"--",$Y42&lt;&gt;"O3/CP",$Y$14=A$18),IF(LEFT($Y42,1)="P",VLOOKUP(CONCATENATE(LEFT($Y42,2),"H"),$R$63:$T$91,3,FALSE),VLOOKUP($Y42,$R$63:$T$91,3,FALSE)))+IF(AND($Y42&lt;&gt;"",$Y42&lt;&gt;"O3/CP",$Y$15=A$18,MID($Y42,4,1)="2",$Y$15&lt;&gt;$Y$14),VLOOKUP(CONCATENATE(LEFT($Y42,2),"L"),$R$63:$T$91,3,FALSE),0)+IF(AND($Y42="O3/CP",$Y$14=A$18),VLOOKUP("O3",$R$63:$T$91,3,FALSE)+VLOOKUP("CP",$R$63:$T$91,3,FALSE),0)+IF(AND($K$6="CE",'[3]Supply Attribution'!$G$20=A$18),LEFT($S$90,2),0)+IF(AND($X$86&lt;&gt;"Not Set",$X$87=A$18),$X$86,0)</f>
        <v>0</v>
      </c>
      <c r="B42" s="269">
        <f>IF(AND($K42&lt;&gt;"",$K42&lt;&gt;"--",$K42&lt;&gt;"O3/CP",$K$14=B$18),IF(LEFT($K42,1)="P",VLOOKUP(CONCATENATE(LEFT($K42,2),"H"),$R$63:$T$91,3,FALSE),VLOOKUP($K42,$R$63:$T$91,3,FALSE)))+IF(AND($K42&lt;&gt;"",$K42&lt;&gt;"O3/CP",$K$15=B$18,MID($K42,4,1)="2",$K$15&lt;&gt;$K$14),VLOOKUP(CONCATENATE(LEFT($K42,2),"L"),$R$63:$T$91,3,FALSE),0)+IF(AND($K42="O3/CP",$K$14=B$18),VLOOKUP("O3",$R$63:$T$91,3,FALSE)+VLOOKUP("CP",$R$63:$T$91,3,FALSE),0)+IF(AND($L42&lt;&gt;"",$L42&lt;&gt;"--",$L42&lt;&gt;"O3/CP",$L$14=B$18),IF(LEFT($L42,1)="P",VLOOKUP(CONCATENATE(LEFT($L42,2),"H"),$R$63:$T$91,3,FALSE),VLOOKUP($L42,$R$63:$T$91,3,FALSE)))+IF(AND($L42&lt;&gt;"",$L42&lt;&gt;"O3/CP",$L$15=B$18,MID($L42,4,1)="2",$L$15&lt;&gt;$L$14),VLOOKUP(CONCATENATE(LEFT($L42,2),"L"),$R$63:$T$91,3,FALSE),0)+IF(AND($L42="O3/CP",$L$14=B$18),VLOOKUP("O3",$R$63:$T$91,3,FALSE)+VLOOKUP("CP",$R$63:$T$91,3,FALSE),0)+IF(AND($M42&lt;&gt;"",$M42&lt;&gt;"--",$M42&lt;&gt;"O3/CP",$M$14=B$18),IF(LEFT($M42,1)="P",VLOOKUP(CONCATENATE(LEFT($M42,2),"H"),$R$63:$T$91,3,FALSE),VLOOKUP($M42,$R$63:$T$91,3,FALSE)))+IF(AND($M42&lt;&gt;"",$M42&lt;&gt;"O3/CP",$M$15=B$18,MID($M42,4,1)="2",$M$15&lt;&gt;$M$14),VLOOKUP(CONCATENATE(LEFT($M42,2),"L"),$R$63:$T$91,3,FALSE),0)+IF(AND($M42="O3/CP",$M$14=B$18),VLOOKUP("O3",$R$63:$T$91,3,FALSE)+VLOOKUP("CP",$R$63:$T$91,3,FALSE),0)+IF(AND($N42&lt;&gt;"",$N42&lt;&gt;"--",$N42&lt;&gt;"O3/CP",$N$14=B$18),IF(LEFT($N42,1)="P",VLOOKUP(CONCATENATE(LEFT($N42,2),"H"),$R$63:$T$91,3,FALSE),VLOOKUP($N42,$R$63:$T$91,3,FALSE)))+IF(AND($N42&lt;&gt;"",$N42&lt;&gt;"O3/CP",$N$15=B$18,MID($N42,4,1)="2",$N$15&lt;&gt;$N$14),VLOOKUP(CONCATENATE(LEFT($N42,2),"L"),$R$63:$T$91,3,FALSE),0)+IF(AND($N42="O3/CP",$N$14=B$18),VLOOKUP("O3",$R$63:$T$91,3,FALSE)+VLOOKUP("CP",$R$63:$T$91,3,FALSE),0)+IF(AND($O42&lt;&gt;"",$O42&lt;&gt;"--",$O42&lt;&gt;"O3/CP",$O$14=B$18),IF(LEFT($O42,1)="P",VLOOKUP(CONCATENATE(LEFT($O42,2),"H"),$R$63:$T$91,3,FALSE),VLOOKUP($O42,$R$63:$T$91,3,FALSE)))+IF(AND($O42&lt;&gt;"",$O42&lt;&gt;"O3/CP",$O$15=B$18,MID($O42,4,1)="2",$O$15&lt;&gt;$O$14),VLOOKUP(CONCATENATE(LEFT($O42,2),"L"),$R$63:$T$91,3,FALSE),0)+IF(AND($O42="O3/CP",$O$14=B$18),VLOOKUP("O3",$R$63:$T$91,3,FALSE)+VLOOKUP("CP",$R$63:$T$91,3,FALSE),0)+IF(AND($P42&lt;&gt;"",$P42&lt;&gt;"--",$P42&lt;&gt;"O3/CP",$P$14=B$18),IF(LEFT($P42,1)="P",VLOOKUP(CONCATENATE(LEFT($P42,2),"H"),$R$63:$T$91,3,FALSE),VLOOKUP($P42,$R$63:$T$91,3,FALSE)))+IF(AND($P42&lt;&gt;"",$P42&lt;&gt;"O3/CP",$P$15=B$18,MID($P42,4,1)="2",$P$15&lt;&gt;$P$14),VLOOKUP(CONCATENATE(LEFT($P42,2),"L"),$R$63:$T$91,3,FALSE),0)+IF(AND($P42="O3/CP",$P$14=B$18),VLOOKUP("O3",$R$63:$T$91,3,FALSE)+VLOOKUP("CP",$R$63:$T$91,3,FALSE),0)+IF(AND($Q42&lt;&gt;"",$Q42&lt;&gt;"--",$Q42&lt;&gt;"O3/CP",$Q$14=B$18),IF(LEFT($Q42,1)="P",VLOOKUP(CONCATENATE(LEFT($Q42,2),"H"),$R$63:$T$91,3,FALSE),VLOOKUP($Q42,$R$63:$T$91,3,FALSE)))+IF(AND($Q42&lt;&gt;"",$Q42&lt;&gt;"O3/CP",$Q$15=B$18,MID($Q42,4,1)="2",$Q$15&lt;&gt;$Q$14),VLOOKUP(CONCATENATE(LEFT($Q42,2),"L"),$R$63:$T$91,3,FALSE),0)+IF(AND($Q42="O3/CP",$Q$14=B$18),VLOOKUP("O3",$R$63:$T$91,3,FALSE)+VLOOKUP("CP",$R$63:$T$91,3,FALSE),0)+IF(AND($R42&lt;&gt;"",$R42&lt;&gt;"--",$R42&lt;&gt;"O3/CP",$R$14=B$18),IF(LEFT($R42,1)="P",VLOOKUP(CONCATENATE(LEFT($R42,2),"H"),$R$63:$T$91,3,FALSE),VLOOKUP($R42,$R$63:$T$91,3,FALSE)))+IF(AND($R42&lt;&gt;"",$R42&lt;&gt;"O3/CP",$R$15=B$18,MID($R42,4,1)="2",$R$15&lt;&gt;$R$14),VLOOKUP(CONCATENATE(LEFT($R42,2),"L"),$R$63:$T$91,3,FALSE),0)+IF(AND($R42="O3/CP",$R$14=B$18),VLOOKUP("O3",$R$63:$T$91,3,FALSE)+VLOOKUP("CP",$R$63:$T$91,3,FALSE),0)+IF(AND($S42&lt;&gt;"",$S42&lt;&gt;"--",$S42&lt;&gt;"O3/CP",$S$14=B$18),IF(LEFT($S42,1)="P",VLOOKUP(CONCATENATE(LEFT($S42,2),"H"),$R$63:$T$91,3,FALSE),VLOOKUP($S42,$R$63:$T$91,3,FALSE)))+IF(AND($S42&lt;&gt;"",$S42&lt;&gt;"O3/CP",$S$15=B$18,MID($S42,4,1)="2",$S$15&lt;&gt;$S$14),VLOOKUP(CONCATENATE(LEFT($S42,2),"L"),$R$63:$T$91,3,FALSE),0)+IF(AND($S42="O3/CP",$S$14=B$18),VLOOKUP("O3",$R$63:$T$91,3,FALSE)+VLOOKUP("CP",$R$63:$T$91,3,FALSE),0)+IF(AND($T42&lt;&gt;"",$T42&lt;&gt;"--",$T42&lt;&gt;"O3/CP",$T$14=B$18),IF(LEFT($T42,1)="P",VLOOKUP(CONCATENATE(LEFT($T42,2),"H"),$R$63:$T$91,3,FALSE),VLOOKUP($T42,$R$63:$T$91,3,FALSE)))+IF(AND($T42&lt;&gt;"",$T42&lt;&gt;"O3/CP",$T$15=B$18,MID($T42,4,1)="2",$T$15&lt;&gt;$T$14),VLOOKUP(CONCATENATE(LEFT($T42,2),"L"),$R$63:$T$91,3,FALSE),0)+IF(AND($T42="O3/CP",$T$14=B$18),VLOOKUP("O3",$R$63:$T$91,3,FALSE)+VLOOKUP("CP",$R$63:$T$91,3,FALSE),0)+IF(AND($U42&lt;&gt;"",$U42&lt;&gt;"--",$U42&lt;&gt;"O3/CP",$U$14=B$18),IF(LEFT($U42,1)="P",VLOOKUP(CONCATENATE(LEFT($U42,2),"H"),$R$63:$T$91,3,FALSE),VLOOKUP($U42,$R$63:$T$91,3,FALSE)))+IF(AND($U42&lt;&gt;"",$U42&lt;&gt;"O3/CP",$U$15=B$18,MID($U42,4,1)="2",$U$15&lt;&gt;$U$14),VLOOKUP(CONCATENATE(LEFT($U42,2),"L"),$R$63:$T$91,3,FALSE),0)+IF(AND($U42="O3/CP",$T$14=B$18),VLOOKUP("O3",$R$63:$T$91,3,FALSE)+VLOOKUP("CP",$R$63:$T$91,3,FALSE),0)+IF(AND($V42&lt;&gt;"",$V42&lt;&gt;"--",$V42&lt;&gt;"O3/CP",$V$14=B$18),IF(LEFT($V42,1)="P",VLOOKUP(CONCATENATE(LEFT($V42,2),"H"),$R$63:$T$91,3,FALSE),VLOOKUP($V42,$R$63:$T$91,3,FALSE)))+IF(AND($V42&lt;&gt;"",$V42&lt;&gt;"O3/CP",$V$15=B$18,MID($V42,4,1)="2",$V$15&lt;&gt;$V$14),VLOOKUP(CONCATENATE(LEFT($V42,2),"L"),$R$63:$T$91,3,FALSE),0)+IF(AND($V42="O3/CP",$V$14=B$18),VLOOKUP("O3",$R$63:$T$91,3,FALSE)+VLOOKUP("CP",$R$63:$T$91,3,FALSE),0)+IF(AND($W42&lt;&gt;"",$W42&lt;&gt;"--",$W42&lt;&gt;"O3/CP",$W$14=B$18),IF(LEFT($W42,1)="P",VLOOKUP(CONCATENATE(LEFT($W42,2),"H"),$R$63:$T$91,3,FALSE),VLOOKUP($W42,$R$63:$T$91,3,FALSE)))+IF(AND($W42&lt;&gt;"",$W42&lt;&gt;"O3/CP",$W$15=B$18,MID($W42,4,1)="2",$W$15&lt;&gt;$W$14),VLOOKUP(CONCATENATE(LEFT($W42,2),"L"),$R$63:$T$91,3,FALSE),0)+IF(AND($W42="O3/CP",$W$14=B$18),VLOOKUP("O3",$R$63:$T$91,3,FALSE)+VLOOKUP("CP",$R$63:$T$91,3,FALSE),0)+IF(AND($X42&lt;&gt;"",$X42&lt;&gt;"--",$X42&lt;&gt;"O3/CP",$X$14=B$18),IF(LEFT($X42,1)="P",VLOOKUP(CONCATENATE(LEFT($X42,2),"H"),$R$63:$T$91,3,FALSE),VLOOKUP($X42,$R$63:$T$91,3,FALSE)))+IF(AND($X42&lt;&gt;"",$X42&lt;&gt;"O3/CP",$X$15=B$18,MID($X42,4,1)="2",$X$15&lt;&gt;$X$14),VLOOKUP(CONCATENATE(LEFT($X42,2),"L"),$R$63:$T$91,3,FALSE),0)+IF(AND($X42="O3/CP",$X$14=B$18),VLOOKUP("O3",$R$63:$T$91,3,FALSE)+VLOOKUP("CP",$R$63:$T$91,3,FALSE),0)+IF(AND($Y42&lt;&gt;"",$Y42&lt;&gt;"--",$Y42&lt;&gt;"O3/CP",$Y$14=B$18),IF(LEFT($Y42,1)="P",VLOOKUP(CONCATENATE(LEFT($Y42,2),"H"),$R$63:$T$91,3,FALSE),VLOOKUP($Y42,$R$63:$T$91,3,FALSE)))+IF(AND($Y42&lt;&gt;"",$Y42&lt;&gt;"O3/CP",$Y$15=B$18,MID($Y42,4,1)="2",$Y$15&lt;&gt;$Y$14),VLOOKUP(CONCATENATE(LEFT($Y42,2),"L"),$R$63:$T$91,3,FALSE),0)+IF(AND($Y42="O3/CP",$Y$14=B$18),VLOOKUP("O3",$R$63:$T$91,3,FALSE)+VLOOKUP("CP",$R$63:$T$91,3,FALSE),0)+IF(AND($K$6="CE",'[3]Supply Attribution'!$G$20=B$18),LEFT($S$90,2),0)+IF(AND($X$86&lt;&gt;"Not Set",$X$87=B$18),$X$86,0)</f>
        <v>0</v>
      </c>
      <c r="C42" s="269">
        <f>IF(AND($K42&lt;&gt;"",$K42&lt;&gt;"--",$K42&lt;&gt;"O3/CP",$K$14=C$18),IF(LEFT($K42,1)="P",VLOOKUP(CONCATENATE(LEFT($K42,2),"H"),$R$63:$T$91,3,FALSE),VLOOKUP($K42,$R$63:$T$91,3,FALSE)))+IF(AND($K42&lt;&gt;"",$K42&lt;&gt;"O3/CP",$K$15=C$18,MID($K42,4,1)="2",$K$15&lt;&gt;$K$14),VLOOKUP(CONCATENATE(LEFT($K42,2),"L"),$R$63:$T$91,3,FALSE),0)+IF(AND($K42="O3/CP",$K$14=C$18),VLOOKUP("O3",$R$63:$T$91,3,FALSE)+VLOOKUP("CP",$R$63:$T$91,3,FALSE),0)+IF(AND($L42&lt;&gt;"",$L42&lt;&gt;"--",$L42&lt;&gt;"O3/CP",$L$14=C$18),IF(LEFT($L42,1)="P",VLOOKUP(CONCATENATE(LEFT($L42,2),"H"),$R$63:$T$91,3,FALSE),VLOOKUP($L42,$R$63:$T$91,3,FALSE)))+IF(AND($L42&lt;&gt;"",$L42&lt;&gt;"O3/CP",$L$15=C$18,MID($L42,4,1)="2",$L$15&lt;&gt;$L$14),VLOOKUP(CONCATENATE(LEFT($L42,2),"L"),$R$63:$T$91,3,FALSE),0)+IF(AND($L42="O3/CP",$L$14=C$18),VLOOKUP("O3",$R$63:$T$91,3,FALSE)+VLOOKUP("CP",$R$63:$T$91,3,FALSE),0)+IF(AND($M42&lt;&gt;"",$M42&lt;&gt;"--",$M42&lt;&gt;"O3/CP",$M$14=C$18),IF(LEFT($M42,1)="P",VLOOKUP(CONCATENATE(LEFT($M42,2),"H"),$R$63:$T$91,3,FALSE),VLOOKUP($M42,$R$63:$T$91,3,FALSE)))+IF(AND($M42&lt;&gt;"",$M42&lt;&gt;"O3/CP",$M$15=C$18,MID($M42,4,1)="2",$M$15&lt;&gt;$M$14),VLOOKUP(CONCATENATE(LEFT($M42,2),"L"),$R$63:$T$91,3,FALSE),0)+IF(AND($M42="O3/CP",$M$14=C$18),VLOOKUP("O3",$R$63:$T$91,3,FALSE)+VLOOKUP("CP",$R$63:$T$91,3,FALSE),0)+IF(AND($N42&lt;&gt;"",$N42&lt;&gt;"--",$N42&lt;&gt;"O3/CP",$N$14=C$18),IF(LEFT($N42,1)="P",VLOOKUP(CONCATENATE(LEFT($N42,2),"H"),$R$63:$T$91,3,FALSE),VLOOKUP($N42,$R$63:$T$91,3,FALSE)))+IF(AND($N42&lt;&gt;"",$N42&lt;&gt;"O3/CP",$N$15=C$18,MID($N42,4,1)="2",$N$15&lt;&gt;$N$14),VLOOKUP(CONCATENATE(LEFT($N42,2),"L"),$R$63:$T$91,3,FALSE),0)+IF(AND($N42="O3/CP",$N$14=C$18),VLOOKUP("O3",$R$63:$T$91,3,FALSE)+VLOOKUP("CP",$R$63:$T$91,3,FALSE),0)+IF(AND($O42&lt;&gt;"",$O42&lt;&gt;"--",$O42&lt;&gt;"O3/CP",$O$14=C$18),IF(LEFT($O42,1)="P",VLOOKUP(CONCATENATE(LEFT($O42,2),"H"),$R$63:$T$91,3,FALSE),VLOOKUP($O42,$R$63:$T$91,3,FALSE)))+IF(AND($O42&lt;&gt;"",$O42&lt;&gt;"O3/CP",$O$15=C$18,MID($O42,4,1)="2",$O$15&lt;&gt;$O$14),VLOOKUP(CONCATENATE(LEFT($O42,2),"L"),$R$63:$T$91,3,FALSE),0)+IF(AND($O42="O3/CP",$O$14=C$18),VLOOKUP("O3",$R$63:$T$91,3,FALSE)+VLOOKUP("CP",$R$63:$T$91,3,FALSE),0)+IF(AND($P42&lt;&gt;"",$P42&lt;&gt;"--",$P42&lt;&gt;"O3/CP",$P$14=C$18),IF(LEFT($P42,1)="P",VLOOKUP(CONCATENATE(LEFT($P42,2),"H"),$R$63:$T$91,3,FALSE),VLOOKUP($P42,$R$63:$T$91,3,FALSE)))+IF(AND($P42&lt;&gt;"",$P42&lt;&gt;"O3/CP",$P$15=C$18,MID($P42,4,1)="2",$P$15&lt;&gt;$P$14),VLOOKUP(CONCATENATE(LEFT($P42,2),"L"),$R$63:$T$91,3,FALSE),0)+IF(AND($P42="O3/CP",$P$14=C$18),VLOOKUP("O3",$R$63:$T$91,3,FALSE)+VLOOKUP("CP",$R$63:$T$91,3,FALSE),0)+IF(AND($Q42&lt;&gt;"",$Q42&lt;&gt;"--",$Q42&lt;&gt;"O3/CP",$Q$14=C$18),IF(LEFT($Q42,1)="P",VLOOKUP(CONCATENATE(LEFT($Q42,2),"H"),$R$63:$T$91,3,FALSE),VLOOKUP($Q42,$R$63:$T$91,3,FALSE)))+IF(AND($Q42&lt;&gt;"",$Q42&lt;&gt;"O3/CP",$Q$15=C$18,MID($Q42,4,1)="2",$Q$15&lt;&gt;$Q$14),VLOOKUP(CONCATENATE(LEFT($Q42,2),"L"),$R$63:$T$91,3,FALSE),0)+IF(AND($Q42="O3/CP",$Q$14=C$18),VLOOKUP("O3",$R$63:$T$91,3,FALSE)+VLOOKUP("CP",$R$63:$T$91,3,FALSE),0)+IF(AND($R42&lt;&gt;"",$R42&lt;&gt;"--",$R42&lt;&gt;"O3/CP",$R$14=C$18),IF(LEFT($R42,1)="P",VLOOKUP(CONCATENATE(LEFT($R42,2),"H"),$R$63:$T$91,3,FALSE),VLOOKUP($R42,$R$63:$T$91,3,FALSE)))+IF(AND($R42&lt;&gt;"",$R42&lt;&gt;"O3/CP",$R$15=C$18,MID($R42,4,1)="2",$R$15&lt;&gt;$R$14),VLOOKUP(CONCATENATE(LEFT($R42,2),"L"),$R$63:$T$91,3,FALSE),0)+IF(AND($R42="O3/CP",$R$14=C$18),VLOOKUP("O3",$R$63:$T$91,3,FALSE)+VLOOKUP("CP",$R$63:$T$91,3,FALSE),0)+IF(AND($S42&lt;&gt;"",$S42&lt;&gt;"--",$S42&lt;&gt;"O3/CP",$S$14=C$18),IF(LEFT($S42,1)="P",VLOOKUP(CONCATENATE(LEFT($S42,2),"H"),$R$63:$T$91,3,FALSE),VLOOKUP($S42,$R$63:$T$91,3,FALSE)))+IF(AND($S42&lt;&gt;"",$S42&lt;&gt;"O3/CP",$S$15=C$18,MID($S42,4,1)="2",$S$15&lt;&gt;$S$14),VLOOKUP(CONCATENATE(LEFT($S42,2),"L"),$R$63:$T$91,3,FALSE),0)+IF(AND($S42="O3/CP",$S$14=C$18),VLOOKUP("O3",$R$63:$T$91,3,FALSE)+VLOOKUP("CP",$R$63:$T$91,3,FALSE),0)+IF(AND($T42&lt;&gt;"",$T42&lt;&gt;"--",$T42&lt;&gt;"O3/CP",$T$14=C$18),IF(LEFT($T42,1)="P",VLOOKUP(CONCATENATE(LEFT($T42,2),"H"),$R$63:$T$91,3,FALSE),VLOOKUP($T42,$R$63:$T$91,3,FALSE)))+IF(AND($T42&lt;&gt;"",$T42&lt;&gt;"O3/CP",$T$15=C$18,MID($T42,4,1)="2",$T$15&lt;&gt;$T$14),VLOOKUP(CONCATENATE(LEFT($T42,2),"L"),$R$63:$T$91,3,FALSE),0)+IF(AND($T42="O3/CP",$T$14=C$18),VLOOKUP("O3",$R$63:$T$91,3,FALSE)+VLOOKUP("CP",$R$63:$T$91,3,FALSE),0)+IF(AND($U42&lt;&gt;"",$U42&lt;&gt;"--",$U42&lt;&gt;"O3/CP",$U$14=C$18),IF(LEFT($U42,1)="P",VLOOKUP(CONCATENATE(LEFT($U42,2),"H"),$R$63:$T$91,3,FALSE),VLOOKUP($U42,$R$63:$T$91,3,FALSE)))+IF(AND($U42&lt;&gt;"",$U42&lt;&gt;"O3/CP",$U$15=C$18,MID($U42,4,1)="2",$U$15&lt;&gt;$U$14),VLOOKUP(CONCATENATE(LEFT($U42,2),"L"),$R$63:$T$91,3,FALSE),0)+IF(AND($U42="O3/CP",$T$14=C$18),VLOOKUP("O3",$R$63:$T$91,3,FALSE)+VLOOKUP("CP",$R$63:$T$91,3,FALSE),0)+IF(AND($V42&lt;&gt;"",$V42&lt;&gt;"--",$V42&lt;&gt;"O3/CP",$V$14=C$18),IF(LEFT($V42,1)="P",VLOOKUP(CONCATENATE(LEFT($V42,2),"H"),$R$63:$T$91,3,FALSE),VLOOKUP($V42,$R$63:$T$91,3,FALSE)))+IF(AND($V42&lt;&gt;"",$V42&lt;&gt;"O3/CP",$V$15=C$18,MID($V42,4,1)="2",$V$15&lt;&gt;$V$14),VLOOKUP(CONCATENATE(LEFT($V42,2),"L"),$R$63:$T$91,3,FALSE),0)+IF(AND($V42="O3/CP",$V$14=C$18),VLOOKUP("O3",$R$63:$T$91,3,FALSE)+VLOOKUP("CP",$R$63:$T$91,3,FALSE),0)+IF(AND($W42&lt;&gt;"",$W42&lt;&gt;"--",$W42&lt;&gt;"O3/CP",$W$14=C$18),IF(LEFT($W42,1)="P",VLOOKUP(CONCATENATE(LEFT($W42,2),"H"),$R$63:$T$91,3,FALSE),VLOOKUP($W42,$R$63:$T$91,3,FALSE)))+IF(AND($W42&lt;&gt;"",$W42&lt;&gt;"O3/CP",$W$15=C$18,MID($W42,4,1)="2",$W$15&lt;&gt;$W$14),VLOOKUP(CONCATENATE(LEFT($W42,2),"L"),$R$63:$T$91,3,FALSE),0)+IF(AND($W42="O3/CP",$W$14=C$18),VLOOKUP("O3",$R$63:$T$91,3,FALSE)+VLOOKUP("CP",$R$63:$T$91,3,FALSE),0)+IF(AND($X42&lt;&gt;"",$X42&lt;&gt;"--",$X42&lt;&gt;"O3/CP",$X$14=C$18),IF(LEFT($X42,1)="P",VLOOKUP(CONCATENATE(LEFT($X42,2),"H"),$R$63:$T$91,3,FALSE),VLOOKUP($X42,$R$63:$T$91,3,FALSE)))+IF(AND($X42&lt;&gt;"",$X42&lt;&gt;"O3/CP",$X$15=C$18,MID($X42,4,1)="2",$X$15&lt;&gt;$X$14),VLOOKUP(CONCATENATE(LEFT($X42,2),"L"),$R$63:$T$91,3,FALSE),0)+IF(AND($X42="O3/CP",$X$14=C$18),VLOOKUP("O3",$R$63:$T$91,3,FALSE)+VLOOKUP("CP",$R$63:$T$91,3,FALSE),0)+IF(AND($Y42&lt;&gt;"",$Y42&lt;&gt;"--",$Y42&lt;&gt;"O3/CP",$Y$14=C$18),IF(LEFT($Y42,1)="P",VLOOKUP(CONCATENATE(LEFT($Y42,2),"H"),$R$63:$T$91,3,FALSE),VLOOKUP($Y42,$R$63:$T$91,3,FALSE)))+IF(AND($Y42&lt;&gt;"",$Y42&lt;&gt;"O3/CP",$Y$15=C$18,MID($Y42,4,1)="2",$Y$15&lt;&gt;$Y$14),VLOOKUP(CONCATENATE(LEFT($Y42,2),"L"),$R$63:$T$91,3,FALSE),0)+IF(AND($Y42="O3/CP",$Y$14=C$18),VLOOKUP("O3",$R$63:$T$91,3,FALSE)+VLOOKUP("CP",$R$63:$T$91,3,FALSE),0)+IF(AND($K$6="CE",'[3]Supply Attribution'!$G$20=C$18),LEFT($S$90,2),0)+IF(AND($X$86&lt;&gt;"Not Set",$X$87=C$18),$X$86,0)</f>
        <v>0</v>
      </c>
      <c r="D42" s="269">
        <f>IF(AND($K42&lt;&gt;"",$K42&lt;&gt;"--",$K42&lt;&gt;"O3/CP",$K$14=D$18),IF(LEFT($K42,1)="P",VLOOKUP(CONCATENATE(LEFT($K42,2),"H"),$R$63:$T$91,3,FALSE),VLOOKUP($K42,$R$63:$T$91,3,FALSE)))+IF(AND($K42&lt;&gt;"",$K42&lt;&gt;"O3/CP",$K$15=D$18,MID($K42,4,1)="2",$K$15&lt;&gt;$K$14),VLOOKUP(CONCATENATE(LEFT($K42,2),"L"),$R$63:$T$91,3,FALSE),0)+IF(AND($K42="O3/CP",$K$14=D$18),VLOOKUP("O3",$R$63:$T$91,3,FALSE)+VLOOKUP("CP",$R$63:$T$91,3,FALSE),0)+IF(AND($L42&lt;&gt;"",$L42&lt;&gt;"--",$L42&lt;&gt;"O3/CP",$L$14=D$18),IF(LEFT($L42,1)="P",VLOOKUP(CONCATENATE(LEFT($L42,2),"H"),$R$63:$T$91,3,FALSE),VLOOKUP($L42,$R$63:$T$91,3,FALSE)))+IF(AND($L42&lt;&gt;"",$L42&lt;&gt;"O3/CP",$L$15=D$18,MID($L42,4,1)="2",$L$15&lt;&gt;$L$14),VLOOKUP(CONCATENATE(LEFT($L42,2),"L"),$R$63:$T$91,3,FALSE),0)+IF(AND($L42="O3/CP",$L$14=D$18),VLOOKUP("O3",$R$63:$T$91,3,FALSE)+VLOOKUP("CP",$R$63:$T$91,3,FALSE),0)+IF(AND($M42&lt;&gt;"",$M42&lt;&gt;"--",$M42&lt;&gt;"O3/CP",$M$14=D$18),IF(LEFT($M42,1)="P",VLOOKUP(CONCATENATE(LEFT($M42,2),"H"),$R$63:$T$91,3,FALSE),VLOOKUP($M42,$R$63:$T$91,3,FALSE)))+IF(AND($M42&lt;&gt;"",$M42&lt;&gt;"O3/CP",$M$15=D$18,MID($M42,4,1)="2",$M$15&lt;&gt;$M$14),VLOOKUP(CONCATENATE(LEFT($M42,2),"L"),$R$63:$T$91,3,FALSE),0)+IF(AND($M42="O3/CP",$M$14=D$18),VLOOKUP("O3",$R$63:$T$91,3,FALSE)+VLOOKUP("CP",$R$63:$T$91,3,FALSE),0)+IF(AND($N42&lt;&gt;"",$N42&lt;&gt;"--",$N42&lt;&gt;"O3/CP",$N$14=D$18),IF(LEFT($N42,1)="P",VLOOKUP(CONCATENATE(LEFT($N42,2),"H"),$R$63:$T$91,3,FALSE),VLOOKUP($N42,$R$63:$T$91,3,FALSE)))+IF(AND($N42&lt;&gt;"",$N42&lt;&gt;"O3/CP",$N$15=D$18,MID($N42,4,1)="2",$N$15&lt;&gt;$N$14),VLOOKUP(CONCATENATE(LEFT($N42,2),"L"),$R$63:$T$91,3,FALSE),0)+IF(AND($N42="O3/CP",$N$14=D$18),VLOOKUP("O3",$R$63:$T$91,3,FALSE)+VLOOKUP("CP",$R$63:$T$91,3,FALSE),0)+IF(AND($O42&lt;&gt;"",$O42&lt;&gt;"--",$O42&lt;&gt;"O3/CP",$O$14=D$18),IF(LEFT($O42,1)="P",VLOOKUP(CONCATENATE(LEFT($O42,2),"H"),$R$63:$T$91,3,FALSE),VLOOKUP($O42,$R$63:$T$91,3,FALSE)))+IF(AND($O42&lt;&gt;"",$O42&lt;&gt;"O3/CP",$O$15=D$18,MID($O42,4,1)="2",$O$15&lt;&gt;$O$14),VLOOKUP(CONCATENATE(LEFT($O42,2),"L"),$R$63:$T$91,3,FALSE),0)+IF(AND($O42="O3/CP",$O$14=D$18),VLOOKUP("O3",$R$63:$T$91,3,FALSE)+VLOOKUP("CP",$R$63:$T$91,3,FALSE),0)+IF(AND($P42&lt;&gt;"",$P42&lt;&gt;"--",$P42&lt;&gt;"O3/CP",$P$14=D$18),IF(LEFT($P42,1)="P",VLOOKUP(CONCATENATE(LEFT($P42,2),"H"),$R$63:$T$91,3,FALSE),VLOOKUP($P42,$R$63:$T$91,3,FALSE)))+IF(AND($P42&lt;&gt;"",$P42&lt;&gt;"O3/CP",$P$15=D$18,MID($P42,4,1)="2",$P$15&lt;&gt;$P$14),VLOOKUP(CONCATENATE(LEFT($P42,2),"L"),$R$63:$T$91,3,FALSE),0)+IF(AND($P42="O3/CP",$P$14=D$18),VLOOKUP("O3",$R$63:$T$91,3,FALSE)+VLOOKUP("CP",$R$63:$T$91,3,FALSE),0)+IF(AND($Q42&lt;&gt;"",$Q42&lt;&gt;"--",$Q42&lt;&gt;"O3/CP",$Q$14=D$18),IF(LEFT($Q42,1)="P",VLOOKUP(CONCATENATE(LEFT($Q42,2),"H"),$R$63:$T$91,3,FALSE),VLOOKUP($Q42,$R$63:$T$91,3,FALSE)))+IF(AND($Q42&lt;&gt;"",$Q42&lt;&gt;"O3/CP",$Q$15=D$18,MID($Q42,4,1)="2",$Q$15&lt;&gt;$Q$14),VLOOKUP(CONCATENATE(LEFT($Q42,2),"L"),$R$63:$T$91,3,FALSE),0)+IF(AND($Q42="O3/CP",$Q$14=D$18),VLOOKUP("O3",$R$63:$T$91,3,FALSE)+VLOOKUP("CP",$R$63:$T$91,3,FALSE),0)+IF(AND($R42&lt;&gt;"",$R42&lt;&gt;"--",$R42&lt;&gt;"O3/CP",$R$14=D$18),IF(LEFT($R42,1)="P",VLOOKUP(CONCATENATE(LEFT($R42,2),"H"),$R$63:$T$91,3,FALSE),VLOOKUP($R42,$R$63:$T$91,3,FALSE)))+IF(AND($R42&lt;&gt;"",$R42&lt;&gt;"O3/CP",$R$15=D$18,MID($R42,4,1)="2",$R$15&lt;&gt;$R$14),VLOOKUP(CONCATENATE(LEFT($R42,2),"L"),$R$63:$T$91,3,FALSE),0)+IF(AND($R42="O3/CP",$R$14=D$18),VLOOKUP("O3",$R$63:$T$91,3,FALSE)+VLOOKUP("CP",$R$63:$T$91,3,FALSE),0)+IF(AND($S42&lt;&gt;"",$S42&lt;&gt;"--",$S42&lt;&gt;"O3/CP",$S$14=D$18),IF(LEFT($S42,1)="P",VLOOKUP(CONCATENATE(LEFT($S42,2),"H"),$R$63:$T$91,3,FALSE),VLOOKUP($S42,$R$63:$T$91,3,FALSE)))+IF(AND($S42&lt;&gt;"",$S42&lt;&gt;"O3/CP",$S$15=D$18,MID($S42,4,1)="2",$S$15&lt;&gt;$S$14),VLOOKUP(CONCATENATE(LEFT($S42,2),"L"),$R$63:$T$91,3,FALSE),0)+IF(AND($S42="O3/CP",$S$14=D$18),VLOOKUP("O3",$R$63:$T$91,3,FALSE)+VLOOKUP("CP",$R$63:$T$91,3,FALSE),0)+IF(AND($T42&lt;&gt;"",$T42&lt;&gt;"--",$T42&lt;&gt;"O3/CP",$T$14=D$18),IF(LEFT($T42,1)="P",VLOOKUP(CONCATENATE(LEFT($T42,2),"H"),$R$63:$T$91,3,FALSE),VLOOKUP($T42,$R$63:$T$91,3,FALSE)))+IF(AND($T42&lt;&gt;"",$T42&lt;&gt;"O3/CP",$T$15=D$18,MID($T42,4,1)="2",$T$15&lt;&gt;$T$14),VLOOKUP(CONCATENATE(LEFT($T42,2),"L"),$R$63:$T$91,3,FALSE),0)+IF(AND($T42="O3/CP",$T$14=D$18),VLOOKUP("O3",$R$63:$T$91,3,FALSE)+VLOOKUP("CP",$R$63:$T$91,3,FALSE),0)+IF(AND($U42&lt;&gt;"",$U42&lt;&gt;"--",$U42&lt;&gt;"O3/CP",$U$14=D$18),IF(LEFT($U42,1)="P",VLOOKUP(CONCATENATE(LEFT($U42,2),"H"),$R$63:$T$91,3,FALSE),VLOOKUP($U42,$R$63:$T$91,3,FALSE)))+IF(AND($U42&lt;&gt;"",$U42&lt;&gt;"O3/CP",$U$15=D$18,MID($U42,4,1)="2",$U$15&lt;&gt;$U$14),VLOOKUP(CONCATENATE(LEFT($U42,2),"L"),$R$63:$T$91,3,FALSE),0)+IF(AND($U42="O3/CP",$T$14=D$18),VLOOKUP("O3",$R$63:$T$91,3,FALSE)+VLOOKUP("CP",$R$63:$T$91,3,FALSE),0)+IF(AND($V42&lt;&gt;"",$V42&lt;&gt;"--",$V42&lt;&gt;"O3/CP",$V$14=D$18),IF(LEFT($V42,1)="P",VLOOKUP(CONCATENATE(LEFT($V42,2),"H"),$R$63:$T$91,3,FALSE),VLOOKUP($V42,$R$63:$T$91,3,FALSE)))+IF(AND($V42&lt;&gt;"",$V42&lt;&gt;"O3/CP",$V$15=D$18,MID($V42,4,1)="2",$V$15&lt;&gt;$V$14),VLOOKUP(CONCATENATE(LEFT($V42,2),"L"),$R$63:$T$91,3,FALSE),0)+IF(AND($V42="O3/CP",$V$14=D$18),VLOOKUP("O3",$R$63:$T$91,3,FALSE)+VLOOKUP("CP",$R$63:$T$91,3,FALSE),0)+IF(AND($W42&lt;&gt;"",$W42&lt;&gt;"--",$W42&lt;&gt;"O3/CP",$W$14=D$18),IF(LEFT($W42,1)="P",VLOOKUP(CONCATENATE(LEFT($W42,2),"H"),$R$63:$T$91,3,FALSE),VLOOKUP($W42,$R$63:$T$91,3,FALSE)))+IF(AND($W42&lt;&gt;"",$W42&lt;&gt;"O3/CP",$W$15=D$18,MID($W42,4,1)="2",$W$15&lt;&gt;$W$14),VLOOKUP(CONCATENATE(LEFT($W42,2),"L"),$R$63:$T$91,3,FALSE),0)+IF(AND($W42="O3/CP",$W$14=D$18),VLOOKUP("O3",$R$63:$T$91,3,FALSE)+VLOOKUP("CP",$R$63:$T$91,3,FALSE),0)+IF(AND($X42&lt;&gt;"",$X42&lt;&gt;"--",$X42&lt;&gt;"O3/CP",$X$14=D$18),IF(LEFT($X42,1)="P",VLOOKUP(CONCATENATE(LEFT($X42,2),"H"),$R$63:$T$91,3,FALSE),VLOOKUP($X42,$R$63:$T$91,3,FALSE)))+IF(AND($X42&lt;&gt;"",$X42&lt;&gt;"O3/CP",$X$15=D$18,MID($X42,4,1)="2",$X$15&lt;&gt;$X$14),VLOOKUP(CONCATENATE(LEFT($X42,2),"L"),$R$63:$T$91,3,FALSE),0)+IF(AND($X42="O3/CP",$X$14=D$18),VLOOKUP("O3",$R$63:$T$91,3,FALSE)+VLOOKUP("CP",$R$63:$T$91,3,FALSE),0)+IF(AND($Y42&lt;&gt;"",$Y42&lt;&gt;"--",$Y42&lt;&gt;"O3/CP",$Y$14=D$18),IF(LEFT($Y42,1)="P",VLOOKUP(CONCATENATE(LEFT($Y42,2),"H"),$R$63:$T$91,3,FALSE),VLOOKUP($Y42,$R$63:$T$91,3,FALSE)))+IF(AND($Y42&lt;&gt;"",$Y42&lt;&gt;"O3/CP",$Y$15=D$18,MID($Y42,4,1)="2",$Y$15&lt;&gt;$Y$14),VLOOKUP(CONCATENATE(LEFT($Y42,2),"L"),$R$63:$T$91,3,FALSE),0)+IF(AND($Y42="O3/CP",$Y$14=D$18),VLOOKUP("O3",$R$63:$T$91,3,FALSE)+VLOOKUP("CP",$R$63:$T$91,3,FALSE),0)+IF(AND($K$6="CE",'[3]Supply Attribution'!$G$20=D$18),LEFT($S$90,2),0)+IF(AND($X$86&lt;&gt;"Not Set",$X$87=D$18),$X$86,0)</f>
        <v>0</v>
      </c>
      <c r="E42" s="269">
        <f>IF(AND($K42&lt;&gt;"",$K42&lt;&gt;"--",$K42&lt;&gt;"O3/CP",$K$14=E$18),IF(LEFT($K42,1)="P",VLOOKUP(CONCATENATE(LEFT($K42,2),"H"),$R$63:$T$91,3,FALSE),VLOOKUP($K42,$R$63:$T$91,3,FALSE)))+IF(AND($K42&lt;&gt;"",$K42&lt;&gt;"O3/CP",$K$15=E$18,MID($K42,4,1)="2",$K$15&lt;&gt;$K$14),VLOOKUP(CONCATENATE(LEFT($K42,2),"L"),$R$63:$T$91,3,FALSE),0)+IF(AND($K42="O3/CP",$K$14=E$18),VLOOKUP("O3",$R$63:$T$91,3,FALSE)+VLOOKUP("CP",$R$63:$T$91,3,FALSE),0)+IF(AND($L42&lt;&gt;"",$L42&lt;&gt;"--",$L42&lt;&gt;"O3/CP",$L$14=E$18),IF(LEFT($L42,1)="P",VLOOKUP(CONCATENATE(LEFT($L42,2),"H"),$R$63:$T$91,3,FALSE),VLOOKUP($L42,$R$63:$T$91,3,FALSE)))+IF(AND($L42&lt;&gt;"",$L42&lt;&gt;"O3/CP",$L$15=E$18,MID($L42,4,1)="2",$L$15&lt;&gt;$L$14),VLOOKUP(CONCATENATE(LEFT($L42,2),"L"),$R$63:$T$91,3,FALSE),0)+IF(AND($L42="O3/CP",$L$14=E$18),VLOOKUP("O3",$R$63:$T$91,3,FALSE)+VLOOKUP("CP",$R$63:$T$91,3,FALSE),0)+IF(AND($M42&lt;&gt;"",$M42&lt;&gt;"--",$M42&lt;&gt;"O3/CP",$M$14=E$18),IF(LEFT($M42,1)="P",VLOOKUP(CONCATENATE(LEFT($M42,2),"H"),$R$63:$T$91,3,FALSE),VLOOKUP($M42,$R$63:$T$91,3,FALSE)))+IF(AND($M42&lt;&gt;"",$M42&lt;&gt;"O3/CP",$M$15=E$18,MID($M42,4,1)="2",$M$15&lt;&gt;$M$14),VLOOKUP(CONCATENATE(LEFT($M42,2),"L"),$R$63:$T$91,3,FALSE),0)+IF(AND($M42="O3/CP",$M$14=E$18),VLOOKUP("O3",$R$63:$T$91,3,FALSE)+VLOOKUP("CP",$R$63:$T$91,3,FALSE),0)+IF(AND($N42&lt;&gt;"",$N42&lt;&gt;"--",$N42&lt;&gt;"O3/CP",$N$14=E$18),IF(LEFT($N42,1)="P",VLOOKUP(CONCATENATE(LEFT($N42,2),"H"),$R$63:$T$91,3,FALSE),VLOOKUP($N42,$R$63:$T$91,3,FALSE)))+IF(AND($N42&lt;&gt;"",$N42&lt;&gt;"O3/CP",$N$15=E$18,MID($N42,4,1)="2",$N$15&lt;&gt;$N$14),VLOOKUP(CONCATENATE(LEFT($N42,2),"L"),$R$63:$T$91,3,FALSE),0)+IF(AND($N42="O3/CP",$N$14=E$18),VLOOKUP("O3",$R$63:$T$91,3,FALSE)+VLOOKUP("CP",$R$63:$T$91,3,FALSE),0)+IF(AND($O42&lt;&gt;"",$O42&lt;&gt;"--",$O42&lt;&gt;"O3/CP",$O$14=E$18),IF(LEFT($O42,1)="P",VLOOKUP(CONCATENATE(LEFT($O42,2),"H"),$R$63:$T$91,3,FALSE),VLOOKUP($O42,$R$63:$T$91,3,FALSE)))+IF(AND($O42&lt;&gt;"",$O42&lt;&gt;"O3/CP",$O$15=E$18,MID($O42,4,1)="2",$O$15&lt;&gt;$O$14),VLOOKUP(CONCATENATE(LEFT($O42,2),"L"),$R$63:$T$91,3,FALSE),0)+IF(AND($O42="O3/CP",$O$14=E$18),VLOOKUP("O3",$R$63:$T$91,3,FALSE)+VLOOKUP("CP",$R$63:$T$91,3,FALSE),0)+IF(AND($P42&lt;&gt;"",$P42&lt;&gt;"--",$P42&lt;&gt;"O3/CP",$P$14=E$18),IF(LEFT($P42,1)="P",VLOOKUP(CONCATENATE(LEFT($P42,2),"H"),$R$63:$T$91,3,FALSE),VLOOKUP($P42,$R$63:$T$91,3,FALSE)))+IF(AND($P42&lt;&gt;"",$P42&lt;&gt;"O3/CP",$P$15=E$18,MID($P42,4,1)="2",$P$15&lt;&gt;$P$14),VLOOKUP(CONCATENATE(LEFT($P42,2),"L"),$R$63:$T$91,3,FALSE),0)+IF(AND($P42="O3/CP",$P$14=E$18),VLOOKUP("O3",$R$63:$T$91,3,FALSE)+VLOOKUP("CP",$R$63:$T$91,3,FALSE),0)+IF(AND($Q42&lt;&gt;"",$Q42&lt;&gt;"--",$Q42&lt;&gt;"O3/CP",$Q$14=E$18),IF(LEFT($Q42,1)="P",VLOOKUP(CONCATENATE(LEFT($Q42,2),"H"),$R$63:$T$91,3,FALSE),VLOOKUP($Q42,$R$63:$T$91,3,FALSE)))+IF(AND($Q42&lt;&gt;"",$Q42&lt;&gt;"O3/CP",$Q$15=E$18,MID($Q42,4,1)="2",$Q$15&lt;&gt;$Q$14),VLOOKUP(CONCATENATE(LEFT($Q42,2),"L"),$R$63:$T$91,3,FALSE),0)+IF(AND($Q42="O3/CP",$Q$14=E$18),VLOOKUP("O3",$R$63:$T$91,3,FALSE)+VLOOKUP("CP",$R$63:$T$91,3,FALSE),0)+IF(AND($R42&lt;&gt;"",$R42&lt;&gt;"--",$R42&lt;&gt;"O3/CP",$R$14=E$18),IF(LEFT($R42,1)="P",VLOOKUP(CONCATENATE(LEFT($R42,2),"H"),$R$63:$T$91,3,FALSE),VLOOKUP($R42,$R$63:$T$91,3,FALSE)))+IF(AND($R42&lt;&gt;"",$R42&lt;&gt;"O3/CP",$R$15=E$18,MID($R42,4,1)="2",$R$15&lt;&gt;$R$14),VLOOKUP(CONCATENATE(LEFT($R42,2),"L"),$R$63:$T$91,3,FALSE),0)+IF(AND($R42="O3/CP",$R$14=E$18),VLOOKUP("O3",$R$63:$T$91,3,FALSE)+VLOOKUP("CP",$R$63:$T$91,3,FALSE),0)+IF(AND($S42&lt;&gt;"",$S42&lt;&gt;"--",$S42&lt;&gt;"O3/CP",$S$14=E$18),IF(LEFT($S42,1)="P",VLOOKUP(CONCATENATE(LEFT($S42,2),"H"),$R$63:$T$91,3,FALSE),VLOOKUP($S42,$R$63:$T$91,3,FALSE)))+IF(AND($S42&lt;&gt;"",$S42&lt;&gt;"O3/CP",$S$15=E$18,MID($S42,4,1)="2",$S$15&lt;&gt;$S$14),VLOOKUP(CONCATENATE(LEFT($S42,2),"L"),$R$63:$T$91,3,FALSE),0)+IF(AND($S42="O3/CP",$S$14=E$18),VLOOKUP("O3",$R$63:$T$91,3,FALSE)+VLOOKUP("CP",$R$63:$T$91,3,FALSE),0)+IF(AND($T42&lt;&gt;"",$T42&lt;&gt;"--",$T42&lt;&gt;"O3/CP",$T$14=E$18),IF(LEFT($T42,1)="P",VLOOKUP(CONCATENATE(LEFT($T42,2),"H"),$R$63:$T$91,3,FALSE),VLOOKUP($T42,$R$63:$T$91,3,FALSE)))+IF(AND($T42&lt;&gt;"",$T42&lt;&gt;"O3/CP",$T$15=E$18,MID($T42,4,1)="2",$T$15&lt;&gt;$T$14),VLOOKUP(CONCATENATE(LEFT($T42,2),"L"),$R$63:$T$91,3,FALSE),0)+IF(AND($T42="O3/CP",$T$14=E$18),VLOOKUP("O3",$R$63:$T$91,3,FALSE)+VLOOKUP("CP",$R$63:$T$91,3,FALSE),0)+IF(AND($U42&lt;&gt;"",$U42&lt;&gt;"--",$U42&lt;&gt;"O3/CP",$U$14=E$18),IF(LEFT($U42,1)="P",VLOOKUP(CONCATENATE(LEFT($U42,2),"H"),$R$63:$T$91,3,FALSE),VLOOKUP($U42,$R$63:$T$91,3,FALSE)))+IF(AND($U42&lt;&gt;"",$U42&lt;&gt;"O3/CP",$U$15=E$18,MID($U42,4,1)="2",$U$15&lt;&gt;$U$14),VLOOKUP(CONCATENATE(LEFT($U42,2),"L"),$R$63:$T$91,3,FALSE),0)+IF(AND($U42="O3/CP",$T$14=E$18),VLOOKUP("O3",$R$63:$T$91,3,FALSE)+VLOOKUP("CP",$R$63:$T$91,3,FALSE),0)+IF(AND($V42&lt;&gt;"",$V42&lt;&gt;"--",$V42&lt;&gt;"O3/CP",$V$14=E$18),IF(LEFT($V42,1)="P",VLOOKUP(CONCATENATE(LEFT($V42,2),"H"),$R$63:$T$91,3,FALSE),VLOOKUP($V42,$R$63:$T$91,3,FALSE)))+IF(AND($V42&lt;&gt;"",$V42&lt;&gt;"O3/CP",$V$15=E$18,MID($V42,4,1)="2",$V$15&lt;&gt;$V$14),VLOOKUP(CONCATENATE(LEFT($V42,2),"L"),$R$63:$T$91,3,FALSE),0)+IF(AND($V42="O3/CP",$V$14=E$18),VLOOKUP("O3",$R$63:$T$91,3,FALSE)+VLOOKUP("CP",$R$63:$T$91,3,FALSE),0)+IF(AND($W42&lt;&gt;"",$W42&lt;&gt;"--",$W42&lt;&gt;"O3/CP",$W$14=E$18),IF(LEFT($W42,1)="P",VLOOKUP(CONCATENATE(LEFT($W42,2),"H"),$R$63:$T$91,3,FALSE),VLOOKUP($W42,$R$63:$T$91,3,FALSE)))+IF(AND($W42&lt;&gt;"",$W42&lt;&gt;"O3/CP",$W$15=E$18,MID($W42,4,1)="2",$W$15&lt;&gt;$W$14),VLOOKUP(CONCATENATE(LEFT($W42,2),"L"),$R$63:$T$91,3,FALSE),0)+IF(AND($W42="O3/CP",$W$14=E$18),VLOOKUP("O3",$R$63:$T$91,3,FALSE)+VLOOKUP("CP",$R$63:$T$91,3,FALSE),0)+IF(AND($X42&lt;&gt;"",$X42&lt;&gt;"--",$X42&lt;&gt;"O3/CP",$X$14=E$18),IF(LEFT($X42,1)="P",VLOOKUP(CONCATENATE(LEFT($X42,2),"H"),$R$63:$T$91,3,FALSE),VLOOKUP($X42,$R$63:$T$91,3,FALSE)))+IF(AND($X42&lt;&gt;"",$X42&lt;&gt;"O3/CP",$X$15=E$18,MID($X42,4,1)="2",$X$15&lt;&gt;$X$14),VLOOKUP(CONCATENATE(LEFT($X42,2),"L"),$R$63:$T$91,3,FALSE),0)+IF(AND($X42="O3/CP",$X$14=E$18),VLOOKUP("O3",$R$63:$T$91,3,FALSE)+VLOOKUP("CP",$R$63:$T$91,3,FALSE),0)+IF(AND($Y42&lt;&gt;"",$Y42&lt;&gt;"--",$Y42&lt;&gt;"O3/CP",$Y$14=E$18),IF(LEFT($Y42,1)="P",VLOOKUP(CONCATENATE(LEFT($Y42,2),"H"),$R$63:$T$91,3,FALSE),VLOOKUP($Y42,$R$63:$T$91,3,FALSE)))+IF(AND($Y42&lt;&gt;"",$Y42&lt;&gt;"O3/CP",$Y$15=E$18,MID($Y42,4,1)="2",$Y$15&lt;&gt;$Y$14),VLOOKUP(CONCATENATE(LEFT($Y42,2),"L"),$R$63:$T$91,3,FALSE),0)+IF(AND($Y42="O3/CP",$Y$14=E$18),VLOOKUP("O3",$R$63:$T$91,3,FALSE)+VLOOKUP("CP",$R$63:$T$91,3,FALSE),0)+IF(AND($K$6="CE",'[3]Supply Attribution'!$G$20=E$18),LEFT($S$90,2),0)+IF(AND($X$86&lt;&gt;"Not Set",$X$87=E$18),$X$86,0)</f>
        <v>0</v>
      </c>
      <c r="F42" s="268">
        <f>IF(AND($K42&lt;&gt;"",$K42&lt;&gt;"--",$K42&lt;&gt;"O3/CP",$K$14=F$18),IF(LEFT($K42,1)="P",VLOOKUP(CONCATENATE(LEFT($K42,2),"H"),$R$63:$T$91,3,FALSE),VLOOKUP($K42,$R$63:$T$91,3,FALSE)))+IF(AND($K42&lt;&gt;"",$K42&lt;&gt;"O3/CP",$K$15=F$18,MID($K42,4,1)="2",$K$15&lt;&gt;$K$14),VLOOKUP(CONCATENATE(LEFT($K42,2),"L"),$R$63:$T$91,3,FALSE),0)+IF(AND($K42="O3/CP",$K$14=F$18),VLOOKUP("O3",$R$63:$T$91,3,FALSE)+VLOOKUP("CP",$R$63:$T$91,3,FALSE),0)+IF(AND($L42&lt;&gt;"",$L42&lt;&gt;"--",$L42&lt;&gt;"O3/CP",$L$14=F$18),IF(LEFT($L42,1)="P",VLOOKUP(CONCATENATE(LEFT($L42,2),"H"),$R$63:$T$91,3,FALSE),VLOOKUP($L42,$R$63:$T$91,3,FALSE)))+IF(AND($L42&lt;&gt;"",$L42&lt;&gt;"O3/CP",$L$15=F$18,MID($L42,4,1)="2",$L$15&lt;&gt;$L$14),VLOOKUP(CONCATENATE(LEFT($L42,2),"L"),$R$63:$T$91,3,FALSE),0)+IF(AND($L42="O3/CP",$L$14=F$18),VLOOKUP("O3",$R$63:$T$91,3,FALSE)+VLOOKUP("CP",$R$63:$T$91,3,FALSE),0)+IF(AND($M42&lt;&gt;"",$M42&lt;&gt;"--",$M42&lt;&gt;"O3/CP",$M$14=F$18),IF(LEFT($M42,1)="P",VLOOKUP(CONCATENATE(LEFT($M42,2),"H"),$R$63:$T$91,3,FALSE),VLOOKUP($M42,$R$63:$T$91,3,FALSE)))+IF(AND($M42&lt;&gt;"",$M42&lt;&gt;"O3/CP",$M$15=F$18,MID($M42,4,1)="2",$M$15&lt;&gt;$M$14),VLOOKUP(CONCATENATE(LEFT($M42,2),"L"),$R$63:$T$91,3,FALSE),0)+IF(AND($M42="O3/CP",$M$14=F$18),VLOOKUP("O3",$R$63:$T$91,3,FALSE)+VLOOKUP("CP",$R$63:$T$91,3,FALSE),0)+IF(AND($N42&lt;&gt;"",$N42&lt;&gt;"--",$N42&lt;&gt;"O3/CP",$N$14=F$18),IF(LEFT($N42,1)="P",VLOOKUP(CONCATENATE(LEFT($N42,2),"H"),$R$63:$T$91,3,FALSE),VLOOKUP($N42,$R$63:$T$91,3,FALSE)))+IF(AND($N42&lt;&gt;"",$N42&lt;&gt;"O3/CP",$N$15=F$18,MID($N42,4,1)="2",$N$15&lt;&gt;$N$14),VLOOKUP(CONCATENATE(LEFT($N42,2),"L"),$R$63:$T$91,3,FALSE),0)+IF(AND($N42="O3/CP",$N$14=F$18),VLOOKUP("O3",$R$63:$T$91,3,FALSE)+VLOOKUP("CP",$R$63:$T$91,3,FALSE),0)+IF(AND($O42&lt;&gt;"",$O42&lt;&gt;"--",$O42&lt;&gt;"O3/CP",$O$14=F$18),IF(LEFT($O42,1)="P",VLOOKUP(CONCATENATE(LEFT($O42,2),"H"),$R$63:$T$91,3,FALSE),VLOOKUP($O42,$R$63:$T$91,3,FALSE)))+IF(AND($O42&lt;&gt;"",$O42&lt;&gt;"O3/CP",$O$15=F$18,MID($O42,4,1)="2",$O$15&lt;&gt;$O$14),VLOOKUP(CONCATENATE(LEFT($O42,2),"L"),$R$63:$T$91,3,FALSE),0)+IF(AND($O42="O3/CP",$O$14=F$18),VLOOKUP("O3",$R$63:$T$91,3,FALSE)+VLOOKUP("CP",$R$63:$T$91,3,FALSE),0)+IF(AND($P42&lt;&gt;"",$P42&lt;&gt;"--",$P42&lt;&gt;"O3/CP",$P$14=F$18),IF(LEFT($P42,1)="P",VLOOKUP(CONCATENATE(LEFT($P42,2),"H"),$R$63:$T$91,3,FALSE),VLOOKUP($P42,$R$63:$T$91,3,FALSE)))+IF(AND($P42&lt;&gt;"",$P42&lt;&gt;"O3/CP",$P$15=F$18,MID($P42,4,1)="2",$P$15&lt;&gt;$P$14),VLOOKUP(CONCATENATE(LEFT($P42,2),"L"),$R$63:$T$91,3,FALSE),0)+IF(AND($P42="O3/CP",$P$14=F$18),VLOOKUP("O3",$R$63:$T$91,3,FALSE)+VLOOKUP("CP",$R$63:$T$91,3,FALSE),0)+IF(AND($Q42&lt;&gt;"",$Q42&lt;&gt;"--",$Q42&lt;&gt;"O3/CP",$Q$14=F$18),IF(LEFT($Q42,1)="P",VLOOKUP(CONCATENATE(LEFT($Q42,2),"H"),$R$63:$T$91,3,FALSE),VLOOKUP($Q42,$R$63:$T$91,3,FALSE)))+IF(AND($Q42&lt;&gt;"",$Q42&lt;&gt;"O3/CP",$Q$15=F$18,MID($Q42,4,1)="2",$Q$15&lt;&gt;$Q$14),VLOOKUP(CONCATENATE(LEFT($Q42,2),"L"),$R$63:$T$91,3,FALSE),0)+IF(AND($Q42="O3/CP",$Q$14=F$18),VLOOKUP("O3",$R$63:$T$91,3,FALSE)+VLOOKUP("CP",$R$63:$T$91,3,FALSE),0)+IF(AND($R42&lt;&gt;"",$R42&lt;&gt;"--",$R42&lt;&gt;"O3/CP",$R$14=F$18),IF(LEFT($R42,1)="P",VLOOKUP(CONCATENATE(LEFT($R42,2),"H"),$R$63:$T$91,3,FALSE),VLOOKUP($R42,$R$63:$T$91,3,FALSE)))+IF(AND($R42&lt;&gt;"",$R42&lt;&gt;"O3/CP",$R$15=F$18,MID($R42,4,1)="2",$R$15&lt;&gt;$R$14),VLOOKUP(CONCATENATE(LEFT($R42,2),"L"),$R$63:$T$91,3,FALSE),0)+IF(AND($R42="O3/CP",$R$14=F$18),VLOOKUP("O3",$R$63:$T$91,3,FALSE)+VLOOKUP("CP",$R$63:$T$91,3,FALSE),0)+IF(AND($S42&lt;&gt;"",$S42&lt;&gt;"--",$S42&lt;&gt;"O3/CP",$S$14=F$18),IF(LEFT($S42,1)="P",VLOOKUP(CONCATENATE(LEFT($S42,2),"H"),$R$63:$T$91,3,FALSE),VLOOKUP($S42,$R$63:$T$91,3,FALSE)))+IF(AND($S42&lt;&gt;"",$S42&lt;&gt;"O3/CP",$S$15=F$18,MID($S42,4,1)="2",$S$15&lt;&gt;$S$14),VLOOKUP(CONCATENATE(LEFT($S42,2),"L"),$R$63:$T$91,3,FALSE),0)+IF(AND($S42="O3/CP",$S$14=F$18),VLOOKUP("O3",$R$63:$T$91,3,FALSE)+VLOOKUP("CP",$R$63:$T$91,3,FALSE),0)+IF(AND($T42&lt;&gt;"",$T42&lt;&gt;"--",$T42&lt;&gt;"O3/CP",$T$14=F$18),IF(LEFT($T42,1)="P",VLOOKUP(CONCATENATE(LEFT($T42,2),"H"),$R$63:$T$91,3,FALSE),VLOOKUP($T42,$R$63:$T$91,3,FALSE)))+IF(AND($T42&lt;&gt;"",$T42&lt;&gt;"O3/CP",$T$15=F$18,MID($T42,4,1)="2",$T$15&lt;&gt;$T$14),VLOOKUP(CONCATENATE(LEFT($T42,2),"L"),$R$63:$T$91,3,FALSE),0)+IF(AND($T42="O3/CP",$T$14=F$18),VLOOKUP("O3",$R$63:$T$91,3,FALSE)+VLOOKUP("CP",$R$63:$T$91,3,FALSE),0)+IF(AND($U42&lt;&gt;"",$U42&lt;&gt;"--",$U42&lt;&gt;"O3/CP",$U$14=F$18),IF(LEFT($U42,1)="P",VLOOKUP(CONCATENATE(LEFT($U42,2),"H"),$R$63:$T$91,3,FALSE),VLOOKUP($U42,$R$63:$T$91,3,FALSE)))+IF(AND($U42&lt;&gt;"",$U42&lt;&gt;"O3/CP",$U$15=F$18,MID($U42,4,1)="2",$U$15&lt;&gt;$U$14),VLOOKUP(CONCATENATE(LEFT($U42,2),"L"),$R$63:$T$91,3,FALSE),0)+IF(AND($U42="O3/CP",$T$14=F$18),VLOOKUP("O3",$R$63:$T$91,3,FALSE)+VLOOKUP("CP",$R$63:$T$91,3,FALSE),0)+IF(AND($V42&lt;&gt;"",$V42&lt;&gt;"--",$V42&lt;&gt;"O3/CP",$V$14=F$18),IF(LEFT($V42,1)="P",VLOOKUP(CONCATENATE(LEFT($V42,2),"H"),$R$63:$T$91,3,FALSE),VLOOKUP($V42,$R$63:$T$91,3,FALSE)))+IF(AND($V42&lt;&gt;"",$V42&lt;&gt;"O3/CP",$V$15=F$18,MID($V42,4,1)="2",$V$15&lt;&gt;$V$14),VLOOKUP(CONCATENATE(LEFT($V42,2),"L"),$R$63:$T$91,3,FALSE),0)+IF(AND($V42="O3/CP",$V$14=F$18),VLOOKUP("O3",$R$63:$T$91,3,FALSE)+VLOOKUP("CP",$R$63:$T$91,3,FALSE),0)+IF(AND($W42&lt;&gt;"",$W42&lt;&gt;"--",$W42&lt;&gt;"O3/CP",$W$14=F$18),IF(LEFT($W42,1)="P",VLOOKUP(CONCATENATE(LEFT($W42,2),"H"),$R$63:$T$91,3,FALSE),VLOOKUP($W42,$R$63:$T$91,3,FALSE)))+IF(AND($W42&lt;&gt;"",$W42&lt;&gt;"O3/CP",$W$15=F$18,MID($W42,4,1)="2",$W$15&lt;&gt;$W$14),VLOOKUP(CONCATENATE(LEFT($W42,2),"L"),$R$63:$T$91,3,FALSE),0)+IF(AND($W42="O3/CP",$W$14=F$18),VLOOKUP("O3",$R$63:$T$91,3,FALSE)+VLOOKUP("CP",$R$63:$T$91,3,FALSE),0)+IF(AND($X42&lt;&gt;"",$X42&lt;&gt;"--",$X42&lt;&gt;"O3/CP",$X$14=F$18),IF(LEFT($X42,1)="P",VLOOKUP(CONCATENATE(LEFT($X42,2),"H"),$R$63:$T$91,3,FALSE),VLOOKUP($X42,$R$63:$T$91,3,FALSE)))+IF(AND($X42&lt;&gt;"",$X42&lt;&gt;"O3/CP",$X$15=F$18,MID($X42,4,1)="2",$X$15&lt;&gt;$X$14),VLOOKUP(CONCATENATE(LEFT($X42,2),"L"),$R$63:$T$91,3,FALSE),0)+IF(AND($X42="O3/CP",$X$14=F$18),VLOOKUP("O3",$R$63:$T$91,3,FALSE)+VLOOKUP("CP",$R$63:$T$91,3,FALSE),0)+IF(AND($Y42&lt;&gt;"",$Y42&lt;&gt;"--",$Y42&lt;&gt;"O3/CP",$Y$14=F$18),IF(LEFT($Y42,1)="P",VLOOKUP(CONCATENATE(LEFT($Y42,2),"H"),$R$63:$T$91,3,FALSE),VLOOKUP($Y42,$R$63:$T$91,3,FALSE)))+IF(AND($Y42&lt;&gt;"",$Y42&lt;&gt;"O3/CP",$Y$15=F$18,MID($Y42,4,1)="2",$Y$15&lt;&gt;$Y$14),VLOOKUP(CONCATENATE(LEFT($Y42,2),"L"),$R$63:$T$91,3,FALSE),0)+IF(AND($Y42="O3/CP",$Y$14=F$18),VLOOKUP("O3",$R$63:$T$91,3,FALSE)+VLOOKUP("CP",$R$63:$T$91,3,FALSE),0)+IF(AND($K$6="CE",'[3]Supply Attribution'!$G$20=F$18),LEFT($S$90,2),0)+IF(AND($X$86&lt;&gt;"Not Set",$X$87=F$18),$X$86,0)</f>
        <v>0</v>
      </c>
      <c r="G42" s="269">
        <f>IF(AND($K$6="CE",$T$59="1 Phase"),SUM(A42:F42)-IF(AND($K$14&lt;&gt;$K$15,RIGHT($K42,3)="2SP"),VLOOKUP(CONCATENATE(LEFT($K42,2),"L"),$R$63:$T$90,3,FALSE),0)-IF(AND($L$14&lt;&gt;$L$15,RIGHT($L42,3)="2SP"),VLOOKUP(CONCATENATE(LEFT($L42,2),"L"),$R$63:$T$90,3,FALSE),0)-IF(AND($M$14&lt;&gt;$M$15,RIGHT($M42,3)="2SP"),VLOOKUP(CONCATENATE(LEFT($M42,2),"L"),$R$63:$T$90,3,FALSE),0)-IF(AND($N$14&lt;&gt;$N$15,RIGHT($N42,3)="2SP"),VLOOKUP(CONCATENATE(LEFT($N42,2),"L"),$R$63:$T$90,3,FALSE),0)-IF(AND($O$14&lt;&gt;$O$15,RIGHT($O42,3)="2SP"),VLOOKUP(CONCATENATE(LEFT($O42,2),"L"),$R$63:$T$90,3,FALSE),0)-IF(AND($P$14&lt;&gt;$P$15,RIGHT($P42,3)="2SP"),VLOOKUP(CONCATENATE(LEFT($P42,2),"L"),$R$63:$T$90,3,FALSE),0)-IF(AND($Q$14&lt;&gt;$Q$15,RIGHT($Q42,3)="2SP"),VLOOKUP(CONCATENATE(LEFT($Q42,2),"L"),$R$63:$T$90,3,FALSE),0)-IF(AND($R$14&lt;&gt;$R$15,RIGHT($T42,3)="2SP"),VLOOKUP(CONCATENATE(LEFT($R42,2),"L"),$R$63:$T$90,3,FALSE),0)-IF(AND($S$14&lt;&gt;$S$15,RIGHT($T42,3)="2SP"),VLOOKUP(CONCATENATE(LEFT($S42,2),"L"),$R$63:$T$90,3,FALSE),0)-IF(AND($T$14&lt;&gt;$T$15,RIGHT($T42,3)="2SP"),VLOOKUP(CONCATENATE(LEFT($T42,2),"L"),$R$63:$T$90,3,FALSE),0)-IF(AND($U$14&lt;&gt;$U$15,RIGHT($U42,3)="2SP"),VLOOKUP(CONCATENATE(LEFT($U42,2),"L"),$R$63:$T$90,3,FALSE),0)-IF(AND($V$14&lt;&gt;$V$15,RIGHT($V42,3)="2SP"),VLOOKUP(CONCATENATE(LEFT($V42,2),"L"),$R$63:$T$90,3,FALSE),0)-IF(AND($W$14&lt;&gt;$W$15,RIGHT($W42,3)="2SP"),VLOOKUP(CONCATENATE(LEFT($W42,2),"L"),$R$63:$T$90,3,FALSE),0)-IF(AND($X$14&lt;&gt;$X$15,RIGHT($X42,3)="2SP"),VLOOKUP(CONCATENATE(LEFT($X42,2),"L"),$R$63:$T$90,3,FALSE),0)-IF(AND($Y$14&lt;&gt;$Y$15,RIGHT($Y42,3)="2SP"),VLOOKUP(CONCATENATE(LEFT($Y42,2),"L"),$R$63:$T$90,3,FALSE),0),IF(VLOOKUP(CONCATENATE($A$18,"Line"),'[3]Supply Attribution'!$F$31:$G$37,2,FALSE)=G$18,$A42,0)+IF(VLOOKUP(CONCATENATE($B$18,"Line"),'[3]Supply Attribution'!$F$31:$G$37,2,FALSE)=G$18,$B42,0)+IF(VLOOKUP(CONCATENATE($C$18,"Line"),'[3]Supply Attribution'!$F$31:$G$37,2,FALSE)=G$18,$C42,0)+IF(VLOOKUP(CONCATENATE($D$18,"Line"),'[3]Supply Attribution'!$F$31:$G$37,2,FALSE)=G$18,$D42,0)+IF(VLOOKUP(CONCATENATE($E$18,"Line"),'[3]Supply Attribution'!$F$31:$G$37,2,FALSE)=G$18,$E42,0)+IF(VLOOKUP(CONCATENATE($F$18,"Line"),'[3]Supply Attribution'!$F$31:$G$37,2,FALSE)=G$18,$F42,0)+IF($K$6="UL",LEFT($S$90,2),0)-IF(AND($K$16=G$18,$K$14&lt;&gt;$K$15,$K$16=$K$17,RIGHT($K42,3)="2SP"),VLOOKUP(CONCATENATE(LEFT($K42,2),"L"),$R$63:$T$90,3,FALSE),0)-IF(AND($L$16=G$18,$L$14&lt;&gt;$L$15,$L$16=$L$17,RIGHT($L42,3)="2SP"),VLOOKUP(CONCATENATE(LEFT($L42,2),"L"),$R$63:$T$90,3,FALSE),0)-IF(AND($M$16=G$18,$M$14&lt;&gt;$M$15,$M$16=$M$17,RIGHT($M42,3)="2SP"),VLOOKUP(CONCATENATE(LEFT($M42,2),"L"),$R$63:$T$90,3,FALSE),0)-IF(AND($N$16=G$18,$N$14&lt;&gt;$N$15,$N$16=$N$17,RIGHT($N42,3)="2SP"),VLOOKUP(CONCATENATE(LEFT($N42,2),"L"),$R$63:$T$90,3,FALSE),0)-IF(AND($O$16=G$18,$O$14&lt;&gt;$O$15,$O$16=$O$17,RIGHT($O42,3)="2SP"),VLOOKUP(CONCATENATE(LEFT($O42,2),"L"),$R$63:$T$90,3,FALSE),0)-IF(AND($P$16=G$18,$P$14&lt;&gt;$P$15,$P$16=$P$17,RIGHT($P42,3)="2SP"),VLOOKUP(CONCATENATE(LEFT($P42,2),"L"),$R$63:$T$90,3,FALSE),0)-IF(AND($Q$16=G$18,$Q$14&lt;&gt;$Q$15,$Q$16=$Q$17,RIGHT($Q42,3)="2SP"),VLOOKUP(CONCATENATE(LEFT($Q42,2),"L"),$R$63:$T$90,3,FALSE),0)-IF(AND($R$16=G$18,$R$14&lt;&gt;$R$15,$R$16=$R$17,RIGHT($R42,3)="2SP"),VLOOKUP(CONCATENATE(LEFT($R42,2),"L"),$R$63:$T$90,3,FALSE),0)-IF(AND($S$16=G$18,$S$14&lt;&gt;$S$15,$S$16=$S$17,RIGHT($S42,3)="2SP"),VLOOKUP(CONCATENATE(LEFT($S42,2),"L"),$R$63:$T$90,3,FALSE),0)-IF(AND($T$16=G$18,$T$14&lt;&gt;$T$15,$T$16=$T$17,RIGHT($T42,3)="2SP"),VLOOKUP(CONCATENATE(LEFT($T42,2),"L"),$R$63:$T$90,3,FALSE),0)-IF(AND($U$16=G$18,$U$14&lt;&gt;$U$15,$U$16=$U$17,RIGHT($U42,3)="2SP"),VLOOKUP(CONCATENATE(LEFT($U42,2),"L"),$R$63:$T$90,3,FALSE),0)-IF(AND($V$16=G$18,$V$14&lt;&gt;$V$15,$V$16=$V$17,RIGHT($V42,3)="2SP"),VLOOKUP(CONCATENATE(LEFT($V42,2),"L"),$R$63:$T$90,3,FALSE),0)-IF(AND($W$16=G$18,$W$14&lt;&gt;$W$15,$W$16=$W$17,RIGHT($W42,3)="2SP"),VLOOKUP(CONCATENATE(LEFT($W42,2),"L"),$R$63:$T$90,3,FALSE),0)-IF(AND($X$16=G$18,$X$14&lt;&gt;$X$15,$X$16=$X$17,RIGHT($X42,3)="2SP"),VLOOKUP(CONCATENATE(LEFT($X42,2),"L"),$R$63:$T$90,3,FALSE),0)-IF(AND($Y$16=G$18,$Y$14&lt;&gt;$Y$15,$Y$16=$Y$17,RIGHT($Y42,3)="2SP"),VLOOKUP(CONCATENATE(LEFT($Y42,2),"L"),$R$63:$T$90,3,FALSE),0))</f>
        <v>17</v>
      </c>
      <c r="H42" s="269" t="str">
        <f>IF(H$18&lt;&gt;"",IF(VLOOKUP(CONCATENATE($A$18,"Line"),'Supply Attribution'!$F$31:$G$37,2,FALSE)=H$18,$A42,0)+IF(VLOOKUP(CONCATENATE($B$18,"Line"),'Supply Attribution'!$F$31:$G$37,2,FALSE)=H$18,$B42,0)+IF(VLOOKUP(CONCATENATE($C$18,"Line"),'Supply Attribution'!$F$31:$G$37,2,FALSE)=H$18,$C42,0)+IF(VLOOKUP(CONCATENATE($D$18,"Line"),'Supply Attribution'!$F$31:$G$37,2,FALSE)=H$18,$D42,0)+IF(VLOOKUP(CONCATENATE($E$18,"Line"),'Supply Attribution'!$F$31:$G$37,2,FALSE)=H$18,$E42,0)+IF(VLOOKUP(CONCATENATE($F$18,"Line"),'Supply Attribution'!$F$31:$G$37,2,FALSE)=H$18,$F42,0)+IF($K$6="UL",LEFT($S$90,2),0)-IF(AND($K$16=H$18,$K$14&lt;&gt;$K$15,$K$16=$K$17,RIGHT($K42,3)="2SP"),VLOOKUP(CONCATENATE(LEFT($K42,2),"L"),$R$63:$T$90,3,FALSE),0)-IF(AND($L$16=H$18,$L$14&lt;&gt;$L$15,$L$16=$L$17,RIGHT($L42,3)="2SP"),VLOOKUP(CONCATENATE(LEFT($L42,2),"L"),$R$63:$T$90,3,FALSE),0)-IF(AND($M$16=H$18,$M$14&lt;&gt;$M$15,$M$16=$M$17,RIGHT($M42,3)="2SP"),VLOOKUP(CONCATENATE(LEFT($M42,2),"L"),$R$63:$T$90,3,FALSE),0)-IF(AND($N$16=H$18,$N$14&lt;&gt;$N$15,$N$16=$N$17,RIGHT($N42,3)="2SP"),VLOOKUP(CONCATENATE(LEFT($N42,2),"L"),$R$63:$T$90,3,FALSE),0)-IF(AND($O$16=H$18,$O$14&lt;&gt;$O$15,$O$16=$O$17,RIGHT($O42,3)="2SP"),VLOOKUP(CONCATENATE(LEFT($O42,2),"L"),$R$63:$T$90,3,FALSE),0)-IF(AND($P$16=H$18,$P$14&lt;&gt;$P$15,$P$16=$P$17,RIGHT($P42,3)="2SP"),VLOOKUP(CONCATENATE(LEFT($P42,2),"L"),$R$63:$T$90,3,FALSE),0)-IF(AND($Q$16=H$18,$Q$14&lt;&gt;$Q$15,$Q$16=$Q$17,RIGHT($Q42,3)="2SP"),VLOOKUP(CONCATENATE(LEFT($Q42,2),"L"),$R$63:$T$90,3,FALSE),0)-IF(AND($T$16=H$18,$T$14&lt;&gt;$T$15,$T$16=$T$17,RIGHT($T42,3)="2SP"),VLOOKUP(CONCATENATE(LEFT($T42,2),"L"),$R$63:$T$90,3,FALSE),0)-IF(AND($U$16=H$18,$U$14&lt;&gt;$U$15,$U$16=$U$17,RIGHT($U42,3)="2SP"),VLOOKUP(CONCATENATE(LEFT($U42,2),"L"),$R$63:$T$90,3,FALSE),0)-IF(AND($V$16=H$18,$V$14&lt;&gt;$V$15,$V$16=$V$17,RIGHT($V42,3)="2SP"),VLOOKUP(CONCATENATE(LEFT($V42,2),"L"),$R$63:$T$90,3,FALSE),0)-IF(AND($W$16=H$18,$W$14&lt;&gt;$W$15,$W$16=$W$17,RIGHT($W42,3)="2SP"),VLOOKUP(CONCATENATE(LEFT($W42,2),"L"),$R$63:$T$90,3,FALSE),0)-IF(AND($X$16=H$18,$X$14&lt;&gt;$X$15,$X$16=$X$17,RIGHT($X42,3)="2SP"),VLOOKUP(CONCATENATE(LEFT($X42,2),"L"),$R$63:$T$90,3,FALSE),0)-IF(AND($Y$16=H$18,$Y$14&lt;&gt;$Y$15,$Y$16=$Y$17,RIGHT($Y42,3)="2SP"),VLOOKUP(CONCATENATE(LEFT($Y42,2),"L"),$R$63:$T$90,3,FALSE),0)+IF(AND($K$6="CE",$T$59="2 Phases",H$18&lt;&gt;""),IF(VLOOKUP(CONCATENATE($A$18,"Line"),'Supply Attribution'!$F$31:$G$37,2,FALSE)="Line3",$A42,0)+IF(VLOOKUP(CONCATENATE($B$18,"Line"),'Supply Attribution'!$F$31:$G$37,2,FALSE)="Line3",$B42,0)+IF(VLOOKUP(CONCATENATE($C$18,"Line"),'Supply Attribution'!$F$31:$G$37,2,FALSE)="Line3",$C42,0)+IF(VLOOKUP(CONCATENATE($D$18,"Line"),'Supply Attribution'!$F$31:$G$37,2,FALSE)="Line3",$D42,0)+IF(VLOOKUP(CONCATENATE($E$18,"Line"),'Supply Attribution'!$F$31:$G$37,2,FALSE)="Line3",$E42,0)+IF(VLOOKUP(CONCATENATE($F$18,"Line"),'Supply Attribution'!$F$31:$G$37,2,FALSE)="Line3",$F42,0)-IF(AND($K$16=I$18,$K$14&lt;&gt;$K$15,$K$16=$K$17,RIGHT($K42,3)="2SP"),VLOOKUP(CONCATENATE(LEFT($K42,2),"L"),$R$63:$T$90,3,FALSE),0)-IF(AND($L$16=I$18,$L$14&lt;&gt;$L$15,$L$16=$L$17,RIGHT($L42,3)="2SP"),VLOOKUP(CONCATENATE(LEFT($L42,2),"L"),$R$63:$T$90,3,FALSE),0)-IF(AND($M$16=I$18,$M$14&lt;&gt;$M$15,$M$16=$M$17,RIGHT($M42,3)="2SP"),VLOOKUP(CONCATENATE(LEFT($M42,2),"L"),$R$63:$T$90,3,FALSE),0)-IF(AND($N$16=I$18,$N$14&lt;&gt;$N$15,$N$16=$N$17,RIGHT($N42,3)="2SP"),VLOOKUP(CONCATENATE(LEFT($N42,2),"L"),$R$63:$T$90,3,FALSE),0)-IF(AND($O$16=I$18,$O$14&lt;&gt;$O$15,$O$16=$O$17,RIGHT($O42,3)="2SP"),VLOOKUP(CONCATENATE(LEFT($O42,2),"L"),$R$63:$T$90,3,FALSE),0)-IF(AND($P$16=I$18,$P$14&lt;&gt;$P$15,$P$16=$P$17,RIGHT($P42,3)="2SP"),VLOOKUP(CONCATENATE(LEFT($P42,2),"L"),$R$63:$T$90,3,FALSE),0)-IF(AND($Q$16=I$18,$Q$14&lt;&gt;$Q$15,$Q$16=$Q$17,RIGHT($Q42,3)="2SP"),VLOOKUP(CONCATENATE(LEFT($Q42,2),"L"),$R$63:$T$90,3,FALSE),0)-IF(AND($T$16=I$18,$T$14&lt;&gt;$T$15,$T$16=$T$17,RIGHT($T42,3)="2SP"),VLOOKUP(CONCATENATE(LEFT($T42,2),"L"),$R$63:$T$90,3,FALSE),0)-IF(AND($U$16=I$18,$U$14&lt;&gt;$U$15,$U$16=$U$17,RIGHT($U42,3)="2SP"),VLOOKUP(CONCATENATE(LEFT($U42,2),"L"),$R$63:$T$90,3,FALSE),0)-IF(AND($V$16=I$18,$V$14&lt;&gt;$V$15,$V$16=$V$17,RIGHT($V42,3)="2SP"),VLOOKUP(CONCATENATE(LEFT($V42,2),"L"),$R$63:$T$90,3,FALSE),0)-IF(AND($W$16=I$18,$W$14&lt;&gt;$W$15,$W$16=$W$17,RIGHT($W42,3)="2SP"),VLOOKUP(CONCATENATE(LEFT($W42,2),"L"),$R$63:$T$90,3,FALSE),0)-IF(AND($X$16=I$18,$X$14&lt;&gt;$X$15,$X$16=$X$17,RIGHT($X42,3)="2SP"),VLOOKUP(CONCATENATE(LEFT($X42,2),"L"),$R$63:$T$90,3,FALSE),0)-IF(AND($Y$16=I$18,$Y$14&lt;&gt;$Y$15,$Y$16=$Y$17,RIGHT($Y42,3)="2SP"),VLOOKUP(CONCATENATE(LEFT($Y42,2),"L"),$R$63:$T$90,3,FALSE),0),0),"")</f>
        <v/>
      </c>
      <c r="I42" s="269" t="str">
        <f>IF(I$18&lt;&gt;"",IF(VLOOKUP(CONCATENATE($A$18,"Line"),'Supply Attribution'!$F$31:$G$37,2,FALSE)=I$18,$A42,0)+IF(VLOOKUP(CONCATENATE($B$18,"Line"),'Supply Attribution'!$F$31:$G$37,2,FALSE)=I$18,$B42,0)+IF(VLOOKUP(CONCATENATE($C$18,"Line"),'Supply Attribution'!$F$31:$G$37,2,FALSE)=I$18,$C42,0)+IF(VLOOKUP(CONCATENATE($D$18,"Line"),'Supply Attribution'!$F$31:$G$37,2,FALSE)=I$18,$D42,0)+IF(VLOOKUP(CONCATENATE($E$18,"Line"),'Supply Attribution'!$F$31:$G$37,2,FALSE)=I$18,$E42,0)+IF(VLOOKUP(CONCATENATE($F$18,"Line"),'Supply Attribution'!$F$31:$G$37,2,FALSE)=I$18,$F42,0)+IF($K$6="UL",LEFT($S$90,2),0)-IF(AND($K$16=I$18,$K$14&lt;&gt;$K$15,$K$16=$K$17,RIGHT($K42,3)="2SP"),VLOOKUP(CONCATENATE(LEFT($K42,2),"L"),$R$63:$T$90,3,FALSE),0)-IF(AND($L$16=I$18,$L$14&lt;&gt;$L$15,$L$16=$L$17,RIGHT($L42,3)="2SP"),VLOOKUP(CONCATENATE(LEFT($L42,2),"L"),$R$63:$T$90,3,FALSE),0)-IF(AND($M$16=I$18,$M$14&lt;&gt;$M$15,$M$16=$M$17,RIGHT($M42,3)="2SP"),VLOOKUP(CONCATENATE(LEFT($M42,2),"L"),$R$63:$T$90,3,FALSE),0)-IF(AND($N$16=I$18,$N$14&lt;&gt;$N$15,$N$16=$N$17,RIGHT($N42,3)="2SP"),VLOOKUP(CONCATENATE(LEFT($N42,2),"L"),$R$63:$T$90,3,FALSE),0)-IF(AND($O$16=I$18,$O$14&lt;&gt;$O$15,$O$16=$O$17,RIGHT($O42,3)="2SP"),VLOOKUP(CONCATENATE(LEFT($O42,2),"L"),$R$63:$T$90,3,FALSE),0)-IF(AND($P$16=I$18,$P$14&lt;&gt;$P$15,$P$16=$P$17,RIGHT($P42,3)="2SP"),VLOOKUP(CONCATENATE(LEFT($P42,2),"L"),$R$63:$T$90,3,FALSE),0)-IF(AND($Q$16=I$18,$Q$14&lt;&gt;$Q$15,$Q$16=$Q$17,RIGHT($Q42,3)="2SP"),VLOOKUP(CONCATENATE(LEFT($Q42,2),"L"),$R$63:$T$90,3,FALSE),0)-IF(AND($T$16=I$18,$T$14&lt;&gt;$T$15,$T$16=$T$17,RIGHT($T42,3)="2SP"),VLOOKUP(CONCATENATE(LEFT($T42,2),"L"),$R$63:$T$90,3,FALSE),0)-IF(AND($U$16=I$18,$U$14&lt;&gt;$U$15,$U$16=$U$17,RIGHT($U42,3)="2SP"),VLOOKUP(CONCATENATE(LEFT($U42,2),"L"),$R$63:$T$90,3,FALSE),0)-IF(AND($V$16=I$18,$V$14&lt;&gt;$V$15,$V$16=$V$17,RIGHT($V42,3)="2SP"),VLOOKUP(CONCATENATE(LEFT($V42,2),"L"),$R$63:$T$90,3,FALSE),0)-IF(AND($W$16=I$18,$W$14&lt;&gt;$W$15,$W$16=$W$17,RIGHT($W42,3)="2SP"),VLOOKUP(CONCATENATE(LEFT($W42,2),"L"),$R$63:$T$90,3,FALSE),0)-IF(AND($X$16=I$18,$X$14&lt;&gt;$X$15,$X$16=$X$17,RIGHT($X42,3)="2SP"),VLOOKUP(CONCATENATE(LEFT($X42,2),"L"),$R$63:$T$90,3,FALSE),0)-IF(AND($Y$16=I$18,$Y$14&lt;&gt;$Y$15,$Y$16=$Y$17,RIGHT($Y42,3)="2SP"),VLOOKUP(CONCATENATE(LEFT($Y42,2),"L"),$R$63:$T$90,3,FALSE),0),"")</f>
        <v/>
      </c>
      <c r="J42" s="134"/>
      <c r="K42" s="135"/>
      <c r="L42" s="135"/>
      <c r="M42" s="135"/>
      <c r="N42" s="135"/>
      <c r="O42" s="135"/>
      <c r="P42" s="135"/>
      <c r="Q42" s="135"/>
      <c r="R42" s="135"/>
      <c r="S42" s="135"/>
      <c r="T42" s="135"/>
      <c r="U42" s="135"/>
      <c r="V42" s="135"/>
      <c r="W42" s="135"/>
      <c r="X42" s="135"/>
      <c r="Y42" s="135"/>
      <c r="Z42" s="136"/>
      <c r="AA42" s="136"/>
      <c r="AB42" s="137"/>
      <c r="AC42" s="137"/>
      <c r="AD42" s="137"/>
      <c r="AE42" s="138">
        <f t="shared" si="0"/>
        <v>0</v>
      </c>
      <c r="AF42" s="78"/>
    </row>
    <row r="43" spans="1:32" ht="13.15" customHeight="1">
      <c r="A43" s="264">
        <f>IF(AND($K43&lt;&gt;"",$K43&lt;&gt;"--",$K43&lt;&gt;"O3/CP",$K$14=A$18),IF(LEFT($K43,1)="P",VLOOKUP(CONCATENATE(LEFT($K43,2),"H"),$R$63:$T$91,3,FALSE),VLOOKUP($K43,$R$63:$T$91,3,FALSE)))+IF(AND($K43&lt;&gt;"",$K43&lt;&gt;"O3/CP",$K$15=A$18,MID($K43,4,1)="2",$K$15&lt;&gt;$K$14),VLOOKUP(CONCATENATE(LEFT($K43,2),"L"),$R$63:$T$91,3,FALSE),0)+IF(AND($K43="O3/CP",$K$14=A$18),VLOOKUP("O3",$R$63:$T$91,3,FALSE)+VLOOKUP("CP",$R$63:$T$91,3,FALSE),0)+IF(AND($L43&lt;&gt;"",$L43&lt;&gt;"--",$L43&lt;&gt;"O3/CP",$L$14=A$18),IF(LEFT($L43,1)="P",VLOOKUP(CONCATENATE(LEFT($L43,2),"H"),$R$63:$T$91,3,FALSE),VLOOKUP($L43,$R$63:$T$91,3,FALSE)))+IF(AND($L43&lt;&gt;"",$L43&lt;&gt;"O3/CP",$L$15=A$18,MID($L43,4,1)="2",$L$15&lt;&gt;$L$14),VLOOKUP(CONCATENATE(LEFT($L43,2),"L"),$R$63:$T$91,3,FALSE),0)+IF(AND($L43="O3/CP",$L$14=A$18),VLOOKUP("O3",$R$63:$T$91,3,FALSE)+VLOOKUP("CP",$R$63:$T$91,3,FALSE),0)+IF(AND($M43&lt;&gt;"",$M43&lt;&gt;"--",$M43&lt;&gt;"O3/CP",$M$14=A$18),IF(LEFT($M43,1)="P",VLOOKUP(CONCATENATE(LEFT($M43,2),"H"),$R$63:$T$91,3,FALSE),VLOOKUP($M43,$R$63:$T$91,3,FALSE)))+IF(AND($M43&lt;&gt;"",$M43&lt;&gt;"O3/CP",$M$15=A$18,MID($M43,4,1)="2",$M$15&lt;&gt;$M$14),VLOOKUP(CONCATENATE(LEFT($M43,2),"L"),$R$63:$T$91,3,FALSE),0)+IF(AND($M43="O3/CP",$M$14=A$18),VLOOKUP("O3",$R$63:$T$91,3,FALSE)+VLOOKUP("CP",$R$63:$T$91,3,FALSE),0)+IF(AND($N43&lt;&gt;"",$N43&lt;&gt;"--",$N43&lt;&gt;"O3/CP",$N$14=A$18),IF(LEFT($N43,1)="P",VLOOKUP(CONCATENATE(LEFT($N43,2),"H"),$R$63:$T$91,3,FALSE),VLOOKUP($N43,$R$63:$T$91,3,FALSE)))+IF(AND($N43&lt;&gt;"",$N43&lt;&gt;"O3/CP",$N$15=A$18,MID($N43,4,1)="2",$N$15&lt;&gt;$N$14),VLOOKUP(CONCATENATE(LEFT($N43,2),"L"),$R$63:$T$91,3,FALSE),0)+IF(AND($N43="O3/CP",$N$14=A$18),VLOOKUP("O3",$R$63:$T$91,3,FALSE)+VLOOKUP("CP",$R$63:$T$91,3,FALSE),0)+IF(AND($O43&lt;&gt;"",$O43&lt;&gt;"--",$O43&lt;&gt;"O3/CP",$O$14=A$18),IF(LEFT($O43,1)="P",VLOOKUP(CONCATENATE(LEFT($O43,2),"H"),$R$63:$T$91,3,FALSE),VLOOKUP($O43,$R$63:$T$91,3,FALSE)))+IF(AND($O43&lt;&gt;"",$O43&lt;&gt;"O3/CP",$O$15=A$18,MID($O43,4,1)="2",$O$15&lt;&gt;$O$14),VLOOKUP(CONCATENATE(LEFT($O43,2),"L"),$R$63:$T$91,3,FALSE),0)+IF(AND($O43="O3/CP",$O$14=A$18),VLOOKUP("O3",$R$63:$T$91,3,FALSE)+VLOOKUP("CP",$R$63:$T$91,3,FALSE),0)+IF(AND($P43&lt;&gt;"",$P43&lt;&gt;"--",$P43&lt;&gt;"O3/CP",$P$14=A$18),IF(LEFT($P43,1)="P",VLOOKUP(CONCATENATE(LEFT($P43,2),"H"),$R$63:$T$91,3,FALSE),VLOOKUP($P43,$R$63:$T$91,3,FALSE)))+IF(AND($P43&lt;&gt;"",$P43&lt;&gt;"O3/CP",$P$15=A$18,MID($P43,4,1)="2",$P$15&lt;&gt;$P$14),VLOOKUP(CONCATENATE(LEFT($P43,2),"L"),$R$63:$T$91,3,FALSE),0)+IF(AND($P43="O3/CP",$P$14=A$18),VLOOKUP("O3",$R$63:$T$91,3,FALSE)+VLOOKUP("CP",$R$63:$T$91,3,FALSE),0)+IF(AND($Q43&lt;&gt;"",$Q43&lt;&gt;"--",$Q43&lt;&gt;"O3/CP",$Q$14=A$18),IF(LEFT($Q43,1)="P",VLOOKUP(CONCATENATE(LEFT($Q43,2),"H"),$R$63:$T$91,3,FALSE),VLOOKUP($Q43,$R$63:$T$91,3,FALSE)))+IF(AND($Q43&lt;&gt;"",$Q43&lt;&gt;"O3/CP",$Q$15=A$18,MID($Q43,4,1)="2",$Q$15&lt;&gt;$Q$14),VLOOKUP(CONCATENATE(LEFT($Q43,2),"L"),$R$63:$T$91,3,FALSE),0)+IF(AND($Q43="O3/CP",$Q$14=A$18),VLOOKUP("O3",$R$63:$T$91,3,FALSE)+VLOOKUP("CP",$R$63:$T$91,3,FALSE),0)+IF(AND($R43&lt;&gt;"",$R43&lt;&gt;"--",$R43&lt;&gt;"O3/CP",$R$14=A$18),IF(LEFT($R43,1)="P",VLOOKUP(CONCATENATE(LEFT($R43,2),"H"),$R$63:$T$91,3,FALSE),VLOOKUP($R43,$R$63:$T$91,3,FALSE)))+IF(AND($R43&lt;&gt;"",$R43&lt;&gt;"O3/CP",$R$15=A$18,MID($R43,4,1)="2",$R$15&lt;&gt;$R$14),VLOOKUP(CONCATENATE(LEFT($R43,2),"L"),$R$63:$T$91,3,FALSE),0)+IF(AND($R43="O3/CP",$R$14=A$18),VLOOKUP("O3",$R$63:$T$91,3,FALSE)+VLOOKUP("CP",$R$63:$T$91,3,FALSE),0)+IF(AND($S43&lt;&gt;"",$S43&lt;&gt;"--",$S43&lt;&gt;"O3/CP",$S$14=A$18),IF(LEFT($S43,1)="P",VLOOKUP(CONCATENATE(LEFT($S43,2),"H"),$R$63:$T$91,3,FALSE),VLOOKUP($S43,$R$63:$T$91,3,FALSE)))+IF(AND($S43&lt;&gt;"",$S43&lt;&gt;"O3/CP",$S$15=A$18,MID($S43,4,1)="2",$S$15&lt;&gt;$S$14),VLOOKUP(CONCATENATE(LEFT($S43,2),"L"),$R$63:$T$91,3,FALSE),0)+IF(AND($S43="O3/CP",$S$14=A$18),VLOOKUP("O3",$R$63:$T$91,3,FALSE)+VLOOKUP("CP",$R$63:$T$91,3,FALSE),0)+IF(AND($T43&lt;&gt;"",$T43&lt;&gt;"--",$T43&lt;&gt;"O3/CP",$T$14=A$18),IF(LEFT($T43,1)="P",VLOOKUP(CONCATENATE(LEFT($T43,2),"H"),$R$63:$T$91,3,FALSE),VLOOKUP($T43,$R$63:$T$91,3,FALSE)))+IF(AND($T43&lt;&gt;"",$T43&lt;&gt;"O3/CP",$T$15=A$18,MID($T43,4,1)="2",$T$15&lt;&gt;$T$14),VLOOKUP(CONCATENATE(LEFT($T43,2),"L"),$R$63:$T$91,3,FALSE),0)+IF(AND($T43="O3/CP",$T$14=A$18),VLOOKUP("O3",$R$63:$T$91,3,FALSE)+VLOOKUP("CP",$R$63:$T$91,3,FALSE),0)+IF(AND($U43&lt;&gt;"",$U43&lt;&gt;"--",$U43&lt;&gt;"O3/CP",$U$14=A$18),IF(LEFT($U43,1)="P",VLOOKUP(CONCATENATE(LEFT($U43,2),"H"),$R$63:$T$91,3,FALSE),VLOOKUP($U43,$R$63:$T$91,3,FALSE)))+IF(AND($U43&lt;&gt;"",$U43&lt;&gt;"O3/CP",$U$15=A$18,MID($U43,4,1)="2",$U$15&lt;&gt;$U$14),VLOOKUP(CONCATENATE(LEFT($U43,2),"L"),$R$63:$T$91,3,FALSE),0)+IF(AND($U43="O3/CP",$T$14=A$18),VLOOKUP("O3",$R$63:$T$91,3,FALSE)+VLOOKUP("CP",$R$63:$T$91,3,FALSE),0)+IF(AND($V43&lt;&gt;"",$V43&lt;&gt;"--",$V43&lt;&gt;"O3/CP",$V$14=A$18),IF(LEFT($V43,1)="P",VLOOKUP(CONCATENATE(LEFT($V43,2),"H"),$R$63:$T$91,3,FALSE),VLOOKUP($V43,$R$63:$T$91,3,FALSE)))+IF(AND($V43&lt;&gt;"",$V43&lt;&gt;"O3/CP",$V$15=A$18,MID($V43,4,1)="2",$V$15&lt;&gt;$V$14),VLOOKUP(CONCATENATE(LEFT($V43,2),"L"),$R$63:$T$91,3,FALSE),0)+IF(AND($V43="O3/CP",$V$14=A$18),VLOOKUP("O3",$R$63:$T$91,3,FALSE)+VLOOKUP("CP",$R$63:$T$91,3,FALSE),0)+IF(AND($W43&lt;&gt;"",$W43&lt;&gt;"--",$W43&lt;&gt;"O3/CP",$W$14=A$18),IF(LEFT($W43,1)="P",VLOOKUP(CONCATENATE(LEFT($W43,2),"H"),$R$63:$T$91,3,FALSE),VLOOKUP($W43,$R$63:$T$91,3,FALSE)))+IF(AND($W43&lt;&gt;"",$W43&lt;&gt;"O3/CP",$W$15=A$18,MID($W43,4,1)="2",$W$15&lt;&gt;$W$14),VLOOKUP(CONCATENATE(LEFT($W43,2),"L"),$R$63:$T$91,3,FALSE),0)+IF(AND($W43="O3/CP",$W$14=A$18),VLOOKUP("O3",$R$63:$T$91,3,FALSE)+VLOOKUP("CP",$R$63:$T$91,3,FALSE),0)+IF(AND($X43&lt;&gt;"",$X43&lt;&gt;"--",$X43&lt;&gt;"O3/CP",$X$14=A$18),IF(LEFT($X43,1)="P",VLOOKUP(CONCATENATE(LEFT($X43,2),"H"),$R$63:$T$91,3,FALSE),VLOOKUP($X43,$R$63:$T$91,3,FALSE)))+IF(AND($X43&lt;&gt;"",$X43&lt;&gt;"O3/CP",$X$15=A$18,MID($X43,4,1)="2",$X$15&lt;&gt;$X$14),VLOOKUP(CONCATENATE(LEFT($X43,2),"L"),$R$63:$T$91,3,FALSE),0)+IF(AND($X43="O3/CP",$X$14=A$18),VLOOKUP("O3",$R$63:$T$91,3,FALSE)+VLOOKUP("CP",$R$63:$T$91,3,FALSE),0)+IF(AND($Y43&lt;&gt;"",$Y43&lt;&gt;"--",$Y43&lt;&gt;"O3/CP",$Y$14=A$18),IF(LEFT($Y43,1)="P",VLOOKUP(CONCATENATE(LEFT($Y43,2),"H"),$R$63:$T$91,3,FALSE),VLOOKUP($Y43,$R$63:$T$91,3,FALSE)))+IF(AND($Y43&lt;&gt;"",$Y43&lt;&gt;"O3/CP",$Y$15=A$18,MID($Y43,4,1)="2",$Y$15&lt;&gt;$Y$14),VLOOKUP(CONCATENATE(LEFT($Y43,2),"L"),$R$63:$T$91,3,FALSE),0)+IF(AND($Y43="O3/CP",$Y$14=A$18),VLOOKUP("O3",$R$63:$T$91,3,FALSE)+VLOOKUP("CP",$R$63:$T$91,3,FALSE),0)+IF(AND($K$6="CE",'[3]Supply Attribution'!$G$20=A$18),LEFT($S$90,2),0)+IF(AND($X$86&lt;&gt;"Not Set",$X$87=A$18),$X$86,0)</f>
        <v>0</v>
      </c>
      <c r="B43" s="271">
        <f>IF(AND($K43&lt;&gt;"",$K43&lt;&gt;"--",$K43&lt;&gt;"O3/CP",$K$14=B$18),IF(LEFT($K43,1)="P",VLOOKUP(CONCATENATE(LEFT($K43,2),"H"),$R$63:$T$91,3,FALSE),VLOOKUP($K43,$R$63:$T$91,3,FALSE)))+IF(AND($K43&lt;&gt;"",$K43&lt;&gt;"O3/CP",$K$15=B$18,MID($K43,4,1)="2",$K$15&lt;&gt;$K$14),VLOOKUP(CONCATENATE(LEFT($K43,2),"L"),$R$63:$T$91,3,FALSE),0)+IF(AND($K43="O3/CP",$K$14=B$18),VLOOKUP("O3",$R$63:$T$91,3,FALSE)+VLOOKUP("CP",$R$63:$T$91,3,FALSE),0)+IF(AND($L43&lt;&gt;"",$L43&lt;&gt;"--",$L43&lt;&gt;"O3/CP",$L$14=B$18),IF(LEFT($L43,1)="P",VLOOKUP(CONCATENATE(LEFT($L43,2),"H"),$R$63:$T$91,3,FALSE),VLOOKUP($L43,$R$63:$T$91,3,FALSE)))+IF(AND($L43&lt;&gt;"",$L43&lt;&gt;"O3/CP",$L$15=B$18,MID($L43,4,1)="2",$L$15&lt;&gt;$L$14),VLOOKUP(CONCATENATE(LEFT($L43,2),"L"),$R$63:$T$91,3,FALSE),0)+IF(AND($L43="O3/CP",$L$14=B$18),VLOOKUP("O3",$R$63:$T$91,3,FALSE)+VLOOKUP("CP",$R$63:$T$91,3,FALSE),0)+IF(AND($M43&lt;&gt;"",$M43&lt;&gt;"--",$M43&lt;&gt;"O3/CP",$M$14=B$18),IF(LEFT($M43,1)="P",VLOOKUP(CONCATENATE(LEFT($M43,2),"H"),$R$63:$T$91,3,FALSE),VLOOKUP($M43,$R$63:$T$91,3,FALSE)))+IF(AND($M43&lt;&gt;"",$M43&lt;&gt;"O3/CP",$M$15=B$18,MID($M43,4,1)="2",$M$15&lt;&gt;$M$14),VLOOKUP(CONCATENATE(LEFT($M43,2),"L"),$R$63:$T$91,3,FALSE),0)+IF(AND($M43="O3/CP",$M$14=B$18),VLOOKUP("O3",$R$63:$T$91,3,FALSE)+VLOOKUP("CP",$R$63:$T$91,3,FALSE),0)+IF(AND($N43&lt;&gt;"",$N43&lt;&gt;"--",$N43&lt;&gt;"O3/CP",$N$14=B$18),IF(LEFT($N43,1)="P",VLOOKUP(CONCATENATE(LEFT($N43,2),"H"),$R$63:$T$91,3,FALSE),VLOOKUP($N43,$R$63:$T$91,3,FALSE)))+IF(AND($N43&lt;&gt;"",$N43&lt;&gt;"O3/CP",$N$15=B$18,MID($N43,4,1)="2",$N$15&lt;&gt;$N$14),VLOOKUP(CONCATENATE(LEFT($N43,2),"L"),$R$63:$T$91,3,FALSE),0)+IF(AND($N43="O3/CP",$N$14=B$18),VLOOKUP("O3",$R$63:$T$91,3,FALSE)+VLOOKUP("CP",$R$63:$T$91,3,FALSE),0)+IF(AND($O43&lt;&gt;"",$O43&lt;&gt;"--",$O43&lt;&gt;"O3/CP",$O$14=B$18),IF(LEFT($O43,1)="P",VLOOKUP(CONCATENATE(LEFT($O43,2),"H"),$R$63:$T$91,3,FALSE),VLOOKUP($O43,$R$63:$T$91,3,FALSE)))+IF(AND($O43&lt;&gt;"",$O43&lt;&gt;"O3/CP",$O$15=B$18,MID($O43,4,1)="2",$O$15&lt;&gt;$O$14),VLOOKUP(CONCATENATE(LEFT($O43,2),"L"),$R$63:$T$91,3,FALSE),0)+IF(AND($O43="O3/CP",$O$14=B$18),VLOOKUP("O3",$R$63:$T$91,3,FALSE)+VLOOKUP("CP",$R$63:$T$91,3,FALSE),0)+IF(AND($P43&lt;&gt;"",$P43&lt;&gt;"--",$P43&lt;&gt;"O3/CP",$P$14=B$18),IF(LEFT($P43,1)="P",VLOOKUP(CONCATENATE(LEFT($P43,2),"H"),$R$63:$T$91,3,FALSE),VLOOKUP($P43,$R$63:$T$91,3,FALSE)))+IF(AND($P43&lt;&gt;"",$P43&lt;&gt;"O3/CP",$P$15=B$18,MID($P43,4,1)="2",$P$15&lt;&gt;$P$14),VLOOKUP(CONCATENATE(LEFT($P43,2),"L"),$R$63:$T$91,3,FALSE),0)+IF(AND($P43="O3/CP",$P$14=B$18),VLOOKUP("O3",$R$63:$T$91,3,FALSE)+VLOOKUP("CP",$R$63:$T$91,3,FALSE),0)+IF(AND($Q43&lt;&gt;"",$Q43&lt;&gt;"--",$Q43&lt;&gt;"O3/CP",$Q$14=B$18),IF(LEFT($Q43,1)="P",VLOOKUP(CONCATENATE(LEFT($Q43,2),"H"),$R$63:$T$91,3,FALSE),VLOOKUP($Q43,$R$63:$T$91,3,FALSE)))+IF(AND($Q43&lt;&gt;"",$Q43&lt;&gt;"O3/CP",$Q$15=B$18,MID($Q43,4,1)="2",$Q$15&lt;&gt;$Q$14),VLOOKUP(CONCATENATE(LEFT($Q43,2),"L"),$R$63:$T$91,3,FALSE),0)+IF(AND($Q43="O3/CP",$Q$14=B$18),VLOOKUP("O3",$R$63:$T$91,3,FALSE)+VLOOKUP("CP",$R$63:$T$91,3,FALSE),0)+IF(AND($R43&lt;&gt;"",$R43&lt;&gt;"--",$R43&lt;&gt;"O3/CP",$R$14=B$18),IF(LEFT($R43,1)="P",VLOOKUP(CONCATENATE(LEFT($R43,2),"H"),$R$63:$T$91,3,FALSE),VLOOKUP($R43,$R$63:$T$91,3,FALSE)))+IF(AND($R43&lt;&gt;"",$R43&lt;&gt;"O3/CP",$R$15=B$18,MID($R43,4,1)="2",$R$15&lt;&gt;$R$14),VLOOKUP(CONCATENATE(LEFT($R43,2),"L"),$R$63:$T$91,3,FALSE),0)+IF(AND($R43="O3/CP",$R$14=B$18),VLOOKUP("O3",$R$63:$T$91,3,FALSE)+VLOOKUP("CP",$R$63:$T$91,3,FALSE),0)+IF(AND($S43&lt;&gt;"",$S43&lt;&gt;"--",$S43&lt;&gt;"O3/CP",$S$14=B$18),IF(LEFT($S43,1)="P",VLOOKUP(CONCATENATE(LEFT($S43,2),"H"),$R$63:$T$91,3,FALSE),VLOOKUP($S43,$R$63:$T$91,3,FALSE)))+IF(AND($S43&lt;&gt;"",$S43&lt;&gt;"O3/CP",$S$15=B$18,MID($S43,4,1)="2",$S$15&lt;&gt;$S$14),VLOOKUP(CONCATENATE(LEFT($S43,2),"L"),$R$63:$T$91,3,FALSE),0)+IF(AND($S43="O3/CP",$S$14=B$18),VLOOKUP("O3",$R$63:$T$91,3,FALSE)+VLOOKUP("CP",$R$63:$T$91,3,FALSE),0)+IF(AND($T43&lt;&gt;"",$T43&lt;&gt;"--",$T43&lt;&gt;"O3/CP",$T$14=B$18),IF(LEFT($T43,1)="P",VLOOKUP(CONCATENATE(LEFT($T43,2),"H"),$R$63:$T$91,3,FALSE),VLOOKUP($T43,$R$63:$T$91,3,FALSE)))+IF(AND($T43&lt;&gt;"",$T43&lt;&gt;"O3/CP",$T$15=B$18,MID($T43,4,1)="2",$T$15&lt;&gt;$T$14),VLOOKUP(CONCATENATE(LEFT($T43,2),"L"),$R$63:$T$91,3,FALSE),0)+IF(AND($T43="O3/CP",$T$14=B$18),VLOOKUP("O3",$R$63:$T$91,3,FALSE)+VLOOKUP("CP",$R$63:$T$91,3,FALSE),0)+IF(AND($U43&lt;&gt;"",$U43&lt;&gt;"--",$U43&lt;&gt;"O3/CP",$U$14=B$18),IF(LEFT($U43,1)="P",VLOOKUP(CONCATENATE(LEFT($U43,2),"H"),$R$63:$T$91,3,FALSE),VLOOKUP($U43,$R$63:$T$91,3,FALSE)))+IF(AND($U43&lt;&gt;"",$U43&lt;&gt;"O3/CP",$U$15=B$18,MID($U43,4,1)="2",$U$15&lt;&gt;$U$14),VLOOKUP(CONCATENATE(LEFT($U43,2),"L"),$R$63:$T$91,3,FALSE),0)+IF(AND($U43="O3/CP",$T$14=B$18),VLOOKUP("O3",$R$63:$T$91,3,FALSE)+VLOOKUP("CP",$R$63:$T$91,3,FALSE),0)+IF(AND($V43&lt;&gt;"",$V43&lt;&gt;"--",$V43&lt;&gt;"O3/CP",$V$14=B$18),IF(LEFT($V43,1)="P",VLOOKUP(CONCATENATE(LEFT($V43,2),"H"),$R$63:$T$91,3,FALSE),VLOOKUP($V43,$R$63:$T$91,3,FALSE)))+IF(AND($V43&lt;&gt;"",$V43&lt;&gt;"O3/CP",$V$15=B$18,MID($V43,4,1)="2",$V$15&lt;&gt;$V$14),VLOOKUP(CONCATENATE(LEFT($V43,2),"L"),$R$63:$T$91,3,FALSE),0)+IF(AND($V43="O3/CP",$V$14=B$18),VLOOKUP("O3",$R$63:$T$91,3,FALSE)+VLOOKUP("CP",$R$63:$T$91,3,FALSE),0)+IF(AND($W43&lt;&gt;"",$W43&lt;&gt;"--",$W43&lt;&gt;"O3/CP",$W$14=B$18),IF(LEFT($W43,1)="P",VLOOKUP(CONCATENATE(LEFT($W43,2),"H"),$R$63:$T$91,3,FALSE),VLOOKUP($W43,$R$63:$T$91,3,FALSE)))+IF(AND($W43&lt;&gt;"",$W43&lt;&gt;"O3/CP",$W$15=B$18,MID($W43,4,1)="2",$W$15&lt;&gt;$W$14),VLOOKUP(CONCATENATE(LEFT($W43,2),"L"),$R$63:$T$91,3,FALSE),0)+IF(AND($W43="O3/CP",$W$14=B$18),VLOOKUP("O3",$R$63:$T$91,3,FALSE)+VLOOKUP("CP",$R$63:$T$91,3,FALSE),0)+IF(AND($X43&lt;&gt;"",$X43&lt;&gt;"--",$X43&lt;&gt;"O3/CP",$X$14=B$18),IF(LEFT($X43,1)="P",VLOOKUP(CONCATENATE(LEFT($X43,2),"H"),$R$63:$T$91,3,FALSE),VLOOKUP($X43,$R$63:$T$91,3,FALSE)))+IF(AND($X43&lt;&gt;"",$X43&lt;&gt;"O3/CP",$X$15=B$18,MID($X43,4,1)="2",$X$15&lt;&gt;$X$14),VLOOKUP(CONCATENATE(LEFT($X43,2),"L"),$R$63:$T$91,3,FALSE),0)+IF(AND($X43="O3/CP",$X$14=B$18),VLOOKUP("O3",$R$63:$T$91,3,FALSE)+VLOOKUP("CP",$R$63:$T$91,3,FALSE),0)+IF(AND($Y43&lt;&gt;"",$Y43&lt;&gt;"--",$Y43&lt;&gt;"O3/CP",$Y$14=B$18),IF(LEFT($Y43,1)="P",VLOOKUP(CONCATENATE(LEFT($Y43,2),"H"),$R$63:$T$91,3,FALSE),VLOOKUP($Y43,$R$63:$T$91,3,FALSE)))+IF(AND($Y43&lt;&gt;"",$Y43&lt;&gt;"O3/CP",$Y$15=B$18,MID($Y43,4,1)="2",$Y$15&lt;&gt;$Y$14),VLOOKUP(CONCATENATE(LEFT($Y43,2),"L"),$R$63:$T$91,3,FALSE),0)+IF(AND($Y43="O3/CP",$Y$14=B$18),VLOOKUP("O3",$R$63:$T$91,3,FALSE)+VLOOKUP("CP",$R$63:$T$91,3,FALSE),0)+IF(AND($K$6="CE",'[3]Supply Attribution'!$G$20=B$18),LEFT($S$90,2),0)+IF(AND($X$86&lt;&gt;"Not Set",$X$87=B$18),$X$86,0)</f>
        <v>0</v>
      </c>
      <c r="C43" s="271">
        <f>IF(AND($K43&lt;&gt;"",$K43&lt;&gt;"--",$K43&lt;&gt;"O3/CP",$K$14=C$18),IF(LEFT($K43,1)="P",VLOOKUP(CONCATENATE(LEFT($K43,2),"H"),$R$63:$T$91,3,FALSE),VLOOKUP($K43,$R$63:$T$91,3,FALSE)))+IF(AND($K43&lt;&gt;"",$K43&lt;&gt;"O3/CP",$K$15=C$18,MID($K43,4,1)="2",$K$15&lt;&gt;$K$14),VLOOKUP(CONCATENATE(LEFT($K43,2),"L"),$R$63:$T$91,3,FALSE),0)+IF(AND($K43="O3/CP",$K$14=C$18),VLOOKUP("O3",$R$63:$T$91,3,FALSE)+VLOOKUP("CP",$R$63:$T$91,3,FALSE),0)+IF(AND($L43&lt;&gt;"",$L43&lt;&gt;"--",$L43&lt;&gt;"O3/CP",$L$14=C$18),IF(LEFT($L43,1)="P",VLOOKUP(CONCATENATE(LEFT($L43,2),"H"),$R$63:$T$91,3,FALSE),VLOOKUP($L43,$R$63:$T$91,3,FALSE)))+IF(AND($L43&lt;&gt;"",$L43&lt;&gt;"O3/CP",$L$15=C$18,MID($L43,4,1)="2",$L$15&lt;&gt;$L$14),VLOOKUP(CONCATENATE(LEFT($L43,2),"L"),$R$63:$T$91,3,FALSE),0)+IF(AND($L43="O3/CP",$L$14=C$18),VLOOKUP("O3",$R$63:$T$91,3,FALSE)+VLOOKUP("CP",$R$63:$T$91,3,FALSE),0)+IF(AND($M43&lt;&gt;"",$M43&lt;&gt;"--",$M43&lt;&gt;"O3/CP",$M$14=C$18),IF(LEFT($M43,1)="P",VLOOKUP(CONCATENATE(LEFT($M43,2),"H"),$R$63:$T$91,3,FALSE),VLOOKUP($M43,$R$63:$T$91,3,FALSE)))+IF(AND($M43&lt;&gt;"",$M43&lt;&gt;"O3/CP",$M$15=C$18,MID($M43,4,1)="2",$M$15&lt;&gt;$M$14),VLOOKUP(CONCATENATE(LEFT($M43,2),"L"),$R$63:$T$91,3,FALSE),0)+IF(AND($M43="O3/CP",$M$14=C$18),VLOOKUP("O3",$R$63:$T$91,3,FALSE)+VLOOKUP("CP",$R$63:$T$91,3,FALSE),0)+IF(AND($N43&lt;&gt;"",$N43&lt;&gt;"--",$N43&lt;&gt;"O3/CP",$N$14=C$18),IF(LEFT($N43,1)="P",VLOOKUP(CONCATENATE(LEFT($N43,2),"H"),$R$63:$T$91,3,FALSE),VLOOKUP($N43,$R$63:$T$91,3,FALSE)))+IF(AND($N43&lt;&gt;"",$N43&lt;&gt;"O3/CP",$N$15=C$18,MID($N43,4,1)="2",$N$15&lt;&gt;$N$14),VLOOKUP(CONCATENATE(LEFT($N43,2),"L"),$R$63:$T$91,3,FALSE),0)+IF(AND($N43="O3/CP",$N$14=C$18),VLOOKUP("O3",$R$63:$T$91,3,FALSE)+VLOOKUP("CP",$R$63:$T$91,3,FALSE),0)+IF(AND($O43&lt;&gt;"",$O43&lt;&gt;"--",$O43&lt;&gt;"O3/CP",$O$14=C$18),IF(LEFT($O43,1)="P",VLOOKUP(CONCATENATE(LEFT($O43,2),"H"),$R$63:$T$91,3,FALSE),VLOOKUP($O43,$R$63:$T$91,3,FALSE)))+IF(AND($O43&lt;&gt;"",$O43&lt;&gt;"O3/CP",$O$15=C$18,MID($O43,4,1)="2",$O$15&lt;&gt;$O$14),VLOOKUP(CONCATENATE(LEFT($O43,2),"L"),$R$63:$T$91,3,FALSE),0)+IF(AND($O43="O3/CP",$O$14=C$18),VLOOKUP("O3",$R$63:$T$91,3,FALSE)+VLOOKUP("CP",$R$63:$T$91,3,FALSE),0)+IF(AND($P43&lt;&gt;"",$P43&lt;&gt;"--",$P43&lt;&gt;"O3/CP",$P$14=C$18),IF(LEFT($P43,1)="P",VLOOKUP(CONCATENATE(LEFT($P43,2),"H"),$R$63:$T$91,3,FALSE),VLOOKUP($P43,$R$63:$T$91,3,FALSE)))+IF(AND($P43&lt;&gt;"",$P43&lt;&gt;"O3/CP",$P$15=C$18,MID($P43,4,1)="2",$P$15&lt;&gt;$P$14),VLOOKUP(CONCATENATE(LEFT($P43,2),"L"),$R$63:$T$91,3,FALSE),0)+IF(AND($P43="O3/CP",$P$14=C$18),VLOOKUP("O3",$R$63:$T$91,3,FALSE)+VLOOKUP("CP",$R$63:$T$91,3,FALSE),0)+IF(AND($Q43&lt;&gt;"",$Q43&lt;&gt;"--",$Q43&lt;&gt;"O3/CP",$Q$14=C$18),IF(LEFT($Q43,1)="P",VLOOKUP(CONCATENATE(LEFT($Q43,2),"H"),$R$63:$T$91,3,FALSE),VLOOKUP($Q43,$R$63:$T$91,3,FALSE)))+IF(AND($Q43&lt;&gt;"",$Q43&lt;&gt;"O3/CP",$Q$15=C$18,MID($Q43,4,1)="2",$Q$15&lt;&gt;$Q$14),VLOOKUP(CONCATENATE(LEFT($Q43,2),"L"),$R$63:$T$91,3,FALSE),0)+IF(AND($Q43="O3/CP",$Q$14=C$18),VLOOKUP("O3",$R$63:$T$91,3,FALSE)+VLOOKUP("CP",$R$63:$T$91,3,FALSE),0)+IF(AND($R43&lt;&gt;"",$R43&lt;&gt;"--",$R43&lt;&gt;"O3/CP",$R$14=C$18),IF(LEFT($R43,1)="P",VLOOKUP(CONCATENATE(LEFT($R43,2),"H"),$R$63:$T$91,3,FALSE),VLOOKUP($R43,$R$63:$T$91,3,FALSE)))+IF(AND($R43&lt;&gt;"",$R43&lt;&gt;"O3/CP",$R$15=C$18,MID($R43,4,1)="2",$R$15&lt;&gt;$R$14),VLOOKUP(CONCATENATE(LEFT($R43,2),"L"),$R$63:$T$91,3,FALSE),0)+IF(AND($R43="O3/CP",$R$14=C$18),VLOOKUP("O3",$R$63:$T$91,3,FALSE)+VLOOKUP("CP",$R$63:$T$91,3,FALSE),0)+IF(AND($S43&lt;&gt;"",$S43&lt;&gt;"--",$S43&lt;&gt;"O3/CP",$S$14=C$18),IF(LEFT($S43,1)="P",VLOOKUP(CONCATENATE(LEFT($S43,2),"H"),$R$63:$T$91,3,FALSE),VLOOKUP($S43,$R$63:$T$91,3,FALSE)))+IF(AND($S43&lt;&gt;"",$S43&lt;&gt;"O3/CP",$S$15=C$18,MID($S43,4,1)="2",$S$15&lt;&gt;$S$14),VLOOKUP(CONCATENATE(LEFT($S43,2),"L"),$R$63:$T$91,3,FALSE),0)+IF(AND($S43="O3/CP",$S$14=C$18),VLOOKUP("O3",$R$63:$T$91,3,FALSE)+VLOOKUP("CP",$R$63:$T$91,3,FALSE),0)+IF(AND($T43&lt;&gt;"",$T43&lt;&gt;"--",$T43&lt;&gt;"O3/CP",$T$14=C$18),IF(LEFT($T43,1)="P",VLOOKUP(CONCATENATE(LEFT($T43,2),"H"),$R$63:$T$91,3,FALSE),VLOOKUP($T43,$R$63:$T$91,3,FALSE)))+IF(AND($T43&lt;&gt;"",$T43&lt;&gt;"O3/CP",$T$15=C$18,MID($T43,4,1)="2",$T$15&lt;&gt;$T$14),VLOOKUP(CONCATENATE(LEFT($T43,2),"L"),$R$63:$T$91,3,FALSE),0)+IF(AND($T43="O3/CP",$T$14=C$18),VLOOKUP("O3",$R$63:$T$91,3,FALSE)+VLOOKUP("CP",$R$63:$T$91,3,FALSE),0)+IF(AND($U43&lt;&gt;"",$U43&lt;&gt;"--",$U43&lt;&gt;"O3/CP",$U$14=C$18),IF(LEFT($U43,1)="P",VLOOKUP(CONCATENATE(LEFT($U43,2),"H"),$R$63:$T$91,3,FALSE),VLOOKUP($U43,$R$63:$T$91,3,FALSE)))+IF(AND($U43&lt;&gt;"",$U43&lt;&gt;"O3/CP",$U$15=C$18,MID($U43,4,1)="2",$U$15&lt;&gt;$U$14),VLOOKUP(CONCATENATE(LEFT($U43,2),"L"),$R$63:$T$91,3,FALSE),0)+IF(AND($U43="O3/CP",$T$14=C$18),VLOOKUP("O3",$R$63:$T$91,3,FALSE)+VLOOKUP("CP",$R$63:$T$91,3,FALSE),0)+IF(AND($V43&lt;&gt;"",$V43&lt;&gt;"--",$V43&lt;&gt;"O3/CP",$V$14=C$18),IF(LEFT($V43,1)="P",VLOOKUP(CONCATENATE(LEFT($V43,2),"H"),$R$63:$T$91,3,FALSE),VLOOKUP($V43,$R$63:$T$91,3,FALSE)))+IF(AND($V43&lt;&gt;"",$V43&lt;&gt;"O3/CP",$V$15=C$18,MID($V43,4,1)="2",$V$15&lt;&gt;$V$14),VLOOKUP(CONCATENATE(LEFT($V43,2),"L"),$R$63:$T$91,3,FALSE),0)+IF(AND($V43="O3/CP",$V$14=C$18),VLOOKUP("O3",$R$63:$T$91,3,FALSE)+VLOOKUP("CP",$R$63:$T$91,3,FALSE),0)+IF(AND($W43&lt;&gt;"",$W43&lt;&gt;"--",$W43&lt;&gt;"O3/CP",$W$14=C$18),IF(LEFT($W43,1)="P",VLOOKUP(CONCATENATE(LEFT($W43,2),"H"),$R$63:$T$91,3,FALSE),VLOOKUP($W43,$R$63:$T$91,3,FALSE)))+IF(AND($W43&lt;&gt;"",$W43&lt;&gt;"O3/CP",$W$15=C$18,MID($W43,4,1)="2",$W$15&lt;&gt;$W$14),VLOOKUP(CONCATENATE(LEFT($W43,2),"L"),$R$63:$T$91,3,FALSE),0)+IF(AND($W43="O3/CP",$W$14=C$18),VLOOKUP("O3",$R$63:$T$91,3,FALSE)+VLOOKUP("CP",$R$63:$T$91,3,FALSE),0)+IF(AND($X43&lt;&gt;"",$X43&lt;&gt;"--",$X43&lt;&gt;"O3/CP",$X$14=C$18),IF(LEFT($X43,1)="P",VLOOKUP(CONCATENATE(LEFT($X43,2),"H"),$R$63:$T$91,3,FALSE),VLOOKUP($X43,$R$63:$T$91,3,FALSE)))+IF(AND($X43&lt;&gt;"",$X43&lt;&gt;"O3/CP",$X$15=C$18,MID($X43,4,1)="2",$X$15&lt;&gt;$X$14),VLOOKUP(CONCATENATE(LEFT($X43,2),"L"),$R$63:$T$91,3,FALSE),0)+IF(AND($X43="O3/CP",$X$14=C$18),VLOOKUP("O3",$R$63:$T$91,3,FALSE)+VLOOKUP("CP",$R$63:$T$91,3,FALSE),0)+IF(AND($Y43&lt;&gt;"",$Y43&lt;&gt;"--",$Y43&lt;&gt;"O3/CP",$Y$14=C$18),IF(LEFT($Y43,1)="P",VLOOKUP(CONCATENATE(LEFT($Y43,2),"H"),$R$63:$T$91,3,FALSE),VLOOKUP($Y43,$R$63:$T$91,3,FALSE)))+IF(AND($Y43&lt;&gt;"",$Y43&lt;&gt;"O3/CP",$Y$15=C$18,MID($Y43,4,1)="2",$Y$15&lt;&gt;$Y$14),VLOOKUP(CONCATENATE(LEFT($Y43,2),"L"),$R$63:$T$91,3,FALSE),0)+IF(AND($Y43="O3/CP",$Y$14=C$18),VLOOKUP("O3",$R$63:$T$91,3,FALSE)+VLOOKUP("CP",$R$63:$T$91,3,FALSE),0)+IF(AND($K$6="CE",'[3]Supply Attribution'!$G$20=C$18),LEFT($S$90,2),0)+IF(AND($X$86&lt;&gt;"Not Set",$X$87=C$18),$X$86,0)</f>
        <v>0</v>
      </c>
      <c r="D43" s="271">
        <f>IF(AND($K43&lt;&gt;"",$K43&lt;&gt;"--",$K43&lt;&gt;"O3/CP",$K$14=D$18),IF(LEFT($K43,1)="P",VLOOKUP(CONCATENATE(LEFT($K43,2),"H"),$R$63:$T$91,3,FALSE),VLOOKUP($K43,$R$63:$T$91,3,FALSE)))+IF(AND($K43&lt;&gt;"",$K43&lt;&gt;"O3/CP",$K$15=D$18,MID($K43,4,1)="2",$K$15&lt;&gt;$K$14),VLOOKUP(CONCATENATE(LEFT($K43,2),"L"),$R$63:$T$91,3,FALSE),0)+IF(AND($K43="O3/CP",$K$14=D$18),VLOOKUP("O3",$R$63:$T$91,3,FALSE)+VLOOKUP("CP",$R$63:$T$91,3,FALSE),0)+IF(AND($L43&lt;&gt;"",$L43&lt;&gt;"--",$L43&lt;&gt;"O3/CP",$L$14=D$18),IF(LEFT($L43,1)="P",VLOOKUP(CONCATENATE(LEFT($L43,2),"H"),$R$63:$T$91,3,FALSE),VLOOKUP($L43,$R$63:$T$91,3,FALSE)))+IF(AND($L43&lt;&gt;"",$L43&lt;&gt;"O3/CP",$L$15=D$18,MID($L43,4,1)="2",$L$15&lt;&gt;$L$14),VLOOKUP(CONCATENATE(LEFT($L43,2),"L"),$R$63:$T$91,3,FALSE),0)+IF(AND($L43="O3/CP",$L$14=D$18),VLOOKUP("O3",$R$63:$T$91,3,FALSE)+VLOOKUP("CP",$R$63:$T$91,3,FALSE),0)+IF(AND($M43&lt;&gt;"",$M43&lt;&gt;"--",$M43&lt;&gt;"O3/CP",$M$14=D$18),IF(LEFT($M43,1)="P",VLOOKUP(CONCATENATE(LEFT($M43,2),"H"),$R$63:$T$91,3,FALSE),VLOOKUP($M43,$R$63:$T$91,3,FALSE)))+IF(AND($M43&lt;&gt;"",$M43&lt;&gt;"O3/CP",$M$15=D$18,MID($M43,4,1)="2",$M$15&lt;&gt;$M$14),VLOOKUP(CONCATENATE(LEFT($M43,2),"L"),$R$63:$T$91,3,FALSE),0)+IF(AND($M43="O3/CP",$M$14=D$18),VLOOKUP("O3",$R$63:$T$91,3,FALSE)+VLOOKUP("CP",$R$63:$T$91,3,FALSE),0)+IF(AND($N43&lt;&gt;"",$N43&lt;&gt;"--",$N43&lt;&gt;"O3/CP",$N$14=D$18),IF(LEFT($N43,1)="P",VLOOKUP(CONCATENATE(LEFT($N43,2),"H"),$R$63:$T$91,3,FALSE),VLOOKUP($N43,$R$63:$T$91,3,FALSE)))+IF(AND($N43&lt;&gt;"",$N43&lt;&gt;"O3/CP",$N$15=D$18,MID($N43,4,1)="2",$N$15&lt;&gt;$N$14),VLOOKUP(CONCATENATE(LEFT($N43,2),"L"),$R$63:$T$91,3,FALSE),0)+IF(AND($N43="O3/CP",$N$14=D$18),VLOOKUP("O3",$R$63:$T$91,3,FALSE)+VLOOKUP("CP",$R$63:$T$91,3,FALSE),0)+IF(AND($O43&lt;&gt;"",$O43&lt;&gt;"--",$O43&lt;&gt;"O3/CP",$O$14=D$18),IF(LEFT($O43,1)="P",VLOOKUP(CONCATENATE(LEFT($O43,2),"H"),$R$63:$T$91,3,FALSE),VLOOKUP($O43,$R$63:$T$91,3,FALSE)))+IF(AND($O43&lt;&gt;"",$O43&lt;&gt;"O3/CP",$O$15=D$18,MID($O43,4,1)="2",$O$15&lt;&gt;$O$14),VLOOKUP(CONCATENATE(LEFT($O43,2),"L"),$R$63:$T$91,3,FALSE),0)+IF(AND($O43="O3/CP",$O$14=D$18),VLOOKUP("O3",$R$63:$T$91,3,FALSE)+VLOOKUP("CP",$R$63:$T$91,3,FALSE),0)+IF(AND($P43&lt;&gt;"",$P43&lt;&gt;"--",$P43&lt;&gt;"O3/CP",$P$14=D$18),IF(LEFT($P43,1)="P",VLOOKUP(CONCATENATE(LEFT($P43,2),"H"),$R$63:$T$91,3,FALSE),VLOOKUP($P43,$R$63:$T$91,3,FALSE)))+IF(AND($P43&lt;&gt;"",$P43&lt;&gt;"O3/CP",$P$15=D$18,MID($P43,4,1)="2",$P$15&lt;&gt;$P$14),VLOOKUP(CONCATENATE(LEFT($P43,2),"L"),$R$63:$T$91,3,FALSE),0)+IF(AND($P43="O3/CP",$P$14=D$18),VLOOKUP("O3",$R$63:$T$91,3,FALSE)+VLOOKUP("CP",$R$63:$T$91,3,FALSE),0)+IF(AND($Q43&lt;&gt;"",$Q43&lt;&gt;"--",$Q43&lt;&gt;"O3/CP",$Q$14=D$18),IF(LEFT($Q43,1)="P",VLOOKUP(CONCATENATE(LEFT($Q43,2),"H"),$R$63:$T$91,3,FALSE),VLOOKUP($Q43,$R$63:$T$91,3,FALSE)))+IF(AND($Q43&lt;&gt;"",$Q43&lt;&gt;"O3/CP",$Q$15=D$18,MID($Q43,4,1)="2",$Q$15&lt;&gt;$Q$14),VLOOKUP(CONCATENATE(LEFT($Q43,2),"L"),$R$63:$T$91,3,FALSE),0)+IF(AND($Q43="O3/CP",$Q$14=D$18),VLOOKUP("O3",$R$63:$T$91,3,FALSE)+VLOOKUP("CP",$R$63:$T$91,3,FALSE),0)+IF(AND($R43&lt;&gt;"",$R43&lt;&gt;"--",$R43&lt;&gt;"O3/CP",$R$14=D$18),IF(LEFT($R43,1)="P",VLOOKUP(CONCATENATE(LEFT($R43,2),"H"),$R$63:$T$91,3,FALSE),VLOOKUP($R43,$R$63:$T$91,3,FALSE)))+IF(AND($R43&lt;&gt;"",$R43&lt;&gt;"O3/CP",$R$15=D$18,MID($R43,4,1)="2",$R$15&lt;&gt;$R$14),VLOOKUP(CONCATENATE(LEFT($R43,2),"L"),$R$63:$T$91,3,FALSE),0)+IF(AND($R43="O3/CP",$R$14=D$18),VLOOKUP("O3",$R$63:$T$91,3,FALSE)+VLOOKUP("CP",$R$63:$T$91,3,FALSE),0)+IF(AND($S43&lt;&gt;"",$S43&lt;&gt;"--",$S43&lt;&gt;"O3/CP",$S$14=D$18),IF(LEFT($S43,1)="P",VLOOKUP(CONCATENATE(LEFT($S43,2),"H"),$R$63:$T$91,3,FALSE),VLOOKUP($S43,$R$63:$T$91,3,FALSE)))+IF(AND($S43&lt;&gt;"",$S43&lt;&gt;"O3/CP",$S$15=D$18,MID($S43,4,1)="2",$S$15&lt;&gt;$S$14),VLOOKUP(CONCATENATE(LEFT($S43,2),"L"),$R$63:$T$91,3,FALSE),0)+IF(AND($S43="O3/CP",$S$14=D$18),VLOOKUP("O3",$R$63:$T$91,3,FALSE)+VLOOKUP("CP",$R$63:$T$91,3,FALSE),0)+IF(AND($T43&lt;&gt;"",$T43&lt;&gt;"--",$T43&lt;&gt;"O3/CP",$T$14=D$18),IF(LEFT($T43,1)="P",VLOOKUP(CONCATENATE(LEFT($T43,2),"H"),$R$63:$T$91,3,FALSE),VLOOKUP($T43,$R$63:$T$91,3,FALSE)))+IF(AND($T43&lt;&gt;"",$T43&lt;&gt;"O3/CP",$T$15=D$18,MID($T43,4,1)="2",$T$15&lt;&gt;$T$14),VLOOKUP(CONCATENATE(LEFT($T43,2),"L"),$R$63:$T$91,3,FALSE),0)+IF(AND($T43="O3/CP",$T$14=D$18),VLOOKUP("O3",$R$63:$T$91,3,FALSE)+VLOOKUP("CP",$R$63:$T$91,3,FALSE),0)+IF(AND($U43&lt;&gt;"",$U43&lt;&gt;"--",$U43&lt;&gt;"O3/CP",$U$14=D$18),IF(LEFT($U43,1)="P",VLOOKUP(CONCATENATE(LEFT($U43,2),"H"),$R$63:$T$91,3,FALSE),VLOOKUP($U43,$R$63:$T$91,3,FALSE)))+IF(AND($U43&lt;&gt;"",$U43&lt;&gt;"O3/CP",$U$15=D$18,MID($U43,4,1)="2",$U$15&lt;&gt;$U$14),VLOOKUP(CONCATENATE(LEFT($U43,2),"L"),$R$63:$T$91,3,FALSE),0)+IF(AND($U43="O3/CP",$T$14=D$18),VLOOKUP("O3",$R$63:$T$91,3,FALSE)+VLOOKUP("CP",$R$63:$T$91,3,FALSE),0)+IF(AND($V43&lt;&gt;"",$V43&lt;&gt;"--",$V43&lt;&gt;"O3/CP",$V$14=D$18),IF(LEFT($V43,1)="P",VLOOKUP(CONCATENATE(LEFT($V43,2),"H"),$R$63:$T$91,3,FALSE),VLOOKUP($V43,$R$63:$T$91,3,FALSE)))+IF(AND($V43&lt;&gt;"",$V43&lt;&gt;"O3/CP",$V$15=D$18,MID($V43,4,1)="2",$V$15&lt;&gt;$V$14),VLOOKUP(CONCATENATE(LEFT($V43,2),"L"),$R$63:$T$91,3,FALSE),0)+IF(AND($V43="O3/CP",$V$14=D$18),VLOOKUP("O3",$R$63:$T$91,3,FALSE)+VLOOKUP("CP",$R$63:$T$91,3,FALSE),0)+IF(AND($W43&lt;&gt;"",$W43&lt;&gt;"--",$W43&lt;&gt;"O3/CP",$W$14=D$18),IF(LEFT($W43,1)="P",VLOOKUP(CONCATENATE(LEFT($W43,2),"H"),$R$63:$T$91,3,FALSE),VLOOKUP($W43,$R$63:$T$91,3,FALSE)))+IF(AND($W43&lt;&gt;"",$W43&lt;&gt;"O3/CP",$W$15=D$18,MID($W43,4,1)="2",$W$15&lt;&gt;$W$14),VLOOKUP(CONCATENATE(LEFT($W43,2),"L"),$R$63:$T$91,3,FALSE),0)+IF(AND($W43="O3/CP",$W$14=D$18),VLOOKUP("O3",$R$63:$T$91,3,FALSE)+VLOOKUP("CP",$R$63:$T$91,3,FALSE),0)+IF(AND($X43&lt;&gt;"",$X43&lt;&gt;"--",$X43&lt;&gt;"O3/CP",$X$14=D$18),IF(LEFT($X43,1)="P",VLOOKUP(CONCATENATE(LEFT($X43,2),"H"),$R$63:$T$91,3,FALSE),VLOOKUP($X43,$R$63:$T$91,3,FALSE)))+IF(AND($X43&lt;&gt;"",$X43&lt;&gt;"O3/CP",$X$15=D$18,MID($X43,4,1)="2",$X$15&lt;&gt;$X$14),VLOOKUP(CONCATENATE(LEFT($X43,2),"L"),$R$63:$T$91,3,FALSE),0)+IF(AND($X43="O3/CP",$X$14=D$18),VLOOKUP("O3",$R$63:$T$91,3,FALSE)+VLOOKUP("CP",$R$63:$T$91,3,FALSE),0)+IF(AND($Y43&lt;&gt;"",$Y43&lt;&gt;"--",$Y43&lt;&gt;"O3/CP",$Y$14=D$18),IF(LEFT($Y43,1)="P",VLOOKUP(CONCATENATE(LEFT($Y43,2),"H"),$R$63:$T$91,3,FALSE),VLOOKUP($Y43,$R$63:$T$91,3,FALSE)))+IF(AND($Y43&lt;&gt;"",$Y43&lt;&gt;"O3/CP",$Y$15=D$18,MID($Y43,4,1)="2",$Y$15&lt;&gt;$Y$14),VLOOKUP(CONCATENATE(LEFT($Y43,2),"L"),$R$63:$T$91,3,FALSE),0)+IF(AND($Y43="O3/CP",$Y$14=D$18),VLOOKUP("O3",$R$63:$T$91,3,FALSE)+VLOOKUP("CP",$R$63:$T$91,3,FALSE),0)+IF(AND($K$6="CE",'[3]Supply Attribution'!$G$20=D$18),LEFT($S$90,2),0)+IF(AND($X$86&lt;&gt;"Not Set",$X$87=D$18),$X$86,0)</f>
        <v>0</v>
      </c>
      <c r="E43" s="271">
        <f>IF(AND($K43&lt;&gt;"",$K43&lt;&gt;"--",$K43&lt;&gt;"O3/CP",$K$14=E$18),IF(LEFT($K43,1)="P",VLOOKUP(CONCATENATE(LEFT($K43,2),"H"),$R$63:$T$91,3,FALSE),VLOOKUP($K43,$R$63:$T$91,3,FALSE)))+IF(AND($K43&lt;&gt;"",$K43&lt;&gt;"O3/CP",$K$15=E$18,MID($K43,4,1)="2",$K$15&lt;&gt;$K$14),VLOOKUP(CONCATENATE(LEFT($K43,2),"L"),$R$63:$T$91,3,FALSE),0)+IF(AND($K43="O3/CP",$K$14=E$18),VLOOKUP("O3",$R$63:$T$91,3,FALSE)+VLOOKUP("CP",$R$63:$T$91,3,FALSE),0)+IF(AND($L43&lt;&gt;"",$L43&lt;&gt;"--",$L43&lt;&gt;"O3/CP",$L$14=E$18),IF(LEFT($L43,1)="P",VLOOKUP(CONCATENATE(LEFT($L43,2),"H"),$R$63:$T$91,3,FALSE),VLOOKUP($L43,$R$63:$T$91,3,FALSE)))+IF(AND($L43&lt;&gt;"",$L43&lt;&gt;"O3/CP",$L$15=E$18,MID($L43,4,1)="2",$L$15&lt;&gt;$L$14),VLOOKUP(CONCATENATE(LEFT($L43,2),"L"),$R$63:$T$91,3,FALSE),0)+IF(AND($L43="O3/CP",$L$14=E$18),VLOOKUP("O3",$R$63:$T$91,3,FALSE)+VLOOKUP("CP",$R$63:$T$91,3,FALSE),0)+IF(AND($M43&lt;&gt;"",$M43&lt;&gt;"--",$M43&lt;&gt;"O3/CP",$M$14=E$18),IF(LEFT($M43,1)="P",VLOOKUP(CONCATENATE(LEFT($M43,2),"H"),$R$63:$T$91,3,FALSE),VLOOKUP($M43,$R$63:$T$91,3,FALSE)))+IF(AND($M43&lt;&gt;"",$M43&lt;&gt;"O3/CP",$M$15=E$18,MID($M43,4,1)="2",$M$15&lt;&gt;$M$14),VLOOKUP(CONCATENATE(LEFT($M43,2),"L"),$R$63:$T$91,3,FALSE),0)+IF(AND($M43="O3/CP",$M$14=E$18),VLOOKUP("O3",$R$63:$T$91,3,FALSE)+VLOOKUP("CP",$R$63:$T$91,3,FALSE),0)+IF(AND($N43&lt;&gt;"",$N43&lt;&gt;"--",$N43&lt;&gt;"O3/CP",$N$14=E$18),IF(LEFT($N43,1)="P",VLOOKUP(CONCATENATE(LEFT($N43,2),"H"),$R$63:$T$91,3,FALSE),VLOOKUP($N43,$R$63:$T$91,3,FALSE)))+IF(AND($N43&lt;&gt;"",$N43&lt;&gt;"O3/CP",$N$15=E$18,MID($N43,4,1)="2",$N$15&lt;&gt;$N$14),VLOOKUP(CONCATENATE(LEFT($N43,2),"L"),$R$63:$T$91,3,FALSE),0)+IF(AND($N43="O3/CP",$N$14=E$18),VLOOKUP("O3",$R$63:$T$91,3,FALSE)+VLOOKUP("CP",$R$63:$T$91,3,FALSE),0)+IF(AND($O43&lt;&gt;"",$O43&lt;&gt;"--",$O43&lt;&gt;"O3/CP",$O$14=E$18),IF(LEFT($O43,1)="P",VLOOKUP(CONCATENATE(LEFT($O43,2),"H"),$R$63:$T$91,3,FALSE),VLOOKUP($O43,$R$63:$T$91,3,FALSE)))+IF(AND($O43&lt;&gt;"",$O43&lt;&gt;"O3/CP",$O$15=E$18,MID($O43,4,1)="2",$O$15&lt;&gt;$O$14),VLOOKUP(CONCATENATE(LEFT($O43,2),"L"),$R$63:$T$91,3,FALSE),0)+IF(AND($O43="O3/CP",$O$14=E$18),VLOOKUP("O3",$R$63:$T$91,3,FALSE)+VLOOKUP("CP",$R$63:$T$91,3,FALSE),0)+IF(AND($P43&lt;&gt;"",$P43&lt;&gt;"--",$P43&lt;&gt;"O3/CP",$P$14=E$18),IF(LEFT($P43,1)="P",VLOOKUP(CONCATENATE(LEFT($P43,2),"H"),$R$63:$T$91,3,FALSE),VLOOKUP($P43,$R$63:$T$91,3,FALSE)))+IF(AND($P43&lt;&gt;"",$P43&lt;&gt;"O3/CP",$P$15=E$18,MID($P43,4,1)="2",$P$15&lt;&gt;$P$14),VLOOKUP(CONCATENATE(LEFT($P43,2),"L"),$R$63:$T$91,3,FALSE),0)+IF(AND($P43="O3/CP",$P$14=E$18),VLOOKUP("O3",$R$63:$T$91,3,FALSE)+VLOOKUP("CP",$R$63:$T$91,3,FALSE),0)+IF(AND($Q43&lt;&gt;"",$Q43&lt;&gt;"--",$Q43&lt;&gt;"O3/CP",$Q$14=E$18),IF(LEFT($Q43,1)="P",VLOOKUP(CONCATENATE(LEFT($Q43,2),"H"),$R$63:$T$91,3,FALSE),VLOOKUP($Q43,$R$63:$T$91,3,FALSE)))+IF(AND($Q43&lt;&gt;"",$Q43&lt;&gt;"O3/CP",$Q$15=E$18,MID($Q43,4,1)="2",$Q$15&lt;&gt;$Q$14),VLOOKUP(CONCATENATE(LEFT($Q43,2),"L"),$R$63:$T$91,3,FALSE),0)+IF(AND($Q43="O3/CP",$Q$14=E$18),VLOOKUP("O3",$R$63:$T$91,3,FALSE)+VLOOKUP("CP",$R$63:$T$91,3,FALSE),0)+IF(AND($R43&lt;&gt;"",$R43&lt;&gt;"--",$R43&lt;&gt;"O3/CP",$R$14=E$18),IF(LEFT($R43,1)="P",VLOOKUP(CONCATENATE(LEFT($R43,2),"H"),$R$63:$T$91,3,FALSE),VLOOKUP($R43,$R$63:$T$91,3,FALSE)))+IF(AND($R43&lt;&gt;"",$R43&lt;&gt;"O3/CP",$R$15=E$18,MID($R43,4,1)="2",$R$15&lt;&gt;$R$14),VLOOKUP(CONCATENATE(LEFT($R43,2),"L"),$R$63:$T$91,3,FALSE),0)+IF(AND($R43="O3/CP",$R$14=E$18),VLOOKUP("O3",$R$63:$T$91,3,FALSE)+VLOOKUP("CP",$R$63:$T$91,3,FALSE),0)+IF(AND($S43&lt;&gt;"",$S43&lt;&gt;"--",$S43&lt;&gt;"O3/CP",$S$14=E$18),IF(LEFT($S43,1)="P",VLOOKUP(CONCATENATE(LEFT($S43,2),"H"),$R$63:$T$91,3,FALSE),VLOOKUP($S43,$R$63:$T$91,3,FALSE)))+IF(AND($S43&lt;&gt;"",$S43&lt;&gt;"O3/CP",$S$15=E$18,MID($S43,4,1)="2",$S$15&lt;&gt;$S$14),VLOOKUP(CONCATENATE(LEFT($S43,2),"L"),$R$63:$T$91,3,FALSE),0)+IF(AND($S43="O3/CP",$S$14=E$18),VLOOKUP("O3",$R$63:$T$91,3,FALSE)+VLOOKUP("CP",$R$63:$T$91,3,FALSE),0)+IF(AND($T43&lt;&gt;"",$T43&lt;&gt;"--",$T43&lt;&gt;"O3/CP",$T$14=E$18),IF(LEFT($T43,1)="P",VLOOKUP(CONCATENATE(LEFT($T43,2),"H"),$R$63:$T$91,3,FALSE),VLOOKUP($T43,$R$63:$T$91,3,FALSE)))+IF(AND($T43&lt;&gt;"",$T43&lt;&gt;"O3/CP",$T$15=E$18,MID($T43,4,1)="2",$T$15&lt;&gt;$T$14),VLOOKUP(CONCATENATE(LEFT($T43,2),"L"),$R$63:$T$91,3,FALSE),0)+IF(AND($T43="O3/CP",$T$14=E$18),VLOOKUP("O3",$R$63:$T$91,3,FALSE)+VLOOKUP("CP",$R$63:$T$91,3,FALSE),0)+IF(AND($U43&lt;&gt;"",$U43&lt;&gt;"--",$U43&lt;&gt;"O3/CP",$U$14=E$18),IF(LEFT($U43,1)="P",VLOOKUP(CONCATENATE(LEFT($U43,2),"H"),$R$63:$T$91,3,FALSE),VLOOKUP($U43,$R$63:$T$91,3,FALSE)))+IF(AND($U43&lt;&gt;"",$U43&lt;&gt;"O3/CP",$U$15=E$18,MID($U43,4,1)="2",$U$15&lt;&gt;$U$14),VLOOKUP(CONCATENATE(LEFT($U43,2),"L"),$R$63:$T$91,3,FALSE),0)+IF(AND($U43="O3/CP",$T$14=E$18),VLOOKUP("O3",$R$63:$T$91,3,FALSE)+VLOOKUP("CP",$R$63:$T$91,3,FALSE),0)+IF(AND($V43&lt;&gt;"",$V43&lt;&gt;"--",$V43&lt;&gt;"O3/CP",$V$14=E$18),IF(LEFT($V43,1)="P",VLOOKUP(CONCATENATE(LEFT($V43,2),"H"),$R$63:$T$91,3,FALSE),VLOOKUP($V43,$R$63:$T$91,3,FALSE)))+IF(AND($V43&lt;&gt;"",$V43&lt;&gt;"O3/CP",$V$15=E$18,MID($V43,4,1)="2",$V$15&lt;&gt;$V$14),VLOOKUP(CONCATENATE(LEFT($V43,2),"L"),$R$63:$T$91,3,FALSE),0)+IF(AND($V43="O3/CP",$V$14=E$18),VLOOKUP("O3",$R$63:$T$91,3,FALSE)+VLOOKUP("CP",$R$63:$T$91,3,FALSE),0)+IF(AND($W43&lt;&gt;"",$W43&lt;&gt;"--",$W43&lt;&gt;"O3/CP",$W$14=E$18),IF(LEFT($W43,1)="P",VLOOKUP(CONCATENATE(LEFT($W43,2),"H"),$R$63:$T$91,3,FALSE),VLOOKUP($W43,$R$63:$T$91,3,FALSE)))+IF(AND($W43&lt;&gt;"",$W43&lt;&gt;"O3/CP",$W$15=E$18,MID($W43,4,1)="2",$W$15&lt;&gt;$W$14),VLOOKUP(CONCATENATE(LEFT($W43,2),"L"),$R$63:$T$91,3,FALSE),0)+IF(AND($W43="O3/CP",$W$14=E$18),VLOOKUP("O3",$R$63:$T$91,3,FALSE)+VLOOKUP("CP",$R$63:$T$91,3,FALSE),0)+IF(AND($X43&lt;&gt;"",$X43&lt;&gt;"--",$X43&lt;&gt;"O3/CP",$X$14=E$18),IF(LEFT($X43,1)="P",VLOOKUP(CONCATENATE(LEFT($X43,2),"H"),$R$63:$T$91,3,FALSE),VLOOKUP($X43,$R$63:$T$91,3,FALSE)))+IF(AND($X43&lt;&gt;"",$X43&lt;&gt;"O3/CP",$X$15=E$18,MID($X43,4,1)="2",$X$15&lt;&gt;$X$14),VLOOKUP(CONCATENATE(LEFT($X43,2),"L"),$R$63:$T$91,3,FALSE),0)+IF(AND($X43="O3/CP",$X$14=E$18),VLOOKUP("O3",$R$63:$T$91,3,FALSE)+VLOOKUP("CP",$R$63:$T$91,3,FALSE),0)+IF(AND($Y43&lt;&gt;"",$Y43&lt;&gt;"--",$Y43&lt;&gt;"O3/CP",$Y$14=E$18),IF(LEFT($Y43,1)="P",VLOOKUP(CONCATENATE(LEFT($Y43,2),"H"),$R$63:$T$91,3,FALSE),VLOOKUP($Y43,$R$63:$T$91,3,FALSE)))+IF(AND($Y43&lt;&gt;"",$Y43&lt;&gt;"O3/CP",$Y$15=E$18,MID($Y43,4,1)="2",$Y$15&lt;&gt;$Y$14),VLOOKUP(CONCATENATE(LEFT($Y43,2),"L"),$R$63:$T$91,3,FALSE),0)+IF(AND($Y43="O3/CP",$Y$14=E$18),VLOOKUP("O3",$R$63:$T$91,3,FALSE)+VLOOKUP("CP",$R$63:$T$91,3,FALSE),0)+IF(AND($K$6="CE",'[3]Supply Attribution'!$G$20=E$18),LEFT($S$90,2),0)+IF(AND($X$86&lt;&gt;"Not Set",$X$87=E$18),$X$86,0)</f>
        <v>0</v>
      </c>
      <c r="F43" s="272">
        <f>IF(AND($K43&lt;&gt;"",$K43&lt;&gt;"--",$K43&lt;&gt;"O3/CP",$K$14=F$18),IF(LEFT($K43,1)="P",VLOOKUP(CONCATENATE(LEFT($K43,2),"H"),$R$63:$T$91,3,FALSE),VLOOKUP($K43,$R$63:$T$91,3,FALSE)))+IF(AND($K43&lt;&gt;"",$K43&lt;&gt;"O3/CP",$K$15=F$18,MID($K43,4,1)="2",$K$15&lt;&gt;$K$14),VLOOKUP(CONCATENATE(LEFT($K43,2),"L"),$R$63:$T$91,3,FALSE),0)+IF(AND($K43="O3/CP",$K$14=F$18),VLOOKUP("O3",$R$63:$T$91,3,FALSE)+VLOOKUP("CP",$R$63:$T$91,3,FALSE),0)+IF(AND($L43&lt;&gt;"",$L43&lt;&gt;"--",$L43&lt;&gt;"O3/CP",$L$14=F$18),IF(LEFT($L43,1)="P",VLOOKUP(CONCATENATE(LEFT($L43,2),"H"),$R$63:$T$91,3,FALSE),VLOOKUP($L43,$R$63:$T$91,3,FALSE)))+IF(AND($L43&lt;&gt;"",$L43&lt;&gt;"O3/CP",$L$15=F$18,MID($L43,4,1)="2",$L$15&lt;&gt;$L$14),VLOOKUP(CONCATENATE(LEFT($L43,2),"L"),$R$63:$T$91,3,FALSE),0)+IF(AND($L43="O3/CP",$L$14=F$18),VLOOKUP("O3",$R$63:$T$91,3,FALSE)+VLOOKUP("CP",$R$63:$T$91,3,FALSE),0)+IF(AND($M43&lt;&gt;"",$M43&lt;&gt;"--",$M43&lt;&gt;"O3/CP",$M$14=F$18),IF(LEFT($M43,1)="P",VLOOKUP(CONCATENATE(LEFT($M43,2),"H"),$R$63:$T$91,3,FALSE),VLOOKUP($M43,$R$63:$T$91,3,FALSE)))+IF(AND($M43&lt;&gt;"",$M43&lt;&gt;"O3/CP",$M$15=F$18,MID($M43,4,1)="2",$M$15&lt;&gt;$M$14),VLOOKUP(CONCATENATE(LEFT($M43,2),"L"),$R$63:$T$91,3,FALSE),0)+IF(AND($M43="O3/CP",$M$14=F$18),VLOOKUP("O3",$R$63:$T$91,3,FALSE)+VLOOKUP("CP",$R$63:$T$91,3,FALSE),0)+IF(AND($N43&lt;&gt;"",$N43&lt;&gt;"--",$N43&lt;&gt;"O3/CP",$N$14=F$18),IF(LEFT($N43,1)="P",VLOOKUP(CONCATENATE(LEFT($N43,2),"H"),$R$63:$T$91,3,FALSE),VLOOKUP($N43,$R$63:$T$91,3,FALSE)))+IF(AND($N43&lt;&gt;"",$N43&lt;&gt;"O3/CP",$N$15=F$18,MID($N43,4,1)="2",$N$15&lt;&gt;$N$14),VLOOKUP(CONCATENATE(LEFT($N43,2),"L"),$R$63:$T$91,3,FALSE),0)+IF(AND($N43="O3/CP",$N$14=F$18),VLOOKUP("O3",$R$63:$T$91,3,FALSE)+VLOOKUP("CP",$R$63:$T$91,3,FALSE),0)+IF(AND($O43&lt;&gt;"",$O43&lt;&gt;"--",$O43&lt;&gt;"O3/CP",$O$14=F$18),IF(LEFT($O43,1)="P",VLOOKUP(CONCATENATE(LEFT($O43,2),"H"),$R$63:$T$91,3,FALSE),VLOOKUP($O43,$R$63:$T$91,3,FALSE)))+IF(AND($O43&lt;&gt;"",$O43&lt;&gt;"O3/CP",$O$15=F$18,MID($O43,4,1)="2",$O$15&lt;&gt;$O$14),VLOOKUP(CONCATENATE(LEFT($O43,2),"L"),$R$63:$T$91,3,FALSE),0)+IF(AND($O43="O3/CP",$O$14=F$18),VLOOKUP("O3",$R$63:$T$91,3,FALSE)+VLOOKUP("CP",$R$63:$T$91,3,FALSE),0)+IF(AND($P43&lt;&gt;"",$P43&lt;&gt;"--",$P43&lt;&gt;"O3/CP",$P$14=F$18),IF(LEFT($P43,1)="P",VLOOKUP(CONCATENATE(LEFT($P43,2),"H"),$R$63:$T$91,3,FALSE),VLOOKUP($P43,$R$63:$T$91,3,FALSE)))+IF(AND($P43&lt;&gt;"",$P43&lt;&gt;"O3/CP",$P$15=F$18,MID($P43,4,1)="2",$P$15&lt;&gt;$P$14),VLOOKUP(CONCATENATE(LEFT($P43,2),"L"),$R$63:$T$91,3,FALSE),0)+IF(AND($P43="O3/CP",$P$14=F$18),VLOOKUP("O3",$R$63:$T$91,3,FALSE)+VLOOKUP("CP",$R$63:$T$91,3,FALSE),0)+IF(AND($Q43&lt;&gt;"",$Q43&lt;&gt;"--",$Q43&lt;&gt;"O3/CP",$Q$14=F$18),IF(LEFT($Q43,1)="P",VLOOKUP(CONCATENATE(LEFT($Q43,2),"H"),$R$63:$T$91,3,FALSE),VLOOKUP($Q43,$R$63:$T$91,3,FALSE)))+IF(AND($Q43&lt;&gt;"",$Q43&lt;&gt;"O3/CP",$Q$15=F$18,MID($Q43,4,1)="2",$Q$15&lt;&gt;$Q$14),VLOOKUP(CONCATENATE(LEFT($Q43,2),"L"),$R$63:$T$91,3,FALSE),0)+IF(AND($Q43="O3/CP",$Q$14=F$18),VLOOKUP("O3",$R$63:$T$91,3,FALSE)+VLOOKUP("CP",$R$63:$T$91,3,FALSE),0)+IF(AND($R43&lt;&gt;"",$R43&lt;&gt;"--",$R43&lt;&gt;"O3/CP",$R$14=F$18),IF(LEFT($R43,1)="P",VLOOKUP(CONCATENATE(LEFT($R43,2),"H"),$R$63:$T$91,3,FALSE),VLOOKUP($R43,$R$63:$T$91,3,FALSE)))+IF(AND($R43&lt;&gt;"",$R43&lt;&gt;"O3/CP",$R$15=F$18,MID($R43,4,1)="2",$R$15&lt;&gt;$R$14),VLOOKUP(CONCATENATE(LEFT($R43,2),"L"),$R$63:$T$91,3,FALSE),0)+IF(AND($R43="O3/CP",$R$14=F$18),VLOOKUP("O3",$R$63:$T$91,3,FALSE)+VLOOKUP("CP",$R$63:$T$91,3,FALSE),0)+IF(AND($S43&lt;&gt;"",$S43&lt;&gt;"--",$S43&lt;&gt;"O3/CP",$S$14=F$18),IF(LEFT($S43,1)="P",VLOOKUP(CONCATENATE(LEFT($S43,2),"H"),$R$63:$T$91,3,FALSE),VLOOKUP($S43,$R$63:$T$91,3,FALSE)))+IF(AND($S43&lt;&gt;"",$S43&lt;&gt;"O3/CP",$S$15=F$18,MID($S43,4,1)="2",$S$15&lt;&gt;$S$14),VLOOKUP(CONCATENATE(LEFT($S43,2),"L"),$R$63:$T$91,3,FALSE),0)+IF(AND($S43="O3/CP",$S$14=F$18),VLOOKUP("O3",$R$63:$T$91,3,FALSE)+VLOOKUP("CP",$R$63:$T$91,3,FALSE),0)+IF(AND($T43&lt;&gt;"",$T43&lt;&gt;"--",$T43&lt;&gt;"O3/CP",$T$14=F$18),IF(LEFT($T43,1)="P",VLOOKUP(CONCATENATE(LEFT($T43,2),"H"),$R$63:$T$91,3,FALSE),VLOOKUP($T43,$R$63:$T$91,3,FALSE)))+IF(AND($T43&lt;&gt;"",$T43&lt;&gt;"O3/CP",$T$15=F$18,MID($T43,4,1)="2",$T$15&lt;&gt;$T$14),VLOOKUP(CONCATENATE(LEFT($T43,2),"L"),$R$63:$T$91,3,FALSE),0)+IF(AND($T43="O3/CP",$T$14=F$18),VLOOKUP("O3",$R$63:$T$91,3,FALSE)+VLOOKUP("CP",$R$63:$T$91,3,FALSE),0)+IF(AND($U43&lt;&gt;"",$U43&lt;&gt;"--",$U43&lt;&gt;"O3/CP",$U$14=F$18),IF(LEFT($U43,1)="P",VLOOKUP(CONCATENATE(LEFT($U43,2),"H"),$R$63:$T$91,3,FALSE),VLOOKUP($U43,$R$63:$T$91,3,FALSE)))+IF(AND($U43&lt;&gt;"",$U43&lt;&gt;"O3/CP",$U$15=F$18,MID($U43,4,1)="2",$U$15&lt;&gt;$U$14),VLOOKUP(CONCATENATE(LEFT($U43,2),"L"),$R$63:$T$91,3,FALSE),0)+IF(AND($U43="O3/CP",$T$14=F$18),VLOOKUP("O3",$R$63:$T$91,3,FALSE)+VLOOKUP("CP",$R$63:$T$91,3,FALSE),0)+IF(AND($V43&lt;&gt;"",$V43&lt;&gt;"--",$V43&lt;&gt;"O3/CP",$V$14=F$18),IF(LEFT($V43,1)="P",VLOOKUP(CONCATENATE(LEFT($V43,2),"H"),$R$63:$T$91,3,FALSE),VLOOKUP($V43,$R$63:$T$91,3,FALSE)))+IF(AND($V43&lt;&gt;"",$V43&lt;&gt;"O3/CP",$V$15=F$18,MID($V43,4,1)="2",$V$15&lt;&gt;$V$14),VLOOKUP(CONCATENATE(LEFT($V43,2),"L"),$R$63:$T$91,3,FALSE),0)+IF(AND($V43="O3/CP",$V$14=F$18),VLOOKUP("O3",$R$63:$T$91,3,FALSE)+VLOOKUP("CP",$R$63:$T$91,3,FALSE),0)+IF(AND($W43&lt;&gt;"",$W43&lt;&gt;"--",$W43&lt;&gt;"O3/CP",$W$14=F$18),IF(LEFT($W43,1)="P",VLOOKUP(CONCATENATE(LEFT($W43,2),"H"),$R$63:$T$91,3,FALSE),VLOOKUP($W43,$R$63:$T$91,3,FALSE)))+IF(AND($W43&lt;&gt;"",$W43&lt;&gt;"O3/CP",$W$15=F$18,MID($W43,4,1)="2",$W$15&lt;&gt;$W$14),VLOOKUP(CONCATENATE(LEFT($W43,2),"L"),$R$63:$T$91,3,FALSE),0)+IF(AND($W43="O3/CP",$W$14=F$18),VLOOKUP("O3",$R$63:$T$91,3,FALSE)+VLOOKUP("CP",$R$63:$T$91,3,FALSE),0)+IF(AND($X43&lt;&gt;"",$X43&lt;&gt;"--",$X43&lt;&gt;"O3/CP",$X$14=F$18),IF(LEFT($X43,1)="P",VLOOKUP(CONCATENATE(LEFT($X43,2),"H"),$R$63:$T$91,3,FALSE),VLOOKUP($X43,$R$63:$T$91,3,FALSE)))+IF(AND($X43&lt;&gt;"",$X43&lt;&gt;"O3/CP",$X$15=F$18,MID($X43,4,1)="2",$X$15&lt;&gt;$X$14),VLOOKUP(CONCATENATE(LEFT($X43,2),"L"),$R$63:$T$91,3,FALSE),0)+IF(AND($X43="O3/CP",$X$14=F$18),VLOOKUP("O3",$R$63:$T$91,3,FALSE)+VLOOKUP("CP",$R$63:$T$91,3,FALSE),0)+IF(AND($Y43&lt;&gt;"",$Y43&lt;&gt;"--",$Y43&lt;&gt;"O3/CP",$Y$14=F$18),IF(LEFT($Y43,1)="P",VLOOKUP(CONCATENATE(LEFT($Y43,2),"H"),$R$63:$T$91,3,FALSE),VLOOKUP($Y43,$R$63:$T$91,3,FALSE)))+IF(AND($Y43&lt;&gt;"",$Y43&lt;&gt;"O3/CP",$Y$15=F$18,MID($Y43,4,1)="2",$Y$15&lt;&gt;$Y$14),VLOOKUP(CONCATENATE(LEFT($Y43,2),"L"),$R$63:$T$91,3,FALSE),0)+IF(AND($Y43="O3/CP",$Y$14=F$18),VLOOKUP("O3",$R$63:$T$91,3,FALSE)+VLOOKUP("CP",$R$63:$T$91,3,FALSE),0)+IF(AND($K$6="CE",'[3]Supply Attribution'!$G$20=F$18),LEFT($S$90,2),0)+IF(AND($X$86&lt;&gt;"Not Set",$X$87=F$18),$X$86,0)</f>
        <v>0</v>
      </c>
      <c r="G43" s="271">
        <f>IF(AND($K$6="CE",$T$59="1 Phase"),SUM(A43:F43)-IF(AND($K$14&lt;&gt;$K$15,RIGHT($K43,3)="2SP"),VLOOKUP(CONCATENATE(LEFT($K43,2),"L"),$R$63:$T$90,3,FALSE),0)-IF(AND($L$14&lt;&gt;$L$15,RIGHT($L43,3)="2SP"),VLOOKUP(CONCATENATE(LEFT($L43,2),"L"),$R$63:$T$90,3,FALSE),0)-IF(AND($M$14&lt;&gt;$M$15,RIGHT($M43,3)="2SP"),VLOOKUP(CONCATENATE(LEFT($M43,2),"L"),$R$63:$T$90,3,FALSE),0)-IF(AND($N$14&lt;&gt;$N$15,RIGHT($N43,3)="2SP"),VLOOKUP(CONCATENATE(LEFT($N43,2),"L"),$R$63:$T$90,3,FALSE),0)-IF(AND($O$14&lt;&gt;$O$15,RIGHT($O43,3)="2SP"),VLOOKUP(CONCATENATE(LEFT($O43,2),"L"),$R$63:$T$90,3,FALSE),0)-IF(AND($P$14&lt;&gt;$P$15,RIGHT($P43,3)="2SP"),VLOOKUP(CONCATENATE(LEFT($P43,2),"L"),$R$63:$T$90,3,FALSE),0)-IF(AND($Q$14&lt;&gt;$Q$15,RIGHT($Q43,3)="2SP"),VLOOKUP(CONCATENATE(LEFT($Q43,2),"L"),$R$63:$T$90,3,FALSE),0)-IF(AND($R$14&lt;&gt;$R$15,RIGHT($T43,3)="2SP"),VLOOKUP(CONCATENATE(LEFT($R43,2),"L"),$R$63:$T$90,3,FALSE),0)-IF(AND($S$14&lt;&gt;$S$15,RIGHT($T43,3)="2SP"),VLOOKUP(CONCATENATE(LEFT($S43,2),"L"),$R$63:$T$90,3,FALSE),0)-IF(AND($T$14&lt;&gt;$T$15,RIGHT($T43,3)="2SP"),VLOOKUP(CONCATENATE(LEFT($T43,2),"L"),$R$63:$T$90,3,FALSE),0)-IF(AND($U$14&lt;&gt;$U$15,RIGHT($U43,3)="2SP"),VLOOKUP(CONCATENATE(LEFT($U43,2),"L"),$R$63:$T$90,3,FALSE),0)-IF(AND($V$14&lt;&gt;$V$15,RIGHT($V43,3)="2SP"),VLOOKUP(CONCATENATE(LEFT($V43,2),"L"),$R$63:$T$90,3,FALSE),0)-IF(AND($W$14&lt;&gt;$W$15,RIGHT($W43,3)="2SP"),VLOOKUP(CONCATENATE(LEFT($W43,2),"L"),$R$63:$T$90,3,FALSE),0)-IF(AND($X$14&lt;&gt;$X$15,RIGHT($X43,3)="2SP"),VLOOKUP(CONCATENATE(LEFT($X43,2),"L"),$R$63:$T$90,3,FALSE),0)-IF(AND($Y$14&lt;&gt;$Y$15,RIGHT($Y43,3)="2SP"),VLOOKUP(CONCATENATE(LEFT($Y43,2),"L"),$R$63:$T$90,3,FALSE),0),IF(VLOOKUP(CONCATENATE($A$18,"Line"),'[3]Supply Attribution'!$F$31:$G$37,2,FALSE)=G$18,$A43,0)+IF(VLOOKUP(CONCATENATE($B$18,"Line"),'[3]Supply Attribution'!$F$31:$G$37,2,FALSE)=G$18,$B43,0)+IF(VLOOKUP(CONCATENATE($C$18,"Line"),'[3]Supply Attribution'!$F$31:$G$37,2,FALSE)=G$18,$C43,0)+IF(VLOOKUP(CONCATENATE($D$18,"Line"),'[3]Supply Attribution'!$F$31:$G$37,2,FALSE)=G$18,$D43,0)+IF(VLOOKUP(CONCATENATE($E$18,"Line"),'[3]Supply Attribution'!$F$31:$G$37,2,FALSE)=G$18,$E43,0)+IF(VLOOKUP(CONCATENATE($F$18,"Line"),'[3]Supply Attribution'!$F$31:$G$37,2,FALSE)=G$18,$F43,0)+IF($K$6="UL",LEFT($S$90,2),0)-IF(AND($K$16=G$18,$K$14&lt;&gt;$K$15,$K$16=$K$17,RIGHT($K43,3)="2SP"),VLOOKUP(CONCATENATE(LEFT($K43,2),"L"),$R$63:$T$90,3,FALSE),0)-IF(AND($L$16=G$18,$L$14&lt;&gt;$L$15,$L$16=$L$17,RIGHT($L43,3)="2SP"),VLOOKUP(CONCATENATE(LEFT($L43,2),"L"),$R$63:$T$90,3,FALSE),0)-IF(AND($M$16=G$18,$M$14&lt;&gt;$M$15,$M$16=$M$17,RIGHT($M43,3)="2SP"),VLOOKUP(CONCATENATE(LEFT($M43,2),"L"),$R$63:$T$90,3,FALSE),0)-IF(AND($N$16=G$18,$N$14&lt;&gt;$N$15,$N$16=$N$17,RIGHT($N43,3)="2SP"),VLOOKUP(CONCATENATE(LEFT($N43,2),"L"),$R$63:$T$90,3,FALSE),0)-IF(AND($O$16=G$18,$O$14&lt;&gt;$O$15,$O$16=$O$17,RIGHT($O43,3)="2SP"),VLOOKUP(CONCATENATE(LEFT($O43,2),"L"),$R$63:$T$90,3,FALSE),0)-IF(AND($P$16=G$18,$P$14&lt;&gt;$P$15,$P$16=$P$17,RIGHT($P43,3)="2SP"),VLOOKUP(CONCATENATE(LEFT($P43,2),"L"),$R$63:$T$90,3,FALSE),0)-IF(AND($Q$16=G$18,$Q$14&lt;&gt;$Q$15,$Q$16=$Q$17,RIGHT($Q43,3)="2SP"),VLOOKUP(CONCATENATE(LEFT($Q43,2),"L"),$R$63:$T$90,3,FALSE),0)-IF(AND($R$16=G$18,$R$14&lt;&gt;$R$15,$R$16=$R$17,RIGHT($R43,3)="2SP"),VLOOKUP(CONCATENATE(LEFT($R43,2),"L"),$R$63:$T$90,3,FALSE),0)-IF(AND($S$16=G$18,$S$14&lt;&gt;$S$15,$S$16=$S$17,RIGHT($S43,3)="2SP"),VLOOKUP(CONCATENATE(LEFT($S43,2),"L"),$R$63:$T$90,3,FALSE),0)-IF(AND($T$16=G$18,$T$14&lt;&gt;$T$15,$T$16=$T$17,RIGHT($T43,3)="2SP"),VLOOKUP(CONCATENATE(LEFT($T43,2),"L"),$R$63:$T$90,3,FALSE),0)-IF(AND($U$16=G$18,$U$14&lt;&gt;$U$15,$U$16=$U$17,RIGHT($U43,3)="2SP"),VLOOKUP(CONCATENATE(LEFT($U43,2),"L"),$R$63:$T$90,3,FALSE),0)-IF(AND($V$16=G$18,$V$14&lt;&gt;$V$15,$V$16=$V$17,RIGHT($V43,3)="2SP"),VLOOKUP(CONCATENATE(LEFT($V43,2),"L"),$R$63:$T$90,3,FALSE),0)-IF(AND($W$16=G$18,$W$14&lt;&gt;$W$15,$W$16=$W$17,RIGHT($W43,3)="2SP"),VLOOKUP(CONCATENATE(LEFT($W43,2),"L"),$R$63:$T$90,3,FALSE),0)-IF(AND($X$16=G$18,$X$14&lt;&gt;$X$15,$X$16=$X$17,RIGHT($X43,3)="2SP"),VLOOKUP(CONCATENATE(LEFT($X43,2),"L"),$R$63:$T$90,3,FALSE),0)-IF(AND($Y$16=G$18,$Y$14&lt;&gt;$Y$15,$Y$16=$Y$17,RIGHT($Y43,3)="2SP"),VLOOKUP(CONCATENATE(LEFT($Y43,2),"L"),$R$63:$T$90,3,FALSE),0))</f>
        <v>17</v>
      </c>
      <c r="H43" s="271" t="str">
        <f>IF(H$18&lt;&gt;"",IF(VLOOKUP(CONCATENATE($A$18,"Line"),'Supply Attribution'!$F$31:$G$37,2,FALSE)=H$18,$A43,0)+IF(VLOOKUP(CONCATENATE($B$18,"Line"),'Supply Attribution'!$F$31:$G$37,2,FALSE)=H$18,$B43,0)+IF(VLOOKUP(CONCATENATE($C$18,"Line"),'Supply Attribution'!$F$31:$G$37,2,FALSE)=H$18,$C43,0)+IF(VLOOKUP(CONCATENATE($D$18,"Line"),'Supply Attribution'!$F$31:$G$37,2,FALSE)=H$18,$D43,0)+IF(VLOOKUP(CONCATENATE($E$18,"Line"),'Supply Attribution'!$F$31:$G$37,2,FALSE)=H$18,$E43,0)+IF(VLOOKUP(CONCATENATE($F$18,"Line"),'Supply Attribution'!$F$31:$G$37,2,FALSE)=H$18,$F43,0)+IF($K$6="UL",LEFT($S$90,2),0)-IF(AND($K$16=H$18,$K$14&lt;&gt;$K$15,$K$16=$K$17,RIGHT($K43,3)="2SP"),VLOOKUP(CONCATENATE(LEFT($K43,2),"L"),$R$63:$T$90,3,FALSE),0)-IF(AND($L$16=H$18,$L$14&lt;&gt;$L$15,$L$16=$L$17,RIGHT($L43,3)="2SP"),VLOOKUP(CONCATENATE(LEFT($L43,2),"L"),$R$63:$T$90,3,FALSE),0)-IF(AND($M$16=H$18,$M$14&lt;&gt;$M$15,$M$16=$M$17,RIGHT($M43,3)="2SP"),VLOOKUP(CONCATENATE(LEFT($M43,2),"L"),$R$63:$T$90,3,FALSE),0)-IF(AND($N$16=H$18,$N$14&lt;&gt;$N$15,$N$16=$N$17,RIGHT($N43,3)="2SP"),VLOOKUP(CONCATENATE(LEFT($N43,2),"L"),$R$63:$T$90,3,FALSE),0)-IF(AND($O$16=H$18,$O$14&lt;&gt;$O$15,$O$16=$O$17,RIGHT($O43,3)="2SP"),VLOOKUP(CONCATENATE(LEFT($O43,2),"L"),$R$63:$T$90,3,FALSE),0)-IF(AND($P$16=H$18,$P$14&lt;&gt;$P$15,$P$16=$P$17,RIGHT($P43,3)="2SP"),VLOOKUP(CONCATENATE(LEFT($P43,2),"L"),$R$63:$T$90,3,FALSE),0)-IF(AND($Q$16=H$18,$Q$14&lt;&gt;$Q$15,$Q$16=$Q$17,RIGHT($Q43,3)="2SP"),VLOOKUP(CONCATENATE(LEFT($Q43,2),"L"),$R$63:$T$90,3,FALSE),0)-IF(AND($T$16=H$18,$T$14&lt;&gt;$T$15,$T$16=$T$17,RIGHT($T43,3)="2SP"),VLOOKUP(CONCATENATE(LEFT($T43,2),"L"),$R$63:$T$90,3,FALSE),0)-IF(AND($U$16=H$18,$U$14&lt;&gt;$U$15,$U$16=$U$17,RIGHT($U43,3)="2SP"),VLOOKUP(CONCATENATE(LEFT($U43,2),"L"),$R$63:$T$90,3,FALSE),0)-IF(AND($V$16=H$18,$V$14&lt;&gt;$V$15,$V$16=$V$17,RIGHT($V43,3)="2SP"),VLOOKUP(CONCATENATE(LEFT($V43,2),"L"),$R$63:$T$90,3,FALSE),0)-IF(AND($W$16=H$18,$W$14&lt;&gt;$W$15,$W$16=$W$17,RIGHT($W43,3)="2SP"),VLOOKUP(CONCATENATE(LEFT($W43,2),"L"),$R$63:$T$90,3,FALSE),0)-IF(AND($X$16=H$18,$X$14&lt;&gt;$X$15,$X$16=$X$17,RIGHT($X43,3)="2SP"),VLOOKUP(CONCATENATE(LEFT($X43,2),"L"),$R$63:$T$90,3,FALSE),0)-IF(AND($Y$16=H$18,$Y$14&lt;&gt;$Y$15,$Y$16=$Y$17,RIGHT($Y43,3)="2SP"),VLOOKUP(CONCATENATE(LEFT($Y43,2),"L"),$R$63:$T$90,3,FALSE),0)+IF(AND($K$6="CE",$T$59="2 Phases",H$18&lt;&gt;""),IF(VLOOKUP(CONCATENATE($A$18,"Line"),'Supply Attribution'!$F$31:$G$37,2,FALSE)="Line3",$A43,0)+IF(VLOOKUP(CONCATENATE($B$18,"Line"),'Supply Attribution'!$F$31:$G$37,2,FALSE)="Line3",$B43,0)+IF(VLOOKUP(CONCATENATE($C$18,"Line"),'Supply Attribution'!$F$31:$G$37,2,FALSE)="Line3",$C43,0)+IF(VLOOKUP(CONCATENATE($D$18,"Line"),'Supply Attribution'!$F$31:$G$37,2,FALSE)="Line3",$D43,0)+IF(VLOOKUP(CONCATENATE($E$18,"Line"),'Supply Attribution'!$F$31:$G$37,2,FALSE)="Line3",$E43,0)+IF(VLOOKUP(CONCATENATE($F$18,"Line"),'Supply Attribution'!$F$31:$G$37,2,FALSE)="Line3",$F43,0)-IF(AND($K$16=I$18,$K$14&lt;&gt;$K$15,$K$16=$K$17,RIGHT($K43,3)="2SP"),VLOOKUP(CONCATENATE(LEFT($K43,2),"L"),$R$63:$T$90,3,FALSE),0)-IF(AND($L$16=I$18,$L$14&lt;&gt;$L$15,$L$16=$L$17,RIGHT($L43,3)="2SP"),VLOOKUP(CONCATENATE(LEFT($L43,2),"L"),$R$63:$T$90,3,FALSE),0)-IF(AND($M$16=I$18,$M$14&lt;&gt;$M$15,$M$16=$M$17,RIGHT($M43,3)="2SP"),VLOOKUP(CONCATENATE(LEFT($M43,2),"L"),$R$63:$T$90,3,FALSE),0)-IF(AND($N$16=I$18,$N$14&lt;&gt;$N$15,$N$16=$N$17,RIGHT($N43,3)="2SP"),VLOOKUP(CONCATENATE(LEFT($N43,2),"L"),$R$63:$T$90,3,FALSE),0)-IF(AND($O$16=I$18,$O$14&lt;&gt;$O$15,$O$16=$O$17,RIGHT($O43,3)="2SP"),VLOOKUP(CONCATENATE(LEFT($O43,2),"L"),$R$63:$T$90,3,FALSE),0)-IF(AND($P$16=I$18,$P$14&lt;&gt;$P$15,$P$16=$P$17,RIGHT($P43,3)="2SP"),VLOOKUP(CONCATENATE(LEFT($P43,2),"L"),$R$63:$T$90,3,FALSE),0)-IF(AND($Q$16=I$18,$Q$14&lt;&gt;$Q$15,$Q$16=$Q$17,RIGHT($Q43,3)="2SP"),VLOOKUP(CONCATENATE(LEFT($Q43,2),"L"),$R$63:$T$90,3,FALSE),0)-IF(AND($T$16=I$18,$T$14&lt;&gt;$T$15,$T$16=$T$17,RIGHT($T43,3)="2SP"),VLOOKUP(CONCATENATE(LEFT($T43,2),"L"),$R$63:$T$90,3,FALSE),0)-IF(AND($U$16=I$18,$U$14&lt;&gt;$U$15,$U$16=$U$17,RIGHT($U43,3)="2SP"),VLOOKUP(CONCATENATE(LEFT($U43,2),"L"),$R$63:$T$90,3,FALSE),0)-IF(AND($V$16=I$18,$V$14&lt;&gt;$V$15,$V$16=$V$17,RIGHT($V43,3)="2SP"),VLOOKUP(CONCATENATE(LEFT($V43,2),"L"),$R$63:$T$90,3,FALSE),0)-IF(AND($W$16=I$18,$W$14&lt;&gt;$W$15,$W$16=$W$17,RIGHT($W43,3)="2SP"),VLOOKUP(CONCATENATE(LEFT($W43,2),"L"),$R$63:$T$90,3,FALSE),0)-IF(AND($X$16=I$18,$X$14&lt;&gt;$X$15,$X$16=$X$17,RIGHT($X43,3)="2SP"),VLOOKUP(CONCATENATE(LEFT($X43,2),"L"),$R$63:$T$90,3,FALSE),0)-IF(AND($Y$16=I$18,$Y$14&lt;&gt;$Y$15,$Y$16=$Y$17,RIGHT($Y43,3)="2SP"),VLOOKUP(CONCATENATE(LEFT($Y43,2),"L"),$R$63:$T$90,3,FALSE),0),0),"")</f>
        <v/>
      </c>
      <c r="I43" s="271" t="str">
        <f>IF(I$18&lt;&gt;"",IF(VLOOKUP(CONCATENATE($A$18,"Line"),'Supply Attribution'!$F$31:$G$37,2,FALSE)=I$18,$A43,0)+IF(VLOOKUP(CONCATENATE($B$18,"Line"),'Supply Attribution'!$F$31:$G$37,2,FALSE)=I$18,$B43,0)+IF(VLOOKUP(CONCATENATE($C$18,"Line"),'Supply Attribution'!$F$31:$G$37,2,FALSE)=I$18,$C43,0)+IF(VLOOKUP(CONCATENATE($D$18,"Line"),'Supply Attribution'!$F$31:$G$37,2,FALSE)=I$18,$D43,0)+IF(VLOOKUP(CONCATENATE($E$18,"Line"),'Supply Attribution'!$F$31:$G$37,2,FALSE)=I$18,$E43,0)+IF(VLOOKUP(CONCATENATE($F$18,"Line"),'Supply Attribution'!$F$31:$G$37,2,FALSE)=I$18,$F43,0)+IF($K$6="UL",LEFT($S$90,2),0)-IF(AND($K$16=I$18,$K$14&lt;&gt;$K$15,$K$16=$K$17,RIGHT($K43,3)="2SP"),VLOOKUP(CONCATENATE(LEFT($K43,2),"L"),$R$63:$T$90,3,FALSE),0)-IF(AND($L$16=I$18,$L$14&lt;&gt;$L$15,$L$16=$L$17,RIGHT($L43,3)="2SP"),VLOOKUP(CONCATENATE(LEFT($L43,2),"L"),$R$63:$T$90,3,FALSE),0)-IF(AND($M$16=I$18,$M$14&lt;&gt;$M$15,$M$16=$M$17,RIGHT($M43,3)="2SP"),VLOOKUP(CONCATENATE(LEFT($M43,2),"L"),$R$63:$T$90,3,FALSE),0)-IF(AND($N$16=I$18,$N$14&lt;&gt;$N$15,$N$16=$N$17,RIGHT($N43,3)="2SP"),VLOOKUP(CONCATENATE(LEFT($N43,2),"L"),$R$63:$T$90,3,FALSE),0)-IF(AND($O$16=I$18,$O$14&lt;&gt;$O$15,$O$16=$O$17,RIGHT($O43,3)="2SP"),VLOOKUP(CONCATENATE(LEFT($O43,2),"L"),$R$63:$T$90,3,FALSE),0)-IF(AND($P$16=I$18,$P$14&lt;&gt;$P$15,$P$16=$P$17,RIGHT($P43,3)="2SP"),VLOOKUP(CONCATENATE(LEFT($P43,2),"L"),$R$63:$T$90,3,FALSE),0)-IF(AND($Q$16=I$18,$Q$14&lt;&gt;$Q$15,$Q$16=$Q$17,RIGHT($Q43,3)="2SP"),VLOOKUP(CONCATENATE(LEFT($Q43,2),"L"),$R$63:$T$90,3,FALSE),0)-IF(AND($T$16=I$18,$T$14&lt;&gt;$T$15,$T$16=$T$17,RIGHT($T43,3)="2SP"),VLOOKUP(CONCATENATE(LEFT($T43,2),"L"),$R$63:$T$90,3,FALSE),0)-IF(AND($U$16=I$18,$U$14&lt;&gt;$U$15,$U$16=$U$17,RIGHT($U43,3)="2SP"),VLOOKUP(CONCATENATE(LEFT($U43,2),"L"),$R$63:$T$90,3,FALSE),0)-IF(AND($V$16=I$18,$V$14&lt;&gt;$V$15,$V$16=$V$17,RIGHT($V43,3)="2SP"),VLOOKUP(CONCATENATE(LEFT($V43,2),"L"),$R$63:$T$90,3,FALSE),0)-IF(AND($W$16=I$18,$W$14&lt;&gt;$W$15,$W$16=$W$17,RIGHT($W43,3)="2SP"),VLOOKUP(CONCATENATE(LEFT($W43,2),"L"),$R$63:$T$90,3,FALSE),0)-IF(AND($X$16=I$18,$X$14&lt;&gt;$X$15,$X$16=$X$17,RIGHT($X43,3)="2SP"),VLOOKUP(CONCATENATE(LEFT($X43,2),"L"),$R$63:$T$90,3,FALSE),0)-IF(AND($Y$16=I$18,$Y$14&lt;&gt;$Y$15,$Y$16=$Y$17,RIGHT($Y43,3)="2SP"),VLOOKUP(CONCATENATE(LEFT($Y43,2),"L"),$R$63:$T$90,3,FALSE),0),"")</f>
        <v/>
      </c>
      <c r="J43" s="129"/>
      <c r="K43" s="130"/>
      <c r="L43" s="130"/>
      <c r="M43" s="130"/>
      <c r="N43" s="130"/>
      <c r="O43" s="130"/>
      <c r="P43" s="130"/>
      <c r="Q43" s="130"/>
      <c r="R43" s="130"/>
      <c r="S43" s="130"/>
      <c r="T43" s="130"/>
      <c r="U43" s="130"/>
      <c r="V43" s="130"/>
      <c r="W43" s="130"/>
      <c r="X43" s="130"/>
      <c r="Y43" s="130"/>
      <c r="Z43" s="131"/>
      <c r="AA43" s="131"/>
      <c r="AB43" s="132"/>
      <c r="AC43" s="132"/>
      <c r="AD43" s="132"/>
      <c r="AE43" s="133">
        <f t="shared" si="0"/>
        <v>0</v>
      </c>
      <c r="AF43" s="78"/>
    </row>
    <row r="44" spans="1:32" ht="13.15" customHeight="1">
      <c r="A44" s="270">
        <f>IF(AND($K44&lt;&gt;"",$K44&lt;&gt;"--",$K44&lt;&gt;"O3/CP",$K$14=A$18),IF(LEFT($K44,1)="P",VLOOKUP(CONCATENATE(LEFT($K44,2),"H"),$R$63:$T$91,3,FALSE),VLOOKUP($K44,$R$63:$T$91,3,FALSE)))+IF(AND($K44&lt;&gt;"",$K44&lt;&gt;"O3/CP",$K$15=A$18,MID($K44,4,1)="2",$K$15&lt;&gt;$K$14),VLOOKUP(CONCATENATE(LEFT($K44,2),"L"),$R$63:$T$91,3,FALSE),0)+IF(AND($K44="O3/CP",$K$14=A$18),VLOOKUP("O3",$R$63:$T$91,3,FALSE)+VLOOKUP("CP",$R$63:$T$91,3,FALSE),0)+IF(AND($L44&lt;&gt;"",$L44&lt;&gt;"--",$L44&lt;&gt;"O3/CP",$L$14=A$18),IF(LEFT($L44,1)="P",VLOOKUP(CONCATENATE(LEFT($L44,2),"H"),$R$63:$T$91,3,FALSE),VLOOKUP($L44,$R$63:$T$91,3,FALSE)))+IF(AND($L44&lt;&gt;"",$L44&lt;&gt;"O3/CP",$L$15=A$18,MID($L44,4,1)="2",$L$15&lt;&gt;$L$14),VLOOKUP(CONCATENATE(LEFT($L44,2),"L"),$R$63:$T$91,3,FALSE),0)+IF(AND($L44="O3/CP",$L$14=A$18),VLOOKUP("O3",$R$63:$T$91,3,FALSE)+VLOOKUP("CP",$R$63:$T$91,3,FALSE),0)+IF(AND($M44&lt;&gt;"",$M44&lt;&gt;"--",$M44&lt;&gt;"O3/CP",$M$14=A$18),IF(LEFT($M44,1)="P",VLOOKUP(CONCATENATE(LEFT($M44,2),"H"),$R$63:$T$91,3,FALSE),VLOOKUP($M44,$R$63:$T$91,3,FALSE)))+IF(AND($M44&lt;&gt;"",$M44&lt;&gt;"O3/CP",$M$15=A$18,MID($M44,4,1)="2",$M$15&lt;&gt;$M$14),VLOOKUP(CONCATENATE(LEFT($M44,2),"L"),$R$63:$T$91,3,FALSE),0)+IF(AND($M44="O3/CP",$M$14=A$18),VLOOKUP("O3",$R$63:$T$91,3,FALSE)+VLOOKUP("CP",$R$63:$T$91,3,FALSE),0)+IF(AND($N44&lt;&gt;"",$N44&lt;&gt;"--",$N44&lt;&gt;"O3/CP",$N$14=A$18),IF(LEFT($N44,1)="P",VLOOKUP(CONCATENATE(LEFT($N44,2),"H"),$R$63:$T$91,3,FALSE),VLOOKUP($N44,$R$63:$T$91,3,FALSE)))+IF(AND($N44&lt;&gt;"",$N44&lt;&gt;"O3/CP",$N$15=A$18,MID($N44,4,1)="2",$N$15&lt;&gt;$N$14),VLOOKUP(CONCATENATE(LEFT($N44,2),"L"),$R$63:$T$91,3,FALSE),0)+IF(AND($N44="O3/CP",$N$14=A$18),VLOOKUP("O3",$R$63:$T$91,3,FALSE)+VLOOKUP("CP",$R$63:$T$91,3,FALSE),0)+IF(AND($O44&lt;&gt;"",$O44&lt;&gt;"--",$O44&lt;&gt;"O3/CP",$O$14=A$18),IF(LEFT($O44,1)="P",VLOOKUP(CONCATENATE(LEFT($O44,2),"H"),$R$63:$T$91,3,FALSE),VLOOKUP($O44,$R$63:$T$91,3,FALSE)))+IF(AND($O44&lt;&gt;"",$O44&lt;&gt;"O3/CP",$O$15=A$18,MID($O44,4,1)="2",$O$15&lt;&gt;$O$14),VLOOKUP(CONCATENATE(LEFT($O44,2),"L"),$R$63:$T$91,3,FALSE),0)+IF(AND($O44="O3/CP",$O$14=A$18),VLOOKUP("O3",$R$63:$T$91,3,FALSE)+VLOOKUP("CP",$R$63:$T$91,3,FALSE),0)+IF(AND($P44&lt;&gt;"",$P44&lt;&gt;"--",$P44&lt;&gt;"O3/CP",$P$14=A$18),IF(LEFT($P44,1)="P",VLOOKUP(CONCATENATE(LEFT($P44,2),"H"),$R$63:$T$91,3,FALSE),VLOOKUP($P44,$R$63:$T$91,3,FALSE)))+IF(AND($P44&lt;&gt;"",$P44&lt;&gt;"O3/CP",$P$15=A$18,MID($P44,4,1)="2",$P$15&lt;&gt;$P$14),VLOOKUP(CONCATENATE(LEFT($P44,2),"L"),$R$63:$T$91,3,FALSE),0)+IF(AND($P44="O3/CP",$P$14=A$18),VLOOKUP("O3",$R$63:$T$91,3,FALSE)+VLOOKUP("CP",$R$63:$T$91,3,FALSE),0)+IF(AND($Q44&lt;&gt;"",$Q44&lt;&gt;"--",$Q44&lt;&gt;"O3/CP",$Q$14=A$18),IF(LEFT($Q44,1)="P",VLOOKUP(CONCATENATE(LEFT($Q44,2),"H"),$R$63:$T$91,3,FALSE),VLOOKUP($Q44,$R$63:$T$91,3,FALSE)))+IF(AND($Q44&lt;&gt;"",$Q44&lt;&gt;"O3/CP",$Q$15=A$18,MID($Q44,4,1)="2",$Q$15&lt;&gt;$Q$14),VLOOKUP(CONCATENATE(LEFT($Q44,2),"L"),$R$63:$T$91,3,FALSE),0)+IF(AND($Q44="O3/CP",$Q$14=A$18),VLOOKUP("O3",$R$63:$T$91,3,FALSE)+VLOOKUP("CP",$R$63:$T$91,3,FALSE),0)+IF(AND($R44&lt;&gt;"",$R44&lt;&gt;"--",$R44&lt;&gt;"O3/CP",$R$14=A$18),IF(LEFT($R44,1)="P",VLOOKUP(CONCATENATE(LEFT($R44,2),"H"),$R$63:$T$91,3,FALSE),VLOOKUP($R44,$R$63:$T$91,3,FALSE)))+IF(AND($R44&lt;&gt;"",$R44&lt;&gt;"O3/CP",$R$15=A$18,MID($R44,4,1)="2",$R$15&lt;&gt;$R$14),VLOOKUP(CONCATENATE(LEFT($R44,2),"L"),$R$63:$T$91,3,FALSE),0)+IF(AND($R44="O3/CP",$R$14=A$18),VLOOKUP("O3",$R$63:$T$91,3,FALSE)+VLOOKUP("CP",$R$63:$T$91,3,FALSE),0)+IF(AND($S44&lt;&gt;"",$S44&lt;&gt;"--",$S44&lt;&gt;"O3/CP",$S$14=A$18),IF(LEFT($S44,1)="P",VLOOKUP(CONCATENATE(LEFT($S44,2),"H"),$R$63:$T$91,3,FALSE),VLOOKUP($S44,$R$63:$T$91,3,FALSE)))+IF(AND($S44&lt;&gt;"",$S44&lt;&gt;"O3/CP",$S$15=A$18,MID($S44,4,1)="2",$S$15&lt;&gt;$S$14),VLOOKUP(CONCATENATE(LEFT($S44,2),"L"),$R$63:$T$91,3,FALSE),0)+IF(AND($S44="O3/CP",$S$14=A$18),VLOOKUP("O3",$R$63:$T$91,3,FALSE)+VLOOKUP("CP",$R$63:$T$91,3,FALSE),0)+IF(AND($T44&lt;&gt;"",$T44&lt;&gt;"--",$T44&lt;&gt;"O3/CP",$T$14=A$18),IF(LEFT($T44,1)="P",VLOOKUP(CONCATENATE(LEFT($T44,2),"H"),$R$63:$T$91,3,FALSE),VLOOKUP($T44,$R$63:$T$91,3,FALSE)))+IF(AND($T44&lt;&gt;"",$T44&lt;&gt;"O3/CP",$T$15=A$18,MID($T44,4,1)="2",$T$15&lt;&gt;$T$14),VLOOKUP(CONCATENATE(LEFT($T44,2),"L"),$R$63:$T$91,3,FALSE),0)+IF(AND($T44="O3/CP",$T$14=A$18),VLOOKUP("O3",$R$63:$T$91,3,FALSE)+VLOOKUP("CP",$R$63:$T$91,3,FALSE),0)+IF(AND($U44&lt;&gt;"",$U44&lt;&gt;"--",$U44&lt;&gt;"O3/CP",$U$14=A$18),IF(LEFT($U44,1)="P",VLOOKUP(CONCATENATE(LEFT($U44,2),"H"),$R$63:$T$91,3,FALSE),VLOOKUP($U44,$R$63:$T$91,3,FALSE)))+IF(AND($U44&lt;&gt;"",$U44&lt;&gt;"O3/CP",$U$15=A$18,MID($U44,4,1)="2",$U$15&lt;&gt;$U$14),VLOOKUP(CONCATENATE(LEFT($U44,2),"L"),$R$63:$T$91,3,FALSE),0)+IF(AND($U44="O3/CP",$T$14=A$18),VLOOKUP("O3",$R$63:$T$91,3,FALSE)+VLOOKUP("CP",$R$63:$T$91,3,FALSE),0)+IF(AND($V44&lt;&gt;"",$V44&lt;&gt;"--",$V44&lt;&gt;"O3/CP",$V$14=A$18),IF(LEFT($V44,1)="P",VLOOKUP(CONCATENATE(LEFT($V44,2),"H"),$R$63:$T$91,3,FALSE),VLOOKUP($V44,$R$63:$T$91,3,FALSE)))+IF(AND($V44&lt;&gt;"",$V44&lt;&gt;"O3/CP",$V$15=A$18,MID($V44,4,1)="2",$V$15&lt;&gt;$V$14),VLOOKUP(CONCATENATE(LEFT($V44,2),"L"),$R$63:$T$91,3,FALSE),0)+IF(AND($V44="O3/CP",$V$14=A$18),VLOOKUP("O3",$R$63:$T$91,3,FALSE)+VLOOKUP("CP",$R$63:$T$91,3,FALSE),0)+IF(AND($W44&lt;&gt;"",$W44&lt;&gt;"--",$W44&lt;&gt;"O3/CP",$W$14=A$18),IF(LEFT($W44,1)="P",VLOOKUP(CONCATENATE(LEFT($W44,2),"H"),$R$63:$T$91,3,FALSE),VLOOKUP($W44,$R$63:$T$91,3,FALSE)))+IF(AND($W44&lt;&gt;"",$W44&lt;&gt;"O3/CP",$W$15=A$18,MID($W44,4,1)="2",$W$15&lt;&gt;$W$14),VLOOKUP(CONCATENATE(LEFT($W44,2),"L"),$R$63:$T$91,3,FALSE),0)+IF(AND($W44="O3/CP",$W$14=A$18),VLOOKUP("O3",$R$63:$T$91,3,FALSE)+VLOOKUP("CP",$R$63:$T$91,3,FALSE),0)+IF(AND($X44&lt;&gt;"",$X44&lt;&gt;"--",$X44&lt;&gt;"O3/CP",$X$14=A$18),IF(LEFT($X44,1)="P",VLOOKUP(CONCATENATE(LEFT($X44,2),"H"),$R$63:$T$91,3,FALSE),VLOOKUP($X44,$R$63:$T$91,3,FALSE)))+IF(AND($X44&lt;&gt;"",$X44&lt;&gt;"O3/CP",$X$15=A$18,MID($X44,4,1)="2",$X$15&lt;&gt;$X$14),VLOOKUP(CONCATENATE(LEFT($X44,2),"L"),$R$63:$T$91,3,FALSE),0)+IF(AND($X44="O3/CP",$X$14=A$18),VLOOKUP("O3",$R$63:$T$91,3,FALSE)+VLOOKUP("CP",$R$63:$T$91,3,FALSE),0)+IF(AND($Y44&lt;&gt;"",$Y44&lt;&gt;"--",$Y44&lt;&gt;"O3/CP",$Y$14=A$18),IF(LEFT($Y44,1)="P",VLOOKUP(CONCATENATE(LEFT($Y44,2),"H"),$R$63:$T$91,3,FALSE),VLOOKUP($Y44,$R$63:$T$91,3,FALSE)))+IF(AND($Y44&lt;&gt;"",$Y44&lt;&gt;"O3/CP",$Y$15=A$18,MID($Y44,4,1)="2",$Y$15&lt;&gt;$Y$14),VLOOKUP(CONCATENATE(LEFT($Y44,2),"L"),$R$63:$T$91,3,FALSE),0)+IF(AND($Y44="O3/CP",$Y$14=A$18),VLOOKUP("O3",$R$63:$T$91,3,FALSE)+VLOOKUP("CP",$R$63:$T$91,3,FALSE),0)+IF(AND($K$6="CE",'[3]Supply Attribution'!$G$20=A$18),LEFT($S$90,2),0)+IF(AND($X$86&lt;&gt;"Not Set",$X$87=A$18),$X$86,0)</f>
        <v>0</v>
      </c>
      <c r="B44" s="269">
        <f>IF(AND($K44&lt;&gt;"",$K44&lt;&gt;"--",$K44&lt;&gt;"O3/CP",$K$14=B$18),IF(LEFT($K44,1)="P",VLOOKUP(CONCATENATE(LEFT($K44,2),"H"),$R$63:$T$91,3,FALSE),VLOOKUP($K44,$R$63:$T$91,3,FALSE)))+IF(AND($K44&lt;&gt;"",$K44&lt;&gt;"O3/CP",$K$15=B$18,MID($K44,4,1)="2",$K$15&lt;&gt;$K$14),VLOOKUP(CONCATENATE(LEFT($K44,2),"L"),$R$63:$T$91,3,FALSE),0)+IF(AND($K44="O3/CP",$K$14=B$18),VLOOKUP("O3",$R$63:$T$91,3,FALSE)+VLOOKUP("CP",$R$63:$T$91,3,FALSE),0)+IF(AND($L44&lt;&gt;"",$L44&lt;&gt;"--",$L44&lt;&gt;"O3/CP",$L$14=B$18),IF(LEFT($L44,1)="P",VLOOKUP(CONCATENATE(LEFT($L44,2),"H"),$R$63:$T$91,3,FALSE),VLOOKUP($L44,$R$63:$T$91,3,FALSE)))+IF(AND($L44&lt;&gt;"",$L44&lt;&gt;"O3/CP",$L$15=B$18,MID($L44,4,1)="2",$L$15&lt;&gt;$L$14),VLOOKUP(CONCATENATE(LEFT($L44,2),"L"),$R$63:$T$91,3,FALSE),0)+IF(AND($L44="O3/CP",$L$14=B$18),VLOOKUP("O3",$R$63:$T$91,3,FALSE)+VLOOKUP("CP",$R$63:$T$91,3,FALSE),0)+IF(AND($M44&lt;&gt;"",$M44&lt;&gt;"--",$M44&lt;&gt;"O3/CP",$M$14=B$18),IF(LEFT($M44,1)="P",VLOOKUP(CONCATENATE(LEFT($M44,2),"H"),$R$63:$T$91,3,FALSE),VLOOKUP($M44,$R$63:$T$91,3,FALSE)))+IF(AND($M44&lt;&gt;"",$M44&lt;&gt;"O3/CP",$M$15=B$18,MID($M44,4,1)="2",$M$15&lt;&gt;$M$14),VLOOKUP(CONCATENATE(LEFT($M44,2),"L"),$R$63:$T$91,3,FALSE),0)+IF(AND($M44="O3/CP",$M$14=B$18),VLOOKUP("O3",$R$63:$T$91,3,FALSE)+VLOOKUP("CP",$R$63:$T$91,3,FALSE),0)+IF(AND($N44&lt;&gt;"",$N44&lt;&gt;"--",$N44&lt;&gt;"O3/CP",$N$14=B$18),IF(LEFT($N44,1)="P",VLOOKUP(CONCATENATE(LEFT($N44,2),"H"),$R$63:$T$91,3,FALSE),VLOOKUP($N44,$R$63:$T$91,3,FALSE)))+IF(AND($N44&lt;&gt;"",$N44&lt;&gt;"O3/CP",$N$15=B$18,MID($N44,4,1)="2",$N$15&lt;&gt;$N$14),VLOOKUP(CONCATENATE(LEFT($N44,2),"L"),$R$63:$T$91,3,FALSE),0)+IF(AND($N44="O3/CP",$N$14=B$18),VLOOKUP("O3",$R$63:$T$91,3,FALSE)+VLOOKUP("CP",$R$63:$T$91,3,FALSE),0)+IF(AND($O44&lt;&gt;"",$O44&lt;&gt;"--",$O44&lt;&gt;"O3/CP",$O$14=B$18),IF(LEFT($O44,1)="P",VLOOKUP(CONCATENATE(LEFT($O44,2),"H"),$R$63:$T$91,3,FALSE),VLOOKUP($O44,$R$63:$T$91,3,FALSE)))+IF(AND($O44&lt;&gt;"",$O44&lt;&gt;"O3/CP",$O$15=B$18,MID($O44,4,1)="2",$O$15&lt;&gt;$O$14),VLOOKUP(CONCATENATE(LEFT($O44,2),"L"),$R$63:$T$91,3,FALSE),0)+IF(AND($O44="O3/CP",$O$14=B$18),VLOOKUP("O3",$R$63:$T$91,3,FALSE)+VLOOKUP("CP",$R$63:$T$91,3,FALSE),0)+IF(AND($P44&lt;&gt;"",$P44&lt;&gt;"--",$P44&lt;&gt;"O3/CP",$P$14=B$18),IF(LEFT($P44,1)="P",VLOOKUP(CONCATENATE(LEFT($P44,2),"H"),$R$63:$T$91,3,FALSE),VLOOKUP($P44,$R$63:$T$91,3,FALSE)))+IF(AND($P44&lt;&gt;"",$P44&lt;&gt;"O3/CP",$P$15=B$18,MID($P44,4,1)="2",$P$15&lt;&gt;$P$14),VLOOKUP(CONCATENATE(LEFT($P44,2),"L"),$R$63:$T$91,3,FALSE),0)+IF(AND($P44="O3/CP",$P$14=B$18),VLOOKUP("O3",$R$63:$T$91,3,FALSE)+VLOOKUP("CP",$R$63:$T$91,3,FALSE),0)+IF(AND($Q44&lt;&gt;"",$Q44&lt;&gt;"--",$Q44&lt;&gt;"O3/CP",$Q$14=B$18),IF(LEFT($Q44,1)="P",VLOOKUP(CONCATENATE(LEFT($Q44,2),"H"),$R$63:$T$91,3,FALSE),VLOOKUP($Q44,$R$63:$T$91,3,FALSE)))+IF(AND($Q44&lt;&gt;"",$Q44&lt;&gt;"O3/CP",$Q$15=B$18,MID($Q44,4,1)="2",$Q$15&lt;&gt;$Q$14),VLOOKUP(CONCATENATE(LEFT($Q44,2),"L"),$R$63:$T$91,3,FALSE),0)+IF(AND($Q44="O3/CP",$Q$14=B$18),VLOOKUP("O3",$R$63:$T$91,3,FALSE)+VLOOKUP("CP",$R$63:$T$91,3,FALSE),0)+IF(AND($R44&lt;&gt;"",$R44&lt;&gt;"--",$R44&lt;&gt;"O3/CP",$R$14=B$18),IF(LEFT($R44,1)="P",VLOOKUP(CONCATENATE(LEFT($R44,2),"H"),$R$63:$T$91,3,FALSE),VLOOKUP($R44,$R$63:$T$91,3,FALSE)))+IF(AND($R44&lt;&gt;"",$R44&lt;&gt;"O3/CP",$R$15=B$18,MID($R44,4,1)="2",$R$15&lt;&gt;$R$14),VLOOKUP(CONCATENATE(LEFT($R44,2),"L"),$R$63:$T$91,3,FALSE),0)+IF(AND($R44="O3/CP",$R$14=B$18),VLOOKUP("O3",$R$63:$T$91,3,FALSE)+VLOOKUP("CP",$R$63:$T$91,3,FALSE),0)+IF(AND($S44&lt;&gt;"",$S44&lt;&gt;"--",$S44&lt;&gt;"O3/CP",$S$14=B$18),IF(LEFT($S44,1)="P",VLOOKUP(CONCATENATE(LEFT($S44,2),"H"),$R$63:$T$91,3,FALSE),VLOOKUP($S44,$R$63:$T$91,3,FALSE)))+IF(AND($S44&lt;&gt;"",$S44&lt;&gt;"O3/CP",$S$15=B$18,MID($S44,4,1)="2",$S$15&lt;&gt;$S$14),VLOOKUP(CONCATENATE(LEFT($S44,2),"L"),$R$63:$T$91,3,FALSE),0)+IF(AND($S44="O3/CP",$S$14=B$18),VLOOKUP("O3",$R$63:$T$91,3,FALSE)+VLOOKUP("CP",$R$63:$T$91,3,FALSE),0)+IF(AND($T44&lt;&gt;"",$T44&lt;&gt;"--",$T44&lt;&gt;"O3/CP",$T$14=B$18),IF(LEFT($T44,1)="P",VLOOKUP(CONCATENATE(LEFT($T44,2),"H"),$R$63:$T$91,3,FALSE),VLOOKUP($T44,$R$63:$T$91,3,FALSE)))+IF(AND($T44&lt;&gt;"",$T44&lt;&gt;"O3/CP",$T$15=B$18,MID($T44,4,1)="2",$T$15&lt;&gt;$T$14),VLOOKUP(CONCATENATE(LEFT($T44,2),"L"),$R$63:$T$91,3,FALSE),0)+IF(AND($T44="O3/CP",$T$14=B$18),VLOOKUP("O3",$R$63:$T$91,3,FALSE)+VLOOKUP("CP",$R$63:$T$91,3,FALSE),0)+IF(AND($U44&lt;&gt;"",$U44&lt;&gt;"--",$U44&lt;&gt;"O3/CP",$U$14=B$18),IF(LEFT($U44,1)="P",VLOOKUP(CONCATENATE(LEFT($U44,2),"H"),$R$63:$T$91,3,FALSE),VLOOKUP($U44,$R$63:$T$91,3,FALSE)))+IF(AND($U44&lt;&gt;"",$U44&lt;&gt;"O3/CP",$U$15=B$18,MID($U44,4,1)="2",$U$15&lt;&gt;$U$14),VLOOKUP(CONCATENATE(LEFT($U44,2),"L"),$R$63:$T$91,3,FALSE),0)+IF(AND($U44="O3/CP",$T$14=B$18),VLOOKUP("O3",$R$63:$T$91,3,FALSE)+VLOOKUP("CP",$R$63:$T$91,3,FALSE),0)+IF(AND($V44&lt;&gt;"",$V44&lt;&gt;"--",$V44&lt;&gt;"O3/CP",$V$14=B$18),IF(LEFT($V44,1)="P",VLOOKUP(CONCATENATE(LEFT($V44,2),"H"),$R$63:$T$91,3,FALSE),VLOOKUP($V44,$R$63:$T$91,3,FALSE)))+IF(AND($V44&lt;&gt;"",$V44&lt;&gt;"O3/CP",$V$15=B$18,MID($V44,4,1)="2",$V$15&lt;&gt;$V$14),VLOOKUP(CONCATENATE(LEFT($V44,2),"L"),$R$63:$T$91,3,FALSE),0)+IF(AND($V44="O3/CP",$V$14=B$18),VLOOKUP("O3",$R$63:$T$91,3,FALSE)+VLOOKUP("CP",$R$63:$T$91,3,FALSE),0)+IF(AND($W44&lt;&gt;"",$W44&lt;&gt;"--",$W44&lt;&gt;"O3/CP",$W$14=B$18),IF(LEFT($W44,1)="P",VLOOKUP(CONCATENATE(LEFT($W44,2),"H"),$R$63:$T$91,3,FALSE),VLOOKUP($W44,$R$63:$T$91,3,FALSE)))+IF(AND($W44&lt;&gt;"",$W44&lt;&gt;"O3/CP",$W$15=B$18,MID($W44,4,1)="2",$W$15&lt;&gt;$W$14),VLOOKUP(CONCATENATE(LEFT($W44,2),"L"),$R$63:$T$91,3,FALSE),0)+IF(AND($W44="O3/CP",$W$14=B$18),VLOOKUP("O3",$R$63:$T$91,3,FALSE)+VLOOKUP("CP",$R$63:$T$91,3,FALSE),0)+IF(AND($X44&lt;&gt;"",$X44&lt;&gt;"--",$X44&lt;&gt;"O3/CP",$X$14=B$18),IF(LEFT($X44,1)="P",VLOOKUP(CONCATENATE(LEFT($X44,2),"H"),$R$63:$T$91,3,FALSE),VLOOKUP($X44,$R$63:$T$91,3,FALSE)))+IF(AND($X44&lt;&gt;"",$X44&lt;&gt;"O3/CP",$X$15=B$18,MID($X44,4,1)="2",$X$15&lt;&gt;$X$14),VLOOKUP(CONCATENATE(LEFT($X44,2),"L"),$R$63:$T$91,3,FALSE),0)+IF(AND($X44="O3/CP",$X$14=B$18),VLOOKUP("O3",$R$63:$T$91,3,FALSE)+VLOOKUP("CP",$R$63:$T$91,3,FALSE),0)+IF(AND($Y44&lt;&gt;"",$Y44&lt;&gt;"--",$Y44&lt;&gt;"O3/CP",$Y$14=B$18),IF(LEFT($Y44,1)="P",VLOOKUP(CONCATENATE(LEFT($Y44,2),"H"),$R$63:$T$91,3,FALSE),VLOOKUP($Y44,$R$63:$T$91,3,FALSE)))+IF(AND($Y44&lt;&gt;"",$Y44&lt;&gt;"O3/CP",$Y$15=B$18,MID($Y44,4,1)="2",$Y$15&lt;&gt;$Y$14),VLOOKUP(CONCATENATE(LEFT($Y44,2),"L"),$R$63:$T$91,3,FALSE),0)+IF(AND($Y44="O3/CP",$Y$14=B$18),VLOOKUP("O3",$R$63:$T$91,3,FALSE)+VLOOKUP("CP",$R$63:$T$91,3,FALSE),0)+IF(AND($K$6="CE",'[3]Supply Attribution'!$G$20=B$18),LEFT($S$90,2),0)+IF(AND($X$86&lt;&gt;"Not Set",$X$87=B$18),$X$86,0)</f>
        <v>0</v>
      </c>
      <c r="C44" s="269">
        <f>IF(AND($K44&lt;&gt;"",$K44&lt;&gt;"--",$K44&lt;&gt;"O3/CP",$K$14=C$18),IF(LEFT($K44,1)="P",VLOOKUP(CONCATENATE(LEFT($K44,2),"H"),$R$63:$T$91,3,FALSE),VLOOKUP($K44,$R$63:$T$91,3,FALSE)))+IF(AND($K44&lt;&gt;"",$K44&lt;&gt;"O3/CP",$K$15=C$18,MID($K44,4,1)="2",$K$15&lt;&gt;$K$14),VLOOKUP(CONCATENATE(LEFT($K44,2),"L"),$R$63:$T$91,3,FALSE),0)+IF(AND($K44="O3/CP",$K$14=C$18),VLOOKUP("O3",$R$63:$T$91,3,FALSE)+VLOOKUP("CP",$R$63:$T$91,3,FALSE),0)+IF(AND($L44&lt;&gt;"",$L44&lt;&gt;"--",$L44&lt;&gt;"O3/CP",$L$14=C$18),IF(LEFT($L44,1)="P",VLOOKUP(CONCATENATE(LEFT($L44,2),"H"),$R$63:$T$91,3,FALSE),VLOOKUP($L44,$R$63:$T$91,3,FALSE)))+IF(AND($L44&lt;&gt;"",$L44&lt;&gt;"O3/CP",$L$15=C$18,MID($L44,4,1)="2",$L$15&lt;&gt;$L$14),VLOOKUP(CONCATENATE(LEFT($L44,2),"L"),$R$63:$T$91,3,FALSE),0)+IF(AND($L44="O3/CP",$L$14=C$18),VLOOKUP("O3",$R$63:$T$91,3,FALSE)+VLOOKUP("CP",$R$63:$T$91,3,FALSE),0)+IF(AND($M44&lt;&gt;"",$M44&lt;&gt;"--",$M44&lt;&gt;"O3/CP",$M$14=C$18),IF(LEFT($M44,1)="P",VLOOKUP(CONCATENATE(LEFT($M44,2),"H"),$R$63:$T$91,3,FALSE),VLOOKUP($M44,$R$63:$T$91,3,FALSE)))+IF(AND($M44&lt;&gt;"",$M44&lt;&gt;"O3/CP",$M$15=C$18,MID($M44,4,1)="2",$M$15&lt;&gt;$M$14),VLOOKUP(CONCATENATE(LEFT($M44,2),"L"),$R$63:$T$91,3,FALSE),0)+IF(AND($M44="O3/CP",$M$14=C$18),VLOOKUP("O3",$R$63:$T$91,3,FALSE)+VLOOKUP("CP",$R$63:$T$91,3,FALSE),0)+IF(AND($N44&lt;&gt;"",$N44&lt;&gt;"--",$N44&lt;&gt;"O3/CP",$N$14=C$18),IF(LEFT($N44,1)="P",VLOOKUP(CONCATENATE(LEFT($N44,2),"H"),$R$63:$T$91,3,FALSE),VLOOKUP($N44,$R$63:$T$91,3,FALSE)))+IF(AND($N44&lt;&gt;"",$N44&lt;&gt;"O3/CP",$N$15=C$18,MID($N44,4,1)="2",$N$15&lt;&gt;$N$14),VLOOKUP(CONCATENATE(LEFT($N44,2),"L"),$R$63:$T$91,3,FALSE),0)+IF(AND($N44="O3/CP",$N$14=C$18),VLOOKUP("O3",$R$63:$T$91,3,FALSE)+VLOOKUP("CP",$R$63:$T$91,3,FALSE),0)+IF(AND($O44&lt;&gt;"",$O44&lt;&gt;"--",$O44&lt;&gt;"O3/CP",$O$14=C$18),IF(LEFT($O44,1)="P",VLOOKUP(CONCATENATE(LEFT($O44,2),"H"),$R$63:$T$91,3,FALSE),VLOOKUP($O44,$R$63:$T$91,3,FALSE)))+IF(AND($O44&lt;&gt;"",$O44&lt;&gt;"O3/CP",$O$15=C$18,MID($O44,4,1)="2",$O$15&lt;&gt;$O$14),VLOOKUP(CONCATENATE(LEFT($O44,2),"L"),$R$63:$T$91,3,FALSE),0)+IF(AND($O44="O3/CP",$O$14=C$18),VLOOKUP("O3",$R$63:$T$91,3,FALSE)+VLOOKUP("CP",$R$63:$T$91,3,FALSE),0)+IF(AND($P44&lt;&gt;"",$P44&lt;&gt;"--",$P44&lt;&gt;"O3/CP",$P$14=C$18),IF(LEFT($P44,1)="P",VLOOKUP(CONCATENATE(LEFT($P44,2),"H"),$R$63:$T$91,3,FALSE),VLOOKUP($P44,$R$63:$T$91,3,FALSE)))+IF(AND($P44&lt;&gt;"",$P44&lt;&gt;"O3/CP",$P$15=C$18,MID($P44,4,1)="2",$P$15&lt;&gt;$P$14),VLOOKUP(CONCATENATE(LEFT($P44,2),"L"),$R$63:$T$91,3,FALSE),0)+IF(AND($P44="O3/CP",$P$14=C$18),VLOOKUP("O3",$R$63:$T$91,3,FALSE)+VLOOKUP("CP",$R$63:$T$91,3,FALSE),0)+IF(AND($Q44&lt;&gt;"",$Q44&lt;&gt;"--",$Q44&lt;&gt;"O3/CP",$Q$14=C$18),IF(LEFT($Q44,1)="P",VLOOKUP(CONCATENATE(LEFT($Q44,2),"H"),$R$63:$T$91,3,FALSE),VLOOKUP($Q44,$R$63:$T$91,3,FALSE)))+IF(AND($Q44&lt;&gt;"",$Q44&lt;&gt;"O3/CP",$Q$15=C$18,MID($Q44,4,1)="2",$Q$15&lt;&gt;$Q$14),VLOOKUP(CONCATENATE(LEFT($Q44,2),"L"),$R$63:$T$91,3,FALSE),0)+IF(AND($Q44="O3/CP",$Q$14=C$18),VLOOKUP("O3",$R$63:$T$91,3,FALSE)+VLOOKUP("CP",$R$63:$T$91,3,FALSE),0)+IF(AND($R44&lt;&gt;"",$R44&lt;&gt;"--",$R44&lt;&gt;"O3/CP",$R$14=C$18),IF(LEFT($R44,1)="P",VLOOKUP(CONCATENATE(LEFT($R44,2),"H"),$R$63:$T$91,3,FALSE),VLOOKUP($R44,$R$63:$T$91,3,FALSE)))+IF(AND($R44&lt;&gt;"",$R44&lt;&gt;"O3/CP",$R$15=C$18,MID($R44,4,1)="2",$R$15&lt;&gt;$R$14),VLOOKUP(CONCATENATE(LEFT($R44,2),"L"),$R$63:$T$91,3,FALSE),0)+IF(AND($R44="O3/CP",$R$14=C$18),VLOOKUP("O3",$R$63:$T$91,3,FALSE)+VLOOKUP("CP",$R$63:$T$91,3,FALSE),0)+IF(AND($S44&lt;&gt;"",$S44&lt;&gt;"--",$S44&lt;&gt;"O3/CP",$S$14=C$18),IF(LEFT($S44,1)="P",VLOOKUP(CONCATENATE(LEFT($S44,2),"H"),$R$63:$T$91,3,FALSE),VLOOKUP($S44,$R$63:$T$91,3,FALSE)))+IF(AND($S44&lt;&gt;"",$S44&lt;&gt;"O3/CP",$S$15=C$18,MID($S44,4,1)="2",$S$15&lt;&gt;$S$14),VLOOKUP(CONCATENATE(LEFT($S44,2),"L"),$R$63:$T$91,3,FALSE),0)+IF(AND($S44="O3/CP",$S$14=C$18),VLOOKUP("O3",$R$63:$T$91,3,FALSE)+VLOOKUP("CP",$R$63:$T$91,3,FALSE),0)+IF(AND($T44&lt;&gt;"",$T44&lt;&gt;"--",$T44&lt;&gt;"O3/CP",$T$14=C$18),IF(LEFT($T44,1)="P",VLOOKUP(CONCATENATE(LEFT($T44,2),"H"),$R$63:$T$91,3,FALSE),VLOOKUP($T44,$R$63:$T$91,3,FALSE)))+IF(AND($T44&lt;&gt;"",$T44&lt;&gt;"O3/CP",$T$15=C$18,MID($T44,4,1)="2",$T$15&lt;&gt;$T$14),VLOOKUP(CONCATENATE(LEFT($T44,2),"L"),$R$63:$T$91,3,FALSE),0)+IF(AND($T44="O3/CP",$T$14=C$18),VLOOKUP("O3",$R$63:$T$91,3,FALSE)+VLOOKUP("CP",$R$63:$T$91,3,FALSE),0)+IF(AND($U44&lt;&gt;"",$U44&lt;&gt;"--",$U44&lt;&gt;"O3/CP",$U$14=C$18),IF(LEFT($U44,1)="P",VLOOKUP(CONCATENATE(LEFT($U44,2),"H"),$R$63:$T$91,3,FALSE),VLOOKUP($U44,$R$63:$T$91,3,FALSE)))+IF(AND($U44&lt;&gt;"",$U44&lt;&gt;"O3/CP",$U$15=C$18,MID($U44,4,1)="2",$U$15&lt;&gt;$U$14),VLOOKUP(CONCATENATE(LEFT($U44,2),"L"),$R$63:$T$91,3,FALSE),0)+IF(AND($U44="O3/CP",$T$14=C$18),VLOOKUP("O3",$R$63:$T$91,3,FALSE)+VLOOKUP("CP",$R$63:$T$91,3,FALSE),0)+IF(AND($V44&lt;&gt;"",$V44&lt;&gt;"--",$V44&lt;&gt;"O3/CP",$V$14=C$18),IF(LEFT($V44,1)="P",VLOOKUP(CONCATENATE(LEFT($V44,2),"H"),$R$63:$T$91,3,FALSE),VLOOKUP($V44,$R$63:$T$91,3,FALSE)))+IF(AND($V44&lt;&gt;"",$V44&lt;&gt;"O3/CP",$V$15=C$18,MID($V44,4,1)="2",$V$15&lt;&gt;$V$14),VLOOKUP(CONCATENATE(LEFT($V44,2),"L"),$R$63:$T$91,3,FALSE),0)+IF(AND($V44="O3/CP",$V$14=C$18),VLOOKUP("O3",$R$63:$T$91,3,FALSE)+VLOOKUP("CP",$R$63:$T$91,3,FALSE),0)+IF(AND($W44&lt;&gt;"",$W44&lt;&gt;"--",$W44&lt;&gt;"O3/CP",$W$14=C$18),IF(LEFT($W44,1)="P",VLOOKUP(CONCATENATE(LEFT($W44,2),"H"),$R$63:$T$91,3,FALSE),VLOOKUP($W44,$R$63:$T$91,3,FALSE)))+IF(AND($W44&lt;&gt;"",$W44&lt;&gt;"O3/CP",$W$15=C$18,MID($W44,4,1)="2",$W$15&lt;&gt;$W$14),VLOOKUP(CONCATENATE(LEFT($W44,2),"L"),$R$63:$T$91,3,FALSE),0)+IF(AND($W44="O3/CP",$W$14=C$18),VLOOKUP("O3",$R$63:$T$91,3,FALSE)+VLOOKUP("CP",$R$63:$T$91,3,FALSE),0)+IF(AND($X44&lt;&gt;"",$X44&lt;&gt;"--",$X44&lt;&gt;"O3/CP",$X$14=C$18),IF(LEFT($X44,1)="P",VLOOKUP(CONCATENATE(LEFT($X44,2),"H"),$R$63:$T$91,3,FALSE),VLOOKUP($X44,$R$63:$T$91,3,FALSE)))+IF(AND($X44&lt;&gt;"",$X44&lt;&gt;"O3/CP",$X$15=C$18,MID($X44,4,1)="2",$X$15&lt;&gt;$X$14),VLOOKUP(CONCATENATE(LEFT($X44,2),"L"),$R$63:$T$91,3,FALSE),0)+IF(AND($X44="O3/CP",$X$14=C$18),VLOOKUP("O3",$R$63:$T$91,3,FALSE)+VLOOKUP("CP",$R$63:$T$91,3,FALSE),0)+IF(AND($Y44&lt;&gt;"",$Y44&lt;&gt;"--",$Y44&lt;&gt;"O3/CP",$Y$14=C$18),IF(LEFT($Y44,1)="P",VLOOKUP(CONCATENATE(LEFT($Y44,2),"H"),$R$63:$T$91,3,FALSE),VLOOKUP($Y44,$R$63:$T$91,3,FALSE)))+IF(AND($Y44&lt;&gt;"",$Y44&lt;&gt;"O3/CP",$Y$15=C$18,MID($Y44,4,1)="2",$Y$15&lt;&gt;$Y$14),VLOOKUP(CONCATENATE(LEFT($Y44,2),"L"),$R$63:$T$91,3,FALSE),0)+IF(AND($Y44="O3/CP",$Y$14=C$18),VLOOKUP("O3",$R$63:$T$91,3,FALSE)+VLOOKUP("CP",$R$63:$T$91,3,FALSE),0)+IF(AND($K$6="CE",'[3]Supply Attribution'!$G$20=C$18),LEFT($S$90,2),0)+IF(AND($X$86&lt;&gt;"Not Set",$X$87=C$18),$X$86,0)</f>
        <v>0</v>
      </c>
      <c r="D44" s="269">
        <f>IF(AND($K44&lt;&gt;"",$K44&lt;&gt;"--",$K44&lt;&gt;"O3/CP",$K$14=D$18),IF(LEFT($K44,1)="P",VLOOKUP(CONCATENATE(LEFT($K44,2),"H"),$R$63:$T$91,3,FALSE),VLOOKUP($K44,$R$63:$T$91,3,FALSE)))+IF(AND($K44&lt;&gt;"",$K44&lt;&gt;"O3/CP",$K$15=D$18,MID($K44,4,1)="2",$K$15&lt;&gt;$K$14),VLOOKUP(CONCATENATE(LEFT($K44,2),"L"),$R$63:$T$91,3,FALSE),0)+IF(AND($K44="O3/CP",$K$14=D$18),VLOOKUP("O3",$R$63:$T$91,3,FALSE)+VLOOKUP("CP",$R$63:$T$91,3,FALSE),0)+IF(AND($L44&lt;&gt;"",$L44&lt;&gt;"--",$L44&lt;&gt;"O3/CP",$L$14=D$18),IF(LEFT($L44,1)="P",VLOOKUP(CONCATENATE(LEFT($L44,2),"H"),$R$63:$T$91,3,FALSE),VLOOKUP($L44,$R$63:$T$91,3,FALSE)))+IF(AND($L44&lt;&gt;"",$L44&lt;&gt;"O3/CP",$L$15=D$18,MID($L44,4,1)="2",$L$15&lt;&gt;$L$14),VLOOKUP(CONCATENATE(LEFT($L44,2),"L"),$R$63:$T$91,3,FALSE),0)+IF(AND($L44="O3/CP",$L$14=D$18),VLOOKUP("O3",$R$63:$T$91,3,FALSE)+VLOOKUP("CP",$R$63:$T$91,3,FALSE),0)+IF(AND($M44&lt;&gt;"",$M44&lt;&gt;"--",$M44&lt;&gt;"O3/CP",$M$14=D$18),IF(LEFT($M44,1)="P",VLOOKUP(CONCATENATE(LEFT($M44,2),"H"),$R$63:$T$91,3,FALSE),VLOOKUP($M44,$R$63:$T$91,3,FALSE)))+IF(AND($M44&lt;&gt;"",$M44&lt;&gt;"O3/CP",$M$15=D$18,MID($M44,4,1)="2",$M$15&lt;&gt;$M$14),VLOOKUP(CONCATENATE(LEFT($M44,2),"L"),$R$63:$T$91,3,FALSE),0)+IF(AND($M44="O3/CP",$M$14=D$18),VLOOKUP("O3",$R$63:$T$91,3,FALSE)+VLOOKUP("CP",$R$63:$T$91,3,FALSE),0)+IF(AND($N44&lt;&gt;"",$N44&lt;&gt;"--",$N44&lt;&gt;"O3/CP",$N$14=D$18),IF(LEFT($N44,1)="P",VLOOKUP(CONCATENATE(LEFT($N44,2),"H"),$R$63:$T$91,3,FALSE),VLOOKUP($N44,$R$63:$T$91,3,FALSE)))+IF(AND($N44&lt;&gt;"",$N44&lt;&gt;"O3/CP",$N$15=D$18,MID($N44,4,1)="2",$N$15&lt;&gt;$N$14),VLOOKUP(CONCATENATE(LEFT($N44,2),"L"),$R$63:$T$91,3,FALSE),0)+IF(AND($N44="O3/CP",$N$14=D$18),VLOOKUP("O3",$R$63:$T$91,3,FALSE)+VLOOKUP("CP",$R$63:$T$91,3,FALSE),0)+IF(AND($O44&lt;&gt;"",$O44&lt;&gt;"--",$O44&lt;&gt;"O3/CP",$O$14=D$18),IF(LEFT($O44,1)="P",VLOOKUP(CONCATENATE(LEFT($O44,2),"H"),$R$63:$T$91,3,FALSE),VLOOKUP($O44,$R$63:$T$91,3,FALSE)))+IF(AND($O44&lt;&gt;"",$O44&lt;&gt;"O3/CP",$O$15=D$18,MID($O44,4,1)="2",$O$15&lt;&gt;$O$14),VLOOKUP(CONCATENATE(LEFT($O44,2),"L"),$R$63:$T$91,3,FALSE),0)+IF(AND($O44="O3/CP",$O$14=D$18),VLOOKUP("O3",$R$63:$T$91,3,FALSE)+VLOOKUP("CP",$R$63:$T$91,3,FALSE),0)+IF(AND($P44&lt;&gt;"",$P44&lt;&gt;"--",$P44&lt;&gt;"O3/CP",$P$14=D$18),IF(LEFT($P44,1)="P",VLOOKUP(CONCATENATE(LEFT($P44,2),"H"),$R$63:$T$91,3,FALSE),VLOOKUP($P44,$R$63:$T$91,3,FALSE)))+IF(AND($P44&lt;&gt;"",$P44&lt;&gt;"O3/CP",$P$15=D$18,MID($P44,4,1)="2",$P$15&lt;&gt;$P$14),VLOOKUP(CONCATENATE(LEFT($P44,2),"L"),$R$63:$T$91,3,FALSE),0)+IF(AND($P44="O3/CP",$P$14=D$18),VLOOKUP("O3",$R$63:$T$91,3,FALSE)+VLOOKUP("CP",$R$63:$T$91,3,FALSE),0)+IF(AND($Q44&lt;&gt;"",$Q44&lt;&gt;"--",$Q44&lt;&gt;"O3/CP",$Q$14=D$18),IF(LEFT($Q44,1)="P",VLOOKUP(CONCATENATE(LEFT($Q44,2),"H"),$R$63:$T$91,3,FALSE),VLOOKUP($Q44,$R$63:$T$91,3,FALSE)))+IF(AND($Q44&lt;&gt;"",$Q44&lt;&gt;"O3/CP",$Q$15=D$18,MID($Q44,4,1)="2",$Q$15&lt;&gt;$Q$14),VLOOKUP(CONCATENATE(LEFT($Q44,2),"L"),$R$63:$T$91,3,FALSE),0)+IF(AND($Q44="O3/CP",$Q$14=D$18),VLOOKUP("O3",$R$63:$T$91,3,FALSE)+VLOOKUP("CP",$R$63:$T$91,3,FALSE),0)+IF(AND($R44&lt;&gt;"",$R44&lt;&gt;"--",$R44&lt;&gt;"O3/CP",$R$14=D$18),IF(LEFT($R44,1)="P",VLOOKUP(CONCATENATE(LEFT($R44,2),"H"),$R$63:$T$91,3,FALSE),VLOOKUP($R44,$R$63:$T$91,3,FALSE)))+IF(AND($R44&lt;&gt;"",$R44&lt;&gt;"O3/CP",$R$15=D$18,MID($R44,4,1)="2",$R$15&lt;&gt;$R$14),VLOOKUP(CONCATENATE(LEFT($R44,2),"L"),$R$63:$T$91,3,FALSE),0)+IF(AND($R44="O3/CP",$R$14=D$18),VLOOKUP("O3",$R$63:$T$91,3,FALSE)+VLOOKUP("CP",$R$63:$T$91,3,FALSE),0)+IF(AND($S44&lt;&gt;"",$S44&lt;&gt;"--",$S44&lt;&gt;"O3/CP",$S$14=D$18),IF(LEFT($S44,1)="P",VLOOKUP(CONCATENATE(LEFT($S44,2),"H"),$R$63:$T$91,3,FALSE),VLOOKUP($S44,$R$63:$T$91,3,FALSE)))+IF(AND($S44&lt;&gt;"",$S44&lt;&gt;"O3/CP",$S$15=D$18,MID($S44,4,1)="2",$S$15&lt;&gt;$S$14),VLOOKUP(CONCATENATE(LEFT($S44,2),"L"),$R$63:$T$91,3,FALSE),0)+IF(AND($S44="O3/CP",$S$14=D$18),VLOOKUP("O3",$R$63:$T$91,3,FALSE)+VLOOKUP("CP",$R$63:$T$91,3,FALSE),0)+IF(AND($T44&lt;&gt;"",$T44&lt;&gt;"--",$T44&lt;&gt;"O3/CP",$T$14=D$18),IF(LEFT($T44,1)="P",VLOOKUP(CONCATENATE(LEFT($T44,2),"H"),$R$63:$T$91,3,FALSE),VLOOKUP($T44,$R$63:$T$91,3,FALSE)))+IF(AND($T44&lt;&gt;"",$T44&lt;&gt;"O3/CP",$T$15=D$18,MID($T44,4,1)="2",$T$15&lt;&gt;$T$14),VLOOKUP(CONCATENATE(LEFT($T44,2),"L"),$R$63:$T$91,3,FALSE),0)+IF(AND($T44="O3/CP",$T$14=D$18),VLOOKUP("O3",$R$63:$T$91,3,FALSE)+VLOOKUP("CP",$R$63:$T$91,3,FALSE),0)+IF(AND($U44&lt;&gt;"",$U44&lt;&gt;"--",$U44&lt;&gt;"O3/CP",$U$14=D$18),IF(LEFT($U44,1)="P",VLOOKUP(CONCATENATE(LEFT($U44,2),"H"),$R$63:$T$91,3,FALSE),VLOOKUP($U44,$R$63:$T$91,3,FALSE)))+IF(AND($U44&lt;&gt;"",$U44&lt;&gt;"O3/CP",$U$15=D$18,MID($U44,4,1)="2",$U$15&lt;&gt;$U$14),VLOOKUP(CONCATENATE(LEFT($U44,2),"L"),$R$63:$T$91,3,FALSE),0)+IF(AND($U44="O3/CP",$T$14=D$18),VLOOKUP("O3",$R$63:$T$91,3,FALSE)+VLOOKUP("CP",$R$63:$T$91,3,FALSE),0)+IF(AND($V44&lt;&gt;"",$V44&lt;&gt;"--",$V44&lt;&gt;"O3/CP",$V$14=D$18),IF(LEFT($V44,1)="P",VLOOKUP(CONCATENATE(LEFT($V44,2),"H"),$R$63:$T$91,3,FALSE),VLOOKUP($V44,$R$63:$T$91,3,FALSE)))+IF(AND($V44&lt;&gt;"",$V44&lt;&gt;"O3/CP",$V$15=D$18,MID($V44,4,1)="2",$V$15&lt;&gt;$V$14),VLOOKUP(CONCATENATE(LEFT($V44,2),"L"),$R$63:$T$91,3,FALSE),0)+IF(AND($V44="O3/CP",$V$14=D$18),VLOOKUP("O3",$R$63:$T$91,3,FALSE)+VLOOKUP("CP",$R$63:$T$91,3,FALSE),0)+IF(AND($W44&lt;&gt;"",$W44&lt;&gt;"--",$W44&lt;&gt;"O3/CP",$W$14=D$18),IF(LEFT($W44,1)="P",VLOOKUP(CONCATENATE(LEFT($W44,2),"H"),$R$63:$T$91,3,FALSE),VLOOKUP($W44,$R$63:$T$91,3,FALSE)))+IF(AND($W44&lt;&gt;"",$W44&lt;&gt;"O3/CP",$W$15=D$18,MID($W44,4,1)="2",$W$15&lt;&gt;$W$14),VLOOKUP(CONCATENATE(LEFT($W44,2),"L"),$R$63:$T$91,3,FALSE),0)+IF(AND($W44="O3/CP",$W$14=D$18),VLOOKUP("O3",$R$63:$T$91,3,FALSE)+VLOOKUP("CP",$R$63:$T$91,3,FALSE),0)+IF(AND($X44&lt;&gt;"",$X44&lt;&gt;"--",$X44&lt;&gt;"O3/CP",$X$14=D$18),IF(LEFT($X44,1)="P",VLOOKUP(CONCATENATE(LEFT($X44,2),"H"),$R$63:$T$91,3,FALSE),VLOOKUP($X44,$R$63:$T$91,3,FALSE)))+IF(AND($X44&lt;&gt;"",$X44&lt;&gt;"O3/CP",$X$15=D$18,MID($X44,4,1)="2",$X$15&lt;&gt;$X$14),VLOOKUP(CONCATENATE(LEFT($X44,2),"L"),$R$63:$T$91,3,FALSE),0)+IF(AND($X44="O3/CP",$X$14=D$18),VLOOKUP("O3",$R$63:$T$91,3,FALSE)+VLOOKUP("CP",$R$63:$T$91,3,FALSE),0)+IF(AND($Y44&lt;&gt;"",$Y44&lt;&gt;"--",$Y44&lt;&gt;"O3/CP",$Y$14=D$18),IF(LEFT($Y44,1)="P",VLOOKUP(CONCATENATE(LEFT($Y44,2),"H"),$R$63:$T$91,3,FALSE),VLOOKUP($Y44,$R$63:$T$91,3,FALSE)))+IF(AND($Y44&lt;&gt;"",$Y44&lt;&gt;"O3/CP",$Y$15=D$18,MID($Y44,4,1)="2",$Y$15&lt;&gt;$Y$14),VLOOKUP(CONCATENATE(LEFT($Y44,2),"L"),$R$63:$T$91,3,FALSE),0)+IF(AND($Y44="O3/CP",$Y$14=D$18),VLOOKUP("O3",$R$63:$T$91,3,FALSE)+VLOOKUP("CP",$R$63:$T$91,3,FALSE),0)+IF(AND($K$6="CE",'[3]Supply Attribution'!$G$20=D$18),LEFT($S$90,2),0)+IF(AND($X$86&lt;&gt;"Not Set",$X$87=D$18),$X$86,0)</f>
        <v>0</v>
      </c>
      <c r="E44" s="269">
        <f>IF(AND($K44&lt;&gt;"",$K44&lt;&gt;"--",$K44&lt;&gt;"O3/CP",$K$14=E$18),IF(LEFT($K44,1)="P",VLOOKUP(CONCATENATE(LEFT($K44,2),"H"),$R$63:$T$91,3,FALSE),VLOOKUP($K44,$R$63:$T$91,3,FALSE)))+IF(AND($K44&lt;&gt;"",$K44&lt;&gt;"O3/CP",$K$15=E$18,MID($K44,4,1)="2",$K$15&lt;&gt;$K$14),VLOOKUP(CONCATENATE(LEFT($K44,2),"L"),$R$63:$T$91,3,FALSE),0)+IF(AND($K44="O3/CP",$K$14=E$18),VLOOKUP("O3",$R$63:$T$91,3,FALSE)+VLOOKUP("CP",$R$63:$T$91,3,FALSE),0)+IF(AND($L44&lt;&gt;"",$L44&lt;&gt;"--",$L44&lt;&gt;"O3/CP",$L$14=E$18),IF(LEFT($L44,1)="P",VLOOKUP(CONCATENATE(LEFT($L44,2),"H"),$R$63:$T$91,3,FALSE),VLOOKUP($L44,$R$63:$T$91,3,FALSE)))+IF(AND($L44&lt;&gt;"",$L44&lt;&gt;"O3/CP",$L$15=E$18,MID($L44,4,1)="2",$L$15&lt;&gt;$L$14),VLOOKUP(CONCATENATE(LEFT($L44,2),"L"),$R$63:$T$91,3,FALSE),0)+IF(AND($L44="O3/CP",$L$14=E$18),VLOOKUP("O3",$R$63:$T$91,3,FALSE)+VLOOKUP("CP",$R$63:$T$91,3,FALSE),0)+IF(AND($M44&lt;&gt;"",$M44&lt;&gt;"--",$M44&lt;&gt;"O3/CP",$M$14=E$18),IF(LEFT($M44,1)="P",VLOOKUP(CONCATENATE(LEFT($M44,2),"H"),$R$63:$T$91,3,FALSE),VLOOKUP($M44,$R$63:$T$91,3,FALSE)))+IF(AND($M44&lt;&gt;"",$M44&lt;&gt;"O3/CP",$M$15=E$18,MID($M44,4,1)="2",$M$15&lt;&gt;$M$14),VLOOKUP(CONCATENATE(LEFT($M44,2),"L"),$R$63:$T$91,3,FALSE),0)+IF(AND($M44="O3/CP",$M$14=E$18),VLOOKUP("O3",$R$63:$T$91,3,FALSE)+VLOOKUP("CP",$R$63:$T$91,3,FALSE),0)+IF(AND($N44&lt;&gt;"",$N44&lt;&gt;"--",$N44&lt;&gt;"O3/CP",$N$14=E$18),IF(LEFT($N44,1)="P",VLOOKUP(CONCATENATE(LEFT($N44,2),"H"),$R$63:$T$91,3,FALSE),VLOOKUP($N44,$R$63:$T$91,3,FALSE)))+IF(AND($N44&lt;&gt;"",$N44&lt;&gt;"O3/CP",$N$15=E$18,MID($N44,4,1)="2",$N$15&lt;&gt;$N$14),VLOOKUP(CONCATENATE(LEFT($N44,2),"L"),$R$63:$T$91,3,FALSE),0)+IF(AND($N44="O3/CP",$N$14=E$18),VLOOKUP("O3",$R$63:$T$91,3,FALSE)+VLOOKUP("CP",$R$63:$T$91,3,FALSE),0)+IF(AND($O44&lt;&gt;"",$O44&lt;&gt;"--",$O44&lt;&gt;"O3/CP",$O$14=E$18),IF(LEFT($O44,1)="P",VLOOKUP(CONCATENATE(LEFT($O44,2),"H"),$R$63:$T$91,3,FALSE),VLOOKUP($O44,$R$63:$T$91,3,FALSE)))+IF(AND($O44&lt;&gt;"",$O44&lt;&gt;"O3/CP",$O$15=E$18,MID($O44,4,1)="2",$O$15&lt;&gt;$O$14),VLOOKUP(CONCATENATE(LEFT($O44,2),"L"),$R$63:$T$91,3,FALSE),0)+IF(AND($O44="O3/CP",$O$14=E$18),VLOOKUP("O3",$R$63:$T$91,3,FALSE)+VLOOKUP("CP",$R$63:$T$91,3,FALSE),0)+IF(AND($P44&lt;&gt;"",$P44&lt;&gt;"--",$P44&lt;&gt;"O3/CP",$P$14=E$18),IF(LEFT($P44,1)="P",VLOOKUP(CONCATENATE(LEFT($P44,2),"H"),$R$63:$T$91,3,FALSE),VLOOKUP($P44,$R$63:$T$91,3,FALSE)))+IF(AND($P44&lt;&gt;"",$P44&lt;&gt;"O3/CP",$P$15=E$18,MID($P44,4,1)="2",$P$15&lt;&gt;$P$14),VLOOKUP(CONCATENATE(LEFT($P44,2),"L"),$R$63:$T$91,3,FALSE),0)+IF(AND($P44="O3/CP",$P$14=E$18),VLOOKUP("O3",$R$63:$T$91,3,FALSE)+VLOOKUP("CP",$R$63:$T$91,3,FALSE),0)+IF(AND($Q44&lt;&gt;"",$Q44&lt;&gt;"--",$Q44&lt;&gt;"O3/CP",$Q$14=E$18),IF(LEFT($Q44,1)="P",VLOOKUP(CONCATENATE(LEFT($Q44,2),"H"),$R$63:$T$91,3,FALSE),VLOOKUP($Q44,$R$63:$T$91,3,FALSE)))+IF(AND($Q44&lt;&gt;"",$Q44&lt;&gt;"O3/CP",$Q$15=E$18,MID($Q44,4,1)="2",$Q$15&lt;&gt;$Q$14),VLOOKUP(CONCATENATE(LEFT($Q44,2),"L"),$R$63:$T$91,3,FALSE),0)+IF(AND($Q44="O3/CP",$Q$14=E$18),VLOOKUP("O3",$R$63:$T$91,3,FALSE)+VLOOKUP("CP",$R$63:$T$91,3,FALSE),0)+IF(AND($R44&lt;&gt;"",$R44&lt;&gt;"--",$R44&lt;&gt;"O3/CP",$R$14=E$18),IF(LEFT($R44,1)="P",VLOOKUP(CONCATENATE(LEFT($R44,2),"H"),$R$63:$T$91,3,FALSE),VLOOKUP($R44,$R$63:$T$91,3,FALSE)))+IF(AND($R44&lt;&gt;"",$R44&lt;&gt;"O3/CP",$R$15=E$18,MID($R44,4,1)="2",$R$15&lt;&gt;$R$14),VLOOKUP(CONCATENATE(LEFT($R44,2),"L"),$R$63:$T$91,3,FALSE),0)+IF(AND($R44="O3/CP",$R$14=E$18),VLOOKUP("O3",$R$63:$T$91,3,FALSE)+VLOOKUP("CP",$R$63:$T$91,3,FALSE),0)+IF(AND($S44&lt;&gt;"",$S44&lt;&gt;"--",$S44&lt;&gt;"O3/CP",$S$14=E$18),IF(LEFT($S44,1)="P",VLOOKUP(CONCATENATE(LEFT($S44,2),"H"),$R$63:$T$91,3,FALSE),VLOOKUP($S44,$R$63:$T$91,3,FALSE)))+IF(AND($S44&lt;&gt;"",$S44&lt;&gt;"O3/CP",$S$15=E$18,MID($S44,4,1)="2",$S$15&lt;&gt;$S$14),VLOOKUP(CONCATENATE(LEFT($S44,2),"L"),$R$63:$T$91,3,FALSE),0)+IF(AND($S44="O3/CP",$S$14=E$18),VLOOKUP("O3",$R$63:$T$91,3,FALSE)+VLOOKUP("CP",$R$63:$T$91,3,FALSE),0)+IF(AND($T44&lt;&gt;"",$T44&lt;&gt;"--",$T44&lt;&gt;"O3/CP",$T$14=E$18),IF(LEFT($T44,1)="P",VLOOKUP(CONCATENATE(LEFT($T44,2),"H"),$R$63:$T$91,3,FALSE),VLOOKUP($T44,$R$63:$T$91,3,FALSE)))+IF(AND($T44&lt;&gt;"",$T44&lt;&gt;"O3/CP",$T$15=E$18,MID($T44,4,1)="2",$T$15&lt;&gt;$T$14),VLOOKUP(CONCATENATE(LEFT($T44,2),"L"),$R$63:$T$91,3,FALSE),0)+IF(AND($T44="O3/CP",$T$14=E$18),VLOOKUP("O3",$R$63:$T$91,3,FALSE)+VLOOKUP("CP",$R$63:$T$91,3,FALSE),0)+IF(AND($U44&lt;&gt;"",$U44&lt;&gt;"--",$U44&lt;&gt;"O3/CP",$U$14=E$18),IF(LEFT($U44,1)="P",VLOOKUP(CONCATENATE(LEFT($U44,2),"H"),$R$63:$T$91,3,FALSE),VLOOKUP($U44,$R$63:$T$91,3,FALSE)))+IF(AND($U44&lt;&gt;"",$U44&lt;&gt;"O3/CP",$U$15=E$18,MID($U44,4,1)="2",$U$15&lt;&gt;$U$14),VLOOKUP(CONCATENATE(LEFT($U44,2),"L"),$R$63:$T$91,3,FALSE),0)+IF(AND($U44="O3/CP",$T$14=E$18),VLOOKUP("O3",$R$63:$T$91,3,FALSE)+VLOOKUP("CP",$R$63:$T$91,3,FALSE),0)+IF(AND($V44&lt;&gt;"",$V44&lt;&gt;"--",$V44&lt;&gt;"O3/CP",$V$14=E$18),IF(LEFT($V44,1)="P",VLOOKUP(CONCATENATE(LEFT($V44,2),"H"),$R$63:$T$91,3,FALSE),VLOOKUP($V44,$R$63:$T$91,3,FALSE)))+IF(AND($V44&lt;&gt;"",$V44&lt;&gt;"O3/CP",$V$15=E$18,MID($V44,4,1)="2",$V$15&lt;&gt;$V$14),VLOOKUP(CONCATENATE(LEFT($V44,2),"L"),$R$63:$T$91,3,FALSE),0)+IF(AND($V44="O3/CP",$V$14=E$18),VLOOKUP("O3",$R$63:$T$91,3,FALSE)+VLOOKUP("CP",$R$63:$T$91,3,FALSE),0)+IF(AND($W44&lt;&gt;"",$W44&lt;&gt;"--",$W44&lt;&gt;"O3/CP",$W$14=E$18),IF(LEFT($W44,1)="P",VLOOKUP(CONCATENATE(LEFT($W44,2),"H"),$R$63:$T$91,3,FALSE),VLOOKUP($W44,$R$63:$T$91,3,FALSE)))+IF(AND($W44&lt;&gt;"",$W44&lt;&gt;"O3/CP",$W$15=E$18,MID($W44,4,1)="2",$W$15&lt;&gt;$W$14),VLOOKUP(CONCATENATE(LEFT($W44,2),"L"),$R$63:$T$91,3,FALSE),0)+IF(AND($W44="O3/CP",$W$14=E$18),VLOOKUP("O3",$R$63:$T$91,3,FALSE)+VLOOKUP("CP",$R$63:$T$91,3,FALSE),0)+IF(AND($X44&lt;&gt;"",$X44&lt;&gt;"--",$X44&lt;&gt;"O3/CP",$X$14=E$18),IF(LEFT($X44,1)="P",VLOOKUP(CONCATENATE(LEFT($X44,2),"H"),$R$63:$T$91,3,FALSE),VLOOKUP($X44,$R$63:$T$91,3,FALSE)))+IF(AND($X44&lt;&gt;"",$X44&lt;&gt;"O3/CP",$X$15=E$18,MID($X44,4,1)="2",$X$15&lt;&gt;$X$14),VLOOKUP(CONCATENATE(LEFT($X44,2),"L"),$R$63:$T$91,3,FALSE),0)+IF(AND($X44="O3/CP",$X$14=E$18),VLOOKUP("O3",$R$63:$T$91,3,FALSE)+VLOOKUP("CP",$R$63:$T$91,3,FALSE),0)+IF(AND($Y44&lt;&gt;"",$Y44&lt;&gt;"--",$Y44&lt;&gt;"O3/CP",$Y$14=E$18),IF(LEFT($Y44,1)="P",VLOOKUP(CONCATENATE(LEFT($Y44,2),"H"),$R$63:$T$91,3,FALSE),VLOOKUP($Y44,$R$63:$T$91,3,FALSE)))+IF(AND($Y44&lt;&gt;"",$Y44&lt;&gt;"O3/CP",$Y$15=E$18,MID($Y44,4,1)="2",$Y$15&lt;&gt;$Y$14),VLOOKUP(CONCATENATE(LEFT($Y44,2),"L"),$R$63:$T$91,3,FALSE),0)+IF(AND($Y44="O3/CP",$Y$14=E$18),VLOOKUP("O3",$R$63:$T$91,3,FALSE)+VLOOKUP("CP",$R$63:$T$91,3,FALSE),0)+IF(AND($K$6="CE",'[3]Supply Attribution'!$G$20=E$18),LEFT($S$90,2),0)+IF(AND($X$86&lt;&gt;"Not Set",$X$87=E$18),$X$86,0)</f>
        <v>0</v>
      </c>
      <c r="F44" s="268">
        <f>IF(AND($K44&lt;&gt;"",$K44&lt;&gt;"--",$K44&lt;&gt;"O3/CP",$K$14=F$18),IF(LEFT($K44,1)="P",VLOOKUP(CONCATENATE(LEFT($K44,2),"H"),$R$63:$T$91,3,FALSE),VLOOKUP($K44,$R$63:$T$91,3,FALSE)))+IF(AND($K44&lt;&gt;"",$K44&lt;&gt;"O3/CP",$K$15=F$18,MID($K44,4,1)="2",$K$15&lt;&gt;$K$14),VLOOKUP(CONCATENATE(LEFT($K44,2),"L"),$R$63:$T$91,3,FALSE),0)+IF(AND($K44="O3/CP",$K$14=F$18),VLOOKUP("O3",$R$63:$T$91,3,FALSE)+VLOOKUP("CP",$R$63:$T$91,3,FALSE),0)+IF(AND($L44&lt;&gt;"",$L44&lt;&gt;"--",$L44&lt;&gt;"O3/CP",$L$14=F$18),IF(LEFT($L44,1)="P",VLOOKUP(CONCATENATE(LEFT($L44,2),"H"),$R$63:$T$91,3,FALSE),VLOOKUP($L44,$R$63:$T$91,3,FALSE)))+IF(AND($L44&lt;&gt;"",$L44&lt;&gt;"O3/CP",$L$15=F$18,MID($L44,4,1)="2",$L$15&lt;&gt;$L$14),VLOOKUP(CONCATENATE(LEFT($L44,2),"L"),$R$63:$T$91,3,FALSE),0)+IF(AND($L44="O3/CP",$L$14=F$18),VLOOKUP("O3",$R$63:$T$91,3,FALSE)+VLOOKUP("CP",$R$63:$T$91,3,FALSE),0)+IF(AND($M44&lt;&gt;"",$M44&lt;&gt;"--",$M44&lt;&gt;"O3/CP",$M$14=F$18),IF(LEFT($M44,1)="P",VLOOKUP(CONCATENATE(LEFT($M44,2),"H"),$R$63:$T$91,3,FALSE),VLOOKUP($M44,$R$63:$T$91,3,FALSE)))+IF(AND($M44&lt;&gt;"",$M44&lt;&gt;"O3/CP",$M$15=F$18,MID($M44,4,1)="2",$M$15&lt;&gt;$M$14),VLOOKUP(CONCATENATE(LEFT($M44,2),"L"),$R$63:$T$91,3,FALSE),0)+IF(AND($M44="O3/CP",$M$14=F$18),VLOOKUP("O3",$R$63:$T$91,3,FALSE)+VLOOKUP("CP",$R$63:$T$91,3,FALSE),0)+IF(AND($N44&lt;&gt;"",$N44&lt;&gt;"--",$N44&lt;&gt;"O3/CP",$N$14=F$18),IF(LEFT($N44,1)="P",VLOOKUP(CONCATENATE(LEFT($N44,2),"H"),$R$63:$T$91,3,FALSE),VLOOKUP($N44,$R$63:$T$91,3,FALSE)))+IF(AND($N44&lt;&gt;"",$N44&lt;&gt;"O3/CP",$N$15=F$18,MID($N44,4,1)="2",$N$15&lt;&gt;$N$14),VLOOKUP(CONCATENATE(LEFT($N44,2),"L"),$R$63:$T$91,3,FALSE),0)+IF(AND($N44="O3/CP",$N$14=F$18),VLOOKUP("O3",$R$63:$T$91,3,FALSE)+VLOOKUP("CP",$R$63:$T$91,3,FALSE),0)+IF(AND($O44&lt;&gt;"",$O44&lt;&gt;"--",$O44&lt;&gt;"O3/CP",$O$14=F$18),IF(LEFT($O44,1)="P",VLOOKUP(CONCATENATE(LEFT($O44,2),"H"),$R$63:$T$91,3,FALSE),VLOOKUP($O44,$R$63:$T$91,3,FALSE)))+IF(AND($O44&lt;&gt;"",$O44&lt;&gt;"O3/CP",$O$15=F$18,MID($O44,4,1)="2",$O$15&lt;&gt;$O$14),VLOOKUP(CONCATENATE(LEFT($O44,2),"L"),$R$63:$T$91,3,FALSE),0)+IF(AND($O44="O3/CP",$O$14=F$18),VLOOKUP("O3",$R$63:$T$91,3,FALSE)+VLOOKUP("CP",$R$63:$T$91,3,FALSE),0)+IF(AND($P44&lt;&gt;"",$P44&lt;&gt;"--",$P44&lt;&gt;"O3/CP",$P$14=F$18),IF(LEFT($P44,1)="P",VLOOKUP(CONCATENATE(LEFT($P44,2),"H"),$R$63:$T$91,3,FALSE),VLOOKUP($P44,$R$63:$T$91,3,FALSE)))+IF(AND($P44&lt;&gt;"",$P44&lt;&gt;"O3/CP",$P$15=F$18,MID($P44,4,1)="2",$P$15&lt;&gt;$P$14),VLOOKUP(CONCATENATE(LEFT($P44,2),"L"),$R$63:$T$91,3,FALSE),0)+IF(AND($P44="O3/CP",$P$14=F$18),VLOOKUP("O3",$R$63:$T$91,3,FALSE)+VLOOKUP("CP",$R$63:$T$91,3,FALSE),0)+IF(AND($Q44&lt;&gt;"",$Q44&lt;&gt;"--",$Q44&lt;&gt;"O3/CP",$Q$14=F$18),IF(LEFT($Q44,1)="P",VLOOKUP(CONCATENATE(LEFT($Q44,2),"H"),$R$63:$T$91,3,FALSE),VLOOKUP($Q44,$R$63:$T$91,3,FALSE)))+IF(AND($Q44&lt;&gt;"",$Q44&lt;&gt;"O3/CP",$Q$15=F$18,MID($Q44,4,1)="2",$Q$15&lt;&gt;$Q$14),VLOOKUP(CONCATENATE(LEFT($Q44,2),"L"),$R$63:$T$91,3,FALSE),0)+IF(AND($Q44="O3/CP",$Q$14=F$18),VLOOKUP("O3",$R$63:$T$91,3,FALSE)+VLOOKUP("CP",$R$63:$T$91,3,FALSE),0)+IF(AND($R44&lt;&gt;"",$R44&lt;&gt;"--",$R44&lt;&gt;"O3/CP",$R$14=F$18),IF(LEFT($R44,1)="P",VLOOKUP(CONCATENATE(LEFT($R44,2),"H"),$R$63:$T$91,3,FALSE),VLOOKUP($R44,$R$63:$T$91,3,FALSE)))+IF(AND($R44&lt;&gt;"",$R44&lt;&gt;"O3/CP",$R$15=F$18,MID($R44,4,1)="2",$R$15&lt;&gt;$R$14),VLOOKUP(CONCATENATE(LEFT($R44,2),"L"),$R$63:$T$91,3,FALSE),0)+IF(AND($R44="O3/CP",$R$14=F$18),VLOOKUP("O3",$R$63:$T$91,3,FALSE)+VLOOKUP("CP",$R$63:$T$91,3,FALSE),0)+IF(AND($S44&lt;&gt;"",$S44&lt;&gt;"--",$S44&lt;&gt;"O3/CP",$S$14=F$18),IF(LEFT($S44,1)="P",VLOOKUP(CONCATENATE(LEFT($S44,2),"H"),$R$63:$T$91,3,FALSE),VLOOKUP($S44,$R$63:$T$91,3,FALSE)))+IF(AND($S44&lt;&gt;"",$S44&lt;&gt;"O3/CP",$S$15=F$18,MID($S44,4,1)="2",$S$15&lt;&gt;$S$14),VLOOKUP(CONCATENATE(LEFT($S44,2),"L"),$R$63:$T$91,3,FALSE),0)+IF(AND($S44="O3/CP",$S$14=F$18),VLOOKUP("O3",$R$63:$T$91,3,FALSE)+VLOOKUP("CP",$R$63:$T$91,3,FALSE),0)+IF(AND($T44&lt;&gt;"",$T44&lt;&gt;"--",$T44&lt;&gt;"O3/CP",$T$14=F$18),IF(LEFT($T44,1)="P",VLOOKUP(CONCATENATE(LEFT($T44,2),"H"),$R$63:$T$91,3,FALSE),VLOOKUP($T44,$R$63:$T$91,3,FALSE)))+IF(AND($T44&lt;&gt;"",$T44&lt;&gt;"O3/CP",$T$15=F$18,MID($T44,4,1)="2",$T$15&lt;&gt;$T$14),VLOOKUP(CONCATENATE(LEFT($T44,2),"L"),$R$63:$T$91,3,FALSE),0)+IF(AND($T44="O3/CP",$T$14=F$18),VLOOKUP("O3",$R$63:$T$91,3,FALSE)+VLOOKUP("CP",$R$63:$T$91,3,FALSE),0)+IF(AND($U44&lt;&gt;"",$U44&lt;&gt;"--",$U44&lt;&gt;"O3/CP",$U$14=F$18),IF(LEFT($U44,1)="P",VLOOKUP(CONCATENATE(LEFT($U44,2),"H"),$R$63:$T$91,3,FALSE),VLOOKUP($U44,$R$63:$T$91,3,FALSE)))+IF(AND($U44&lt;&gt;"",$U44&lt;&gt;"O3/CP",$U$15=F$18,MID($U44,4,1)="2",$U$15&lt;&gt;$U$14),VLOOKUP(CONCATENATE(LEFT($U44,2),"L"),$R$63:$T$91,3,FALSE),0)+IF(AND($U44="O3/CP",$T$14=F$18),VLOOKUP("O3",$R$63:$T$91,3,FALSE)+VLOOKUP("CP",$R$63:$T$91,3,FALSE),0)+IF(AND($V44&lt;&gt;"",$V44&lt;&gt;"--",$V44&lt;&gt;"O3/CP",$V$14=F$18),IF(LEFT($V44,1)="P",VLOOKUP(CONCATENATE(LEFT($V44,2),"H"),$R$63:$T$91,3,FALSE),VLOOKUP($V44,$R$63:$T$91,3,FALSE)))+IF(AND($V44&lt;&gt;"",$V44&lt;&gt;"O3/CP",$V$15=F$18,MID($V44,4,1)="2",$V$15&lt;&gt;$V$14),VLOOKUP(CONCATENATE(LEFT($V44,2),"L"),$R$63:$T$91,3,FALSE),0)+IF(AND($V44="O3/CP",$V$14=F$18),VLOOKUP("O3",$R$63:$T$91,3,FALSE)+VLOOKUP("CP",$R$63:$T$91,3,FALSE),0)+IF(AND($W44&lt;&gt;"",$W44&lt;&gt;"--",$W44&lt;&gt;"O3/CP",$W$14=F$18),IF(LEFT($W44,1)="P",VLOOKUP(CONCATENATE(LEFT($W44,2),"H"),$R$63:$T$91,3,FALSE),VLOOKUP($W44,$R$63:$T$91,3,FALSE)))+IF(AND($W44&lt;&gt;"",$W44&lt;&gt;"O3/CP",$W$15=F$18,MID($W44,4,1)="2",$W$15&lt;&gt;$W$14),VLOOKUP(CONCATENATE(LEFT($W44,2),"L"),$R$63:$T$91,3,FALSE),0)+IF(AND($W44="O3/CP",$W$14=F$18),VLOOKUP("O3",$R$63:$T$91,3,FALSE)+VLOOKUP("CP",$R$63:$T$91,3,FALSE),0)+IF(AND($X44&lt;&gt;"",$X44&lt;&gt;"--",$X44&lt;&gt;"O3/CP",$X$14=F$18),IF(LEFT($X44,1)="P",VLOOKUP(CONCATENATE(LEFT($X44,2),"H"),$R$63:$T$91,3,FALSE),VLOOKUP($X44,$R$63:$T$91,3,FALSE)))+IF(AND($X44&lt;&gt;"",$X44&lt;&gt;"O3/CP",$X$15=F$18,MID($X44,4,1)="2",$X$15&lt;&gt;$X$14),VLOOKUP(CONCATENATE(LEFT($X44,2),"L"),$R$63:$T$91,3,FALSE),0)+IF(AND($X44="O3/CP",$X$14=F$18),VLOOKUP("O3",$R$63:$T$91,3,FALSE)+VLOOKUP("CP",$R$63:$T$91,3,FALSE),0)+IF(AND($Y44&lt;&gt;"",$Y44&lt;&gt;"--",$Y44&lt;&gt;"O3/CP",$Y$14=F$18),IF(LEFT($Y44,1)="P",VLOOKUP(CONCATENATE(LEFT($Y44,2),"H"),$R$63:$T$91,3,FALSE),VLOOKUP($Y44,$R$63:$T$91,3,FALSE)))+IF(AND($Y44&lt;&gt;"",$Y44&lt;&gt;"O3/CP",$Y$15=F$18,MID($Y44,4,1)="2",$Y$15&lt;&gt;$Y$14),VLOOKUP(CONCATENATE(LEFT($Y44,2),"L"),$R$63:$T$91,3,FALSE),0)+IF(AND($Y44="O3/CP",$Y$14=F$18),VLOOKUP("O3",$R$63:$T$91,3,FALSE)+VLOOKUP("CP",$R$63:$T$91,3,FALSE),0)+IF(AND($K$6="CE",'[3]Supply Attribution'!$G$20=F$18),LEFT($S$90,2),0)+IF(AND($X$86&lt;&gt;"Not Set",$X$87=F$18),$X$86,0)</f>
        <v>0</v>
      </c>
      <c r="G44" s="269">
        <f>IF(AND($K$6="CE",$T$59="1 Phase"),SUM(A44:F44)-IF(AND($K$14&lt;&gt;$K$15,RIGHT($K44,3)="2SP"),VLOOKUP(CONCATENATE(LEFT($K44,2),"L"),$R$63:$T$90,3,FALSE),0)-IF(AND($L$14&lt;&gt;$L$15,RIGHT($L44,3)="2SP"),VLOOKUP(CONCATENATE(LEFT($L44,2),"L"),$R$63:$T$90,3,FALSE),0)-IF(AND($M$14&lt;&gt;$M$15,RIGHT($M44,3)="2SP"),VLOOKUP(CONCATENATE(LEFT($M44,2),"L"),$R$63:$T$90,3,FALSE),0)-IF(AND($N$14&lt;&gt;$N$15,RIGHT($N44,3)="2SP"),VLOOKUP(CONCATENATE(LEFT($N44,2),"L"),$R$63:$T$90,3,FALSE),0)-IF(AND($O$14&lt;&gt;$O$15,RIGHT($O44,3)="2SP"),VLOOKUP(CONCATENATE(LEFT($O44,2),"L"),$R$63:$T$90,3,FALSE),0)-IF(AND($P$14&lt;&gt;$P$15,RIGHT($P44,3)="2SP"),VLOOKUP(CONCATENATE(LEFT($P44,2),"L"),$R$63:$T$90,3,FALSE),0)-IF(AND($Q$14&lt;&gt;$Q$15,RIGHT($Q44,3)="2SP"),VLOOKUP(CONCATENATE(LEFT($Q44,2),"L"),$R$63:$T$90,3,FALSE),0)-IF(AND($R$14&lt;&gt;$R$15,RIGHT($T44,3)="2SP"),VLOOKUP(CONCATENATE(LEFT($R44,2),"L"),$R$63:$T$90,3,FALSE),0)-IF(AND($S$14&lt;&gt;$S$15,RIGHT($T44,3)="2SP"),VLOOKUP(CONCATENATE(LEFT($S44,2),"L"),$R$63:$T$90,3,FALSE),0)-IF(AND($T$14&lt;&gt;$T$15,RIGHT($T44,3)="2SP"),VLOOKUP(CONCATENATE(LEFT($T44,2),"L"),$R$63:$T$90,3,FALSE),0)-IF(AND($U$14&lt;&gt;$U$15,RIGHT($U44,3)="2SP"),VLOOKUP(CONCATENATE(LEFT($U44,2),"L"),$R$63:$T$90,3,FALSE),0)-IF(AND($V$14&lt;&gt;$V$15,RIGHT($V44,3)="2SP"),VLOOKUP(CONCATENATE(LEFT($V44,2),"L"),$R$63:$T$90,3,FALSE),0)-IF(AND($W$14&lt;&gt;$W$15,RIGHT($W44,3)="2SP"),VLOOKUP(CONCATENATE(LEFT($W44,2),"L"),$R$63:$T$90,3,FALSE),0)-IF(AND($X$14&lt;&gt;$X$15,RIGHT($X44,3)="2SP"),VLOOKUP(CONCATENATE(LEFT($X44,2),"L"),$R$63:$T$90,3,FALSE),0)-IF(AND($Y$14&lt;&gt;$Y$15,RIGHT($Y44,3)="2SP"),VLOOKUP(CONCATENATE(LEFT($Y44,2),"L"),$R$63:$T$90,3,FALSE),0),IF(VLOOKUP(CONCATENATE($A$18,"Line"),'[3]Supply Attribution'!$F$31:$G$37,2,FALSE)=G$18,$A44,0)+IF(VLOOKUP(CONCATENATE($B$18,"Line"),'[3]Supply Attribution'!$F$31:$G$37,2,FALSE)=G$18,$B44,0)+IF(VLOOKUP(CONCATENATE($C$18,"Line"),'[3]Supply Attribution'!$F$31:$G$37,2,FALSE)=G$18,$C44,0)+IF(VLOOKUP(CONCATENATE($D$18,"Line"),'[3]Supply Attribution'!$F$31:$G$37,2,FALSE)=G$18,$D44,0)+IF(VLOOKUP(CONCATENATE($E$18,"Line"),'[3]Supply Attribution'!$F$31:$G$37,2,FALSE)=G$18,$E44,0)+IF(VLOOKUP(CONCATENATE($F$18,"Line"),'[3]Supply Attribution'!$F$31:$G$37,2,FALSE)=G$18,$F44,0)+IF($K$6="UL",LEFT($S$90,2),0)-IF(AND($K$16=G$18,$K$14&lt;&gt;$K$15,$K$16=$K$17,RIGHT($K44,3)="2SP"),VLOOKUP(CONCATENATE(LEFT($K44,2),"L"),$R$63:$T$90,3,FALSE),0)-IF(AND($L$16=G$18,$L$14&lt;&gt;$L$15,$L$16=$L$17,RIGHT($L44,3)="2SP"),VLOOKUP(CONCATENATE(LEFT($L44,2),"L"),$R$63:$T$90,3,FALSE),0)-IF(AND($M$16=G$18,$M$14&lt;&gt;$M$15,$M$16=$M$17,RIGHT($M44,3)="2SP"),VLOOKUP(CONCATENATE(LEFT($M44,2),"L"),$R$63:$T$90,3,FALSE),0)-IF(AND($N$16=G$18,$N$14&lt;&gt;$N$15,$N$16=$N$17,RIGHT($N44,3)="2SP"),VLOOKUP(CONCATENATE(LEFT($N44,2),"L"),$R$63:$T$90,3,FALSE),0)-IF(AND($O$16=G$18,$O$14&lt;&gt;$O$15,$O$16=$O$17,RIGHT($O44,3)="2SP"),VLOOKUP(CONCATENATE(LEFT($O44,2),"L"),$R$63:$T$90,3,FALSE),0)-IF(AND($P$16=G$18,$P$14&lt;&gt;$P$15,$P$16=$P$17,RIGHT($P44,3)="2SP"),VLOOKUP(CONCATENATE(LEFT($P44,2),"L"),$R$63:$T$90,3,FALSE),0)-IF(AND($Q$16=G$18,$Q$14&lt;&gt;$Q$15,$Q$16=$Q$17,RIGHT($Q44,3)="2SP"),VLOOKUP(CONCATENATE(LEFT($Q44,2),"L"),$R$63:$T$90,3,FALSE),0)-IF(AND($R$16=G$18,$R$14&lt;&gt;$R$15,$R$16=$R$17,RIGHT($R44,3)="2SP"),VLOOKUP(CONCATENATE(LEFT($R44,2),"L"),$R$63:$T$90,3,FALSE),0)-IF(AND($S$16=G$18,$S$14&lt;&gt;$S$15,$S$16=$S$17,RIGHT($S44,3)="2SP"),VLOOKUP(CONCATENATE(LEFT($S44,2),"L"),$R$63:$T$90,3,FALSE),0)-IF(AND($T$16=G$18,$T$14&lt;&gt;$T$15,$T$16=$T$17,RIGHT($T44,3)="2SP"),VLOOKUP(CONCATENATE(LEFT($T44,2),"L"),$R$63:$T$90,3,FALSE),0)-IF(AND($U$16=G$18,$U$14&lt;&gt;$U$15,$U$16=$U$17,RIGHT($U44,3)="2SP"),VLOOKUP(CONCATENATE(LEFT($U44,2),"L"),$R$63:$T$90,3,FALSE),0)-IF(AND($V$16=G$18,$V$14&lt;&gt;$V$15,$V$16=$V$17,RIGHT($V44,3)="2SP"),VLOOKUP(CONCATENATE(LEFT($V44,2),"L"),$R$63:$T$90,3,FALSE),0)-IF(AND($W$16=G$18,$W$14&lt;&gt;$W$15,$W$16=$W$17,RIGHT($W44,3)="2SP"),VLOOKUP(CONCATENATE(LEFT($W44,2),"L"),$R$63:$T$90,3,FALSE),0)-IF(AND($X$16=G$18,$X$14&lt;&gt;$X$15,$X$16=$X$17,RIGHT($X44,3)="2SP"),VLOOKUP(CONCATENATE(LEFT($X44,2),"L"),$R$63:$T$90,3,FALSE),0)-IF(AND($Y$16=G$18,$Y$14&lt;&gt;$Y$15,$Y$16=$Y$17,RIGHT($Y44,3)="2SP"),VLOOKUP(CONCATENATE(LEFT($Y44,2),"L"),$R$63:$T$90,3,FALSE),0))</f>
        <v>17</v>
      </c>
      <c r="H44" s="269" t="str">
        <f>IF(H$18&lt;&gt;"",IF(VLOOKUP(CONCATENATE($A$18,"Line"),'Supply Attribution'!$F$31:$G$37,2,FALSE)=H$18,$A44,0)+IF(VLOOKUP(CONCATENATE($B$18,"Line"),'Supply Attribution'!$F$31:$G$37,2,FALSE)=H$18,$B44,0)+IF(VLOOKUP(CONCATENATE($C$18,"Line"),'Supply Attribution'!$F$31:$G$37,2,FALSE)=H$18,$C44,0)+IF(VLOOKUP(CONCATENATE($D$18,"Line"),'Supply Attribution'!$F$31:$G$37,2,FALSE)=H$18,$D44,0)+IF(VLOOKUP(CONCATENATE($E$18,"Line"),'Supply Attribution'!$F$31:$G$37,2,FALSE)=H$18,$E44,0)+IF(VLOOKUP(CONCATENATE($F$18,"Line"),'Supply Attribution'!$F$31:$G$37,2,FALSE)=H$18,$F44,0)+IF($K$6="UL",LEFT($S$90,2),0)-IF(AND($K$16=H$18,$K$14&lt;&gt;$K$15,$K$16=$K$17,RIGHT($K44,3)="2SP"),VLOOKUP(CONCATENATE(LEFT($K44,2),"L"),$R$63:$T$90,3,FALSE),0)-IF(AND($L$16=H$18,$L$14&lt;&gt;$L$15,$L$16=$L$17,RIGHT($L44,3)="2SP"),VLOOKUP(CONCATENATE(LEFT($L44,2),"L"),$R$63:$T$90,3,FALSE),0)-IF(AND($M$16=H$18,$M$14&lt;&gt;$M$15,$M$16=$M$17,RIGHT($M44,3)="2SP"),VLOOKUP(CONCATENATE(LEFT($M44,2),"L"),$R$63:$T$90,3,FALSE),0)-IF(AND($N$16=H$18,$N$14&lt;&gt;$N$15,$N$16=$N$17,RIGHT($N44,3)="2SP"),VLOOKUP(CONCATENATE(LEFT($N44,2),"L"),$R$63:$T$90,3,FALSE),0)-IF(AND($O$16=H$18,$O$14&lt;&gt;$O$15,$O$16=$O$17,RIGHT($O44,3)="2SP"),VLOOKUP(CONCATENATE(LEFT($O44,2),"L"),$R$63:$T$90,3,FALSE),0)-IF(AND($P$16=H$18,$P$14&lt;&gt;$P$15,$P$16=$P$17,RIGHT($P44,3)="2SP"),VLOOKUP(CONCATENATE(LEFT($P44,2),"L"),$R$63:$T$90,3,FALSE),0)-IF(AND($Q$16=H$18,$Q$14&lt;&gt;$Q$15,$Q$16=$Q$17,RIGHT($Q44,3)="2SP"),VLOOKUP(CONCATENATE(LEFT($Q44,2),"L"),$R$63:$T$90,3,FALSE),0)-IF(AND($T$16=H$18,$T$14&lt;&gt;$T$15,$T$16=$T$17,RIGHT($T44,3)="2SP"),VLOOKUP(CONCATENATE(LEFT($T44,2),"L"),$R$63:$T$90,3,FALSE),0)-IF(AND($U$16=H$18,$U$14&lt;&gt;$U$15,$U$16=$U$17,RIGHT($U44,3)="2SP"),VLOOKUP(CONCATENATE(LEFT($U44,2),"L"),$R$63:$T$90,3,FALSE),0)-IF(AND($V$16=H$18,$V$14&lt;&gt;$V$15,$V$16=$V$17,RIGHT($V44,3)="2SP"),VLOOKUP(CONCATENATE(LEFT($V44,2),"L"),$R$63:$T$90,3,FALSE),0)-IF(AND($W$16=H$18,$W$14&lt;&gt;$W$15,$W$16=$W$17,RIGHT($W44,3)="2SP"),VLOOKUP(CONCATENATE(LEFT($W44,2),"L"),$R$63:$T$90,3,FALSE),0)-IF(AND($X$16=H$18,$X$14&lt;&gt;$X$15,$X$16=$X$17,RIGHT($X44,3)="2SP"),VLOOKUP(CONCATENATE(LEFT($X44,2),"L"),$R$63:$T$90,3,FALSE),0)-IF(AND($Y$16=H$18,$Y$14&lt;&gt;$Y$15,$Y$16=$Y$17,RIGHT($Y44,3)="2SP"),VLOOKUP(CONCATENATE(LEFT($Y44,2),"L"),$R$63:$T$90,3,FALSE),0)+IF(AND($K$6="CE",$T$59="2 Phases",H$18&lt;&gt;""),IF(VLOOKUP(CONCATENATE($A$18,"Line"),'Supply Attribution'!$F$31:$G$37,2,FALSE)="Line3",$A44,0)+IF(VLOOKUP(CONCATENATE($B$18,"Line"),'Supply Attribution'!$F$31:$G$37,2,FALSE)="Line3",$B44,0)+IF(VLOOKUP(CONCATENATE($C$18,"Line"),'Supply Attribution'!$F$31:$G$37,2,FALSE)="Line3",$C44,0)+IF(VLOOKUP(CONCATENATE($D$18,"Line"),'Supply Attribution'!$F$31:$G$37,2,FALSE)="Line3",$D44,0)+IF(VLOOKUP(CONCATENATE($E$18,"Line"),'Supply Attribution'!$F$31:$G$37,2,FALSE)="Line3",$E44,0)+IF(VLOOKUP(CONCATENATE($F$18,"Line"),'Supply Attribution'!$F$31:$G$37,2,FALSE)="Line3",$F44,0)-IF(AND($K$16=I$18,$K$14&lt;&gt;$K$15,$K$16=$K$17,RIGHT($K44,3)="2SP"),VLOOKUP(CONCATENATE(LEFT($K44,2),"L"),$R$63:$T$90,3,FALSE),0)-IF(AND($L$16=I$18,$L$14&lt;&gt;$L$15,$L$16=$L$17,RIGHT($L44,3)="2SP"),VLOOKUP(CONCATENATE(LEFT($L44,2),"L"),$R$63:$T$90,3,FALSE),0)-IF(AND($M$16=I$18,$M$14&lt;&gt;$M$15,$M$16=$M$17,RIGHT($M44,3)="2SP"),VLOOKUP(CONCATENATE(LEFT($M44,2),"L"),$R$63:$T$90,3,FALSE),0)-IF(AND($N$16=I$18,$N$14&lt;&gt;$N$15,$N$16=$N$17,RIGHT($N44,3)="2SP"),VLOOKUP(CONCATENATE(LEFT($N44,2),"L"),$R$63:$T$90,3,FALSE),0)-IF(AND($O$16=I$18,$O$14&lt;&gt;$O$15,$O$16=$O$17,RIGHT($O44,3)="2SP"),VLOOKUP(CONCATENATE(LEFT($O44,2),"L"),$R$63:$T$90,3,FALSE),0)-IF(AND($P$16=I$18,$P$14&lt;&gt;$P$15,$P$16=$P$17,RIGHT($P44,3)="2SP"),VLOOKUP(CONCATENATE(LEFT($P44,2),"L"),$R$63:$T$90,3,FALSE),0)-IF(AND($Q$16=I$18,$Q$14&lt;&gt;$Q$15,$Q$16=$Q$17,RIGHT($Q44,3)="2SP"),VLOOKUP(CONCATENATE(LEFT($Q44,2),"L"),$R$63:$T$90,3,FALSE),0)-IF(AND($T$16=I$18,$T$14&lt;&gt;$T$15,$T$16=$T$17,RIGHT($T44,3)="2SP"),VLOOKUP(CONCATENATE(LEFT($T44,2),"L"),$R$63:$T$90,3,FALSE),0)-IF(AND($U$16=I$18,$U$14&lt;&gt;$U$15,$U$16=$U$17,RIGHT($U44,3)="2SP"),VLOOKUP(CONCATENATE(LEFT($U44,2),"L"),$R$63:$T$90,3,FALSE),0)-IF(AND($V$16=I$18,$V$14&lt;&gt;$V$15,$V$16=$V$17,RIGHT($V44,3)="2SP"),VLOOKUP(CONCATENATE(LEFT($V44,2),"L"),$R$63:$T$90,3,FALSE),0)-IF(AND($W$16=I$18,$W$14&lt;&gt;$W$15,$W$16=$W$17,RIGHT($W44,3)="2SP"),VLOOKUP(CONCATENATE(LEFT($W44,2),"L"),$R$63:$T$90,3,FALSE),0)-IF(AND($X$16=I$18,$X$14&lt;&gt;$X$15,$X$16=$X$17,RIGHT($X44,3)="2SP"),VLOOKUP(CONCATENATE(LEFT($X44,2),"L"),$R$63:$T$90,3,FALSE),0)-IF(AND($Y$16=I$18,$Y$14&lt;&gt;$Y$15,$Y$16=$Y$17,RIGHT($Y44,3)="2SP"),VLOOKUP(CONCATENATE(LEFT($Y44,2),"L"),$R$63:$T$90,3,FALSE),0),0),"")</f>
        <v/>
      </c>
      <c r="I44" s="269" t="str">
        <f>IF(I$18&lt;&gt;"",IF(VLOOKUP(CONCATENATE($A$18,"Line"),'Supply Attribution'!$F$31:$G$37,2,FALSE)=I$18,$A44,0)+IF(VLOOKUP(CONCATENATE($B$18,"Line"),'Supply Attribution'!$F$31:$G$37,2,FALSE)=I$18,$B44,0)+IF(VLOOKUP(CONCATENATE($C$18,"Line"),'Supply Attribution'!$F$31:$G$37,2,FALSE)=I$18,$C44,0)+IF(VLOOKUP(CONCATENATE($D$18,"Line"),'Supply Attribution'!$F$31:$G$37,2,FALSE)=I$18,$D44,0)+IF(VLOOKUP(CONCATENATE($E$18,"Line"),'Supply Attribution'!$F$31:$G$37,2,FALSE)=I$18,$E44,0)+IF(VLOOKUP(CONCATENATE($F$18,"Line"),'Supply Attribution'!$F$31:$G$37,2,FALSE)=I$18,$F44,0)+IF($K$6="UL",LEFT($S$90,2),0)-IF(AND($K$16=I$18,$K$14&lt;&gt;$K$15,$K$16=$K$17,RIGHT($K44,3)="2SP"),VLOOKUP(CONCATENATE(LEFT($K44,2),"L"),$R$63:$T$90,3,FALSE),0)-IF(AND($L$16=I$18,$L$14&lt;&gt;$L$15,$L$16=$L$17,RIGHT($L44,3)="2SP"),VLOOKUP(CONCATENATE(LEFT($L44,2),"L"),$R$63:$T$90,3,FALSE),0)-IF(AND($M$16=I$18,$M$14&lt;&gt;$M$15,$M$16=$M$17,RIGHT($M44,3)="2SP"),VLOOKUP(CONCATENATE(LEFT($M44,2),"L"),$R$63:$T$90,3,FALSE),0)-IF(AND($N$16=I$18,$N$14&lt;&gt;$N$15,$N$16=$N$17,RIGHT($N44,3)="2SP"),VLOOKUP(CONCATENATE(LEFT($N44,2),"L"),$R$63:$T$90,3,FALSE),0)-IF(AND($O$16=I$18,$O$14&lt;&gt;$O$15,$O$16=$O$17,RIGHT($O44,3)="2SP"),VLOOKUP(CONCATENATE(LEFT($O44,2),"L"),$R$63:$T$90,3,FALSE),0)-IF(AND($P$16=I$18,$P$14&lt;&gt;$P$15,$P$16=$P$17,RIGHT($P44,3)="2SP"),VLOOKUP(CONCATENATE(LEFT($P44,2),"L"),$R$63:$T$90,3,FALSE),0)-IF(AND($Q$16=I$18,$Q$14&lt;&gt;$Q$15,$Q$16=$Q$17,RIGHT($Q44,3)="2SP"),VLOOKUP(CONCATENATE(LEFT($Q44,2),"L"),$R$63:$T$90,3,FALSE),0)-IF(AND($T$16=I$18,$T$14&lt;&gt;$T$15,$T$16=$T$17,RIGHT($T44,3)="2SP"),VLOOKUP(CONCATENATE(LEFT($T44,2),"L"),$R$63:$T$90,3,FALSE),0)-IF(AND($U$16=I$18,$U$14&lt;&gt;$U$15,$U$16=$U$17,RIGHT($U44,3)="2SP"),VLOOKUP(CONCATENATE(LEFT($U44,2),"L"),$R$63:$T$90,3,FALSE),0)-IF(AND($V$16=I$18,$V$14&lt;&gt;$V$15,$V$16=$V$17,RIGHT($V44,3)="2SP"),VLOOKUP(CONCATENATE(LEFT($V44,2),"L"),$R$63:$T$90,3,FALSE),0)-IF(AND($W$16=I$18,$W$14&lt;&gt;$W$15,$W$16=$W$17,RIGHT($W44,3)="2SP"),VLOOKUP(CONCATENATE(LEFT($W44,2),"L"),$R$63:$T$90,3,FALSE),0)-IF(AND($X$16=I$18,$X$14&lt;&gt;$X$15,$X$16=$X$17,RIGHT($X44,3)="2SP"),VLOOKUP(CONCATENATE(LEFT($X44,2),"L"),$R$63:$T$90,3,FALSE),0)-IF(AND($Y$16=I$18,$Y$14&lt;&gt;$Y$15,$Y$16=$Y$17,RIGHT($Y44,3)="2SP"),VLOOKUP(CONCATENATE(LEFT($Y44,2),"L"),$R$63:$T$90,3,FALSE),0),"")</f>
        <v/>
      </c>
      <c r="J44" s="134"/>
      <c r="K44" s="135"/>
      <c r="L44" s="135"/>
      <c r="M44" s="135"/>
      <c r="N44" s="135"/>
      <c r="O44" s="135"/>
      <c r="P44" s="135"/>
      <c r="Q44" s="135"/>
      <c r="R44" s="135"/>
      <c r="S44" s="135"/>
      <c r="T44" s="135"/>
      <c r="U44" s="135"/>
      <c r="V44" s="135"/>
      <c r="W44" s="135"/>
      <c r="X44" s="135"/>
      <c r="Y44" s="135"/>
      <c r="Z44" s="136"/>
      <c r="AA44" s="136"/>
      <c r="AB44" s="137"/>
      <c r="AC44" s="137"/>
      <c r="AD44" s="137"/>
      <c r="AE44" s="138">
        <f t="shared" si="0"/>
        <v>0</v>
      </c>
      <c r="AF44" s="78"/>
    </row>
    <row r="45" spans="1:32" ht="13.15" customHeight="1">
      <c r="A45" s="264">
        <f>IF(AND($K45&lt;&gt;"",$K45&lt;&gt;"--",$K45&lt;&gt;"O3/CP",$K$14=A$18),IF(LEFT($K45,1)="P",VLOOKUP(CONCATENATE(LEFT($K45,2),"H"),$R$63:$T$91,3,FALSE),VLOOKUP($K45,$R$63:$T$91,3,FALSE)))+IF(AND($K45&lt;&gt;"",$K45&lt;&gt;"O3/CP",$K$15=A$18,MID($K45,4,1)="2",$K$15&lt;&gt;$K$14),VLOOKUP(CONCATENATE(LEFT($K45,2),"L"),$R$63:$T$91,3,FALSE),0)+IF(AND($K45="O3/CP",$K$14=A$18),VLOOKUP("O3",$R$63:$T$91,3,FALSE)+VLOOKUP("CP",$R$63:$T$91,3,FALSE),0)+IF(AND($L45&lt;&gt;"",$L45&lt;&gt;"--",$L45&lt;&gt;"O3/CP",$L$14=A$18),IF(LEFT($L45,1)="P",VLOOKUP(CONCATENATE(LEFT($L45,2),"H"),$R$63:$T$91,3,FALSE),VLOOKUP($L45,$R$63:$T$91,3,FALSE)))+IF(AND($L45&lt;&gt;"",$L45&lt;&gt;"O3/CP",$L$15=A$18,MID($L45,4,1)="2",$L$15&lt;&gt;$L$14),VLOOKUP(CONCATENATE(LEFT($L45,2),"L"),$R$63:$T$91,3,FALSE),0)+IF(AND($L45="O3/CP",$L$14=A$18),VLOOKUP("O3",$R$63:$T$91,3,FALSE)+VLOOKUP("CP",$R$63:$T$91,3,FALSE),0)+IF(AND($M45&lt;&gt;"",$M45&lt;&gt;"--",$M45&lt;&gt;"O3/CP",$M$14=A$18),IF(LEFT($M45,1)="P",VLOOKUP(CONCATENATE(LEFT($M45,2),"H"),$R$63:$T$91,3,FALSE),VLOOKUP($M45,$R$63:$T$91,3,FALSE)))+IF(AND($M45&lt;&gt;"",$M45&lt;&gt;"O3/CP",$M$15=A$18,MID($M45,4,1)="2",$M$15&lt;&gt;$M$14),VLOOKUP(CONCATENATE(LEFT($M45,2),"L"),$R$63:$T$91,3,FALSE),0)+IF(AND($M45="O3/CP",$M$14=A$18),VLOOKUP("O3",$R$63:$T$91,3,FALSE)+VLOOKUP("CP",$R$63:$T$91,3,FALSE),0)+IF(AND($N45&lt;&gt;"",$N45&lt;&gt;"--",$N45&lt;&gt;"O3/CP",$N$14=A$18),IF(LEFT($N45,1)="P",VLOOKUP(CONCATENATE(LEFT($N45,2),"H"),$R$63:$T$91,3,FALSE),VLOOKUP($N45,$R$63:$T$91,3,FALSE)))+IF(AND($N45&lt;&gt;"",$N45&lt;&gt;"O3/CP",$N$15=A$18,MID($N45,4,1)="2",$N$15&lt;&gt;$N$14),VLOOKUP(CONCATENATE(LEFT($N45,2),"L"),$R$63:$T$91,3,FALSE),0)+IF(AND($N45="O3/CP",$N$14=A$18),VLOOKUP("O3",$R$63:$T$91,3,FALSE)+VLOOKUP("CP",$R$63:$T$91,3,FALSE),0)+IF(AND($O45&lt;&gt;"",$O45&lt;&gt;"--",$O45&lt;&gt;"O3/CP",$O$14=A$18),IF(LEFT($O45,1)="P",VLOOKUP(CONCATENATE(LEFT($O45,2),"H"),$R$63:$T$91,3,FALSE),VLOOKUP($O45,$R$63:$T$91,3,FALSE)))+IF(AND($O45&lt;&gt;"",$O45&lt;&gt;"O3/CP",$O$15=A$18,MID($O45,4,1)="2",$O$15&lt;&gt;$O$14),VLOOKUP(CONCATENATE(LEFT($O45,2),"L"),$R$63:$T$91,3,FALSE),0)+IF(AND($O45="O3/CP",$O$14=A$18),VLOOKUP("O3",$R$63:$T$91,3,FALSE)+VLOOKUP("CP",$R$63:$T$91,3,FALSE),0)+IF(AND($P45&lt;&gt;"",$P45&lt;&gt;"--",$P45&lt;&gt;"O3/CP",$P$14=A$18),IF(LEFT($P45,1)="P",VLOOKUP(CONCATENATE(LEFT($P45,2),"H"),$R$63:$T$91,3,FALSE),VLOOKUP($P45,$R$63:$T$91,3,FALSE)))+IF(AND($P45&lt;&gt;"",$P45&lt;&gt;"O3/CP",$P$15=A$18,MID($P45,4,1)="2",$P$15&lt;&gt;$P$14),VLOOKUP(CONCATENATE(LEFT($P45,2),"L"),$R$63:$T$91,3,FALSE),0)+IF(AND($P45="O3/CP",$P$14=A$18),VLOOKUP("O3",$R$63:$T$91,3,FALSE)+VLOOKUP("CP",$R$63:$T$91,3,FALSE),0)+IF(AND($Q45&lt;&gt;"",$Q45&lt;&gt;"--",$Q45&lt;&gt;"O3/CP",$Q$14=A$18),IF(LEFT($Q45,1)="P",VLOOKUP(CONCATENATE(LEFT($Q45,2),"H"),$R$63:$T$91,3,FALSE),VLOOKUP($Q45,$R$63:$T$91,3,FALSE)))+IF(AND($Q45&lt;&gt;"",$Q45&lt;&gt;"O3/CP",$Q$15=A$18,MID($Q45,4,1)="2",$Q$15&lt;&gt;$Q$14),VLOOKUP(CONCATENATE(LEFT($Q45,2),"L"),$R$63:$T$91,3,FALSE),0)+IF(AND($Q45="O3/CP",$Q$14=A$18),VLOOKUP("O3",$R$63:$T$91,3,FALSE)+VLOOKUP("CP",$R$63:$T$91,3,FALSE),0)+IF(AND($R45&lt;&gt;"",$R45&lt;&gt;"--",$R45&lt;&gt;"O3/CP",$R$14=A$18),IF(LEFT($R45,1)="P",VLOOKUP(CONCATENATE(LEFT($R45,2),"H"),$R$63:$T$91,3,FALSE),VLOOKUP($R45,$R$63:$T$91,3,FALSE)))+IF(AND($R45&lt;&gt;"",$R45&lt;&gt;"O3/CP",$R$15=A$18,MID($R45,4,1)="2",$R$15&lt;&gt;$R$14),VLOOKUP(CONCATENATE(LEFT($R45,2),"L"),$R$63:$T$91,3,FALSE),0)+IF(AND($R45="O3/CP",$R$14=A$18),VLOOKUP("O3",$R$63:$T$91,3,FALSE)+VLOOKUP("CP",$R$63:$T$91,3,FALSE),0)+IF(AND($S45&lt;&gt;"",$S45&lt;&gt;"--",$S45&lt;&gt;"O3/CP",$S$14=A$18),IF(LEFT($S45,1)="P",VLOOKUP(CONCATENATE(LEFT($S45,2),"H"),$R$63:$T$91,3,FALSE),VLOOKUP($S45,$R$63:$T$91,3,FALSE)))+IF(AND($S45&lt;&gt;"",$S45&lt;&gt;"O3/CP",$S$15=A$18,MID($S45,4,1)="2",$S$15&lt;&gt;$S$14),VLOOKUP(CONCATENATE(LEFT($S45,2),"L"),$R$63:$T$91,3,FALSE),0)+IF(AND($S45="O3/CP",$S$14=A$18),VLOOKUP("O3",$R$63:$T$91,3,FALSE)+VLOOKUP("CP",$R$63:$T$91,3,FALSE),0)+IF(AND($T45&lt;&gt;"",$T45&lt;&gt;"--",$T45&lt;&gt;"O3/CP",$T$14=A$18),IF(LEFT($T45,1)="P",VLOOKUP(CONCATENATE(LEFT($T45,2),"H"),$R$63:$T$91,3,FALSE),VLOOKUP($T45,$R$63:$T$91,3,FALSE)))+IF(AND($T45&lt;&gt;"",$T45&lt;&gt;"O3/CP",$T$15=A$18,MID($T45,4,1)="2",$T$15&lt;&gt;$T$14),VLOOKUP(CONCATENATE(LEFT($T45,2),"L"),$R$63:$T$91,3,FALSE),0)+IF(AND($T45="O3/CP",$T$14=A$18),VLOOKUP("O3",$R$63:$T$91,3,FALSE)+VLOOKUP("CP",$R$63:$T$91,3,FALSE),0)+IF(AND($U45&lt;&gt;"",$U45&lt;&gt;"--",$U45&lt;&gt;"O3/CP",$U$14=A$18),IF(LEFT($U45,1)="P",VLOOKUP(CONCATENATE(LEFT($U45,2),"H"),$R$63:$T$91,3,FALSE),VLOOKUP($U45,$R$63:$T$91,3,FALSE)))+IF(AND($U45&lt;&gt;"",$U45&lt;&gt;"O3/CP",$U$15=A$18,MID($U45,4,1)="2",$U$15&lt;&gt;$U$14),VLOOKUP(CONCATENATE(LEFT($U45,2),"L"),$R$63:$T$91,3,FALSE),0)+IF(AND($U45="O3/CP",$T$14=A$18),VLOOKUP("O3",$R$63:$T$91,3,FALSE)+VLOOKUP("CP",$R$63:$T$91,3,FALSE),0)+IF(AND($V45&lt;&gt;"",$V45&lt;&gt;"--",$V45&lt;&gt;"O3/CP",$V$14=A$18),IF(LEFT($V45,1)="P",VLOOKUP(CONCATENATE(LEFT($V45,2),"H"),$R$63:$T$91,3,FALSE),VLOOKUP($V45,$R$63:$T$91,3,FALSE)))+IF(AND($V45&lt;&gt;"",$V45&lt;&gt;"O3/CP",$V$15=A$18,MID($V45,4,1)="2",$V$15&lt;&gt;$V$14),VLOOKUP(CONCATENATE(LEFT($V45,2),"L"),$R$63:$T$91,3,FALSE),0)+IF(AND($V45="O3/CP",$V$14=A$18),VLOOKUP("O3",$R$63:$T$91,3,FALSE)+VLOOKUP("CP",$R$63:$T$91,3,FALSE),0)+IF(AND($W45&lt;&gt;"",$W45&lt;&gt;"--",$W45&lt;&gt;"O3/CP",$W$14=A$18),IF(LEFT($W45,1)="P",VLOOKUP(CONCATENATE(LEFT($W45,2),"H"),$R$63:$T$91,3,FALSE),VLOOKUP($W45,$R$63:$T$91,3,FALSE)))+IF(AND($W45&lt;&gt;"",$W45&lt;&gt;"O3/CP",$W$15=A$18,MID($W45,4,1)="2",$W$15&lt;&gt;$W$14),VLOOKUP(CONCATENATE(LEFT($W45,2),"L"),$R$63:$T$91,3,FALSE),0)+IF(AND($W45="O3/CP",$W$14=A$18),VLOOKUP("O3",$R$63:$T$91,3,FALSE)+VLOOKUP("CP",$R$63:$T$91,3,FALSE),0)+IF(AND($X45&lt;&gt;"",$X45&lt;&gt;"--",$X45&lt;&gt;"O3/CP",$X$14=A$18),IF(LEFT($X45,1)="P",VLOOKUP(CONCATENATE(LEFT($X45,2),"H"),$R$63:$T$91,3,FALSE),VLOOKUP($X45,$R$63:$T$91,3,FALSE)))+IF(AND($X45&lt;&gt;"",$X45&lt;&gt;"O3/CP",$X$15=A$18,MID($X45,4,1)="2",$X$15&lt;&gt;$X$14),VLOOKUP(CONCATENATE(LEFT($X45,2),"L"),$R$63:$T$91,3,FALSE),0)+IF(AND($X45="O3/CP",$X$14=A$18),VLOOKUP("O3",$R$63:$T$91,3,FALSE)+VLOOKUP("CP",$R$63:$T$91,3,FALSE),0)+IF(AND($Y45&lt;&gt;"",$Y45&lt;&gt;"--",$Y45&lt;&gt;"O3/CP",$Y$14=A$18),IF(LEFT($Y45,1)="P",VLOOKUP(CONCATENATE(LEFT($Y45,2),"H"),$R$63:$T$91,3,FALSE),VLOOKUP($Y45,$R$63:$T$91,3,FALSE)))+IF(AND($Y45&lt;&gt;"",$Y45&lt;&gt;"O3/CP",$Y$15=A$18,MID($Y45,4,1)="2",$Y$15&lt;&gt;$Y$14),VLOOKUP(CONCATENATE(LEFT($Y45,2),"L"),$R$63:$T$91,3,FALSE),0)+IF(AND($Y45="O3/CP",$Y$14=A$18),VLOOKUP("O3",$R$63:$T$91,3,FALSE)+VLOOKUP("CP",$R$63:$T$91,3,FALSE),0)+IF(AND($K$6="CE",'[3]Supply Attribution'!$G$20=A$18),LEFT($S$90,2),0)+IF(AND($X$86&lt;&gt;"Not Set",$X$87=A$18),$X$86,0)</f>
        <v>0</v>
      </c>
      <c r="B45" s="271">
        <f>IF(AND($K45&lt;&gt;"",$K45&lt;&gt;"--",$K45&lt;&gt;"O3/CP",$K$14=B$18),IF(LEFT($K45,1)="P",VLOOKUP(CONCATENATE(LEFT($K45,2),"H"),$R$63:$T$91,3,FALSE),VLOOKUP($K45,$R$63:$T$91,3,FALSE)))+IF(AND($K45&lt;&gt;"",$K45&lt;&gt;"O3/CP",$K$15=B$18,MID($K45,4,1)="2",$K$15&lt;&gt;$K$14),VLOOKUP(CONCATENATE(LEFT($K45,2),"L"),$R$63:$T$91,3,FALSE),0)+IF(AND($K45="O3/CP",$K$14=B$18),VLOOKUP("O3",$R$63:$T$91,3,FALSE)+VLOOKUP("CP",$R$63:$T$91,3,FALSE),0)+IF(AND($L45&lt;&gt;"",$L45&lt;&gt;"--",$L45&lt;&gt;"O3/CP",$L$14=B$18),IF(LEFT($L45,1)="P",VLOOKUP(CONCATENATE(LEFT($L45,2),"H"),$R$63:$T$91,3,FALSE),VLOOKUP($L45,$R$63:$T$91,3,FALSE)))+IF(AND($L45&lt;&gt;"",$L45&lt;&gt;"O3/CP",$L$15=B$18,MID($L45,4,1)="2",$L$15&lt;&gt;$L$14),VLOOKUP(CONCATENATE(LEFT($L45,2),"L"),$R$63:$T$91,3,FALSE),0)+IF(AND($L45="O3/CP",$L$14=B$18),VLOOKUP("O3",$R$63:$T$91,3,FALSE)+VLOOKUP("CP",$R$63:$T$91,3,FALSE),0)+IF(AND($M45&lt;&gt;"",$M45&lt;&gt;"--",$M45&lt;&gt;"O3/CP",$M$14=B$18),IF(LEFT($M45,1)="P",VLOOKUP(CONCATENATE(LEFT($M45,2),"H"),$R$63:$T$91,3,FALSE),VLOOKUP($M45,$R$63:$T$91,3,FALSE)))+IF(AND($M45&lt;&gt;"",$M45&lt;&gt;"O3/CP",$M$15=B$18,MID($M45,4,1)="2",$M$15&lt;&gt;$M$14),VLOOKUP(CONCATENATE(LEFT($M45,2),"L"),$R$63:$T$91,3,FALSE),0)+IF(AND($M45="O3/CP",$M$14=B$18),VLOOKUP("O3",$R$63:$T$91,3,FALSE)+VLOOKUP("CP",$R$63:$T$91,3,FALSE),0)+IF(AND($N45&lt;&gt;"",$N45&lt;&gt;"--",$N45&lt;&gt;"O3/CP",$N$14=B$18),IF(LEFT($N45,1)="P",VLOOKUP(CONCATENATE(LEFT($N45,2),"H"),$R$63:$T$91,3,FALSE),VLOOKUP($N45,$R$63:$T$91,3,FALSE)))+IF(AND($N45&lt;&gt;"",$N45&lt;&gt;"O3/CP",$N$15=B$18,MID($N45,4,1)="2",$N$15&lt;&gt;$N$14),VLOOKUP(CONCATENATE(LEFT($N45,2),"L"),$R$63:$T$91,3,FALSE),0)+IF(AND($N45="O3/CP",$N$14=B$18),VLOOKUP("O3",$R$63:$T$91,3,FALSE)+VLOOKUP("CP",$R$63:$T$91,3,FALSE),0)+IF(AND($O45&lt;&gt;"",$O45&lt;&gt;"--",$O45&lt;&gt;"O3/CP",$O$14=B$18),IF(LEFT($O45,1)="P",VLOOKUP(CONCATENATE(LEFT($O45,2),"H"),$R$63:$T$91,3,FALSE),VLOOKUP($O45,$R$63:$T$91,3,FALSE)))+IF(AND($O45&lt;&gt;"",$O45&lt;&gt;"O3/CP",$O$15=B$18,MID($O45,4,1)="2",$O$15&lt;&gt;$O$14),VLOOKUP(CONCATENATE(LEFT($O45,2),"L"),$R$63:$T$91,3,FALSE),0)+IF(AND($O45="O3/CP",$O$14=B$18),VLOOKUP("O3",$R$63:$T$91,3,FALSE)+VLOOKUP("CP",$R$63:$T$91,3,FALSE),0)+IF(AND($P45&lt;&gt;"",$P45&lt;&gt;"--",$P45&lt;&gt;"O3/CP",$P$14=B$18),IF(LEFT($P45,1)="P",VLOOKUP(CONCATENATE(LEFT($P45,2),"H"),$R$63:$T$91,3,FALSE),VLOOKUP($P45,$R$63:$T$91,3,FALSE)))+IF(AND($P45&lt;&gt;"",$P45&lt;&gt;"O3/CP",$P$15=B$18,MID($P45,4,1)="2",$P$15&lt;&gt;$P$14),VLOOKUP(CONCATENATE(LEFT($P45,2),"L"),$R$63:$T$91,3,FALSE),0)+IF(AND($P45="O3/CP",$P$14=B$18),VLOOKUP("O3",$R$63:$T$91,3,FALSE)+VLOOKUP("CP",$R$63:$T$91,3,FALSE),0)+IF(AND($Q45&lt;&gt;"",$Q45&lt;&gt;"--",$Q45&lt;&gt;"O3/CP",$Q$14=B$18),IF(LEFT($Q45,1)="P",VLOOKUP(CONCATENATE(LEFT($Q45,2),"H"),$R$63:$T$91,3,FALSE),VLOOKUP($Q45,$R$63:$T$91,3,FALSE)))+IF(AND($Q45&lt;&gt;"",$Q45&lt;&gt;"O3/CP",$Q$15=B$18,MID($Q45,4,1)="2",$Q$15&lt;&gt;$Q$14),VLOOKUP(CONCATENATE(LEFT($Q45,2),"L"),$R$63:$T$91,3,FALSE),0)+IF(AND($Q45="O3/CP",$Q$14=B$18),VLOOKUP("O3",$R$63:$T$91,3,FALSE)+VLOOKUP("CP",$R$63:$T$91,3,FALSE),0)+IF(AND($R45&lt;&gt;"",$R45&lt;&gt;"--",$R45&lt;&gt;"O3/CP",$R$14=B$18),IF(LEFT($R45,1)="P",VLOOKUP(CONCATENATE(LEFT($R45,2),"H"),$R$63:$T$91,3,FALSE),VLOOKUP($R45,$R$63:$T$91,3,FALSE)))+IF(AND($R45&lt;&gt;"",$R45&lt;&gt;"O3/CP",$R$15=B$18,MID($R45,4,1)="2",$R$15&lt;&gt;$R$14),VLOOKUP(CONCATENATE(LEFT($R45,2),"L"),$R$63:$T$91,3,FALSE),0)+IF(AND($R45="O3/CP",$R$14=B$18),VLOOKUP("O3",$R$63:$T$91,3,FALSE)+VLOOKUP("CP",$R$63:$T$91,3,FALSE),0)+IF(AND($S45&lt;&gt;"",$S45&lt;&gt;"--",$S45&lt;&gt;"O3/CP",$S$14=B$18),IF(LEFT($S45,1)="P",VLOOKUP(CONCATENATE(LEFT($S45,2),"H"),$R$63:$T$91,3,FALSE),VLOOKUP($S45,$R$63:$T$91,3,FALSE)))+IF(AND($S45&lt;&gt;"",$S45&lt;&gt;"O3/CP",$S$15=B$18,MID($S45,4,1)="2",$S$15&lt;&gt;$S$14),VLOOKUP(CONCATENATE(LEFT($S45,2),"L"),$R$63:$T$91,3,FALSE),0)+IF(AND($S45="O3/CP",$S$14=B$18),VLOOKUP("O3",$R$63:$T$91,3,FALSE)+VLOOKUP("CP",$R$63:$T$91,3,FALSE),0)+IF(AND($T45&lt;&gt;"",$T45&lt;&gt;"--",$T45&lt;&gt;"O3/CP",$T$14=B$18),IF(LEFT($T45,1)="P",VLOOKUP(CONCATENATE(LEFT($T45,2),"H"),$R$63:$T$91,3,FALSE),VLOOKUP($T45,$R$63:$T$91,3,FALSE)))+IF(AND($T45&lt;&gt;"",$T45&lt;&gt;"O3/CP",$T$15=B$18,MID($T45,4,1)="2",$T$15&lt;&gt;$T$14),VLOOKUP(CONCATENATE(LEFT($T45,2),"L"),$R$63:$T$91,3,FALSE),0)+IF(AND($T45="O3/CP",$T$14=B$18),VLOOKUP("O3",$R$63:$T$91,3,FALSE)+VLOOKUP("CP",$R$63:$T$91,3,FALSE),0)+IF(AND($U45&lt;&gt;"",$U45&lt;&gt;"--",$U45&lt;&gt;"O3/CP",$U$14=B$18),IF(LEFT($U45,1)="P",VLOOKUP(CONCATENATE(LEFT($U45,2),"H"),$R$63:$T$91,3,FALSE),VLOOKUP($U45,$R$63:$T$91,3,FALSE)))+IF(AND($U45&lt;&gt;"",$U45&lt;&gt;"O3/CP",$U$15=B$18,MID($U45,4,1)="2",$U$15&lt;&gt;$U$14),VLOOKUP(CONCATENATE(LEFT($U45,2),"L"),$R$63:$T$91,3,FALSE),0)+IF(AND($U45="O3/CP",$T$14=B$18),VLOOKUP("O3",$R$63:$T$91,3,FALSE)+VLOOKUP("CP",$R$63:$T$91,3,FALSE),0)+IF(AND($V45&lt;&gt;"",$V45&lt;&gt;"--",$V45&lt;&gt;"O3/CP",$V$14=B$18),IF(LEFT($V45,1)="P",VLOOKUP(CONCATENATE(LEFT($V45,2),"H"),$R$63:$T$91,3,FALSE),VLOOKUP($V45,$R$63:$T$91,3,FALSE)))+IF(AND($V45&lt;&gt;"",$V45&lt;&gt;"O3/CP",$V$15=B$18,MID($V45,4,1)="2",$V$15&lt;&gt;$V$14),VLOOKUP(CONCATENATE(LEFT($V45,2),"L"),$R$63:$T$91,3,FALSE),0)+IF(AND($V45="O3/CP",$V$14=B$18),VLOOKUP("O3",$R$63:$T$91,3,FALSE)+VLOOKUP("CP",$R$63:$T$91,3,FALSE),0)+IF(AND($W45&lt;&gt;"",$W45&lt;&gt;"--",$W45&lt;&gt;"O3/CP",$W$14=B$18),IF(LEFT($W45,1)="P",VLOOKUP(CONCATENATE(LEFT($W45,2),"H"),$R$63:$T$91,3,FALSE),VLOOKUP($W45,$R$63:$T$91,3,FALSE)))+IF(AND($W45&lt;&gt;"",$W45&lt;&gt;"O3/CP",$W$15=B$18,MID($W45,4,1)="2",$W$15&lt;&gt;$W$14),VLOOKUP(CONCATENATE(LEFT($W45,2),"L"),$R$63:$T$91,3,FALSE),0)+IF(AND($W45="O3/CP",$W$14=B$18),VLOOKUP("O3",$R$63:$T$91,3,FALSE)+VLOOKUP("CP",$R$63:$T$91,3,FALSE),0)+IF(AND($X45&lt;&gt;"",$X45&lt;&gt;"--",$X45&lt;&gt;"O3/CP",$X$14=B$18),IF(LEFT($X45,1)="P",VLOOKUP(CONCATENATE(LEFT($X45,2),"H"),$R$63:$T$91,3,FALSE),VLOOKUP($X45,$R$63:$T$91,3,FALSE)))+IF(AND($X45&lt;&gt;"",$X45&lt;&gt;"O3/CP",$X$15=B$18,MID($X45,4,1)="2",$X$15&lt;&gt;$X$14),VLOOKUP(CONCATENATE(LEFT($X45,2),"L"),$R$63:$T$91,3,FALSE),0)+IF(AND($X45="O3/CP",$X$14=B$18),VLOOKUP("O3",$R$63:$T$91,3,FALSE)+VLOOKUP("CP",$R$63:$T$91,3,FALSE),0)+IF(AND($Y45&lt;&gt;"",$Y45&lt;&gt;"--",$Y45&lt;&gt;"O3/CP",$Y$14=B$18),IF(LEFT($Y45,1)="P",VLOOKUP(CONCATENATE(LEFT($Y45,2),"H"),$R$63:$T$91,3,FALSE),VLOOKUP($Y45,$R$63:$T$91,3,FALSE)))+IF(AND($Y45&lt;&gt;"",$Y45&lt;&gt;"O3/CP",$Y$15=B$18,MID($Y45,4,1)="2",$Y$15&lt;&gt;$Y$14),VLOOKUP(CONCATENATE(LEFT($Y45,2),"L"),$R$63:$T$91,3,FALSE),0)+IF(AND($Y45="O3/CP",$Y$14=B$18),VLOOKUP("O3",$R$63:$T$91,3,FALSE)+VLOOKUP("CP",$R$63:$T$91,3,FALSE),0)+IF(AND($K$6="CE",'[3]Supply Attribution'!$G$20=B$18),LEFT($S$90,2),0)+IF(AND($X$86&lt;&gt;"Not Set",$X$87=B$18),$X$86,0)</f>
        <v>0</v>
      </c>
      <c r="C45" s="271">
        <f>IF(AND($K45&lt;&gt;"",$K45&lt;&gt;"--",$K45&lt;&gt;"O3/CP",$K$14=C$18),IF(LEFT($K45,1)="P",VLOOKUP(CONCATENATE(LEFT($K45,2),"H"),$R$63:$T$91,3,FALSE),VLOOKUP($K45,$R$63:$T$91,3,FALSE)))+IF(AND($K45&lt;&gt;"",$K45&lt;&gt;"O3/CP",$K$15=C$18,MID($K45,4,1)="2",$K$15&lt;&gt;$K$14),VLOOKUP(CONCATENATE(LEFT($K45,2),"L"),$R$63:$T$91,3,FALSE),0)+IF(AND($K45="O3/CP",$K$14=C$18),VLOOKUP("O3",$R$63:$T$91,3,FALSE)+VLOOKUP("CP",$R$63:$T$91,3,FALSE),0)+IF(AND($L45&lt;&gt;"",$L45&lt;&gt;"--",$L45&lt;&gt;"O3/CP",$L$14=C$18),IF(LEFT($L45,1)="P",VLOOKUP(CONCATENATE(LEFT($L45,2),"H"),$R$63:$T$91,3,FALSE),VLOOKUP($L45,$R$63:$T$91,3,FALSE)))+IF(AND($L45&lt;&gt;"",$L45&lt;&gt;"O3/CP",$L$15=C$18,MID($L45,4,1)="2",$L$15&lt;&gt;$L$14),VLOOKUP(CONCATENATE(LEFT($L45,2),"L"),$R$63:$T$91,3,FALSE),0)+IF(AND($L45="O3/CP",$L$14=C$18),VLOOKUP("O3",$R$63:$T$91,3,FALSE)+VLOOKUP("CP",$R$63:$T$91,3,FALSE),0)+IF(AND($M45&lt;&gt;"",$M45&lt;&gt;"--",$M45&lt;&gt;"O3/CP",$M$14=C$18),IF(LEFT($M45,1)="P",VLOOKUP(CONCATENATE(LEFT($M45,2),"H"),$R$63:$T$91,3,FALSE),VLOOKUP($M45,$R$63:$T$91,3,FALSE)))+IF(AND($M45&lt;&gt;"",$M45&lt;&gt;"O3/CP",$M$15=C$18,MID($M45,4,1)="2",$M$15&lt;&gt;$M$14),VLOOKUP(CONCATENATE(LEFT($M45,2),"L"),$R$63:$T$91,3,FALSE),0)+IF(AND($M45="O3/CP",$M$14=C$18),VLOOKUP("O3",$R$63:$T$91,3,FALSE)+VLOOKUP("CP",$R$63:$T$91,3,FALSE),0)+IF(AND($N45&lt;&gt;"",$N45&lt;&gt;"--",$N45&lt;&gt;"O3/CP",$N$14=C$18),IF(LEFT($N45,1)="P",VLOOKUP(CONCATENATE(LEFT($N45,2),"H"),$R$63:$T$91,3,FALSE),VLOOKUP($N45,$R$63:$T$91,3,FALSE)))+IF(AND($N45&lt;&gt;"",$N45&lt;&gt;"O3/CP",$N$15=C$18,MID($N45,4,1)="2",$N$15&lt;&gt;$N$14),VLOOKUP(CONCATENATE(LEFT($N45,2),"L"),$R$63:$T$91,3,FALSE),0)+IF(AND($N45="O3/CP",$N$14=C$18),VLOOKUP("O3",$R$63:$T$91,3,FALSE)+VLOOKUP("CP",$R$63:$T$91,3,FALSE),0)+IF(AND($O45&lt;&gt;"",$O45&lt;&gt;"--",$O45&lt;&gt;"O3/CP",$O$14=C$18),IF(LEFT($O45,1)="P",VLOOKUP(CONCATENATE(LEFT($O45,2),"H"),$R$63:$T$91,3,FALSE),VLOOKUP($O45,$R$63:$T$91,3,FALSE)))+IF(AND($O45&lt;&gt;"",$O45&lt;&gt;"O3/CP",$O$15=C$18,MID($O45,4,1)="2",$O$15&lt;&gt;$O$14),VLOOKUP(CONCATENATE(LEFT($O45,2),"L"),$R$63:$T$91,3,FALSE),0)+IF(AND($O45="O3/CP",$O$14=C$18),VLOOKUP("O3",$R$63:$T$91,3,FALSE)+VLOOKUP("CP",$R$63:$T$91,3,FALSE),0)+IF(AND($P45&lt;&gt;"",$P45&lt;&gt;"--",$P45&lt;&gt;"O3/CP",$P$14=C$18),IF(LEFT($P45,1)="P",VLOOKUP(CONCATENATE(LEFT($P45,2),"H"),$R$63:$T$91,3,FALSE),VLOOKUP($P45,$R$63:$T$91,3,FALSE)))+IF(AND($P45&lt;&gt;"",$P45&lt;&gt;"O3/CP",$P$15=C$18,MID($P45,4,1)="2",$P$15&lt;&gt;$P$14),VLOOKUP(CONCATENATE(LEFT($P45,2),"L"),$R$63:$T$91,3,FALSE),0)+IF(AND($P45="O3/CP",$P$14=C$18),VLOOKUP("O3",$R$63:$T$91,3,FALSE)+VLOOKUP("CP",$R$63:$T$91,3,FALSE),0)+IF(AND($Q45&lt;&gt;"",$Q45&lt;&gt;"--",$Q45&lt;&gt;"O3/CP",$Q$14=C$18),IF(LEFT($Q45,1)="P",VLOOKUP(CONCATENATE(LEFT($Q45,2),"H"),$R$63:$T$91,3,FALSE),VLOOKUP($Q45,$R$63:$T$91,3,FALSE)))+IF(AND($Q45&lt;&gt;"",$Q45&lt;&gt;"O3/CP",$Q$15=C$18,MID($Q45,4,1)="2",$Q$15&lt;&gt;$Q$14),VLOOKUP(CONCATENATE(LEFT($Q45,2),"L"),$R$63:$T$91,3,FALSE),0)+IF(AND($Q45="O3/CP",$Q$14=C$18),VLOOKUP("O3",$R$63:$T$91,3,FALSE)+VLOOKUP("CP",$R$63:$T$91,3,FALSE),0)+IF(AND($R45&lt;&gt;"",$R45&lt;&gt;"--",$R45&lt;&gt;"O3/CP",$R$14=C$18),IF(LEFT($R45,1)="P",VLOOKUP(CONCATENATE(LEFT($R45,2),"H"),$R$63:$T$91,3,FALSE),VLOOKUP($R45,$R$63:$T$91,3,FALSE)))+IF(AND($R45&lt;&gt;"",$R45&lt;&gt;"O3/CP",$R$15=C$18,MID($R45,4,1)="2",$R$15&lt;&gt;$R$14),VLOOKUP(CONCATENATE(LEFT($R45,2),"L"),$R$63:$T$91,3,FALSE),0)+IF(AND($R45="O3/CP",$R$14=C$18),VLOOKUP("O3",$R$63:$T$91,3,FALSE)+VLOOKUP("CP",$R$63:$T$91,3,FALSE),0)+IF(AND($S45&lt;&gt;"",$S45&lt;&gt;"--",$S45&lt;&gt;"O3/CP",$S$14=C$18),IF(LEFT($S45,1)="P",VLOOKUP(CONCATENATE(LEFT($S45,2),"H"),$R$63:$T$91,3,FALSE),VLOOKUP($S45,$R$63:$T$91,3,FALSE)))+IF(AND($S45&lt;&gt;"",$S45&lt;&gt;"O3/CP",$S$15=C$18,MID($S45,4,1)="2",$S$15&lt;&gt;$S$14),VLOOKUP(CONCATENATE(LEFT($S45,2),"L"),$R$63:$T$91,3,FALSE),0)+IF(AND($S45="O3/CP",$S$14=C$18),VLOOKUP("O3",$R$63:$T$91,3,FALSE)+VLOOKUP("CP",$R$63:$T$91,3,FALSE),0)+IF(AND($T45&lt;&gt;"",$T45&lt;&gt;"--",$T45&lt;&gt;"O3/CP",$T$14=C$18),IF(LEFT($T45,1)="P",VLOOKUP(CONCATENATE(LEFT($T45,2),"H"),$R$63:$T$91,3,FALSE),VLOOKUP($T45,$R$63:$T$91,3,FALSE)))+IF(AND($T45&lt;&gt;"",$T45&lt;&gt;"O3/CP",$T$15=C$18,MID($T45,4,1)="2",$T$15&lt;&gt;$T$14),VLOOKUP(CONCATENATE(LEFT($T45,2),"L"),$R$63:$T$91,3,FALSE),0)+IF(AND($T45="O3/CP",$T$14=C$18),VLOOKUP("O3",$R$63:$T$91,3,FALSE)+VLOOKUP("CP",$R$63:$T$91,3,FALSE),0)+IF(AND($U45&lt;&gt;"",$U45&lt;&gt;"--",$U45&lt;&gt;"O3/CP",$U$14=C$18),IF(LEFT($U45,1)="P",VLOOKUP(CONCATENATE(LEFT($U45,2),"H"),$R$63:$T$91,3,FALSE),VLOOKUP($U45,$R$63:$T$91,3,FALSE)))+IF(AND($U45&lt;&gt;"",$U45&lt;&gt;"O3/CP",$U$15=C$18,MID($U45,4,1)="2",$U$15&lt;&gt;$U$14),VLOOKUP(CONCATENATE(LEFT($U45,2),"L"),$R$63:$T$91,3,FALSE),0)+IF(AND($U45="O3/CP",$T$14=C$18),VLOOKUP("O3",$R$63:$T$91,3,FALSE)+VLOOKUP("CP",$R$63:$T$91,3,FALSE),0)+IF(AND($V45&lt;&gt;"",$V45&lt;&gt;"--",$V45&lt;&gt;"O3/CP",$V$14=C$18),IF(LEFT($V45,1)="P",VLOOKUP(CONCATENATE(LEFT($V45,2),"H"),$R$63:$T$91,3,FALSE),VLOOKUP($V45,$R$63:$T$91,3,FALSE)))+IF(AND($V45&lt;&gt;"",$V45&lt;&gt;"O3/CP",$V$15=C$18,MID($V45,4,1)="2",$V$15&lt;&gt;$V$14),VLOOKUP(CONCATENATE(LEFT($V45,2),"L"),$R$63:$T$91,3,FALSE),0)+IF(AND($V45="O3/CP",$V$14=C$18),VLOOKUP("O3",$R$63:$T$91,3,FALSE)+VLOOKUP("CP",$R$63:$T$91,3,FALSE),0)+IF(AND($W45&lt;&gt;"",$W45&lt;&gt;"--",$W45&lt;&gt;"O3/CP",$W$14=C$18),IF(LEFT($W45,1)="P",VLOOKUP(CONCATENATE(LEFT($W45,2),"H"),$R$63:$T$91,3,FALSE),VLOOKUP($W45,$R$63:$T$91,3,FALSE)))+IF(AND($W45&lt;&gt;"",$W45&lt;&gt;"O3/CP",$W$15=C$18,MID($W45,4,1)="2",$W$15&lt;&gt;$W$14),VLOOKUP(CONCATENATE(LEFT($W45,2),"L"),$R$63:$T$91,3,FALSE),0)+IF(AND($W45="O3/CP",$W$14=C$18),VLOOKUP("O3",$R$63:$T$91,3,FALSE)+VLOOKUP("CP",$R$63:$T$91,3,FALSE),0)+IF(AND($X45&lt;&gt;"",$X45&lt;&gt;"--",$X45&lt;&gt;"O3/CP",$X$14=C$18),IF(LEFT($X45,1)="P",VLOOKUP(CONCATENATE(LEFT($X45,2),"H"),$R$63:$T$91,3,FALSE),VLOOKUP($X45,$R$63:$T$91,3,FALSE)))+IF(AND($X45&lt;&gt;"",$X45&lt;&gt;"O3/CP",$X$15=C$18,MID($X45,4,1)="2",$X$15&lt;&gt;$X$14),VLOOKUP(CONCATENATE(LEFT($X45,2),"L"),$R$63:$T$91,3,FALSE),0)+IF(AND($X45="O3/CP",$X$14=C$18),VLOOKUP("O3",$R$63:$T$91,3,FALSE)+VLOOKUP("CP",$R$63:$T$91,3,FALSE),0)+IF(AND($Y45&lt;&gt;"",$Y45&lt;&gt;"--",$Y45&lt;&gt;"O3/CP",$Y$14=C$18),IF(LEFT($Y45,1)="P",VLOOKUP(CONCATENATE(LEFT($Y45,2),"H"),$R$63:$T$91,3,FALSE),VLOOKUP($Y45,$R$63:$T$91,3,FALSE)))+IF(AND($Y45&lt;&gt;"",$Y45&lt;&gt;"O3/CP",$Y$15=C$18,MID($Y45,4,1)="2",$Y$15&lt;&gt;$Y$14),VLOOKUP(CONCATENATE(LEFT($Y45,2),"L"),$R$63:$T$91,3,FALSE),0)+IF(AND($Y45="O3/CP",$Y$14=C$18),VLOOKUP("O3",$R$63:$T$91,3,FALSE)+VLOOKUP("CP",$R$63:$T$91,3,FALSE),0)+IF(AND($K$6="CE",'[3]Supply Attribution'!$G$20=C$18),LEFT($S$90,2),0)+IF(AND($X$86&lt;&gt;"Not Set",$X$87=C$18),$X$86,0)</f>
        <v>0</v>
      </c>
      <c r="D45" s="271">
        <f>IF(AND($K45&lt;&gt;"",$K45&lt;&gt;"--",$K45&lt;&gt;"O3/CP",$K$14=D$18),IF(LEFT($K45,1)="P",VLOOKUP(CONCATENATE(LEFT($K45,2),"H"),$R$63:$T$91,3,FALSE),VLOOKUP($K45,$R$63:$T$91,3,FALSE)))+IF(AND($K45&lt;&gt;"",$K45&lt;&gt;"O3/CP",$K$15=D$18,MID($K45,4,1)="2",$K$15&lt;&gt;$K$14),VLOOKUP(CONCATENATE(LEFT($K45,2),"L"),$R$63:$T$91,3,FALSE),0)+IF(AND($K45="O3/CP",$K$14=D$18),VLOOKUP("O3",$R$63:$T$91,3,FALSE)+VLOOKUP("CP",$R$63:$T$91,3,FALSE),0)+IF(AND($L45&lt;&gt;"",$L45&lt;&gt;"--",$L45&lt;&gt;"O3/CP",$L$14=D$18),IF(LEFT($L45,1)="P",VLOOKUP(CONCATENATE(LEFT($L45,2),"H"),$R$63:$T$91,3,FALSE),VLOOKUP($L45,$R$63:$T$91,3,FALSE)))+IF(AND($L45&lt;&gt;"",$L45&lt;&gt;"O3/CP",$L$15=D$18,MID($L45,4,1)="2",$L$15&lt;&gt;$L$14),VLOOKUP(CONCATENATE(LEFT($L45,2),"L"),$R$63:$T$91,3,FALSE),0)+IF(AND($L45="O3/CP",$L$14=D$18),VLOOKUP("O3",$R$63:$T$91,3,FALSE)+VLOOKUP("CP",$R$63:$T$91,3,FALSE),0)+IF(AND($M45&lt;&gt;"",$M45&lt;&gt;"--",$M45&lt;&gt;"O3/CP",$M$14=D$18),IF(LEFT($M45,1)="P",VLOOKUP(CONCATENATE(LEFT($M45,2),"H"),$R$63:$T$91,3,FALSE),VLOOKUP($M45,$R$63:$T$91,3,FALSE)))+IF(AND($M45&lt;&gt;"",$M45&lt;&gt;"O3/CP",$M$15=D$18,MID($M45,4,1)="2",$M$15&lt;&gt;$M$14),VLOOKUP(CONCATENATE(LEFT($M45,2),"L"),$R$63:$T$91,3,FALSE),0)+IF(AND($M45="O3/CP",$M$14=D$18),VLOOKUP("O3",$R$63:$T$91,3,FALSE)+VLOOKUP("CP",$R$63:$T$91,3,FALSE),0)+IF(AND($N45&lt;&gt;"",$N45&lt;&gt;"--",$N45&lt;&gt;"O3/CP",$N$14=D$18),IF(LEFT($N45,1)="P",VLOOKUP(CONCATENATE(LEFT($N45,2),"H"),$R$63:$T$91,3,FALSE),VLOOKUP($N45,$R$63:$T$91,3,FALSE)))+IF(AND($N45&lt;&gt;"",$N45&lt;&gt;"O3/CP",$N$15=D$18,MID($N45,4,1)="2",$N$15&lt;&gt;$N$14),VLOOKUP(CONCATENATE(LEFT($N45,2),"L"),$R$63:$T$91,3,FALSE),0)+IF(AND($N45="O3/CP",$N$14=D$18),VLOOKUP("O3",$R$63:$T$91,3,FALSE)+VLOOKUP("CP",$R$63:$T$91,3,FALSE),0)+IF(AND($O45&lt;&gt;"",$O45&lt;&gt;"--",$O45&lt;&gt;"O3/CP",$O$14=D$18),IF(LEFT($O45,1)="P",VLOOKUP(CONCATENATE(LEFT($O45,2),"H"),$R$63:$T$91,3,FALSE),VLOOKUP($O45,$R$63:$T$91,3,FALSE)))+IF(AND($O45&lt;&gt;"",$O45&lt;&gt;"O3/CP",$O$15=D$18,MID($O45,4,1)="2",$O$15&lt;&gt;$O$14),VLOOKUP(CONCATENATE(LEFT($O45,2),"L"),$R$63:$T$91,3,FALSE),0)+IF(AND($O45="O3/CP",$O$14=D$18),VLOOKUP("O3",$R$63:$T$91,3,FALSE)+VLOOKUP("CP",$R$63:$T$91,3,FALSE),0)+IF(AND($P45&lt;&gt;"",$P45&lt;&gt;"--",$P45&lt;&gt;"O3/CP",$P$14=D$18),IF(LEFT($P45,1)="P",VLOOKUP(CONCATENATE(LEFT($P45,2),"H"),$R$63:$T$91,3,FALSE),VLOOKUP($P45,$R$63:$T$91,3,FALSE)))+IF(AND($P45&lt;&gt;"",$P45&lt;&gt;"O3/CP",$P$15=D$18,MID($P45,4,1)="2",$P$15&lt;&gt;$P$14),VLOOKUP(CONCATENATE(LEFT($P45,2),"L"),$R$63:$T$91,3,FALSE),0)+IF(AND($P45="O3/CP",$P$14=D$18),VLOOKUP("O3",$R$63:$T$91,3,FALSE)+VLOOKUP("CP",$R$63:$T$91,3,FALSE),0)+IF(AND($Q45&lt;&gt;"",$Q45&lt;&gt;"--",$Q45&lt;&gt;"O3/CP",$Q$14=D$18),IF(LEFT($Q45,1)="P",VLOOKUP(CONCATENATE(LEFT($Q45,2),"H"),$R$63:$T$91,3,FALSE),VLOOKUP($Q45,$R$63:$T$91,3,FALSE)))+IF(AND($Q45&lt;&gt;"",$Q45&lt;&gt;"O3/CP",$Q$15=D$18,MID($Q45,4,1)="2",$Q$15&lt;&gt;$Q$14),VLOOKUP(CONCATENATE(LEFT($Q45,2),"L"),$R$63:$T$91,3,FALSE),0)+IF(AND($Q45="O3/CP",$Q$14=D$18),VLOOKUP("O3",$R$63:$T$91,3,FALSE)+VLOOKUP("CP",$R$63:$T$91,3,FALSE),0)+IF(AND($R45&lt;&gt;"",$R45&lt;&gt;"--",$R45&lt;&gt;"O3/CP",$R$14=D$18),IF(LEFT($R45,1)="P",VLOOKUP(CONCATENATE(LEFT($R45,2),"H"),$R$63:$T$91,3,FALSE),VLOOKUP($R45,$R$63:$T$91,3,FALSE)))+IF(AND($R45&lt;&gt;"",$R45&lt;&gt;"O3/CP",$R$15=D$18,MID($R45,4,1)="2",$R$15&lt;&gt;$R$14),VLOOKUP(CONCATENATE(LEFT($R45,2),"L"),$R$63:$T$91,3,FALSE),0)+IF(AND($R45="O3/CP",$R$14=D$18),VLOOKUP("O3",$R$63:$T$91,3,FALSE)+VLOOKUP("CP",$R$63:$T$91,3,FALSE),0)+IF(AND($S45&lt;&gt;"",$S45&lt;&gt;"--",$S45&lt;&gt;"O3/CP",$S$14=D$18),IF(LEFT($S45,1)="P",VLOOKUP(CONCATENATE(LEFT($S45,2),"H"),$R$63:$T$91,3,FALSE),VLOOKUP($S45,$R$63:$T$91,3,FALSE)))+IF(AND($S45&lt;&gt;"",$S45&lt;&gt;"O3/CP",$S$15=D$18,MID($S45,4,1)="2",$S$15&lt;&gt;$S$14),VLOOKUP(CONCATENATE(LEFT($S45,2),"L"),$R$63:$T$91,3,FALSE),0)+IF(AND($S45="O3/CP",$S$14=D$18),VLOOKUP("O3",$R$63:$T$91,3,FALSE)+VLOOKUP("CP",$R$63:$T$91,3,FALSE),0)+IF(AND($T45&lt;&gt;"",$T45&lt;&gt;"--",$T45&lt;&gt;"O3/CP",$T$14=D$18),IF(LEFT($T45,1)="P",VLOOKUP(CONCATENATE(LEFT($T45,2),"H"),$R$63:$T$91,3,FALSE),VLOOKUP($T45,$R$63:$T$91,3,FALSE)))+IF(AND($T45&lt;&gt;"",$T45&lt;&gt;"O3/CP",$T$15=D$18,MID($T45,4,1)="2",$T$15&lt;&gt;$T$14),VLOOKUP(CONCATENATE(LEFT($T45,2),"L"),$R$63:$T$91,3,FALSE),0)+IF(AND($T45="O3/CP",$T$14=D$18),VLOOKUP("O3",$R$63:$T$91,3,FALSE)+VLOOKUP("CP",$R$63:$T$91,3,FALSE),0)+IF(AND($U45&lt;&gt;"",$U45&lt;&gt;"--",$U45&lt;&gt;"O3/CP",$U$14=D$18),IF(LEFT($U45,1)="P",VLOOKUP(CONCATENATE(LEFT($U45,2),"H"),$R$63:$T$91,3,FALSE),VLOOKUP($U45,$R$63:$T$91,3,FALSE)))+IF(AND($U45&lt;&gt;"",$U45&lt;&gt;"O3/CP",$U$15=D$18,MID($U45,4,1)="2",$U$15&lt;&gt;$U$14),VLOOKUP(CONCATENATE(LEFT($U45,2),"L"),$R$63:$T$91,3,FALSE),0)+IF(AND($U45="O3/CP",$T$14=D$18),VLOOKUP("O3",$R$63:$T$91,3,FALSE)+VLOOKUP("CP",$R$63:$T$91,3,FALSE),0)+IF(AND($V45&lt;&gt;"",$V45&lt;&gt;"--",$V45&lt;&gt;"O3/CP",$V$14=D$18),IF(LEFT($V45,1)="P",VLOOKUP(CONCATENATE(LEFT($V45,2),"H"),$R$63:$T$91,3,FALSE),VLOOKUP($V45,$R$63:$T$91,3,FALSE)))+IF(AND($V45&lt;&gt;"",$V45&lt;&gt;"O3/CP",$V$15=D$18,MID($V45,4,1)="2",$V$15&lt;&gt;$V$14),VLOOKUP(CONCATENATE(LEFT($V45,2),"L"),$R$63:$T$91,3,FALSE),0)+IF(AND($V45="O3/CP",$V$14=D$18),VLOOKUP("O3",$R$63:$T$91,3,FALSE)+VLOOKUP("CP",$R$63:$T$91,3,FALSE),0)+IF(AND($W45&lt;&gt;"",$W45&lt;&gt;"--",$W45&lt;&gt;"O3/CP",$W$14=D$18),IF(LEFT($W45,1)="P",VLOOKUP(CONCATENATE(LEFT($W45,2),"H"),$R$63:$T$91,3,FALSE),VLOOKUP($W45,$R$63:$T$91,3,FALSE)))+IF(AND($W45&lt;&gt;"",$W45&lt;&gt;"O3/CP",$W$15=D$18,MID($W45,4,1)="2",$W$15&lt;&gt;$W$14),VLOOKUP(CONCATENATE(LEFT($W45,2),"L"),$R$63:$T$91,3,FALSE),0)+IF(AND($W45="O3/CP",$W$14=D$18),VLOOKUP("O3",$R$63:$T$91,3,FALSE)+VLOOKUP("CP",$R$63:$T$91,3,FALSE),0)+IF(AND($X45&lt;&gt;"",$X45&lt;&gt;"--",$X45&lt;&gt;"O3/CP",$X$14=D$18),IF(LEFT($X45,1)="P",VLOOKUP(CONCATENATE(LEFT($X45,2),"H"),$R$63:$T$91,3,FALSE),VLOOKUP($X45,$R$63:$T$91,3,FALSE)))+IF(AND($X45&lt;&gt;"",$X45&lt;&gt;"O3/CP",$X$15=D$18,MID($X45,4,1)="2",$X$15&lt;&gt;$X$14),VLOOKUP(CONCATENATE(LEFT($X45,2),"L"),$R$63:$T$91,3,FALSE),0)+IF(AND($X45="O3/CP",$X$14=D$18),VLOOKUP("O3",$R$63:$T$91,3,FALSE)+VLOOKUP("CP",$R$63:$T$91,3,FALSE),0)+IF(AND($Y45&lt;&gt;"",$Y45&lt;&gt;"--",$Y45&lt;&gt;"O3/CP",$Y$14=D$18),IF(LEFT($Y45,1)="P",VLOOKUP(CONCATENATE(LEFT($Y45,2),"H"),$R$63:$T$91,3,FALSE),VLOOKUP($Y45,$R$63:$T$91,3,FALSE)))+IF(AND($Y45&lt;&gt;"",$Y45&lt;&gt;"O3/CP",$Y$15=D$18,MID($Y45,4,1)="2",$Y$15&lt;&gt;$Y$14),VLOOKUP(CONCATENATE(LEFT($Y45,2),"L"),$R$63:$T$91,3,FALSE),0)+IF(AND($Y45="O3/CP",$Y$14=D$18),VLOOKUP("O3",$R$63:$T$91,3,FALSE)+VLOOKUP("CP",$R$63:$T$91,3,FALSE),0)+IF(AND($K$6="CE",'[3]Supply Attribution'!$G$20=D$18),LEFT($S$90,2),0)+IF(AND($X$86&lt;&gt;"Not Set",$X$87=D$18),$X$86,0)</f>
        <v>0</v>
      </c>
      <c r="E45" s="271">
        <f>IF(AND($K45&lt;&gt;"",$K45&lt;&gt;"--",$K45&lt;&gt;"O3/CP",$K$14=E$18),IF(LEFT($K45,1)="P",VLOOKUP(CONCATENATE(LEFT($K45,2),"H"),$R$63:$T$91,3,FALSE),VLOOKUP($K45,$R$63:$T$91,3,FALSE)))+IF(AND($K45&lt;&gt;"",$K45&lt;&gt;"O3/CP",$K$15=E$18,MID($K45,4,1)="2",$K$15&lt;&gt;$K$14),VLOOKUP(CONCATENATE(LEFT($K45,2),"L"),$R$63:$T$91,3,FALSE),0)+IF(AND($K45="O3/CP",$K$14=E$18),VLOOKUP("O3",$R$63:$T$91,3,FALSE)+VLOOKUP("CP",$R$63:$T$91,3,FALSE),0)+IF(AND($L45&lt;&gt;"",$L45&lt;&gt;"--",$L45&lt;&gt;"O3/CP",$L$14=E$18),IF(LEFT($L45,1)="P",VLOOKUP(CONCATENATE(LEFT($L45,2),"H"),$R$63:$T$91,3,FALSE),VLOOKUP($L45,$R$63:$T$91,3,FALSE)))+IF(AND($L45&lt;&gt;"",$L45&lt;&gt;"O3/CP",$L$15=E$18,MID($L45,4,1)="2",$L$15&lt;&gt;$L$14),VLOOKUP(CONCATENATE(LEFT($L45,2),"L"),$R$63:$T$91,3,FALSE),0)+IF(AND($L45="O3/CP",$L$14=E$18),VLOOKUP("O3",$R$63:$T$91,3,FALSE)+VLOOKUP("CP",$R$63:$T$91,3,FALSE),0)+IF(AND($M45&lt;&gt;"",$M45&lt;&gt;"--",$M45&lt;&gt;"O3/CP",$M$14=E$18),IF(LEFT($M45,1)="P",VLOOKUP(CONCATENATE(LEFT($M45,2),"H"),$R$63:$T$91,3,FALSE),VLOOKUP($M45,$R$63:$T$91,3,FALSE)))+IF(AND($M45&lt;&gt;"",$M45&lt;&gt;"O3/CP",$M$15=E$18,MID($M45,4,1)="2",$M$15&lt;&gt;$M$14),VLOOKUP(CONCATENATE(LEFT($M45,2),"L"),$R$63:$T$91,3,FALSE),0)+IF(AND($M45="O3/CP",$M$14=E$18),VLOOKUP("O3",$R$63:$T$91,3,FALSE)+VLOOKUP("CP",$R$63:$T$91,3,FALSE),0)+IF(AND($N45&lt;&gt;"",$N45&lt;&gt;"--",$N45&lt;&gt;"O3/CP",$N$14=E$18),IF(LEFT($N45,1)="P",VLOOKUP(CONCATENATE(LEFT($N45,2),"H"),$R$63:$T$91,3,FALSE),VLOOKUP($N45,$R$63:$T$91,3,FALSE)))+IF(AND($N45&lt;&gt;"",$N45&lt;&gt;"O3/CP",$N$15=E$18,MID($N45,4,1)="2",$N$15&lt;&gt;$N$14),VLOOKUP(CONCATENATE(LEFT($N45,2),"L"),$R$63:$T$91,3,FALSE),0)+IF(AND($N45="O3/CP",$N$14=E$18),VLOOKUP("O3",$R$63:$T$91,3,FALSE)+VLOOKUP("CP",$R$63:$T$91,3,FALSE),0)+IF(AND($O45&lt;&gt;"",$O45&lt;&gt;"--",$O45&lt;&gt;"O3/CP",$O$14=E$18),IF(LEFT($O45,1)="P",VLOOKUP(CONCATENATE(LEFT($O45,2),"H"),$R$63:$T$91,3,FALSE),VLOOKUP($O45,$R$63:$T$91,3,FALSE)))+IF(AND($O45&lt;&gt;"",$O45&lt;&gt;"O3/CP",$O$15=E$18,MID($O45,4,1)="2",$O$15&lt;&gt;$O$14),VLOOKUP(CONCATENATE(LEFT($O45,2),"L"),$R$63:$T$91,3,FALSE),0)+IF(AND($O45="O3/CP",$O$14=E$18),VLOOKUP("O3",$R$63:$T$91,3,FALSE)+VLOOKUP("CP",$R$63:$T$91,3,FALSE),0)+IF(AND($P45&lt;&gt;"",$P45&lt;&gt;"--",$P45&lt;&gt;"O3/CP",$P$14=E$18),IF(LEFT($P45,1)="P",VLOOKUP(CONCATENATE(LEFT($P45,2),"H"),$R$63:$T$91,3,FALSE),VLOOKUP($P45,$R$63:$T$91,3,FALSE)))+IF(AND($P45&lt;&gt;"",$P45&lt;&gt;"O3/CP",$P$15=E$18,MID($P45,4,1)="2",$P$15&lt;&gt;$P$14),VLOOKUP(CONCATENATE(LEFT($P45,2),"L"),$R$63:$T$91,3,FALSE),0)+IF(AND($P45="O3/CP",$P$14=E$18),VLOOKUP("O3",$R$63:$T$91,3,FALSE)+VLOOKUP("CP",$R$63:$T$91,3,FALSE),0)+IF(AND($Q45&lt;&gt;"",$Q45&lt;&gt;"--",$Q45&lt;&gt;"O3/CP",$Q$14=E$18),IF(LEFT($Q45,1)="P",VLOOKUP(CONCATENATE(LEFT($Q45,2),"H"),$R$63:$T$91,3,FALSE),VLOOKUP($Q45,$R$63:$T$91,3,FALSE)))+IF(AND($Q45&lt;&gt;"",$Q45&lt;&gt;"O3/CP",$Q$15=E$18,MID($Q45,4,1)="2",$Q$15&lt;&gt;$Q$14),VLOOKUP(CONCATENATE(LEFT($Q45,2),"L"),$R$63:$T$91,3,FALSE),0)+IF(AND($Q45="O3/CP",$Q$14=E$18),VLOOKUP("O3",$R$63:$T$91,3,FALSE)+VLOOKUP("CP",$R$63:$T$91,3,FALSE),0)+IF(AND($R45&lt;&gt;"",$R45&lt;&gt;"--",$R45&lt;&gt;"O3/CP",$R$14=E$18),IF(LEFT($R45,1)="P",VLOOKUP(CONCATENATE(LEFT($R45,2),"H"),$R$63:$T$91,3,FALSE),VLOOKUP($R45,$R$63:$T$91,3,FALSE)))+IF(AND($R45&lt;&gt;"",$R45&lt;&gt;"O3/CP",$R$15=E$18,MID($R45,4,1)="2",$R$15&lt;&gt;$R$14),VLOOKUP(CONCATENATE(LEFT($R45,2),"L"),$R$63:$T$91,3,FALSE),0)+IF(AND($R45="O3/CP",$R$14=E$18),VLOOKUP("O3",$R$63:$T$91,3,FALSE)+VLOOKUP("CP",$R$63:$T$91,3,FALSE),0)+IF(AND($S45&lt;&gt;"",$S45&lt;&gt;"--",$S45&lt;&gt;"O3/CP",$S$14=E$18),IF(LEFT($S45,1)="P",VLOOKUP(CONCATENATE(LEFT($S45,2),"H"),$R$63:$T$91,3,FALSE),VLOOKUP($S45,$R$63:$T$91,3,FALSE)))+IF(AND($S45&lt;&gt;"",$S45&lt;&gt;"O3/CP",$S$15=E$18,MID($S45,4,1)="2",$S$15&lt;&gt;$S$14),VLOOKUP(CONCATENATE(LEFT($S45,2),"L"),$R$63:$T$91,3,FALSE),0)+IF(AND($S45="O3/CP",$S$14=E$18),VLOOKUP("O3",$R$63:$T$91,3,FALSE)+VLOOKUP("CP",$R$63:$T$91,3,FALSE),0)+IF(AND($T45&lt;&gt;"",$T45&lt;&gt;"--",$T45&lt;&gt;"O3/CP",$T$14=E$18),IF(LEFT($T45,1)="P",VLOOKUP(CONCATENATE(LEFT($T45,2),"H"),$R$63:$T$91,3,FALSE),VLOOKUP($T45,$R$63:$T$91,3,FALSE)))+IF(AND($T45&lt;&gt;"",$T45&lt;&gt;"O3/CP",$T$15=E$18,MID($T45,4,1)="2",$T$15&lt;&gt;$T$14),VLOOKUP(CONCATENATE(LEFT($T45,2),"L"),$R$63:$T$91,3,FALSE),0)+IF(AND($T45="O3/CP",$T$14=E$18),VLOOKUP("O3",$R$63:$T$91,3,FALSE)+VLOOKUP("CP",$R$63:$T$91,3,FALSE),0)+IF(AND($U45&lt;&gt;"",$U45&lt;&gt;"--",$U45&lt;&gt;"O3/CP",$U$14=E$18),IF(LEFT($U45,1)="P",VLOOKUP(CONCATENATE(LEFT($U45,2),"H"),$R$63:$T$91,3,FALSE),VLOOKUP($U45,$R$63:$T$91,3,FALSE)))+IF(AND($U45&lt;&gt;"",$U45&lt;&gt;"O3/CP",$U$15=E$18,MID($U45,4,1)="2",$U$15&lt;&gt;$U$14),VLOOKUP(CONCATENATE(LEFT($U45,2),"L"),$R$63:$T$91,3,FALSE),0)+IF(AND($U45="O3/CP",$T$14=E$18),VLOOKUP("O3",$R$63:$T$91,3,FALSE)+VLOOKUP("CP",$R$63:$T$91,3,FALSE),0)+IF(AND($V45&lt;&gt;"",$V45&lt;&gt;"--",$V45&lt;&gt;"O3/CP",$V$14=E$18),IF(LEFT($V45,1)="P",VLOOKUP(CONCATENATE(LEFT($V45,2),"H"),$R$63:$T$91,3,FALSE),VLOOKUP($V45,$R$63:$T$91,3,FALSE)))+IF(AND($V45&lt;&gt;"",$V45&lt;&gt;"O3/CP",$V$15=E$18,MID($V45,4,1)="2",$V$15&lt;&gt;$V$14),VLOOKUP(CONCATENATE(LEFT($V45,2),"L"),$R$63:$T$91,3,FALSE),0)+IF(AND($V45="O3/CP",$V$14=E$18),VLOOKUP("O3",$R$63:$T$91,3,FALSE)+VLOOKUP("CP",$R$63:$T$91,3,FALSE),0)+IF(AND($W45&lt;&gt;"",$W45&lt;&gt;"--",$W45&lt;&gt;"O3/CP",$W$14=E$18),IF(LEFT($W45,1)="P",VLOOKUP(CONCATENATE(LEFT($W45,2),"H"),$R$63:$T$91,3,FALSE),VLOOKUP($W45,$R$63:$T$91,3,FALSE)))+IF(AND($W45&lt;&gt;"",$W45&lt;&gt;"O3/CP",$W$15=E$18,MID($W45,4,1)="2",$W$15&lt;&gt;$W$14),VLOOKUP(CONCATENATE(LEFT($W45,2),"L"),$R$63:$T$91,3,FALSE),0)+IF(AND($W45="O3/CP",$W$14=E$18),VLOOKUP("O3",$R$63:$T$91,3,FALSE)+VLOOKUP("CP",$R$63:$T$91,3,FALSE),0)+IF(AND($X45&lt;&gt;"",$X45&lt;&gt;"--",$X45&lt;&gt;"O3/CP",$X$14=E$18),IF(LEFT($X45,1)="P",VLOOKUP(CONCATENATE(LEFT($X45,2),"H"),$R$63:$T$91,3,FALSE),VLOOKUP($X45,$R$63:$T$91,3,FALSE)))+IF(AND($X45&lt;&gt;"",$X45&lt;&gt;"O3/CP",$X$15=E$18,MID($X45,4,1)="2",$X$15&lt;&gt;$X$14),VLOOKUP(CONCATENATE(LEFT($X45,2),"L"),$R$63:$T$91,3,FALSE),0)+IF(AND($X45="O3/CP",$X$14=E$18),VLOOKUP("O3",$R$63:$T$91,3,FALSE)+VLOOKUP("CP",$R$63:$T$91,3,FALSE),0)+IF(AND($Y45&lt;&gt;"",$Y45&lt;&gt;"--",$Y45&lt;&gt;"O3/CP",$Y$14=E$18),IF(LEFT($Y45,1)="P",VLOOKUP(CONCATENATE(LEFT($Y45,2),"H"),$R$63:$T$91,3,FALSE),VLOOKUP($Y45,$R$63:$T$91,3,FALSE)))+IF(AND($Y45&lt;&gt;"",$Y45&lt;&gt;"O3/CP",$Y$15=E$18,MID($Y45,4,1)="2",$Y$15&lt;&gt;$Y$14),VLOOKUP(CONCATENATE(LEFT($Y45,2),"L"),$R$63:$T$91,3,FALSE),0)+IF(AND($Y45="O3/CP",$Y$14=E$18),VLOOKUP("O3",$R$63:$T$91,3,FALSE)+VLOOKUP("CP",$R$63:$T$91,3,FALSE),0)+IF(AND($K$6="CE",'[3]Supply Attribution'!$G$20=E$18),LEFT($S$90,2),0)+IF(AND($X$86&lt;&gt;"Not Set",$X$87=E$18),$X$86,0)</f>
        <v>0</v>
      </c>
      <c r="F45" s="272">
        <f>IF(AND($K45&lt;&gt;"",$K45&lt;&gt;"--",$K45&lt;&gt;"O3/CP",$K$14=F$18),IF(LEFT($K45,1)="P",VLOOKUP(CONCATENATE(LEFT($K45,2),"H"),$R$63:$T$91,3,FALSE),VLOOKUP($K45,$R$63:$T$91,3,FALSE)))+IF(AND($K45&lt;&gt;"",$K45&lt;&gt;"O3/CP",$K$15=F$18,MID($K45,4,1)="2",$K$15&lt;&gt;$K$14),VLOOKUP(CONCATENATE(LEFT($K45,2),"L"),$R$63:$T$91,3,FALSE),0)+IF(AND($K45="O3/CP",$K$14=F$18),VLOOKUP("O3",$R$63:$T$91,3,FALSE)+VLOOKUP("CP",$R$63:$T$91,3,FALSE),0)+IF(AND($L45&lt;&gt;"",$L45&lt;&gt;"--",$L45&lt;&gt;"O3/CP",$L$14=F$18),IF(LEFT($L45,1)="P",VLOOKUP(CONCATENATE(LEFT($L45,2),"H"),$R$63:$T$91,3,FALSE),VLOOKUP($L45,$R$63:$T$91,3,FALSE)))+IF(AND($L45&lt;&gt;"",$L45&lt;&gt;"O3/CP",$L$15=F$18,MID($L45,4,1)="2",$L$15&lt;&gt;$L$14),VLOOKUP(CONCATENATE(LEFT($L45,2),"L"),$R$63:$T$91,3,FALSE),0)+IF(AND($L45="O3/CP",$L$14=F$18),VLOOKUP("O3",$R$63:$T$91,3,FALSE)+VLOOKUP("CP",$R$63:$T$91,3,FALSE),0)+IF(AND($M45&lt;&gt;"",$M45&lt;&gt;"--",$M45&lt;&gt;"O3/CP",$M$14=F$18),IF(LEFT($M45,1)="P",VLOOKUP(CONCATENATE(LEFT($M45,2),"H"),$R$63:$T$91,3,FALSE),VLOOKUP($M45,$R$63:$T$91,3,FALSE)))+IF(AND($M45&lt;&gt;"",$M45&lt;&gt;"O3/CP",$M$15=F$18,MID($M45,4,1)="2",$M$15&lt;&gt;$M$14),VLOOKUP(CONCATENATE(LEFT($M45,2),"L"),$R$63:$T$91,3,FALSE),0)+IF(AND($M45="O3/CP",$M$14=F$18),VLOOKUP("O3",$R$63:$T$91,3,FALSE)+VLOOKUP("CP",$R$63:$T$91,3,FALSE),0)+IF(AND($N45&lt;&gt;"",$N45&lt;&gt;"--",$N45&lt;&gt;"O3/CP",$N$14=F$18),IF(LEFT($N45,1)="P",VLOOKUP(CONCATENATE(LEFT($N45,2),"H"),$R$63:$T$91,3,FALSE),VLOOKUP($N45,$R$63:$T$91,3,FALSE)))+IF(AND($N45&lt;&gt;"",$N45&lt;&gt;"O3/CP",$N$15=F$18,MID($N45,4,1)="2",$N$15&lt;&gt;$N$14),VLOOKUP(CONCATENATE(LEFT($N45,2),"L"),$R$63:$T$91,3,FALSE),0)+IF(AND($N45="O3/CP",$N$14=F$18),VLOOKUP("O3",$R$63:$T$91,3,FALSE)+VLOOKUP("CP",$R$63:$T$91,3,FALSE),0)+IF(AND($O45&lt;&gt;"",$O45&lt;&gt;"--",$O45&lt;&gt;"O3/CP",$O$14=F$18),IF(LEFT($O45,1)="P",VLOOKUP(CONCATENATE(LEFT($O45,2),"H"),$R$63:$T$91,3,FALSE),VLOOKUP($O45,$R$63:$T$91,3,FALSE)))+IF(AND($O45&lt;&gt;"",$O45&lt;&gt;"O3/CP",$O$15=F$18,MID($O45,4,1)="2",$O$15&lt;&gt;$O$14),VLOOKUP(CONCATENATE(LEFT($O45,2),"L"),$R$63:$T$91,3,FALSE),0)+IF(AND($O45="O3/CP",$O$14=F$18),VLOOKUP("O3",$R$63:$T$91,3,FALSE)+VLOOKUP("CP",$R$63:$T$91,3,FALSE),0)+IF(AND($P45&lt;&gt;"",$P45&lt;&gt;"--",$P45&lt;&gt;"O3/CP",$P$14=F$18),IF(LEFT($P45,1)="P",VLOOKUP(CONCATENATE(LEFT($P45,2),"H"),$R$63:$T$91,3,FALSE),VLOOKUP($P45,$R$63:$T$91,3,FALSE)))+IF(AND($P45&lt;&gt;"",$P45&lt;&gt;"O3/CP",$P$15=F$18,MID($P45,4,1)="2",$P$15&lt;&gt;$P$14),VLOOKUP(CONCATENATE(LEFT($P45,2),"L"),$R$63:$T$91,3,FALSE),0)+IF(AND($P45="O3/CP",$P$14=F$18),VLOOKUP("O3",$R$63:$T$91,3,FALSE)+VLOOKUP("CP",$R$63:$T$91,3,FALSE),0)+IF(AND($Q45&lt;&gt;"",$Q45&lt;&gt;"--",$Q45&lt;&gt;"O3/CP",$Q$14=F$18),IF(LEFT($Q45,1)="P",VLOOKUP(CONCATENATE(LEFT($Q45,2),"H"),$R$63:$T$91,3,FALSE),VLOOKUP($Q45,$R$63:$T$91,3,FALSE)))+IF(AND($Q45&lt;&gt;"",$Q45&lt;&gt;"O3/CP",$Q$15=F$18,MID($Q45,4,1)="2",$Q$15&lt;&gt;$Q$14),VLOOKUP(CONCATENATE(LEFT($Q45,2),"L"),$R$63:$T$91,3,FALSE),0)+IF(AND($Q45="O3/CP",$Q$14=F$18),VLOOKUP("O3",$R$63:$T$91,3,FALSE)+VLOOKUP("CP",$R$63:$T$91,3,FALSE),0)+IF(AND($R45&lt;&gt;"",$R45&lt;&gt;"--",$R45&lt;&gt;"O3/CP",$R$14=F$18),IF(LEFT($R45,1)="P",VLOOKUP(CONCATENATE(LEFT($R45,2),"H"),$R$63:$T$91,3,FALSE),VLOOKUP($R45,$R$63:$T$91,3,FALSE)))+IF(AND($R45&lt;&gt;"",$R45&lt;&gt;"O3/CP",$R$15=F$18,MID($R45,4,1)="2",$R$15&lt;&gt;$R$14),VLOOKUP(CONCATENATE(LEFT($R45,2),"L"),$R$63:$T$91,3,FALSE),0)+IF(AND($R45="O3/CP",$R$14=F$18),VLOOKUP("O3",$R$63:$T$91,3,FALSE)+VLOOKUP("CP",$R$63:$T$91,3,FALSE),0)+IF(AND($S45&lt;&gt;"",$S45&lt;&gt;"--",$S45&lt;&gt;"O3/CP",$S$14=F$18),IF(LEFT($S45,1)="P",VLOOKUP(CONCATENATE(LEFT($S45,2),"H"),$R$63:$T$91,3,FALSE),VLOOKUP($S45,$R$63:$T$91,3,FALSE)))+IF(AND($S45&lt;&gt;"",$S45&lt;&gt;"O3/CP",$S$15=F$18,MID($S45,4,1)="2",$S$15&lt;&gt;$S$14),VLOOKUP(CONCATENATE(LEFT($S45,2),"L"),$R$63:$T$91,3,FALSE),0)+IF(AND($S45="O3/CP",$S$14=F$18),VLOOKUP("O3",$R$63:$T$91,3,FALSE)+VLOOKUP("CP",$R$63:$T$91,3,FALSE),0)+IF(AND($T45&lt;&gt;"",$T45&lt;&gt;"--",$T45&lt;&gt;"O3/CP",$T$14=F$18),IF(LEFT($T45,1)="P",VLOOKUP(CONCATENATE(LEFT($T45,2),"H"),$R$63:$T$91,3,FALSE),VLOOKUP($T45,$R$63:$T$91,3,FALSE)))+IF(AND($T45&lt;&gt;"",$T45&lt;&gt;"O3/CP",$T$15=F$18,MID($T45,4,1)="2",$T$15&lt;&gt;$T$14),VLOOKUP(CONCATENATE(LEFT($T45,2),"L"),$R$63:$T$91,3,FALSE),0)+IF(AND($T45="O3/CP",$T$14=F$18),VLOOKUP("O3",$R$63:$T$91,3,FALSE)+VLOOKUP("CP",$R$63:$T$91,3,FALSE),0)+IF(AND($U45&lt;&gt;"",$U45&lt;&gt;"--",$U45&lt;&gt;"O3/CP",$U$14=F$18),IF(LEFT($U45,1)="P",VLOOKUP(CONCATENATE(LEFT($U45,2),"H"),$R$63:$T$91,3,FALSE),VLOOKUP($U45,$R$63:$T$91,3,FALSE)))+IF(AND($U45&lt;&gt;"",$U45&lt;&gt;"O3/CP",$U$15=F$18,MID($U45,4,1)="2",$U$15&lt;&gt;$U$14),VLOOKUP(CONCATENATE(LEFT($U45,2),"L"),$R$63:$T$91,3,FALSE),0)+IF(AND($U45="O3/CP",$T$14=F$18),VLOOKUP("O3",$R$63:$T$91,3,FALSE)+VLOOKUP("CP",$R$63:$T$91,3,FALSE),0)+IF(AND($V45&lt;&gt;"",$V45&lt;&gt;"--",$V45&lt;&gt;"O3/CP",$V$14=F$18),IF(LEFT($V45,1)="P",VLOOKUP(CONCATENATE(LEFT($V45,2),"H"),$R$63:$T$91,3,FALSE),VLOOKUP($V45,$R$63:$T$91,3,FALSE)))+IF(AND($V45&lt;&gt;"",$V45&lt;&gt;"O3/CP",$V$15=F$18,MID($V45,4,1)="2",$V$15&lt;&gt;$V$14),VLOOKUP(CONCATENATE(LEFT($V45,2),"L"),$R$63:$T$91,3,FALSE),0)+IF(AND($V45="O3/CP",$V$14=F$18),VLOOKUP("O3",$R$63:$T$91,3,FALSE)+VLOOKUP("CP",$R$63:$T$91,3,FALSE),0)+IF(AND($W45&lt;&gt;"",$W45&lt;&gt;"--",$W45&lt;&gt;"O3/CP",$W$14=F$18),IF(LEFT($W45,1)="P",VLOOKUP(CONCATENATE(LEFT($W45,2),"H"),$R$63:$T$91,3,FALSE),VLOOKUP($W45,$R$63:$T$91,3,FALSE)))+IF(AND($W45&lt;&gt;"",$W45&lt;&gt;"O3/CP",$W$15=F$18,MID($W45,4,1)="2",$W$15&lt;&gt;$W$14),VLOOKUP(CONCATENATE(LEFT($W45,2),"L"),$R$63:$T$91,3,FALSE),0)+IF(AND($W45="O3/CP",$W$14=F$18),VLOOKUP("O3",$R$63:$T$91,3,FALSE)+VLOOKUP("CP",$R$63:$T$91,3,FALSE),0)+IF(AND($X45&lt;&gt;"",$X45&lt;&gt;"--",$X45&lt;&gt;"O3/CP",$X$14=F$18),IF(LEFT($X45,1)="P",VLOOKUP(CONCATENATE(LEFT($X45,2),"H"),$R$63:$T$91,3,FALSE),VLOOKUP($X45,$R$63:$T$91,3,FALSE)))+IF(AND($X45&lt;&gt;"",$X45&lt;&gt;"O3/CP",$X$15=F$18,MID($X45,4,1)="2",$X$15&lt;&gt;$X$14),VLOOKUP(CONCATENATE(LEFT($X45,2),"L"),$R$63:$T$91,3,FALSE),0)+IF(AND($X45="O3/CP",$X$14=F$18),VLOOKUP("O3",$R$63:$T$91,3,FALSE)+VLOOKUP("CP",$R$63:$T$91,3,FALSE),0)+IF(AND($Y45&lt;&gt;"",$Y45&lt;&gt;"--",$Y45&lt;&gt;"O3/CP",$Y$14=F$18),IF(LEFT($Y45,1)="P",VLOOKUP(CONCATENATE(LEFT($Y45,2),"H"),$R$63:$T$91,3,FALSE),VLOOKUP($Y45,$R$63:$T$91,3,FALSE)))+IF(AND($Y45&lt;&gt;"",$Y45&lt;&gt;"O3/CP",$Y$15=F$18,MID($Y45,4,1)="2",$Y$15&lt;&gt;$Y$14),VLOOKUP(CONCATENATE(LEFT($Y45,2),"L"),$R$63:$T$91,3,FALSE),0)+IF(AND($Y45="O3/CP",$Y$14=F$18),VLOOKUP("O3",$R$63:$T$91,3,FALSE)+VLOOKUP("CP",$R$63:$T$91,3,FALSE),0)+IF(AND($K$6="CE",'[3]Supply Attribution'!$G$20=F$18),LEFT($S$90,2),0)+IF(AND($X$86&lt;&gt;"Not Set",$X$87=F$18),$X$86,0)</f>
        <v>0</v>
      </c>
      <c r="G45" s="271">
        <f>IF(AND($K$6="CE",$T$59="1 Phase"),SUM(A45:F45)-IF(AND($K$14&lt;&gt;$K$15,RIGHT($K45,3)="2SP"),VLOOKUP(CONCATENATE(LEFT($K45,2),"L"),$R$63:$T$90,3,FALSE),0)-IF(AND($L$14&lt;&gt;$L$15,RIGHT($L45,3)="2SP"),VLOOKUP(CONCATENATE(LEFT($L45,2),"L"),$R$63:$T$90,3,FALSE),0)-IF(AND($M$14&lt;&gt;$M$15,RIGHT($M45,3)="2SP"),VLOOKUP(CONCATENATE(LEFT($M45,2),"L"),$R$63:$T$90,3,FALSE),0)-IF(AND($N$14&lt;&gt;$N$15,RIGHT($N45,3)="2SP"),VLOOKUP(CONCATENATE(LEFT($N45,2),"L"),$R$63:$T$90,3,FALSE),0)-IF(AND($O$14&lt;&gt;$O$15,RIGHT($O45,3)="2SP"),VLOOKUP(CONCATENATE(LEFT($O45,2),"L"),$R$63:$T$90,3,FALSE),0)-IF(AND($P$14&lt;&gt;$P$15,RIGHT($P45,3)="2SP"),VLOOKUP(CONCATENATE(LEFT($P45,2),"L"),$R$63:$T$90,3,FALSE),0)-IF(AND($Q$14&lt;&gt;$Q$15,RIGHT($Q45,3)="2SP"),VLOOKUP(CONCATENATE(LEFT($Q45,2),"L"),$R$63:$T$90,3,FALSE),0)-IF(AND($R$14&lt;&gt;$R$15,RIGHT($T45,3)="2SP"),VLOOKUP(CONCATENATE(LEFT($R45,2),"L"),$R$63:$T$90,3,FALSE),0)-IF(AND($S$14&lt;&gt;$S$15,RIGHT($T45,3)="2SP"),VLOOKUP(CONCATENATE(LEFT($S45,2),"L"),$R$63:$T$90,3,FALSE),0)-IF(AND($T$14&lt;&gt;$T$15,RIGHT($T45,3)="2SP"),VLOOKUP(CONCATENATE(LEFT($T45,2),"L"),$R$63:$T$90,3,FALSE),0)-IF(AND($U$14&lt;&gt;$U$15,RIGHT($U45,3)="2SP"),VLOOKUP(CONCATENATE(LEFT($U45,2),"L"),$R$63:$T$90,3,FALSE),0)-IF(AND($V$14&lt;&gt;$V$15,RIGHT($V45,3)="2SP"),VLOOKUP(CONCATENATE(LEFT($V45,2),"L"),$R$63:$T$90,3,FALSE),0)-IF(AND($W$14&lt;&gt;$W$15,RIGHT($W45,3)="2SP"),VLOOKUP(CONCATENATE(LEFT($W45,2),"L"),$R$63:$T$90,3,FALSE),0)-IF(AND($X$14&lt;&gt;$X$15,RIGHT($X45,3)="2SP"),VLOOKUP(CONCATENATE(LEFT($X45,2),"L"),$R$63:$T$90,3,FALSE),0)-IF(AND($Y$14&lt;&gt;$Y$15,RIGHT($Y45,3)="2SP"),VLOOKUP(CONCATENATE(LEFT($Y45,2),"L"),$R$63:$T$90,3,FALSE),0),IF(VLOOKUP(CONCATENATE($A$18,"Line"),'[3]Supply Attribution'!$F$31:$G$37,2,FALSE)=G$18,$A45,0)+IF(VLOOKUP(CONCATENATE($B$18,"Line"),'[3]Supply Attribution'!$F$31:$G$37,2,FALSE)=G$18,$B45,0)+IF(VLOOKUP(CONCATENATE($C$18,"Line"),'[3]Supply Attribution'!$F$31:$G$37,2,FALSE)=G$18,$C45,0)+IF(VLOOKUP(CONCATENATE($D$18,"Line"),'[3]Supply Attribution'!$F$31:$G$37,2,FALSE)=G$18,$D45,0)+IF(VLOOKUP(CONCATENATE($E$18,"Line"),'[3]Supply Attribution'!$F$31:$G$37,2,FALSE)=G$18,$E45,0)+IF(VLOOKUP(CONCATENATE($F$18,"Line"),'[3]Supply Attribution'!$F$31:$G$37,2,FALSE)=G$18,$F45,0)+IF($K$6="UL",LEFT($S$90,2),0)-IF(AND($K$16=G$18,$K$14&lt;&gt;$K$15,$K$16=$K$17,RIGHT($K45,3)="2SP"),VLOOKUP(CONCATENATE(LEFT($K45,2),"L"),$R$63:$T$90,3,FALSE),0)-IF(AND($L$16=G$18,$L$14&lt;&gt;$L$15,$L$16=$L$17,RIGHT($L45,3)="2SP"),VLOOKUP(CONCATENATE(LEFT($L45,2),"L"),$R$63:$T$90,3,FALSE),0)-IF(AND($M$16=G$18,$M$14&lt;&gt;$M$15,$M$16=$M$17,RIGHT($M45,3)="2SP"),VLOOKUP(CONCATENATE(LEFT($M45,2),"L"),$R$63:$T$90,3,FALSE),0)-IF(AND($N$16=G$18,$N$14&lt;&gt;$N$15,$N$16=$N$17,RIGHT($N45,3)="2SP"),VLOOKUP(CONCATENATE(LEFT($N45,2),"L"),$R$63:$T$90,3,FALSE),0)-IF(AND($O$16=G$18,$O$14&lt;&gt;$O$15,$O$16=$O$17,RIGHT($O45,3)="2SP"),VLOOKUP(CONCATENATE(LEFT($O45,2),"L"),$R$63:$T$90,3,FALSE),0)-IF(AND($P$16=G$18,$P$14&lt;&gt;$P$15,$P$16=$P$17,RIGHT($P45,3)="2SP"),VLOOKUP(CONCATENATE(LEFT($P45,2),"L"),$R$63:$T$90,3,FALSE),0)-IF(AND($Q$16=G$18,$Q$14&lt;&gt;$Q$15,$Q$16=$Q$17,RIGHT($Q45,3)="2SP"),VLOOKUP(CONCATENATE(LEFT($Q45,2),"L"),$R$63:$T$90,3,FALSE),0)-IF(AND($R$16=G$18,$R$14&lt;&gt;$R$15,$R$16=$R$17,RIGHT($R45,3)="2SP"),VLOOKUP(CONCATENATE(LEFT($R45,2),"L"),$R$63:$T$90,3,FALSE),0)-IF(AND($S$16=G$18,$S$14&lt;&gt;$S$15,$S$16=$S$17,RIGHT($S45,3)="2SP"),VLOOKUP(CONCATENATE(LEFT($S45,2),"L"),$R$63:$T$90,3,FALSE),0)-IF(AND($T$16=G$18,$T$14&lt;&gt;$T$15,$T$16=$T$17,RIGHT($T45,3)="2SP"),VLOOKUP(CONCATENATE(LEFT($T45,2),"L"),$R$63:$T$90,3,FALSE),0)-IF(AND($U$16=G$18,$U$14&lt;&gt;$U$15,$U$16=$U$17,RIGHT($U45,3)="2SP"),VLOOKUP(CONCATENATE(LEFT($U45,2),"L"),$R$63:$T$90,3,FALSE),0)-IF(AND($V$16=G$18,$V$14&lt;&gt;$V$15,$V$16=$V$17,RIGHT($V45,3)="2SP"),VLOOKUP(CONCATENATE(LEFT($V45,2),"L"),$R$63:$T$90,3,FALSE),0)-IF(AND($W$16=G$18,$W$14&lt;&gt;$W$15,$W$16=$W$17,RIGHT($W45,3)="2SP"),VLOOKUP(CONCATENATE(LEFT($W45,2),"L"),$R$63:$T$90,3,FALSE),0)-IF(AND($X$16=G$18,$X$14&lt;&gt;$X$15,$X$16=$X$17,RIGHT($X45,3)="2SP"),VLOOKUP(CONCATENATE(LEFT($X45,2),"L"),$R$63:$T$90,3,FALSE),0)-IF(AND($Y$16=G$18,$Y$14&lt;&gt;$Y$15,$Y$16=$Y$17,RIGHT($Y45,3)="2SP"),VLOOKUP(CONCATENATE(LEFT($Y45,2),"L"),$R$63:$T$90,3,FALSE),0))</f>
        <v>17</v>
      </c>
      <c r="H45" s="271" t="str">
        <f>IF(H$18&lt;&gt;"",IF(VLOOKUP(CONCATENATE($A$18,"Line"),'Supply Attribution'!$F$31:$G$37,2,FALSE)=H$18,$A45,0)+IF(VLOOKUP(CONCATENATE($B$18,"Line"),'Supply Attribution'!$F$31:$G$37,2,FALSE)=H$18,$B45,0)+IF(VLOOKUP(CONCATENATE($C$18,"Line"),'Supply Attribution'!$F$31:$G$37,2,FALSE)=H$18,$C45,0)+IF(VLOOKUP(CONCATENATE($D$18,"Line"),'Supply Attribution'!$F$31:$G$37,2,FALSE)=H$18,$D45,0)+IF(VLOOKUP(CONCATENATE($E$18,"Line"),'Supply Attribution'!$F$31:$G$37,2,FALSE)=H$18,$E45,0)+IF(VLOOKUP(CONCATENATE($F$18,"Line"),'Supply Attribution'!$F$31:$G$37,2,FALSE)=H$18,$F45,0)+IF($K$6="UL",LEFT($S$90,2),0)-IF(AND($K$16=H$18,$K$14&lt;&gt;$K$15,$K$16=$K$17,RIGHT($K45,3)="2SP"),VLOOKUP(CONCATENATE(LEFT($K45,2),"L"),$R$63:$T$90,3,FALSE),0)-IF(AND($L$16=H$18,$L$14&lt;&gt;$L$15,$L$16=$L$17,RIGHT($L45,3)="2SP"),VLOOKUP(CONCATENATE(LEFT($L45,2),"L"),$R$63:$T$90,3,FALSE),0)-IF(AND($M$16=H$18,$M$14&lt;&gt;$M$15,$M$16=$M$17,RIGHT($M45,3)="2SP"),VLOOKUP(CONCATENATE(LEFT($M45,2),"L"),$R$63:$T$90,3,FALSE),0)-IF(AND($N$16=H$18,$N$14&lt;&gt;$N$15,$N$16=$N$17,RIGHT($N45,3)="2SP"),VLOOKUP(CONCATENATE(LEFT($N45,2),"L"),$R$63:$T$90,3,FALSE),0)-IF(AND($O$16=H$18,$O$14&lt;&gt;$O$15,$O$16=$O$17,RIGHT($O45,3)="2SP"),VLOOKUP(CONCATENATE(LEFT($O45,2),"L"),$R$63:$T$90,3,FALSE),0)-IF(AND($P$16=H$18,$P$14&lt;&gt;$P$15,$P$16=$P$17,RIGHT($P45,3)="2SP"),VLOOKUP(CONCATENATE(LEFT($P45,2),"L"),$R$63:$T$90,3,FALSE),0)-IF(AND($Q$16=H$18,$Q$14&lt;&gt;$Q$15,$Q$16=$Q$17,RIGHT($Q45,3)="2SP"),VLOOKUP(CONCATENATE(LEFT($Q45,2),"L"),$R$63:$T$90,3,FALSE),0)-IF(AND($T$16=H$18,$T$14&lt;&gt;$T$15,$T$16=$T$17,RIGHT($T45,3)="2SP"),VLOOKUP(CONCATENATE(LEFT($T45,2),"L"),$R$63:$T$90,3,FALSE),0)-IF(AND($U$16=H$18,$U$14&lt;&gt;$U$15,$U$16=$U$17,RIGHT($U45,3)="2SP"),VLOOKUP(CONCATENATE(LEFT($U45,2),"L"),$R$63:$T$90,3,FALSE),0)-IF(AND($V$16=H$18,$V$14&lt;&gt;$V$15,$V$16=$V$17,RIGHT($V45,3)="2SP"),VLOOKUP(CONCATENATE(LEFT($V45,2),"L"),$R$63:$T$90,3,FALSE),0)-IF(AND($W$16=H$18,$W$14&lt;&gt;$W$15,$W$16=$W$17,RIGHT($W45,3)="2SP"),VLOOKUP(CONCATENATE(LEFT($W45,2),"L"),$R$63:$T$90,3,FALSE),0)-IF(AND($X$16=H$18,$X$14&lt;&gt;$X$15,$X$16=$X$17,RIGHT($X45,3)="2SP"),VLOOKUP(CONCATENATE(LEFT($X45,2),"L"),$R$63:$T$90,3,FALSE),0)-IF(AND($Y$16=H$18,$Y$14&lt;&gt;$Y$15,$Y$16=$Y$17,RIGHT($Y45,3)="2SP"),VLOOKUP(CONCATENATE(LEFT($Y45,2),"L"),$R$63:$T$90,3,FALSE),0)+IF(AND($K$6="CE",$T$59="2 Phases",H$18&lt;&gt;""),IF(VLOOKUP(CONCATENATE($A$18,"Line"),'Supply Attribution'!$F$31:$G$37,2,FALSE)="Line3",$A45,0)+IF(VLOOKUP(CONCATENATE($B$18,"Line"),'Supply Attribution'!$F$31:$G$37,2,FALSE)="Line3",$B45,0)+IF(VLOOKUP(CONCATENATE($C$18,"Line"),'Supply Attribution'!$F$31:$G$37,2,FALSE)="Line3",$C45,0)+IF(VLOOKUP(CONCATENATE($D$18,"Line"),'Supply Attribution'!$F$31:$G$37,2,FALSE)="Line3",$D45,0)+IF(VLOOKUP(CONCATENATE($E$18,"Line"),'Supply Attribution'!$F$31:$G$37,2,FALSE)="Line3",$E45,0)+IF(VLOOKUP(CONCATENATE($F$18,"Line"),'Supply Attribution'!$F$31:$G$37,2,FALSE)="Line3",$F45,0)-IF(AND($K$16=I$18,$K$14&lt;&gt;$K$15,$K$16=$K$17,RIGHT($K45,3)="2SP"),VLOOKUP(CONCATENATE(LEFT($K45,2),"L"),$R$63:$T$90,3,FALSE),0)-IF(AND($L$16=I$18,$L$14&lt;&gt;$L$15,$L$16=$L$17,RIGHT($L45,3)="2SP"),VLOOKUP(CONCATENATE(LEFT($L45,2),"L"),$R$63:$T$90,3,FALSE),0)-IF(AND($M$16=I$18,$M$14&lt;&gt;$M$15,$M$16=$M$17,RIGHT($M45,3)="2SP"),VLOOKUP(CONCATENATE(LEFT($M45,2),"L"),$R$63:$T$90,3,FALSE),0)-IF(AND($N$16=I$18,$N$14&lt;&gt;$N$15,$N$16=$N$17,RIGHT($N45,3)="2SP"),VLOOKUP(CONCATENATE(LEFT($N45,2),"L"),$R$63:$T$90,3,FALSE),0)-IF(AND($O$16=I$18,$O$14&lt;&gt;$O$15,$O$16=$O$17,RIGHT($O45,3)="2SP"),VLOOKUP(CONCATENATE(LEFT($O45,2),"L"),$R$63:$T$90,3,FALSE),0)-IF(AND($P$16=I$18,$P$14&lt;&gt;$P$15,$P$16=$P$17,RIGHT($P45,3)="2SP"),VLOOKUP(CONCATENATE(LEFT($P45,2),"L"),$R$63:$T$90,3,FALSE),0)-IF(AND($Q$16=I$18,$Q$14&lt;&gt;$Q$15,$Q$16=$Q$17,RIGHT($Q45,3)="2SP"),VLOOKUP(CONCATENATE(LEFT($Q45,2),"L"),$R$63:$T$90,3,FALSE),0)-IF(AND($T$16=I$18,$T$14&lt;&gt;$T$15,$T$16=$T$17,RIGHT($T45,3)="2SP"),VLOOKUP(CONCATENATE(LEFT($T45,2),"L"),$R$63:$T$90,3,FALSE),0)-IF(AND($U$16=I$18,$U$14&lt;&gt;$U$15,$U$16=$U$17,RIGHT($U45,3)="2SP"),VLOOKUP(CONCATENATE(LEFT($U45,2),"L"),$R$63:$T$90,3,FALSE),0)-IF(AND($V$16=I$18,$V$14&lt;&gt;$V$15,$V$16=$V$17,RIGHT($V45,3)="2SP"),VLOOKUP(CONCATENATE(LEFT($V45,2),"L"),$R$63:$T$90,3,FALSE),0)-IF(AND($W$16=I$18,$W$14&lt;&gt;$W$15,$W$16=$W$17,RIGHT($W45,3)="2SP"),VLOOKUP(CONCATENATE(LEFT($W45,2),"L"),$R$63:$T$90,3,FALSE),0)-IF(AND($X$16=I$18,$X$14&lt;&gt;$X$15,$X$16=$X$17,RIGHT($X45,3)="2SP"),VLOOKUP(CONCATENATE(LEFT($X45,2),"L"),$R$63:$T$90,3,FALSE),0)-IF(AND($Y$16=I$18,$Y$14&lt;&gt;$Y$15,$Y$16=$Y$17,RIGHT($Y45,3)="2SP"),VLOOKUP(CONCATENATE(LEFT($Y45,2),"L"),$R$63:$T$90,3,FALSE),0),0),"")</f>
        <v/>
      </c>
      <c r="I45" s="271" t="str">
        <f>IF(I$18&lt;&gt;"",IF(VLOOKUP(CONCATENATE($A$18,"Line"),'Supply Attribution'!$F$31:$G$37,2,FALSE)=I$18,$A45,0)+IF(VLOOKUP(CONCATENATE($B$18,"Line"),'Supply Attribution'!$F$31:$G$37,2,FALSE)=I$18,$B45,0)+IF(VLOOKUP(CONCATENATE($C$18,"Line"),'Supply Attribution'!$F$31:$G$37,2,FALSE)=I$18,$C45,0)+IF(VLOOKUP(CONCATENATE($D$18,"Line"),'Supply Attribution'!$F$31:$G$37,2,FALSE)=I$18,$D45,0)+IF(VLOOKUP(CONCATENATE($E$18,"Line"),'Supply Attribution'!$F$31:$G$37,2,FALSE)=I$18,$E45,0)+IF(VLOOKUP(CONCATENATE($F$18,"Line"),'Supply Attribution'!$F$31:$G$37,2,FALSE)=I$18,$F45,0)+IF($K$6="UL",LEFT($S$90,2),0)-IF(AND($K$16=I$18,$K$14&lt;&gt;$K$15,$K$16=$K$17,RIGHT($K45,3)="2SP"),VLOOKUP(CONCATENATE(LEFT($K45,2),"L"),$R$63:$T$90,3,FALSE),0)-IF(AND($L$16=I$18,$L$14&lt;&gt;$L$15,$L$16=$L$17,RIGHT($L45,3)="2SP"),VLOOKUP(CONCATENATE(LEFT($L45,2),"L"),$R$63:$T$90,3,FALSE),0)-IF(AND($M$16=I$18,$M$14&lt;&gt;$M$15,$M$16=$M$17,RIGHT($M45,3)="2SP"),VLOOKUP(CONCATENATE(LEFT($M45,2),"L"),$R$63:$T$90,3,FALSE),0)-IF(AND($N$16=I$18,$N$14&lt;&gt;$N$15,$N$16=$N$17,RIGHT($N45,3)="2SP"),VLOOKUP(CONCATENATE(LEFT($N45,2),"L"),$R$63:$T$90,3,FALSE),0)-IF(AND($O$16=I$18,$O$14&lt;&gt;$O$15,$O$16=$O$17,RIGHT($O45,3)="2SP"),VLOOKUP(CONCATENATE(LEFT($O45,2),"L"),$R$63:$T$90,3,FALSE),0)-IF(AND($P$16=I$18,$P$14&lt;&gt;$P$15,$P$16=$P$17,RIGHT($P45,3)="2SP"),VLOOKUP(CONCATENATE(LEFT($P45,2),"L"),$R$63:$T$90,3,FALSE),0)-IF(AND($Q$16=I$18,$Q$14&lt;&gt;$Q$15,$Q$16=$Q$17,RIGHT($Q45,3)="2SP"),VLOOKUP(CONCATENATE(LEFT($Q45,2),"L"),$R$63:$T$90,3,FALSE),0)-IF(AND($T$16=I$18,$T$14&lt;&gt;$T$15,$T$16=$T$17,RIGHT($T45,3)="2SP"),VLOOKUP(CONCATENATE(LEFT($T45,2),"L"),$R$63:$T$90,3,FALSE),0)-IF(AND($U$16=I$18,$U$14&lt;&gt;$U$15,$U$16=$U$17,RIGHT($U45,3)="2SP"),VLOOKUP(CONCATENATE(LEFT($U45,2),"L"),$R$63:$T$90,3,FALSE),0)-IF(AND($V$16=I$18,$V$14&lt;&gt;$V$15,$V$16=$V$17,RIGHT($V45,3)="2SP"),VLOOKUP(CONCATENATE(LEFT($V45,2),"L"),$R$63:$T$90,3,FALSE),0)-IF(AND($W$16=I$18,$W$14&lt;&gt;$W$15,$W$16=$W$17,RIGHT($W45,3)="2SP"),VLOOKUP(CONCATENATE(LEFT($W45,2),"L"),$R$63:$T$90,3,FALSE),0)-IF(AND($X$16=I$18,$X$14&lt;&gt;$X$15,$X$16=$X$17,RIGHT($X45,3)="2SP"),VLOOKUP(CONCATENATE(LEFT($X45,2),"L"),$R$63:$T$90,3,FALSE),0)-IF(AND($Y$16=I$18,$Y$14&lt;&gt;$Y$15,$Y$16=$Y$17,RIGHT($Y45,3)="2SP"),VLOOKUP(CONCATENATE(LEFT($Y45,2),"L"),$R$63:$T$90,3,FALSE),0),"")</f>
        <v/>
      </c>
      <c r="J45" s="129"/>
      <c r="K45" s="130"/>
      <c r="L45" s="130"/>
      <c r="M45" s="130"/>
      <c r="N45" s="130"/>
      <c r="O45" s="130"/>
      <c r="P45" s="130"/>
      <c r="Q45" s="130"/>
      <c r="R45" s="130"/>
      <c r="S45" s="130"/>
      <c r="T45" s="130"/>
      <c r="U45" s="130"/>
      <c r="V45" s="130"/>
      <c r="W45" s="130"/>
      <c r="X45" s="130"/>
      <c r="Y45" s="130"/>
      <c r="Z45" s="131"/>
      <c r="AA45" s="131"/>
      <c r="AB45" s="132"/>
      <c r="AC45" s="132"/>
      <c r="AD45" s="132"/>
      <c r="AE45" s="133">
        <f t="shared" si="0"/>
        <v>0</v>
      </c>
      <c r="AF45" s="78"/>
    </row>
    <row r="46" spans="1:32" ht="12.95" customHeight="1">
      <c r="A46" s="270">
        <f>IF(AND($K46&lt;&gt;"",$K46&lt;&gt;"--",$K46&lt;&gt;"O3/CP",$K$14=A$18),IF(LEFT($K46,1)="P",VLOOKUP(CONCATENATE(LEFT($K46,2),"H"),$R$63:$T$91,3,FALSE),VLOOKUP($K46,$R$63:$T$91,3,FALSE)))+IF(AND($K46&lt;&gt;"",$K46&lt;&gt;"O3/CP",$K$15=A$18,MID($K46,4,1)="2",$K$15&lt;&gt;$K$14),VLOOKUP(CONCATENATE(LEFT($K46,2),"L"),$R$63:$T$91,3,FALSE),0)+IF(AND($K46="O3/CP",$K$14=A$18),VLOOKUP("O3",$R$63:$T$91,3,FALSE)+VLOOKUP("CP",$R$63:$T$91,3,FALSE),0)+IF(AND($L46&lt;&gt;"",$L46&lt;&gt;"--",$L46&lt;&gt;"O3/CP",$L$14=A$18),IF(LEFT($L46,1)="P",VLOOKUP(CONCATENATE(LEFT($L46,2),"H"),$R$63:$T$91,3,FALSE),VLOOKUP($L46,$R$63:$T$91,3,FALSE)))+IF(AND($L46&lt;&gt;"",$L46&lt;&gt;"O3/CP",$L$15=A$18,MID($L46,4,1)="2",$L$15&lt;&gt;$L$14),VLOOKUP(CONCATENATE(LEFT($L46,2),"L"),$R$63:$T$91,3,FALSE),0)+IF(AND($L46="O3/CP",$L$14=A$18),VLOOKUP("O3",$R$63:$T$91,3,FALSE)+VLOOKUP("CP",$R$63:$T$91,3,FALSE),0)+IF(AND($M46&lt;&gt;"",$M46&lt;&gt;"--",$M46&lt;&gt;"O3/CP",$M$14=A$18),IF(LEFT($M46,1)="P",VLOOKUP(CONCATENATE(LEFT($M46,2),"H"),$R$63:$T$91,3,FALSE),VLOOKUP($M46,$R$63:$T$91,3,FALSE)))+IF(AND($M46&lt;&gt;"",$M46&lt;&gt;"O3/CP",$M$15=A$18,MID($M46,4,1)="2",$M$15&lt;&gt;$M$14),VLOOKUP(CONCATENATE(LEFT($M46,2),"L"),$R$63:$T$91,3,FALSE),0)+IF(AND($M46="O3/CP",$M$14=A$18),VLOOKUP("O3",$R$63:$T$91,3,FALSE)+VLOOKUP("CP",$R$63:$T$91,3,FALSE),0)+IF(AND($N46&lt;&gt;"",$N46&lt;&gt;"--",$N46&lt;&gt;"O3/CP",$N$14=A$18),IF(LEFT($N46,1)="P",VLOOKUP(CONCATENATE(LEFT($N46,2),"H"),$R$63:$T$91,3,FALSE),VLOOKUP($N46,$R$63:$T$91,3,FALSE)))+IF(AND($N46&lt;&gt;"",$N46&lt;&gt;"O3/CP",$N$15=A$18,MID($N46,4,1)="2",$N$15&lt;&gt;$N$14),VLOOKUP(CONCATENATE(LEFT($N46,2),"L"),$R$63:$T$91,3,FALSE),0)+IF(AND($N46="O3/CP",$N$14=A$18),VLOOKUP("O3",$R$63:$T$91,3,FALSE)+VLOOKUP("CP",$R$63:$T$91,3,FALSE),0)+IF(AND($O46&lt;&gt;"",$O46&lt;&gt;"--",$O46&lt;&gt;"O3/CP",$O$14=A$18),IF(LEFT($O46,1)="P",VLOOKUP(CONCATENATE(LEFT($O46,2),"H"),$R$63:$T$91,3,FALSE),VLOOKUP($O46,$R$63:$T$91,3,FALSE)))+IF(AND($O46&lt;&gt;"",$O46&lt;&gt;"O3/CP",$O$15=A$18,MID($O46,4,1)="2",$O$15&lt;&gt;$O$14),VLOOKUP(CONCATENATE(LEFT($O46,2),"L"),$R$63:$T$91,3,FALSE),0)+IF(AND($O46="O3/CP",$O$14=A$18),VLOOKUP("O3",$R$63:$T$91,3,FALSE)+VLOOKUP("CP",$R$63:$T$91,3,FALSE),0)+IF(AND($P46&lt;&gt;"",$P46&lt;&gt;"--",$P46&lt;&gt;"O3/CP",$P$14=A$18),IF(LEFT($P46,1)="P",VLOOKUP(CONCATENATE(LEFT($P46,2),"H"),$R$63:$T$91,3,FALSE),VLOOKUP($P46,$R$63:$T$91,3,FALSE)))+IF(AND($P46&lt;&gt;"",$P46&lt;&gt;"O3/CP",$P$15=A$18,MID($P46,4,1)="2",$P$15&lt;&gt;$P$14),VLOOKUP(CONCATENATE(LEFT($P46,2),"L"),$R$63:$T$91,3,FALSE),0)+IF(AND($P46="O3/CP",$P$14=A$18),VLOOKUP("O3",$R$63:$T$91,3,FALSE)+VLOOKUP("CP",$R$63:$T$91,3,FALSE),0)+IF(AND($Q46&lt;&gt;"",$Q46&lt;&gt;"--",$Q46&lt;&gt;"O3/CP",$Q$14=A$18),IF(LEFT($Q46,1)="P",VLOOKUP(CONCATENATE(LEFT($Q46,2),"H"),$R$63:$T$91,3,FALSE),VLOOKUP($Q46,$R$63:$T$91,3,FALSE)))+IF(AND($Q46&lt;&gt;"",$Q46&lt;&gt;"O3/CP",$Q$15=A$18,MID($Q46,4,1)="2",$Q$15&lt;&gt;$Q$14),VLOOKUP(CONCATENATE(LEFT($Q46,2),"L"),$R$63:$T$91,3,FALSE),0)+IF(AND($Q46="O3/CP",$Q$14=A$18),VLOOKUP("O3",$R$63:$T$91,3,FALSE)+VLOOKUP("CP",$R$63:$T$91,3,FALSE),0)+IF(AND($R46&lt;&gt;"",$R46&lt;&gt;"--",$R46&lt;&gt;"O3/CP",$R$14=A$18),IF(LEFT($R46,1)="P",VLOOKUP(CONCATENATE(LEFT($R46,2),"H"),$R$63:$T$91,3,FALSE),VLOOKUP($R46,$R$63:$T$91,3,FALSE)))+IF(AND($R46&lt;&gt;"",$R46&lt;&gt;"O3/CP",$R$15=A$18,MID($R46,4,1)="2",$R$15&lt;&gt;$R$14),VLOOKUP(CONCATENATE(LEFT($R46,2),"L"),$R$63:$T$91,3,FALSE),0)+IF(AND($R46="O3/CP",$R$14=A$18),VLOOKUP("O3",$R$63:$T$91,3,FALSE)+VLOOKUP("CP",$R$63:$T$91,3,FALSE),0)+IF(AND($S46&lt;&gt;"",$S46&lt;&gt;"--",$S46&lt;&gt;"O3/CP",$S$14=A$18),IF(LEFT($S46,1)="P",VLOOKUP(CONCATENATE(LEFT($S46,2),"H"),$R$63:$T$91,3,FALSE),VLOOKUP($S46,$R$63:$T$91,3,FALSE)))+IF(AND($S46&lt;&gt;"",$S46&lt;&gt;"O3/CP",$S$15=A$18,MID($S46,4,1)="2",$S$15&lt;&gt;$S$14),VLOOKUP(CONCATENATE(LEFT($S46,2),"L"),$R$63:$T$91,3,FALSE),0)+IF(AND($S46="O3/CP",$S$14=A$18),VLOOKUP("O3",$R$63:$T$91,3,FALSE)+VLOOKUP("CP",$R$63:$T$91,3,FALSE),0)+IF(AND($T46&lt;&gt;"",$T46&lt;&gt;"--",$T46&lt;&gt;"O3/CP",$T$14=A$18),IF(LEFT($T46,1)="P",VLOOKUP(CONCATENATE(LEFT($T46,2),"H"),$R$63:$T$91,3,FALSE),VLOOKUP($T46,$R$63:$T$91,3,FALSE)))+IF(AND($T46&lt;&gt;"",$T46&lt;&gt;"O3/CP",$T$15=A$18,MID($T46,4,1)="2",$T$15&lt;&gt;$T$14),VLOOKUP(CONCATENATE(LEFT($T46,2),"L"),$R$63:$T$91,3,FALSE),0)+IF(AND($T46="O3/CP",$T$14=A$18),VLOOKUP("O3",$R$63:$T$91,3,FALSE)+VLOOKUP("CP",$R$63:$T$91,3,FALSE),0)+IF(AND($U46&lt;&gt;"",$U46&lt;&gt;"--",$U46&lt;&gt;"O3/CP",$U$14=A$18),IF(LEFT($U46,1)="P",VLOOKUP(CONCATENATE(LEFT($U46,2),"H"),$R$63:$T$91,3,FALSE),VLOOKUP($U46,$R$63:$T$91,3,FALSE)))+IF(AND($U46&lt;&gt;"",$U46&lt;&gt;"O3/CP",$U$15=A$18,MID($U46,4,1)="2",$U$15&lt;&gt;$U$14),VLOOKUP(CONCATENATE(LEFT($U46,2),"L"),$R$63:$T$91,3,FALSE),0)+IF(AND($U46="O3/CP",$T$14=A$18),VLOOKUP("O3",$R$63:$T$91,3,FALSE)+VLOOKUP("CP",$R$63:$T$91,3,FALSE),0)+IF(AND($V46&lt;&gt;"",$V46&lt;&gt;"--",$V46&lt;&gt;"O3/CP",$V$14=A$18),IF(LEFT($V46,1)="P",VLOOKUP(CONCATENATE(LEFT($V46,2),"H"),$R$63:$T$91,3,FALSE),VLOOKUP($V46,$R$63:$T$91,3,FALSE)))+IF(AND($V46&lt;&gt;"",$V46&lt;&gt;"O3/CP",$V$15=A$18,MID($V46,4,1)="2",$V$15&lt;&gt;$V$14),VLOOKUP(CONCATENATE(LEFT($V46,2),"L"),$R$63:$T$91,3,FALSE),0)+IF(AND($V46="O3/CP",$V$14=A$18),VLOOKUP("O3",$R$63:$T$91,3,FALSE)+VLOOKUP("CP",$R$63:$T$91,3,FALSE),0)+IF(AND($W46&lt;&gt;"",$W46&lt;&gt;"--",$W46&lt;&gt;"O3/CP",$W$14=A$18),IF(LEFT($W46,1)="P",VLOOKUP(CONCATENATE(LEFT($W46,2),"H"),$R$63:$T$91,3,FALSE),VLOOKUP($W46,$R$63:$T$91,3,FALSE)))+IF(AND($W46&lt;&gt;"",$W46&lt;&gt;"O3/CP",$W$15=A$18,MID($W46,4,1)="2",$W$15&lt;&gt;$W$14),VLOOKUP(CONCATENATE(LEFT($W46,2),"L"),$R$63:$T$91,3,FALSE),0)+IF(AND($W46="O3/CP",$W$14=A$18),VLOOKUP("O3",$R$63:$T$91,3,FALSE)+VLOOKUP("CP",$R$63:$T$91,3,FALSE),0)+IF(AND($X46&lt;&gt;"",$X46&lt;&gt;"--",$X46&lt;&gt;"O3/CP",$X$14=A$18),IF(LEFT($X46,1)="P",VLOOKUP(CONCATENATE(LEFT($X46,2),"H"),$R$63:$T$91,3,FALSE),VLOOKUP($X46,$R$63:$T$91,3,FALSE)))+IF(AND($X46&lt;&gt;"",$X46&lt;&gt;"O3/CP",$X$15=A$18,MID($X46,4,1)="2",$X$15&lt;&gt;$X$14),VLOOKUP(CONCATENATE(LEFT($X46,2),"L"),$R$63:$T$91,3,FALSE),0)+IF(AND($X46="O3/CP",$X$14=A$18),VLOOKUP("O3",$R$63:$T$91,3,FALSE)+VLOOKUP("CP",$R$63:$T$91,3,FALSE),0)+IF(AND($Y46&lt;&gt;"",$Y46&lt;&gt;"--",$Y46&lt;&gt;"O3/CP",$Y$14=A$18),IF(LEFT($Y46,1)="P",VLOOKUP(CONCATENATE(LEFT($Y46,2),"H"),$R$63:$T$91,3,FALSE),VLOOKUP($Y46,$R$63:$T$91,3,FALSE)))+IF(AND($Y46&lt;&gt;"",$Y46&lt;&gt;"O3/CP",$Y$15=A$18,MID($Y46,4,1)="2",$Y$15&lt;&gt;$Y$14),VLOOKUP(CONCATENATE(LEFT($Y46,2),"L"),$R$63:$T$91,3,FALSE),0)+IF(AND($Y46="O3/CP",$Y$14=A$18),VLOOKUP("O3",$R$63:$T$91,3,FALSE)+VLOOKUP("CP",$R$63:$T$91,3,FALSE),0)+IF(AND($K$6="CE",'[3]Supply Attribution'!$G$20=A$18),LEFT($S$90,2),0)+IF(AND($X$86&lt;&gt;"Not Set",$X$87=A$18),$X$86,0)</f>
        <v>0</v>
      </c>
      <c r="B46" s="269">
        <f>IF(AND($K46&lt;&gt;"",$K46&lt;&gt;"--",$K46&lt;&gt;"O3/CP",$K$14=B$18),IF(LEFT($K46,1)="P",VLOOKUP(CONCATENATE(LEFT($K46,2),"H"),$R$63:$T$91,3,FALSE),VLOOKUP($K46,$R$63:$T$91,3,FALSE)))+IF(AND($K46&lt;&gt;"",$K46&lt;&gt;"O3/CP",$K$15=B$18,MID($K46,4,1)="2",$K$15&lt;&gt;$K$14),VLOOKUP(CONCATENATE(LEFT($K46,2),"L"),$R$63:$T$91,3,FALSE),0)+IF(AND($K46="O3/CP",$K$14=B$18),VLOOKUP("O3",$R$63:$T$91,3,FALSE)+VLOOKUP("CP",$R$63:$T$91,3,FALSE),0)+IF(AND($L46&lt;&gt;"",$L46&lt;&gt;"--",$L46&lt;&gt;"O3/CP",$L$14=B$18),IF(LEFT($L46,1)="P",VLOOKUP(CONCATENATE(LEFT($L46,2),"H"),$R$63:$T$91,3,FALSE),VLOOKUP($L46,$R$63:$T$91,3,FALSE)))+IF(AND($L46&lt;&gt;"",$L46&lt;&gt;"O3/CP",$L$15=B$18,MID($L46,4,1)="2",$L$15&lt;&gt;$L$14),VLOOKUP(CONCATENATE(LEFT($L46,2),"L"),$R$63:$T$91,3,FALSE),0)+IF(AND($L46="O3/CP",$L$14=B$18),VLOOKUP("O3",$R$63:$T$91,3,FALSE)+VLOOKUP("CP",$R$63:$T$91,3,FALSE),0)+IF(AND($M46&lt;&gt;"",$M46&lt;&gt;"--",$M46&lt;&gt;"O3/CP",$M$14=B$18),IF(LEFT($M46,1)="P",VLOOKUP(CONCATENATE(LEFT($M46,2),"H"),$R$63:$T$91,3,FALSE),VLOOKUP($M46,$R$63:$T$91,3,FALSE)))+IF(AND($M46&lt;&gt;"",$M46&lt;&gt;"O3/CP",$M$15=B$18,MID($M46,4,1)="2",$M$15&lt;&gt;$M$14),VLOOKUP(CONCATENATE(LEFT($M46,2),"L"),$R$63:$T$91,3,FALSE),0)+IF(AND($M46="O3/CP",$M$14=B$18),VLOOKUP("O3",$R$63:$T$91,3,FALSE)+VLOOKUP("CP",$R$63:$T$91,3,FALSE),0)+IF(AND($N46&lt;&gt;"",$N46&lt;&gt;"--",$N46&lt;&gt;"O3/CP",$N$14=B$18),IF(LEFT($N46,1)="P",VLOOKUP(CONCATENATE(LEFT($N46,2),"H"),$R$63:$T$91,3,FALSE),VLOOKUP($N46,$R$63:$T$91,3,FALSE)))+IF(AND($N46&lt;&gt;"",$N46&lt;&gt;"O3/CP",$N$15=B$18,MID($N46,4,1)="2",$N$15&lt;&gt;$N$14),VLOOKUP(CONCATENATE(LEFT($N46,2),"L"),$R$63:$T$91,3,FALSE),0)+IF(AND($N46="O3/CP",$N$14=B$18),VLOOKUP("O3",$R$63:$T$91,3,FALSE)+VLOOKUP("CP",$R$63:$T$91,3,FALSE),0)+IF(AND($O46&lt;&gt;"",$O46&lt;&gt;"--",$O46&lt;&gt;"O3/CP",$O$14=B$18),IF(LEFT($O46,1)="P",VLOOKUP(CONCATENATE(LEFT($O46,2),"H"),$R$63:$T$91,3,FALSE),VLOOKUP($O46,$R$63:$T$91,3,FALSE)))+IF(AND($O46&lt;&gt;"",$O46&lt;&gt;"O3/CP",$O$15=B$18,MID($O46,4,1)="2",$O$15&lt;&gt;$O$14),VLOOKUP(CONCATENATE(LEFT($O46,2),"L"),$R$63:$T$91,3,FALSE),0)+IF(AND($O46="O3/CP",$O$14=B$18),VLOOKUP("O3",$R$63:$T$91,3,FALSE)+VLOOKUP("CP",$R$63:$T$91,3,FALSE),0)+IF(AND($P46&lt;&gt;"",$P46&lt;&gt;"--",$P46&lt;&gt;"O3/CP",$P$14=B$18),IF(LEFT($P46,1)="P",VLOOKUP(CONCATENATE(LEFT($P46,2),"H"),$R$63:$T$91,3,FALSE),VLOOKUP($P46,$R$63:$T$91,3,FALSE)))+IF(AND($P46&lt;&gt;"",$P46&lt;&gt;"O3/CP",$P$15=B$18,MID($P46,4,1)="2",$P$15&lt;&gt;$P$14),VLOOKUP(CONCATENATE(LEFT($P46,2),"L"),$R$63:$T$91,3,FALSE),0)+IF(AND($P46="O3/CP",$P$14=B$18),VLOOKUP("O3",$R$63:$T$91,3,FALSE)+VLOOKUP("CP",$R$63:$T$91,3,FALSE),0)+IF(AND($Q46&lt;&gt;"",$Q46&lt;&gt;"--",$Q46&lt;&gt;"O3/CP",$Q$14=B$18),IF(LEFT($Q46,1)="P",VLOOKUP(CONCATENATE(LEFT($Q46,2),"H"),$R$63:$T$91,3,FALSE),VLOOKUP($Q46,$R$63:$T$91,3,FALSE)))+IF(AND($Q46&lt;&gt;"",$Q46&lt;&gt;"O3/CP",$Q$15=B$18,MID($Q46,4,1)="2",$Q$15&lt;&gt;$Q$14),VLOOKUP(CONCATENATE(LEFT($Q46,2),"L"),$R$63:$T$91,3,FALSE),0)+IF(AND($Q46="O3/CP",$Q$14=B$18),VLOOKUP("O3",$R$63:$T$91,3,FALSE)+VLOOKUP("CP",$R$63:$T$91,3,FALSE),0)+IF(AND($R46&lt;&gt;"",$R46&lt;&gt;"--",$R46&lt;&gt;"O3/CP",$R$14=B$18),IF(LEFT($R46,1)="P",VLOOKUP(CONCATENATE(LEFT($R46,2),"H"),$R$63:$T$91,3,FALSE),VLOOKUP($R46,$R$63:$T$91,3,FALSE)))+IF(AND($R46&lt;&gt;"",$R46&lt;&gt;"O3/CP",$R$15=B$18,MID($R46,4,1)="2",$R$15&lt;&gt;$R$14),VLOOKUP(CONCATENATE(LEFT($R46,2),"L"),$R$63:$T$91,3,FALSE),0)+IF(AND($R46="O3/CP",$R$14=B$18),VLOOKUP("O3",$R$63:$T$91,3,FALSE)+VLOOKUP("CP",$R$63:$T$91,3,FALSE),0)+IF(AND($S46&lt;&gt;"",$S46&lt;&gt;"--",$S46&lt;&gt;"O3/CP",$S$14=B$18),IF(LEFT($S46,1)="P",VLOOKUP(CONCATENATE(LEFT($S46,2),"H"),$R$63:$T$91,3,FALSE),VLOOKUP($S46,$R$63:$T$91,3,FALSE)))+IF(AND($S46&lt;&gt;"",$S46&lt;&gt;"O3/CP",$S$15=B$18,MID($S46,4,1)="2",$S$15&lt;&gt;$S$14),VLOOKUP(CONCATENATE(LEFT($S46,2),"L"),$R$63:$T$91,3,FALSE),0)+IF(AND($S46="O3/CP",$S$14=B$18),VLOOKUP("O3",$R$63:$T$91,3,FALSE)+VLOOKUP("CP",$R$63:$T$91,3,FALSE),0)+IF(AND($T46&lt;&gt;"",$T46&lt;&gt;"--",$T46&lt;&gt;"O3/CP",$T$14=B$18),IF(LEFT($T46,1)="P",VLOOKUP(CONCATENATE(LEFT($T46,2),"H"),$R$63:$T$91,3,FALSE),VLOOKUP($T46,$R$63:$T$91,3,FALSE)))+IF(AND($T46&lt;&gt;"",$T46&lt;&gt;"O3/CP",$T$15=B$18,MID($T46,4,1)="2",$T$15&lt;&gt;$T$14),VLOOKUP(CONCATENATE(LEFT($T46,2),"L"),$R$63:$T$91,3,FALSE),0)+IF(AND($T46="O3/CP",$T$14=B$18),VLOOKUP("O3",$R$63:$T$91,3,FALSE)+VLOOKUP("CP",$R$63:$T$91,3,FALSE),0)+IF(AND($U46&lt;&gt;"",$U46&lt;&gt;"--",$U46&lt;&gt;"O3/CP",$U$14=B$18),IF(LEFT($U46,1)="P",VLOOKUP(CONCATENATE(LEFT($U46,2),"H"),$R$63:$T$91,3,FALSE),VLOOKUP($U46,$R$63:$T$91,3,FALSE)))+IF(AND($U46&lt;&gt;"",$U46&lt;&gt;"O3/CP",$U$15=B$18,MID($U46,4,1)="2",$U$15&lt;&gt;$U$14),VLOOKUP(CONCATENATE(LEFT($U46,2),"L"),$R$63:$T$91,3,FALSE),0)+IF(AND($U46="O3/CP",$T$14=B$18),VLOOKUP("O3",$R$63:$T$91,3,FALSE)+VLOOKUP("CP",$R$63:$T$91,3,FALSE),0)+IF(AND($V46&lt;&gt;"",$V46&lt;&gt;"--",$V46&lt;&gt;"O3/CP",$V$14=B$18),IF(LEFT($V46,1)="P",VLOOKUP(CONCATENATE(LEFT($V46,2),"H"),$R$63:$T$91,3,FALSE),VLOOKUP($V46,$R$63:$T$91,3,FALSE)))+IF(AND($V46&lt;&gt;"",$V46&lt;&gt;"O3/CP",$V$15=B$18,MID($V46,4,1)="2",$V$15&lt;&gt;$V$14),VLOOKUP(CONCATENATE(LEFT($V46,2),"L"),$R$63:$T$91,3,FALSE),0)+IF(AND($V46="O3/CP",$V$14=B$18),VLOOKUP("O3",$R$63:$T$91,3,FALSE)+VLOOKUP("CP",$R$63:$T$91,3,FALSE),0)+IF(AND($W46&lt;&gt;"",$W46&lt;&gt;"--",$W46&lt;&gt;"O3/CP",$W$14=B$18),IF(LEFT($W46,1)="P",VLOOKUP(CONCATENATE(LEFT($W46,2),"H"),$R$63:$T$91,3,FALSE),VLOOKUP($W46,$R$63:$T$91,3,FALSE)))+IF(AND($W46&lt;&gt;"",$W46&lt;&gt;"O3/CP",$W$15=B$18,MID($W46,4,1)="2",$W$15&lt;&gt;$W$14),VLOOKUP(CONCATENATE(LEFT($W46,2),"L"),$R$63:$T$91,3,FALSE),0)+IF(AND($W46="O3/CP",$W$14=B$18),VLOOKUP("O3",$R$63:$T$91,3,FALSE)+VLOOKUP("CP",$R$63:$T$91,3,FALSE),0)+IF(AND($X46&lt;&gt;"",$X46&lt;&gt;"--",$X46&lt;&gt;"O3/CP",$X$14=B$18),IF(LEFT($X46,1)="P",VLOOKUP(CONCATENATE(LEFT($X46,2),"H"),$R$63:$T$91,3,FALSE),VLOOKUP($X46,$R$63:$T$91,3,FALSE)))+IF(AND($X46&lt;&gt;"",$X46&lt;&gt;"O3/CP",$X$15=B$18,MID($X46,4,1)="2",$X$15&lt;&gt;$X$14),VLOOKUP(CONCATENATE(LEFT($X46,2),"L"),$R$63:$T$91,3,FALSE),0)+IF(AND($X46="O3/CP",$X$14=B$18),VLOOKUP("O3",$R$63:$T$91,3,FALSE)+VLOOKUP("CP",$R$63:$T$91,3,FALSE),0)+IF(AND($Y46&lt;&gt;"",$Y46&lt;&gt;"--",$Y46&lt;&gt;"O3/CP",$Y$14=B$18),IF(LEFT($Y46,1)="P",VLOOKUP(CONCATENATE(LEFT($Y46,2),"H"),$R$63:$T$91,3,FALSE),VLOOKUP($Y46,$R$63:$T$91,3,FALSE)))+IF(AND($Y46&lt;&gt;"",$Y46&lt;&gt;"O3/CP",$Y$15=B$18,MID($Y46,4,1)="2",$Y$15&lt;&gt;$Y$14),VLOOKUP(CONCATENATE(LEFT($Y46,2),"L"),$R$63:$T$91,3,FALSE),0)+IF(AND($Y46="O3/CP",$Y$14=B$18),VLOOKUP("O3",$R$63:$T$91,3,FALSE)+VLOOKUP("CP",$R$63:$T$91,3,FALSE),0)+IF(AND($K$6="CE",'[3]Supply Attribution'!$G$20=B$18),LEFT($S$90,2),0)+IF(AND($X$86&lt;&gt;"Not Set",$X$87=B$18),$X$86,0)</f>
        <v>0</v>
      </c>
      <c r="C46" s="269">
        <f>IF(AND($K46&lt;&gt;"",$K46&lt;&gt;"--",$K46&lt;&gt;"O3/CP",$K$14=C$18),IF(LEFT($K46,1)="P",VLOOKUP(CONCATENATE(LEFT($K46,2),"H"),$R$63:$T$91,3,FALSE),VLOOKUP($K46,$R$63:$T$91,3,FALSE)))+IF(AND($K46&lt;&gt;"",$K46&lt;&gt;"O3/CP",$K$15=C$18,MID($K46,4,1)="2",$K$15&lt;&gt;$K$14),VLOOKUP(CONCATENATE(LEFT($K46,2),"L"),$R$63:$T$91,3,FALSE),0)+IF(AND($K46="O3/CP",$K$14=C$18),VLOOKUP("O3",$R$63:$T$91,3,FALSE)+VLOOKUP("CP",$R$63:$T$91,3,FALSE),0)+IF(AND($L46&lt;&gt;"",$L46&lt;&gt;"--",$L46&lt;&gt;"O3/CP",$L$14=C$18),IF(LEFT($L46,1)="P",VLOOKUP(CONCATENATE(LEFT($L46,2),"H"),$R$63:$T$91,3,FALSE),VLOOKUP($L46,$R$63:$T$91,3,FALSE)))+IF(AND($L46&lt;&gt;"",$L46&lt;&gt;"O3/CP",$L$15=C$18,MID($L46,4,1)="2",$L$15&lt;&gt;$L$14),VLOOKUP(CONCATENATE(LEFT($L46,2),"L"),$R$63:$T$91,3,FALSE),0)+IF(AND($L46="O3/CP",$L$14=C$18),VLOOKUP("O3",$R$63:$T$91,3,FALSE)+VLOOKUP("CP",$R$63:$T$91,3,FALSE),0)+IF(AND($M46&lt;&gt;"",$M46&lt;&gt;"--",$M46&lt;&gt;"O3/CP",$M$14=C$18),IF(LEFT($M46,1)="P",VLOOKUP(CONCATENATE(LEFT($M46,2),"H"),$R$63:$T$91,3,FALSE),VLOOKUP($M46,$R$63:$T$91,3,FALSE)))+IF(AND($M46&lt;&gt;"",$M46&lt;&gt;"O3/CP",$M$15=C$18,MID($M46,4,1)="2",$M$15&lt;&gt;$M$14),VLOOKUP(CONCATENATE(LEFT($M46,2),"L"),$R$63:$T$91,3,FALSE),0)+IF(AND($M46="O3/CP",$M$14=C$18),VLOOKUP("O3",$R$63:$T$91,3,FALSE)+VLOOKUP("CP",$R$63:$T$91,3,FALSE),0)+IF(AND($N46&lt;&gt;"",$N46&lt;&gt;"--",$N46&lt;&gt;"O3/CP",$N$14=C$18),IF(LEFT($N46,1)="P",VLOOKUP(CONCATENATE(LEFT($N46,2),"H"),$R$63:$T$91,3,FALSE),VLOOKUP($N46,$R$63:$T$91,3,FALSE)))+IF(AND($N46&lt;&gt;"",$N46&lt;&gt;"O3/CP",$N$15=C$18,MID($N46,4,1)="2",$N$15&lt;&gt;$N$14),VLOOKUP(CONCATENATE(LEFT($N46,2),"L"),$R$63:$T$91,3,FALSE),0)+IF(AND($N46="O3/CP",$N$14=C$18),VLOOKUP("O3",$R$63:$T$91,3,FALSE)+VLOOKUP("CP",$R$63:$T$91,3,FALSE),0)+IF(AND($O46&lt;&gt;"",$O46&lt;&gt;"--",$O46&lt;&gt;"O3/CP",$O$14=C$18),IF(LEFT($O46,1)="P",VLOOKUP(CONCATENATE(LEFT($O46,2),"H"),$R$63:$T$91,3,FALSE),VLOOKUP($O46,$R$63:$T$91,3,FALSE)))+IF(AND($O46&lt;&gt;"",$O46&lt;&gt;"O3/CP",$O$15=C$18,MID($O46,4,1)="2",$O$15&lt;&gt;$O$14),VLOOKUP(CONCATENATE(LEFT($O46,2),"L"),$R$63:$T$91,3,FALSE),0)+IF(AND($O46="O3/CP",$O$14=C$18),VLOOKUP("O3",$R$63:$T$91,3,FALSE)+VLOOKUP("CP",$R$63:$T$91,3,FALSE),0)+IF(AND($P46&lt;&gt;"",$P46&lt;&gt;"--",$P46&lt;&gt;"O3/CP",$P$14=C$18),IF(LEFT($P46,1)="P",VLOOKUP(CONCATENATE(LEFT($P46,2),"H"),$R$63:$T$91,3,FALSE),VLOOKUP($P46,$R$63:$T$91,3,FALSE)))+IF(AND($P46&lt;&gt;"",$P46&lt;&gt;"O3/CP",$P$15=C$18,MID($P46,4,1)="2",$P$15&lt;&gt;$P$14),VLOOKUP(CONCATENATE(LEFT($P46,2),"L"),$R$63:$T$91,3,FALSE),0)+IF(AND($P46="O3/CP",$P$14=C$18),VLOOKUP("O3",$R$63:$T$91,3,FALSE)+VLOOKUP("CP",$R$63:$T$91,3,FALSE),0)+IF(AND($Q46&lt;&gt;"",$Q46&lt;&gt;"--",$Q46&lt;&gt;"O3/CP",$Q$14=C$18),IF(LEFT($Q46,1)="P",VLOOKUP(CONCATENATE(LEFT($Q46,2),"H"),$R$63:$T$91,3,FALSE),VLOOKUP($Q46,$R$63:$T$91,3,FALSE)))+IF(AND($Q46&lt;&gt;"",$Q46&lt;&gt;"O3/CP",$Q$15=C$18,MID($Q46,4,1)="2",$Q$15&lt;&gt;$Q$14),VLOOKUP(CONCATENATE(LEFT($Q46,2),"L"),$R$63:$T$91,3,FALSE),0)+IF(AND($Q46="O3/CP",$Q$14=C$18),VLOOKUP("O3",$R$63:$T$91,3,FALSE)+VLOOKUP("CP",$R$63:$T$91,3,FALSE),0)+IF(AND($R46&lt;&gt;"",$R46&lt;&gt;"--",$R46&lt;&gt;"O3/CP",$R$14=C$18),IF(LEFT($R46,1)="P",VLOOKUP(CONCATENATE(LEFT($R46,2),"H"),$R$63:$T$91,3,FALSE),VLOOKUP($R46,$R$63:$T$91,3,FALSE)))+IF(AND($R46&lt;&gt;"",$R46&lt;&gt;"O3/CP",$R$15=C$18,MID($R46,4,1)="2",$R$15&lt;&gt;$R$14),VLOOKUP(CONCATENATE(LEFT($R46,2),"L"),$R$63:$T$91,3,FALSE),0)+IF(AND($R46="O3/CP",$R$14=C$18),VLOOKUP("O3",$R$63:$T$91,3,FALSE)+VLOOKUP("CP",$R$63:$T$91,3,FALSE),0)+IF(AND($S46&lt;&gt;"",$S46&lt;&gt;"--",$S46&lt;&gt;"O3/CP",$S$14=C$18),IF(LEFT($S46,1)="P",VLOOKUP(CONCATENATE(LEFT($S46,2),"H"),$R$63:$T$91,3,FALSE),VLOOKUP($S46,$R$63:$T$91,3,FALSE)))+IF(AND($S46&lt;&gt;"",$S46&lt;&gt;"O3/CP",$S$15=C$18,MID($S46,4,1)="2",$S$15&lt;&gt;$S$14),VLOOKUP(CONCATENATE(LEFT($S46,2),"L"),$R$63:$T$91,3,FALSE),0)+IF(AND($S46="O3/CP",$S$14=C$18),VLOOKUP("O3",$R$63:$T$91,3,FALSE)+VLOOKUP("CP",$R$63:$T$91,3,FALSE),0)+IF(AND($T46&lt;&gt;"",$T46&lt;&gt;"--",$T46&lt;&gt;"O3/CP",$T$14=C$18),IF(LEFT($T46,1)="P",VLOOKUP(CONCATENATE(LEFT($T46,2),"H"),$R$63:$T$91,3,FALSE),VLOOKUP($T46,$R$63:$T$91,3,FALSE)))+IF(AND($T46&lt;&gt;"",$T46&lt;&gt;"O3/CP",$T$15=C$18,MID($T46,4,1)="2",$T$15&lt;&gt;$T$14),VLOOKUP(CONCATENATE(LEFT($T46,2),"L"),$R$63:$T$91,3,FALSE),0)+IF(AND($T46="O3/CP",$T$14=C$18),VLOOKUP("O3",$R$63:$T$91,3,FALSE)+VLOOKUP("CP",$R$63:$T$91,3,FALSE),0)+IF(AND($U46&lt;&gt;"",$U46&lt;&gt;"--",$U46&lt;&gt;"O3/CP",$U$14=C$18),IF(LEFT($U46,1)="P",VLOOKUP(CONCATENATE(LEFT($U46,2),"H"),$R$63:$T$91,3,FALSE),VLOOKUP($U46,$R$63:$T$91,3,FALSE)))+IF(AND($U46&lt;&gt;"",$U46&lt;&gt;"O3/CP",$U$15=C$18,MID($U46,4,1)="2",$U$15&lt;&gt;$U$14),VLOOKUP(CONCATENATE(LEFT($U46,2),"L"),$R$63:$T$91,3,FALSE),0)+IF(AND($U46="O3/CP",$T$14=C$18),VLOOKUP("O3",$R$63:$T$91,3,FALSE)+VLOOKUP("CP",$R$63:$T$91,3,FALSE),0)+IF(AND($V46&lt;&gt;"",$V46&lt;&gt;"--",$V46&lt;&gt;"O3/CP",$V$14=C$18),IF(LEFT($V46,1)="P",VLOOKUP(CONCATENATE(LEFT($V46,2),"H"),$R$63:$T$91,3,FALSE),VLOOKUP($V46,$R$63:$T$91,3,FALSE)))+IF(AND($V46&lt;&gt;"",$V46&lt;&gt;"O3/CP",$V$15=C$18,MID($V46,4,1)="2",$V$15&lt;&gt;$V$14),VLOOKUP(CONCATENATE(LEFT($V46,2),"L"),$R$63:$T$91,3,FALSE),0)+IF(AND($V46="O3/CP",$V$14=C$18),VLOOKUP("O3",$R$63:$T$91,3,FALSE)+VLOOKUP("CP",$R$63:$T$91,3,FALSE),0)+IF(AND($W46&lt;&gt;"",$W46&lt;&gt;"--",$W46&lt;&gt;"O3/CP",$W$14=C$18),IF(LEFT($W46,1)="P",VLOOKUP(CONCATENATE(LEFT($W46,2),"H"),$R$63:$T$91,3,FALSE),VLOOKUP($W46,$R$63:$T$91,3,FALSE)))+IF(AND($W46&lt;&gt;"",$W46&lt;&gt;"O3/CP",$W$15=C$18,MID($W46,4,1)="2",$W$15&lt;&gt;$W$14),VLOOKUP(CONCATENATE(LEFT($W46,2),"L"),$R$63:$T$91,3,FALSE),0)+IF(AND($W46="O3/CP",$W$14=C$18),VLOOKUP("O3",$R$63:$T$91,3,FALSE)+VLOOKUP("CP",$R$63:$T$91,3,FALSE),0)+IF(AND($X46&lt;&gt;"",$X46&lt;&gt;"--",$X46&lt;&gt;"O3/CP",$X$14=C$18),IF(LEFT($X46,1)="P",VLOOKUP(CONCATENATE(LEFT($X46,2),"H"),$R$63:$T$91,3,FALSE),VLOOKUP($X46,$R$63:$T$91,3,FALSE)))+IF(AND($X46&lt;&gt;"",$X46&lt;&gt;"O3/CP",$X$15=C$18,MID($X46,4,1)="2",$X$15&lt;&gt;$X$14),VLOOKUP(CONCATENATE(LEFT($X46,2),"L"),$R$63:$T$91,3,FALSE),0)+IF(AND($X46="O3/CP",$X$14=C$18),VLOOKUP("O3",$R$63:$T$91,3,FALSE)+VLOOKUP("CP",$R$63:$T$91,3,FALSE),0)+IF(AND($Y46&lt;&gt;"",$Y46&lt;&gt;"--",$Y46&lt;&gt;"O3/CP",$Y$14=C$18),IF(LEFT($Y46,1)="P",VLOOKUP(CONCATENATE(LEFT($Y46,2),"H"),$R$63:$T$91,3,FALSE),VLOOKUP($Y46,$R$63:$T$91,3,FALSE)))+IF(AND($Y46&lt;&gt;"",$Y46&lt;&gt;"O3/CP",$Y$15=C$18,MID($Y46,4,1)="2",$Y$15&lt;&gt;$Y$14),VLOOKUP(CONCATENATE(LEFT($Y46,2),"L"),$R$63:$T$91,3,FALSE),0)+IF(AND($Y46="O3/CP",$Y$14=C$18),VLOOKUP("O3",$R$63:$T$91,3,FALSE)+VLOOKUP("CP",$R$63:$T$91,3,FALSE),0)+IF(AND($K$6="CE",'[3]Supply Attribution'!$G$20=C$18),LEFT($S$90,2),0)+IF(AND($X$86&lt;&gt;"Not Set",$X$87=C$18),$X$86,0)</f>
        <v>0</v>
      </c>
      <c r="D46" s="269">
        <f>IF(AND($K46&lt;&gt;"",$K46&lt;&gt;"--",$K46&lt;&gt;"O3/CP",$K$14=D$18),IF(LEFT($K46,1)="P",VLOOKUP(CONCATENATE(LEFT($K46,2),"H"),$R$63:$T$91,3,FALSE),VLOOKUP($K46,$R$63:$T$91,3,FALSE)))+IF(AND($K46&lt;&gt;"",$K46&lt;&gt;"O3/CP",$K$15=D$18,MID($K46,4,1)="2",$K$15&lt;&gt;$K$14),VLOOKUP(CONCATENATE(LEFT($K46,2),"L"),$R$63:$T$91,3,FALSE),0)+IF(AND($K46="O3/CP",$K$14=D$18),VLOOKUP("O3",$R$63:$T$91,3,FALSE)+VLOOKUP("CP",$R$63:$T$91,3,FALSE),0)+IF(AND($L46&lt;&gt;"",$L46&lt;&gt;"--",$L46&lt;&gt;"O3/CP",$L$14=D$18),IF(LEFT($L46,1)="P",VLOOKUP(CONCATENATE(LEFT($L46,2),"H"),$R$63:$T$91,3,FALSE),VLOOKUP($L46,$R$63:$T$91,3,FALSE)))+IF(AND($L46&lt;&gt;"",$L46&lt;&gt;"O3/CP",$L$15=D$18,MID($L46,4,1)="2",$L$15&lt;&gt;$L$14),VLOOKUP(CONCATENATE(LEFT($L46,2),"L"),$R$63:$T$91,3,FALSE),0)+IF(AND($L46="O3/CP",$L$14=D$18),VLOOKUP("O3",$R$63:$T$91,3,FALSE)+VLOOKUP("CP",$R$63:$T$91,3,FALSE),0)+IF(AND($M46&lt;&gt;"",$M46&lt;&gt;"--",$M46&lt;&gt;"O3/CP",$M$14=D$18),IF(LEFT($M46,1)="P",VLOOKUP(CONCATENATE(LEFT($M46,2),"H"),$R$63:$T$91,3,FALSE),VLOOKUP($M46,$R$63:$T$91,3,FALSE)))+IF(AND($M46&lt;&gt;"",$M46&lt;&gt;"O3/CP",$M$15=D$18,MID($M46,4,1)="2",$M$15&lt;&gt;$M$14),VLOOKUP(CONCATENATE(LEFT($M46,2),"L"),$R$63:$T$91,3,FALSE),0)+IF(AND($M46="O3/CP",$M$14=D$18),VLOOKUP("O3",$R$63:$T$91,3,FALSE)+VLOOKUP("CP",$R$63:$T$91,3,FALSE),0)+IF(AND($N46&lt;&gt;"",$N46&lt;&gt;"--",$N46&lt;&gt;"O3/CP",$N$14=D$18),IF(LEFT($N46,1)="P",VLOOKUP(CONCATENATE(LEFT($N46,2),"H"),$R$63:$T$91,3,FALSE),VLOOKUP($N46,$R$63:$T$91,3,FALSE)))+IF(AND($N46&lt;&gt;"",$N46&lt;&gt;"O3/CP",$N$15=D$18,MID($N46,4,1)="2",$N$15&lt;&gt;$N$14),VLOOKUP(CONCATENATE(LEFT($N46,2),"L"),$R$63:$T$91,3,FALSE),0)+IF(AND($N46="O3/CP",$N$14=D$18),VLOOKUP("O3",$R$63:$T$91,3,FALSE)+VLOOKUP("CP",$R$63:$T$91,3,FALSE),0)+IF(AND($O46&lt;&gt;"",$O46&lt;&gt;"--",$O46&lt;&gt;"O3/CP",$O$14=D$18),IF(LEFT($O46,1)="P",VLOOKUP(CONCATENATE(LEFT($O46,2),"H"),$R$63:$T$91,3,FALSE),VLOOKUP($O46,$R$63:$T$91,3,FALSE)))+IF(AND($O46&lt;&gt;"",$O46&lt;&gt;"O3/CP",$O$15=D$18,MID($O46,4,1)="2",$O$15&lt;&gt;$O$14),VLOOKUP(CONCATENATE(LEFT($O46,2),"L"),$R$63:$T$91,3,FALSE),0)+IF(AND($O46="O3/CP",$O$14=D$18),VLOOKUP("O3",$R$63:$T$91,3,FALSE)+VLOOKUP("CP",$R$63:$T$91,3,FALSE),0)+IF(AND($P46&lt;&gt;"",$P46&lt;&gt;"--",$P46&lt;&gt;"O3/CP",$P$14=D$18),IF(LEFT($P46,1)="P",VLOOKUP(CONCATENATE(LEFT($P46,2),"H"),$R$63:$T$91,3,FALSE),VLOOKUP($P46,$R$63:$T$91,3,FALSE)))+IF(AND($P46&lt;&gt;"",$P46&lt;&gt;"O3/CP",$P$15=D$18,MID($P46,4,1)="2",$P$15&lt;&gt;$P$14),VLOOKUP(CONCATENATE(LEFT($P46,2),"L"),$R$63:$T$91,3,FALSE),0)+IF(AND($P46="O3/CP",$P$14=D$18),VLOOKUP("O3",$R$63:$T$91,3,FALSE)+VLOOKUP("CP",$R$63:$T$91,3,FALSE),0)+IF(AND($Q46&lt;&gt;"",$Q46&lt;&gt;"--",$Q46&lt;&gt;"O3/CP",$Q$14=D$18),IF(LEFT($Q46,1)="P",VLOOKUP(CONCATENATE(LEFT($Q46,2),"H"),$R$63:$T$91,3,FALSE),VLOOKUP($Q46,$R$63:$T$91,3,FALSE)))+IF(AND($Q46&lt;&gt;"",$Q46&lt;&gt;"O3/CP",$Q$15=D$18,MID($Q46,4,1)="2",$Q$15&lt;&gt;$Q$14),VLOOKUP(CONCATENATE(LEFT($Q46,2),"L"),$R$63:$T$91,3,FALSE),0)+IF(AND($Q46="O3/CP",$Q$14=D$18),VLOOKUP("O3",$R$63:$T$91,3,FALSE)+VLOOKUP("CP",$R$63:$T$91,3,FALSE),0)+IF(AND($R46&lt;&gt;"",$R46&lt;&gt;"--",$R46&lt;&gt;"O3/CP",$R$14=D$18),IF(LEFT($R46,1)="P",VLOOKUP(CONCATENATE(LEFT($R46,2),"H"),$R$63:$T$91,3,FALSE),VLOOKUP($R46,$R$63:$T$91,3,FALSE)))+IF(AND($R46&lt;&gt;"",$R46&lt;&gt;"O3/CP",$R$15=D$18,MID($R46,4,1)="2",$R$15&lt;&gt;$R$14),VLOOKUP(CONCATENATE(LEFT($R46,2),"L"),$R$63:$T$91,3,FALSE),0)+IF(AND($R46="O3/CP",$R$14=D$18),VLOOKUP("O3",$R$63:$T$91,3,FALSE)+VLOOKUP("CP",$R$63:$T$91,3,FALSE),0)+IF(AND($S46&lt;&gt;"",$S46&lt;&gt;"--",$S46&lt;&gt;"O3/CP",$S$14=D$18),IF(LEFT($S46,1)="P",VLOOKUP(CONCATENATE(LEFT($S46,2),"H"),$R$63:$T$91,3,FALSE),VLOOKUP($S46,$R$63:$T$91,3,FALSE)))+IF(AND($S46&lt;&gt;"",$S46&lt;&gt;"O3/CP",$S$15=D$18,MID($S46,4,1)="2",$S$15&lt;&gt;$S$14),VLOOKUP(CONCATENATE(LEFT($S46,2),"L"),$R$63:$T$91,3,FALSE),0)+IF(AND($S46="O3/CP",$S$14=D$18),VLOOKUP("O3",$R$63:$T$91,3,FALSE)+VLOOKUP("CP",$R$63:$T$91,3,FALSE),0)+IF(AND($T46&lt;&gt;"",$T46&lt;&gt;"--",$T46&lt;&gt;"O3/CP",$T$14=D$18),IF(LEFT($T46,1)="P",VLOOKUP(CONCATENATE(LEFT($T46,2),"H"),$R$63:$T$91,3,FALSE),VLOOKUP($T46,$R$63:$T$91,3,FALSE)))+IF(AND($T46&lt;&gt;"",$T46&lt;&gt;"O3/CP",$T$15=D$18,MID($T46,4,1)="2",$T$15&lt;&gt;$T$14),VLOOKUP(CONCATENATE(LEFT($T46,2),"L"),$R$63:$T$91,3,FALSE),0)+IF(AND($T46="O3/CP",$T$14=D$18),VLOOKUP("O3",$R$63:$T$91,3,FALSE)+VLOOKUP("CP",$R$63:$T$91,3,FALSE),0)+IF(AND($U46&lt;&gt;"",$U46&lt;&gt;"--",$U46&lt;&gt;"O3/CP",$U$14=D$18),IF(LEFT($U46,1)="P",VLOOKUP(CONCATENATE(LEFT($U46,2),"H"),$R$63:$T$91,3,FALSE),VLOOKUP($U46,$R$63:$T$91,3,FALSE)))+IF(AND($U46&lt;&gt;"",$U46&lt;&gt;"O3/CP",$U$15=D$18,MID($U46,4,1)="2",$U$15&lt;&gt;$U$14),VLOOKUP(CONCATENATE(LEFT($U46,2),"L"),$R$63:$T$91,3,FALSE),0)+IF(AND($U46="O3/CP",$T$14=D$18),VLOOKUP("O3",$R$63:$T$91,3,FALSE)+VLOOKUP("CP",$R$63:$T$91,3,FALSE),0)+IF(AND($V46&lt;&gt;"",$V46&lt;&gt;"--",$V46&lt;&gt;"O3/CP",$V$14=D$18),IF(LEFT($V46,1)="P",VLOOKUP(CONCATENATE(LEFT($V46,2),"H"),$R$63:$T$91,3,FALSE),VLOOKUP($V46,$R$63:$T$91,3,FALSE)))+IF(AND($V46&lt;&gt;"",$V46&lt;&gt;"O3/CP",$V$15=D$18,MID($V46,4,1)="2",$V$15&lt;&gt;$V$14),VLOOKUP(CONCATENATE(LEFT($V46,2),"L"),$R$63:$T$91,3,FALSE),0)+IF(AND($V46="O3/CP",$V$14=D$18),VLOOKUP("O3",$R$63:$T$91,3,FALSE)+VLOOKUP("CP",$R$63:$T$91,3,FALSE),0)+IF(AND($W46&lt;&gt;"",$W46&lt;&gt;"--",$W46&lt;&gt;"O3/CP",$W$14=D$18),IF(LEFT($W46,1)="P",VLOOKUP(CONCATENATE(LEFT($W46,2),"H"),$R$63:$T$91,3,FALSE),VLOOKUP($W46,$R$63:$T$91,3,FALSE)))+IF(AND($W46&lt;&gt;"",$W46&lt;&gt;"O3/CP",$W$15=D$18,MID($W46,4,1)="2",$W$15&lt;&gt;$W$14),VLOOKUP(CONCATENATE(LEFT($W46,2),"L"),$R$63:$T$91,3,FALSE),0)+IF(AND($W46="O3/CP",$W$14=D$18),VLOOKUP("O3",$R$63:$T$91,3,FALSE)+VLOOKUP("CP",$R$63:$T$91,3,FALSE),0)+IF(AND($X46&lt;&gt;"",$X46&lt;&gt;"--",$X46&lt;&gt;"O3/CP",$X$14=D$18),IF(LEFT($X46,1)="P",VLOOKUP(CONCATENATE(LEFT($X46,2),"H"),$R$63:$T$91,3,FALSE),VLOOKUP($X46,$R$63:$T$91,3,FALSE)))+IF(AND($X46&lt;&gt;"",$X46&lt;&gt;"O3/CP",$X$15=D$18,MID($X46,4,1)="2",$X$15&lt;&gt;$X$14),VLOOKUP(CONCATENATE(LEFT($X46,2),"L"),$R$63:$T$91,3,FALSE),0)+IF(AND($X46="O3/CP",$X$14=D$18),VLOOKUP("O3",$R$63:$T$91,3,FALSE)+VLOOKUP("CP",$R$63:$T$91,3,FALSE),0)+IF(AND($Y46&lt;&gt;"",$Y46&lt;&gt;"--",$Y46&lt;&gt;"O3/CP",$Y$14=D$18),IF(LEFT($Y46,1)="P",VLOOKUP(CONCATENATE(LEFT($Y46,2),"H"),$R$63:$T$91,3,FALSE),VLOOKUP($Y46,$R$63:$T$91,3,FALSE)))+IF(AND($Y46&lt;&gt;"",$Y46&lt;&gt;"O3/CP",$Y$15=D$18,MID($Y46,4,1)="2",$Y$15&lt;&gt;$Y$14),VLOOKUP(CONCATENATE(LEFT($Y46,2),"L"),$R$63:$T$91,3,FALSE),0)+IF(AND($Y46="O3/CP",$Y$14=D$18),VLOOKUP("O3",$R$63:$T$91,3,FALSE)+VLOOKUP("CP",$R$63:$T$91,3,FALSE),0)+IF(AND($K$6="CE",'[3]Supply Attribution'!$G$20=D$18),LEFT($S$90,2),0)+IF(AND($X$86&lt;&gt;"Not Set",$X$87=D$18),$X$86,0)</f>
        <v>0</v>
      </c>
      <c r="E46" s="269">
        <f>IF(AND($K46&lt;&gt;"",$K46&lt;&gt;"--",$K46&lt;&gt;"O3/CP",$K$14=E$18),IF(LEFT($K46,1)="P",VLOOKUP(CONCATENATE(LEFT($K46,2),"H"),$R$63:$T$91,3,FALSE),VLOOKUP($K46,$R$63:$T$91,3,FALSE)))+IF(AND($K46&lt;&gt;"",$K46&lt;&gt;"O3/CP",$K$15=E$18,MID($K46,4,1)="2",$K$15&lt;&gt;$K$14),VLOOKUP(CONCATENATE(LEFT($K46,2),"L"),$R$63:$T$91,3,FALSE),0)+IF(AND($K46="O3/CP",$K$14=E$18),VLOOKUP("O3",$R$63:$T$91,3,FALSE)+VLOOKUP("CP",$R$63:$T$91,3,FALSE),0)+IF(AND($L46&lt;&gt;"",$L46&lt;&gt;"--",$L46&lt;&gt;"O3/CP",$L$14=E$18),IF(LEFT($L46,1)="P",VLOOKUP(CONCATENATE(LEFT($L46,2),"H"),$R$63:$T$91,3,FALSE),VLOOKUP($L46,$R$63:$T$91,3,FALSE)))+IF(AND($L46&lt;&gt;"",$L46&lt;&gt;"O3/CP",$L$15=E$18,MID($L46,4,1)="2",$L$15&lt;&gt;$L$14),VLOOKUP(CONCATENATE(LEFT($L46,2),"L"),$R$63:$T$91,3,FALSE),0)+IF(AND($L46="O3/CP",$L$14=E$18),VLOOKUP("O3",$R$63:$T$91,3,FALSE)+VLOOKUP("CP",$R$63:$T$91,3,FALSE),0)+IF(AND($M46&lt;&gt;"",$M46&lt;&gt;"--",$M46&lt;&gt;"O3/CP",$M$14=E$18),IF(LEFT($M46,1)="P",VLOOKUP(CONCATENATE(LEFT($M46,2),"H"),$R$63:$T$91,3,FALSE),VLOOKUP($M46,$R$63:$T$91,3,FALSE)))+IF(AND($M46&lt;&gt;"",$M46&lt;&gt;"O3/CP",$M$15=E$18,MID($M46,4,1)="2",$M$15&lt;&gt;$M$14),VLOOKUP(CONCATENATE(LEFT($M46,2),"L"),$R$63:$T$91,3,FALSE),0)+IF(AND($M46="O3/CP",$M$14=E$18),VLOOKUP("O3",$R$63:$T$91,3,FALSE)+VLOOKUP("CP",$R$63:$T$91,3,FALSE),0)+IF(AND($N46&lt;&gt;"",$N46&lt;&gt;"--",$N46&lt;&gt;"O3/CP",$N$14=E$18),IF(LEFT($N46,1)="P",VLOOKUP(CONCATENATE(LEFT($N46,2),"H"),$R$63:$T$91,3,FALSE),VLOOKUP($N46,$R$63:$T$91,3,FALSE)))+IF(AND($N46&lt;&gt;"",$N46&lt;&gt;"O3/CP",$N$15=E$18,MID($N46,4,1)="2",$N$15&lt;&gt;$N$14),VLOOKUP(CONCATENATE(LEFT($N46,2),"L"),$R$63:$T$91,3,FALSE),0)+IF(AND($N46="O3/CP",$N$14=E$18),VLOOKUP("O3",$R$63:$T$91,3,FALSE)+VLOOKUP("CP",$R$63:$T$91,3,FALSE),0)+IF(AND($O46&lt;&gt;"",$O46&lt;&gt;"--",$O46&lt;&gt;"O3/CP",$O$14=E$18),IF(LEFT($O46,1)="P",VLOOKUP(CONCATENATE(LEFT($O46,2),"H"),$R$63:$T$91,3,FALSE),VLOOKUP($O46,$R$63:$T$91,3,FALSE)))+IF(AND($O46&lt;&gt;"",$O46&lt;&gt;"O3/CP",$O$15=E$18,MID($O46,4,1)="2",$O$15&lt;&gt;$O$14),VLOOKUP(CONCATENATE(LEFT($O46,2),"L"),$R$63:$T$91,3,FALSE),0)+IF(AND($O46="O3/CP",$O$14=E$18),VLOOKUP("O3",$R$63:$T$91,3,FALSE)+VLOOKUP("CP",$R$63:$T$91,3,FALSE),0)+IF(AND($P46&lt;&gt;"",$P46&lt;&gt;"--",$P46&lt;&gt;"O3/CP",$P$14=E$18),IF(LEFT($P46,1)="P",VLOOKUP(CONCATENATE(LEFT($P46,2),"H"),$R$63:$T$91,3,FALSE),VLOOKUP($P46,$R$63:$T$91,3,FALSE)))+IF(AND($P46&lt;&gt;"",$P46&lt;&gt;"O3/CP",$P$15=E$18,MID($P46,4,1)="2",$P$15&lt;&gt;$P$14),VLOOKUP(CONCATENATE(LEFT($P46,2),"L"),$R$63:$T$91,3,FALSE),0)+IF(AND($P46="O3/CP",$P$14=E$18),VLOOKUP("O3",$R$63:$T$91,3,FALSE)+VLOOKUP("CP",$R$63:$T$91,3,FALSE),0)+IF(AND($Q46&lt;&gt;"",$Q46&lt;&gt;"--",$Q46&lt;&gt;"O3/CP",$Q$14=E$18),IF(LEFT($Q46,1)="P",VLOOKUP(CONCATENATE(LEFT($Q46,2),"H"),$R$63:$T$91,3,FALSE),VLOOKUP($Q46,$R$63:$T$91,3,FALSE)))+IF(AND($Q46&lt;&gt;"",$Q46&lt;&gt;"O3/CP",$Q$15=E$18,MID($Q46,4,1)="2",$Q$15&lt;&gt;$Q$14),VLOOKUP(CONCATENATE(LEFT($Q46,2),"L"),$R$63:$T$91,3,FALSE),0)+IF(AND($Q46="O3/CP",$Q$14=E$18),VLOOKUP("O3",$R$63:$T$91,3,FALSE)+VLOOKUP("CP",$R$63:$T$91,3,FALSE),0)+IF(AND($R46&lt;&gt;"",$R46&lt;&gt;"--",$R46&lt;&gt;"O3/CP",$R$14=E$18),IF(LEFT($R46,1)="P",VLOOKUP(CONCATENATE(LEFT($R46,2),"H"),$R$63:$T$91,3,FALSE),VLOOKUP($R46,$R$63:$T$91,3,FALSE)))+IF(AND($R46&lt;&gt;"",$R46&lt;&gt;"O3/CP",$R$15=E$18,MID($R46,4,1)="2",$R$15&lt;&gt;$R$14),VLOOKUP(CONCATENATE(LEFT($R46,2),"L"),$R$63:$T$91,3,FALSE),0)+IF(AND($R46="O3/CP",$R$14=E$18),VLOOKUP("O3",$R$63:$T$91,3,FALSE)+VLOOKUP("CP",$R$63:$T$91,3,FALSE),0)+IF(AND($S46&lt;&gt;"",$S46&lt;&gt;"--",$S46&lt;&gt;"O3/CP",$S$14=E$18),IF(LEFT($S46,1)="P",VLOOKUP(CONCATENATE(LEFT($S46,2),"H"),$R$63:$T$91,3,FALSE),VLOOKUP($S46,$R$63:$T$91,3,FALSE)))+IF(AND($S46&lt;&gt;"",$S46&lt;&gt;"O3/CP",$S$15=E$18,MID($S46,4,1)="2",$S$15&lt;&gt;$S$14),VLOOKUP(CONCATENATE(LEFT($S46,2),"L"),$R$63:$T$91,3,FALSE),0)+IF(AND($S46="O3/CP",$S$14=E$18),VLOOKUP("O3",$R$63:$T$91,3,FALSE)+VLOOKUP("CP",$R$63:$T$91,3,FALSE),0)+IF(AND($T46&lt;&gt;"",$T46&lt;&gt;"--",$T46&lt;&gt;"O3/CP",$T$14=E$18),IF(LEFT($T46,1)="P",VLOOKUP(CONCATENATE(LEFT($T46,2),"H"),$R$63:$T$91,3,FALSE),VLOOKUP($T46,$R$63:$T$91,3,FALSE)))+IF(AND($T46&lt;&gt;"",$T46&lt;&gt;"O3/CP",$T$15=E$18,MID($T46,4,1)="2",$T$15&lt;&gt;$T$14),VLOOKUP(CONCATENATE(LEFT($T46,2),"L"),$R$63:$T$91,3,FALSE),0)+IF(AND($T46="O3/CP",$T$14=E$18),VLOOKUP("O3",$R$63:$T$91,3,FALSE)+VLOOKUP("CP",$R$63:$T$91,3,FALSE),0)+IF(AND($U46&lt;&gt;"",$U46&lt;&gt;"--",$U46&lt;&gt;"O3/CP",$U$14=E$18),IF(LEFT($U46,1)="P",VLOOKUP(CONCATENATE(LEFT($U46,2),"H"),$R$63:$T$91,3,FALSE),VLOOKUP($U46,$R$63:$T$91,3,FALSE)))+IF(AND($U46&lt;&gt;"",$U46&lt;&gt;"O3/CP",$U$15=E$18,MID($U46,4,1)="2",$U$15&lt;&gt;$U$14),VLOOKUP(CONCATENATE(LEFT($U46,2),"L"),$R$63:$T$91,3,FALSE),0)+IF(AND($U46="O3/CP",$T$14=E$18),VLOOKUP("O3",$R$63:$T$91,3,FALSE)+VLOOKUP("CP",$R$63:$T$91,3,FALSE),0)+IF(AND($V46&lt;&gt;"",$V46&lt;&gt;"--",$V46&lt;&gt;"O3/CP",$V$14=E$18),IF(LEFT($V46,1)="P",VLOOKUP(CONCATENATE(LEFT($V46,2),"H"),$R$63:$T$91,3,FALSE),VLOOKUP($V46,$R$63:$T$91,3,FALSE)))+IF(AND($V46&lt;&gt;"",$V46&lt;&gt;"O3/CP",$V$15=E$18,MID($V46,4,1)="2",$V$15&lt;&gt;$V$14),VLOOKUP(CONCATENATE(LEFT($V46,2),"L"),$R$63:$T$91,3,FALSE),0)+IF(AND($V46="O3/CP",$V$14=E$18),VLOOKUP("O3",$R$63:$T$91,3,FALSE)+VLOOKUP("CP",$R$63:$T$91,3,FALSE),0)+IF(AND($W46&lt;&gt;"",$W46&lt;&gt;"--",$W46&lt;&gt;"O3/CP",$W$14=E$18),IF(LEFT($W46,1)="P",VLOOKUP(CONCATENATE(LEFT($W46,2),"H"),$R$63:$T$91,3,FALSE),VLOOKUP($W46,$R$63:$T$91,3,FALSE)))+IF(AND($W46&lt;&gt;"",$W46&lt;&gt;"O3/CP",$W$15=E$18,MID($W46,4,1)="2",$W$15&lt;&gt;$W$14),VLOOKUP(CONCATENATE(LEFT($W46,2),"L"),$R$63:$T$91,3,FALSE),0)+IF(AND($W46="O3/CP",$W$14=E$18),VLOOKUP("O3",$R$63:$T$91,3,FALSE)+VLOOKUP("CP",$R$63:$T$91,3,FALSE),0)+IF(AND($X46&lt;&gt;"",$X46&lt;&gt;"--",$X46&lt;&gt;"O3/CP",$X$14=E$18),IF(LEFT($X46,1)="P",VLOOKUP(CONCATENATE(LEFT($X46,2),"H"),$R$63:$T$91,3,FALSE),VLOOKUP($X46,$R$63:$T$91,3,FALSE)))+IF(AND($X46&lt;&gt;"",$X46&lt;&gt;"O3/CP",$X$15=E$18,MID($X46,4,1)="2",$X$15&lt;&gt;$X$14),VLOOKUP(CONCATENATE(LEFT($X46,2),"L"),$R$63:$T$91,3,FALSE),0)+IF(AND($X46="O3/CP",$X$14=E$18),VLOOKUP("O3",$R$63:$T$91,3,FALSE)+VLOOKUP("CP",$R$63:$T$91,3,FALSE),0)+IF(AND($Y46&lt;&gt;"",$Y46&lt;&gt;"--",$Y46&lt;&gt;"O3/CP",$Y$14=E$18),IF(LEFT($Y46,1)="P",VLOOKUP(CONCATENATE(LEFT($Y46,2),"H"),$R$63:$T$91,3,FALSE),VLOOKUP($Y46,$R$63:$T$91,3,FALSE)))+IF(AND($Y46&lt;&gt;"",$Y46&lt;&gt;"O3/CP",$Y$15=E$18,MID($Y46,4,1)="2",$Y$15&lt;&gt;$Y$14),VLOOKUP(CONCATENATE(LEFT($Y46,2),"L"),$R$63:$T$91,3,FALSE),0)+IF(AND($Y46="O3/CP",$Y$14=E$18),VLOOKUP("O3",$R$63:$T$91,3,FALSE)+VLOOKUP("CP",$R$63:$T$91,3,FALSE),0)+IF(AND($K$6="CE",'[3]Supply Attribution'!$G$20=E$18),LEFT($S$90,2),0)+IF(AND($X$86&lt;&gt;"Not Set",$X$87=E$18),$X$86,0)</f>
        <v>0</v>
      </c>
      <c r="F46" s="268">
        <f>IF(AND($K46&lt;&gt;"",$K46&lt;&gt;"--",$K46&lt;&gt;"O3/CP",$K$14=F$18),IF(LEFT($K46,1)="P",VLOOKUP(CONCATENATE(LEFT($K46,2),"H"),$R$63:$T$91,3,FALSE),VLOOKUP($K46,$R$63:$T$91,3,FALSE)))+IF(AND($K46&lt;&gt;"",$K46&lt;&gt;"O3/CP",$K$15=F$18,MID($K46,4,1)="2",$K$15&lt;&gt;$K$14),VLOOKUP(CONCATENATE(LEFT($K46,2),"L"),$R$63:$T$91,3,FALSE),0)+IF(AND($K46="O3/CP",$K$14=F$18),VLOOKUP("O3",$R$63:$T$91,3,FALSE)+VLOOKUP("CP",$R$63:$T$91,3,FALSE),0)+IF(AND($L46&lt;&gt;"",$L46&lt;&gt;"--",$L46&lt;&gt;"O3/CP",$L$14=F$18),IF(LEFT($L46,1)="P",VLOOKUP(CONCATENATE(LEFT($L46,2),"H"),$R$63:$T$91,3,FALSE),VLOOKUP($L46,$R$63:$T$91,3,FALSE)))+IF(AND($L46&lt;&gt;"",$L46&lt;&gt;"O3/CP",$L$15=F$18,MID($L46,4,1)="2",$L$15&lt;&gt;$L$14),VLOOKUP(CONCATENATE(LEFT($L46,2),"L"),$R$63:$T$91,3,FALSE),0)+IF(AND($L46="O3/CP",$L$14=F$18),VLOOKUP("O3",$R$63:$T$91,3,FALSE)+VLOOKUP("CP",$R$63:$T$91,3,FALSE),0)+IF(AND($M46&lt;&gt;"",$M46&lt;&gt;"--",$M46&lt;&gt;"O3/CP",$M$14=F$18),IF(LEFT($M46,1)="P",VLOOKUP(CONCATENATE(LEFT($M46,2),"H"),$R$63:$T$91,3,FALSE),VLOOKUP($M46,$R$63:$T$91,3,FALSE)))+IF(AND($M46&lt;&gt;"",$M46&lt;&gt;"O3/CP",$M$15=F$18,MID($M46,4,1)="2",$M$15&lt;&gt;$M$14),VLOOKUP(CONCATENATE(LEFT($M46,2),"L"),$R$63:$T$91,3,FALSE),0)+IF(AND($M46="O3/CP",$M$14=F$18),VLOOKUP("O3",$R$63:$T$91,3,FALSE)+VLOOKUP("CP",$R$63:$T$91,3,FALSE),0)+IF(AND($N46&lt;&gt;"",$N46&lt;&gt;"--",$N46&lt;&gt;"O3/CP",$N$14=F$18),IF(LEFT($N46,1)="P",VLOOKUP(CONCATENATE(LEFT($N46,2),"H"),$R$63:$T$91,3,FALSE),VLOOKUP($N46,$R$63:$T$91,3,FALSE)))+IF(AND($N46&lt;&gt;"",$N46&lt;&gt;"O3/CP",$N$15=F$18,MID($N46,4,1)="2",$N$15&lt;&gt;$N$14),VLOOKUP(CONCATENATE(LEFT($N46,2),"L"),$R$63:$T$91,3,FALSE),0)+IF(AND($N46="O3/CP",$N$14=F$18),VLOOKUP("O3",$R$63:$T$91,3,FALSE)+VLOOKUP("CP",$R$63:$T$91,3,FALSE),0)+IF(AND($O46&lt;&gt;"",$O46&lt;&gt;"--",$O46&lt;&gt;"O3/CP",$O$14=F$18),IF(LEFT($O46,1)="P",VLOOKUP(CONCATENATE(LEFT($O46,2),"H"),$R$63:$T$91,3,FALSE),VLOOKUP($O46,$R$63:$T$91,3,FALSE)))+IF(AND($O46&lt;&gt;"",$O46&lt;&gt;"O3/CP",$O$15=F$18,MID($O46,4,1)="2",$O$15&lt;&gt;$O$14),VLOOKUP(CONCATENATE(LEFT($O46,2),"L"),$R$63:$T$91,3,FALSE),0)+IF(AND($O46="O3/CP",$O$14=F$18),VLOOKUP("O3",$R$63:$T$91,3,FALSE)+VLOOKUP("CP",$R$63:$T$91,3,FALSE),0)+IF(AND($P46&lt;&gt;"",$P46&lt;&gt;"--",$P46&lt;&gt;"O3/CP",$P$14=F$18),IF(LEFT($P46,1)="P",VLOOKUP(CONCATENATE(LEFT($P46,2),"H"),$R$63:$T$91,3,FALSE),VLOOKUP($P46,$R$63:$T$91,3,FALSE)))+IF(AND($P46&lt;&gt;"",$P46&lt;&gt;"O3/CP",$P$15=F$18,MID($P46,4,1)="2",$P$15&lt;&gt;$P$14),VLOOKUP(CONCATENATE(LEFT($P46,2),"L"),$R$63:$T$91,3,FALSE),0)+IF(AND($P46="O3/CP",$P$14=F$18),VLOOKUP("O3",$R$63:$T$91,3,FALSE)+VLOOKUP("CP",$R$63:$T$91,3,FALSE),0)+IF(AND($Q46&lt;&gt;"",$Q46&lt;&gt;"--",$Q46&lt;&gt;"O3/CP",$Q$14=F$18),IF(LEFT($Q46,1)="P",VLOOKUP(CONCATENATE(LEFT($Q46,2),"H"),$R$63:$T$91,3,FALSE),VLOOKUP($Q46,$R$63:$T$91,3,FALSE)))+IF(AND($Q46&lt;&gt;"",$Q46&lt;&gt;"O3/CP",$Q$15=F$18,MID($Q46,4,1)="2",$Q$15&lt;&gt;$Q$14),VLOOKUP(CONCATENATE(LEFT($Q46,2),"L"),$R$63:$T$91,3,FALSE),0)+IF(AND($Q46="O3/CP",$Q$14=F$18),VLOOKUP("O3",$R$63:$T$91,3,FALSE)+VLOOKUP("CP",$R$63:$T$91,3,FALSE),0)+IF(AND($R46&lt;&gt;"",$R46&lt;&gt;"--",$R46&lt;&gt;"O3/CP",$R$14=F$18),IF(LEFT($R46,1)="P",VLOOKUP(CONCATENATE(LEFT($R46,2),"H"),$R$63:$T$91,3,FALSE),VLOOKUP($R46,$R$63:$T$91,3,FALSE)))+IF(AND($R46&lt;&gt;"",$R46&lt;&gt;"O3/CP",$R$15=F$18,MID($R46,4,1)="2",$R$15&lt;&gt;$R$14),VLOOKUP(CONCATENATE(LEFT($R46,2),"L"),$R$63:$T$91,3,FALSE),0)+IF(AND($R46="O3/CP",$R$14=F$18),VLOOKUP("O3",$R$63:$T$91,3,FALSE)+VLOOKUP("CP",$R$63:$T$91,3,FALSE),0)+IF(AND($S46&lt;&gt;"",$S46&lt;&gt;"--",$S46&lt;&gt;"O3/CP",$S$14=F$18),IF(LEFT($S46,1)="P",VLOOKUP(CONCATENATE(LEFT($S46,2),"H"),$R$63:$T$91,3,FALSE),VLOOKUP($S46,$R$63:$T$91,3,FALSE)))+IF(AND($S46&lt;&gt;"",$S46&lt;&gt;"O3/CP",$S$15=F$18,MID($S46,4,1)="2",$S$15&lt;&gt;$S$14),VLOOKUP(CONCATENATE(LEFT($S46,2),"L"),$R$63:$T$91,3,FALSE),0)+IF(AND($S46="O3/CP",$S$14=F$18),VLOOKUP("O3",$R$63:$T$91,3,FALSE)+VLOOKUP("CP",$R$63:$T$91,3,FALSE),0)+IF(AND($T46&lt;&gt;"",$T46&lt;&gt;"--",$T46&lt;&gt;"O3/CP",$T$14=F$18),IF(LEFT($T46,1)="P",VLOOKUP(CONCATENATE(LEFT($T46,2),"H"),$R$63:$T$91,3,FALSE),VLOOKUP($T46,$R$63:$T$91,3,FALSE)))+IF(AND($T46&lt;&gt;"",$T46&lt;&gt;"O3/CP",$T$15=F$18,MID($T46,4,1)="2",$T$15&lt;&gt;$T$14),VLOOKUP(CONCATENATE(LEFT($T46,2),"L"),$R$63:$T$91,3,FALSE),0)+IF(AND($T46="O3/CP",$T$14=F$18),VLOOKUP("O3",$R$63:$T$91,3,FALSE)+VLOOKUP("CP",$R$63:$T$91,3,FALSE),0)+IF(AND($U46&lt;&gt;"",$U46&lt;&gt;"--",$U46&lt;&gt;"O3/CP",$U$14=F$18),IF(LEFT($U46,1)="P",VLOOKUP(CONCATENATE(LEFT($U46,2),"H"),$R$63:$T$91,3,FALSE),VLOOKUP($U46,$R$63:$T$91,3,FALSE)))+IF(AND($U46&lt;&gt;"",$U46&lt;&gt;"O3/CP",$U$15=F$18,MID($U46,4,1)="2",$U$15&lt;&gt;$U$14),VLOOKUP(CONCATENATE(LEFT($U46,2),"L"),$R$63:$T$91,3,FALSE),0)+IF(AND($U46="O3/CP",$T$14=F$18),VLOOKUP("O3",$R$63:$T$91,3,FALSE)+VLOOKUP("CP",$R$63:$T$91,3,FALSE),0)+IF(AND($V46&lt;&gt;"",$V46&lt;&gt;"--",$V46&lt;&gt;"O3/CP",$V$14=F$18),IF(LEFT($V46,1)="P",VLOOKUP(CONCATENATE(LEFT($V46,2),"H"),$R$63:$T$91,3,FALSE),VLOOKUP($V46,$R$63:$T$91,3,FALSE)))+IF(AND($V46&lt;&gt;"",$V46&lt;&gt;"O3/CP",$V$15=F$18,MID($V46,4,1)="2",$V$15&lt;&gt;$V$14),VLOOKUP(CONCATENATE(LEFT($V46,2),"L"),$R$63:$T$91,3,FALSE),0)+IF(AND($V46="O3/CP",$V$14=F$18),VLOOKUP("O3",$R$63:$T$91,3,FALSE)+VLOOKUP("CP",$R$63:$T$91,3,FALSE),0)+IF(AND($W46&lt;&gt;"",$W46&lt;&gt;"--",$W46&lt;&gt;"O3/CP",$W$14=F$18),IF(LEFT($W46,1)="P",VLOOKUP(CONCATENATE(LEFT($W46,2),"H"),$R$63:$T$91,3,FALSE),VLOOKUP($W46,$R$63:$T$91,3,FALSE)))+IF(AND($W46&lt;&gt;"",$W46&lt;&gt;"O3/CP",$W$15=F$18,MID($W46,4,1)="2",$W$15&lt;&gt;$W$14),VLOOKUP(CONCATENATE(LEFT($W46,2),"L"),$R$63:$T$91,3,FALSE),0)+IF(AND($W46="O3/CP",$W$14=F$18),VLOOKUP("O3",$R$63:$T$91,3,FALSE)+VLOOKUP("CP",$R$63:$T$91,3,FALSE),0)+IF(AND($X46&lt;&gt;"",$X46&lt;&gt;"--",$X46&lt;&gt;"O3/CP",$X$14=F$18),IF(LEFT($X46,1)="P",VLOOKUP(CONCATENATE(LEFT($X46,2),"H"),$R$63:$T$91,3,FALSE),VLOOKUP($X46,$R$63:$T$91,3,FALSE)))+IF(AND($X46&lt;&gt;"",$X46&lt;&gt;"O3/CP",$X$15=F$18,MID($X46,4,1)="2",$X$15&lt;&gt;$X$14),VLOOKUP(CONCATENATE(LEFT($X46,2),"L"),$R$63:$T$91,3,FALSE),0)+IF(AND($X46="O3/CP",$X$14=F$18),VLOOKUP("O3",$R$63:$T$91,3,FALSE)+VLOOKUP("CP",$R$63:$T$91,3,FALSE),0)+IF(AND($Y46&lt;&gt;"",$Y46&lt;&gt;"--",$Y46&lt;&gt;"O3/CP",$Y$14=F$18),IF(LEFT($Y46,1)="P",VLOOKUP(CONCATENATE(LEFT($Y46,2),"H"),$R$63:$T$91,3,FALSE),VLOOKUP($Y46,$R$63:$T$91,3,FALSE)))+IF(AND($Y46&lt;&gt;"",$Y46&lt;&gt;"O3/CP",$Y$15=F$18,MID($Y46,4,1)="2",$Y$15&lt;&gt;$Y$14),VLOOKUP(CONCATENATE(LEFT($Y46,2),"L"),$R$63:$T$91,3,FALSE),0)+IF(AND($Y46="O3/CP",$Y$14=F$18),VLOOKUP("O3",$R$63:$T$91,3,FALSE)+VLOOKUP("CP",$R$63:$T$91,3,FALSE),0)+IF(AND($K$6="CE",'[3]Supply Attribution'!$G$20=F$18),LEFT($S$90,2),0)+IF(AND($X$86&lt;&gt;"Not Set",$X$87=F$18),$X$86,0)</f>
        <v>0</v>
      </c>
      <c r="G46" s="269">
        <f>IF(AND($K$6="CE",$T$59="1 Phase"),SUM(A46:F46)-IF(AND($K$14&lt;&gt;$K$15,RIGHT($K46,3)="2SP"),VLOOKUP(CONCATENATE(LEFT($K46,2),"L"),$R$63:$T$90,3,FALSE),0)-IF(AND($L$14&lt;&gt;$L$15,RIGHT($L46,3)="2SP"),VLOOKUP(CONCATENATE(LEFT($L46,2),"L"),$R$63:$T$90,3,FALSE),0)-IF(AND($M$14&lt;&gt;$M$15,RIGHT($M46,3)="2SP"),VLOOKUP(CONCATENATE(LEFT($M46,2),"L"),$R$63:$T$90,3,FALSE),0)-IF(AND($N$14&lt;&gt;$N$15,RIGHT($N46,3)="2SP"),VLOOKUP(CONCATENATE(LEFT($N46,2),"L"),$R$63:$T$90,3,FALSE),0)-IF(AND($O$14&lt;&gt;$O$15,RIGHT($O46,3)="2SP"),VLOOKUP(CONCATENATE(LEFT($O46,2),"L"),$R$63:$T$90,3,FALSE),0)-IF(AND($P$14&lt;&gt;$P$15,RIGHT($P46,3)="2SP"),VLOOKUP(CONCATENATE(LEFT($P46,2),"L"),$R$63:$T$90,3,FALSE),0)-IF(AND($Q$14&lt;&gt;$Q$15,RIGHT($Q46,3)="2SP"),VLOOKUP(CONCATENATE(LEFT($Q46,2),"L"),$R$63:$T$90,3,FALSE),0)-IF(AND($R$14&lt;&gt;$R$15,RIGHT($T46,3)="2SP"),VLOOKUP(CONCATENATE(LEFT($R46,2),"L"),$R$63:$T$90,3,FALSE),0)-IF(AND($S$14&lt;&gt;$S$15,RIGHT($T46,3)="2SP"),VLOOKUP(CONCATENATE(LEFT($S46,2),"L"),$R$63:$T$90,3,FALSE),0)-IF(AND($T$14&lt;&gt;$T$15,RIGHT($T46,3)="2SP"),VLOOKUP(CONCATENATE(LEFT($T46,2),"L"),$R$63:$T$90,3,FALSE),0)-IF(AND($U$14&lt;&gt;$U$15,RIGHT($U46,3)="2SP"),VLOOKUP(CONCATENATE(LEFT($U46,2),"L"),$R$63:$T$90,3,FALSE),0)-IF(AND($V$14&lt;&gt;$V$15,RIGHT($V46,3)="2SP"),VLOOKUP(CONCATENATE(LEFT($V46,2),"L"),$R$63:$T$90,3,FALSE),0)-IF(AND($W$14&lt;&gt;$W$15,RIGHT($W46,3)="2SP"),VLOOKUP(CONCATENATE(LEFT($W46,2),"L"),$R$63:$T$90,3,FALSE),0)-IF(AND($X$14&lt;&gt;$X$15,RIGHT($X46,3)="2SP"),VLOOKUP(CONCATENATE(LEFT($X46,2),"L"),$R$63:$T$90,3,FALSE),0)-IF(AND($Y$14&lt;&gt;$Y$15,RIGHT($Y46,3)="2SP"),VLOOKUP(CONCATENATE(LEFT($Y46,2),"L"),$R$63:$T$90,3,FALSE),0),IF(VLOOKUP(CONCATENATE($A$18,"Line"),'[3]Supply Attribution'!$F$31:$G$37,2,FALSE)=G$18,$A46,0)+IF(VLOOKUP(CONCATENATE($B$18,"Line"),'[3]Supply Attribution'!$F$31:$G$37,2,FALSE)=G$18,$B46,0)+IF(VLOOKUP(CONCATENATE($C$18,"Line"),'[3]Supply Attribution'!$F$31:$G$37,2,FALSE)=G$18,$C46,0)+IF(VLOOKUP(CONCATENATE($D$18,"Line"),'[3]Supply Attribution'!$F$31:$G$37,2,FALSE)=G$18,$D46,0)+IF(VLOOKUP(CONCATENATE($E$18,"Line"),'[3]Supply Attribution'!$F$31:$G$37,2,FALSE)=G$18,$E46,0)+IF(VLOOKUP(CONCATENATE($F$18,"Line"),'[3]Supply Attribution'!$F$31:$G$37,2,FALSE)=G$18,$F46,0)+IF($K$6="UL",LEFT($S$90,2),0)-IF(AND($K$16=G$18,$K$14&lt;&gt;$K$15,$K$16=$K$17,RIGHT($K46,3)="2SP"),VLOOKUP(CONCATENATE(LEFT($K46,2),"L"),$R$63:$T$90,3,FALSE),0)-IF(AND($L$16=G$18,$L$14&lt;&gt;$L$15,$L$16=$L$17,RIGHT($L46,3)="2SP"),VLOOKUP(CONCATENATE(LEFT($L46,2),"L"),$R$63:$T$90,3,FALSE),0)-IF(AND($M$16=G$18,$M$14&lt;&gt;$M$15,$M$16=$M$17,RIGHT($M46,3)="2SP"),VLOOKUP(CONCATENATE(LEFT($M46,2),"L"),$R$63:$T$90,3,FALSE),0)-IF(AND($N$16=G$18,$N$14&lt;&gt;$N$15,$N$16=$N$17,RIGHT($N46,3)="2SP"),VLOOKUP(CONCATENATE(LEFT($N46,2),"L"),$R$63:$T$90,3,FALSE),0)-IF(AND($O$16=G$18,$O$14&lt;&gt;$O$15,$O$16=$O$17,RIGHT($O46,3)="2SP"),VLOOKUP(CONCATENATE(LEFT($O46,2),"L"),$R$63:$T$90,3,FALSE),0)-IF(AND($P$16=G$18,$P$14&lt;&gt;$P$15,$P$16=$P$17,RIGHT($P46,3)="2SP"),VLOOKUP(CONCATENATE(LEFT($P46,2),"L"),$R$63:$T$90,3,FALSE),0)-IF(AND($Q$16=G$18,$Q$14&lt;&gt;$Q$15,$Q$16=$Q$17,RIGHT($Q46,3)="2SP"),VLOOKUP(CONCATENATE(LEFT($Q46,2),"L"),$R$63:$T$90,3,FALSE),0)-IF(AND($R$16=G$18,$R$14&lt;&gt;$R$15,$R$16=$R$17,RIGHT($R46,3)="2SP"),VLOOKUP(CONCATENATE(LEFT($R46,2),"L"),$R$63:$T$90,3,FALSE),0)-IF(AND($S$16=G$18,$S$14&lt;&gt;$S$15,$S$16=$S$17,RIGHT($S46,3)="2SP"),VLOOKUP(CONCATENATE(LEFT($S46,2),"L"),$R$63:$T$90,3,FALSE),0)-IF(AND($T$16=G$18,$T$14&lt;&gt;$T$15,$T$16=$T$17,RIGHT($T46,3)="2SP"),VLOOKUP(CONCATENATE(LEFT($T46,2),"L"),$R$63:$T$90,3,FALSE),0)-IF(AND($U$16=G$18,$U$14&lt;&gt;$U$15,$U$16=$U$17,RIGHT($U46,3)="2SP"),VLOOKUP(CONCATENATE(LEFT($U46,2),"L"),$R$63:$T$90,3,FALSE),0)-IF(AND($V$16=G$18,$V$14&lt;&gt;$V$15,$V$16=$V$17,RIGHT($V46,3)="2SP"),VLOOKUP(CONCATENATE(LEFT($V46,2),"L"),$R$63:$T$90,3,FALSE),0)-IF(AND($W$16=G$18,$W$14&lt;&gt;$W$15,$W$16=$W$17,RIGHT($W46,3)="2SP"),VLOOKUP(CONCATENATE(LEFT($W46,2),"L"),$R$63:$T$90,3,FALSE),0)-IF(AND($X$16=G$18,$X$14&lt;&gt;$X$15,$X$16=$X$17,RIGHT($X46,3)="2SP"),VLOOKUP(CONCATENATE(LEFT($X46,2),"L"),$R$63:$T$90,3,FALSE),0)-IF(AND($Y$16=G$18,$Y$14&lt;&gt;$Y$15,$Y$16=$Y$17,RIGHT($Y46,3)="2SP"),VLOOKUP(CONCATENATE(LEFT($Y46,2),"L"),$R$63:$T$90,3,FALSE),0))</f>
        <v>17</v>
      </c>
      <c r="H46" s="269" t="str">
        <f>IF(H$18&lt;&gt;"",IF(VLOOKUP(CONCATENATE($A$18,"Line"),'Supply Attribution'!$F$31:$G$37,2,FALSE)=H$18,$A46,0)+IF(VLOOKUP(CONCATENATE($B$18,"Line"),'Supply Attribution'!$F$31:$G$37,2,FALSE)=H$18,$B46,0)+IF(VLOOKUP(CONCATENATE($C$18,"Line"),'Supply Attribution'!$F$31:$G$37,2,FALSE)=H$18,$C46,0)+IF(VLOOKUP(CONCATENATE($D$18,"Line"),'Supply Attribution'!$F$31:$G$37,2,FALSE)=H$18,$D46,0)+IF(VLOOKUP(CONCATENATE($E$18,"Line"),'Supply Attribution'!$F$31:$G$37,2,FALSE)=H$18,$E46,0)+IF(VLOOKUP(CONCATENATE($F$18,"Line"),'Supply Attribution'!$F$31:$G$37,2,FALSE)=H$18,$F46,0)+IF($K$6="UL",LEFT($S$90,2),0)-IF(AND($K$16=H$18,$K$14&lt;&gt;$K$15,$K$16=$K$17,RIGHT($K46,3)="2SP"),VLOOKUP(CONCATENATE(LEFT($K46,2),"L"),$R$63:$T$90,3,FALSE),0)-IF(AND($L$16=H$18,$L$14&lt;&gt;$L$15,$L$16=$L$17,RIGHT($L46,3)="2SP"),VLOOKUP(CONCATENATE(LEFT($L46,2),"L"),$R$63:$T$90,3,FALSE),0)-IF(AND($M$16=H$18,$M$14&lt;&gt;$M$15,$M$16=$M$17,RIGHT($M46,3)="2SP"),VLOOKUP(CONCATENATE(LEFT($M46,2),"L"),$R$63:$T$90,3,FALSE),0)-IF(AND($N$16=H$18,$N$14&lt;&gt;$N$15,$N$16=$N$17,RIGHT($N46,3)="2SP"),VLOOKUP(CONCATENATE(LEFT($N46,2),"L"),$R$63:$T$90,3,FALSE),0)-IF(AND($O$16=H$18,$O$14&lt;&gt;$O$15,$O$16=$O$17,RIGHT($O46,3)="2SP"),VLOOKUP(CONCATENATE(LEFT($O46,2),"L"),$R$63:$T$90,3,FALSE),0)-IF(AND($P$16=H$18,$P$14&lt;&gt;$P$15,$P$16=$P$17,RIGHT($P46,3)="2SP"),VLOOKUP(CONCATENATE(LEFT($P46,2),"L"),$R$63:$T$90,3,FALSE),0)-IF(AND($Q$16=H$18,$Q$14&lt;&gt;$Q$15,$Q$16=$Q$17,RIGHT($Q46,3)="2SP"),VLOOKUP(CONCATENATE(LEFT($Q46,2),"L"),$R$63:$T$90,3,FALSE),0)-IF(AND($T$16=H$18,$T$14&lt;&gt;$T$15,$T$16=$T$17,RIGHT($T46,3)="2SP"),VLOOKUP(CONCATENATE(LEFT($T46,2),"L"),$R$63:$T$90,3,FALSE),0)-IF(AND($U$16=H$18,$U$14&lt;&gt;$U$15,$U$16=$U$17,RIGHT($U46,3)="2SP"),VLOOKUP(CONCATENATE(LEFT($U46,2),"L"),$R$63:$T$90,3,FALSE),0)-IF(AND($V$16=H$18,$V$14&lt;&gt;$V$15,$V$16=$V$17,RIGHT($V46,3)="2SP"),VLOOKUP(CONCATENATE(LEFT($V46,2),"L"),$R$63:$T$90,3,FALSE),0)-IF(AND($W$16=H$18,$W$14&lt;&gt;$W$15,$W$16=$W$17,RIGHT($W46,3)="2SP"),VLOOKUP(CONCATENATE(LEFT($W46,2),"L"),$R$63:$T$90,3,FALSE),0)-IF(AND($X$16=H$18,$X$14&lt;&gt;$X$15,$X$16=$X$17,RIGHT($X46,3)="2SP"),VLOOKUP(CONCATENATE(LEFT($X46,2),"L"),$R$63:$T$90,3,FALSE),0)-IF(AND($Y$16=H$18,$Y$14&lt;&gt;$Y$15,$Y$16=$Y$17,RIGHT($Y46,3)="2SP"),VLOOKUP(CONCATENATE(LEFT($Y46,2),"L"),$R$63:$T$90,3,FALSE),0)+IF(AND($K$6="CE",$T$59="2 Phases",H$18&lt;&gt;""),IF(VLOOKUP(CONCATENATE($A$18,"Line"),'Supply Attribution'!$F$31:$G$37,2,FALSE)="Line3",$A46,0)+IF(VLOOKUP(CONCATENATE($B$18,"Line"),'Supply Attribution'!$F$31:$G$37,2,FALSE)="Line3",$B46,0)+IF(VLOOKUP(CONCATENATE($C$18,"Line"),'Supply Attribution'!$F$31:$G$37,2,FALSE)="Line3",$C46,0)+IF(VLOOKUP(CONCATENATE($D$18,"Line"),'Supply Attribution'!$F$31:$G$37,2,FALSE)="Line3",$D46,0)+IF(VLOOKUP(CONCATENATE($E$18,"Line"),'Supply Attribution'!$F$31:$G$37,2,FALSE)="Line3",$E46,0)+IF(VLOOKUP(CONCATENATE($F$18,"Line"),'Supply Attribution'!$F$31:$G$37,2,FALSE)="Line3",$F46,0)-IF(AND($K$16=I$18,$K$14&lt;&gt;$K$15,$K$16=$K$17,RIGHT($K46,3)="2SP"),VLOOKUP(CONCATENATE(LEFT($K46,2),"L"),$R$63:$T$90,3,FALSE),0)-IF(AND($L$16=I$18,$L$14&lt;&gt;$L$15,$L$16=$L$17,RIGHT($L46,3)="2SP"),VLOOKUP(CONCATENATE(LEFT($L46,2),"L"),$R$63:$T$90,3,FALSE),0)-IF(AND($M$16=I$18,$M$14&lt;&gt;$M$15,$M$16=$M$17,RIGHT($M46,3)="2SP"),VLOOKUP(CONCATENATE(LEFT($M46,2),"L"),$R$63:$T$90,3,FALSE),0)-IF(AND($N$16=I$18,$N$14&lt;&gt;$N$15,$N$16=$N$17,RIGHT($N46,3)="2SP"),VLOOKUP(CONCATENATE(LEFT($N46,2),"L"),$R$63:$T$90,3,FALSE),0)-IF(AND($O$16=I$18,$O$14&lt;&gt;$O$15,$O$16=$O$17,RIGHT($O46,3)="2SP"),VLOOKUP(CONCATENATE(LEFT($O46,2),"L"),$R$63:$T$90,3,FALSE),0)-IF(AND($P$16=I$18,$P$14&lt;&gt;$P$15,$P$16=$P$17,RIGHT($P46,3)="2SP"),VLOOKUP(CONCATENATE(LEFT($P46,2),"L"),$R$63:$T$90,3,FALSE),0)-IF(AND($Q$16=I$18,$Q$14&lt;&gt;$Q$15,$Q$16=$Q$17,RIGHT($Q46,3)="2SP"),VLOOKUP(CONCATENATE(LEFT($Q46,2),"L"),$R$63:$T$90,3,FALSE),0)-IF(AND($T$16=I$18,$T$14&lt;&gt;$T$15,$T$16=$T$17,RIGHT($T46,3)="2SP"),VLOOKUP(CONCATENATE(LEFT($T46,2),"L"),$R$63:$T$90,3,FALSE),0)-IF(AND($U$16=I$18,$U$14&lt;&gt;$U$15,$U$16=$U$17,RIGHT($U46,3)="2SP"),VLOOKUP(CONCATENATE(LEFT($U46,2),"L"),$R$63:$T$90,3,FALSE),0)-IF(AND($V$16=I$18,$V$14&lt;&gt;$V$15,$V$16=$V$17,RIGHT($V46,3)="2SP"),VLOOKUP(CONCATENATE(LEFT($V46,2),"L"),$R$63:$T$90,3,FALSE),0)-IF(AND($W$16=I$18,$W$14&lt;&gt;$W$15,$W$16=$W$17,RIGHT($W46,3)="2SP"),VLOOKUP(CONCATENATE(LEFT($W46,2),"L"),$R$63:$T$90,3,FALSE),0)-IF(AND($X$16=I$18,$X$14&lt;&gt;$X$15,$X$16=$X$17,RIGHT($X46,3)="2SP"),VLOOKUP(CONCATENATE(LEFT($X46,2),"L"),$R$63:$T$90,3,FALSE),0)-IF(AND($Y$16=I$18,$Y$14&lt;&gt;$Y$15,$Y$16=$Y$17,RIGHT($Y46,3)="2SP"),VLOOKUP(CONCATENATE(LEFT($Y46,2),"L"),$R$63:$T$90,3,FALSE),0),0),"")</f>
        <v/>
      </c>
      <c r="I46" s="269" t="str">
        <f>IF(I$18&lt;&gt;"",IF(VLOOKUP(CONCATENATE($A$18,"Line"),'Supply Attribution'!$F$31:$G$37,2,FALSE)=I$18,$A46,0)+IF(VLOOKUP(CONCATENATE($B$18,"Line"),'Supply Attribution'!$F$31:$G$37,2,FALSE)=I$18,$B46,0)+IF(VLOOKUP(CONCATENATE($C$18,"Line"),'Supply Attribution'!$F$31:$G$37,2,FALSE)=I$18,$C46,0)+IF(VLOOKUP(CONCATENATE($D$18,"Line"),'Supply Attribution'!$F$31:$G$37,2,FALSE)=I$18,$D46,0)+IF(VLOOKUP(CONCATENATE($E$18,"Line"),'Supply Attribution'!$F$31:$G$37,2,FALSE)=I$18,$E46,0)+IF(VLOOKUP(CONCATENATE($F$18,"Line"),'Supply Attribution'!$F$31:$G$37,2,FALSE)=I$18,$F46,0)+IF($K$6="UL",LEFT($S$90,2),0)-IF(AND($K$16=I$18,$K$14&lt;&gt;$K$15,$K$16=$K$17,RIGHT($K46,3)="2SP"),VLOOKUP(CONCATENATE(LEFT($K46,2),"L"),$R$63:$T$90,3,FALSE),0)-IF(AND($L$16=I$18,$L$14&lt;&gt;$L$15,$L$16=$L$17,RIGHT($L46,3)="2SP"),VLOOKUP(CONCATENATE(LEFT($L46,2),"L"),$R$63:$T$90,3,FALSE),0)-IF(AND($M$16=I$18,$M$14&lt;&gt;$M$15,$M$16=$M$17,RIGHT($M46,3)="2SP"),VLOOKUP(CONCATENATE(LEFT($M46,2),"L"),$R$63:$T$90,3,FALSE),0)-IF(AND($N$16=I$18,$N$14&lt;&gt;$N$15,$N$16=$N$17,RIGHT($N46,3)="2SP"),VLOOKUP(CONCATENATE(LEFT($N46,2),"L"),$R$63:$T$90,3,FALSE),0)-IF(AND($O$16=I$18,$O$14&lt;&gt;$O$15,$O$16=$O$17,RIGHT($O46,3)="2SP"),VLOOKUP(CONCATENATE(LEFT($O46,2),"L"),$R$63:$T$90,3,FALSE),0)-IF(AND($P$16=I$18,$P$14&lt;&gt;$P$15,$P$16=$P$17,RIGHT($P46,3)="2SP"),VLOOKUP(CONCATENATE(LEFT($P46,2),"L"),$R$63:$T$90,3,FALSE),0)-IF(AND($Q$16=I$18,$Q$14&lt;&gt;$Q$15,$Q$16=$Q$17,RIGHT($Q46,3)="2SP"),VLOOKUP(CONCATENATE(LEFT($Q46,2),"L"),$R$63:$T$90,3,FALSE),0)-IF(AND($T$16=I$18,$T$14&lt;&gt;$T$15,$T$16=$T$17,RIGHT($T46,3)="2SP"),VLOOKUP(CONCATENATE(LEFT($T46,2),"L"),$R$63:$T$90,3,FALSE),0)-IF(AND($U$16=I$18,$U$14&lt;&gt;$U$15,$U$16=$U$17,RIGHT($U46,3)="2SP"),VLOOKUP(CONCATENATE(LEFT($U46,2),"L"),$R$63:$T$90,3,FALSE),0)-IF(AND($V$16=I$18,$V$14&lt;&gt;$V$15,$V$16=$V$17,RIGHT($V46,3)="2SP"),VLOOKUP(CONCATENATE(LEFT($V46,2),"L"),$R$63:$T$90,3,FALSE),0)-IF(AND($W$16=I$18,$W$14&lt;&gt;$W$15,$W$16=$W$17,RIGHT($W46,3)="2SP"),VLOOKUP(CONCATENATE(LEFT($W46,2),"L"),$R$63:$T$90,3,FALSE),0)-IF(AND($X$16=I$18,$X$14&lt;&gt;$X$15,$X$16=$X$17,RIGHT($X46,3)="2SP"),VLOOKUP(CONCATENATE(LEFT($X46,2),"L"),$R$63:$T$90,3,FALSE),0)-IF(AND($Y$16=I$18,$Y$14&lt;&gt;$Y$15,$Y$16=$Y$17,RIGHT($Y46,3)="2SP"),VLOOKUP(CONCATENATE(LEFT($Y46,2),"L"),$R$63:$T$90,3,FALSE),0),"")</f>
        <v/>
      </c>
      <c r="J46" s="134"/>
      <c r="K46" s="135"/>
      <c r="L46" s="135"/>
      <c r="M46" s="135"/>
      <c r="N46" s="135"/>
      <c r="O46" s="135"/>
      <c r="P46" s="135"/>
      <c r="Q46" s="135"/>
      <c r="R46" s="135"/>
      <c r="S46" s="135"/>
      <c r="T46" s="135"/>
      <c r="U46" s="135"/>
      <c r="V46" s="135"/>
      <c r="W46" s="135"/>
      <c r="X46" s="135"/>
      <c r="Y46" s="135"/>
      <c r="Z46" s="136"/>
      <c r="AA46" s="136"/>
      <c r="AB46" s="137"/>
      <c r="AC46" s="137"/>
      <c r="AD46" s="137"/>
      <c r="AE46" s="138">
        <f t="shared" si="0"/>
        <v>0</v>
      </c>
      <c r="AF46" s="78"/>
    </row>
    <row r="47" spans="1:32" ht="13.15" customHeight="1">
      <c r="A47" s="264">
        <f>IF(AND($K47&lt;&gt;"",$K47&lt;&gt;"--",$K47&lt;&gt;"O3/CP",$K$14=A$18),IF(LEFT($K47,1)="P",VLOOKUP(CONCATENATE(LEFT($K47,2),"H"),$R$63:$T$91,3,FALSE),VLOOKUP($K47,$R$63:$T$91,3,FALSE)))+IF(AND($K47&lt;&gt;"",$K47&lt;&gt;"O3/CP",$K$15=A$18,MID($K47,4,1)="2",$K$15&lt;&gt;$K$14),VLOOKUP(CONCATENATE(LEFT($K47,2),"L"),$R$63:$T$91,3,FALSE),0)+IF(AND($K47="O3/CP",$K$14=A$18),VLOOKUP("O3",$R$63:$T$91,3,FALSE)+VLOOKUP("CP",$R$63:$T$91,3,FALSE),0)+IF(AND($L47&lt;&gt;"",$L47&lt;&gt;"--",$L47&lt;&gt;"O3/CP",$L$14=A$18),IF(LEFT($L47,1)="P",VLOOKUP(CONCATENATE(LEFT($L47,2),"H"),$R$63:$T$91,3,FALSE),VLOOKUP($L47,$R$63:$T$91,3,FALSE)))+IF(AND($L47&lt;&gt;"",$L47&lt;&gt;"O3/CP",$L$15=A$18,MID($L47,4,1)="2",$L$15&lt;&gt;$L$14),VLOOKUP(CONCATENATE(LEFT($L47,2),"L"),$R$63:$T$91,3,FALSE),0)+IF(AND($L47="O3/CP",$L$14=A$18),VLOOKUP("O3",$R$63:$T$91,3,FALSE)+VLOOKUP("CP",$R$63:$T$91,3,FALSE),0)+IF(AND($M47&lt;&gt;"",$M47&lt;&gt;"--",$M47&lt;&gt;"O3/CP",$M$14=A$18),IF(LEFT($M47,1)="P",VLOOKUP(CONCATENATE(LEFT($M47,2),"H"),$R$63:$T$91,3,FALSE),VLOOKUP($M47,$R$63:$T$91,3,FALSE)))+IF(AND($M47&lt;&gt;"",$M47&lt;&gt;"O3/CP",$M$15=A$18,MID($M47,4,1)="2",$M$15&lt;&gt;$M$14),VLOOKUP(CONCATENATE(LEFT($M47,2),"L"),$R$63:$T$91,3,FALSE),0)+IF(AND($M47="O3/CP",$M$14=A$18),VLOOKUP("O3",$R$63:$T$91,3,FALSE)+VLOOKUP("CP",$R$63:$T$91,3,FALSE),0)+IF(AND($N47&lt;&gt;"",$N47&lt;&gt;"--",$N47&lt;&gt;"O3/CP",$N$14=A$18),IF(LEFT($N47,1)="P",VLOOKUP(CONCATENATE(LEFT($N47,2),"H"),$R$63:$T$91,3,FALSE),VLOOKUP($N47,$R$63:$T$91,3,FALSE)))+IF(AND($N47&lt;&gt;"",$N47&lt;&gt;"O3/CP",$N$15=A$18,MID($N47,4,1)="2",$N$15&lt;&gt;$N$14),VLOOKUP(CONCATENATE(LEFT($N47,2),"L"),$R$63:$T$91,3,FALSE),0)+IF(AND($N47="O3/CP",$N$14=A$18),VLOOKUP("O3",$R$63:$T$91,3,FALSE)+VLOOKUP("CP",$R$63:$T$91,3,FALSE),0)+IF(AND($O47&lt;&gt;"",$O47&lt;&gt;"--",$O47&lt;&gt;"O3/CP",$O$14=A$18),IF(LEFT($O47,1)="P",VLOOKUP(CONCATENATE(LEFT($O47,2),"H"),$R$63:$T$91,3,FALSE),VLOOKUP($O47,$R$63:$T$91,3,FALSE)))+IF(AND($O47&lt;&gt;"",$O47&lt;&gt;"O3/CP",$O$15=A$18,MID($O47,4,1)="2",$O$15&lt;&gt;$O$14),VLOOKUP(CONCATENATE(LEFT($O47,2),"L"),$R$63:$T$91,3,FALSE),0)+IF(AND($O47="O3/CP",$O$14=A$18),VLOOKUP("O3",$R$63:$T$91,3,FALSE)+VLOOKUP("CP",$R$63:$T$91,3,FALSE),0)+IF(AND($P47&lt;&gt;"",$P47&lt;&gt;"--",$P47&lt;&gt;"O3/CP",$P$14=A$18),IF(LEFT($P47,1)="P",VLOOKUP(CONCATENATE(LEFT($P47,2),"H"),$R$63:$T$91,3,FALSE),VLOOKUP($P47,$R$63:$T$91,3,FALSE)))+IF(AND($P47&lt;&gt;"",$P47&lt;&gt;"O3/CP",$P$15=A$18,MID($P47,4,1)="2",$P$15&lt;&gt;$P$14),VLOOKUP(CONCATENATE(LEFT($P47,2),"L"),$R$63:$T$91,3,FALSE),0)+IF(AND($P47="O3/CP",$P$14=A$18),VLOOKUP("O3",$R$63:$T$91,3,FALSE)+VLOOKUP("CP",$R$63:$T$91,3,FALSE),0)+IF(AND($Q47&lt;&gt;"",$Q47&lt;&gt;"--",$Q47&lt;&gt;"O3/CP",$Q$14=A$18),IF(LEFT($Q47,1)="P",VLOOKUP(CONCATENATE(LEFT($Q47,2),"H"),$R$63:$T$91,3,FALSE),VLOOKUP($Q47,$R$63:$T$91,3,FALSE)))+IF(AND($Q47&lt;&gt;"",$Q47&lt;&gt;"O3/CP",$Q$15=A$18,MID($Q47,4,1)="2",$Q$15&lt;&gt;$Q$14),VLOOKUP(CONCATENATE(LEFT($Q47,2),"L"),$R$63:$T$91,3,FALSE),0)+IF(AND($Q47="O3/CP",$Q$14=A$18),VLOOKUP("O3",$R$63:$T$91,3,FALSE)+VLOOKUP("CP",$R$63:$T$91,3,FALSE),0)+IF(AND($R47&lt;&gt;"",$R47&lt;&gt;"--",$R47&lt;&gt;"O3/CP",$R$14=A$18),IF(LEFT($R47,1)="P",VLOOKUP(CONCATENATE(LEFT($R47,2),"H"),$R$63:$T$91,3,FALSE),VLOOKUP($R47,$R$63:$T$91,3,FALSE)))+IF(AND($R47&lt;&gt;"",$R47&lt;&gt;"O3/CP",$R$15=A$18,MID($R47,4,1)="2",$R$15&lt;&gt;$R$14),VLOOKUP(CONCATENATE(LEFT($R47,2),"L"),$R$63:$T$91,3,FALSE),0)+IF(AND($R47="O3/CP",$R$14=A$18),VLOOKUP("O3",$R$63:$T$91,3,FALSE)+VLOOKUP("CP",$R$63:$T$91,3,FALSE),0)+IF(AND($S47&lt;&gt;"",$S47&lt;&gt;"--",$S47&lt;&gt;"O3/CP",$S$14=A$18),IF(LEFT($S47,1)="P",VLOOKUP(CONCATENATE(LEFT($S47,2),"H"),$R$63:$T$91,3,FALSE),VLOOKUP($S47,$R$63:$T$91,3,FALSE)))+IF(AND($S47&lt;&gt;"",$S47&lt;&gt;"O3/CP",$S$15=A$18,MID($S47,4,1)="2",$S$15&lt;&gt;$S$14),VLOOKUP(CONCATENATE(LEFT($S47,2),"L"),$R$63:$T$91,3,FALSE),0)+IF(AND($S47="O3/CP",$S$14=A$18),VLOOKUP("O3",$R$63:$T$91,3,FALSE)+VLOOKUP("CP",$R$63:$T$91,3,FALSE),0)+IF(AND($T47&lt;&gt;"",$T47&lt;&gt;"--",$T47&lt;&gt;"O3/CP",$T$14=A$18),IF(LEFT($T47,1)="P",VLOOKUP(CONCATENATE(LEFT($T47,2),"H"),$R$63:$T$91,3,FALSE),VLOOKUP($T47,$R$63:$T$91,3,FALSE)))+IF(AND($T47&lt;&gt;"",$T47&lt;&gt;"O3/CP",$T$15=A$18,MID($T47,4,1)="2",$T$15&lt;&gt;$T$14),VLOOKUP(CONCATENATE(LEFT($T47,2),"L"),$R$63:$T$91,3,FALSE),0)+IF(AND($T47="O3/CP",$T$14=A$18),VLOOKUP("O3",$R$63:$T$91,3,FALSE)+VLOOKUP("CP",$R$63:$T$91,3,FALSE),0)+IF(AND($U47&lt;&gt;"",$U47&lt;&gt;"--",$U47&lt;&gt;"O3/CP",$U$14=A$18),IF(LEFT($U47,1)="P",VLOOKUP(CONCATENATE(LEFT($U47,2),"H"),$R$63:$T$91,3,FALSE),VLOOKUP($U47,$R$63:$T$91,3,FALSE)))+IF(AND($U47&lt;&gt;"",$U47&lt;&gt;"O3/CP",$U$15=A$18,MID($U47,4,1)="2",$U$15&lt;&gt;$U$14),VLOOKUP(CONCATENATE(LEFT($U47,2),"L"),$R$63:$T$91,3,FALSE),0)+IF(AND($U47="O3/CP",$T$14=A$18),VLOOKUP("O3",$R$63:$T$91,3,FALSE)+VLOOKUP("CP",$R$63:$T$91,3,FALSE),0)+IF(AND($V47&lt;&gt;"",$V47&lt;&gt;"--",$V47&lt;&gt;"O3/CP",$V$14=A$18),IF(LEFT($V47,1)="P",VLOOKUP(CONCATENATE(LEFT($V47,2),"H"),$R$63:$T$91,3,FALSE),VLOOKUP($V47,$R$63:$T$91,3,FALSE)))+IF(AND($V47&lt;&gt;"",$V47&lt;&gt;"O3/CP",$V$15=A$18,MID($V47,4,1)="2",$V$15&lt;&gt;$V$14),VLOOKUP(CONCATENATE(LEFT($V47,2),"L"),$R$63:$T$91,3,FALSE),0)+IF(AND($V47="O3/CP",$V$14=A$18),VLOOKUP("O3",$R$63:$T$91,3,FALSE)+VLOOKUP("CP",$R$63:$T$91,3,FALSE),0)+IF(AND($W47&lt;&gt;"",$W47&lt;&gt;"--",$W47&lt;&gt;"O3/CP",$W$14=A$18),IF(LEFT($W47,1)="P",VLOOKUP(CONCATENATE(LEFT($W47,2),"H"),$R$63:$T$91,3,FALSE),VLOOKUP($W47,$R$63:$T$91,3,FALSE)))+IF(AND($W47&lt;&gt;"",$W47&lt;&gt;"O3/CP",$W$15=A$18,MID($W47,4,1)="2",$W$15&lt;&gt;$W$14),VLOOKUP(CONCATENATE(LEFT($W47,2),"L"),$R$63:$T$91,3,FALSE),0)+IF(AND($W47="O3/CP",$W$14=A$18),VLOOKUP("O3",$R$63:$T$91,3,FALSE)+VLOOKUP("CP",$R$63:$T$91,3,FALSE),0)+IF(AND($X47&lt;&gt;"",$X47&lt;&gt;"--",$X47&lt;&gt;"O3/CP",$X$14=A$18),IF(LEFT($X47,1)="P",VLOOKUP(CONCATENATE(LEFT($X47,2),"H"),$R$63:$T$91,3,FALSE),VLOOKUP($X47,$R$63:$T$91,3,FALSE)))+IF(AND($X47&lt;&gt;"",$X47&lt;&gt;"O3/CP",$X$15=A$18,MID($X47,4,1)="2",$X$15&lt;&gt;$X$14),VLOOKUP(CONCATENATE(LEFT($X47,2),"L"),$R$63:$T$91,3,FALSE),0)+IF(AND($X47="O3/CP",$X$14=A$18),VLOOKUP("O3",$R$63:$T$91,3,FALSE)+VLOOKUP("CP",$R$63:$T$91,3,FALSE),0)+IF(AND($Y47&lt;&gt;"",$Y47&lt;&gt;"--",$Y47&lt;&gt;"O3/CP",$Y$14=A$18),IF(LEFT($Y47,1)="P",VLOOKUP(CONCATENATE(LEFT($Y47,2),"H"),$R$63:$T$91,3,FALSE),VLOOKUP($Y47,$R$63:$T$91,3,FALSE)))+IF(AND($Y47&lt;&gt;"",$Y47&lt;&gt;"O3/CP",$Y$15=A$18,MID($Y47,4,1)="2",$Y$15&lt;&gt;$Y$14),VLOOKUP(CONCATENATE(LEFT($Y47,2),"L"),$R$63:$T$91,3,FALSE),0)+IF(AND($Y47="O3/CP",$Y$14=A$18),VLOOKUP("O3",$R$63:$T$91,3,FALSE)+VLOOKUP("CP",$R$63:$T$91,3,FALSE),0)+IF(AND($K$6="CE",'[3]Supply Attribution'!$G$20=A$18),LEFT($S$90,2),0)+IF(AND($X$86&lt;&gt;"Not Set",$X$87=A$18),$X$86,0)</f>
        <v>0</v>
      </c>
      <c r="B47" s="271">
        <f>IF(AND($K47&lt;&gt;"",$K47&lt;&gt;"--",$K47&lt;&gt;"O3/CP",$K$14=B$18),IF(LEFT($K47,1)="P",VLOOKUP(CONCATENATE(LEFT($K47,2),"H"),$R$63:$T$91,3,FALSE),VLOOKUP($K47,$R$63:$T$91,3,FALSE)))+IF(AND($K47&lt;&gt;"",$K47&lt;&gt;"O3/CP",$K$15=B$18,MID($K47,4,1)="2",$K$15&lt;&gt;$K$14),VLOOKUP(CONCATENATE(LEFT($K47,2),"L"),$R$63:$T$91,3,FALSE),0)+IF(AND($K47="O3/CP",$K$14=B$18),VLOOKUP("O3",$R$63:$T$91,3,FALSE)+VLOOKUP("CP",$R$63:$T$91,3,FALSE),0)+IF(AND($L47&lt;&gt;"",$L47&lt;&gt;"--",$L47&lt;&gt;"O3/CP",$L$14=B$18),IF(LEFT($L47,1)="P",VLOOKUP(CONCATENATE(LEFT($L47,2),"H"),$R$63:$T$91,3,FALSE),VLOOKUP($L47,$R$63:$T$91,3,FALSE)))+IF(AND($L47&lt;&gt;"",$L47&lt;&gt;"O3/CP",$L$15=B$18,MID($L47,4,1)="2",$L$15&lt;&gt;$L$14),VLOOKUP(CONCATENATE(LEFT($L47,2),"L"),$R$63:$T$91,3,FALSE),0)+IF(AND($L47="O3/CP",$L$14=B$18),VLOOKUP("O3",$R$63:$T$91,3,FALSE)+VLOOKUP("CP",$R$63:$T$91,3,FALSE),0)+IF(AND($M47&lt;&gt;"",$M47&lt;&gt;"--",$M47&lt;&gt;"O3/CP",$M$14=B$18),IF(LEFT($M47,1)="P",VLOOKUP(CONCATENATE(LEFT($M47,2),"H"),$R$63:$T$91,3,FALSE),VLOOKUP($M47,$R$63:$T$91,3,FALSE)))+IF(AND($M47&lt;&gt;"",$M47&lt;&gt;"O3/CP",$M$15=B$18,MID($M47,4,1)="2",$M$15&lt;&gt;$M$14),VLOOKUP(CONCATENATE(LEFT($M47,2),"L"),$R$63:$T$91,3,FALSE),0)+IF(AND($M47="O3/CP",$M$14=B$18),VLOOKUP("O3",$R$63:$T$91,3,FALSE)+VLOOKUP("CP",$R$63:$T$91,3,FALSE),0)+IF(AND($N47&lt;&gt;"",$N47&lt;&gt;"--",$N47&lt;&gt;"O3/CP",$N$14=B$18),IF(LEFT($N47,1)="P",VLOOKUP(CONCATENATE(LEFT($N47,2),"H"),$R$63:$T$91,3,FALSE),VLOOKUP($N47,$R$63:$T$91,3,FALSE)))+IF(AND($N47&lt;&gt;"",$N47&lt;&gt;"O3/CP",$N$15=B$18,MID($N47,4,1)="2",$N$15&lt;&gt;$N$14),VLOOKUP(CONCATENATE(LEFT($N47,2),"L"),$R$63:$T$91,3,FALSE),0)+IF(AND($N47="O3/CP",$N$14=B$18),VLOOKUP("O3",$R$63:$T$91,3,FALSE)+VLOOKUP("CP",$R$63:$T$91,3,FALSE),0)+IF(AND($O47&lt;&gt;"",$O47&lt;&gt;"--",$O47&lt;&gt;"O3/CP",$O$14=B$18),IF(LEFT($O47,1)="P",VLOOKUP(CONCATENATE(LEFT($O47,2),"H"),$R$63:$T$91,3,FALSE),VLOOKUP($O47,$R$63:$T$91,3,FALSE)))+IF(AND($O47&lt;&gt;"",$O47&lt;&gt;"O3/CP",$O$15=B$18,MID($O47,4,1)="2",$O$15&lt;&gt;$O$14),VLOOKUP(CONCATENATE(LEFT($O47,2),"L"),$R$63:$T$91,3,FALSE),0)+IF(AND($O47="O3/CP",$O$14=B$18),VLOOKUP("O3",$R$63:$T$91,3,FALSE)+VLOOKUP("CP",$R$63:$T$91,3,FALSE),0)+IF(AND($P47&lt;&gt;"",$P47&lt;&gt;"--",$P47&lt;&gt;"O3/CP",$P$14=B$18),IF(LEFT($P47,1)="P",VLOOKUP(CONCATENATE(LEFT($P47,2),"H"),$R$63:$T$91,3,FALSE),VLOOKUP($P47,$R$63:$T$91,3,FALSE)))+IF(AND($P47&lt;&gt;"",$P47&lt;&gt;"O3/CP",$P$15=B$18,MID($P47,4,1)="2",$P$15&lt;&gt;$P$14),VLOOKUP(CONCATENATE(LEFT($P47,2),"L"),$R$63:$T$91,3,FALSE),0)+IF(AND($P47="O3/CP",$P$14=B$18),VLOOKUP("O3",$R$63:$T$91,3,FALSE)+VLOOKUP("CP",$R$63:$T$91,3,FALSE),0)+IF(AND($Q47&lt;&gt;"",$Q47&lt;&gt;"--",$Q47&lt;&gt;"O3/CP",$Q$14=B$18),IF(LEFT($Q47,1)="P",VLOOKUP(CONCATENATE(LEFT($Q47,2),"H"),$R$63:$T$91,3,FALSE),VLOOKUP($Q47,$R$63:$T$91,3,FALSE)))+IF(AND($Q47&lt;&gt;"",$Q47&lt;&gt;"O3/CP",$Q$15=B$18,MID($Q47,4,1)="2",$Q$15&lt;&gt;$Q$14),VLOOKUP(CONCATENATE(LEFT($Q47,2),"L"),$R$63:$T$91,3,FALSE),0)+IF(AND($Q47="O3/CP",$Q$14=B$18),VLOOKUP("O3",$R$63:$T$91,3,FALSE)+VLOOKUP("CP",$R$63:$T$91,3,FALSE),0)+IF(AND($R47&lt;&gt;"",$R47&lt;&gt;"--",$R47&lt;&gt;"O3/CP",$R$14=B$18),IF(LEFT($R47,1)="P",VLOOKUP(CONCATENATE(LEFT($R47,2),"H"),$R$63:$T$91,3,FALSE),VLOOKUP($R47,$R$63:$T$91,3,FALSE)))+IF(AND($R47&lt;&gt;"",$R47&lt;&gt;"O3/CP",$R$15=B$18,MID($R47,4,1)="2",$R$15&lt;&gt;$R$14),VLOOKUP(CONCATENATE(LEFT($R47,2),"L"),$R$63:$T$91,3,FALSE),0)+IF(AND($R47="O3/CP",$R$14=B$18),VLOOKUP("O3",$R$63:$T$91,3,FALSE)+VLOOKUP("CP",$R$63:$T$91,3,FALSE),0)+IF(AND($S47&lt;&gt;"",$S47&lt;&gt;"--",$S47&lt;&gt;"O3/CP",$S$14=B$18),IF(LEFT($S47,1)="P",VLOOKUP(CONCATENATE(LEFT($S47,2),"H"),$R$63:$T$91,3,FALSE),VLOOKUP($S47,$R$63:$T$91,3,FALSE)))+IF(AND($S47&lt;&gt;"",$S47&lt;&gt;"O3/CP",$S$15=B$18,MID($S47,4,1)="2",$S$15&lt;&gt;$S$14),VLOOKUP(CONCATENATE(LEFT($S47,2),"L"),$R$63:$T$91,3,FALSE),0)+IF(AND($S47="O3/CP",$S$14=B$18),VLOOKUP("O3",$R$63:$T$91,3,FALSE)+VLOOKUP("CP",$R$63:$T$91,3,FALSE),0)+IF(AND($T47&lt;&gt;"",$T47&lt;&gt;"--",$T47&lt;&gt;"O3/CP",$T$14=B$18),IF(LEFT($T47,1)="P",VLOOKUP(CONCATENATE(LEFT($T47,2),"H"),$R$63:$T$91,3,FALSE),VLOOKUP($T47,$R$63:$T$91,3,FALSE)))+IF(AND($T47&lt;&gt;"",$T47&lt;&gt;"O3/CP",$T$15=B$18,MID($T47,4,1)="2",$T$15&lt;&gt;$T$14),VLOOKUP(CONCATENATE(LEFT($T47,2),"L"),$R$63:$T$91,3,FALSE),0)+IF(AND($T47="O3/CP",$T$14=B$18),VLOOKUP("O3",$R$63:$T$91,3,FALSE)+VLOOKUP("CP",$R$63:$T$91,3,FALSE),0)+IF(AND($U47&lt;&gt;"",$U47&lt;&gt;"--",$U47&lt;&gt;"O3/CP",$U$14=B$18),IF(LEFT($U47,1)="P",VLOOKUP(CONCATENATE(LEFT($U47,2),"H"),$R$63:$T$91,3,FALSE),VLOOKUP($U47,$R$63:$T$91,3,FALSE)))+IF(AND($U47&lt;&gt;"",$U47&lt;&gt;"O3/CP",$U$15=B$18,MID($U47,4,1)="2",$U$15&lt;&gt;$U$14),VLOOKUP(CONCATENATE(LEFT($U47,2),"L"),$R$63:$T$91,3,FALSE),0)+IF(AND($U47="O3/CP",$T$14=B$18),VLOOKUP("O3",$R$63:$T$91,3,FALSE)+VLOOKUP("CP",$R$63:$T$91,3,FALSE),0)+IF(AND($V47&lt;&gt;"",$V47&lt;&gt;"--",$V47&lt;&gt;"O3/CP",$V$14=B$18),IF(LEFT($V47,1)="P",VLOOKUP(CONCATENATE(LEFT($V47,2),"H"),$R$63:$T$91,3,FALSE),VLOOKUP($V47,$R$63:$T$91,3,FALSE)))+IF(AND($V47&lt;&gt;"",$V47&lt;&gt;"O3/CP",$V$15=B$18,MID($V47,4,1)="2",$V$15&lt;&gt;$V$14),VLOOKUP(CONCATENATE(LEFT($V47,2),"L"),$R$63:$T$91,3,FALSE),0)+IF(AND($V47="O3/CP",$V$14=B$18),VLOOKUP("O3",$R$63:$T$91,3,FALSE)+VLOOKUP("CP",$R$63:$T$91,3,FALSE),0)+IF(AND($W47&lt;&gt;"",$W47&lt;&gt;"--",$W47&lt;&gt;"O3/CP",$W$14=B$18),IF(LEFT($W47,1)="P",VLOOKUP(CONCATENATE(LEFT($W47,2),"H"),$R$63:$T$91,3,FALSE),VLOOKUP($W47,$R$63:$T$91,3,FALSE)))+IF(AND($W47&lt;&gt;"",$W47&lt;&gt;"O3/CP",$W$15=B$18,MID($W47,4,1)="2",$W$15&lt;&gt;$W$14),VLOOKUP(CONCATENATE(LEFT($W47,2),"L"),$R$63:$T$91,3,FALSE),0)+IF(AND($W47="O3/CP",$W$14=B$18),VLOOKUP("O3",$R$63:$T$91,3,FALSE)+VLOOKUP("CP",$R$63:$T$91,3,FALSE),0)+IF(AND($X47&lt;&gt;"",$X47&lt;&gt;"--",$X47&lt;&gt;"O3/CP",$X$14=B$18),IF(LEFT($X47,1)="P",VLOOKUP(CONCATENATE(LEFT($X47,2),"H"),$R$63:$T$91,3,FALSE),VLOOKUP($X47,$R$63:$T$91,3,FALSE)))+IF(AND($X47&lt;&gt;"",$X47&lt;&gt;"O3/CP",$X$15=B$18,MID($X47,4,1)="2",$X$15&lt;&gt;$X$14),VLOOKUP(CONCATENATE(LEFT($X47,2),"L"),$R$63:$T$91,3,FALSE),0)+IF(AND($X47="O3/CP",$X$14=B$18),VLOOKUP("O3",$R$63:$T$91,3,FALSE)+VLOOKUP("CP",$R$63:$T$91,3,FALSE),0)+IF(AND($Y47&lt;&gt;"",$Y47&lt;&gt;"--",$Y47&lt;&gt;"O3/CP",$Y$14=B$18),IF(LEFT($Y47,1)="P",VLOOKUP(CONCATENATE(LEFT($Y47,2),"H"),$R$63:$T$91,3,FALSE),VLOOKUP($Y47,$R$63:$T$91,3,FALSE)))+IF(AND($Y47&lt;&gt;"",$Y47&lt;&gt;"O3/CP",$Y$15=B$18,MID($Y47,4,1)="2",$Y$15&lt;&gt;$Y$14),VLOOKUP(CONCATENATE(LEFT($Y47,2),"L"),$R$63:$T$91,3,FALSE),0)+IF(AND($Y47="O3/CP",$Y$14=B$18),VLOOKUP("O3",$R$63:$T$91,3,FALSE)+VLOOKUP("CP",$R$63:$T$91,3,FALSE),0)+IF(AND($K$6="CE",'[3]Supply Attribution'!$G$20=B$18),LEFT($S$90,2),0)+IF(AND($X$86&lt;&gt;"Not Set",$X$87=B$18),$X$86,0)</f>
        <v>0</v>
      </c>
      <c r="C47" s="271">
        <f>IF(AND($K47&lt;&gt;"",$K47&lt;&gt;"--",$K47&lt;&gt;"O3/CP",$K$14=C$18),IF(LEFT($K47,1)="P",VLOOKUP(CONCATENATE(LEFT($K47,2),"H"),$R$63:$T$91,3,FALSE),VLOOKUP($K47,$R$63:$T$91,3,FALSE)))+IF(AND($K47&lt;&gt;"",$K47&lt;&gt;"O3/CP",$K$15=C$18,MID($K47,4,1)="2",$K$15&lt;&gt;$K$14),VLOOKUP(CONCATENATE(LEFT($K47,2),"L"),$R$63:$T$91,3,FALSE),0)+IF(AND($K47="O3/CP",$K$14=C$18),VLOOKUP("O3",$R$63:$T$91,3,FALSE)+VLOOKUP("CP",$R$63:$T$91,3,FALSE),0)+IF(AND($L47&lt;&gt;"",$L47&lt;&gt;"--",$L47&lt;&gt;"O3/CP",$L$14=C$18),IF(LEFT($L47,1)="P",VLOOKUP(CONCATENATE(LEFT($L47,2),"H"),$R$63:$T$91,3,FALSE),VLOOKUP($L47,$R$63:$T$91,3,FALSE)))+IF(AND($L47&lt;&gt;"",$L47&lt;&gt;"O3/CP",$L$15=C$18,MID($L47,4,1)="2",$L$15&lt;&gt;$L$14),VLOOKUP(CONCATENATE(LEFT($L47,2),"L"),$R$63:$T$91,3,FALSE),0)+IF(AND($L47="O3/CP",$L$14=C$18),VLOOKUP("O3",$R$63:$T$91,3,FALSE)+VLOOKUP("CP",$R$63:$T$91,3,FALSE),0)+IF(AND($M47&lt;&gt;"",$M47&lt;&gt;"--",$M47&lt;&gt;"O3/CP",$M$14=C$18),IF(LEFT($M47,1)="P",VLOOKUP(CONCATENATE(LEFT($M47,2),"H"),$R$63:$T$91,3,FALSE),VLOOKUP($M47,$R$63:$T$91,3,FALSE)))+IF(AND($M47&lt;&gt;"",$M47&lt;&gt;"O3/CP",$M$15=C$18,MID($M47,4,1)="2",$M$15&lt;&gt;$M$14),VLOOKUP(CONCATENATE(LEFT($M47,2),"L"),$R$63:$T$91,3,FALSE),0)+IF(AND($M47="O3/CP",$M$14=C$18),VLOOKUP("O3",$R$63:$T$91,3,FALSE)+VLOOKUP("CP",$R$63:$T$91,3,FALSE),0)+IF(AND($N47&lt;&gt;"",$N47&lt;&gt;"--",$N47&lt;&gt;"O3/CP",$N$14=C$18),IF(LEFT($N47,1)="P",VLOOKUP(CONCATENATE(LEFT($N47,2),"H"),$R$63:$T$91,3,FALSE),VLOOKUP($N47,$R$63:$T$91,3,FALSE)))+IF(AND($N47&lt;&gt;"",$N47&lt;&gt;"O3/CP",$N$15=C$18,MID($N47,4,1)="2",$N$15&lt;&gt;$N$14),VLOOKUP(CONCATENATE(LEFT($N47,2),"L"),$R$63:$T$91,3,FALSE),0)+IF(AND($N47="O3/CP",$N$14=C$18),VLOOKUP("O3",$R$63:$T$91,3,FALSE)+VLOOKUP("CP",$R$63:$T$91,3,FALSE),0)+IF(AND($O47&lt;&gt;"",$O47&lt;&gt;"--",$O47&lt;&gt;"O3/CP",$O$14=C$18),IF(LEFT($O47,1)="P",VLOOKUP(CONCATENATE(LEFT($O47,2),"H"),$R$63:$T$91,3,FALSE),VLOOKUP($O47,$R$63:$T$91,3,FALSE)))+IF(AND($O47&lt;&gt;"",$O47&lt;&gt;"O3/CP",$O$15=C$18,MID($O47,4,1)="2",$O$15&lt;&gt;$O$14),VLOOKUP(CONCATENATE(LEFT($O47,2),"L"),$R$63:$T$91,3,FALSE),0)+IF(AND($O47="O3/CP",$O$14=C$18),VLOOKUP("O3",$R$63:$T$91,3,FALSE)+VLOOKUP("CP",$R$63:$T$91,3,FALSE),0)+IF(AND($P47&lt;&gt;"",$P47&lt;&gt;"--",$P47&lt;&gt;"O3/CP",$P$14=C$18),IF(LEFT($P47,1)="P",VLOOKUP(CONCATENATE(LEFT($P47,2),"H"),$R$63:$T$91,3,FALSE),VLOOKUP($P47,$R$63:$T$91,3,FALSE)))+IF(AND($P47&lt;&gt;"",$P47&lt;&gt;"O3/CP",$P$15=C$18,MID($P47,4,1)="2",$P$15&lt;&gt;$P$14),VLOOKUP(CONCATENATE(LEFT($P47,2),"L"),$R$63:$T$91,3,FALSE),0)+IF(AND($P47="O3/CP",$P$14=C$18),VLOOKUP("O3",$R$63:$T$91,3,FALSE)+VLOOKUP("CP",$R$63:$T$91,3,FALSE),0)+IF(AND($Q47&lt;&gt;"",$Q47&lt;&gt;"--",$Q47&lt;&gt;"O3/CP",$Q$14=C$18),IF(LEFT($Q47,1)="P",VLOOKUP(CONCATENATE(LEFT($Q47,2),"H"),$R$63:$T$91,3,FALSE),VLOOKUP($Q47,$R$63:$T$91,3,FALSE)))+IF(AND($Q47&lt;&gt;"",$Q47&lt;&gt;"O3/CP",$Q$15=C$18,MID($Q47,4,1)="2",$Q$15&lt;&gt;$Q$14),VLOOKUP(CONCATENATE(LEFT($Q47,2),"L"),$R$63:$T$91,3,FALSE),0)+IF(AND($Q47="O3/CP",$Q$14=C$18),VLOOKUP("O3",$R$63:$T$91,3,FALSE)+VLOOKUP("CP",$R$63:$T$91,3,FALSE),0)+IF(AND($R47&lt;&gt;"",$R47&lt;&gt;"--",$R47&lt;&gt;"O3/CP",$R$14=C$18),IF(LEFT($R47,1)="P",VLOOKUP(CONCATENATE(LEFT($R47,2),"H"),$R$63:$T$91,3,FALSE),VLOOKUP($R47,$R$63:$T$91,3,FALSE)))+IF(AND($R47&lt;&gt;"",$R47&lt;&gt;"O3/CP",$R$15=C$18,MID($R47,4,1)="2",$R$15&lt;&gt;$R$14),VLOOKUP(CONCATENATE(LEFT($R47,2),"L"),$R$63:$T$91,3,FALSE),0)+IF(AND($R47="O3/CP",$R$14=C$18),VLOOKUP("O3",$R$63:$T$91,3,FALSE)+VLOOKUP("CP",$R$63:$T$91,3,FALSE),0)+IF(AND($S47&lt;&gt;"",$S47&lt;&gt;"--",$S47&lt;&gt;"O3/CP",$S$14=C$18),IF(LEFT($S47,1)="P",VLOOKUP(CONCATENATE(LEFT($S47,2),"H"),$R$63:$T$91,3,FALSE),VLOOKUP($S47,$R$63:$T$91,3,FALSE)))+IF(AND($S47&lt;&gt;"",$S47&lt;&gt;"O3/CP",$S$15=C$18,MID($S47,4,1)="2",$S$15&lt;&gt;$S$14),VLOOKUP(CONCATENATE(LEFT($S47,2),"L"),$R$63:$T$91,3,FALSE),0)+IF(AND($S47="O3/CP",$S$14=C$18),VLOOKUP("O3",$R$63:$T$91,3,FALSE)+VLOOKUP("CP",$R$63:$T$91,3,FALSE),0)+IF(AND($T47&lt;&gt;"",$T47&lt;&gt;"--",$T47&lt;&gt;"O3/CP",$T$14=C$18),IF(LEFT($T47,1)="P",VLOOKUP(CONCATENATE(LEFT($T47,2),"H"),$R$63:$T$91,3,FALSE),VLOOKUP($T47,$R$63:$T$91,3,FALSE)))+IF(AND($T47&lt;&gt;"",$T47&lt;&gt;"O3/CP",$T$15=C$18,MID($T47,4,1)="2",$T$15&lt;&gt;$T$14),VLOOKUP(CONCATENATE(LEFT($T47,2),"L"),$R$63:$T$91,3,FALSE),0)+IF(AND($T47="O3/CP",$T$14=C$18),VLOOKUP("O3",$R$63:$T$91,3,FALSE)+VLOOKUP("CP",$R$63:$T$91,3,FALSE),0)+IF(AND($U47&lt;&gt;"",$U47&lt;&gt;"--",$U47&lt;&gt;"O3/CP",$U$14=C$18),IF(LEFT($U47,1)="P",VLOOKUP(CONCATENATE(LEFT($U47,2),"H"),$R$63:$T$91,3,FALSE),VLOOKUP($U47,$R$63:$T$91,3,FALSE)))+IF(AND($U47&lt;&gt;"",$U47&lt;&gt;"O3/CP",$U$15=C$18,MID($U47,4,1)="2",$U$15&lt;&gt;$U$14),VLOOKUP(CONCATENATE(LEFT($U47,2),"L"),$R$63:$T$91,3,FALSE),0)+IF(AND($U47="O3/CP",$T$14=C$18),VLOOKUP("O3",$R$63:$T$91,3,FALSE)+VLOOKUP("CP",$R$63:$T$91,3,FALSE),0)+IF(AND($V47&lt;&gt;"",$V47&lt;&gt;"--",$V47&lt;&gt;"O3/CP",$V$14=C$18),IF(LEFT($V47,1)="P",VLOOKUP(CONCATENATE(LEFT($V47,2),"H"),$R$63:$T$91,3,FALSE),VLOOKUP($V47,$R$63:$T$91,3,FALSE)))+IF(AND($V47&lt;&gt;"",$V47&lt;&gt;"O3/CP",$V$15=C$18,MID($V47,4,1)="2",$V$15&lt;&gt;$V$14),VLOOKUP(CONCATENATE(LEFT($V47,2),"L"),$R$63:$T$91,3,FALSE),0)+IF(AND($V47="O3/CP",$V$14=C$18),VLOOKUP("O3",$R$63:$T$91,3,FALSE)+VLOOKUP("CP",$R$63:$T$91,3,FALSE),0)+IF(AND($W47&lt;&gt;"",$W47&lt;&gt;"--",$W47&lt;&gt;"O3/CP",$W$14=C$18),IF(LEFT($W47,1)="P",VLOOKUP(CONCATENATE(LEFT($W47,2),"H"),$R$63:$T$91,3,FALSE),VLOOKUP($W47,$R$63:$T$91,3,FALSE)))+IF(AND($W47&lt;&gt;"",$W47&lt;&gt;"O3/CP",$W$15=C$18,MID($W47,4,1)="2",$W$15&lt;&gt;$W$14),VLOOKUP(CONCATENATE(LEFT($W47,2),"L"),$R$63:$T$91,3,FALSE),0)+IF(AND($W47="O3/CP",$W$14=C$18),VLOOKUP("O3",$R$63:$T$91,3,FALSE)+VLOOKUP("CP",$R$63:$T$91,3,FALSE),0)+IF(AND($X47&lt;&gt;"",$X47&lt;&gt;"--",$X47&lt;&gt;"O3/CP",$X$14=C$18),IF(LEFT($X47,1)="P",VLOOKUP(CONCATENATE(LEFT($X47,2),"H"),$R$63:$T$91,3,FALSE),VLOOKUP($X47,$R$63:$T$91,3,FALSE)))+IF(AND($X47&lt;&gt;"",$X47&lt;&gt;"O3/CP",$X$15=C$18,MID($X47,4,1)="2",$X$15&lt;&gt;$X$14),VLOOKUP(CONCATENATE(LEFT($X47,2),"L"),$R$63:$T$91,3,FALSE),0)+IF(AND($X47="O3/CP",$X$14=C$18),VLOOKUP("O3",$R$63:$T$91,3,FALSE)+VLOOKUP("CP",$R$63:$T$91,3,FALSE),0)+IF(AND($Y47&lt;&gt;"",$Y47&lt;&gt;"--",$Y47&lt;&gt;"O3/CP",$Y$14=C$18),IF(LEFT($Y47,1)="P",VLOOKUP(CONCATENATE(LEFT($Y47,2),"H"),$R$63:$T$91,3,FALSE),VLOOKUP($Y47,$R$63:$T$91,3,FALSE)))+IF(AND($Y47&lt;&gt;"",$Y47&lt;&gt;"O3/CP",$Y$15=C$18,MID($Y47,4,1)="2",$Y$15&lt;&gt;$Y$14),VLOOKUP(CONCATENATE(LEFT($Y47,2),"L"),$R$63:$T$91,3,FALSE),0)+IF(AND($Y47="O3/CP",$Y$14=C$18),VLOOKUP("O3",$R$63:$T$91,3,FALSE)+VLOOKUP("CP",$R$63:$T$91,3,FALSE),0)+IF(AND($K$6="CE",'[3]Supply Attribution'!$G$20=C$18),LEFT($S$90,2),0)+IF(AND($X$86&lt;&gt;"Not Set",$X$87=C$18),$X$86,0)</f>
        <v>0</v>
      </c>
      <c r="D47" s="271">
        <f>IF(AND($K47&lt;&gt;"",$K47&lt;&gt;"--",$K47&lt;&gt;"O3/CP",$K$14=D$18),IF(LEFT($K47,1)="P",VLOOKUP(CONCATENATE(LEFT($K47,2),"H"),$R$63:$T$91,3,FALSE),VLOOKUP($K47,$R$63:$T$91,3,FALSE)))+IF(AND($K47&lt;&gt;"",$K47&lt;&gt;"O3/CP",$K$15=D$18,MID($K47,4,1)="2",$K$15&lt;&gt;$K$14),VLOOKUP(CONCATENATE(LEFT($K47,2),"L"),$R$63:$T$91,3,FALSE),0)+IF(AND($K47="O3/CP",$K$14=D$18),VLOOKUP("O3",$R$63:$T$91,3,FALSE)+VLOOKUP("CP",$R$63:$T$91,3,FALSE),0)+IF(AND($L47&lt;&gt;"",$L47&lt;&gt;"--",$L47&lt;&gt;"O3/CP",$L$14=D$18),IF(LEFT($L47,1)="P",VLOOKUP(CONCATENATE(LEFT($L47,2),"H"),$R$63:$T$91,3,FALSE),VLOOKUP($L47,$R$63:$T$91,3,FALSE)))+IF(AND($L47&lt;&gt;"",$L47&lt;&gt;"O3/CP",$L$15=D$18,MID($L47,4,1)="2",$L$15&lt;&gt;$L$14),VLOOKUP(CONCATENATE(LEFT($L47,2),"L"),$R$63:$T$91,3,FALSE),0)+IF(AND($L47="O3/CP",$L$14=D$18),VLOOKUP("O3",$R$63:$T$91,3,FALSE)+VLOOKUP("CP",$R$63:$T$91,3,FALSE),0)+IF(AND($M47&lt;&gt;"",$M47&lt;&gt;"--",$M47&lt;&gt;"O3/CP",$M$14=D$18),IF(LEFT($M47,1)="P",VLOOKUP(CONCATENATE(LEFT($M47,2),"H"),$R$63:$T$91,3,FALSE),VLOOKUP($M47,$R$63:$T$91,3,FALSE)))+IF(AND($M47&lt;&gt;"",$M47&lt;&gt;"O3/CP",$M$15=D$18,MID($M47,4,1)="2",$M$15&lt;&gt;$M$14),VLOOKUP(CONCATENATE(LEFT($M47,2),"L"),$R$63:$T$91,3,FALSE),0)+IF(AND($M47="O3/CP",$M$14=D$18),VLOOKUP("O3",$R$63:$T$91,3,FALSE)+VLOOKUP("CP",$R$63:$T$91,3,FALSE),0)+IF(AND($N47&lt;&gt;"",$N47&lt;&gt;"--",$N47&lt;&gt;"O3/CP",$N$14=D$18),IF(LEFT($N47,1)="P",VLOOKUP(CONCATENATE(LEFT($N47,2),"H"),$R$63:$T$91,3,FALSE),VLOOKUP($N47,$R$63:$T$91,3,FALSE)))+IF(AND($N47&lt;&gt;"",$N47&lt;&gt;"O3/CP",$N$15=D$18,MID($N47,4,1)="2",$N$15&lt;&gt;$N$14),VLOOKUP(CONCATENATE(LEFT($N47,2),"L"),$R$63:$T$91,3,FALSE),0)+IF(AND($N47="O3/CP",$N$14=D$18),VLOOKUP("O3",$R$63:$T$91,3,FALSE)+VLOOKUP("CP",$R$63:$T$91,3,FALSE),0)+IF(AND($O47&lt;&gt;"",$O47&lt;&gt;"--",$O47&lt;&gt;"O3/CP",$O$14=D$18),IF(LEFT($O47,1)="P",VLOOKUP(CONCATENATE(LEFT($O47,2),"H"),$R$63:$T$91,3,FALSE),VLOOKUP($O47,$R$63:$T$91,3,FALSE)))+IF(AND($O47&lt;&gt;"",$O47&lt;&gt;"O3/CP",$O$15=D$18,MID($O47,4,1)="2",$O$15&lt;&gt;$O$14),VLOOKUP(CONCATENATE(LEFT($O47,2),"L"),$R$63:$T$91,3,FALSE),0)+IF(AND($O47="O3/CP",$O$14=D$18),VLOOKUP("O3",$R$63:$T$91,3,FALSE)+VLOOKUP("CP",$R$63:$T$91,3,FALSE),0)+IF(AND($P47&lt;&gt;"",$P47&lt;&gt;"--",$P47&lt;&gt;"O3/CP",$P$14=D$18),IF(LEFT($P47,1)="P",VLOOKUP(CONCATENATE(LEFT($P47,2),"H"),$R$63:$T$91,3,FALSE),VLOOKUP($P47,$R$63:$T$91,3,FALSE)))+IF(AND($P47&lt;&gt;"",$P47&lt;&gt;"O3/CP",$P$15=D$18,MID($P47,4,1)="2",$P$15&lt;&gt;$P$14),VLOOKUP(CONCATENATE(LEFT($P47,2),"L"),$R$63:$T$91,3,FALSE),0)+IF(AND($P47="O3/CP",$P$14=D$18),VLOOKUP("O3",$R$63:$T$91,3,FALSE)+VLOOKUP("CP",$R$63:$T$91,3,FALSE),0)+IF(AND($Q47&lt;&gt;"",$Q47&lt;&gt;"--",$Q47&lt;&gt;"O3/CP",$Q$14=D$18),IF(LEFT($Q47,1)="P",VLOOKUP(CONCATENATE(LEFT($Q47,2),"H"),$R$63:$T$91,3,FALSE),VLOOKUP($Q47,$R$63:$T$91,3,FALSE)))+IF(AND($Q47&lt;&gt;"",$Q47&lt;&gt;"O3/CP",$Q$15=D$18,MID($Q47,4,1)="2",$Q$15&lt;&gt;$Q$14),VLOOKUP(CONCATENATE(LEFT($Q47,2),"L"),$R$63:$T$91,3,FALSE),0)+IF(AND($Q47="O3/CP",$Q$14=D$18),VLOOKUP("O3",$R$63:$T$91,3,FALSE)+VLOOKUP("CP",$R$63:$T$91,3,FALSE),0)+IF(AND($R47&lt;&gt;"",$R47&lt;&gt;"--",$R47&lt;&gt;"O3/CP",$R$14=D$18),IF(LEFT($R47,1)="P",VLOOKUP(CONCATENATE(LEFT($R47,2),"H"),$R$63:$T$91,3,FALSE),VLOOKUP($R47,$R$63:$T$91,3,FALSE)))+IF(AND($R47&lt;&gt;"",$R47&lt;&gt;"O3/CP",$R$15=D$18,MID($R47,4,1)="2",$R$15&lt;&gt;$R$14),VLOOKUP(CONCATENATE(LEFT($R47,2),"L"),$R$63:$T$91,3,FALSE),0)+IF(AND($R47="O3/CP",$R$14=D$18),VLOOKUP("O3",$R$63:$T$91,3,FALSE)+VLOOKUP("CP",$R$63:$T$91,3,FALSE),0)+IF(AND($S47&lt;&gt;"",$S47&lt;&gt;"--",$S47&lt;&gt;"O3/CP",$S$14=D$18),IF(LEFT($S47,1)="P",VLOOKUP(CONCATENATE(LEFT($S47,2),"H"),$R$63:$T$91,3,FALSE),VLOOKUP($S47,$R$63:$T$91,3,FALSE)))+IF(AND($S47&lt;&gt;"",$S47&lt;&gt;"O3/CP",$S$15=D$18,MID($S47,4,1)="2",$S$15&lt;&gt;$S$14),VLOOKUP(CONCATENATE(LEFT($S47,2),"L"),$R$63:$T$91,3,FALSE),0)+IF(AND($S47="O3/CP",$S$14=D$18),VLOOKUP("O3",$R$63:$T$91,3,FALSE)+VLOOKUP("CP",$R$63:$T$91,3,FALSE),0)+IF(AND($T47&lt;&gt;"",$T47&lt;&gt;"--",$T47&lt;&gt;"O3/CP",$T$14=D$18),IF(LEFT($T47,1)="P",VLOOKUP(CONCATENATE(LEFT($T47,2),"H"),$R$63:$T$91,3,FALSE),VLOOKUP($T47,$R$63:$T$91,3,FALSE)))+IF(AND($T47&lt;&gt;"",$T47&lt;&gt;"O3/CP",$T$15=D$18,MID($T47,4,1)="2",$T$15&lt;&gt;$T$14),VLOOKUP(CONCATENATE(LEFT($T47,2),"L"),$R$63:$T$91,3,FALSE),0)+IF(AND($T47="O3/CP",$T$14=D$18),VLOOKUP("O3",$R$63:$T$91,3,FALSE)+VLOOKUP("CP",$R$63:$T$91,3,FALSE),0)+IF(AND($U47&lt;&gt;"",$U47&lt;&gt;"--",$U47&lt;&gt;"O3/CP",$U$14=D$18),IF(LEFT($U47,1)="P",VLOOKUP(CONCATENATE(LEFT($U47,2),"H"),$R$63:$T$91,3,FALSE),VLOOKUP($U47,$R$63:$T$91,3,FALSE)))+IF(AND($U47&lt;&gt;"",$U47&lt;&gt;"O3/CP",$U$15=D$18,MID($U47,4,1)="2",$U$15&lt;&gt;$U$14),VLOOKUP(CONCATENATE(LEFT($U47,2),"L"),$R$63:$T$91,3,FALSE),0)+IF(AND($U47="O3/CP",$T$14=D$18),VLOOKUP("O3",$R$63:$T$91,3,FALSE)+VLOOKUP("CP",$R$63:$T$91,3,FALSE),0)+IF(AND($V47&lt;&gt;"",$V47&lt;&gt;"--",$V47&lt;&gt;"O3/CP",$V$14=D$18),IF(LEFT($V47,1)="P",VLOOKUP(CONCATENATE(LEFT($V47,2),"H"),$R$63:$T$91,3,FALSE),VLOOKUP($V47,$R$63:$T$91,3,FALSE)))+IF(AND($V47&lt;&gt;"",$V47&lt;&gt;"O3/CP",$V$15=D$18,MID($V47,4,1)="2",$V$15&lt;&gt;$V$14),VLOOKUP(CONCATENATE(LEFT($V47,2),"L"),$R$63:$T$91,3,FALSE),0)+IF(AND($V47="O3/CP",$V$14=D$18),VLOOKUP("O3",$R$63:$T$91,3,FALSE)+VLOOKUP("CP",$R$63:$T$91,3,FALSE),0)+IF(AND($W47&lt;&gt;"",$W47&lt;&gt;"--",$W47&lt;&gt;"O3/CP",$W$14=D$18),IF(LEFT($W47,1)="P",VLOOKUP(CONCATENATE(LEFT($W47,2),"H"),$R$63:$T$91,3,FALSE),VLOOKUP($W47,$R$63:$T$91,3,FALSE)))+IF(AND($W47&lt;&gt;"",$W47&lt;&gt;"O3/CP",$W$15=D$18,MID($W47,4,1)="2",$W$15&lt;&gt;$W$14),VLOOKUP(CONCATENATE(LEFT($W47,2),"L"),$R$63:$T$91,3,FALSE),0)+IF(AND($W47="O3/CP",$W$14=D$18),VLOOKUP("O3",$R$63:$T$91,3,FALSE)+VLOOKUP("CP",$R$63:$T$91,3,FALSE),0)+IF(AND($X47&lt;&gt;"",$X47&lt;&gt;"--",$X47&lt;&gt;"O3/CP",$X$14=D$18),IF(LEFT($X47,1)="P",VLOOKUP(CONCATENATE(LEFT($X47,2),"H"),$R$63:$T$91,3,FALSE),VLOOKUP($X47,$R$63:$T$91,3,FALSE)))+IF(AND($X47&lt;&gt;"",$X47&lt;&gt;"O3/CP",$X$15=D$18,MID($X47,4,1)="2",$X$15&lt;&gt;$X$14),VLOOKUP(CONCATENATE(LEFT($X47,2),"L"),$R$63:$T$91,3,FALSE),0)+IF(AND($X47="O3/CP",$X$14=D$18),VLOOKUP("O3",$R$63:$T$91,3,FALSE)+VLOOKUP("CP",$R$63:$T$91,3,FALSE),0)+IF(AND($Y47&lt;&gt;"",$Y47&lt;&gt;"--",$Y47&lt;&gt;"O3/CP",$Y$14=D$18),IF(LEFT($Y47,1)="P",VLOOKUP(CONCATENATE(LEFT($Y47,2),"H"),$R$63:$T$91,3,FALSE),VLOOKUP($Y47,$R$63:$T$91,3,FALSE)))+IF(AND($Y47&lt;&gt;"",$Y47&lt;&gt;"O3/CP",$Y$15=D$18,MID($Y47,4,1)="2",$Y$15&lt;&gt;$Y$14),VLOOKUP(CONCATENATE(LEFT($Y47,2),"L"),$R$63:$T$91,3,FALSE),0)+IF(AND($Y47="O3/CP",$Y$14=D$18),VLOOKUP("O3",$R$63:$T$91,3,FALSE)+VLOOKUP("CP",$R$63:$T$91,3,FALSE),0)+IF(AND($K$6="CE",'[3]Supply Attribution'!$G$20=D$18),LEFT($S$90,2),0)+IF(AND($X$86&lt;&gt;"Not Set",$X$87=D$18),$X$86,0)</f>
        <v>0</v>
      </c>
      <c r="E47" s="271">
        <f>IF(AND($K47&lt;&gt;"",$K47&lt;&gt;"--",$K47&lt;&gt;"O3/CP",$K$14=E$18),IF(LEFT($K47,1)="P",VLOOKUP(CONCATENATE(LEFT($K47,2),"H"),$R$63:$T$91,3,FALSE),VLOOKUP($K47,$R$63:$T$91,3,FALSE)))+IF(AND($K47&lt;&gt;"",$K47&lt;&gt;"O3/CP",$K$15=E$18,MID($K47,4,1)="2",$K$15&lt;&gt;$K$14),VLOOKUP(CONCATENATE(LEFT($K47,2),"L"),$R$63:$T$91,3,FALSE),0)+IF(AND($K47="O3/CP",$K$14=E$18),VLOOKUP("O3",$R$63:$T$91,3,FALSE)+VLOOKUP("CP",$R$63:$T$91,3,FALSE),0)+IF(AND($L47&lt;&gt;"",$L47&lt;&gt;"--",$L47&lt;&gt;"O3/CP",$L$14=E$18),IF(LEFT($L47,1)="P",VLOOKUP(CONCATENATE(LEFT($L47,2),"H"),$R$63:$T$91,3,FALSE),VLOOKUP($L47,$R$63:$T$91,3,FALSE)))+IF(AND($L47&lt;&gt;"",$L47&lt;&gt;"O3/CP",$L$15=E$18,MID($L47,4,1)="2",$L$15&lt;&gt;$L$14),VLOOKUP(CONCATENATE(LEFT($L47,2),"L"),$R$63:$T$91,3,FALSE),0)+IF(AND($L47="O3/CP",$L$14=E$18),VLOOKUP("O3",$R$63:$T$91,3,FALSE)+VLOOKUP("CP",$R$63:$T$91,3,FALSE),0)+IF(AND($M47&lt;&gt;"",$M47&lt;&gt;"--",$M47&lt;&gt;"O3/CP",$M$14=E$18),IF(LEFT($M47,1)="P",VLOOKUP(CONCATENATE(LEFT($M47,2),"H"),$R$63:$T$91,3,FALSE),VLOOKUP($M47,$R$63:$T$91,3,FALSE)))+IF(AND($M47&lt;&gt;"",$M47&lt;&gt;"O3/CP",$M$15=E$18,MID($M47,4,1)="2",$M$15&lt;&gt;$M$14),VLOOKUP(CONCATENATE(LEFT($M47,2),"L"),$R$63:$T$91,3,FALSE),0)+IF(AND($M47="O3/CP",$M$14=E$18),VLOOKUP("O3",$R$63:$T$91,3,FALSE)+VLOOKUP("CP",$R$63:$T$91,3,FALSE),0)+IF(AND($N47&lt;&gt;"",$N47&lt;&gt;"--",$N47&lt;&gt;"O3/CP",$N$14=E$18),IF(LEFT($N47,1)="P",VLOOKUP(CONCATENATE(LEFT($N47,2),"H"),$R$63:$T$91,3,FALSE),VLOOKUP($N47,$R$63:$T$91,3,FALSE)))+IF(AND($N47&lt;&gt;"",$N47&lt;&gt;"O3/CP",$N$15=E$18,MID($N47,4,1)="2",$N$15&lt;&gt;$N$14),VLOOKUP(CONCATENATE(LEFT($N47,2),"L"),$R$63:$T$91,3,FALSE),0)+IF(AND($N47="O3/CP",$N$14=E$18),VLOOKUP("O3",$R$63:$T$91,3,FALSE)+VLOOKUP("CP",$R$63:$T$91,3,FALSE),0)+IF(AND($O47&lt;&gt;"",$O47&lt;&gt;"--",$O47&lt;&gt;"O3/CP",$O$14=E$18),IF(LEFT($O47,1)="P",VLOOKUP(CONCATENATE(LEFT($O47,2),"H"),$R$63:$T$91,3,FALSE),VLOOKUP($O47,$R$63:$T$91,3,FALSE)))+IF(AND($O47&lt;&gt;"",$O47&lt;&gt;"O3/CP",$O$15=E$18,MID($O47,4,1)="2",$O$15&lt;&gt;$O$14),VLOOKUP(CONCATENATE(LEFT($O47,2),"L"),$R$63:$T$91,3,FALSE),0)+IF(AND($O47="O3/CP",$O$14=E$18),VLOOKUP("O3",$R$63:$T$91,3,FALSE)+VLOOKUP("CP",$R$63:$T$91,3,FALSE),0)+IF(AND($P47&lt;&gt;"",$P47&lt;&gt;"--",$P47&lt;&gt;"O3/CP",$P$14=E$18),IF(LEFT($P47,1)="P",VLOOKUP(CONCATENATE(LEFT($P47,2),"H"),$R$63:$T$91,3,FALSE),VLOOKUP($P47,$R$63:$T$91,3,FALSE)))+IF(AND($P47&lt;&gt;"",$P47&lt;&gt;"O3/CP",$P$15=E$18,MID($P47,4,1)="2",$P$15&lt;&gt;$P$14),VLOOKUP(CONCATENATE(LEFT($P47,2),"L"),$R$63:$T$91,3,FALSE),0)+IF(AND($P47="O3/CP",$P$14=E$18),VLOOKUP("O3",$R$63:$T$91,3,FALSE)+VLOOKUP("CP",$R$63:$T$91,3,FALSE),0)+IF(AND($Q47&lt;&gt;"",$Q47&lt;&gt;"--",$Q47&lt;&gt;"O3/CP",$Q$14=E$18),IF(LEFT($Q47,1)="P",VLOOKUP(CONCATENATE(LEFT($Q47,2),"H"),$R$63:$T$91,3,FALSE),VLOOKUP($Q47,$R$63:$T$91,3,FALSE)))+IF(AND($Q47&lt;&gt;"",$Q47&lt;&gt;"O3/CP",$Q$15=E$18,MID($Q47,4,1)="2",$Q$15&lt;&gt;$Q$14),VLOOKUP(CONCATENATE(LEFT($Q47,2),"L"),$R$63:$T$91,3,FALSE),0)+IF(AND($Q47="O3/CP",$Q$14=E$18),VLOOKUP("O3",$R$63:$T$91,3,FALSE)+VLOOKUP("CP",$R$63:$T$91,3,FALSE),0)+IF(AND($R47&lt;&gt;"",$R47&lt;&gt;"--",$R47&lt;&gt;"O3/CP",$R$14=E$18),IF(LEFT($R47,1)="P",VLOOKUP(CONCATENATE(LEFT($R47,2),"H"),$R$63:$T$91,3,FALSE),VLOOKUP($R47,$R$63:$T$91,3,FALSE)))+IF(AND($R47&lt;&gt;"",$R47&lt;&gt;"O3/CP",$R$15=E$18,MID($R47,4,1)="2",$R$15&lt;&gt;$R$14),VLOOKUP(CONCATENATE(LEFT($R47,2),"L"),$R$63:$T$91,3,FALSE),0)+IF(AND($R47="O3/CP",$R$14=E$18),VLOOKUP("O3",$R$63:$T$91,3,FALSE)+VLOOKUP("CP",$R$63:$T$91,3,FALSE),0)+IF(AND($S47&lt;&gt;"",$S47&lt;&gt;"--",$S47&lt;&gt;"O3/CP",$S$14=E$18),IF(LEFT($S47,1)="P",VLOOKUP(CONCATENATE(LEFT($S47,2),"H"),$R$63:$T$91,3,FALSE),VLOOKUP($S47,$R$63:$T$91,3,FALSE)))+IF(AND($S47&lt;&gt;"",$S47&lt;&gt;"O3/CP",$S$15=E$18,MID($S47,4,1)="2",$S$15&lt;&gt;$S$14),VLOOKUP(CONCATENATE(LEFT($S47,2),"L"),$R$63:$T$91,3,FALSE),0)+IF(AND($S47="O3/CP",$S$14=E$18),VLOOKUP("O3",$R$63:$T$91,3,FALSE)+VLOOKUP("CP",$R$63:$T$91,3,FALSE),0)+IF(AND($T47&lt;&gt;"",$T47&lt;&gt;"--",$T47&lt;&gt;"O3/CP",$T$14=E$18),IF(LEFT($T47,1)="P",VLOOKUP(CONCATENATE(LEFT($T47,2),"H"),$R$63:$T$91,3,FALSE),VLOOKUP($T47,$R$63:$T$91,3,FALSE)))+IF(AND($T47&lt;&gt;"",$T47&lt;&gt;"O3/CP",$T$15=E$18,MID($T47,4,1)="2",$T$15&lt;&gt;$T$14),VLOOKUP(CONCATENATE(LEFT($T47,2),"L"),$R$63:$T$91,3,FALSE),0)+IF(AND($T47="O3/CP",$T$14=E$18),VLOOKUP("O3",$R$63:$T$91,3,FALSE)+VLOOKUP("CP",$R$63:$T$91,3,FALSE),0)+IF(AND($U47&lt;&gt;"",$U47&lt;&gt;"--",$U47&lt;&gt;"O3/CP",$U$14=E$18),IF(LEFT($U47,1)="P",VLOOKUP(CONCATENATE(LEFT($U47,2),"H"),$R$63:$T$91,3,FALSE),VLOOKUP($U47,$R$63:$T$91,3,FALSE)))+IF(AND($U47&lt;&gt;"",$U47&lt;&gt;"O3/CP",$U$15=E$18,MID($U47,4,1)="2",$U$15&lt;&gt;$U$14),VLOOKUP(CONCATENATE(LEFT($U47,2),"L"),$R$63:$T$91,3,FALSE),0)+IF(AND($U47="O3/CP",$T$14=E$18),VLOOKUP("O3",$R$63:$T$91,3,FALSE)+VLOOKUP("CP",$R$63:$T$91,3,FALSE),0)+IF(AND($V47&lt;&gt;"",$V47&lt;&gt;"--",$V47&lt;&gt;"O3/CP",$V$14=E$18),IF(LEFT($V47,1)="P",VLOOKUP(CONCATENATE(LEFT($V47,2),"H"),$R$63:$T$91,3,FALSE),VLOOKUP($V47,$R$63:$T$91,3,FALSE)))+IF(AND($V47&lt;&gt;"",$V47&lt;&gt;"O3/CP",$V$15=E$18,MID($V47,4,1)="2",$V$15&lt;&gt;$V$14),VLOOKUP(CONCATENATE(LEFT($V47,2),"L"),$R$63:$T$91,3,FALSE),0)+IF(AND($V47="O3/CP",$V$14=E$18),VLOOKUP("O3",$R$63:$T$91,3,FALSE)+VLOOKUP("CP",$R$63:$T$91,3,FALSE),0)+IF(AND($W47&lt;&gt;"",$W47&lt;&gt;"--",$W47&lt;&gt;"O3/CP",$W$14=E$18),IF(LEFT($W47,1)="P",VLOOKUP(CONCATENATE(LEFT($W47,2),"H"),$R$63:$T$91,3,FALSE),VLOOKUP($W47,$R$63:$T$91,3,FALSE)))+IF(AND($W47&lt;&gt;"",$W47&lt;&gt;"O3/CP",$W$15=E$18,MID($W47,4,1)="2",$W$15&lt;&gt;$W$14),VLOOKUP(CONCATENATE(LEFT($W47,2),"L"),$R$63:$T$91,3,FALSE),0)+IF(AND($W47="O3/CP",$W$14=E$18),VLOOKUP("O3",$R$63:$T$91,3,FALSE)+VLOOKUP("CP",$R$63:$T$91,3,FALSE),0)+IF(AND($X47&lt;&gt;"",$X47&lt;&gt;"--",$X47&lt;&gt;"O3/CP",$X$14=E$18),IF(LEFT($X47,1)="P",VLOOKUP(CONCATENATE(LEFT($X47,2),"H"),$R$63:$T$91,3,FALSE),VLOOKUP($X47,$R$63:$T$91,3,FALSE)))+IF(AND($X47&lt;&gt;"",$X47&lt;&gt;"O3/CP",$X$15=E$18,MID($X47,4,1)="2",$X$15&lt;&gt;$X$14),VLOOKUP(CONCATENATE(LEFT($X47,2),"L"),$R$63:$T$91,3,FALSE),0)+IF(AND($X47="O3/CP",$X$14=E$18),VLOOKUP("O3",$R$63:$T$91,3,FALSE)+VLOOKUP("CP",$R$63:$T$91,3,FALSE),0)+IF(AND($Y47&lt;&gt;"",$Y47&lt;&gt;"--",$Y47&lt;&gt;"O3/CP",$Y$14=E$18),IF(LEFT($Y47,1)="P",VLOOKUP(CONCATENATE(LEFT($Y47,2),"H"),$R$63:$T$91,3,FALSE),VLOOKUP($Y47,$R$63:$T$91,3,FALSE)))+IF(AND($Y47&lt;&gt;"",$Y47&lt;&gt;"O3/CP",$Y$15=E$18,MID($Y47,4,1)="2",$Y$15&lt;&gt;$Y$14),VLOOKUP(CONCATENATE(LEFT($Y47,2),"L"),$R$63:$T$91,3,FALSE),0)+IF(AND($Y47="O3/CP",$Y$14=E$18),VLOOKUP("O3",$R$63:$T$91,3,FALSE)+VLOOKUP("CP",$R$63:$T$91,3,FALSE),0)+IF(AND($K$6="CE",'[3]Supply Attribution'!$G$20=E$18),LEFT($S$90,2),0)+IF(AND($X$86&lt;&gt;"Not Set",$X$87=E$18),$X$86,0)</f>
        <v>0</v>
      </c>
      <c r="F47" s="272">
        <f>IF(AND($K47&lt;&gt;"",$K47&lt;&gt;"--",$K47&lt;&gt;"O3/CP",$K$14=F$18),IF(LEFT($K47,1)="P",VLOOKUP(CONCATENATE(LEFT($K47,2),"H"),$R$63:$T$91,3,FALSE),VLOOKUP($K47,$R$63:$T$91,3,FALSE)))+IF(AND($K47&lt;&gt;"",$K47&lt;&gt;"O3/CP",$K$15=F$18,MID($K47,4,1)="2",$K$15&lt;&gt;$K$14),VLOOKUP(CONCATENATE(LEFT($K47,2),"L"),$R$63:$T$91,3,FALSE),0)+IF(AND($K47="O3/CP",$K$14=F$18),VLOOKUP("O3",$R$63:$T$91,3,FALSE)+VLOOKUP("CP",$R$63:$T$91,3,FALSE),0)+IF(AND($L47&lt;&gt;"",$L47&lt;&gt;"--",$L47&lt;&gt;"O3/CP",$L$14=F$18),IF(LEFT($L47,1)="P",VLOOKUP(CONCATENATE(LEFT($L47,2),"H"),$R$63:$T$91,3,FALSE),VLOOKUP($L47,$R$63:$T$91,3,FALSE)))+IF(AND($L47&lt;&gt;"",$L47&lt;&gt;"O3/CP",$L$15=F$18,MID($L47,4,1)="2",$L$15&lt;&gt;$L$14),VLOOKUP(CONCATENATE(LEFT($L47,2),"L"),$R$63:$T$91,3,FALSE),0)+IF(AND($L47="O3/CP",$L$14=F$18),VLOOKUP("O3",$R$63:$T$91,3,FALSE)+VLOOKUP("CP",$R$63:$T$91,3,FALSE),0)+IF(AND($M47&lt;&gt;"",$M47&lt;&gt;"--",$M47&lt;&gt;"O3/CP",$M$14=F$18),IF(LEFT($M47,1)="P",VLOOKUP(CONCATENATE(LEFT($M47,2),"H"),$R$63:$T$91,3,FALSE),VLOOKUP($M47,$R$63:$T$91,3,FALSE)))+IF(AND($M47&lt;&gt;"",$M47&lt;&gt;"O3/CP",$M$15=F$18,MID($M47,4,1)="2",$M$15&lt;&gt;$M$14),VLOOKUP(CONCATENATE(LEFT($M47,2),"L"),$R$63:$T$91,3,FALSE),0)+IF(AND($M47="O3/CP",$M$14=F$18),VLOOKUP("O3",$R$63:$T$91,3,FALSE)+VLOOKUP("CP",$R$63:$T$91,3,FALSE),0)+IF(AND($N47&lt;&gt;"",$N47&lt;&gt;"--",$N47&lt;&gt;"O3/CP",$N$14=F$18),IF(LEFT($N47,1)="P",VLOOKUP(CONCATENATE(LEFT($N47,2),"H"),$R$63:$T$91,3,FALSE),VLOOKUP($N47,$R$63:$T$91,3,FALSE)))+IF(AND($N47&lt;&gt;"",$N47&lt;&gt;"O3/CP",$N$15=F$18,MID($N47,4,1)="2",$N$15&lt;&gt;$N$14),VLOOKUP(CONCATENATE(LEFT($N47,2),"L"),$R$63:$T$91,3,FALSE),0)+IF(AND($N47="O3/CP",$N$14=F$18),VLOOKUP("O3",$R$63:$T$91,3,FALSE)+VLOOKUP("CP",$R$63:$T$91,3,FALSE),0)+IF(AND($O47&lt;&gt;"",$O47&lt;&gt;"--",$O47&lt;&gt;"O3/CP",$O$14=F$18),IF(LEFT($O47,1)="P",VLOOKUP(CONCATENATE(LEFT($O47,2),"H"),$R$63:$T$91,3,FALSE),VLOOKUP($O47,$R$63:$T$91,3,FALSE)))+IF(AND($O47&lt;&gt;"",$O47&lt;&gt;"O3/CP",$O$15=F$18,MID($O47,4,1)="2",$O$15&lt;&gt;$O$14),VLOOKUP(CONCATENATE(LEFT($O47,2),"L"),$R$63:$T$91,3,FALSE),0)+IF(AND($O47="O3/CP",$O$14=F$18),VLOOKUP("O3",$R$63:$T$91,3,FALSE)+VLOOKUP("CP",$R$63:$T$91,3,FALSE),0)+IF(AND($P47&lt;&gt;"",$P47&lt;&gt;"--",$P47&lt;&gt;"O3/CP",$P$14=F$18),IF(LEFT($P47,1)="P",VLOOKUP(CONCATENATE(LEFT($P47,2),"H"),$R$63:$T$91,3,FALSE),VLOOKUP($P47,$R$63:$T$91,3,FALSE)))+IF(AND($P47&lt;&gt;"",$P47&lt;&gt;"O3/CP",$P$15=F$18,MID($P47,4,1)="2",$P$15&lt;&gt;$P$14),VLOOKUP(CONCATENATE(LEFT($P47,2),"L"),$R$63:$T$91,3,FALSE),0)+IF(AND($P47="O3/CP",$P$14=F$18),VLOOKUP("O3",$R$63:$T$91,3,FALSE)+VLOOKUP("CP",$R$63:$T$91,3,FALSE),0)+IF(AND($Q47&lt;&gt;"",$Q47&lt;&gt;"--",$Q47&lt;&gt;"O3/CP",$Q$14=F$18),IF(LEFT($Q47,1)="P",VLOOKUP(CONCATENATE(LEFT($Q47,2),"H"),$R$63:$T$91,3,FALSE),VLOOKUP($Q47,$R$63:$T$91,3,FALSE)))+IF(AND($Q47&lt;&gt;"",$Q47&lt;&gt;"O3/CP",$Q$15=F$18,MID($Q47,4,1)="2",$Q$15&lt;&gt;$Q$14),VLOOKUP(CONCATENATE(LEFT($Q47,2),"L"),$R$63:$T$91,3,FALSE),0)+IF(AND($Q47="O3/CP",$Q$14=F$18),VLOOKUP("O3",$R$63:$T$91,3,FALSE)+VLOOKUP("CP",$R$63:$T$91,3,FALSE),0)+IF(AND($R47&lt;&gt;"",$R47&lt;&gt;"--",$R47&lt;&gt;"O3/CP",$R$14=F$18),IF(LEFT($R47,1)="P",VLOOKUP(CONCATENATE(LEFT($R47,2),"H"),$R$63:$T$91,3,FALSE),VLOOKUP($R47,$R$63:$T$91,3,FALSE)))+IF(AND($R47&lt;&gt;"",$R47&lt;&gt;"O3/CP",$R$15=F$18,MID($R47,4,1)="2",$R$15&lt;&gt;$R$14),VLOOKUP(CONCATENATE(LEFT($R47,2),"L"),$R$63:$T$91,3,FALSE),0)+IF(AND($R47="O3/CP",$R$14=F$18),VLOOKUP("O3",$R$63:$T$91,3,FALSE)+VLOOKUP("CP",$R$63:$T$91,3,FALSE),0)+IF(AND($S47&lt;&gt;"",$S47&lt;&gt;"--",$S47&lt;&gt;"O3/CP",$S$14=F$18),IF(LEFT($S47,1)="P",VLOOKUP(CONCATENATE(LEFT($S47,2),"H"),$R$63:$T$91,3,FALSE),VLOOKUP($S47,$R$63:$T$91,3,FALSE)))+IF(AND($S47&lt;&gt;"",$S47&lt;&gt;"O3/CP",$S$15=F$18,MID($S47,4,1)="2",$S$15&lt;&gt;$S$14),VLOOKUP(CONCATENATE(LEFT($S47,2),"L"),$R$63:$T$91,3,FALSE),0)+IF(AND($S47="O3/CP",$S$14=F$18),VLOOKUP("O3",$R$63:$T$91,3,FALSE)+VLOOKUP("CP",$R$63:$T$91,3,FALSE),0)+IF(AND($T47&lt;&gt;"",$T47&lt;&gt;"--",$T47&lt;&gt;"O3/CP",$T$14=F$18),IF(LEFT($T47,1)="P",VLOOKUP(CONCATENATE(LEFT($T47,2),"H"),$R$63:$T$91,3,FALSE),VLOOKUP($T47,$R$63:$T$91,3,FALSE)))+IF(AND($T47&lt;&gt;"",$T47&lt;&gt;"O3/CP",$T$15=F$18,MID($T47,4,1)="2",$T$15&lt;&gt;$T$14),VLOOKUP(CONCATENATE(LEFT($T47,2),"L"),$R$63:$T$91,3,FALSE),0)+IF(AND($T47="O3/CP",$T$14=F$18),VLOOKUP("O3",$R$63:$T$91,3,FALSE)+VLOOKUP("CP",$R$63:$T$91,3,FALSE),0)+IF(AND($U47&lt;&gt;"",$U47&lt;&gt;"--",$U47&lt;&gt;"O3/CP",$U$14=F$18),IF(LEFT($U47,1)="P",VLOOKUP(CONCATENATE(LEFT($U47,2),"H"),$R$63:$T$91,3,FALSE),VLOOKUP($U47,$R$63:$T$91,3,FALSE)))+IF(AND($U47&lt;&gt;"",$U47&lt;&gt;"O3/CP",$U$15=F$18,MID($U47,4,1)="2",$U$15&lt;&gt;$U$14),VLOOKUP(CONCATENATE(LEFT($U47,2),"L"),$R$63:$T$91,3,FALSE),0)+IF(AND($U47="O3/CP",$T$14=F$18),VLOOKUP("O3",$R$63:$T$91,3,FALSE)+VLOOKUP("CP",$R$63:$T$91,3,FALSE),0)+IF(AND($V47&lt;&gt;"",$V47&lt;&gt;"--",$V47&lt;&gt;"O3/CP",$V$14=F$18),IF(LEFT($V47,1)="P",VLOOKUP(CONCATENATE(LEFT($V47,2),"H"),$R$63:$T$91,3,FALSE),VLOOKUP($V47,$R$63:$T$91,3,FALSE)))+IF(AND($V47&lt;&gt;"",$V47&lt;&gt;"O3/CP",$V$15=F$18,MID($V47,4,1)="2",$V$15&lt;&gt;$V$14),VLOOKUP(CONCATENATE(LEFT($V47,2),"L"),$R$63:$T$91,3,FALSE),0)+IF(AND($V47="O3/CP",$V$14=F$18),VLOOKUP("O3",$R$63:$T$91,3,FALSE)+VLOOKUP("CP",$R$63:$T$91,3,FALSE),0)+IF(AND($W47&lt;&gt;"",$W47&lt;&gt;"--",$W47&lt;&gt;"O3/CP",$W$14=F$18),IF(LEFT($W47,1)="P",VLOOKUP(CONCATENATE(LEFT($W47,2),"H"),$R$63:$T$91,3,FALSE),VLOOKUP($W47,$R$63:$T$91,3,FALSE)))+IF(AND($W47&lt;&gt;"",$W47&lt;&gt;"O3/CP",$W$15=F$18,MID($W47,4,1)="2",$W$15&lt;&gt;$W$14),VLOOKUP(CONCATENATE(LEFT($W47,2),"L"),$R$63:$T$91,3,FALSE),0)+IF(AND($W47="O3/CP",$W$14=F$18),VLOOKUP("O3",$R$63:$T$91,3,FALSE)+VLOOKUP("CP",$R$63:$T$91,3,FALSE),0)+IF(AND($X47&lt;&gt;"",$X47&lt;&gt;"--",$X47&lt;&gt;"O3/CP",$X$14=F$18),IF(LEFT($X47,1)="P",VLOOKUP(CONCATENATE(LEFT($X47,2),"H"),$R$63:$T$91,3,FALSE),VLOOKUP($X47,$R$63:$T$91,3,FALSE)))+IF(AND($X47&lt;&gt;"",$X47&lt;&gt;"O3/CP",$X$15=F$18,MID($X47,4,1)="2",$X$15&lt;&gt;$X$14),VLOOKUP(CONCATENATE(LEFT($X47,2),"L"),$R$63:$T$91,3,FALSE),0)+IF(AND($X47="O3/CP",$X$14=F$18),VLOOKUP("O3",$R$63:$T$91,3,FALSE)+VLOOKUP("CP",$R$63:$T$91,3,FALSE),0)+IF(AND($Y47&lt;&gt;"",$Y47&lt;&gt;"--",$Y47&lt;&gt;"O3/CP",$Y$14=F$18),IF(LEFT($Y47,1)="P",VLOOKUP(CONCATENATE(LEFT($Y47,2),"H"),$R$63:$T$91,3,FALSE),VLOOKUP($Y47,$R$63:$T$91,3,FALSE)))+IF(AND($Y47&lt;&gt;"",$Y47&lt;&gt;"O3/CP",$Y$15=F$18,MID($Y47,4,1)="2",$Y$15&lt;&gt;$Y$14),VLOOKUP(CONCATENATE(LEFT($Y47,2),"L"),$R$63:$T$91,3,FALSE),0)+IF(AND($Y47="O3/CP",$Y$14=F$18),VLOOKUP("O3",$R$63:$T$91,3,FALSE)+VLOOKUP("CP",$R$63:$T$91,3,FALSE),0)+IF(AND($K$6="CE",'[3]Supply Attribution'!$G$20=F$18),LEFT($S$90,2),0)+IF(AND($X$86&lt;&gt;"Not Set",$X$87=F$18),$X$86,0)</f>
        <v>0</v>
      </c>
      <c r="G47" s="271">
        <f>IF(AND($K$6="CE",$T$59="1 Phase"),SUM(A47:F47)-IF(AND($K$14&lt;&gt;$K$15,RIGHT($K47,3)="2SP"),VLOOKUP(CONCATENATE(LEFT($K47,2),"L"),$R$63:$T$90,3,FALSE),0)-IF(AND($L$14&lt;&gt;$L$15,RIGHT($L47,3)="2SP"),VLOOKUP(CONCATENATE(LEFT($L47,2),"L"),$R$63:$T$90,3,FALSE),0)-IF(AND($M$14&lt;&gt;$M$15,RIGHT($M47,3)="2SP"),VLOOKUP(CONCATENATE(LEFT($M47,2),"L"),$R$63:$T$90,3,FALSE),0)-IF(AND($N$14&lt;&gt;$N$15,RIGHT($N47,3)="2SP"),VLOOKUP(CONCATENATE(LEFT($N47,2),"L"),$R$63:$T$90,3,FALSE),0)-IF(AND($O$14&lt;&gt;$O$15,RIGHT($O47,3)="2SP"),VLOOKUP(CONCATENATE(LEFT($O47,2),"L"),$R$63:$T$90,3,FALSE),0)-IF(AND($P$14&lt;&gt;$P$15,RIGHT($P47,3)="2SP"),VLOOKUP(CONCATENATE(LEFT($P47,2),"L"),$R$63:$T$90,3,FALSE),0)-IF(AND($Q$14&lt;&gt;$Q$15,RIGHT($Q47,3)="2SP"),VLOOKUP(CONCATENATE(LEFT($Q47,2),"L"),$R$63:$T$90,3,FALSE),0)-IF(AND($R$14&lt;&gt;$R$15,RIGHT($T47,3)="2SP"),VLOOKUP(CONCATENATE(LEFT($R47,2),"L"),$R$63:$T$90,3,FALSE),0)-IF(AND($S$14&lt;&gt;$S$15,RIGHT($T47,3)="2SP"),VLOOKUP(CONCATENATE(LEFT($S47,2),"L"),$R$63:$T$90,3,FALSE),0)-IF(AND($T$14&lt;&gt;$T$15,RIGHT($T47,3)="2SP"),VLOOKUP(CONCATENATE(LEFT($T47,2),"L"),$R$63:$T$90,3,FALSE),0)-IF(AND($U$14&lt;&gt;$U$15,RIGHT($U47,3)="2SP"),VLOOKUP(CONCATENATE(LEFT($U47,2),"L"),$R$63:$T$90,3,FALSE),0)-IF(AND($V$14&lt;&gt;$V$15,RIGHT($V47,3)="2SP"),VLOOKUP(CONCATENATE(LEFT($V47,2),"L"),$R$63:$T$90,3,FALSE),0)-IF(AND($W$14&lt;&gt;$W$15,RIGHT($W47,3)="2SP"),VLOOKUP(CONCATENATE(LEFT($W47,2),"L"),$R$63:$T$90,3,FALSE),0)-IF(AND($X$14&lt;&gt;$X$15,RIGHT($X47,3)="2SP"),VLOOKUP(CONCATENATE(LEFT($X47,2),"L"),$R$63:$T$90,3,FALSE),0)-IF(AND($Y$14&lt;&gt;$Y$15,RIGHT($Y47,3)="2SP"),VLOOKUP(CONCATENATE(LEFT($Y47,2),"L"),$R$63:$T$90,3,FALSE),0),IF(VLOOKUP(CONCATENATE($A$18,"Line"),'[3]Supply Attribution'!$F$31:$G$37,2,FALSE)=G$18,$A47,0)+IF(VLOOKUP(CONCATENATE($B$18,"Line"),'[3]Supply Attribution'!$F$31:$G$37,2,FALSE)=G$18,$B47,0)+IF(VLOOKUP(CONCATENATE($C$18,"Line"),'[3]Supply Attribution'!$F$31:$G$37,2,FALSE)=G$18,$C47,0)+IF(VLOOKUP(CONCATENATE($D$18,"Line"),'[3]Supply Attribution'!$F$31:$G$37,2,FALSE)=G$18,$D47,0)+IF(VLOOKUP(CONCATENATE($E$18,"Line"),'[3]Supply Attribution'!$F$31:$G$37,2,FALSE)=G$18,$E47,0)+IF(VLOOKUP(CONCATENATE($F$18,"Line"),'[3]Supply Attribution'!$F$31:$G$37,2,FALSE)=G$18,$F47,0)+IF($K$6="UL",LEFT($S$90,2),0)-IF(AND($K$16=G$18,$K$14&lt;&gt;$K$15,$K$16=$K$17,RIGHT($K47,3)="2SP"),VLOOKUP(CONCATENATE(LEFT($K47,2),"L"),$R$63:$T$90,3,FALSE),0)-IF(AND($L$16=G$18,$L$14&lt;&gt;$L$15,$L$16=$L$17,RIGHT($L47,3)="2SP"),VLOOKUP(CONCATENATE(LEFT($L47,2),"L"),$R$63:$T$90,3,FALSE),0)-IF(AND($M$16=G$18,$M$14&lt;&gt;$M$15,$M$16=$M$17,RIGHT($M47,3)="2SP"),VLOOKUP(CONCATENATE(LEFT($M47,2),"L"),$R$63:$T$90,3,FALSE),0)-IF(AND($N$16=G$18,$N$14&lt;&gt;$N$15,$N$16=$N$17,RIGHT($N47,3)="2SP"),VLOOKUP(CONCATENATE(LEFT($N47,2),"L"),$R$63:$T$90,3,FALSE),0)-IF(AND($O$16=G$18,$O$14&lt;&gt;$O$15,$O$16=$O$17,RIGHT($O47,3)="2SP"),VLOOKUP(CONCATENATE(LEFT($O47,2),"L"),$R$63:$T$90,3,FALSE),0)-IF(AND($P$16=G$18,$P$14&lt;&gt;$P$15,$P$16=$P$17,RIGHT($P47,3)="2SP"),VLOOKUP(CONCATENATE(LEFT($P47,2),"L"),$R$63:$T$90,3,FALSE),0)-IF(AND($Q$16=G$18,$Q$14&lt;&gt;$Q$15,$Q$16=$Q$17,RIGHT($Q47,3)="2SP"),VLOOKUP(CONCATENATE(LEFT($Q47,2),"L"),$R$63:$T$90,3,FALSE),0)-IF(AND($R$16=G$18,$R$14&lt;&gt;$R$15,$R$16=$R$17,RIGHT($R47,3)="2SP"),VLOOKUP(CONCATENATE(LEFT($R47,2),"L"),$R$63:$T$90,3,FALSE),0)-IF(AND($S$16=G$18,$S$14&lt;&gt;$S$15,$S$16=$S$17,RIGHT($S47,3)="2SP"),VLOOKUP(CONCATENATE(LEFT($S47,2),"L"),$R$63:$T$90,3,FALSE),0)-IF(AND($T$16=G$18,$T$14&lt;&gt;$T$15,$T$16=$T$17,RIGHT($T47,3)="2SP"),VLOOKUP(CONCATENATE(LEFT($T47,2),"L"),$R$63:$T$90,3,FALSE),0)-IF(AND($U$16=G$18,$U$14&lt;&gt;$U$15,$U$16=$U$17,RIGHT($U47,3)="2SP"),VLOOKUP(CONCATENATE(LEFT($U47,2),"L"),$R$63:$T$90,3,FALSE),0)-IF(AND($V$16=G$18,$V$14&lt;&gt;$V$15,$V$16=$V$17,RIGHT($V47,3)="2SP"),VLOOKUP(CONCATENATE(LEFT($V47,2),"L"),$R$63:$T$90,3,FALSE),0)-IF(AND($W$16=G$18,$W$14&lt;&gt;$W$15,$W$16=$W$17,RIGHT($W47,3)="2SP"),VLOOKUP(CONCATENATE(LEFT($W47,2),"L"),$R$63:$T$90,3,FALSE),0)-IF(AND($X$16=G$18,$X$14&lt;&gt;$X$15,$X$16=$X$17,RIGHT($X47,3)="2SP"),VLOOKUP(CONCATENATE(LEFT($X47,2),"L"),$R$63:$T$90,3,FALSE),0)-IF(AND($Y$16=G$18,$Y$14&lt;&gt;$Y$15,$Y$16=$Y$17,RIGHT($Y47,3)="2SP"),VLOOKUP(CONCATENATE(LEFT($Y47,2),"L"),$R$63:$T$90,3,FALSE),0))</f>
        <v>17</v>
      </c>
      <c r="H47" s="271" t="str">
        <f>IF(H$18&lt;&gt;"",IF(VLOOKUP(CONCATENATE($A$18,"Line"),'Supply Attribution'!$F$31:$G$37,2,FALSE)=H$18,$A47,0)+IF(VLOOKUP(CONCATENATE($B$18,"Line"),'Supply Attribution'!$F$31:$G$37,2,FALSE)=H$18,$B47,0)+IF(VLOOKUP(CONCATENATE($C$18,"Line"),'Supply Attribution'!$F$31:$G$37,2,FALSE)=H$18,$C47,0)+IF(VLOOKUP(CONCATENATE($D$18,"Line"),'Supply Attribution'!$F$31:$G$37,2,FALSE)=H$18,$D47,0)+IF(VLOOKUP(CONCATENATE($E$18,"Line"),'Supply Attribution'!$F$31:$G$37,2,FALSE)=H$18,$E47,0)+IF(VLOOKUP(CONCATENATE($F$18,"Line"),'Supply Attribution'!$F$31:$G$37,2,FALSE)=H$18,$F47,0)+IF($K$6="UL",LEFT($S$90,2),0)-IF(AND($K$16=H$18,$K$14&lt;&gt;$K$15,$K$16=$K$17,RIGHT($K47,3)="2SP"),VLOOKUP(CONCATENATE(LEFT($K47,2),"L"),$R$63:$T$90,3,FALSE),0)-IF(AND($L$16=H$18,$L$14&lt;&gt;$L$15,$L$16=$L$17,RIGHT($L47,3)="2SP"),VLOOKUP(CONCATENATE(LEFT($L47,2),"L"),$R$63:$T$90,3,FALSE),0)-IF(AND($M$16=H$18,$M$14&lt;&gt;$M$15,$M$16=$M$17,RIGHT($M47,3)="2SP"),VLOOKUP(CONCATENATE(LEFT($M47,2),"L"),$R$63:$T$90,3,FALSE),0)-IF(AND($N$16=H$18,$N$14&lt;&gt;$N$15,$N$16=$N$17,RIGHT($N47,3)="2SP"),VLOOKUP(CONCATENATE(LEFT($N47,2),"L"),$R$63:$T$90,3,FALSE),0)-IF(AND($O$16=H$18,$O$14&lt;&gt;$O$15,$O$16=$O$17,RIGHT($O47,3)="2SP"),VLOOKUP(CONCATENATE(LEFT($O47,2),"L"),$R$63:$T$90,3,FALSE),0)-IF(AND($P$16=H$18,$P$14&lt;&gt;$P$15,$P$16=$P$17,RIGHT($P47,3)="2SP"),VLOOKUP(CONCATENATE(LEFT($P47,2),"L"),$R$63:$T$90,3,FALSE),0)-IF(AND($Q$16=H$18,$Q$14&lt;&gt;$Q$15,$Q$16=$Q$17,RIGHT($Q47,3)="2SP"),VLOOKUP(CONCATENATE(LEFT($Q47,2),"L"),$R$63:$T$90,3,FALSE),0)-IF(AND($T$16=H$18,$T$14&lt;&gt;$T$15,$T$16=$T$17,RIGHT($T47,3)="2SP"),VLOOKUP(CONCATENATE(LEFT($T47,2),"L"),$R$63:$T$90,3,FALSE),0)-IF(AND($U$16=H$18,$U$14&lt;&gt;$U$15,$U$16=$U$17,RIGHT($U47,3)="2SP"),VLOOKUP(CONCATENATE(LEFT($U47,2),"L"),$R$63:$T$90,3,FALSE),0)-IF(AND($V$16=H$18,$V$14&lt;&gt;$V$15,$V$16=$V$17,RIGHT($V47,3)="2SP"),VLOOKUP(CONCATENATE(LEFT($V47,2),"L"),$R$63:$T$90,3,FALSE),0)-IF(AND($W$16=H$18,$W$14&lt;&gt;$W$15,$W$16=$W$17,RIGHT($W47,3)="2SP"),VLOOKUP(CONCATENATE(LEFT($W47,2),"L"),$R$63:$T$90,3,FALSE),0)-IF(AND($X$16=H$18,$X$14&lt;&gt;$X$15,$X$16=$X$17,RIGHT($X47,3)="2SP"),VLOOKUP(CONCATENATE(LEFT($X47,2),"L"),$R$63:$T$90,3,FALSE),0)-IF(AND($Y$16=H$18,$Y$14&lt;&gt;$Y$15,$Y$16=$Y$17,RIGHT($Y47,3)="2SP"),VLOOKUP(CONCATENATE(LEFT($Y47,2),"L"),$R$63:$T$90,3,FALSE),0)+IF(AND($K$6="CE",$T$59="2 Phases",H$18&lt;&gt;""),IF(VLOOKUP(CONCATENATE($A$18,"Line"),'Supply Attribution'!$F$31:$G$37,2,FALSE)="Line3",$A47,0)+IF(VLOOKUP(CONCATENATE($B$18,"Line"),'Supply Attribution'!$F$31:$G$37,2,FALSE)="Line3",$B47,0)+IF(VLOOKUP(CONCATENATE($C$18,"Line"),'Supply Attribution'!$F$31:$G$37,2,FALSE)="Line3",$C47,0)+IF(VLOOKUP(CONCATENATE($D$18,"Line"),'Supply Attribution'!$F$31:$G$37,2,FALSE)="Line3",$D47,0)+IF(VLOOKUP(CONCATENATE($E$18,"Line"),'Supply Attribution'!$F$31:$G$37,2,FALSE)="Line3",$E47,0)+IF(VLOOKUP(CONCATENATE($F$18,"Line"),'Supply Attribution'!$F$31:$G$37,2,FALSE)="Line3",$F47,0)-IF(AND($K$16=I$18,$K$14&lt;&gt;$K$15,$K$16=$K$17,RIGHT($K47,3)="2SP"),VLOOKUP(CONCATENATE(LEFT($K47,2),"L"),$R$63:$T$90,3,FALSE),0)-IF(AND($L$16=I$18,$L$14&lt;&gt;$L$15,$L$16=$L$17,RIGHT($L47,3)="2SP"),VLOOKUP(CONCATENATE(LEFT($L47,2),"L"),$R$63:$T$90,3,FALSE),0)-IF(AND($M$16=I$18,$M$14&lt;&gt;$M$15,$M$16=$M$17,RIGHT($M47,3)="2SP"),VLOOKUP(CONCATENATE(LEFT($M47,2),"L"),$R$63:$T$90,3,FALSE),0)-IF(AND($N$16=I$18,$N$14&lt;&gt;$N$15,$N$16=$N$17,RIGHT($N47,3)="2SP"),VLOOKUP(CONCATENATE(LEFT($N47,2),"L"),$R$63:$T$90,3,FALSE),0)-IF(AND($O$16=I$18,$O$14&lt;&gt;$O$15,$O$16=$O$17,RIGHT($O47,3)="2SP"),VLOOKUP(CONCATENATE(LEFT($O47,2),"L"),$R$63:$T$90,3,FALSE),0)-IF(AND($P$16=I$18,$P$14&lt;&gt;$P$15,$P$16=$P$17,RIGHT($P47,3)="2SP"),VLOOKUP(CONCATENATE(LEFT($P47,2),"L"),$R$63:$T$90,3,FALSE),0)-IF(AND($Q$16=I$18,$Q$14&lt;&gt;$Q$15,$Q$16=$Q$17,RIGHT($Q47,3)="2SP"),VLOOKUP(CONCATENATE(LEFT($Q47,2),"L"),$R$63:$T$90,3,FALSE),0)-IF(AND($T$16=I$18,$T$14&lt;&gt;$T$15,$T$16=$T$17,RIGHT($T47,3)="2SP"),VLOOKUP(CONCATENATE(LEFT($T47,2),"L"),$R$63:$T$90,3,FALSE),0)-IF(AND($U$16=I$18,$U$14&lt;&gt;$U$15,$U$16=$U$17,RIGHT($U47,3)="2SP"),VLOOKUP(CONCATENATE(LEFT($U47,2),"L"),$R$63:$T$90,3,FALSE),0)-IF(AND($V$16=I$18,$V$14&lt;&gt;$V$15,$V$16=$V$17,RIGHT($V47,3)="2SP"),VLOOKUP(CONCATENATE(LEFT($V47,2),"L"),$R$63:$T$90,3,FALSE),0)-IF(AND($W$16=I$18,$W$14&lt;&gt;$W$15,$W$16=$W$17,RIGHT($W47,3)="2SP"),VLOOKUP(CONCATENATE(LEFT($W47,2),"L"),$R$63:$T$90,3,FALSE),0)-IF(AND($X$16=I$18,$X$14&lt;&gt;$X$15,$X$16=$X$17,RIGHT($X47,3)="2SP"),VLOOKUP(CONCATENATE(LEFT($X47,2),"L"),$R$63:$T$90,3,FALSE),0)-IF(AND($Y$16=I$18,$Y$14&lt;&gt;$Y$15,$Y$16=$Y$17,RIGHT($Y47,3)="2SP"),VLOOKUP(CONCATENATE(LEFT($Y47,2),"L"),$R$63:$T$90,3,FALSE),0),0),"")</f>
        <v/>
      </c>
      <c r="I47" s="271" t="str">
        <f>IF(I$18&lt;&gt;"",IF(VLOOKUP(CONCATENATE($A$18,"Line"),'Supply Attribution'!$F$31:$G$37,2,FALSE)=I$18,$A47,0)+IF(VLOOKUP(CONCATENATE($B$18,"Line"),'Supply Attribution'!$F$31:$G$37,2,FALSE)=I$18,$B47,0)+IF(VLOOKUP(CONCATENATE($C$18,"Line"),'Supply Attribution'!$F$31:$G$37,2,FALSE)=I$18,$C47,0)+IF(VLOOKUP(CONCATENATE($D$18,"Line"),'Supply Attribution'!$F$31:$G$37,2,FALSE)=I$18,$D47,0)+IF(VLOOKUP(CONCATENATE($E$18,"Line"),'Supply Attribution'!$F$31:$G$37,2,FALSE)=I$18,$E47,0)+IF(VLOOKUP(CONCATENATE($F$18,"Line"),'Supply Attribution'!$F$31:$G$37,2,FALSE)=I$18,$F47,0)+IF($K$6="UL",LEFT($S$90,2),0)-IF(AND($K$16=I$18,$K$14&lt;&gt;$K$15,$K$16=$K$17,RIGHT($K47,3)="2SP"),VLOOKUP(CONCATENATE(LEFT($K47,2),"L"),$R$63:$T$90,3,FALSE),0)-IF(AND($L$16=I$18,$L$14&lt;&gt;$L$15,$L$16=$L$17,RIGHT($L47,3)="2SP"),VLOOKUP(CONCATENATE(LEFT($L47,2),"L"),$R$63:$T$90,3,FALSE),0)-IF(AND($M$16=I$18,$M$14&lt;&gt;$M$15,$M$16=$M$17,RIGHT($M47,3)="2SP"),VLOOKUP(CONCATENATE(LEFT($M47,2),"L"),$R$63:$T$90,3,FALSE),0)-IF(AND($N$16=I$18,$N$14&lt;&gt;$N$15,$N$16=$N$17,RIGHT($N47,3)="2SP"),VLOOKUP(CONCATENATE(LEFT($N47,2),"L"),$R$63:$T$90,3,FALSE),0)-IF(AND($O$16=I$18,$O$14&lt;&gt;$O$15,$O$16=$O$17,RIGHT($O47,3)="2SP"),VLOOKUP(CONCATENATE(LEFT($O47,2),"L"),$R$63:$T$90,3,FALSE),0)-IF(AND($P$16=I$18,$P$14&lt;&gt;$P$15,$P$16=$P$17,RIGHT($P47,3)="2SP"),VLOOKUP(CONCATENATE(LEFT($P47,2),"L"),$R$63:$T$90,3,FALSE),0)-IF(AND($Q$16=I$18,$Q$14&lt;&gt;$Q$15,$Q$16=$Q$17,RIGHT($Q47,3)="2SP"),VLOOKUP(CONCATENATE(LEFT($Q47,2),"L"),$R$63:$T$90,3,FALSE),0)-IF(AND($T$16=I$18,$T$14&lt;&gt;$T$15,$T$16=$T$17,RIGHT($T47,3)="2SP"),VLOOKUP(CONCATENATE(LEFT($T47,2),"L"),$R$63:$T$90,3,FALSE),0)-IF(AND($U$16=I$18,$U$14&lt;&gt;$U$15,$U$16=$U$17,RIGHT($U47,3)="2SP"),VLOOKUP(CONCATENATE(LEFT($U47,2),"L"),$R$63:$T$90,3,FALSE),0)-IF(AND($V$16=I$18,$V$14&lt;&gt;$V$15,$V$16=$V$17,RIGHT($V47,3)="2SP"),VLOOKUP(CONCATENATE(LEFT($V47,2),"L"),$R$63:$T$90,3,FALSE),0)-IF(AND($W$16=I$18,$W$14&lt;&gt;$W$15,$W$16=$W$17,RIGHT($W47,3)="2SP"),VLOOKUP(CONCATENATE(LEFT($W47,2),"L"),$R$63:$T$90,3,FALSE),0)-IF(AND($X$16=I$18,$X$14&lt;&gt;$X$15,$X$16=$X$17,RIGHT($X47,3)="2SP"),VLOOKUP(CONCATENATE(LEFT($X47,2),"L"),$R$63:$T$90,3,FALSE),0)-IF(AND($Y$16=I$18,$Y$14&lt;&gt;$Y$15,$Y$16=$Y$17,RIGHT($Y47,3)="2SP"),VLOOKUP(CONCATENATE(LEFT($Y47,2),"L"),$R$63:$T$90,3,FALSE),0),"")</f>
        <v/>
      </c>
      <c r="J47" s="129"/>
      <c r="K47" s="130"/>
      <c r="L47" s="130"/>
      <c r="M47" s="130"/>
      <c r="N47" s="130"/>
      <c r="O47" s="130"/>
      <c r="P47" s="130"/>
      <c r="Q47" s="130"/>
      <c r="R47" s="130"/>
      <c r="S47" s="130"/>
      <c r="T47" s="130"/>
      <c r="U47" s="130"/>
      <c r="V47" s="130"/>
      <c r="W47" s="130"/>
      <c r="X47" s="130"/>
      <c r="Y47" s="130"/>
      <c r="Z47" s="131"/>
      <c r="AA47" s="131"/>
      <c r="AB47" s="132"/>
      <c r="AC47" s="132"/>
      <c r="AD47" s="132"/>
      <c r="AE47" s="133">
        <f t="shared" si="0"/>
        <v>0</v>
      </c>
      <c r="AF47" s="78"/>
    </row>
    <row r="48" spans="1:32">
      <c r="A48" s="270">
        <f>IF(AND($K48&lt;&gt;"",$K48&lt;&gt;"--",$K48&lt;&gt;"O3/CP",$K$14=A$18),IF(LEFT($K48,1)="P",VLOOKUP(CONCATENATE(LEFT($K48,2),"H"),$R$63:$T$91,3,FALSE),VLOOKUP($K48,$R$63:$T$91,3,FALSE)))+IF(AND($K48&lt;&gt;"",$K48&lt;&gt;"O3/CP",$K$15=A$18,MID($K48,4,1)="2",$K$15&lt;&gt;$K$14),VLOOKUP(CONCATENATE(LEFT($K48,2),"L"),$R$63:$T$91,3,FALSE),0)+IF(AND($K48="O3/CP",$K$14=A$18),VLOOKUP("O3",$R$63:$T$91,3,FALSE)+VLOOKUP("CP",$R$63:$T$91,3,FALSE),0)+IF(AND($L48&lt;&gt;"",$L48&lt;&gt;"--",$L48&lt;&gt;"O3/CP",$L$14=A$18),IF(LEFT($L48,1)="P",VLOOKUP(CONCATENATE(LEFT($L48,2),"H"),$R$63:$T$91,3,FALSE),VLOOKUP($L48,$R$63:$T$91,3,FALSE)))+IF(AND($L48&lt;&gt;"",$L48&lt;&gt;"O3/CP",$L$15=A$18,MID($L48,4,1)="2",$L$15&lt;&gt;$L$14),VLOOKUP(CONCATENATE(LEFT($L48,2),"L"),$R$63:$T$91,3,FALSE),0)+IF(AND($L48="O3/CP",$L$14=A$18),VLOOKUP("O3",$R$63:$T$91,3,FALSE)+VLOOKUP("CP",$R$63:$T$91,3,FALSE),0)+IF(AND($M48&lt;&gt;"",$M48&lt;&gt;"--",$M48&lt;&gt;"O3/CP",$M$14=A$18),IF(LEFT($M48,1)="P",VLOOKUP(CONCATENATE(LEFT($M48,2),"H"),$R$63:$T$91,3,FALSE),VLOOKUP($M48,$R$63:$T$91,3,FALSE)))+IF(AND($M48&lt;&gt;"",$M48&lt;&gt;"O3/CP",$M$15=A$18,MID($M48,4,1)="2",$M$15&lt;&gt;$M$14),VLOOKUP(CONCATENATE(LEFT($M48,2),"L"),$R$63:$T$91,3,FALSE),0)+IF(AND($M48="O3/CP",$M$14=A$18),VLOOKUP("O3",$R$63:$T$91,3,FALSE)+VLOOKUP("CP",$R$63:$T$91,3,FALSE),0)+IF(AND($N48&lt;&gt;"",$N48&lt;&gt;"--",$N48&lt;&gt;"O3/CP",$N$14=A$18),IF(LEFT($N48,1)="P",VLOOKUP(CONCATENATE(LEFT($N48,2),"H"),$R$63:$T$91,3,FALSE),VLOOKUP($N48,$R$63:$T$91,3,FALSE)))+IF(AND($N48&lt;&gt;"",$N48&lt;&gt;"O3/CP",$N$15=A$18,MID($N48,4,1)="2",$N$15&lt;&gt;$N$14),VLOOKUP(CONCATENATE(LEFT($N48,2),"L"),$R$63:$T$91,3,FALSE),0)+IF(AND($N48="O3/CP",$N$14=A$18),VLOOKUP("O3",$R$63:$T$91,3,FALSE)+VLOOKUP("CP",$R$63:$T$91,3,FALSE),0)+IF(AND($O48&lt;&gt;"",$O48&lt;&gt;"--",$O48&lt;&gt;"O3/CP",$O$14=A$18),IF(LEFT($O48,1)="P",VLOOKUP(CONCATENATE(LEFT($O48,2),"H"),$R$63:$T$91,3,FALSE),VLOOKUP($O48,$R$63:$T$91,3,FALSE)))+IF(AND($O48&lt;&gt;"",$O48&lt;&gt;"O3/CP",$O$15=A$18,MID($O48,4,1)="2",$O$15&lt;&gt;$O$14),VLOOKUP(CONCATENATE(LEFT($O48,2),"L"),$R$63:$T$91,3,FALSE),0)+IF(AND($O48="O3/CP",$O$14=A$18),VLOOKUP("O3",$R$63:$T$91,3,FALSE)+VLOOKUP("CP",$R$63:$T$91,3,FALSE),0)+IF(AND($P48&lt;&gt;"",$P48&lt;&gt;"--",$P48&lt;&gt;"O3/CP",$P$14=A$18),IF(LEFT($P48,1)="P",VLOOKUP(CONCATENATE(LEFT($P48,2),"H"),$R$63:$T$91,3,FALSE),VLOOKUP($P48,$R$63:$T$91,3,FALSE)))+IF(AND($P48&lt;&gt;"",$P48&lt;&gt;"O3/CP",$P$15=A$18,MID($P48,4,1)="2",$P$15&lt;&gt;$P$14),VLOOKUP(CONCATENATE(LEFT($P48,2),"L"),$R$63:$T$91,3,FALSE),0)+IF(AND($P48="O3/CP",$P$14=A$18),VLOOKUP("O3",$R$63:$T$91,3,FALSE)+VLOOKUP("CP",$R$63:$T$91,3,FALSE),0)+IF(AND($Q48&lt;&gt;"",$Q48&lt;&gt;"--",$Q48&lt;&gt;"O3/CP",$Q$14=A$18),IF(LEFT($Q48,1)="P",VLOOKUP(CONCATENATE(LEFT($Q48,2),"H"),$R$63:$T$91,3,FALSE),VLOOKUP($Q48,$R$63:$T$91,3,FALSE)))+IF(AND($Q48&lt;&gt;"",$Q48&lt;&gt;"O3/CP",$Q$15=A$18,MID($Q48,4,1)="2",$Q$15&lt;&gt;$Q$14),VLOOKUP(CONCATENATE(LEFT($Q48,2),"L"),$R$63:$T$91,3,FALSE),0)+IF(AND($Q48="O3/CP",$Q$14=A$18),VLOOKUP("O3",$R$63:$T$91,3,FALSE)+VLOOKUP("CP",$R$63:$T$91,3,FALSE),0)+IF(AND($R48&lt;&gt;"",$R48&lt;&gt;"--",$R48&lt;&gt;"O3/CP",$R$14=A$18),IF(LEFT($R48,1)="P",VLOOKUP(CONCATENATE(LEFT($R48,2),"H"),$R$63:$T$91,3,FALSE),VLOOKUP($R48,$R$63:$T$91,3,FALSE)))+IF(AND($R48&lt;&gt;"",$R48&lt;&gt;"O3/CP",$R$15=A$18,MID($R48,4,1)="2",$R$15&lt;&gt;$R$14),VLOOKUP(CONCATENATE(LEFT($R48,2),"L"),$R$63:$T$91,3,FALSE),0)+IF(AND($R48="O3/CP",$R$14=A$18),VLOOKUP("O3",$R$63:$T$91,3,FALSE)+VLOOKUP("CP",$R$63:$T$91,3,FALSE),0)+IF(AND($S48&lt;&gt;"",$S48&lt;&gt;"--",$S48&lt;&gt;"O3/CP",$S$14=A$18),IF(LEFT($S48,1)="P",VLOOKUP(CONCATENATE(LEFT($S48,2),"H"),$R$63:$T$91,3,FALSE),VLOOKUP($S48,$R$63:$T$91,3,FALSE)))+IF(AND($S48&lt;&gt;"",$S48&lt;&gt;"O3/CP",$S$15=A$18,MID($S48,4,1)="2",$S$15&lt;&gt;$S$14),VLOOKUP(CONCATENATE(LEFT($S48,2),"L"),$R$63:$T$91,3,FALSE),0)+IF(AND($S48="O3/CP",$S$14=A$18),VLOOKUP("O3",$R$63:$T$91,3,FALSE)+VLOOKUP("CP",$R$63:$T$91,3,FALSE),0)+IF(AND($T48&lt;&gt;"",$T48&lt;&gt;"--",$T48&lt;&gt;"O3/CP",$T$14=A$18),IF(LEFT($T48,1)="P",VLOOKUP(CONCATENATE(LEFT($T48,2),"H"),$R$63:$T$91,3,FALSE),VLOOKUP($T48,$R$63:$T$91,3,FALSE)))+IF(AND($T48&lt;&gt;"",$T48&lt;&gt;"O3/CP",$T$15=A$18,MID($T48,4,1)="2",$T$15&lt;&gt;$T$14),VLOOKUP(CONCATENATE(LEFT($T48,2),"L"),$R$63:$T$91,3,FALSE),0)+IF(AND($T48="O3/CP",$T$14=A$18),VLOOKUP("O3",$R$63:$T$91,3,FALSE)+VLOOKUP("CP",$R$63:$T$91,3,FALSE),0)+IF(AND($U48&lt;&gt;"",$U48&lt;&gt;"--",$U48&lt;&gt;"O3/CP",$U$14=A$18),IF(LEFT($U48,1)="P",VLOOKUP(CONCATENATE(LEFT($U48,2),"H"),$R$63:$T$91,3,FALSE),VLOOKUP($U48,$R$63:$T$91,3,FALSE)))+IF(AND($U48&lt;&gt;"",$U48&lt;&gt;"O3/CP",$U$15=A$18,MID($U48,4,1)="2",$U$15&lt;&gt;$U$14),VLOOKUP(CONCATENATE(LEFT($U48,2),"L"),$R$63:$T$91,3,FALSE),0)+IF(AND($U48="O3/CP",$T$14=A$18),VLOOKUP("O3",$R$63:$T$91,3,FALSE)+VLOOKUP("CP",$R$63:$T$91,3,FALSE),0)+IF(AND($V48&lt;&gt;"",$V48&lt;&gt;"--",$V48&lt;&gt;"O3/CP",$V$14=A$18),IF(LEFT($V48,1)="P",VLOOKUP(CONCATENATE(LEFT($V48,2),"H"),$R$63:$T$91,3,FALSE),VLOOKUP($V48,$R$63:$T$91,3,FALSE)))+IF(AND($V48&lt;&gt;"",$V48&lt;&gt;"O3/CP",$V$15=A$18,MID($V48,4,1)="2",$V$15&lt;&gt;$V$14),VLOOKUP(CONCATENATE(LEFT($V48,2),"L"),$R$63:$T$91,3,FALSE),0)+IF(AND($V48="O3/CP",$V$14=A$18),VLOOKUP("O3",$R$63:$T$91,3,FALSE)+VLOOKUP("CP",$R$63:$T$91,3,FALSE),0)+IF(AND($W48&lt;&gt;"",$W48&lt;&gt;"--",$W48&lt;&gt;"O3/CP",$W$14=A$18),IF(LEFT($W48,1)="P",VLOOKUP(CONCATENATE(LEFT($W48,2),"H"),$R$63:$T$91,3,FALSE),VLOOKUP($W48,$R$63:$T$91,3,FALSE)))+IF(AND($W48&lt;&gt;"",$W48&lt;&gt;"O3/CP",$W$15=A$18,MID($W48,4,1)="2",$W$15&lt;&gt;$W$14),VLOOKUP(CONCATENATE(LEFT($W48,2),"L"),$R$63:$T$91,3,FALSE),0)+IF(AND($W48="O3/CP",$W$14=A$18),VLOOKUP("O3",$R$63:$T$91,3,FALSE)+VLOOKUP("CP",$R$63:$T$91,3,FALSE),0)+IF(AND($X48&lt;&gt;"",$X48&lt;&gt;"--",$X48&lt;&gt;"O3/CP",$X$14=A$18),IF(LEFT($X48,1)="P",VLOOKUP(CONCATENATE(LEFT($X48,2),"H"),$R$63:$T$91,3,FALSE),VLOOKUP($X48,$R$63:$T$91,3,FALSE)))+IF(AND($X48&lt;&gt;"",$X48&lt;&gt;"O3/CP",$X$15=A$18,MID($X48,4,1)="2",$X$15&lt;&gt;$X$14),VLOOKUP(CONCATENATE(LEFT($X48,2),"L"),$R$63:$T$91,3,FALSE),0)+IF(AND($X48="O3/CP",$X$14=A$18),VLOOKUP("O3",$R$63:$T$91,3,FALSE)+VLOOKUP("CP",$R$63:$T$91,3,FALSE),0)+IF(AND($Y48&lt;&gt;"",$Y48&lt;&gt;"--",$Y48&lt;&gt;"O3/CP",$Y$14=A$18),IF(LEFT($Y48,1)="P",VLOOKUP(CONCATENATE(LEFT($Y48,2),"H"),$R$63:$T$91,3,FALSE),VLOOKUP($Y48,$R$63:$T$91,3,FALSE)))+IF(AND($Y48&lt;&gt;"",$Y48&lt;&gt;"O3/CP",$Y$15=A$18,MID($Y48,4,1)="2",$Y$15&lt;&gt;$Y$14),VLOOKUP(CONCATENATE(LEFT($Y48,2),"L"),$R$63:$T$91,3,FALSE),0)+IF(AND($Y48="O3/CP",$Y$14=A$18),VLOOKUP("O3",$R$63:$T$91,3,FALSE)+VLOOKUP("CP",$R$63:$T$91,3,FALSE),0)+IF(AND($K$6="CE",'[3]Supply Attribution'!$G$20=A$18),LEFT($S$90,2),0)+IF(AND($X$86&lt;&gt;"Not Set",$X$87=A$18),$X$86,0)</f>
        <v>0</v>
      </c>
      <c r="B48" s="269">
        <f>IF(AND($K48&lt;&gt;"",$K48&lt;&gt;"--",$K48&lt;&gt;"O3/CP",$K$14=B$18),IF(LEFT($K48,1)="P",VLOOKUP(CONCATENATE(LEFT($K48,2),"H"),$R$63:$T$91,3,FALSE),VLOOKUP($K48,$R$63:$T$91,3,FALSE)))+IF(AND($K48&lt;&gt;"",$K48&lt;&gt;"O3/CP",$K$15=B$18,MID($K48,4,1)="2",$K$15&lt;&gt;$K$14),VLOOKUP(CONCATENATE(LEFT($K48,2),"L"),$R$63:$T$91,3,FALSE),0)+IF(AND($K48="O3/CP",$K$14=B$18),VLOOKUP("O3",$R$63:$T$91,3,FALSE)+VLOOKUP("CP",$R$63:$T$91,3,FALSE),0)+IF(AND($L48&lt;&gt;"",$L48&lt;&gt;"--",$L48&lt;&gt;"O3/CP",$L$14=B$18),IF(LEFT($L48,1)="P",VLOOKUP(CONCATENATE(LEFT($L48,2),"H"),$R$63:$T$91,3,FALSE),VLOOKUP($L48,$R$63:$T$91,3,FALSE)))+IF(AND($L48&lt;&gt;"",$L48&lt;&gt;"O3/CP",$L$15=B$18,MID($L48,4,1)="2",$L$15&lt;&gt;$L$14),VLOOKUP(CONCATENATE(LEFT($L48,2),"L"),$R$63:$T$91,3,FALSE),0)+IF(AND($L48="O3/CP",$L$14=B$18),VLOOKUP("O3",$R$63:$T$91,3,FALSE)+VLOOKUP("CP",$R$63:$T$91,3,FALSE),0)+IF(AND($M48&lt;&gt;"",$M48&lt;&gt;"--",$M48&lt;&gt;"O3/CP",$M$14=B$18),IF(LEFT($M48,1)="P",VLOOKUP(CONCATENATE(LEFT($M48,2),"H"),$R$63:$T$91,3,FALSE),VLOOKUP($M48,$R$63:$T$91,3,FALSE)))+IF(AND($M48&lt;&gt;"",$M48&lt;&gt;"O3/CP",$M$15=B$18,MID($M48,4,1)="2",$M$15&lt;&gt;$M$14),VLOOKUP(CONCATENATE(LEFT($M48,2),"L"),$R$63:$T$91,3,FALSE),0)+IF(AND($M48="O3/CP",$M$14=B$18),VLOOKUP("O3",$R$63:$T$91,3,FALSE)+VLOOKUP("CP",$R$63:$T$91,3,FALSE),0)+IF(AND($N48&lt;&gt;"",$N48&lt;&gt;"--",$N48&lt;&gt;"O3/CP",$N$14=B$18),IF(LEFT($N48,1)="P",VLOOKUP(CONCATENATE(LEFT($N48,2),"H"),$R$63:$T$91,3,FALSE),VLOOKUP($N48,$R$63:$T$91,3,FALSE)))+IF(AND($N48&lt;&gt;"",$N48&lt;&gt;"O3/CP",$N$15=B$18,MID($N48,4,1)="2",$N$15&lt;&gt;$N$14),VLOOKUP(CONCATENATE(LEFT($N48,2),"L"),$R$63:$T$91,3,FALSE),0)+IF(AND($N48="O3/CP",$N$14=B$18),VLOOKUP("O3",$R$63:$T$91,3,FALSE)+VLOOKUP("CP",$R$63:$T$91,3,FALSE),0)+IF(AND($O48&lt;&gt;"",$O48&lt;&gt;"--",$O48&lt;&gt;"O3/CP",$O$14=B$18),IF(LEFT($O48,1)="P",VLOOKUP(CONCATENATE(LEFT($O48,2),"H"),$R$63:$T$91,3,FALSE),VLOOKUP($O48,$R$63:$T$91,3,FALSE)))+IF(AND($O48&lt;&gt;"",$O48&lt;&gt;"O3/CP",$O$15=B$18,MID($O48,4,1)="2",$O$15&lt;&gt;$O$14),VLOOKUP(CONCATENATE(LEFT($O48,2),"L"),$R$63:$T$91,3,FALSE),0)+IF(AND($O48="O3/CP",$O$14=B$18),VLOOKUP("O3",$R$63:$T$91,3,FALSE)+VLOOKUP("CP",$R$63:$T$91,3,FALSE),0)+IF(AND($P48&lt;&gt;"",$P48&lt;&gt;"--",$P48&lt;&gt;"O3/CP",$P$14=B$18),IF(LEFT($P48,1)="P",VLOOKUP(CONCATENATE(LEFT($P48,2),"H"),$R$63:$T$91,3,FALSE),VLOOKUP($P48,$R$63:$T$91,3,FALSE)))+IF(AND($P48&lt;&gt;"",$P48&lt;&gt;"O3/CP",$P$15=B$18,MID($P48,4,1)="2",$P$15&lt;&gt;$P$14),VLOOKUP(CONCATENATE(LEFT($P48,2),"L"),$R$63:$T$91,3,FALSE),0)+IF(AND($P48="O3/CP",$P$14=B$18),VLOOKUP("O3",$R$63:$T$91,3,FALSE)+VLOOKUP("CP",$R$63:$T$91,3,FALSE),0)+IF(AND($Q48&lt;&gt;"",$Q48&lt;&gt;"--",$Q48&lt;&gt;"O3/CP",$Q$14=B$18),IF(LEFT($Q48,1)="P",VLOOKUP(CONCATENATE(LEFT($Q48,2),"H"),$R$63:$T$91,3,FALSE),VLOOKUP($Q48,$R$63:$T$91,3,FALSE)))+IF(AND($Q48&lt;&gt;"",$Q48&lt;&gt;"O3/CP",$Q$15=B$18,MID($Q48,4,1)="2",$Q$15&lt;&gt;$Q$14),VLOOKUP(CONCATENATE(LEFT($Q48,2),"L"),$R$63:$T$91,3,FALSE),0)+IF(AND($Q48="O3/CP",$Q$14=B$18),VLOOKUP("O3",$R$63:$T$91,3,FALSE)+VLOOKUP("CP",$R$63:$T$91,3,FALSE),0)+IF(AND($R48&lt;&gt;"",$R48&lt;&gt;"--",$R48&lt;&gt;"O3/CP",$R$14=B$18),IF(LEFT($R48,1)="P",VLOOKUP(CONCATENATE(LEFT($R48,2),"H"),$R$63:$T$91,3,FALSE),VLOOKUP($R48,$R$63:$T$91,3,FALSE)))+IF(AND($R48&lt;&gt;"",$R48&lt;&gt;"O3/CP",$R$15=B$18,MID($R48,4,1)="2",$R$15&lt;&gt;$R$14),VLOOKUP(CONCATENATE(LEFT($R48,2),"L"),$R$63:$T$91,3,FALSE),0)+IF(AND($R48="O3/CP",$R$14=B$18),VLOOKUP("O3",$R$63:$T$91,3,FALSE)+VLOOKUP("CP",$R$63:$T$91,3,FALSE),0)+IF(AND($S48&lt;&gt;"",$S48&lt;&gt;"--",$S48&lt;&gt;"O3/CP",$S$14=B$18),IF(LEFT($S48,1)="P",VLOOKUP(CONCATENATE(LEFT($S48,2),"H"),$R$63:$T$91,3,FALSE),VLOOKUP($S48,$R$63:$T$91,3,FALSE)))+IF(AND($S48&lt;&gt;"",$S48&lt;&gt;"O3/CP",$S$15=B$18,MID($S48,4,1)="2",$S$15&lt;&gt;$S$14),VLOOKUP(CONCATENATE(LEFT($S48,2),"L"),$R$63:$T$91,3,FALSE),0)+IF(AND($S48="O3/CP",$S$14=B$18),VLOOKUP("O3",$R$63:$T$91,3,FALSE)+VLOOKUP("CP",$R$63:$T$91,3,FALSE),0)+IF(AND($T48&lt;&gt;"",$T48&lt;&gt;"--",$T48&lt;&gt;"O3/CP",$T$14=B$18),IF(LEFT($T48,1)="P",VLOOKUP(CONCATENATE(LEFT($T48,2),"H"),$R$63:$T$91,3,FALSE),VLOOKUP($T48,$R$63:$T$91,3,FALSE)))+IF(AND($T48&lt;&gt;"",$T48&lt;&gt;"O3/CP",$T$15=B$18,MID($T48,4,1)="2",$T$15&lt;&gt;$T$14),VLOOKUP(CONCATENATE(LEFT($T48,2),"L"),$R$63:$T$91,3,FALSE),0)+IF(AND($T48="O3/CP",$T$14=B$18),VLOOKUP("O3",$R$63:$T$91,3,FALSE)+VLOOKUP("CP",$R$63:$T$91,3,FALSE),0)+IF(AND($U48&lt;&gt;"",$U48&lt;&gt;"--",$U48&lt;&gt;"O3/CP",$U$14=B$18),IF(LEFT($U48,1)="P",VLOOKUP(CONCATENATE(LEFT($U48,2),"H"),$R$63:$T$91,3,FALSE),VLOOKUP($U48,$R$63:$T$91,3,FALSE)))+IF(AND($U48&lt;&gt;"",$U48&lt;&gt;"O3/CP",$U$15=B$18,MID($U48,4,1)="2",$U$15&lt;&gt;$U$14),VLOOKUP(CONCATENATE(LEFT($U48,2),"L"),$R$63:$T$91,3,FALSE),0)+IF(AND($U48="O3/CP",$T$14=B$18),VLOOKUP("O3",$R$63:$T$91,3,FALSE)+VLOOKUP("CP",$R$63:$T$91,3,FALSE),0)+IF(AND($V48&lt;&gt;"",$V48&lt;&gt;"--",$V48&lt;&gt;"O3/CP",$V$14=B$18),IF(LEFT($V48,1)="P",VLOOKUP(CONCATENATE(LEFT($V48,2),"H"),$R$63:$T$91,3,FALSE),VLOOKUP($V48,$R$63:$T$91,3,FALSE)))+IF(AND($V48&lt;&gt;"",$V48&lt;&gt;"O3/CP",$V$15=B$18,MID($V48,4,1)="2",$V$15&lt;&gt;$V$14),VLOOKUP(CONCATENATE(LEFT($V48,2),"L"),$R$63:$T$91,3,FALSE),0)+IF(AND($V48="O3/CP",$V$14=B$18),VLOOKUP("O3",$R$63:$T$91,3,FALSE)+VLOOKUP("CP",$R$63:$T$91,3,FALSE),0)+IF(AND($W48&lt;&gt;"",$W48&lt;&gt;"--",$W48&lt;&gt;"O3/CP",$W$14=B$18),IF(LEFT($W48,1)="P",VLOOKUP(CONCATENATE(LEFT($W48,2),"H"),$R$63:$T$91,3,FALSE),VLOOKUP($W48,$R$63:$T$91,3,FALSE)))+IF(AND($W48&lt;&gt;"",$W48&lt;&gt;"O3/CP",$W$15=B$18,MID($W48,4,1)="2",$W$15&lt;&gt;$W$14),VLOOKUP(CONCATENATE(LEFT($W48,2),"L"),$R$63:$T$91,3,FALSE),0)+IF(AND($W48="O3/CP",$W$14=B$18),VLOOKUP("O3",$R$63:$T$91,3,FALSE)+VLOOKUP("CP",$R$63:$T$91,3,FALSE),0)+IF(AND($X48&lt;&gt;"",$X48&lt;&gt;"--",$X48&lt;&gt;"O3/CP",$X$14=B$18),IF(LEFT($X48,1)="P",VLOOKUP(CONCATENATE(LEFT($X48,2),"H"),$R$63:$T$91,3,FALSE),VLOOKUP($X48,$R$63:$T$91,3,FALSE)))+IF(AND($X48&lt;&gt;"",$X48&lt;&gt;"O3/CP",$X$15=B$18,MID($X48,4,1)="2",$X$15&lt;&gt;$X$14),VLOOKUP(CONCATENATE(LEFT($X48,2),"L"),$R$63:$T$91,3,FALSE),0)+IF(AND($X48="O3/CP",$X$14=B$18),VLOOKUP("O3",$R$63:$T$91,3,FALSE)+VLOOKUP("CP",$R$63:$T$91,3,FALSE),0)+IF(AND($Y48&lt;&gt;"",$Y48&lt;&gt;"--",$Y48&lt;&gt;"O3/CP",$Y$14=B$18),IF(LEFT($Y48,1)="P",VLOOKUP(CONCATENATE(LEFT($Y48,2),"H"),$R$63:$T$91,3,FALSE),VLOOKUP($Y48,$R$63:$T$91,3,FALSE)))+IF(AND($Y48&lt;&gt;"",$Y48&lt;&gt;"O3/CP",$Y$15=B$18,MID($Y48,4,1)="2",$Y$15&lt;&gt;$Y$14),VLOOKUP(CONCATENATE(LEFT($Y48,2),"L"),$R$63:$T$91,3,FALSE),0)+IF(AND($Y48="O3/CP",$Y$14=B$18),VLOOKUP("O3",$R$63:$T$91,3,FALSE)+VLOOKUP("CP",$R$63:$T$91,3,FALSE),0)+IF(AND($K$6="CE",'[3]Supply Attribution'!$G$20=B$18),LEFT($S$90,2),0)+IF(AND($X$86&lt;&gt;"Not Set",$X$87=B$18),$X$86,0)</f>
        <v>0</v>
      </c>
      <c r="C48" s="269">
        <f>IF(AND($K48&lt;&gt;"",$K48&lt;&gt;"--",$K48&lt;&gt;"O3/CP",$K$14=C$18),IF(LEFT($K48,1)="P",VLOOKUP(CONCATENATE(LEFT($K48,2),"H"),$R$63:$T$91,3,FALSE),VLOOKUP($K48,$R$63:$T$91,3,FALSE)))+IF(AND($K48&lt;&gt;"",$K48&lt;&gt;"O3/CP",$K$15=C$18,MID($K48,4,1)="2",$K$15&lt;&gt;$K$14),VLOOKUP(CONCATENATE(LEFT($K48,2),"L"),$R$63:$T$91,3,FALSE),0)+IF(AND($K48="O3/CP",$K$14=C$18),VLOOKUP("O3",$R$63:$T$91,3,FALSE)+VLOOKUP("CP",$R$63:$T$91,3,FALSE),0)+IF(AND($L48&lt;&gt;"",$L48&lt;&gt;"--",$L48&lt;&gt;"O3/CP",$L$14=C$18),IF(LEFT($L48,1)="P",VLOOKUP(CONCATENATE(LEFT($L48,2),"H"),$R$63:$T$91,3,FALSE),VLOOKUP($L48,$R$63:$T$91,3,FALSE)))+IF(AND($L48&lt;&gt;"",$L48&lt;&gt;"O3/CP",$L$15=C$18,MID($L48,4,1)="2",$L$15&lt;&gt;$L$14),VLOOKUP(CONCATENATE(LEFT($L48,2),"L"),$R$63:$T$91,3,FALSE),0)+IF(AND($L48="O3/CP",$L$14=C$18),VLOOKUP("O3",$R$63:$T$91,3,FALSE)+VLOOKUP("CP",$R$63:$T$91,3,FALSE),0)+IF(AND($M48&lt;&gt;"",$M48&lt;&gt;"--",$M48&lt;&gt;"O3/CP",$M$14=C$18),IF(LEFT($M48,1)="P",VLOOKUP(CONCATENATE(LEFT($M48,2),"H"),$R$63:$T$91,3,FALSE),VLOOKUP($M48,$R$63:$T$91,3,FALSE)))+IF(AND($M48&lt;&gt;"",$M48&lt;&gt;"O3/CP",$M$15=C$18,MID($M48,4,1)="2",$M$15&lt;&gt;$M$14),VLOOKUP(CONCATENATE(LEFT($M48,2),"L"),$R$63:$T$91,3,FALSE),0)+IF(AND($M48="O3/CP",$M$14=C$18),VLOOKUP("O3",$R$63:$T$91,3,FALSE)+VLOOKUP("CP",$R$63:$T$91,3,FALSE),0)+IF(AND($N48&lt;&gt;"",$N48&lt;&gt;"--",$N48&lt;&gt;"O3/CP",$N$14=C$18),IF(LEFT($N48,1)="P",VLOOKUP(CONCATENATE(LEFT($N48,2),"H"),$R$63:$T$91,3,FALSE),VLOOKUP($N48,$R$63:$T$91,3,FALSE)))+IF(AND($N48&lt;&gt;"",$N48&lt;&gt;"O3/CP",$N$15=C$18,MID($N48,4,1)="2",$N$15&lt;&gt;$N$14),VLOOKUP(CONCATENATE(LEFT($N48,2),"L"),$R$63:$T$91,3,FALSE),0)+IF(AND($N48="O3/CP",$N$14=C$18),VLOOKUP("O3",$R$63:$T$91,3,FALSE)+VLOOKUP("CP",$R$63:$T$91,3,FALSE),0)+IF(AND($O48&lt;&gt;"",$O48&lt;&gt;"--",$O48&lt;&gt;"O3/CP",$O$14=C$18),IF(LEFT($O48,1)="P",VLOOKUP(CONCATENATE(LEFT($O48,2),"H"),$R$63:$T$91,3,FALSE),VLOOKUP($O48,$R$63:$T$91,3,FALSE)))+IF(AND($O48&lt;&gt;"",$O48&lt;&gt;"O3/CP",$O$15=C$18,MID($O48,4,1)="2",$O$15&lt;&gt;$O$14),VLOOKUP(CONCATENATE(LEFT($O48,2),"L"),$R$63:$T$91,3,FALSE),0)+IF(AND($O48="O3/CP",$O$14=C$18),VLOOKUP("O3",$R$63:$T$91,3,FALSE)+VLOOKUP("CP",$R$63:$T$91,3,FALSE),0)+IF(AND($P48&lt;&gt;"",$P48&lt;&gt;"--",$P48&lt;&gt;"O3/CP",$P$14=C$18),IF(LEFT($P48,1)="P",VLOOKUP(CONCATENATE(LEFT($P48,2),"H"),$R$63:$T$91,3,FALSE),VLOOKUP($P48,$R$63:$T$91,3,FALSE)))+IF(AND($P48&lt;&gt;"",$P48&lt;&gt;"O3/CP",$P$15=C$18,MID($P48,4,1)="2",$P$15&lt;&gt;$P$14),VLOOKUP(CONCATENATE(LEFT($P48,2),"L"),$R$63:$T$91,3,FALSE),0)+IF(AND($P48="O3/CP",$P$14=C$18),VLOOKUP("O3",$R$63:$T$91,3,FALSE)+VLOOKUP("CP",$R$63:$T$91,3,FALSE),0)+IF(AND($Q48&lt;&gt;"",$Q48&lt;&gt;"--",$Q48&lt;&gt;"O3/CP",$Q$14=C$18),IF(LEFT($Q48,1)="P",VLOOKUP(CONCATENATE(LEFT($Q48,2),"H"),$R$63:$T$91,3,FALSE),VLOOKUP($Q48,$R$63:$T$91,3,FALSE)))+IF(AND($Q48&lt;&gt;"",$Q48&lt;&gt;"O3/CP",$Q$15=C$18,MID($Q48,4,1)="2",$Q$15&lt;&gt;$Q$14),VLOOKUP(CONCATENATE(LEFT($Q48,2),"L"),$R$63:$T$91,3,FALSE),0)+IF(AND($Q48="O3/CP",$Q$14=C$18),VLOOKUP("O3",$R$63:$T$91,3,FALSE)+VLOOKUP("CP",$R$63:$T$91,3,FALSE),0)+IF(AND($R48&lt;&gt;"",$R48&lt;&gt;"--",$R48&lt;&gt;"O3/CP",$R$14=C$18),IF(LEFT($R48,1)="P",VLOOKUP(CONCATENATE(LEFT($R48,2),"H"),$R$63:$T$91,3,FALSE),VLOOKUP($R48,$R$63:$T$91,3,FALSE)))+IF(AND($R48&lt;&gt;"",$R48&lt;&gt;"O3/CP",$R$15=C$18,MID($R48,4,1)="2",$R$15&lt;&gt;$R$14),VLOOKUP(CONCATENATE(LEFT($R48,2),"L"),$R$63:$T$91,3,FALSE),0)+IF(AND($R48="O3/CP",$R$14=C$18),VLOOKUP("O3",$R$63:$T$91,3,FALSE)+VLOOKUP("CP",$R$63:$T$91,3,FALSE),0)+IF(AND($S48&lt;&gt;"",$S48&lt;&gt;"--",$S48&lt;&gt;"O3/CP",$S$14=C$18),IF(LEFT($S48,1)="P",VLOOKUP(CONCATENATE(LEFT($S48,2),"H"),$R$63:$T$91,3,FALSE),VLOOKUP($S48,$R$63:$T$91,3,FALSE)))+IF(AND($S48&lt;&gt;"",$S48&lt;&gt;"O3/CP",$S$15=C$18,MID($S48,4,1)="2",$S$15&lt;&gt;$S$14),VLOOKUP(CONCATENATE(LEFT($S48,2),"L"),$R$63:$T$91,3,FALSE),0)+IF(AND($S48="O3/CP",$S$14=C$18),VLOOKUP("O3",$R$63:$T$91,3,FALSE)+VLOOKUP("CP",$R$63:$T$91,3,FALSE),0)+IF(AND($T48&lt;&gt;"",$T48&lt;&gt;"--",$T48&lt;&gt;"O3/CP",$T$14=C$18),IF(LEFT($T48,1)="P",VLOOKUP(CONCATENATE(LEFT($T48,2),"H"),$R$63:$T$91,3,FALSE),VLOOKUP($T48,$R$63:$T$91,3,FALSE)))+IF(AND($T48&lt;&gt;"",$T48&lt;&gt;"O3/CP",$T$15=C$18,MID($T48,4,1)="2",$T$15&lt;&gt;$T$14),VLOOKUP(CONCATENATE(LEFT($T48,2),"L"),$R$63:$T$91,3,FALSE),0)+IF(AND($T48="O3/CP",$T$14=C$18),VLOOKUP("O3",$R$63:$T$91,3,FALSE)+VLOOKUP("CP",$R$63:$T$91,3,FALSE),0)+IF(AND($U48&lt;&gt;"",$U48&lt;&gt;"--",$U48&lt;&gt;"O3/CP",$U$14=C$18),IF(LEFT($U48,1)="P",VLOOKUP(CONCATENATE(LEFT($U48,2),"H"),$R$63:$T$91,3,FALSE),VLOOKUP($U48,$R$63:$T$91,3,FALSE)))+IF(AND($U48&lt;&gt;"",$U48&lt;&gt;"O3/CP",$U$15=C$18,MID($U48,4,1)="2",$U$15&lt;&gt;$U$14),VLOOKUP(CONCATENATE(LEFT($U48,2),"L"),$R$63:$T$91,3,FALSE),0)+IF(AND($U48="O3/CP",$T$14=C$18),VLOOKUP("O3",$R$63:$T$91,3,FALSE)+VLOOKUP("CP",$R$63:$T$91,3,FALSE),0)+IF(AND($V48&lt;&gt;"",$V48&lt;&gt;"--",$V48&lt;&gt;"O3/CP",$V$14=C$18),IF(LEFT($V48,1)="P",VLOOKUP(CONCATENATE(LEFT($V48,2),"H"),$R$63:$T$91,3,FALSE),VLOOKUP($V48,$R$63:$T$91,3,FALSE)))+IF(AND($V48&lt;&gt;"",$V48&lt;&gt;"O3/CP",$V$15=C$18,MID($V48,4,1)="2",$V$15&lt;&gt;$V$14),VLOOKUP(CONCATENATE(LEFT($V48,2),"L"),$R$63:$T$91,3,FALSE),0)+IF(AND($V48="O3/CP",$V$14=C$18),VLOOKUP("O3",$R$63:$T$91,3,FALSE)+VLOOKUP("CP",$R$63:$T$91,3,FALSE),0)+IF(AND($W48&lt;&gt;"",$W48&lt;&gt;"--",$W48&lt;&gt;"O3/CP",$W$14=C$18),IF(LEFT($W48,1)="P",VLOOKUP(CONCATENATE(LEFT($W48,2),"H"),$R$63:$T$91,3,FALSE),VLOOKUP($W48,$R$63:$T$91,3,FALSE)))+IF(AND($W48&lt;&gt;"",$W48&lt;&gt;"O3/CP",$W$15=C$18,MID($W48,4,1)="2",$W$15&lt;&gt;$W$14),VLOOKUP(CONCATENATE(LEFT($W48,2),"L"),$R$63:$T$91,3,FALSE),0)+IF(AND($W48="O3/CP",$W$14=C$18),VLOOKUP("O3",$R$63:$T$91,3,FALSE)+VLOOKUP("CP",$R$63:$T$91,3,FALSE),0)+IF(AND($X48&lt;&gt;"",$X48&lt;&gt;"--",$X48&lt;&gt;"O3/CP",$X$14=C$18),IF(LEFT($X48,1)="P",VLOOKUP(CONCATENATE(LEFT($X48,2),"H"),$R$63:$T$91,3,FALSE),VLOOKUP($X48,$R$63:$T$91,3,FALSE)))+IF(AND($X48&lt;&gt;"",$X48&lt;&gt;"O3/CP",$X$15=C$18,MID($X48,4,1)="2",$X$15&lt;&gt;$X$14),VLOOKUP(CONCATENATE(LEFT($X48,2),"L"),$R$63:$T$91,3,FALSE),0)+IF(AND($X48="O3/CP",$X$14=C$18),VLOOKUP("O3",$R$63:$T$91,3,FALSE)+VLOOKUP("CP",$R$63:$T$91,3,FALSE),0)+IF(AND($Y48&lt;&gt;"",$Y48&lt;&gt;"--",$Y48&lt;&gt;"O3/CP",$Y$14=C$18),IF(LEFT($Y48,1)="P",VLOOKUP(CONCATENATE(LEFT($Y48,2),"H"),$R$63:$T$91,3,FALSE),VLOOKUP($Y48,$R$63:$T$91,3,FALSE)))+IF(AND($Y48&lt;&gt;"",$Y48&lt;&gt;"O3/CP",$Y$15=C$18,MID($Y48,4,1)="2",$Y$15&lt;&gt;$Y$14),VLOOKUP(CONCATENATE(LEFT($Y48,2),"L"),$R$63:$T$91,3,FALSE),0)+IF(AND($Y48="O3/CP",$Y$14=C$18),VLOOKUP("O3",$R$63:$T$91,3,FALSE)+VLOOKUP("CP",$R$63:$T$91,3,FALSE),0)+IF(AND($K$6="CE",'[3]Supply Attribution'!$G$20=C$18),LEFT($S$90,2),0)+IF(AND($X$86&lt;&gt;"Not Set",$X$87=C$18),$X$86,0)</f>
        <v>0</v>
      </c>
      <c r="D48" s="269">
        <f>IF(AND($K48&lt;&gt;"",$K48&lt;&gt;"--",$K48&lt;&gt;"O3/CP",$K$14=D$18),IF(LEFT($K48,1)="P",VLOOKUP(CONCATENATE(LEFT($K48,2),"H"),$R$63:$T$91,3,FALSE),VLOOKUP($K48,$R$63:$T$91,3,FALSE)))+IF(AND($K48&lt;&gt;"",$K48&lt;&gt;"O3/CP",$K$15=D$18,MID($K48,4,1)="2",$K$15&lt;&gt;$K$14),VLOOKUP(CONCATENATE(LEFT($K48,2),"L"),$R$63:$T$91,3,FALSE),0)+IF(AND($K48="O3/CP",$K$14=D$18),VLOOKUP("O3",$R$63:$T$91,3,FALSE)+VLOOKUP("CP",$R$63:$T$91,3,FALSE),0)+IF(AND($L48&lt;&gt;"",$L48&lt;&gt;"--",$L48&lt;&gt;"O3/CP",$L$14=D$18),IF(LEFT($L48,1)="P",VLOOKUP(CONCATENATE(LEFT($L48,2),"H"),$R$63:$T$91,3,FALSE),VLOOKUP($L48,$R$63:$T$91,3,FALSE)))+IF(AND($L48&lt;&gt;"",$L48&lt;&gt;"O3/CP",$L$15=D$18,MID($L48,4,1)="2",$L$15&lt;&gt;$L$14),VLOOKUP(CONCATENATE(LEFT($L48,2),"L"),$R$63:$T$91,3,FALSE),0)+IF(AND($L48="O3/CP",$L$14=D$18),VLOOKUP("O3",$R$63:$T$91,3,FALSE)+VLOOKUP("CP",$R$63:$T$91,3,FALSE),0)+IF(AND($M48&lt;&gt;"",$M48&lt;&gt;"--",$M48&lt;&gt;"O3/CP",$M$14=D$18),IF(LEFT($M48,1)="P",VLOOKUP(CONCATENATE(LEFT($M48,2),"H"),$R$63:$T$91,3,FALSE),VLOOKUP($M48,$R$63:$T$91,3,FALSE)))+IF(AND($M48&lt;&gt;"",$M48&lt;&gt;"O3/CP",$M$15=D$18,MID($M48,4,1)="2",$M$15&lt;&gt;$M$14),VLOOKUP(CONCATENATE(LEFT($M48,2),"L"),$R$63:$T$91,3,FALSE),0)+IF(AND($M48="O3/CP",$M$14=D$18),VLOOKUP("O3",$R$63:$T$91,3,FALSE)+VLOOKUP("CP",$R$63:$T$91,3,FALSE),0)+IF(AND($N48&lt;&gt;"",$N48&lt;&gt;"--",$N48&lt;&gt;"O3/CP",$N$14=D$18),IF(LEFT($N48,1)="P",VLOOKUP(CONCATENATE(LEFT($N48,2),"H"),$R$63:$T$91,3,FALSE),VLOOKUP($N48,$R$63:$T$91,3,FALSE)))+IF(AND($N48&lt;&gt;"",$N48&lt;&gt;"O3/CP",$N$15=D$18,MID($N48,4,1)="2",$N$15&lt;&gt;$N$14),VLOOKUP(CONCATENATE(LEFT($N48,2),"L"),$R$63:$T$91,3,FALSE),0)+IF(AND($N48="O3/CP",$N$14=D$18),VLOOKUP("O3",$R$63:$T$91,3,FALSE)+VLOOKUP("CP",$R$63:$T$91,3,FALSE),0)+IF(AND($O48&lt;&gt;"",$O48&lt;&gt;"--",$O48&lt;&gt;"O3/CP",$O$14=D$18),IF(LEFT($O48,1)="P",VLOOKUP(CONCATENATE(LEFT($O48,2),"H"),$R$63:$T$91,3,FALSE),VLOOKUP($O48,$R$63:$T$91,3,FALSE)))+IF(AND($O48&lt;&gt;"",$O48&lt;&gt;"O3/CP",$O$15=D$18,MID($O48,4,1)="2",$O$15&lt;&gt;$O$14),VLOOKUP(CONCATENATE(LEFT($O48,2),"L"),$R$63:$T$91,3,FALSE),0)+IF(AND($O48="O3/CP",$O$14=D$18),VLOOKUP("O3",$R$63:$T$91,3,FALSE)+VLOOKUP("CP",$R$63:$T$91,3,FALSE),0)+IF(AND($P48&lt;&gt;"",$P48&lt;&gt;"--",$P48&lt;&gt;"O3/CP",$P$14=D$18),IF(LEFT($P48,1)="P",VLOOKUP(CONCATENATE(LEFT($P48,2),"H"),$R$63:$T$91,3,FALSE),VLOOKUP($P48,$R$63:$T$91,3,FALSE)))+IF(AND($P48&lt;&gt;"",$P48&lt;&gt;"O3/CP",$P$15=D$18,MID($P48,4,1)="2",$P$15&lt;&gt;$P$14),VLOOKUP(CONCATENATE(LEFT($P48,2),"L"),$R$63:$T$91,3,FALSE),0)+IF(AND($P48="O3/CP",$P$14=D$18),VLOOKUP("O3",$R$63:$T$91,3,FALSE)+VLOOKUP("CP",$R$63:$T$91,3,FALSE),0)+IF(AND($Q48&lt;&gt;"",$Q48&lt;&gt;"--",$Q48&lt;&gt;"O3/CP",$Q$14=D$18),IF(LEFT($Q48,1)="P",VLOOKUP(CONCATENATE(LEFT($Q48,2),"H"),$R$63:$T$91,3,FALSE),VLOOKUP($Q48,$R$63:$T$91,3,FALSE)))+IF(AND($Q48&lt;&gt;"",$Q48&lt;&gt;"O3/CP",$Q$15=D$18,MID($Q48,4,1)="2",$Q$15&lt;&gt;$Q$14),VLOOKUP(CONCATENATE(LEFT($Q48,2),"L"),$R$63:$T$91,3,FALSE),0)+IF(AND($Q48="O3/CP",$Q$14=D$18),VLOOKUP("O3",$R$63:$T$91,3,FALSE)+VLOOKUP("CP",$R$63:$T$91,3,FALSE),0)+IF(AND($R48&lt;&gt;"",$R48&lt;&gt;"--",$R48&lt;&gt;"O3/CP",$R$14=D$18),IF(LEFT($R48,1)="P",VLOOKUP(CONCATENATE(LEFT($R48,2),"H"),$R$63:$T$91,3,FALSE),VLOOKUP($R48,$R$63:$T$91,3,FALSE)))+IF(AND($R48&lt;&gt;"",$R48&lt;&gt;"O3/CP",$R$15=D$18,MID($R48,4,1)="2",$R$15&lt;&gt;$R$14),VLOOKUP(CONCATENATE(LEFT($R48,2),"L"),$R$63:$T$91,3,FALSE),0)+IF(AND($R48="O3/CP",$R$14=D$18),VLOOKUP("O3",$R$63:$T$91,3,FALSE)+VLOOKUP("CP",$R$63:$T$91,3,FALSE),0)+IF(AND($S48&lt;&gt;"",$S48&lt;&gt;"--",$S48&lt;&gt;"O3/CP",$S$14=D$18),IF(LEFT($S48,1)="P",VLOOKUP(CONCATENATE(LEFT($S48,2),"H"),$R$63:$T$91,3,FALSE),VLOOKUP($S48,$R$63:$T$91,3,FALSE)))+IF(AND($S48&lt;&gt;"",$S48&lt;&gt;"O3/CP",$S$15=D$18,MID($S48,4,1)="2",$S$15&lt;&gt;$S$14),VLOOKUP(CONCATENATE(LEFT($S48,2),"L"),$R$63:$T$91,3,FALSE),0)+IF(AND($S48="O3/CP",$S$14=D$18),VLOOKUP("O3",$R$63:$T$91,3,FALSE)+VLOOKUP("CP",$R$63:$T$91,3,FALSE),0)+IF(AND($T48&lt;&gt;"",$T48&lt;&gt;"--",$T48&lt;&gt;"O3/CP",$T$14=D$18),IF(LEFT($T48,1)="P",VLOOKUP(CONCATENATE(LEFT($T48,2),"H"),$R$63:$T$91,3,FALSE),VLOOKUP($T48,$R$63:$T$91,3,FALSE)))+IF(AND($T48&lt;&gt;"",$T48&lt;&gt;"O3/CP",$T$15=D$18,MID($T48,4,1)="2",$T$15&lt;&gt;$T$14),VLOOKUP(CONCATENATE(LEFT($T48,2),"L"),$R$63:$T$91,3,FALSE),0)+IF(AND($T48="O3/CP",$T$14=D$18),VLOOKUP("O3",$R$63:$T$91,3,FALSE)+VLOOKUP("CP",$R$63:$T$91,3,FALSE),0)+IF(AND($U48&lt;&gt;"",$U48&lt;&gt;"--",$U48&lt;&gt;"O3/CP",$U$14=D$18),IF(LEFT($U48,1)="P",VLOOKUP(CONCATENATE(LEFT($U48,2),"H"),$R$63:$T$91,3,FALSE),VLOOKUP($U48,$R$63:$T$91,3,FALSE)))+IF(AND($U48&lt;&gt;"",$U48&lt;&gt;"O3/CP",$U$15=D$18,MID($U48,4,1)="2",$U$15&lt;&gt;$U$14),VLOOKUP(CONCATENATE(LEFT($U48,2),"L"),$R$63:$T$91,3,FALSE),0)+IF(AND($U48="O3/CP",$T$14=D$18),VLOOKUP("O3",$R$63:$T$91,3,FALSE)+VLOOKUP("CP",$R$63:$T$91,3,FALSE),0)+IF(AND($V48&lt;&gt;"",$V48&lt;&gt;"--",$V48&lt;&gt;"O3/CP",$V$14=D$18),IF(LEFT($V48,1)="P",VLOOKUP(CONCATENATE(LEFT($V48,2),"H"),$R$63:$T$91,3,FALSE),VLOOKUP($V48,$R$63:$T$91,3,FALSE)))+IF(AND($V48&lt;&gt;"",$V48&lt;&gt;"O3/CP",$V$15=D$18,MID($V48,4,1)="2",$V$15&lt;&gt;$V$14),VLOOKUP(CONCATENATE(LEFT($V48,2),"L"),$R$63:$T$91,3,FALSE),0)+IF(AND($V48="O3/CP",$V$14=D$18),VLOOKUP("O3",$R$63:$T$91,3,FALSE)+VLOOKUP("CP",$R$63:$T$91,3,FALSE),0)+IF(AND($W48&lt;&gt;"",$W48&lt;&gt;"--",$W48&lt;&gt;"O3/CP",$W$14=D$18),IF(LEFT($W48,1)="P",VLOOKUP(CONCATENATE(LEFT($W48,2),"H"),$R$63:$T$91,3,FALSE),VLOOKUP($W48,$R$63:$T$91,3,FALSE)))+IF(AND($W48&lt;&gt;"",$W48&lt;&gt;"O3/CP",$W$15=D$18,MID($W48,4,1)="2",$W$15&lt;&gt;$W$14),VLOOKUP(CONCATENATE(LEFT($W48,2),"L"),$R$63:$T$91,3,FALSE),0)+IF(AND($W48="O3/CP",$W$14=D$18),VLOOKUP("O3",$R$63:$T$91,3,FALSE)+VLOOKUP("CP",$R$63:$T$91,3,FALSE),0)+IF(AND($X48&lt;&gt;"",$X48&lt;&gt;"--",$X48&lt;&gt;"O3/CP",$X$14=D$18),IF(LEFT($X48,1)="P",VLOOKUP(CONCATENATE(LEFT($X48,2),"H"),$R$63:$T$91,3,FALSE),VLOOKUP($X48,$R$63:$T$91,3,FALSE)))+IF(AND($X48&lt;&gt;"",$X48&lt;&gt;"O3/CP",$X$15=D$18,MID($X48,4,1)="2",$X$15&lt;&gt;$X$14),VLOOKUP(CONCATENATE(LEFT($X48,2),"L"),$R$63:$T$91,3,FALSE),0)+IF(AND($X48="O3/CP",$X$14=D$18),VLOOKUP("O3",$R$63:$T$91,3,FALSE)+VLOOKUP("CP",$R$63:$T$91,3,FALSE),0)+IF(AND($Y48&lt;&gt;"",$Y48&lt;&gt;"--",$Y48&lt;&gt;"O3/CP",$Y$14=D$18),IF(LEFT($Y48,1)="P",VLOOKUP(CONCATENATE(LEFT($Y48,2),"H"),$R$63:$T$91,3,FALSE),VLOOKUP($Y48,$R$63:$T$91,3,FALSE)))+IF(AND($Y48&lt;&gt;"",$Y48&lt;&gt;"O3/CP",$Y$15=D$18,MID($Y48,4,1)="2",$Y$15&lt;&gt;$Y$14),VLOOKUP(CONCATENATE(LEFT($Y48,2),"L"),$R$63:$T$91,3,FALSE),0)+IF(AND($Y48="O3/CP",$Y$14=D$18),VLOOKUP("O3",$R$63:$T$91,3,FALSE)+VLOOKUP("CP",$R$63:$T$91,3,FALSE),0)+IF(AND($K$6="CE",'[3]Supply Attribution'!$G$20=D$18),LEFT($S$90,2),0)+IF(AND($X$86&lt;&gt;"Not Set",$X$87=D$18),$X$86,0)</f>
        <v>0</v>
      </c>
      <c r="E48" s="269">
        <f>IF(AND($K48&lt;&gt;"",$K48&lt;&gt;"--",$K48&lt;&gt;"O3/CP",$K$14=E$18),IF(LEFT($K48,1)="P",VLOOKUP(CONCATENATE(LEFT($K48,2),"H"),$R$63:$T$91,3,FALSE),VLOOKUP($K48,$R$63:$T$91,3,FALSE)))+IF(AND($K48&lt;&gt;"",$K48&lt;&gt;"O3/CP",$K$15=E$18,MID($K48,4,1)="2",$K$15&lt;&gt;$K$14),VLOOKUP(CONCATENATE(LEFT($K48,2),"L"),$R$63:$T$91,3,FALSE),0)+IF(AND($K48="O3/CP",$K$14=E$18),VLOOKUP("O3",$R$63:$T$91,3,FALSE)+VLOOKUP("CP",$R$63:$T$91,3,FALSE),0)+IF(AND($L48&lt;&gt;"",$L48&lt;&gt;"--",$L48&lt;&gt;"O3/CP",$L$14=E$18),IF(LEFT($L48,1)="P",VLOOKUP(CONCATENATE(LEFT($L48,2),"H"),$R$63:$T$91,3,FALSE),VLOOKUP($L48,$R$63:$T$91,3,FALSE)))+IF(AND($L48&lt;&gt;"",$L48&lt;&gt;"O3/CP",$L$15=E$18,MID($L48,4,1)="2",$L$15&lt;&gt;$L$14),VLOOKUP(CONCATENATE(LEFT($L48,2),"L"),$R$63:$T$91,3,FALSE),0)+IF(AND($L48="O3/CP",$L$14=E$18),VLOOKUP("O3",$R$63:$T$91,3,FALSE)+VLOOKUP("CP",$R$63:$T$91,3,FALSE),0)+IF(AND($M48&lt;&gt;"",$M48&lt;&gt;"--",$M48&lt;&gt;"O3/CP",$M$14=E$18),IF(LEFT($M48,1)="P",VLOOKUP(CONCATENATE(LEFT($M48,2),"H"),$R$63:$T$91,3,FALSE),VLOOKUP($M48,$R$63:$T$91,3,FALSE)))+IF(AND($M48&lt;&gt;"",$M48&lt;&gt;"O3/CP",$M$15=E$18,MID($M48,4,1)="2",$M$15&lt;&gt;$M$14),VLOOKUP(CONCATENATE(LEFT($M48,2),"L"),$R$63:$T$91,3,FALSE),0)+IF(AND($M48="O3/CP",$M$14=E$18),VLOOKUP("O3",$R$63:$T$91,3,FALSE)+VLOOKUP("CP",$R$63:$T$91,3,FALSE),0)+IF(AND($N48&lt;&gt;"",$N48&lt;&gt;"--",$N48&lt;&gt;"O3/CP",$N$14=E$18),IF(LEFT($N48,1)="P",VLOOKUP(CONCATENATE(LEFT($N48,2),"H"),$R$63:$T$91,3,FALSE),VLOOKUP($N48,$R$63:$T$91,3,FALSE)))+IF(AND($N48&lt;&gt;"",$N48&lt;&gt;"O3/CP",$N$15=E$18,MID($N48,4,1)="2",$N$15&lt;&gt;$N$14),VLOOKUP(CONCATENATE(LEFT($N48,2),"L"),$R$63:$T$91,3,FALSE),0)+IF(AND($N48="O3/CP",$N$14=E$18),VLOOKUP("O3",$R$63:$T$91,3,FALSE)+VLOOKUP("CP",$R$63:$T$91,3,FALSE),0)+IF(AND($O48&lt;&gt;"",$O48&lt;&gt;"--",$O48&lt;&gt;"O3/CP",$O$14=E$18),IF(LEFT($O48,1)="P",VLOOKUP(CONCATENATE(LEFT($O48,2),"H"),$R$63:$T$91,3,FALSE),VLOOKUP($O48,$R$63:$T$91,3,FALSE)))+IF(AND($O48&lt;&gt;"",$O48&lt;&gt;"O3/CP",$O$15=E$18,MID($O48,4,1)="2",$O$15&lt;&gt;$O$14),VLOOKUP(CONCATENATE(LEFT($O48,2),"L"),$R$63:$T$91,3,FALSE),0)+IF(AND($O48="O3/CP",$O$14=E$18),VLOOKUP("O3",$R$63:$T$91,3,FALSE)+VLOOKUP("CP",$R$63:$T$91,3,FALSE),0)+IF(AND($P48&lt;&gt;"",$P48&lt;&gt;"--",$P48&lt;&gt;"O3/CP",$P$14=E$18),IF(LEFT($P48,1)="P",VLOOKUP(CONCATENATE(LEFT($P48,2),"H"),$R$63:$T$91,3,FALSE),VLOOKUP($P48,$R$63:$T$91,3,FALSE)))+IF(AND($P48&lt;&gt;"",$P48&lt;&gt;"O3/CP",$P$15=E$18,MID($P48,4,1)="2",$P$15&lt;&gt;$P$14),VLOOKUP(CONCATENATE(LEFT($P48,2),"L"),$R$63:$T$91,3,FALSE),0)+IF(AND($P48="O3/CP",$P$14=E$18),VLOOKUP("O3",$R$63:$T$91,3,FALSE)+VLOOKUP("CP",$R$63:$T$91,3,FALSE),0)+IF(AND($Q48&lt;&gt;"",$Q48&lt;&gt;"--",$Q48&lt;&gt;"O3/CP",$Q$14=E$18),IF(LEFT($Q48,1)="P",VLOOKUP(CONCATENATE(LEFT($Q48,2),"H"),$R$63:$T$91,3,FALSE),VLOOKUP($Q48,$R$63:$T$91,3,FALSE)))+IF(AND($Q48&lt;&gt;"",$Q48&lt;&gt;"O3/CP",$Q$15=E$18,MID($Q48,4,1)="2",$Q$15&lt;&gt;$Q$14),VLOOKUP(CONCATENATE(LEFT($Q48,2),"L"),$R$63:$T$91,3,FALSE),0)+IF(AND($Q48="O3/CP",$Q$14=E$18),VLOOKUP("O3",$R$63:$T$91,3,FALSE)+VLOOKUP("CP",$R$63:$T$91,3,FALSE),0)+IF(AND($R48&lt;&gt;"",$R48&lt;&gt;"--",$R48&lt;&gt;"O3/CP",$R$14=E$18),IF(LEFT($R48,1)="P",VLOOKUP(CONCATENATE(LEFT($R48,2),"H"),$R$63:$T$91,3,FALSE),VLOOKUP($R48,$R$63:$T$91,3,FALSE)))+IF(AND($R48&lt;&gt;"",$R48&lt;&gt;"O3/CP",$R$15=E$18,MID($R48,4,1)="2",$R$15&lt;&gt;$R$14),VLOOKUP(CONCATENATE(LEFT($R48,2),"L"),$R$63:$T$91,3,FALSE),0)+IF(AND($R48="O3/CP",$R$14=E$18),VLOOKUP("O3",$R$63:$T$91,3,FALSE)+VLOOKUP("CP",$R$63:$T$91,3,FALSE),0)+IF(AND($S48&lt;&gt;"",$S48&lt;&gt;"--",$S48&lt;&gt;"O3/CP",$S$14=E$18),IF(LEFT($S48,1)="P",VLOOKUP(CONCATENATE(LEFT($S48,2),"H"),$R$63:$T$91,3,FALSE),VLOOKUP($S48,$R$63:$T$91,3,FALSE)))+IF(AND($S48&lt;&gt;"",$S48&lt;&gt;"O3/CP",$S$15=E$18,MID($S48,4,1)="2",$S$15&lt;&gt;$S$14),VLOOKUP(CONCATENATE(LEFT($S48,2),"L"),$R$63:$T$91,3,FALSE),0)+IF(AND($S48="O3/CP",$S$14=E$18),VLOOKUP("O3",$R$63:$T$91,3,FALSE)+VLOOKUP("CP",$R$63:$T$91,3,FALSE),0)+IF(AND($T48&lt;&gt;"",$T48&lt;&gt;"--",$T48&lt;&gt;"O3/CP",$T$14=E$18),IF(LEFT($T48,1)="P",VLOOKUP(CONCATENATE(LEFT($T48,2),"H"),$R$63:$T$91,3,FALSE),VLOOKUP($T48,$R$63:$T$91,3,FALSE)))+IF(AND($T48&lt;&gt;"",$T48&lt;&gt;"O3/CP",$T$15=E$18,MID($T48,4,1)="2",$T$15&lt;&gt;$T$14),VLOOKUP(CONCATENATE(LEFT($T48,2),"L"),$R$63:$T$91,3,FALSE),0)+IF(AND($T48="O3/CP",$T$14=E$18),VLOOKUP("O3",$R$63:$T$91,3,FALSE)+VLOOKUP("CP",$R$63:$T$91,3,FALSE),0)+IF(AND($U48&lt;&gt;"",$U48&lt;&gt;"--",$U48&lt;&gt;"O3/CP",$U$14=E$18),IF(LEFT($U48,1)="P",VLOOKUP(CONCATENATE(LEFT($U48,2),"H"),$R$63:$T$91,3,FALSE),VLOOKUP($U48,$R$63:$T$91,3,FALSE)))+IF(AND($U48&lt;&gt;"",$U48&lt;&gt;"O3/CP",$U$15=E$18,MID($U48,4,1)="2",$U$15&lt;&gt;$U$14),VLOOKUP(CONCATENATE(LEFT($U48,2),"L"),$R$63:$T$91,3,FALSE),0)+IF(AND($U48="O3/CP",$T$14=E$18),VLOOKUP("O3",$R$63:$T$91,3,FALSE)+VLOOKUP("CP",$R$63:$T$91,3,FALSE),0)+IF(AND($V48&lt;&gt;"",$V48&lt;&gt;"--",$V48&lt;&gt;"O3/CP",$V$14=E$18),IF(LEFT($V48,1)="P",VLOOKUP(CONCATENATE(LEFT($V48,2),"H"),$R$63:$T$91,3,FALSE),VLOOKUP($V48,$R$63:$T$91,3,FALSE)))+IF(AND($V48&lt;&gt;"",$V48&lt;&gt;"O3/CP",$V$15=E$18,MID($V48,4,1)="2",$V$15&lt;&gt;$V$14),VLOOKUP(CONCATENATE(LEFT($V48,2),"L"),$R$63:$T$91,3,FALSE),0)+IF(AND($V48="O3/CP",$V$14=E$18),VLOOKUP("O3",$R$63:$T$91,3,FALSE)+VLOOKUP("CP",$R$63:$T$91,3,FALSE),0)+IF(AND($W48&lt;&gt;"",$W48&lt;&gt;"--",$W48&lt;&gt;"O3/CP",$W$14=E$18),IF(LEFT($W48,1)="P",VLOOKUP(CONCATENATE(LEFT($W48,2),"H"),$R$63:$T$91,3,FALSE),VLOOKUP($W48,$R$63:$T$91,3,FALSE)))+IF(AND($W48&lt;&gt;"",$W48&lt;&gt;"O3/CP",$W$15=E$18,MID($W48,4,1)="2",$W$15&lt;&gt;$W$14),VLOOKUP(CONCATENATE(LEFT($W48,2),"L"),$R$63:$T$91,3,FALSE),0)+IF(AND($W48="O3/CP",$W$14=E$18),VLOOKUP("O3",$R$63:$T$91,3,FALSE)+VLOOKUP("CP",$R$63:$T$91,3,FALSE),0)+IF(AND($X48&lt;&gt;"",$X48&lt;&gt;"--",$X48&lt;&gt;"O3/CP",$X$14=E$18),IF(LEFT($X48,1)="P",VLOOKUP(CONCATENATE(LEFT($X48,2),"H"),$R$63:$T$91,3,FALSE),VLOOKUP($X48,$R$63:$T$91,3,FALSE)))+IF(AND($X48&lt;&gt;"",$X48&lt;&gt;"O3/CP",$X$15=E$18,MID($X48,4,1)="2",$X$15&lt;&gt;$X$14),VLOOKUP(CONCATENATE(LEFT($X48,2),"L"),$R$63:$T$91,3,FALSE),0)+IF(AND($X48="O3/CP",$X$14=E$18),VLOOKUP("O3",$R$63:$T$91,3,FALSE)+VLOOKUP("CP",$R$63:$T$91,3,FALSE),0)+IF(AND($Y48&lt;&gt;"",$Y48&lt;&gt;"--",$Y48&lt;&gt;"O3/CP",$Y$14=E$18),IF(LEFT($Y48,1)="P",VLOOKUP(CONCATENATE(LEFT($Y48,2),"H"),$R$63:$T$91,3,FALSE),VLOOKUP($Y48,$R$63:$T$91,3,FALSE)))+IF(AND($Y48&lt;&gt;"",$Y48&lt;&gt;"O3/CP",$Y$15=E$18,MID($Y48,4,1)="2",$Y$15&lt;&gt;$Y$14),VLOOKUP(CONCATENATE(LEFT($Y48,2),"L"),$R$63:$T$91,3,FALSE),0)+IF(AND($Y48="O3/CP",$Y$14=E$18),VLOOKUP("O3",$R$63:$T$91,3,FALSE)+VLOOKUP("CP",$R$63:$T$91,3,FALSE),0)+IF(AND($K$6="CE",'[3]Supply Attribution'!$G$20=E$18),LEFT($S$90,2),0)+IF(AND($X$86&lt;&gt;"Not Set",$X$87=E$18),$X$86,0)</f>
        <v>0</v>
      </c>
      <c r="F48" s="268">
        <f>IF(AND($K48&lt;&gt;"",$K48&lt;&gt;"--",$K48&lt;&gt;"O3/CP",$K$14=F$18),IF(LEFT($K48,1)="P",VLOOKUP(CONCATENATE(LEFT($K48,2),"H"),$R$63:$T$91,3,FALSE),VLOOKUP($K48,$R$63:$T$91,3,FALSE)))+IF(AND($K48&lt;&gt;"",$K48&lt;&gt;"O3/CP",$K$15=F$18,MID($K48,4,1)="2",$K$15&lt;&gt;$K$14),VLOOKUP(CONCATENATE(LEFT($K48,2),"L"),$R$63:$T$91,3,FALSE),0)+IF(AND($K48="O3/CP",$K$14=F$18),VLOOKUP("O3",$R$63:$T$91,3,FALSE)+VLOOKUP("CP",$R$63:$T$91,3,FALSE),0)+IF(AND($L48&lt;&gt;"",$L48&lt;&gt;"--",$L48&lt;&gt;"O3/CP",$L$14=F$18),IF(LEFT($L48,1)="P",VLOOKUP(CONCATENATE(LEFT($L48,2),"H"),$R$63:$T$91,3,FALSE),VLOOKUP($L48,$R$63:$T$91,3,FALSE)))+IF(AND($L48&lt;&gt;"",$L48&lt;&gt;"O3/CP",$L$15=F$18,MID($L48,4,1)="2",$L$15&lt;&gt;$L$14),VLOOKUP(CONCATENATE(LEFT($L48,2),"L"),$R$63:$T$91,3,FALSE),0)+IF(AND($L48="O3/CP",$L$14=F$18),VLOOKUP("O3",$R$63:$T$91,3,FALSE)+VLOOKUP("CP",$R$63:$T$91,3,FALSE),0)+IF(AND($M48&lt;&gt;"",$M48&lt;&gt;"--",$M48&lt;&gt;"O3/CP",$M$14=F$18),IF(LEFT($M48,1)="P",VLOOKUP(CONCATENATE(LEFT($M48,2),"H"),$R$63:$T$91,3,FALSE),VLOOKUP($M48,$R$63:$T$91,3,FALSE)))+IF(AND($M48&lt;&gt;"",$M48&lt;&gt;"O3/CP",$M$15=F$18,MID($M48,4,1)="2",$M$15&lt;&gt;$M$14),VLOOKUP(CONCATENATE(LEFT($M48,2),"L"),$R$63:$T$91,3,FALSE),0)+IF(AND($M48="O3/CP",$M$14=F$18),VLOOKUP("O3",$R$63:$T$91,3,FALSE)+VLOOKUP("CP",$R$63:$T$91,3,FALSE),0)+IF(AND($N48&lt;&gt;"",$N48&lt;&gt;"--",$N48&lt;&gt;"O3/CP",$N$14=F$18),IF(LEFT($N48,1)="P",VLOOKUP(CONCATENATE(LEFT($N48,2),"H"),$R$63:$T$91,3,FALSE),VLOOKUP($N48,$R$63:$T$91,3,FALSE)))+IF(AND($N48&lt;&gt;"",$N48&lt;&gt;"O3/CP",$N$15=F$18,MID($N48,4,1)="2",$N$15&lt;&gt;$N$14),VLOOKUP(CONCATENATE(LEFT($N48,2),"L"),$R$63:$T$91,3,FALSE),0)+IF(AND($N48="O3/CP",$N$14=F$18),VLOOKUP("O3",$R$63:$T$91,3,FALSE)+VLOOKUP("CP",$R$63:$T$91,3,FALSE),0)+IF(AND($O48&lt;&gt;"",$O48&lt;&gt;"--",$O48&lt;&gt;"O3/CP",$O$14=F$18),IF(LEFT($O48,1)="P",VLOOKUP(CONCATENATE(LEFT($O48,2),"H"),$R$63:$T$91,3,FALSE),VLOOKUP($O48,$R$63:$T$91,3,FALSE)))+IF(AND($O48&lt;&gt;"",$O48&lt;&gt;"O3/CP",$O$15=F$18,MID($O48,4,1)="2",$O$15&lt;&gt;$O$14),VLOOKUP(CONCATENATE(LEFT($O48,2),"L"),$R$63:$T$91,3,FALSE),0)+IF(AND($O48="O3/CP",$O$14=F$18),VLOOKUP("O3",$R$63:$T$91,3,FALSE)+VLOOKUP("CP",$R$63:$T$91,3,FALSE),0)+IF(AND($P48&lt;&gt;"",$P48&lt;&gt;"--",$P48&lt;&gt;"O3/CP",$P$14=F$18),IF(LEFT($P48,1)="P",VLOOKUP(CONCATENATE(LEFT($P48,2),"H"),$R$63:$T$91,3,FALSE),VLOOKUP($P48,$R$63:$T$91,3,FALSE)))+IF(AND($P48&lt;&gt;"",$P48&lt;&gt;"O3/CP",$P$15=F$18,MID($P48,4,1)="2",$P$15&lt;&gt;$P$14),VLOOKUP(CONCATENATE(LEFT($P48,2),"L"),$R$63:$T$91,3,FALSE),0)+IF(AND($P48="O3/CP",$P$14=F$18),VLOOKUP("O3",$R$63:$T$91,3,FALSE)+VLOOKUP("CP",$R$63:$T$91,3,FALSE),0)+IF(AND($Q48&lt;&gt;"",$Q48&lt;&gt;"--",$Q48&lt;&gt;"O3/CP",$Q$14=F$18),IF(LEFT($Q48,1)="P",VLOOKUP(CONCATENATE(LEFT($Q48,2),"H"),$R$63:$T$91,3,FALSE),VLOOKUP($Q48,$R$63:$T$91,3,FALSE)))+IF(AND($Q48&lt;&gt;"",$Q48&lt;&gt;"O3/CP",$Q$15=F$18,MID($Q48,4,1)="2",$Q$15&lt;&gt;$Q$14),VLOOKUP(CONCATENATE(LEFT($Q48,2),"L"),$R$63:$T$91,3,FALSE),0)+IF(AND($Q48="O3/CP",$Q$14=F$18),VLOOKUP("O3",$R$63:$T$91,3,FALSE)+VLOOKUP("CP",$R$63:$T$91,3,FALSE),0)+IF(AND($R48&lt;&gt;"",$R48&lt;&gt;"--",$R48&lt;&gt;"O3/CP",$R$14=F$18),IF(LEFT($R48,1)="P",VLOOKUP(CONCATENATE(LEFT($R48,2),"H"),$R$63:$T$91,3,FALSE),VLOOKUP($R48,$R$63:$T$91,3,FALSE)))+IF(AND($R48&lt;&gt;"",$R48&lt;&gt;"O3/CP",$R$15=F$18,MID($R48,4,1)="2",$R$15&lt;&gt;$R$14),VLOOKUP(CONCATENATE(LEFT($R48,2),"L"),$R$63:$T$91,3,FALSE),0)+IF(AND($R48="O3/CP",$R$14=F$18),VLOOKUP("O3",$R$63:$T$91,3,FALSE)+VLOOKUP("CP",$R$63:$T$91,3,FALSE),0)+IF(AND($S48&lt;&gt;"",$S48&lt;&gt;"--",$S48&lt;&gt;"O3/CP",$S$14=F$18),IF(LEFT($S48,1)="P",VLOOKUP(CONCATENATE(LEFT($S48,2),"H"),$R$63:$T$91,3,FALSE),VLOOKUP($S48,$R$63:$T$91,3,FALSE)))+IF(AND($S48&lt;&gt;"",$S48&lt;&gt;"O3/CP",$S$15=F$18,MID($S48,4,1)="2",$S$15&lt;&gt;$S$14),VLOOKUP(CONCATENATE(LEFT($S48,2),"L"),$R$63:$T$91,3,FALSE),0)+IF(AND($S48="O3/CP",$S$14=F$18),VLOOKUP("O3",$R$63:$T$91,3,FALSE)+VLOOKUP("CP",$R$63:$T$91,3,FALSE),0)+IF(AND($T48&lt;&gt;"",$T48&lt;&gt;"--",$T48&lt;&gt;"O3/CP",$T$14=F$18),IF(LEFT($T48,1)="P",VLOOKUP(CONCATENATE(LEFT($T48,2),"H"),$R$63:$T$91,3,FALSE),VLOOKUP($T48,$R$63:$T$91,3,FALSE)))+IF(AND($T48&lt;&gt;"",$T48&lt;&gt;"O3/CP",$T$15=F$18,MID($T48,4,1)="2",$T$15&lt;&gt;$T$14),VLOOKUP(CONCATENATE(LEFT($T48,2),"L"),$R$63:$T$91,3,FALSE),0)+IF(AND($T48="O3/CP",$T$14=F$18),VLOOKUP("O3",$R$63:$T$91,3,FALSE)+VLOOKUP("CP",$R$63:$T$91,3,FALSE),0)+IF(AND($U48&lt;&gt;"",$U48&lt;&gt;"--",$U48&lt;&gt;"O3/CP",$U$14=F$18),IF(LEFT($U48,1)="P",VLOOKUP(CONCATENATE(LEFT($U48,2),"H"),$R$63:$T$91,3,FALSE),VLOOKUP($U48,$R$63:$T$91,3,FALSE)))+IF(AND($U48&lt;&gt;"",$U48&lt;&gt;"O3/CP",$U$15=F$18,MID($U48,4,1)="2",$U$15&lt;&gt;$U$14),VLOOKUP(CONCATENATE(LEFT($U48,2),"L"),$R$63:$T$91,3,FALSE),0)+IF(AND($U48="O3/CP",$T$14=F$18),VLOOKUP("O3",$R$63:$T$91,3,FALSE)+VLOOKUP("CP",$R$63:$T$91,3,FALSE),0)+IF(AND($V48&lt;&gt;"",$V48&lt;&gt;"--",$V48&lt;&gt;"O3/CP",$V$14=F$18),IF(LEFT($V48,1)="P",VLOOKUP(CONCATENATE(LEFT($V48,2),"H"),$R$63:$T$91,3,FALSE),VLOOKUP($V48,$R$63:$T$91,3,FALSE)))+IF(AND($V48&lt;&gt;"",$V48&lt;&gt;"O3/CP",$V$15=F$18,MID($V48,4,1)="2",$V$15&lt;&gt;$V$14),VLOOKUP(CONCATENATE(LEFT($V48,2),"L"),$R$63:$T$91,3,FALSE),0)+IF(AND($V48="O3/CP",$V$14=F$18),VLOOKUP("O3",$R$63:$T$91,3,FALSE)+VLOOKUP("CP",$R$63:$T$91,3,FALSE),0)+IF(AND($W48&lt;&gt;"",$W48&lt;&gt;"--",$W48&lt;&gt;"O3/CP",$W$14=F$18),IF(LEFT($W48,1)="P",VLOOKUP(CONCATENATE(LEFT($W48,2),"H"),$R$63:$T$91,3,FALSE),VLOOKUP($W48,$R$63:$T$91,3,FALSE)))+IF(AND($W48&lt;&gt;"",$W48&lt;&gt;"O3/CP",$W$15=F$18,MID($W48,4,1)="2",$W$15&lt;&gt;$W$14),VLOOKUP(CONCATENATE(LEFT($W48,2),"L"),$R$63:$T$91,3,FALSE),0)+IF(AND($W48="O3/CP",$W$14=F$18),VLOOKUP("O3",$R$63:$T$91,3,FALSE)+VLOOKUP("CP",$R$63:$T$91,3,FALSE),0)+IF(AND($X48&lt;&gt;"",$X48&lt;&gt;"--",$X48&lt;&gt;"O3/CP",$X$14=F$18),IF(LEFT($X48,1)="P",VLOOKUP(CONCATENATE(LEFT($X48,2),"H"),$R$63:$T$91,3,FALSE),VLOOKUP($X48,$R$63:$T$91,3,FALSE)))+IF(AND($X48&lt;&gt;"",$X48&lt;&gt;"O3/CP",$X$15=F$18,MID($X48,4,1)="2",$X$15&lt;&gt;$X$14),VLOOKUP(CONCATENATE(LEFT($X48,2),"L"),$R$63:$T$91,3,FALSE),0)+IF(AND($X48="O3/CP",$X$14=F$18),VLOOKUP("O3",$R$63:$T$91,3,FALSE)+VLOOKUP("CP",$R$63:$T$91,3,FALSE),0)+IF(AND($Y48&lt;&gt;"",$Y48&lt;&gt;"--",$Y48&lt;&gt;"O3/CP",$Y$14=F$18),IF(LEFT($Y48,1)="P",VLOOKUP(CONCATENATE(LEFT($Y48,2),"H"),$R$63:$T$91,3,FALSE),VLOOKUP($Y48,$R$63:$T$91,3,FALSE)))+IF(AND($Y48&lt;&gt;"",$Y48&lt;&gt;"O3/CP",$Y$15=F$18,MID($Y48,4,1)="2",$Y$15&lt;&gt;$Y$14),VLOOKUP(CONCATENATE(LEFT($Y48,2),"L"),$R$63:$T$91,3,FALSE),0)+IF(AND($Y48="O3/CP",$Y$14=F$18),VLOOKUP("O3",$R$63:$T$91,3,FALSE)+VLOOKUP("CP",$R$63:$T$91,3,FALSE),0)+IF(AND($K$6="CE",'[3]Supply Attribution'!$G$20=F$18),LEFT($S$90,2),0)+IF(AND($X$86&lt;&gt;"Not Set",$X$87=F$18),$X$86,0)</f>
        <v>0</v>
      </c>
      <c r="G48" s="269">
        <f>IF(AND($K$6="CE",$T$59="1 Phase"),SUM(A48:F48)-IF(AND($K$14&lt;&gt;$K$15,RIGHT($K48,3)="2SP"),VLOOKUP(CONCATENATE(LEFT($K48,2),"L"),$R$63:$T$90,3,FALSE),0)-IF(AND($L$14&lt;&gt;$L$15,RIGHT($L48,3)="2SP"),VLOOKUP(CONCATENATE(LEFT($L48,2),"L"),$R$63:$T$90,3,FALSE),0)-IF(AND($M$14&lt;&gt;$M$15,RIGHT($M48,3)="2SP"),VLOOKUP(CONCATENATE(LEFT($M48,2),"L"),$R$63:$T$90,3,FALSE),0)-IF(AND($N$14&lt;&gt;$N$15,RIGHT($N48,3)="2SP"),VLOOKUP(CONCATENATE(LEFT($N48,2),"L"),$R$63:$T$90,3,FALSE),0)-IF(AND($O$14&lt;&gt;$O$15,RIGHT($O48,3)="2SP"),VLOOKUP(CONCATENATE(LEFT($O48,2),"L"),$R$63:$T$90,3,FALSE),0)-IF(AND($P$14&lt;&gt;$P$15,RIGHT($P48,3)="2SP"),VLOOKUP(CONCATENATE(LEFT($P48,2),"L"),$R$63:$T$90,3,FALSE),0)-IF(AND($Q$14&lt;&gt;$Q$15,RIGHT($Q48,3)="2SP"),VLOOKUP(CONCATENATE(LEFT($Q48,2),"L"),$R$63:$T$90,3,FALSE),0)-IF(AND($R$14&lt;&gt;$R$15,RIGHT($T48,3)="2SP"),VLOOKUP(CONCATENATE(LEFT($R48,2),"L"),$R$63:$T$90,3,FALSE),0)-IF(AND($S$14&lt;&gt;$S$15,RIGHT($T48,3)="2SP"),VLOOKUP(CONCATENATE(LEFT($S48,2),"L"),$R$63:$T$90,3,FALSE),0)-IF(AND($T$14&lt;&gt;$T$15,RIGHT($T48,3)="2SP"),VLOOKUP(CONCATENATE(LEFT($T48,2),"L"),$R$63:$T$90,3,FALSE),0)-IF(AND($U$14&lt;&gt;$U$15,RIGHT($U48,3)="2SP"),VLOOKUP(CONCATENATE(LEFT($U48,2),"L"),$R$63:$T$90,3,FALSE),0)-IF(AND($V$14&lt;&gt;$V$15,RIGHT($V48,3)="2SP"),VLOOKUP(CONCATENATE(LEFT($V48,2),"L"),$R$63:$T$90,3,FALSE),0)-IF(AND($W$14&lt;&gt;$W$15,RIGHT($W48,3)="2SP"),VLOOKUP(CONCATENATE(LEFT($W48,2),"L"),$R$63:$T$90,3,FALSE),0)-IF(AND($X$14&lt;&gt;$X$15,RIGHT($X48,3)="2SP"),VLOOKUP(CONCATENATE(LEFT($X48,2),"L"),$R$63:$T$90,3,FALSE),0)-IF(AND($Y$14&lt;&gt;$Y$15,RIGHT($Y48,3)="2SP"),VLOOKUP(CONCATENATE(LEFT($Y48,2),"L"),$R$63:$T$90,3,FALSE),0),IF(VLOOKUP(CONCATENATE($A$18,"Line"),'[3]Supply Attribution'!$F$31:$G$37,2,FALSE)=G$18,$A48,0)+IF(VLOOKUP(CONCATENATE($B$18,"Line"),'[3]Supply Attribution'!$F$31:$G$37,2,FALSE)=G$18,$B48,0)+IF(VLOOKUP(CONCATENATE($C$18,"Line"),'[3]Supply Attribution'!$F$31:$G$37,2,FALSE)=G$18,$C48,0)+IF(VLOOKUP(CONCATENATE($D$18,"Line"),'[3]Supply Attribution'!$F$31:$G$37,2,FALSE)=G$18,$D48,0)+IF(VLOOKUP(CONCATENATE($E$18,"Line"),'[3]Supply Attribution'!$F$31:$G$37,2,FALSE)=G$18,$E48,0)+IF(VLOOKUP(CONCATENATE($F$18,"Line"),'[3]Supply Attribution'!$F$31:$G$37,2,FALSE)=G$18,$F48,0)+IF($K$6="UL",LEFT($S$90,2),0)-IF(AND($K$16=G$18,$K$14&lt;&gt;$K$15,$K$16=$K$17,RIGHT($K48,3)="2SP"),VLOOKUP(CONCATENATE(LEFT($K48,2),"L"),$R$63:$T$90,3,FALSE),0)-IF(AND($L$16=G$18,$L$14&lt;&gt;$L$15,$L$16=$L$17,RIGHT($L48,3)="2SP"),VLOOKUP(CONCATENATE(LEFT($L48,2),"L"),$R$63:$T$90,3,FALSE),0)-IF(AND($M$16=G$18,$M$14&lt;&gt;$M$15,$M$16=$M$17,RIGHT($M48,3)="2SP"),VLOOKUP(CONCATENATE(LEFT($M48,2),"L"),$R$63:$T$90,3,FALSE),0)-IF(AND($N$16=G$18,$N$14&lt;&gt;$N$15,$N$16=$N$17,RIGHT($N48,3)="2SP"),VLOOKUP(CONCATENATE(LEFT($N48,2),"L"),$R$63:$T$90,3,FALSE),0)-IF(AND($O$16=G$18,$O$14&lt;&gt;$O$15,$O$16=$O$17,RIGHT($O48,3)="2SP"),VLOOKUP(CONCATENATE(LEFT($O48,2),"L"),$R$63:$T$90,3,FALSE),0)-IF(AND($P$16=G$18,$P$14&lt;&gt;$P$15,$P$16=$P$17,RIGHT($P48,3)="2SP"),VLOOKUP(CONCATENATE(LEFT($P48,2),"L"),$R$63:$T$90,3,FALSE),0)-IF(AND($Q$16=G$18,$Q$14&lt;&gt;$Q$15,$Q$16=$Q$17,RIGHT($Q48,3)="2SP"),VLOOKUP(CONCATENATE(LEFT($Q48,2),"L"),$R$63:$T$90,3,FALSE),0)-IF(AND($R$16=G$18,$R$14&lt;&gt;$R$15,$R$16=$R$17,RIGHT($R48,3)="2SP"),VLOOKUP(CONCATENATE(LEFT($R48,2),"L"),$R$63:$T$90,3,FALSE),0)-IF(AND($S$16=G$18,$S$14&lt;&gt;$S$15,$S$16=$S$17,RIGHT($S48,3)="2SP"),VLOOKUP(CONCATENATE(LEFT($S48,2),"L"),$R$63:$T$90,3,FALSE),0)-IF(AND($T$16=G$18,$T$14&lt;&gt;$T$15,$T$16=$T$17,RIGHT($T48,3)="2SP"),VLOOKUP(CONCATENATE(LEFT($T48,2),"L"),$R$63:$T$90,3,FALSE),0)-IF(AND($U$16=G$18,$U$14&lt;&gt;$U$15,$U$16=$U$17,RIGHT($U48,3)="2SP"),VLOOKUP(CONCATENATE(LEFT($U48,2),"L"),$R$63:$T$90,3,FALSE),0)-IF(AND($V$16=G$18,$V$14&lt;&gt;$V$15,$V$16=$V$17,RIGHT($V48,3)="2SP"),VLOOKUP(CONCATENATE(LEFT($V48,2),"L"),$R$63:$T$90,3,FALSE),0)-IF(AND($W$16=G$18,$W$14&lt;&gt;$W$15,$W$16=$W$17,RIGHT($W48,3)="2SP"),VLOOKUP(CONCATENATE(LEFT($W48,2),"L"),$R$63:$T$90,3,FALSE),0)-IF(AND($X$16=G$18,$X$14&lt;&gt;$X$15,$X$16=$X$17,RIGHT($X48,3)="2SP"),VLOOKUP(CONCATENATE(LEFT($X48,2),"L"),$R$63:$T$90,3,FALSE),0)-IF(AND($Y$16=G$18,$Y$14&lt;&gt;$Y$15,$Y$16=$Y$17,RIGHT($Y48,3)="2SP"),VLOOKUP(CONCATENATE(LEFT($Y48,2),"L"),$R$63:$T$90,3,FALSE),0))</f>
        <v>17</v>
      </c>
      <c r="H48" s="269" t="str">
        <f>IF(H$18&lt;&gt;"",IF(VLOOKUP(CONCATENATE($A$18,"Line"),'Supply Attribution'!$F$31:$G$37,2,FALSE)=H$18,$A48,0)+IF(VLOOKUP(CONCATENATE($B$18,"Line"),'Supply Attribution'!$F$31:$G$37,2,FALSE)=H$18,$B48,0)+IF(VLOOKUP(CONCATENATE($C$18,"Line"),'Supply Attribution'!$F$31:$G$37,2,FALSE)=H$18,$C48,0)+IF(VLOOKUP(CONCATENATE($D$18,"Line"),'Supply Attribution'!$F$31:$G$37,2,FALSE)=H$18,$D48,0)+IF(VLOOKUP(CONCATENATE($E$18,"Line"),'Supply Attribution'!$F$31:$G$37,2,FALSE)=H$18,$E48,0)+IF(VLOOKUP(CONCATENATE($F$18,"Line"),'Supply Attribution'!$F$31:$G$37,2,FALSE)=H$18,$F48,0)+IF($K$6="UL",LEFT($S$90,2),0)-IF(AND($K$16=H$18,$K$14&lt;&gt;$K$15,$K$16=$K$17,RIGHT($K48,3)="2SP"),VLOOKUP(CONCATENATE(LEFT($K48,2),"L"),$R$63:$T$90,3,FALSE),0)-IF(AND($L$16=H$18,$L$14&lt;&gt;$L$15,$L$16=$L$17,RIGHT($L48,3)="2SP"),VLOOKUP(CONCATENATE(LEFT($L48,2),"L"),$R$63:$T$90,3,FALSE),0)-IF(AND($M$16=H$18,$M$14&lt;&gt;$M$15,$M$16=$M$17,RIGHT($M48,3)="2SP"),VLOOKUP(CONCATENATE(LEFT($M48,2),"L"),$R$63:$T$90,3,FALSE),0)-IF(AND($N$16=H$18,$N$14&lt;&gt;$N$15,$N$16=$N$17,RIGHT($N48,3)="2SP"),VLOOKUP(CONCATENATE(LEFT($N48,2),"L"),$R$63:$T$90,3,FALSE),0)-IF(AND($O$16=H$18,$O$14&lt;&gt;$O$15,$O$16=$O$17,RIGHT($O48,3)="2SP"),VLOOKUP(CONCATENATE(LEFT($O48,2),"L"),$R$63:$T$90,3,FALSE),0)-IF(AND($P$16=H$18,$P$14&lt;&gt;$P$15,$P$16=$P$17,RIGHT($P48,3)="2SP"),VLOOKUP(CONCATENATE(LEFT($P48,2),"L"),$R$63:$T$90,3,FALSE),0)-IF(AND($Q$16=H$18,$Q$14&lt;&gt;$Q$15,$Q$16=$Q$17,RIGHT($Q48,3)="2SP"),VLOOKUP(CONCATENATE(LEFT($Q48,2),"L"),$R$63:$T$90,3,FALSE),0)-IF(AND($T$16=H$18,$T$14&lt;&gt;$T$15,$T$16=$T$17,RIGHT($T48,3)="2SP"),VLOOKUP(CONCATENATE(LEFT($T48,2),"L"),$R$63:$T$90,3,FALSE),0)-IF(AND($U$16=H$18,$U$14&lt;&gt;$U$15,$U$16=$U$17,RIGHT($U48,3)="2SP"),VLOOKUP(CONCATENATE(LEFT($U48,2),"L"),$R$63:$T$90,3,FALSE),0)-IF(AND($V$16=H$18,$V$14&lt;&gt;$V$15,$V$16=$V$17,RIGHT($V48,3)="2SP"),VLOOKUP(CONCATENATE(LEFT($V48,2),"L"),$R$63:$T$90,3,FALSE),0)-IF(AND($W$16=H$18,$W$14&lt;&gt;$W$15,$W$16=$W$17,RIGHT($W48,3)="2SP"),VLOOKUP(CONCATENATE(LEFT($W48,2),"L"),$R$63:$T$90,3,FALSE),0)-IF(AND($X$16=H$18,$X$14&lt;&gt;$X$15,$X$16=$X$17,RIGHT($X48,3)="2SP"),VLOOKUP(CONCATENATE(LEFT($X48,2),"L"),$R$63:$T$90,3,FALSE),0)-IF(AND($Y$16=H$18,$Y$14&lt;&gt;$Y$15,$Y$16=$Y$17,RIGHT($Y48,3)="2SP"),VLOOKUP(CONCATENATE(LEFT($Y48,2),"L"),$R$63:$T$90,3,FALSE),0)+IF(AND($K$6="CE",$T$59="2 Phases",H$18&lt;&gt;""),IF(VLOOKUP(CONCATENATE($A$18,"Line"),'Supply Attribution'!$F$31:$G$37,2,FALSE)="Line3",$A48,0)+IF(VLOOKUP(CONCATENATE($B$18,"Line"),'Supply Attribution'!$F$31:$G$37,2,FALSE)="Line3",$B48,0)+IF(VLOOKUP(CONCATENATE($C$18,"Line"),'Supply Attribution'!$F$31:$G$37,2,FALSE)="Line3",$C48,0)+IF(VLOOKUP(CONCATENATE($D$18,"Line"),'Supply Attribution'!$F$31:$G$37,2,FALSE)="Line3",$D48,0)+IF(VLOOKUP(CONCATENATE($E$18,"Line"),'Supply Attribution'!$F$31:$G$37,2,FALSE)="Line3",$E48,0)+IF(VLOOKUP(CONCATENATE($F$18,"Line"),'Supply Attribution'!$F$31:$G$37,2,FALSE)="Line3",$F48,0)-IF(AND($K$16=I$18,$K$14&lt;&gt;$K$15,$K$16=$K$17,RIGHT($K48,3)="2SP"),VLOOKUP(CONCATENATE(LEFT($K48,2),"L"),$R$63:$T$90,3,FALSE),0)-IF(AND($L$16=I$18,$L$14&lt;&gt;$L$15,$L$16=$L$17,RIGHT($L48,3)="2SP"),VLOOKUP(CONCATENATE(LEFT($L48,2),"L"),$R$63:$T$90,3,FALSE),0)-IF(AND($M$16=I$18,$M$14&lt;&gt;$M$15,$M$16=$M$17,RIGHT($M48,3)="2SP"),VLOOKUP(CONCATENATE(LEFT($M48,2),"L"),$R$63:$T$90,3,FALSE),0)-IF(AND($N$16=I$18,$N$14&lt;&gt;$N$15,$N$16=$N$17,RIGHT($N48,3)="2SP"),VLOOKUP(CONCATENATE(LEFT($N48,2),"L"),$R$63:$T$90,3,FALSE),0)-IF(AND($O$16=I$18,$O$14&lt;&gt;$O$15,$O$16=$O$17,RIGHT($O48,3)="2SP"),VLOOKUP(CONCATENATE(LEFT($O48,2),"L"),$R$63:$T$90,3,FALSE),0)-IF(AND($P$16=I$18,$P$14&lt;&gt;$P$15,$P$16=$P$17,RIGHT($P48,3)="2SP"),VLOOKUP(CONCATENATE(LEFT($P48,2),"L"),$R$63:$T$90,3,FALSE),0)-IF(AND($Q$16=I$18,$Q$14&lt;&gt;$Q$15,$Q$16=$Q$17,RIGHT($Q48,3)="2SP"),VLOOKUP(CONCATENATE(LEFT($Q48,2),"L"),$R$63:$T$90,3,FALSE),0)-IF(AND($T$16=I$18,$T$14&lt;&gt;$T$15,$T$16=$T$17,RIGHT($T48,3)="2SP"),VLOOKUP(CONCATENATE(LEFT($T48,2),"L"),$R$63:$T$90,3,FALSE),0)-IF(AND($U$16=I$18,$U$14&lt;&gt;$U$15,$U$16=$U$17,RIGHT($U48,3)="2SP"),VLOOKUP(CONCATENATE(LEFT($U48,2),"L"),$R$63:$T$90,3,FALSE),0)-IF(AND($V$16=I$18,$V$14&lt;&gt;$V$15,$V$16=$V$17,RIGHT($V48,3)="2SP"),VLOOKUP(CONCATENATE(LEFT($V48,2),"L"),$R$63:$T$90,3,FALSE),0)-IF(AND($W$16=I$18,$W$14&lt;&gt;$W$15,$W$16=$W$17,RIGHT($W48,3)="2SP"),VLOOKUP(CONCATENATE(LEFT($W48,2),"L"),$R$63:$T$90,3,FALSE),0)-IF(AND($X$16=I$18,$X$14&lt;&gt;$X$15,$X$16=$X$17,RIGHT($X48,3)="2SP"),VLOOKUP(CONCATENATE(LEFT($X48,2),"L"),$R$63:$T$90,3,FALSE),0)-IF(AND($Y$16=I$18,$Y$14&lt;&gt;$Y$15,$Y$16=$Y$17,RIGHT($Y48,3)="2SP"),VLOOKUP(CONCATENATE(LEFT($Y48,2),"L"),$R$63:$T$90,3,FALSE),0),0),"")</f>
        <v/>
      </c>
      <c r="I48" s="269" t="str">
        <f>IF(I$18&lt;&gt;"",IF(VLOOKUP(CONCATENATE($A$18,"Line"),'Supply Attribution'!$F$31:$G$37,2,FALSE)=I$18,$A48,0)+IF(VLOOKUP(CONCATENATE($B$18,"Line"),'Supply Attribution'!$F$31:$G$37,2,FALSE)=I$18,$B48,0)+IF(VLOOKUP(CONCATENATE($C$18,"Line"),'Supply Attribution'!$F$31:$G$37,2,FALSE)=I$18,$C48,0)+IF(VLOOKUP(CONCATENATE($D$18,"Line"),'Supply Attribution'!$F$31:$G$37,2,FALSE)=I$18,$D48,0)+IF(VLOOKUP(CONCATENATE($E$18,"Line"),'Supply Attribution'!$F$31:$G$37,2,FALSE)=I$18,$E48,0)+IF(VLOOKUP(CONCATENATE($F$18,"Line"),'Supply Attribution'!$F$31:$G$37,2,FALSE)=I$18,$F48,0)+IF($K$6="UL",LEFT($S$90,2),0)-IF(AND($K$16=I$18,$K$14&lt;&gt;$K$15,$K$16=$K$17,RIGHT($K48,3)="2SP"),VLOOKUP(CONCATENATE(LEFT($K48,2),"L"),$R$63:$T$90,3,FALSE),0)-IF(AND($L$16=I$18,$L$14&lt;&gt;$L$15,$L$16=$L$17,RIGHT($L48,3)="2SP"),VLOOKUP(CONCATENATE(LEFT($L48,2),"L"),$R$63:$T$90,3,FALSE),0)-IF(AND($M$16=I$18,$M$14&lt;&gt;$M$15,$M$16=$M$17,RIGHT($M48,3)="2SP"),VLOOKUP(CONCATENATE(LEFT($M48,2),"L"),$R$63:$T$90,3,FALSE),0)-IF(AND($N$16=I$18,$N$14&lt;&gt;$N$15,$N$16=$N$17,RIGHT($N48,3)="2SP"),VLOOKUP(CONCATENATE(LEFT($N48,2),"L"),$R$63:$T$90,3,FALSE),0)-IF(AND($O$16=I$18,$O$14&lt;&gt;$O$15,$O$16=$O$17,RIGHT($O48,3)="2SP"),VLOOKUP(CONCATENATE(LEFT($O48,2),"L"),$R$63:$T$90,3,FALSE),0)-IF(AND($P$16=I$18,$P$14&lt;&gt;$P$15,$P$16=$P$17,RIGHT($P48,3)="2SP"),VLOOKUP(CONCATENATE(LEFT($P48,2),"L"),$R$63:$T$90,3,FALSE),0)-IF(AND($Q$16=I$18,$Q$14&lt;&gt;$Q$15,$Q$16=$Q$17,RIGHT($Q48,3)="2SP"),VLOOKUP(CONCATENATE(LEFT($Q48,2),"L"),$R$63:$T$90,3,FALSE),0)-IF(AND($T$16=I$18,$T$14&lt;&gt;$T$15,$T$16=$T$17,RIGHT($T48,3)="2SP"),VLOOKUP(CONCATENATE(LEFT($T48,2),"L"),$R$63:$T$90,3,FALSE),0)-IF(AND($U$16=I$18,$U$14&lt;&gt;$U$15,$U$16=$U$17,RIGHT($U48,3)="2SP"),VLOOKUP(CONCATENATE(LEFT($U48,2),"L"),$R$63:$T$90,3,FALSE),0)-IF(AND($V$16=I$18,$V$14&lt;&gt;$V$15,$V$16=$V$17,RIGHT($V48,3)="2SP"),VLOOKUP(CONCATENATE(LEFT($V48,2),"L"),$R$63:$T$90,3,FALSE),0)-IF(AND($W$16=I$18,$W$14&lt;&gt;$W$15,$W$16=$W$17,RIGHT($W48,3)="2SP"),VLOOKUP(CONCATENATE(LEFT($W48,2),"L"),$R$63:$T$90,3,FALSE),0)-IF(AND($X$16=I$18,$X$14&lt;&gt;$X$15,$X$16=$X$17,RIGHT($X48,3)="2SP"),VLOOKUP(CONCATENATE(LEFT($X48,2),"L"),$R$63:$T$90,3,FALSE),0)-IF(AND($Y$16=I$18,$Y$14&lt;&gt;$Y$15,$Y$16=$Y$17,RIGHT($Y48,3)="2SP"),VLOOKUP(CONCATENATE(LEFT($Y48,2),"L"),$R$63:$T$90,3,FALSE),0),"")</f>
        <v/>
      </c>
      <c r="J48" s="134"/>
      <c r="K48" s="135"/>
      <c r="L48" s="135"/>
      <c r="M48" s="135"/>
      <c r="N48" s="135"/>
      <c r="O48" s="135"/>
      <c r="P48" s="135"/>
      <c r="Q48" s="135"/>
      <c r="R48" s="135"/>
      <c r="S48" s="135"/>
      <c r="T48" s="135"/>
      <c r="U48" s="135"/>
      <c r="V48" s="135"/>
      <c r="W48" s="135"/>
      <c r="X48" s="135"/>
      <c r="Y48" s="135"/>
      <c r="Z48" s="136"/>
      <c r="AA48" s="136"/>
      <c r="AB48" s="137"/>
      <c r="AC48" s="137"/>
      <c r="AD48" s="137"/>
      <c r="AE48" s="138">
        <f t="shared" si="0"/>
        <v>0</v>
      </c>
      <c r="AF48" s="78"/>
    </row>
    <row r="49" spans="1:32">
      <c r="A49" s="264">
        <f>IF(AND($K49&lt;&gt;"",$K49&lt;&gt;"--",$K49&lt;&gt;"O3/CP",$K$14=A$18),IF(LEFT($K49,1)="P",VLOOKUP(CONCATENATE(LEFT($K49,2),"H"),$R$63:$T$91,3,FALSE),VLOOKUP($K49,$R$63:$T$91,3,FALSE)))+IF(AND($K49&lt;&gt;"",$K49&lt;&gt;"O3/CP",$K$15=A$18,MID($K49,4,1)="2",$K$15&lt;&gt;$K$14),VLOOKUP(CONCATENATE(LEFT($K49,2),"L"),$R$63:$T$91,3,FALSE),0)+IF(AND($K49="O3/CP",$K$14=A$18),VLOOKUP("O3",$R$63:$T$91,3,FALSE)+VLOOKUP("CP",$R$63:$T$91,3,FALSE),0)+IF(AND($L49&lt;&gt;"",$L49&lt;&gt;"--",$L49&lt;&gt;"O3/CP",$L$14=A$18),IF(LEFT($L49,1)="P",VLOOKUP(CONCATENATE(LEFT($L49,2),"H"),$R$63:$T$91,3,FALSE),VLOOKUP($L49,$R$63:$T$91,3,FALSE)))+IF(AND($L49&lt;&gt;"",$L49&lt;&gt;"O3/CP",$L$15=A$18,MID($L49,4,1)="2",$L$15&lt;&gt;$L$14),VLOOKUP(CONCATENATE(LEFT($L49,2),"L"),$R$63:$T$91,3,FALSE),0)+IF(AND($L49="O3/CP",$L$14=A$18),VLOOKUP("O3",$R$63:$T$91,3,FALSE)+VLOOKUP("CP",$R$63:$T$91,3,FALSE),0)+IF(AND($M49&lt;&gt;"",$M49&lt;&gt;"--",$M49&lt;&gt;"O3/CP",$M$14=A$18),IF(LEFT($M49,1)="P",VLOOKUP(CONCATENATE(LEFT($M49,2),"H"),$R$63:$T$91,3,FALSE),VLOOKUP($M49,$R$63:$T$91,3,FALSE)))+IF(AND($M49&lt;&gt;"",$M49&lt;&gt;"O3/CP",$M$15=A$18,MID($M49,4,1)="2",$M$15&lt;&gt;$M$14),VLOOKUP(CONCATENATE(LEFT($M49,2),"L"),$R$63:$T$91,3,FALSE),0)+IF(AND($M49="O3/CP",$M$14=A$18),VLOOKUP("O3",$R$63:$T$91,3,FALSE)+VLOOKUP("CP",$R$63:$T$91,3,FALSE),0)+IF(AND($N49&lt;&gt;"",$N49&lt;&gt;"--",$N49&lt;&gt;"O3/CP",$N$14=A$18),IF(LEFT($N49,1)="P",VLOOKUP(CONCATENATE(LEFT($N49,2),"H"),$R$63:$T$91,3,FALSE),VLOOKUP($N49,$R$63:$T$91,3,FALSE)))+IF(AND($N49&lt;&gt;"",$N49&lt;&gt;"O3/CP",$N$15=A$18,MID($N49,4,1)="2",$N$15&lt;&gt;$N$14),VLOOKUP(CONCATENATE(LEFT($N49,2),"L"),$R$63:$T$91,3,FALSE),0)+IF(AND($N49="O3/CP",$N$14=A$18),VLOOKUP("O3",$R$63:$T$91,3,FALSE)+VLOOKUP("CP",$R$63:$T$91,3,FALSE),0)+IF(AND($O49&lt;&gt;"",$O49&lt;&gt;"--",$O49&lt;&gt;"O3/CP",$O$14=A$18),IF(LEFT($O49,1)="P",VLOOKUP(CONCATENATE(LEFT($O49,2),"H"),$R$63:$T$91,3,FALSE),VLOOKUP($O49,$R$63:$T$91,3,FALSE)))+IF(AND($O49&lt;&gt;"",$O49&lt;&gt;"O3/CP",$O$15=A$18,MID($O49,4,1)="2",$O$15&lt;&gt;$O$14),VLOOKUP(CONCATENATE(LEFT($O49,2),"L"),$R$63:$T$91,3,FALSE),0)+IF(AND($O49="O3/CP",$O$14=A$18),VLOOKUP("O3",$R$63:$T$91,3,FALSE)+VLOOKUP("CP",$R$63:$T$91,3,FALSE),0)+IF(AND($P49&lt;&gt;"",$P49&lt;&gt;"--",$P49&lt;&gt;"O3/CP",$P$14=A$18),IF(LEFT($P49,1)="P",VLOOKUP(CONCATENATE(LEFT($P49,2),"H"),$R$63:$T$91,3,FALSE),VLOOKUP($P49,$R$63:$T$91,3,FALSE)))+IF(AND($P49&lt;&gt;"",$P49&lt;&gt;"O3/CP",$P$15=A$18,MID($P49,4,1)="2",$P$15&lt;&gt;$P$14),VLOOKUP(CONCATENATE(LEFT($P49,2),"L"),$R$63:$T$91,3,FALSE),0)+IF(AND($P49="O3/CP",$P$14=A$18),VLOOKUP("O3",$R$63:$T$91,3,FALSE)+VLOOKUP("CP",$R$63:$T$91,3,FALSE),0)+IF(AND($Q49&lt;&gt;"",$Q49&lt;&gt;"--",$Q49&lt;&gt;"O3/CP",$Q$14=A$18),IF(LEFT($Q49,1)="P",VLOOKUP(CONCATENATE(LEFT($Q49,2),"H"),$R$63:$T$91,3,FALSE),VLOOKUP($Q49,$R$63:$T$91,3,FALSE)))+IF(AND($Q49&lt;&gt;"",$Q49&lt;&gt;"O3/CP",$Q$15=A$18,MID($Q49,4,1)="2",$Q$15&lt;&gt;$Q$14),VLOOKUP(CONCATENATE(LEFT($Q49,2),"L"),$R$63:$T$91,3,FALSE),0)+IF(AND($Q49="O3/CP",$Q$14=A$18),VLOOKUP("O3",$R$63:$T$91,3,FALSE)+VLOOKUP("CP",$R$63:$T$91,3,FALSE),0)+IF(AND($R49&lt;&gt;"",$R49&lt;&gt;"--",$R49&lt;&gt;"O3/CP",$R$14=A$18),IF(LEFT($R49,1)="P",VLOOKUP(CONCATENATE(LEFT($R49,2),"H"),$R$63:$T$91,3,FALSE),VLOOKUP($R49,$R$63:$T$91,3,FALSE)))+IF(AND($R49&lt;&gt;"",$R49&lt;&gt;"O3/CP",$R$15=A$18,MID($R49,4,1)="2",$R$15&lt;&gt;$R$14),VLOOKUP(CONCATENATE(LEFT($R49,2),"L"),$R$63:$T$91,3,FALSE),0)+IF(AND($R49="O3/CP",$R$14=A$18),VLOOKUP("O3",$R$63:$T$91,3,FALSE)+VLOOKUP("CP",$R$63:$T$91,3,FALSE),0)+IF(AND($S49&lt;&gt;"",$S49&lt;&gt;"--",$S49&lt;&gt;"O3/CP",$S$14=A$18),IF(LEFT($S49,1)="P",VLOOKUP(CONCATENATE(LEFT($S49,2),"H"),$R$63:$T$91,3,FALSE),VLOOKUP($S49,$R$63:$T$91,3,FALSE)))+IF(AND($S49&lt;&gt;"",$S49&lt;&gt;"O3/CP",$S$15=A$18,MID($S49,4,1)="2",$S$15&lt;&gt;$S$14),VLOOKUP(CONCATENATE(LEFT($S49,2),"L"),$R$63:$T$91,3,FALSE),0)+IF(AND($S49="O3/CP",$S$14=A$18),VLOOKUP("O3",$R$63:$T$91,3,FALSE)+VLOOKUP("CP",$R$63:$T$91,3,FALSE),0)+IF(AND($T49&lt;&gt;"",$T49&lt;&gt;"--",$T49&lt;&gt;"O3/CP",$T$14=A$18),IF(LEFT($T49,1)="P",VLOOKUP(CONCATENATE(LEFT($T49,2),"H"),$R$63:$T$91,3,FALSE),VLOOKUP($T49,$R$63:$T$91,3,FALSE)))+IF(AND($T49&lt;&gt;"",$T49&lt;&gt;"O3/CP",$T$15=A$18,MID($T49,4,1)="2",$T$15&lt;&gt;$T$14),VLOOKUP(CONCATENATE(LEFT($T49,2),"L"),$R$63:$T$91,3,FALSE),0)+IF(AND($T49="O3/CP",$T$14=A$18),VLOOKUP("O3",$R$63:$T$91,3,FALSE)+VLOOKUP("CP",$R$63:$T$91,3,FALSE),0)+IF(AND($U49&lt;&gt;"",$U49&lt;&gt;"--",$U49&lt;&gt;"O3/CP",$U$14=A$18),IF(LEFT($U49,1)="P",VLOOKUP(CONCATENATE(LEFT($U49,2),"H"),$R$63:$T$91,3,FALSE),VLOOKUP($U49,$R$63:$T$91,3,FALSE)))+IF(AND($U49&lt;&gt;"",$U49&lt;&gt;"O3/CP",$U$15=A$18,MID($U49,4,1)="2",$U$15&lt;&gt;$U$14),VLOOKUP(CONCATENATE(LEFT($U49,2),"L"),$R$63:$T$91,3,FALSE),0)+IF(AND($U49="O3/CP",$T$14=A$18),VLOOKUP("O3",$R$63:$T$91,3,FALSE)+VLOOKUP("CP",$R$63:$T$91,3,FALSE),0)+IF(AND($V49&lt;&gt;"",$V49&lt;&gt;"--",$V49&lt;&gt;"O3/CP",$V$14=A$18),IF(LEFT($V49,1)="P",VLOOKUP(CONCATENATE(LEFT($V49,2),"H"),$R$63:$T$91,3,FALSE),VLOOKUP($V49,$R$63:$T$91,3,FALSE)))+IF(AND($V49&lt;&gt;"",$V49&lt;&gt;"O3/CP",$V$15=A$18,MID($V49,4,1)="2",$V$15&lt;&gt;$V$14),VLOOKUP(CONCATENATE(LEFT($V49,2),"L"),$R$63:$T$91,3,FALSE),0)+IF(AND($V49="O3/CP",$V$14=A$18),VLOOKUP("O3",$R$63:$T$91,3,FALSE)+VLOOKUP("CP",$R$63:$T$91,3,FALSE),0)+IF(AND($W49&lt;&gt;"",$W49&lt;&gt;"--",$W49&lt;&gt;"O3/CP",$W$14=A$18),IF(LEFT($W49,1)="P",VLOOKUP(CONCATENATE(LEFT($W49,2),"H"),$R$63:$T$91,3,FALSE),VLOOKUP($W49,$R$63:$T$91,3,FALSE)))+IF(AND($W49&lt;&gt;"",$W49&lt;&gt;"O3/CP",$W$15=A$18,MID($W49,4,1)="2",$W$15&lt;&gt;$W$14),VLOOKUP(CONCATENATE(LEFT($W49,2),"L"),$R$63:$T$91,3,FALSE),0)+IF(AND($W49="O3/CP",$W$14=A$18),VLOOKUP("O3",$R$63:$T$91,3,FALSE)+VLOOKUP("CP",$R$63:$T$91,3,FALSE),0)+IF(AND($X49&lt;&gt;"",$X49&lt;&gt;"--",$X49&lt;&gt;"O3/CP",$X$14=A$18),IF(LEFT($X49,1)="P",VLOOKUP(CONCATENATE(LEFT($X49,2),"H"),$R$63:$T$91,3,FALSE),VLOOKUP($X49,$R$63:$T$91,3,FALSE)))+IF(AND($X49&lt;&gt;"",$X49&lt;&gt;"O3/CP",$X$15=A$18,MID($X49,4,1)="2",$X$15&lt;&gt;$X$14),VLOOKUP(CONCATENATE(LEFT($X49,2),"L"),$R$63:$T$91,3,FALSE),0)+IF(AND($X49="O3/CP",$X$14=A$18),VLOOKUP("O3",$R$63:$T$91,3,FALSE)+VLOOKUP("CP",$R$63:$T$91,3,FALSE),0)+IF(AND($Y49&lt;&gt;"",$Y49&lt;&gt;"--",$Y49&lt;&gt;"O3/CP",$Y$14=A$18),IF(LEFT($Y49,1)="P",VLOOKUP(CONCATENATE(LEFT($Y49,2),"H"),$R$63:$T$91,3,FALSE),VLOOKUP($Y49,$R$63:$T$91,3,FALSE)))+IF(AND($Y49&lt;&gt;"",$Y49&lt;&gt;"O3/CP",$Y$15=A$18,MID($Y49,4,1)="2",$Y$15&lt;&gt;$Y$14),VLOOKUP(CONCATENATE(LEFT($Y49,2),"L"),$R$63:$T$91,3,FALSE),0)+IF(AND($Y49="O3/CP",$Y$14=A$18),VLOOKUP("O3",$R$63:$T$91,3,FALSE)+VLOOKUP("CP",$R$63:$T$91,3,FALSE),0)+IF(AND($K$6="CE",'[3]Supply Attribution'!$G$20=A$18),LEFT($S$90,2),0)+IF(AND($X$86&lt;&gt;"Not Set",$X$87=A$18),$X$86,0)</f>
        <v>0</v>
      </c>
      <c r="B49" s="271">
        <f>IF(AND($K49&lt;&gt;"",$K49&lt;&gt;"--",$K49&lt;&gt;"O3/CP",$K$14=B$18),IF(LEFT($K49,1)="P",VLOOKUP(CONCATENATE(LEFT($K49,2),"H"),$R$63:$T$91,3,FALSE),VLOOKUP($K49,$R$63:$T$91,3,FALSE)))+IF(AND($K49&lt;&gt;"",$K49&lt;&gt;"O3/CP",$K$15=B$18,MID($K49,4,1)="2",$K$15&lt;&gt;$K$14),VLOOKUP(CONCATENATE(LEFT($K49,2),"L"),$R$63:$T$91,3,FALSE),0)+IF(AND($K49="O3/CP",$K$14=B$18),VLOOKUP("O3",$R$63:$T$91,3,FALSE)+VLOOKUP("CP",$R$63:$T$91,3,FALSE),0)+IF(AND($L49&lt;&gt;"",$L49&lt;&gt;"--",$L49&lt;&gt;"O3/CP",$L$14=B$18),IF(LEFT($L49,1)="P",VLOOKUP(CONCATENATE(LEFT($L49,2),"H"),$R$63:$T$91,3,FALSE),VLOOKUP($L49,$R$63:$T$91,3,FALSE)))+IF(AND($L49&lt;&gt;"",$L49&lt;&gt;"O3/CP",$L$15=B$18,MID($L49,4,1)="2",$L$15&lt;&gt;$L$14),VLOOKUP(CONCATENATE(LEFT($L49,2),"L"),$R$63:$T$91,3,FALSE),0)+IF(AND($L49="O3/CP",$L$14=B$18),VLOOKUP("O3",$R$63:$T$91,3,FALSE)+VLOOKUP("CP",$R$63:$T$91,3,FALSE),0)+IF(AND($M49&lt;&gt;"",$M49&lt;&gt;"--",$M49&lt;&gt;"O3/CP",$M$14=B$18),IF(LEFT($M49,1)="P",VLOOKUP(CONCATENATE(LEFT($M49,2),"H"),$R$63:$T$91,3,FALSE),VLOOKUP($M49,$R$63:$T$91,3,FALSE)))+IF(AND($M49&lt;&gt;"",$M49&lt;&gt;"O3/CP",$M$15=B$18,MID($M49,4,1)="2",$M$15&lt;&gt;$M$14),VLOOKUP(CONCATENATE(LEFT($M49,2),"L"),$R$63:$T$91,3,FALSE),0)+IF(AND($M49="O3/CP",$M$14=B$18),VLOOKUP("O3",$R$63:$T$91,3,FALSE)+VLOOKUP("CP",$R$63:$T$91,3,FALSE),0)+IF(AND($N49&lt;&gt;"",$N49&lt;&gt;"--",$N49&lt;&gt;"O3/CP",$N$14=B$18),IF(LEFT($N49,1)="P",VLOOKUP(CONCATENATE(LEFT($N49,2),"H"),$R$63:$T$91,3,FALSE),VLOOKUP($N49,$R$63:$T$91,3,FALSE)))+IF(AND($N49&lt;&gt;"",$N49&lt;&gt;"O3/CP",$N$15=B$18,MID($N49,4,1)="2",$N$15&lt;&gt;$N$14),VLOOKUP(CONCATENATE(LEFT($N49,2),"L"),$R$63:$T$91,3,FALSE),0)+IF(AND($N49="O3/CP",$N$14=B$18),VLOOKUP("O3",$R$63:$T$91,3,FALSE)+VLOOKUP("CP",$R$63:$T$91,3,FALSE),0)+IF(AND($O49&lt;&gt;"",$O49&lt;&gt;"--",$O49&lt;&gt;"O3/CP",$O$14=B$18),IF(LEFT($O49,1)="P",VLOOKUP(CONCATENATE(LEFT($O49,2),"H"),$R$63:$T$91,3,FALSE),VLOOKUP($O49,$R$63:$T$91,3,FALSE)))+IF(AND($O49&lt;&gt;"",$O49&lt;&gt;"O3/CP",$O$15=B$18,MID($O49,4,1)="2",$O$15&lt;&gt;$O$14),VLOOKUP(CONCATENATE(LEFT($O49,2),"L"),$R$63:$T$91,3,FALSE),0)+IF(AND($O49="O3/CP",$O$14=B$18),VLOOKUP("O3",$R$63:$T$91,3,FALSE)+VLOOKUP("CP",$R$63:$T$91,3,FALSE),0)+IF(AND($P49&lt;&gt;"",$P49&lt;&gt;"--",$P49&lt;&gt;"O3/CP",$P$14=B$18),IF(LEFT($P49,1)="P",VLOOKUP(CONCATENATE(LEFT($P49,2),"H"),$R$63:$T$91,3,FALSE),VLOOKUP($P49,$R$63:$T$91,3,FALSE)))+IF(AND($P49&lt;&gt;"",$P49&lt;&gt;"O3/CP",$P$15=B$18,MID($P49,4,1)="2",$P$15&lt;&gt;$P$14),VLOOKUP(CONCATENATE(LEFT($P49,2),"L"),$R$63:$T$91,3,FALSE),0)+IF(AND($P49="O3/CP",$P$14=B$18),VLOOKUP("O3",$R$63:$T$91,3,FALSE)+VLOOKUP("CP",$R$63:$T$91,3,FALSE),0)+IF(AND($Q49&lt;&gt;"",$Q49&lt;&gt;"--",$Q49&lt;&gt;"O3/CP",$Q$14=B$18),IF(LEFT($Q49,1)="P",VLOOKUP(CONCATENATE(LEFT($Q49,2),"H"),$R$63:$T$91,3,FALSE),VLOOKUP($Q49,$R$63:$T$91,3,FALSE)))+IF(AND($Q49&lt;&gt;"",$Q49&lt;&gt;"O3/CP",$Q$15=B$18,MID($Q49,4,1)="2",$Q$15&lt;&gt;$Q$14),VLOOKUP(CONCATENATE(LEFT($Q49,2),"L"),$R$63:$T$91,3,FALSE),0)+IF(AND($Q49="O3/CP",$Q$14=B$18),VLOOKUP("O3",$R$63:$T$91,3,FALSE)+VLOOKUP("CP",$R$63:$T$91,3,FALSE),0)+IF(AND($R49&lt;&gt;"",$R49&lt;&gt;"--",$R49&lt;&gt;"O3/CP",$R$14=B$18),IF(LEFT($R49,1)="P",VLOOKUP(CONCATENATE(LEFT($R49,2),"H"),$R$63:$T$91,3,FALSE),VLOOKUP($R49,$R$63:$T$91,3,FALSE)))+IF(AND($R49&lt;&gt;"",$R49&lt;&gt;"O3/CP",$R$15=B$18,MID($R49,4,1)="2",$R$15&lt;&gt;$R$14),VLOOKUP(CONCATENATE(LEFT($R49,2),"L"),$R$63:$T$91,3,FALSE),0)+IF(AND($R49="O3/CP",$R$14=B$18),VLOOKUP("O3",$R$63:$T$91,3,FALSE)+VLOOKUP("CP",$R$63:$T$91,3,FALSE),0)+IF(AND($S49&lt;&gt;"",$S49&lt;&gt;"--",$S49&lt;&gt;"O3/CP",$S$14=B$18),IF(LEFT($S49,1)="P",VLOOKUP(CONCATENATE(LEFT($S49,2),"H"),$R$63:$T$91,3,FALSE),VLOOKUP($S49,$R$63:$T$91,3,FALSE)))+IF(AND($S49&lt;&gt;"",$S49&lt;&gt;"O3/CP",$S$15=B$18,MID($S49,4,1)="2",$S$15&lt;&gt;$S$14),VLOOKUP(CONCATENATE(LEFT($S49,2),"L"),$R$63:$T$91,3,FALSE),0)+IF(AND($S49="O3/CP",$S$14=B$18),VLOOKUP("O3",$R$63:$T$91,3,FALSE)+VLOOKUP("CP",$R$63:$T$91,3,FALSE),0)+IF(AND($T49&lt;&gt;"",$T49&lt;&gt;"--",$T49&lt;&gt;"O3/CP",$T$14=B$18),IF(LEFT($T49,1)="P",VLOOKUP(CONCATENATE(LEFT($T49,2),"H"),$R$63:$T$91,3,FALSE),VLOOKUP($T49,$R$63:$T$91,3,FALSE)))+IF(AND($T49&lt;&gt;"",$T49&lt;&gt;"O3/CP",$T$15=B$18,MID($T49,4,1)="2",$T$15&lt;&gt;$T$14),VLOOKUP(CONCATENATE(LEFT($T49,2),"L"),$R$63:$T$91,3,FALSE),0)+IF(AND($T49="O3/CP",$T$14=B$18),VLOOKUP("O3",$R$63:$T$91,3,FALSE)+VLOOKUP("CP",$R$63:$T$91,3,FALSE),0)+IF(AND($U49&lt;&gt;"",$U49&lt;&gt;"--",$U49&lt;&gt;"O3/CP",$U$14=B$18),IF(LEFT($U49,1)="P",VLOOKUP(CONCATENATE(LEFT($U49,2),"H"),$R$63:$T$91,3,FALSE),VLOOKUP($U49,$R$63:$T$91,3,FALSE)))+IF(AND($U49&lt;&gt;"",$U49&lt;&gt;"O3/CP",$U$15=B$18,MID($U49,4,1)="2",$U$15&lt;&gt;$U$14),VLOOKUP(CONCATENATE(LEFT($U49,2),"L"),$R$63:$T$91,3,FALSE),0)+IF(AND($U49="O3/CP",$T$14=B$18),VLOOKUP("O3",$R$63:$T$91,3,FALSE)+VLOOKUP("CP",$R$63:$T$91,3,FALSE),0)+IF(AND($V49&lt;&gt;"",$V49&lt;&gt;"--",$V49&lt;&gt;"O3/CP",$V$14=B$18),IF(LEFT($V49,1)="P",VLOOKUP(CONCATENATE(LEFT($V49,2),"H"),$R$63:$T$91,3,FALSE),VLOOKUP($V49,$R$63:$T$91,3,FALSE)))+IF(AND($V49&lt;&gt;"",$V49&lt;&gt;"O3/CP",$V$15=B$18,MID($V49,4,1)="2",$V$15&lt;&gt;$V$14),VLOOKUP(CONCATENATE(LEFT($V49,2),"L"),$R$63:$T$91,3,FALSE),0)+IF(AND($V49="O3/CP",$V$14=B$18),VLOOKUP("O3",$R$63:$T$91,3,FALSE)+VLOOKUP("CP",$R$63:$T$91,3,FALSE),0)+IF(AND($W49&lt;&gt;"",$W49&lt;&gt;"--",$W49&lt;&gt;"O3/CP",$W$14=B$18),IF(LEFT($W49,1)="P",VLOOKUP(CONCATENATE(LEFT($W49,2),"H"),$R$63:$T$91,3,FALSE),VLOOKUP($W49,$R$63:$T$91,3,FALSE)))+IF(AND($W49&lt;&gt;"",$W49&lt;&gt;"O3/CP",$W$15=B$18,MID($W49,4,1)="2",$W$15&lt;&gt;$W$14),VLOOKUP(CONCATENATE(LEFT($W49,2),"L"),$R$63:$T$91,3,FALSE),0)+IF(AND($W49="O3/CP",$W$14=B$18),VLOOKUP("O3",$R$63:$T$91,3,FALSE)+VLOOKUP("CP",$R$63:$T$91,3,FALSE),0)+IF(AND($X49&lt;&gt;"",$X49&lt;&gt;"--",$X49&lt;&gt;"O3/CP",$X$14=B$18),IF(LEFT($X49,1)="P",VLOOKUP(CONCATENATE(LEFT($X49,2),"H"),$R$63:$T$91,3,FALSE),VLOOKUP($X49,$R$63:$T$91,3,FALSE)))+IF(AND($X49&lt;&gt;"",$X49&lt;&gt;"O3/CP",$X$15=B$18,MID($X49,4,1)="2",$X$15&lt;&gt;$X$14),VLOOKUP(CONCATENATE(LEFT($X49,2),"L"),$R$63:$T$91,3,FALSE),0)+IF(AND($X49="O3/CP",$X$14=B$18),VLOOKUP("O3",$R$63:$T$91,3,FALSE)+VLOOKUP("CP",$R$63:$T$91,3,FALSE),0)+IF(AND($Y49&lt;&gt;"",$Y49&lt;&gt;"--",$Y49&lt;&gt;"O3/CP",$Y$14=B$18),IF(LEFT($Y49,1)="P",VLOOKUP(CONCATENATE(LEFT($Y49,2),"H"),$R$63:$T$91,3,FALSE),VLOOKUP($Y49,$R$63:$T$91,3,FALSE)))+IF(AND($Y49&lt;&gt;"",$Y49&lt;&gt;"O3/CP",$Y$15=B$18,MID($Y49,4,1)="2",$Y$15&lt;&gt;$Y$14),VLOOKUP(CONCATENATE(LEFT($Y49,2),"L"),$R$63:$T$91,3,FALSE),0)+IF(AND($Y49="O3/CP",$Y$14=B$18),VLOOKUP("O3",$R$63:$T$91,3,FALSE)+VLOOKUP("CP",$R$63:$T$91,3,FALSE),0)+IF(AND($K$6="CE",'[3]Supply Attribution'!$G$20=B$18),LEFT($S$90,2),0)+IF(AND($X$86&lt;&gt;"Not Set",$X$87=B$18),$X$86,0)</f>
        <v>0</v>
      </c>
      <c r="C49" s="271">
        <f>IF(AND($K49&lt;&gt;"",$K49&lt;&gt;"--",$K49&lt;&gt;"O3/CP",$K$14=C$18),IF(LEFT($K49,1)="P",VLOOKUP(CONCATENATE(LEFT($K49,2),"H"),$R$63:$T$91,3,FALSE),VLOOKUP($K49,$R$63:$T$91,3,FALSE)))+IF(AND($K49&lt;&gt;"",$K49&lt;&gt;"O3/CP",$K$15=C$18,MID($K49,4,1)="2",$K$15&lt;&gt;$K$14),VLOOKUP(CONCATENATE(LEFT($K49,2),"L"),$R$63:$T$91,3,FALSE),0)+IF(AND($K49="O3/CP",$K$14=C$18),VLOOKUP("O3",$R$63:$T$91,3,FALSE)+VLOOKUP("CP",$R$63:$T$91,3,FALSE),0)+IF(AND($L49&lt;&gt;"",$L49&lt;&gt;"--",$L49&lt;&gt;"O3/CP",$L$14=C$18),IF(LEFT($L49,1)="P",VLOOKUP(CONCATENATE(LEFT($L49,2),"H"),$R$63:$T$91,3,FALSE),VLOOKUP($L49,$R$63:$T$91,3,FALSE)))+IF(AND($L49&lt;&gt;"",$L49&lt;&gt;"O3/CP",$L$15=C$18,MID($L49,4,1)="2",$L$15&lt;&gt;$L$14),VLOOKUP(CONCATENATE(LEFT($L49,2),"L"),$R$63:$T$91,3,FALSE),0)+IF(AND($L49="O3/CP",$L$14=C$18),VLOOKUP("O3",$R$63:$T$91,3,FALSE)+VLOOKUP("CP",$R$63:$T$91,3,FALSE),0)+IF(AND($M49&lt;&gt;"",$M49&lt;&gt;"--",$M49&lt;&gt;"O3/CP",$M$14=C$18),IF(LEFT($M49,1)="P",VLOOKUP(CONCATENATE(LEFT($M49,2),"H"),$R$63:$T$91,3,FALSE),VLOOKUP($M49,$R$63:$T$91,3,FALSE)))+IF(AND($M49&lt;&gt;"",$M49&lt;&gt;"O3/CP",$M$15=C$18,MID($M49,4,1)="2",$M$15&lt;&gt;$M$14),VLOOKUP(CONCATENATE(LEFT($M49,2),"L"),$R$63:$T$91,3,FALSE),0)+IF(AND($M49="O3/CP",$M$14=C$18),VLOOKUP("O3",$R$63:$T$91,3,FALSE)+VLOOKUP("CP",$R$63:$T$91,3,FALSE),0)+IF(AND($N49&lt;&gt;"",$N49&lt;&gt;"--",$N49&lt;&gt;"O3/CP",$N$14=C$18),IF(LEFT($N49,1)="P",VLOOKUP(CONCATENATE(LEFT($N49,2),"H"),$R$63:$T$91,3,FALSE),VLOOKUP($N49,$R$63:$T$91,3,FALSE)))+IF(AND($N49&lt;&gt;"",$N49&lt;&gt;"O3/CP",$N$15=C$18,MID($N49,4,1)="2",$N$15&lt;&gt;$N$14),VLOOKUP(CONCATENATE(LEFT($N49,2),"L"),$R$63:$T$91,3,FALSE),0)+IF(AND($N49="O3/CP",$N$14=C$18),VLOOKUP("O3",$R$63:$T$91,3,FALSE)+VLOOKUP("CP",$R$63:$T$91,3,FALSE),0)+IF(AND($O49&lt;&gt;"",$O49&lt;&gt;"--",$O49&lt;&gt;"O3/CP",$O$14=C$18),IF(LEFT($O49,1)="P",VLOOKUP(CONCATENATE(LEFT($O49,2),"H"),$R$63:$T$91,3,FALSE),VLOOKUP($O49,$R$63:$T$91,3,FALSE)))+IF(AND($O49&lt;&gt;"",$O49&lt;&gt;"O3/CP",$O$15=C$18,MID($O49,4,1)="2",$O$15&lt;&gt;$O$14),VLOOKUP(CONCATENATE(LEFT($O49,2),"L"),$R$63:$T$91,3,FALSE),0)+IF(AND($O49="O3/CP",$O$14=C$18),VLOOKUP("O3",$R$63:$T$91,3,FALSE)+VLOOKUP("CP",$R$63:$T$91,3,FALSE),0)+IF(AND($P49&lt;&gt;"",$P49&lt;&gt;"--",$P49&lt;&gt;"O3/CP",$P$14=C$18),IF(LEFT($P49,1)="P",VLOOKUP(CONCATENATE(LEFT($P49,2),"H"),$R$63:$T$91,3,FALSE),VLOOKUP($P49,$R$63:$T$91,3,FALSE)))+IF(AND($P49&lt;&gt;"",$P49&lt;&gt;"O3/CP",$P$15=C$18,MID($P49,4,1)="2",$P$15&lt;&gt;$P$14),VLOOKUP(CONCATENATE(LEFT($P49,2),"L"),$R$63:$T$91,3,FALSE),0)+IF(AND($P49="O3/CP",$P$14=C$18),VLOOKUP("O3",$R$63:$T$91,3,FALSE)+VLOOKUP("CP",$R$63:$T$91,3,FALSE),0)+IF(AND($Q49&lt;&gt;"",$Q49&lt;&gt;"--",$Q49&lt;&gt;"O3/CP",$Q$14=C$18),IF(LEFT($Q49,1)="P",VLOOKUP(CONCATENATE(LEFT($Q49,2),"H"),$R$63:$T$91,3,FALSE),VLOOKUP($Q49,$R$63:$T$91,3,FALSE)))+IF(AND($Q49&lt;&gt;"",$Q49&lt;&gt;"O3/CP",$Q$15=C$18,MID($Q49,4,1)="2",$Q$15&lt;&gt;$Q$14),VLOOKUP(CONCATENATE(LEFT($Q49,2),"L"),$R$63:$T$91,3,FALSE),0)+IF(AND($Q49="O3/CP",$Q$14=C$18),VLOOKUP("O3",$R$63:$T$91,3,FALSE)+VLOOKUP("CP",$R$63:$T$91,3,FALSE),0)+IF(AND($R49&lt;&gt;"",$R49&lt;&gt;"--",$R49&lt;&gt;"O3/CP",$R$14=C$18),IF(LEFT($R49,1)="P",VLOOKUP(CONCATENATE(LEFT($R49,2),"H"),$R$63:$T$91,3,FALSE),VLOOKUP($R49,$R$63:$T$91,3,FALSE)))+IF(AND($R49&lt;&gt;"",$R49&lt;&gt;"O3/CP",$R$15=C$18,MID($R49,4,1)="2",$R$15&lt;&gt;$R$14),VLOOKUP(CONCATENATE(LEFT($R49,2),"L"),$R$63:$T$91,3,FALSE),0)+IF(AND($R49="O3/CP",$R$14=C$18),VLOOKUP("O3",$R$63:$T$91,3,FALSE)+VLOOKUP("CP",$R$63:$T$91,3,FALSE),0)+IF(AND($S49&lt;&gt;"",$S49&lt;&gt;"--",$S49&lt;&gt;"O3/CP",$S$14=C$18),IF(LEFT($S49,1)="P",VLOOKUP(CONCATENATE(LEFT($S49,2),"H"),$R$63:$T$91,3,FALSE),VLOOKUP($S49,$R$63:$T$91,3,FALSE)))+IF(AND($S49&lt;&gt;"",$S49&lt;&gt;"O3/CP",$S$15=C$18,MID($S49,4,1)="2",$S$15&lt;&gt;$S$14),VLOOKUP(CONCATENATE(LEFT($S49,2),"L"),$R$63:$T$91,3,FALSE),0)+IF(AND($S49="O3/CP",$S$14=C$18),VLOOKUP("O3",$R$63:$T$91,3,FALSE)+VLOOKUP("CP",$R$63:$T$91,3,FALSE),0)+IF(AND($T49&lt;&gt;"",$T49&lt;&gt;"--",$T49&lt;&gt;"O3/CP",$T$14=C$18),IF(LEFT($T49,1)="P",VLOOKUP(CONCATENATE(LEFT($T49,2),"H"),$R$63:$T$91,3,FALSE),VLOOKUP($T49,$R$63:$T$91,3,FALSE)))+IF(AND($T49&lt;&gt;"",$T49&lt;&gt;"O3/CP",$T$15=C$18,MID($T49,4,1)="2",$T$15&lt;&gt;$T$14),VLOOKUP(CONCATENATE(LEFT($T49,2),"L"),$R$63:$T$91,3,FALSE),0)+IF(AND($T49="O3/CP",$T$14=C$18),VLOOKUP("O3",$R$63:$T$91,3,FALSE)+VLOOKUP("CP",$R$63:$T$91,3,FALSE),0)+IF(AND($U49&lt;&gt;"",$U49&lt;&gt;"--",$U49&lt;&gt;"O3/CP",$U$14=C$18),IF(LEFT($U49,1)="P",VLOOKUP(CONCATENATE(LEFT($U49,2),"H"),$R$63:$T$91,3,FALSE),VLOOKUP($U49,$R$63:$T$91,3,FALSE)))+IF(AND($U49&lt;&gt;"",$U49&lt;&gt;"O3/CP",$U$15=C$18,MID($U49,4,1)="2",$U$15&lt;&gt;$U$14),VLOOKUP(CONCATENATE(LEFT($U49,2),"L"),$R$63:$T$91,3,FALSE),0)+IF(AND($U49="O3/CP",$T$14=C$18),VLOOKUP("O3",$R$63:$T$91,3,FALSE)+VLOOKUP("CP",$R$63:$T$91,3,FALSE),0)+IF(AND($V49&lt;&gt;"",$V49&lt;&gt;"--",$V49&lt;&gt;"O3/CP",$V$14=C$18),IF(LEFT($V49,1)="P",VLOOKUP(CONCATENATE(LEFT($V49,2),"H"),$R$63:$T$91,3,FALSE),VLOOKUP($V49,$R$63:$T$91,3,FALSE)))+IF(AND($V49&lt;&gt;"",$V49&lt;&gt;"O3/CP",$V$15=C$18,MID($V49,4,1)="2",$V$15&lt;&gt;$V$14),VLOOKUP(CONCATENATE(LEFT($V49,2),"L"),$R$63:$T$91,3,FALSE),0)+IF(AND($V49="O3/CP",$V$14=C$18),VLOOKUP("O3",$R$63:$T$91,3,FALSE)+VLOOKUP("CP",$R$63:$T$91,3,FALSE),0)+IF(AND($W49&lt;&gt;"",$W49&lt;&gt;"--",$W49&lt;&gt;"O3/CP",$W$14=C$18),IF(LEFT($W49,1)="P",VLOOKUP(CONCATENATE(LEFT($W49,2),"H"),$R$63:$T$91,3,FALSE),VLOOKUP($W49,$R$63:$T$91,3,FALSE)))+IF(AND($W49&lt;&gt;"",$W49&lt;&gt;"O3/CP",$W$15=C$18,MID($W49,4,1)="2",$W$15&lt;&gt;$W$14),VLOOKUP(CONCATENATE(LEFT($W49,2),"L"),$R$63:$T$91,3,FALSE),0)+IF(AND($W49="O3/CP",$W$14=C$18),VLOOKUP("O3",$R$63:$T$91,3,FALSE)+VLOOKUP("CP",$R$63:$T$91,3,FALSE),0)+IF(AND($X49&lt;&gt;"",$X49&lt;&gt;"--",$X49&lt;&gt;"O3/CP",$X$14=C$18),IF(LEFT($X49,1)="P",VLOOKUP(CONCATENATE(LEFT($X49,2),"H"),$R$63:$T$91,3,FALSE),VLOOKUP($X49,$R$63:$T$91,3,FALSE)))+IF(AND($X49&lt;&gt;"",$X49&lt;&gt;"O3/CP",$X$15=C$18,MID($X49,4,1)="2",$X$15&lt;&gt;$X$14),VLOOKUP(CONCATENATE(LEFT($X49,2),"L"),$R$63:$T$91,3,FALSE),0)+IF(AND($X49="O3/CP",$X$14=C$18),VLOOKUP("O3",$R$63:$T$91,3,FALSE)+VLOOKUP("CP",$R$63:$T$91,3,FALSE),0)+IF(AND($Y49&lt;&gt;"",$Y49&lt;&gt;"--",$Y49&lt;&gt;"O3/CP",$Y$14=C$18),IF(LEFT($Y49,1)="P",VLOOKUP(CONCATENATE(LEFT($Y49,2),"H"),$R$63:$T$91,3,FALSE),VLOOKUP($Y49,$R$63:$T$91,3,FALSE)))+IF(AND($Y49&lt;&gt;"",$Y49&lt;&gt;"O3/CP",$Y$15=C$18,MID($Y49,4,1)="2",$Y$15&lt;&gt;$Y$14),VLOOKUP(CONCATENATE(LEFT($Y49,2),"L"),$R$63:$T$91,3,FALSE),0)+IF(AND($Y49="O3/CP",$Y$14=C$18),VLOOKUP("O3",$R$63:$T$91,3,FALSE)+VLOOKUP("CP",$R$63:$T$91,3,FALSE),0)+IF(AND($K$6="CE",'[3]Supply Attribution'!$G$20=C$18),LEFT($S$90,2),0)+IF(AND($X$86&lt;&gt;"Not Set",$X$87=C$18),$X$86,0)</f>
        <v>0</v>
      </c>
      <c r="D49" s="271">
        <f>IF(AND($K49&lt;&gt;"",$K49&lt;&gt;"--",$K49&lt;&gt;"O3/CP",$K$14=D$18),IF(LEFT($K49,1)="P",VLOOKUP(CONCATENATE(LEFT($K49,2),"H"),$R$63:$T$91,3,FALSE),VLOOKUP($K49,$R$63:$T$91,3,FALSE)))+IF(AND($K49&lt;&gt;"",$K49&lt;&gt;"O3/CP",$K$15=D$18,MID($K49,4,1)="2",$K$15&lt;&gt;$K$14),VLOOKUP(CONCATENATE(LEFT($K49,2),"L"),$R$63:$T$91,3,FALSE),0)+IF(AND($K49="O3/CP",$K$14=D$18),VLOOKUP("O3",$R$63:$T$91,3,FALSE)+VLOOKUP("CP",$R$63:$T$91,3,FALSE),0)+IF(AND($L49&lt;&gt;"",$L49&lt;&gt;"--",$L49&lt;&gt;"O3/CP",$L$14=D$18),IF(LEFT($L49,1)="P",VLOOKUP(CONCATENATE(LEFT($L49,2),"H"),$R$63:$T$91,3,FALSE),VLOOKUP($L49,$R$63:$T$91,3,FALSE)))+IF(AND($L49&lt;&gt;"",$L49&lt;&gt;"O3/CP",$L$15=D$18,MID($L49,4,1)="2",$L$15&lt;&gt;$L$14),VLOOKUP(CONCATENATE(LEFT($L49,2),"L"),$R$63:$T$91,3,FALSE),0)+IF(AND($L49="O3/CP",$L$14=D$18),VLOOKUP("O3",$R$63:$T$91,3,FALSE)+VLOOKUP("CP",$R$63:$T$91,3,FALSE),0)+IF(AND($M49&lt;&gt;"",$M49&lt;&gt;"--",$M49&lt;&gt;"O3/CP",$M$14=D$18),IF(LEFT($M49,1)="P",VLOOKUP(CONCATENATE(LEFT($M49,2),"H"),$R$63:$T$91,3,FALSE),VLOOKUP($M49,$R$63:$T$91,3,FALSE)))+IF(AND($M49&lt;&gt;"",$M49&lt;&gt;"O3/CP",$M$15=D$18,MID($M49,4,1)="2",$M$15&lt;&gt;$M$14),VLOOKUP(CONCATENATE(LEFT($M49,2),"L"),$R$63:$T$91,3,FALSE),0)+IF(AND($M49="O3/CP",$M$14=D$18),VLOOKUP("O3",$R$63:$T$91,3,FALSE)+VLOOKUP("CP",$R$63:$T$91,3,FALSE),0)+IF(AND($N49&lt;&gt;"",$N49&lt;&gt;"--",$N49&lt;&gt;"O3/CP",$N$14=D$18),IF(LEFT($N49,1)="P",VLOOKUP(CONCATENATE(LEFT($N49,2),"H"),$R$63:$T$91,3,FALSE),VLOOKUP($N49,$R$63:$T$91,3,FALSE)))+IF(AND($N49&lt;&gt;"",$N49&lt;&gt;"O3/CP",$N$15=D$18,MID($N49,4,1)="2",$N$15&lt;&gt;$N$14),VLOOKUP(CONCATENATE(LEFT($N49,2),"L"),$R$63:$T$91,3,FALSE),0)+IF(AND($N49="O3/CP",$N$14=D$18),VLOOKUP("O3",$R$63:$T$91,3,FALSE)+VLOOKUP("CP",$R$63:$T$91,3,FALSE),0)+IF(AND($O49&lt;&gt;"",$O49&lt;&gt;"--",$O49&lt;&gt;"O3/CP",$O$14=D$18),IF(LEFT($O49,1)="P",VLOOKUP(CONCATENATE(LEFT($O49,2),"H"),$R$63:$T$91,3,FALSE),VLOOKUP($O49,$R$63:$T$91,3,FALSE)))+IF(AND($O49&lt;&gt;"",$O49&lt;&gt;"O3/CP",$O$15=D$18,MID($O49,4,1)="2",$O$15&lt;&gt;$O$14),VLOOKUP(CONCATENATE(LEFT($O49,2),"L"),$R$63:$T$91,3,FALSE),0)+IF(AND($O49="O3/CP",$O$14=D$18),VLOOKUP("O3",$R$63:$T$91,3,FALSE)+VLOOKUP("CP",$R$63:$T$91,3,FALSE),0)+IF(AND($P49&lt;&gt;"",$P49&lt;&gt;"--",$P49&lt;&gt;"O3/CP",$P$14=D$18),IF(LEFT($P49,1)="P",VLOOKUP(CONCATENATE(LEFT($P49,2),"H"),$R$63:$T$91,3,FALSE),VLOOKUP($P49,$R$63:$T$91,3,FALSE)))+IF(AND($P49&lt;&gt;"",$P49&lt;&gt;"O3/CP",$P$15=D$18,MID($P49,4,1)="2",$P$15&lt;&gt;$P$14),VLOOKUP(CONCATENATE(LEFT($P49,2),"L"),$R$63:$T$91,3,FALSE),0)+IF(AND($P49="O3/CP",$P$14=D$18),VLOOKUP("O3",$R$63:$T$91,3,FALSE)+VLOOKUP("CP",$R$63:$T$91,3,FALSE),0)+IF(AND($Q49&lt;&gt;"",$Q49&lt;&gt;"--",$Q49&lt;&gt;"O3/CP",$Q$14=D$18),IF(LEFT($Q49,1)="P",VLOOKUP(CONCATENATE(LEFT($Q49,2),"H"),$R$63:$T$91,3,FALSE),VLOOKUP($Q49,$R$63:$T$91,3,FALSE)))+IF(AND($Q49&lt;&gt;"",$Q49&lt;&gt;"O3/CP",$Q$15=D$18,MID($Q49,4,1)="2",$Q$15&lt;&gt;$Q$14),VLOOKUP(CONCATENATE(LEFT($Q49,2),"L"),$R$63:$T$91,3,FALSE),0)+IF(AND($Q49="O3/CP",$Q$14=D$18),VLOOKUP("O3",$R$63:$T$91,3,FALSE)+VLOOKUP("CP",$R$63:$T$91,3,FALSE),0)+IF(AND($R49&lt;&gt;"",$R49&lt;&gt;"--",$R49&lt;&gt;"O3/CP",$R$14=D$18),IF(LEFT($R49,1)="P",VLOOKUP(CONCATENATE(LEFT($R49,2),"H"),$R$63:$T$91,3,FALSE),VLOOKUP($R49,$R$63:$T$91,3,FALSE)))+IF(AND($R49&lt;&gt;"",$R49&lt;&gt;"O3/CP",$R$15=D$18,MID($R49,4,1)="2",$R$15&lt;&gt;$R$14),VLOOKUP(CONCATENATE(LEFT($R49,2),"L"),$R$63:$T$91,3,FALSE),0)+IF(AND($R49="O3/CP",$R$14=D$18),VLOOKUP("O3",$R$63:$T$91,3,FALSE)+VLOOKUP("CP",$R$63:$T$91,3,FALSE),0)+IF(AND($S49&lt;&gt;"",$S49&lt;&gt;"--",$S49&lt;&gt;"O3/CP",$S$14=D$18),IF(LEFT($S49,1)="P",VLOOKUP(CONCATENATE(LEFT($S49,2),"H"),$R$63:$T$91,3,FALSE),VLOOKUP($S49,$R$63:$T$91,3,FALSE)))+IF(AND($S49&lt;&gt;"",$S49&lt;&gt;"O3/CP",$S$15=D$18,MID($S49,4,1)="2",$S$15&lt;&gt;$S$14),VLOOKUP(CONCATENATE(LEFT($S49,2),"L"),$R$63:$T$91,3,FALSE),0)+IF(AND($S49="O3/CP",$S$14=D$18),VLOOKUP("O3",$R$63:$T$91,3,FALSE)+VLOOKUP("CP",$R$63:$T$91,3,FALSE),0)+IF(AND($T49&lt;&gt;"",$T49&lt;&gt;"--",$T49&lt;&gt;"O3/CP",$T$14=D$18),IF(LEFT($T49,1)="P",VLOOKUP(CONCATENATE(LEFT($T49,2),"H"),$R$63:$T$91,3,FALSE),VLOOKUP($T49,$R$63:$T$91,3,FALSE)))+IF(AND($T49&lt;&gt;"",$T49&lt;&gt;"O3/CP",$T$15=D$18,MID($T49,4,1)="2",$T$15&lt;&gt;$T$14),VLOOKUP(CONCATENATE(LEFT($T49,2),"L"),$R$63:$T$91,3,FALSE),0)+IF(AND($T49="O3/CP",$T$14=D$18),VLOOKUP("O3",$R$63:$T$91,3,FALSE)+VLOOKUP("CP",$R$63:$T$91,3,FALSE),0)+IF(AND($U49&lt;&gt;"",$U49&lt;&gt;"--",$U49&lt;&gt;"O3/CP",$U$14=D$18),IF(LEFT($U49,1)="P",VLOOKUP(CONCATENATE(LEFT($U49,2),"H"),$R$63:$T$91,3,FALSE),VLOOKUP($U49,$R$63:$T$91,3,FALSE)))+IF(AND($U49&lt;&gt;"",$U49&lt;&gt;"O3/CP",$U$15=D$18,MID($U49,4,1)="2",$U$15&lt;&gt;$U$14),VLOOKUP(CONCATENATE(LEFT($U49,2),"L"),$R$63:$T$91,3,FALSE),0)+IF(AND($U49="O3/CP",$T$14=D$18),VLOOKUP("O3",$R$63:$T$91,3,FALSE)+VLOOKUP("CP",$R$63:$T$91,3,FALSE),0)+IF(AND($V49&lt;&gt;"",$V49&lt;&gt;"--",$V49&lt;&gt;"O3/CP",$V$14=D$18),IF(LEFT($V49,1)="P",VLOOKUP(CONCATENATE(LEFT($V49,2),"H"),$R$63:$T$91,3,FALSE),VLOOKUP($V49,$R$63:$T$91,3,FALSE)))+IF(AND($V49&lt;&gt;"",$V49&lt;&gt;"O3/CP",$V$15=D$18,MID($V49,4,1)="2",$V$15&lt;&gt;$V$14),VLOOKUP(CONCATENATE(LEFT($V49,2),"L"),$R$63:$T$91,3,FALSE),0)+IF(AND($V49="O3/CP",$V$14=D$18),VLOOKUP("O3",$R$63:$T$91,3,FALSE)+VLOOKUP("CP",$R$63:$T$91,3,FALSE),0)+IF(AND($W49&lt;&gt;"",$W49&lt;&gt;"--",$W49&lt;&gt;"O3/CP",$W$14=D$18),IF(LEFT($W49,1)="P",VLOOKUP(CONCATENATE(LEFT($W49,2),"H"),$R$63:$T$91,3,FALSE),VLOOKUP($W49,$R$63:$T$91,3,FALSE)))+IF(AND($W49&lt;&gt;"",$W49&lt;&gt;"O3/CP",$W$15=D$18,MID($W49,4,1)="2",$W$15&lt;&gt;$W$14),VLOOKUP(CONCATENATE(LEFT($W49,2),"L"),$R$63:$T$91,3,FALSE),0)+IF(AND($W49="O3/CP",$W$14=D$18),VLOOKUP("O3",$R$63:$T$91,3,FALSE)+VLOOKUP("CP",$R$63:$T$91,3,FALSE),0)+IF(AND($X49&lt;&gt;"",$X49&lt;&gt;"--",$X49&lt;&gt;"O3/CP",$X$14=D$18),IF(LEFT($X49,1)="P",VLOOKUP(CONCATENATE(LEFT($X49,2),"H"),$R$63:$T$91,3,FALSE),VLOOKUP($X49,$R$63:$T$91,3,FALSE)))+IF(AND($X49&lt;&gt;"",$X49&lt;&gt;"O3/CP",$X$15=D$18,MID($X49,4,1)="2",$X$15&lt;&gt;$X$14),VLOOKUP(CONCATENATE(LEFT($X49,2),"L"),$R$63:$T$91,3,FALSE),0)+IF(AND($X49="O3/CP",$X$14=D$18),VLOOKUP("O3",$R$63:$T$91,3,FALSE)+VLOOKUP("CP",$R$63:$T$91,3,FALSE),0)+IF(AND($Y49&lt;&gt;"",$Y49&lt;&gt;"--",$Y49&lt;&gt;"O3/CP",$Y$14=D$18),IF(LEFT($Y49,1)="P",VLOOKUP(CONCATENATE(LEFT($Y49,2),"H"),$R$63:$T$91,3,FALSE),VLOOKUP($Y49,$R$63:$T$91,3,FALSE)))+IF(AND($Y49&lt;&gt;"",$Y49&lt;&gt;"O3/CP",$Y$15=D$18,MID($Y49,4,1)="2",$Y$15&lt;&gt;$Y$14),VLOOKUP(CONCATENATE(LEFT($Y49,2),"L"),$R$63:$T$91,3,FALSE),0)+IF(AND($Y49="O3/CP",$Y$14=D$18),VLOOKUP("O3",$R$63:$T$91,3,FALSE)+VLOOKUP("CP",$R$63:$T$91,3,FALSE),0)+IF(AND($K$6="CE",'[3]Supply Attribution'!$G$20=D$18),LEFT($S$90,2),0)+IF(AND($X$86&lt;&gt;"Not Set",$X$87=D$18),$X$86,0)</f>
        <v>0</v>
      </c>
      <c r="E49" s="271">
        <f>IF(AND($K49&lt;&gt;"",$K49&lt;&gt;"--",$K49&lt;&gt;"O3/CP",$K$14=E$18),IF(LEFT($K49,1)="P",VLOOKUP(CONCATENATE(LEFT($K49,2),"H"),$R$63:$T$91,3,FALSE),VLOOKUP($K49,$R$63:$T$91,3,FALSE)))+IF(AND($K49&lt;&gt;"",$K49&lt;&gt;"O3/CP",$K$15=E$18,MID($K49,4,1)="2",$K$15&lt;&gt;$K$14),VLOOKUP(CONCATENATE(LEFT($K49,2),"L"),$R$63:$T$91,3,FALSE),0)+IF(AND($K49="O3/CP",$K$14=E$18),VLOOKUP("O3",$R$63:$T$91,3,FALSE)+VLOOKUP("CP",$R$63:$T$91,3,FALSE),0)+IF(AND($L49&lt;&gt;"",$L49&lt;&gt;"--",$L49&lt;&gt;"O3/CP",$L$14=E$18),IF(LEFT($L49,1)="P",VLOOKUP(CONCATENATE(LEFT($L49,2),"H"),$R$63:$T$91,3,FALSE),VLOOKUP($L49,$R$63:$T$91,3,FALSE)))+IF(AND($L49&lt;&gt;"",$L49&lt;&gt;"O3/CP",$L$15=E$18,MID($L49,4,1)="2",$L$15&lt;&gt;$L$14),VLOOKUP(CONCATENATE(LEFT($L49,2),"L"),$R$63:$T$91,3,FALSE),0)+IF(AND($L49="O3/CP",$L$14=E$18),VLOOKUP("O3",$R$63:$T$91,3,FALSE)+VLOOKUP("CP",$R$63:$T$91,3,FALSE),0)+IF(AND($M49&lt;&gt;"",$M49&lt;&gt;"--",$M49&lt;&gt;"O3/CP",$M$14=E$18),IF(LEFT($M49,1)="P",VLOOKUP(CONCATENATE(LEFT($M49,2),"H"),$R$63:$T$91,3,FALSE),VLOOKUP($M49,$R$63:$T$91,3,FALSE)))+IF(AND($M49&lt;&gt;"",$M49&lt;&gt;"O3/CP",$M$15=E$18,MID($M49,4,1)="2",$M$15&lt;&gt;$M$14),VLOOKUP(CONCATENATE(LEFT($M49,2),"L"),$R$63:$T$91,3,FALSE),0)+IF(AND($M49="O3/CP",$M$14=E$18),VLOOKUP("O3",$R$63:$T$91,3,FALSE)+VLOOKUP("CP",$R$63:$T$91,3,FALSE),0)+IF(AND($N49&lt;&gt;"",$N49&lt;&gt;"--",$N49&lt;&gt;"O3/CP",$N$14=E$18),IF(LEFT($N49,1)="P",VLOOKUP(CONCATENATE(LEFT($N49,2),"H"),$R$63:$T$91,3,FALSE),VLOOKUP($N49,$R$63:$T$91,3,FALSE)))+IF(AND($N49&lt;&gt;"",$N49&lt;&gt;"O3/CP",$N$15=E$18,MID($N49,4,1)="2",$N$15&lt;&gt;$N$14),VLOOKUP(CONCATENATE(LEFT($N49,2),"L"),$R$63:$T$91,3,FALSE),0)+IF(AND($N49="O3/CP",$N$14=E$18),VLOOKUP("O3",$R$63:$T$91,3,FALSE)+VLOOKUP("CP",$R$63:$T$91,3,FALSE),0)+IF(AND($O49&lt;&gt;"",$O49&lt;&gt;"--",$O49&lt;&gt;"O3/CP",$O$14=E$18),IF(LEFT($O49,1)="P",VLOOKUP(CONCATENATE(LEFT($O49,2),"H"),$R$63:$T$91,3,FALSE),VLOOKUP($O49,$R$63:$T$91,3,FALSE)))+IF(AND($O49&lt;&gt;"",$O49&lt;&gt;"O3/CP",$O$15=E$18,MID($O49,4,1)="2",$O$15&lt;&gt;$O$14),VLOOKUP(CONCATENATE(LEFT($O49,2),"L"),$R$63:$T$91,3,FALSE),0)+IF(AND($O49="O3/CP",$O$14=E$18),VLOOKUP("O3",$R$63:$T$91,3,FALSE)+VLOOKUP("CP",$R$63:$T$91,3,FALSE),0)+IF(AND($P49&lt;&gt;"",$P49&lt;&gt;"--",$P49&lt;&gt;"O3/CP",$P$14=E$18),IF(LEFT($P49,1)="P",VLOOKUP(CONCATENATE(LEFT($P49,2),"H"),$R$63:$T$91,3,FALSE),VLOOKUP($P49,$R$63:$T$91,3,FALSE)))+IF(AND($P49&lt;&gt;"",$P49&lt;&gt;"O3/CP",$P$15=E$18,MID($P49,4,1)="2",$P$15&lt;&gt;$P$14),VLOOKUP(CONCATENATE(LEFT($P49,2),"L"),$R$63:$T$91,3,FALSE),0)+IF(AND($P49="O3/CP",$P$14=E$18),VLOOKUP("O3",$R$63:$T$91,3,FALSE)+VLOOKUP("CP",$R$63:$T$91,3,FALSE),0)+IF(AND($Q49&lt;&gt;"",$Q49&lt;&gt;"--",$Q49&lt;&gt;"O3/CP",$Q$14=E$18),IF(LEFT($Q49,1)="P",VLOOKUP(CONCATENATE(LEFT($Q49,2),"H"),$R$63:$T$91,3,FALSE),VLOOKUP($Q49,$R$63:$T$91,3,FALSE)))+IF(AND($Q49&lt;&gt;"",$Q49&lt;&gt;"O3/CP",$Q$15=E$18,MID($Q49,4,1)="2",$Q$15&lt;&gt;$Q$14),VLOOKUP(CONCATENATE(LEFT($Q49,2),"L"),$R$63:$T$91,3,FALSE),0)+IF(AND($Q49="O3/CP",$Q$14=E$18),VLOOKUP("O3",$R$63:$T$91,3,FALSE)+VLOOKUP("CP",$R$63:$T$91,3,FALSE),0)+IF(AND($R49&lt;&gt;"",$R49&lt;&gt;"--",$R49&lt;&gt;"O3/CP",$R$14=E$18),IF(LEFT($R49,1)="P",VLOOKUP(CONCATENATE(LEFT($R49,2),"H"),$R$63:$T$91,3,FALSE),VLOOKUP($R49,$R$63:$T$91,3,FALSE)))+IF(AND($R49&lt;&gt;"",$R49&lt;&gt;"O3/CP",$R$15=E$18,MID($R49,4,1)="2",$R$15&lt;&gt;$R$14),VLOOKUP(CONCATENATE(LEFT($R49,2),"L"),$R$63:$T$91,3,FALSE),0)+IF(AND($R49="O3/CP",$R$14=E$18),VLOOKUP("O3",$R$63:$T$91,3,FALSE)+VLOOKUP("CP",$R$63:$T$91,3,FALSE),0)+IF(AND($S49&lt;&gt;"",$S49&lt;&gt;"--",$S49&lt;&gt;"O3/CP",$S$14=E$18),IF(LEFT($S49,1)="P",VLOOKUP(CONCATENATE(LEFT($S49,2),"H"),$R$63:$T$91,3,FALSE),VLOOKUP($S49,$R$63:$T$91,3,FALSE)))+IF(AND($S49&lt;&gt;"",$S49&lt;&gt;"O3/CP",$S$15=E$18,MID($S49,4,1)="2",$S$15&lt;&gt;$S$14),VLOOKUP(CONCATENATE(LEFT($S49,2),"L"),$R$63:$T$91,3,FALSE),0)+IF(AND($S49="O3/CP",$S$14=E$18),VLOOKUP("O3",$R$63:$T$91,3,FALSE)+VLOOKUP("CP",$R$63:$T$91,3,FALSE),0)+IF(AND($T49&lt;&gt;"",$T49&lt;&gt;"--",$T49&lt;&gt;"O3/CP",$T$14=E$18),IF(LEFT($T49,1)="P",VLOOKUP(CONCATENATE(LEFT($T49,2),"H"),$R$63:$T$91,3,FALSE),VLOOKUP($T49,$R$63:$T$91,3,FALSE)))+IF(AND($T49&lt;&gt;"",$T49&lt;&gt;"O3/CP",$T$15=E$18,MID($T49,4,1)="2",$T$15&lt;&gt;$T$14),VLOOKUP(CONCATENATE(LEFT($T49,2),"L"),$R$63:$T$91,3,FALSE),0)+IF(AND($T49="O3/CP",$T$14=E$18),VLOOKUP("O3",$R$63:$T$91,3,FALSE)+VLOOKUP("CP",$R$63:$T$91,3,FALSE),0)+IF(AND($U49&lt;&gt;"",$U49&lt;&gt;"--",$U49&lt;&gt;"O3/CP",$U$14=E$18),IF(LEFT($U49,1)="P",VLOOKUP(CONCATENATE(LEFT($U49,2),"H"),$R$63:$T$91,3,FALSE),VLOOKUP($U49,$R$63:$T$91,3,FALSE)))+IF(AND($U49&lt;&gt;"",$U49&lt;&gt;"O3/CP",$U$15=E$18,MID($U49,4,1)="2",$U$15&lt;&gt;$U$14),VLOOKUP(CONCATENATE(LEFT($U49,2),"L"),$R$63:$T$91,3,FALSE),0)+IF(AND($U49="O3/CP",$T$14=E$18),VLOOKUP("O3",$R$63:$T$91,3,FALSE)+VLOOKUP("CP",$R$63:$T$91,3,FALSE),0)+IF(AND($V49&lt;&gt;"",$V49&lt;&gt;"--",$V49&lt;&gt;"O3/CP",$V$14=E$18),IF(LEFT($V49,1)="P",VLOOKUP(CONCATENATE(LEFT($V49,2),"H"),$R$63:$T$91,3,FALSE),VLOOKUP($V49,$R$63:$T$91,3,FALSE)))+IF(AND($V49&lt;&gt;"",$V49&lt;&gt;"O3/CP",$V$15=E$18,MID($V49,4,1)="2",$V$15&lt;&gt;$V$14),VLOOKUP(CONCATENATE(LEFT($V49,2),"L"),$R$63:$T$91,3,FALSE),0)+IF(AND($V49="O3/CP",$V$14=E$18),VLOOKUP("O3",$R$63:$T$91,3,FALSE)+VLOOKUP("CP",$R$63:$T$91,3,FALSE),0)+IF(AND($W49&lt;&gt;"",$W49&lt;&gt;"--",$W49&lt;&gt;"O3/CP",$W$14=E$18),IF(LEFT($W49,1)="P",VLOOKUP(CONCATENATE(LEFT($W49,2),"H"),$R$63:$T$91,3,FALSE),VLOOKUP($W49,$R$63:$T$91,3,FALSE)))+IF(AND($W49&lt;&gt;"",$W49&lt;&gt;"O3/CP",$W$15=E$18,MID($W49,4,1)="2",$W$15&lt;&gt;$W$14),VLOOKUP(CONCATENATE(LEFT($W49,2),"L"),$R$63:$T$91,3,FALSE),0)+IF(AND($W49="O3/CP",$W$14=E$18),VLOOKUP("O3",$R$63:$T$91,3,FALSE)+VLOOKUP("CP",$R$63:$T$91,3,FALSE),0)+IF(AND($X49&lt;&gt;"",$X49&lt;&gt;"--",$X49&lt;&gt;"O3/CP",$X$14=E$18),IF(LEFT($X49,1)="P",VLOOKUP(CONCATENATE(LEFT($X49,2),"H"),$R$63:$T$91,3,FALSE),VLOOKUP($X49,$R$63:$T$91,3,FALSE)))+IF(AND($X49&lt;&gt;"",$X49&lt;&gt;"O3/CP",$X$15=E$18,MID($X49,4,1)="2",$X$15&lt;&gt;$X$14),VLOOKUP(CONCATENATE(LEFT($X49,2),"L"),$R$63:$T$91,3,FALSE),0)+IF(AND($X49="O3/CP",$X$14=E$18),VLOOKUP("O3",$R$63:$T$91,3,FALSE)+VLOOKUP("CP",$R$63:$T$91,3,FALSE),0)+IF(AND($Y49&lt;&gt;"",$Y49&lt;&gt;"--",$Y49&lt;&gt;"O3/CP",$Y$14=E$18),IF(LEFT($Y49,1)="P",VLOOKUP(CONCATENATE(LEFT($Y49,2),"H"),$R$63:$T$91,3,FALSE),VLOOKUP($Y49,$R$63:$T$91,3,FALSE)))+IF(AND($Y49&lt;&gt;"",$Y49&lt;&gt;"O3/CP",$Y$15=E$18,MID($Y49,4,1)="2",$Y$15&lt;&gt;$Y$14),VLOOKUP(CONCATENATE(LEFT($Y49,2),"L"),$R$63:$T$91,3,FALSE),0)+IF(AND($Y49="O3/CP",$Y$14=E$18),VLOOKUP("O3",$R$63:$T$91,3,FALSE)+VLOOKUP("CP",$R$63:$T$91,3,FALSE),0)+IF(AND($K$6="CE",'[3]Supply Attribution'!$G$20=E$18),LEFT($S$90,2),0)+IF(AND($X$86&lt;&gt;"Not Set",$X$87=E$18),$X$86,0)</f>
        <v>0</v>
      </c>
      <c r="F49" s="272">
        <f>IF(AND($K49&lt;&gt;"",$K49&lt;&gt;"--",$K49&lt;&gt;"O3/CP",$K$14=F$18),IF(LEFT($K49,1)="P",VLOOKUP(CONCATENATE(LEFT($K49,2),"H"),$R$63:$T$91,3,FALSE),VLOOKUP($K49,$R$63:$T$91,3,FALSE)))+IF(AND($K49&lt;&gt;"",$K49&lt;&gt;"O3/CP",$K$15=F$18,MID($K49,4,1)="2",$K$15&lt;&gt;$K$14),VLOOKUP(CONCATENATE(LEFT($K49,2),"L"),$R$63:$T$91,3,FALSE),0)+IF(AND($K49="O3/CP",$K$14=F$18),VLOOKUP("O3",$R$63:$T$91,3,FALSE)+VLOOKUP("CP",$R$63:$T$91,3,FALSE),0)+IF(AND($L49&lt;&gt;"",$L49&lt;&gt;"--",$L49&lt;&gt;"O3/CP",$L$14=F$18),IF(LEFT($L49,1)="P",VLOOKUP(CONCATENATE(LEFT($L49,2),"H"),$R$63:$T$91,3,FALSE),VLOOKUP($L49,$R$63:$T$91,3,FALSE)))+IF(AND($L49&lt;&gt;"",$L49&lt;&gt;"O3/CP",$L$15=F$18,MID($L49,4,1)="2",$L$15&lt;&gt;$L$14),VLOOKUP(CONCATENATE(LEFT($L49,2),"L"),$R$63:$T$91,3,FALSE),0)+IF(AND($L49="O3/CP",$L$14=F$18),VLOOKUP("O3",$R$63:$T$91,3,FALSE)+VLOOKUP("CP",$R$63:$T$91,3,FALSE),0)+IF(AND($M49&lt;&gt;"",$M49&lt;&gt;"--",$M49&lt;&gt;"O3/CP",$M$14=F$18),IF(LEFT($M49,1)="P",VLOOKUP(CONCATENATE(LEFT($M49,2),"H"),$R$63:$T$91,3,FALSE),VLOOKUP($M49,$R$63:$T$91,3,FALSE)))+IF(AND($M49&lt;&gt;"",$M49&lt;&gt;"O3/CP",$M$15=F$18,MID($M49,4,1)="2",$M$15&lt;&gt;$M$14),VLOOKUP(CONCATENATE(LEFT($M49,2),"L"),$R$63:$T$91,3,FALSE),0)+IF(AND($M49="O3/CP",$M$14=F$18),VLOOKUP("O3",$R$63:$T$91,3,FALSE)+VLOOKUP("CP",$R$63:$T$91,3,FALSE),0)+IF(AND($N49&lt;&gt;"",$N49&lt;&gt;"--",$N49&lt;&gt;"O3/CP",$N$14=F$18),IF(LEFT($N49,1)="P",VLOOKUP(CONCATENATE(LEFT($N49,2),"H"),$R$63:$T$91,3,FALSE),VLOOKUP($N49,$R$63:$T$91,3,FALSE)))+IF(AND($N49&lt;&gt;"",$N49&lt;&gt;"O3/CP",$N$15=F$18,MID($N49,4,1)="2",$N$15&lt;&gt;$N$14),VLOOKUP(CONCATENATE(LEFT($N49,2),"L"),$R$63:$T$91,3,FALSE),0)+IF(AND($N49="O3/CP",$N$14=F$18),VLOOKUP("O3",$R$63:$T$91,3,FALSE)+VLOOKUP("CP",$R$63:$T$91,3,FALSE),0)+IF(AND($O49&lt;&gt;"",$O49&lt;&gt;"--",$O49&lt;&gt;"O3/CP",$O$14=F$18),IF(LEFT($O49,1)="P",VLOOKUP(CONCATENATE(LEFT($O49,2),"H"),$R$63:$T$91,3,FALSE),VLOOKUP($O49,$R$63:$T$91,3,FALSE)))+IF(AND($O49&lt;&gt;"",$O49&lt;&gt;"O3/CP",$O$15=F$18,MID($O49,4,1)="2",$O$15&lt;&gt;$O$14),VLOOKUP(CONCATENATE(LEFT($O49,2),"L"),$R$63:$T$91,3,FALSE),0)+IF(AND($O49="O3/CP",$O$14=F$18),VLOOKUP("O3",$R$63:$T$91,3,FALSE)+VLOOKUP("CP",$R$63:$T$91,3,FALSE),0)+IF(AND($P49&lt;&gt;"",$P49&lt;&gt;"--",$P49&lt;&gt;"O3/CP",$P$14=F$18),IF(LEFT($P49,1)="P",VLOOKUP(CONCATENATE(LEFT($P49,2),"H"),$R$63:$T$91,3,FALSE),VLOOKUP($P49,$R$63:$T$91,3,FALSE)))+IF(AND($P49&lt;&gt;"",$P49&lt;&gt;"O3/CP",$P$15=F$18,MID($P49,4,1)="2",$P$15&lt;&gt;$P$14),VLOOKUP(CONCATENATE(LEFT($P49,2),"L"),$R$63:$T$91,3,FALSE),0)+IF(AND($P49="O3/CP",$P$14=F$18),VLOOKUP("O3",$R$63:$T$91,3,FALSE)+VLOOKUP("CP",$R$63:$T$91,3,FALSE),0)+IF(AND($Q49&lt;&gt;"",$Q49&lt;&gt;"--",$Q49&lt;&gt;"O3/CP",$Q$14=F$18),IF(LEFT($Q49,1)="P",VLOOKUP(CONCATENATE(LEFT($Q49,2),"H"),$R$63:$T$91,3,FALSE),VLOOKUP($Q49,$R$63:$T$91,3,FALSE)))+IF(AND($Q49&lt;&gt;"",$Q49&lt;&gt;"O3/CP",$Q$15=F$18,MID($Q49,4,1)="2",$Q$15&lt;&gt;$Q$14),VLOOKUP(CONCATENATE(LEFT($Q49,2),"L"),$R$63:$T$91,3,FALSE),0)+IF(AND($Q49="O3/CP",$Q$14=F$18),VLOOKUP("O3",$R$63:$T$91,3,FALSE)+VLOOKUP("CP",$R$63:$T$91,3,FALSE),0)+IF(AND($R49&lt;&gt;"",$R49&lt;&gt;"--",$R49&lt;&gt;"O3/CP",$R$14=F$18),IF(LEFT($R49,1)="P",VLOOKUP(CONCATENATE(LEFT($R49,2),"H"),$R$63:$T$91,3,FALSE),VLOOKUP($R49,$R$63:$T$91,3,FALSE)))+IF(AND($R49&lt;&gt;"",$R49&lt;&gt;"O3/CP",$R$15=F$18,MID($R49,4,1)="2",$R$15&lt;&gt;$R$14),VLOOKUP(CONCATENATE(LEFT($R49,2),"L"),$R$63:$T$91,3,FALSE),0)+IF(AND($R49="O3/CP",$R$14=F$18),VLOOKUP("O3",$R$63:$T$91,3,FALSE)+VLOOKUP("CP",$R$63:$T$91,3,FALSE),0)+IF(AND($S49&lt;&gt;"",$S49&lt;&gt;"--",$S49&lt;&gt;"O3/CP",$S$14=F$18),IF(LEFT($S49,1)="P",VLOOKUP(CONCATENATE(LEFT($S49,2),"H"),$R$63:$T$91,3,FALSE),VLOOKUP($S49,$R$63:$T$91,3,FALSE)))+IF(AND($S49&lt;&gt;"",$S49&lt;&gt;"O3/CP",$S$15=F$18,MID($S49,4,1)="2",$S$15&lt;&gt;$S$14),VLOOKUP(CONCATENATE(LEFT($S49,2),"L"),$R$63:$T$91,3,FALSE),0)+IF(AND($S49="O3/CP",$S$14=F$18),VLOOKUP("O3",$R$63:$T$91,3,FALSE)+VLOOKUP("CP",$R$63:$T$91,3,FALSE),0)+IF(AND($T49&lt;&gt;"",$T49&lt;&gt;"--",$T49&lt;&gt;"O3/CP",$T$14=F$18),IF(LEFT($T49,1)="P",VLOOKUP(CONCATENATE(LEFT($T49,2),"H"),$R$63:$T$91,3,FALSE),VLOOKUP($T49,$R$63:$T$91,3,FALSE)))+IF(AND($T49&lt;&gt;"",$T49&lt;&gt;"O3/CP",$T$15=F$18,MID($T49,4,1)="2",$T$15&lt;&gt;$T$14),VLOOKUP(CONCATENATE(LEFT($T49,2),"L"),$R$63:$T$91,3,FALSE),0)+IF(AND($T49="O3/CP",$T$14=F$18),VLOOKUP("O3",$R$63:$T$91,3,FALSE)+VLOOKUP("CP",$R$63:$T$91,3,FALSE),0)+IF(AND($U49&lt;&gt;"",$U49&lt;&gt;"--",$U49&lt;&gt;"O3/CP",$U$14=F$18),IF(LEFT($U49,1)="P",VLOOKUP(CONCATENATE(LEFT($U49,2),"H"),$R$63:$T$91,3,FALSE),VLOOKUP($U49,$R$63:$T$91,3,FALSE)))+IF(AND($U49&lt;&gt;"",$U49&lt;&gt;"O3/CP",$U$15=F$18,MID($U49,4,1)="2",$U$15&lt;&gt;$U$14),VLOOKUP(CONCATENATE(LEFT($U49,2),"L"),$R$63:$T$91,3,FALSE),0)+IF(AND($U49="O3/CP",$T$14=F$18),VLOOKUP("O3",$R$63:$T$91,3,FALSE)+VLOOKUP("CP",$R$63:$T$91,3,FALSE),0)+IF(AND($V49&lt;&gt;"",$V49&lt;&gt;"--",$V49&lt;&gt;"O3/CP",$V$14=F$18),IF(LEFT($V49,1)="P",VLOOKUP(CONCATENATE(LEFT($V49,2),"H"),$R$63:$T$91,3,FALSE),VLOOKUP($V49,$R$63:$T$91,3,FALSE)))+IF(AND($V49&lt;&gt;"",$V49&lt;&gt;"O3/CP",$V$15=F$18,MID($V49,4,1)="2",$V$15&lt;&gt;$V$14),VLOOKUP(CONCATENATE(LEFT($V49,2),"L"),$R$63:$T$91,3,FALSE),0)+IF(AND($V49="O3/CP",$V$14=F$18),VLOOKUP("O3",$R$63:$T$91,3,FALSE)+VLOOKUP("CP",$R$63:$T$91,3,FALSE),0)+IF(AND($W49&lt;&gt;"",$W49&lt;&gt;"--",$W49&lt;&gt;"O3/CP",$W$14=F$18),IF(LEFT($W49,1)="P",VLOOKUP(CONCATENATE(LEFT($W49,2),"H"),$R$63:$T$91,3,FALSE),VLOOKUP($W49,$R$63:$T$91,3,FALSE)))+IF(AND($W49&lt;&gt;"",$W49&lt;&gt;"O3/CP",$W$15=F$18,MID($W49,4,1)="2",$W$15&lt;&gt;$W$14),VLOOKUP(CONCATENATE(LEFT($W49,2),"L"),$R$63:$T$91,3,FALSE),0)+IF(AND($W49="O3/CP",$W$14=F$18),VLOOKUP("O3",$R$63:$T$91,3,FALSE)+VLOOKUP("CP",$R$63:$T$91,3,FALSE),0)+IF(AND($X49&lt;&gt;"",$X49&lt;&gt;"--",$X49&lt;&gt;"O3/CP",$X$14=F$18),IF(LEFT($X49,1)="P",VLOOKUP(CONCATENATE(LEFT($X49,2),"H"),$R$63:$T$91,3,FALSE),VLOOKUP($X49,$R$63:$T$91,3,FALSE)))+IF(AND($X49&lt;&gt;"",$X49&lt;&gt;"O3/CP",$X$15=F$18,MID($X49,4,1)="2",$X$15&lt;&gt;$X$14),VLOOKUP(CONCATENATE(LEFT($X49,2),"L"),$R$63:$T$91,3,FALSE),0)+IF(AND($X49="O3/CP",$X$14=F$18),VLOOKUP("O3",$R$63:$T$91,3,FALSE)+VLOOKUP("CP",$R$63:$T$91,3,FALSE),0)+IF(AND($Y49&lt;&gt;"",$Y49&lt;&gt;"--",$Y49&lt;&gt;"O3/CP",$Y$14=F$18),IF(LEFT($Y49,1)="P",VLOOKUP(CONCATENATE(LEFT($Y49,2),"H"),$R$63:$T$91,3,FALSE),VLOOKUP($Y49,$R$63:$T$91,3,FALSE)))+IF(AND($Y49&lt;&gt;"",$Y49&lt;&gt;"O3/CP",$Y$15=F$18,MID($Y49,4,1)="2",$Y$15&lt;&gt;$Y$14),VLOOKUP(CONCATENATE(LEFT($Y49,2),"L"),$R$63:$T$91,3,FALSE),0)+IF(AND($Y49="O3/CP",$Y$14=F$18),VLOOKUP("O3",$R$63:$T$91,3,FALSE)+VLOOKUP("CP",$R$63:$T$91,3,FALSE),0)+IF(AND($K$6="CE",'[3]Supply Attribution'!$G$20=F$18),LEFT($S$90,2),0)+IF(AND($X$86&lt;&gt;"Not Set",$X$87=F$18),$X$86,0)</f>
        <v>0</v>
      </c>
      <c r="G49" s="271">
        <f>IF(AND($K$6="CE",$T$59="1 Phase"),SUM(A49:F49)-IF(AND($K$14&lt;&gt;$K$15,RIGHT($K49,3)="2SP"),VLOOKUP(CONCATENATE(LEFT($K49,2),"L"),$R$63:$T$90,3,FALSE),0)-IF(AND($L$14&lt;&gt;$L$15,RIGHT($L49,3)="2SP"),VLOOKUP(CONCATENATE(LEFT($L49,2),"L"),$R$63:$T$90,3,FALSE),0)-IF(AND($M$14&lt;&gt;$M$15,RIGHT($M49,3)="2SP"),VLOOKUP(CONCATENATE(LEFT($M49,2),"L"),$R$63:$T$90,3,FALSE),0)-IF(AND($N$14&lt;&gt;$N$15,RIGHT($N49,3)="2SP"),VLOOKUP(CONCATENATE(LEFT($N49,2),"L"),$R$63:$T$90,3,FALSE),0)-IF(AND($O$14&lt;&gt;$O$15,RIGHT($O49,3)="2SP"),VLOOKUP(CONCATENATE(LEFT($O49,2),"L"),$R$63:$T$90,3,FALSE),0)-IF(AND($P$14&lt;&gt;$P$15,RIGHT($P49,3)="2SP"),VLOOKUP(CONCATENATE(LEFT($P49,2),"L"),$R$63:$T$90,3,FALSE),0)-IF(AND($Q$14&lt;&gt;$Q$15,RIGHT($Q49,3)="2SP"),VLOOKUP(CONCATENATE(LEFT($Q49,2),"L"),$R$63:$T$90,3,FALSE),0)-IF(AND($R$14&lt;&gt;$R$15,RIGHT($T49,3)="2SP"),VLOOKUP(CONCATENATE(LEFT($R49,2),"L"),$R$63:$T$90,3,FALSE),0)-IF(AND($S$14&lt;&gt;$S$15,RIGHT($T49,3)="2SP"),VLOOKUP(CONCATENATE(LEFT($S49,2),"L"),$R$63:$T$90,3,FALSE),0)-IF(AND($T$14&lt;&gt;$T$15,RIGHT($T49,3)="2SP"),VLOOKUP(CONCATENATE(LEFT($T49,2),"L"),$R$63:$T$90,3,FALSE),0)-IF(AND($U$14&lt;&gt;$U$15,RIGHT($U49,3)="2SP"),VLOOKUP(CONCATENATE(LEFT($U49,2),"L"),$R$63:$T$90,3,FALSE),0)-IF(AND($V$14&lt;&gt;$V$15,RIGHT($V49,3)="2SP"),VLOOKUP(CONCATENATE(LEFT($V49,2),"L"),$R$63:$T$90,3,FALSE),0)-IF(AND($W$14&lt;&gt;$W$15,RIGHT($W49,3)="2SP"),VLOOKUP(CONCATENATE(LEFT($W49,2),"L"),$R$63:$T$90,3,FALSE),0)-IF(AND($X$14&lt;&gt;$X$15,RIGHT($X49,3)="2SP"),VLOOKUP(CONCATENATE(LEFT($X49,2),"L"),$R$63:$T$90,3,FALSE),0)-IF(AND($Y$14&lt;&gt;$Y$15,RIGHT($Y49,3)="2SP"),VLOOKUP(CONCATENATE(LEFT($Y49,2),"L"),$R$63:$T$90,3,FALSE),0),IF(VLOOKUP(CONCATENATE($A$18,"Line"),'[3]Supply Attribution'!$F$31:$G$37,2,FALSE)=G$18,$A49,0)+IF(VLOOKUP(CONCATENATE($B$18,"Line"),'[3]Supply Attribution'!$F$31:$G$37,2,FALSE)=G$18,$B49,0)+IF(VLOOKUP(CONCATENATE($C$18,"Line"),'[3]Supply Attribution'!$F$31:$G$37,2,FALSE)=G$18,$C49,0)+IF(VLOOKUP(CONCATENATE($D$18,"Line"),'[3]Supply Attribution'!$F$31:$G$37,2,FALSE)=G$18,$D49,0)+IF(VLOOKUP(CONCATENATE($E$18,"Line"),'[3]Supply Attribution'!$F$31:$G$37,2,FALSE)=G$18,$E49,0)+IF(VLOOKUP(CONCATENATE($F$18,"Line"),'[3]Supply Attribution'!$F$31:$G$37,2,FALSE)=G$18,$F49,0)+IF($K$6="UL",LEFT($S$90,2),0)-IF(AND($K$16=G$18,$K$14&lt;&gt;$K$15,$K$16=$K$17,RIGHT($K49,3)="2SP"),VLOOKUP(CONCATENATE(LEFT($K49,2),"L"),$R$63:$T$90,3,FALSE),0)-IF(AND($L$16=G$18,$L$14&lt;&gt;$L$15,$L$16=$L$17,RIGHT($L49,3)="2SP"),VLOOKUP(CONCATENATE(LEFT($L49,2),"L"),$R$63:$T$90,3,FALSE),0)-IF(AND($M$16=G$18,$M$14&lt;&gt;$M$15,$M$16=$M$17,RIGHT($M49,3)="2SP"),VLOOKUP(CONCATENATE(LEFT($M49,2),"L"),$R$63:$T$90,3,FALSE),0)-IF(AND($N$16=G$18,$N$14&lt;&gt;$N$15,$N$16=$N$17,RIGHT($N49,3)="2SP"),VLOOKUP(CONCATENATE(LEFT($N49,2),"L"),$R$63:$T$90,3,FALSE),0)-IF(AND($O$16=G$18,$O$14&lt;&gt;$O$15,$O$16=$O$17,RIGHT($O49,3)="2SP"),VLOOKUP(CONCATENATE(LEFT($O49,2),"L"),$R$63:$T$90,3,FALSE),0)-IF(AND($P$16=G$18,$P$14&lt;&gt;$P$15,$P$16=$P$17,RIGHT($P49,3)="2SP"),VLOOKUP(CONCATENATE(LEFT($P49,2),"L"),$R$63:$T$90,3,FALSE),0)-IF(AND($Q$16=G$18,$Q$14&lt;&gt;$Q$15,$Q$16=$Q$17,RIGHT($Q49,3)="2SP"),VLOOKUP(CONCATENATE(LEFT($Q49,2),"L"),$R$63:$T$90,3,FALSE),0)-IF(AND($R$16=G$18,$R$14&lt;&gt;$R$15,$R$16=$R$17,RIGHT($R49,3)="2SP"),VLOOKUP(CONCATENATE(LEFT($R49,2),"L"),$R$63:$T$90,3,FALSE),0)-IF(AND($S$16=G$18,$S$14&lt;&gt;$S$15,$S$16=$S$17,RIGHT($S49,3)="2SP"),VLOOKUP(CONCATENATE(LEFT($S49,2),"L"),$R$63:$T$90,3,FALSE),0)-IF(AND($T$16=G$18,$T$14&lt;&gt;$T$15,$T$16=$T$17,RIGHT($T49,3)="2SP"),VLOOKUP(CONCATENATE(LEFT($T49,2),"L"),$R$63:$T$90,3,FALSE),0)-IF(AND($U$16=G$18,$U$14&lt;&gt;$U$15,$U$16=$U$17,RIGHT($U49,3)="2SP"),VLOOKUP(CONCATENATE(LEFT($U49,2),"L"),$R$63:$T$90,3,FALSE),0)-IF(AND($V$16=G$18,$V$14&lt;&gt;$V$15,$V$16=$V$17,RIGHT($V49,3)="2SP"),VLOOKUP(CONCATENATE(LEFT($V49,2),"L"),$R$63:$T$90,3,FALSE),0)-IF(AND($W$16=G$18,$W$14&lt;&gt;$W$15,$W$16=$W$17,RIGHT($W49,3)="2SP"),VLOOKUP(CONCATENATE(LEFT($W49,2),"L"),$R$63:$T$90,3,FALSE),0)-IF(AND($X$16=G$18,$X$14&lt;&gt;$X$15,$X$16=$X$17,RIGHT($X49,3)="2SP"),VLOOKUP(CONCATENATE(LEFT($X49,2),"L"),$R$63:$T$90,3,FALSE),0)-IF(AND($Y$16=G$18,$Y$14&lt;&gt;$Y$15,$Y$16=$Y$17,RIGHT($Y49,3)="2SP"),VLOOKUP(CONCATENATE(LEFT($Y49,2),"L"),$R$63:$T$90,3,FALSE),0))</f>
        <v>17</v>
      </c>
      <c r="H49" s="271" t="str">
        <f>IF(H$18&lt;&gt;"",IF(VLOOKUP(CONCATENATE($A$18,"Line"),'Supply Attribution'!$F$31:$G$37,2,FALSE)=H$18,$A49,0)+IF(VLOOKUP(CONCATENATE($B$18,"Line"),'Supply Attribution'!$F$31:$G$37,2,FALSE)=H$18,$B49,0)+IF(VLOOKUP(CONCATENATE($C$18,"Line"),'Supply Attribution'!$F$31:$G$37,2,FALSE)=H$18,$C49,0)+IF(VLOOKUP(CONCATENATE($D$18,"Line"),'Supply Attribution'!$F$31:$G$37,2,FALSE)=H$18,$D49,0)+IF(VLOOKUP(CONCATENATE($E$18,"Line"),'Supply Attribution'!$F$31:$G$37,2,FALSE)=H$18,$E49,0)+IF(VLOOKUP(CONCATENATE($F$18,"Line"),'Supply Attribution'!$F$31:$G$37,2,FALSE)=H$18,$F49,0)+IF($K$6="UL",LEFT($S$90,2),0)-IF(AND($K$16=H$18,$K$14&lt;&gt;$K$15,$K$16=$K$17,RIGHT($K49,3)="2SP"),VLOOKUP(CONCATENATE(LEFT($K49,2),"L"),$R$63:$T$90,3,FALSE),0)-IF(AND($L$16=H$18,$L$14&lt;&gt;$L$15,$L$16=$L$17,RIGHT($L49,3)="2SP"),VLOOKUP(CONCATENATE(LEFT($L49,2),"L"),$R$63:$T$90,3,FALSE),0)-IF(AND($M$16=H$18,$M$14&lt;&gt;$M$15,$M$16=$M$17,RIGHT($M49,3)="2SP"),VLOOKUP(CONCATENATE(LEFT($M49,2),"L"),$R$63:$T$90,3,FALSE),0)-IF(AND($N$16=H$18,$N$14&lt;&gt;$N$15,$N$16=$N$17,RIGHT($N49,3)="2SP"),VLOOKUP(CONCATENATE(LEFT($N49,2),"L"),$R$63:$T$90,3,FALSE),0)-IF(AND($O$16=H$18,$O$14&lt;&gt;$O$15,$O$16=$O$17,RIGHT($O49,3)="2SP"),VLOOKUP(CONCATENATE(LEFT($O49,2),"L"),$R$63:$T$90,3,FALSE),0)-IF(AND($P$16=H$18,$P$14&lt;&gt;$P$15,$P$16=$P$17,RIGHT($P49,3)="2SP"),VLOOKUP(CONCATENATE(LEFT($P49,2),"L"),$R$63:$T$90,3,FALSE),0)-IF(AND($Q$16=H$18,$Q$14&lt;&gt;$Q$15,$Q$16=$Q$17,RIGHT($Q49,3)="2SP"),VLOOKUP(CONCATENATE(LEFT($Q49,2),"L"),$R$63:$T$90,3,FALSE),0)-IF(AND($T$16=H$18,$T$14&lt;&gt;$T$15,$T$16=$T$17,RIGHT($T49,3)="2SP"),VLOOKUP(CONCATENATE(LEFT($T49,2),"L"),$R$63:$T$90,3,FALSE),0)-IF(AND($U$16=H$18,$U$14&lt;&gt;$U$15,$U$16=$U$17,RIGHT($U49,3)="2SP"),VLOOKUP(CONCATENATE(LEFT($U49,2),"L"),$R$63:$T$90,3,FALSE),0)-IF(AND($V$16=H$18,$V$14&lt;&gt;$V$15,$V$16=$V$17,RIGHT($V49,3)="2SP"),VLOOKUP(CONCATENATE(LEFT($V49,2),"L"),$R$63:$T$90,3,FALSE),0)-IF(AND($W$16=H$18,$W$14&lt;&gt;$W$15,$W$16=$W$17,RIGHT($W49,3)="2SP"),VLOOKUP(CONCATENATE(LEFT($W49,2),"L"),$R$63:$T$90,3,FALSE),0)-IF(AND($X$16=H$18,$X$14&lt;&gt;$X$15,$X$16=$X$17,RIGHT($X49,3)="2SP"),VLOOKUP(CONCATENATE(LEFT($X49,2),"L"),$R$63:$T$90,3,FALSE),0)-IF(AND($Y$16=H$18,$Y$14&lt;&gt;$Y$15,$Y$16=$Y$17,RIGHT($Y49,3)="2SP"),VLOOKUP(CONCATENATE(LEFT($Y49,2),"L"),$R$63:$T$90,3,FALSE),0)+IF(AND($K$6="CE",$T$59="2 Phases",H$18&lt;&gt;""),IF(VLOOKUP(CONCATENATE($A$18,"Line"),'Supply Attribution'!$F$31:$G$37,2,FALSE)="Line3",$A49,0)+IF(VLOOKUP(CONCATENATE($B$18,"Line"),'Supply Attribution'!$F$31:$G$37,2,FALSE)="Line3",$B49,0)+IF(VLOOKUP(CONCATENATE($C$18,"Line"),'Supply Attribution'!$F$31:$G$37,2,FALSE)="Line3",$C49,0)+IF(VLOOKUP(CONCATENATE($D$18,"Line"),'Supply Attribution'!$F$31:$G$37,2,FALSE)="Line3",$D49,0)+IF(VLOOKUP(CONCATENATE($E$18,"Line"),'Supply Attribution'!$F$31:$G$37,2,FALSE)="Line3",$E49,0)+IF(VLOOKUP(CONCATENATE($F$18,"Line"),'Supply Attribution'!$F$31:$G$37,2,FALSE)="Line3",$F49,0)-IF(AND($K$16=I$18,$K$14&lt;&gt;$K$15,$K$16=$K$17,RIGHT($K49,3)="2SP"),VLOOKUP(CONCATENATE(LEFT($K49,2),"L"),$R$63:$T$90,3,FALSE),0)-IF(AND($L$16=I$18,$L$14&lt;&gt;$L$15,$L$16=$L$17,RIGHT($L49,3)="2SP"),VLOOKUP(CONCATENATE(LEFT($L49,2),"L"),$R$63:$T$90,3,FALSE),0)-IF(AND($M$16=I$18,$M$14&lt;&gt;$M$15,$M$16=$M$17,RIGHT($M49,3)="2SP"),VLOOKUP(CONCATENATE(LEFT($M49,2),"L"),$R$63:$T$90,3,FALSE),0)-IF(AND($N$16=I$18,$N$14&lt;&gt;$N$15,$N$16=$N$17,RIGHT($N49,3)="2SP"),VLOOKUP(CONCATENATE(LEFT($N49,2),"L"),$R$63:$T$90,3,FALSE),0)-IF(AND($O$16=I$18,$O$14&lt;&gt;$O$15,$O$16=$O$17,RIGHT($O49,3)="2SP"),VLOOKUP(CONCATENATE(LEFT($O49,2),"L"),$R$63:$T$90,3,FALSE),0)-IF(AND($P$16=I$18,$P$14&lt;&gt;$P$15,$P$16=$P$17,RIGHT($P49,3)="2SP"),VLOOKUP(CONCATENATE(LEFT($P49,2),"L"),$R$63:$T$90,3,FALSE),0)-IF(AND($Q$16=I$18,$Q$14&lt;&gt;$Q$15,$Q$16=$Q$17,RIGHT($Q49,3)="2SP"),VLOOKUP(CONCATENATE(LEFT($Q49,2),"L"),$R$63:$T$90,3,FALSE),0)-IF(AND($T$16=I$18,$T$14&lt;&gt;$T$15,$T$16=$T$17,RIGHT($T49,3)="2SP"),VLOOKUP(CONCATENATE(LEFT($T49,2),"L"),$R$63:$T$90,3,FALSE),0)-IF(AND($U$16=I$18,$U$14&lt;&gt;$U$15,$U$16=$U$17,RIGHT($U49,3)="2SP"),VLOOKUP(CONCATENATE(LEFT($U49,2),"L"),$R$63:$T$90,3,FALSE),0)-IF(AND($V$16=I$18,$V$14&lt;&gt;$V$15,$V$16=$V$17,RIGHT($V49,3)="2SP"),VLOOKUP(CONCATENATE(LEFT($V49,2),"L"),$R$63:$T$90,3,FALSE),0)-IF(AND($W$16=I$18,$W$14&lt;&gt;$W$15,$W$16=$W$17,RIGHT($W49,3)="2SP"),VLOOKUP(CONCATENATE(LEFT($W49,2),"L"),$R$63:$T$90,3,FALSE),0)-IF(AND($X$16=I$18,$X$14&lt;&gt;$X$15,$X$16=$X$17,RIGHT($X49,3)="2SP"),VLOOKUP(CONCATENATE(LEFT($X49,2),"L"),$R$63:$T$90,3,FALSE),0)-IF(AND($Y$16=I$18,$Y$14&lt;&gt;$Y$15,$Y$16=$Y$17,RIGHT($Y49,3)="2SP"),VLOOKUP(CONCATENATE(LEFT($Y49,2),"L"),$R$63:$T$90,3,FALSE),0),0),"")</f>
        <v/>
      </c>
      <c r="I49" s="271" t="str">
        <f>IF(I$18&lt;&gt;"",IF(VLOOKUP(CONCATENATE($A$18,"Line"),'Supply Attribution'!$F$31:$G$37,2,FALSE)=I$18,$A49,0)+IF(VLOOKUP(CONCATENATE($B$18,"Line"),'Supply Attribution'!$F$31:$G$37,2,FALSE)=I$18,$B49,0)+IF(VLOOKUP(CONCATENATE($C$18,"Line"),'Supply Attribution'!$F$31:$G$37,2,FALSE)=I$18,$C49,0)+IF(VLOOKUP(CONCATENATE($D$18,"Line"),'Supply Attribution'!$F$31:$G$37,2,FALSE)=I$18,$D49,0)+IF(VLOOKUP(CONCATENATE($E$18,"Line"),'Supply Attribution'!$F$31:$G$37,2,FALSE)=I$18,$E49,0)+IF(VLOOKUP(CONCATENATE($F$18,"Line"),'Supply Attribution'!$F$31:$G$37,2,FALSE)=I$18,$F49,0)+IF($K$6="UL",LEFT($S$90,2),0)-IF(AND($K$16=I$18,$K$14&lt;&gt;$K$15,$K$16=$K$17,RIGHT($K49,3)="2SP"),VLOOKUP(CONCATENATE(LEFT($K49,2),"L"),$R$63:$T$90,3,FALSE),0)-IF(AND($L$16=I$18,$L$14&lt;&gt;$L$15,$L$16=$L$17,RIGHT($L49,3)="2SP"),VLOOKUP(CONCATENATE(LEFT($L49,2),"L"),$R$63:$T$90,3,FALSE),0)-IF(AND($M$16=I$18,$M$14&lt;&gt;$M$15,$M$16=$M$17,RIGHT($M49,3)="2SP"),VLOOKUP(CONCATENATE(LEFT($M49,2),"L"),$R$63:$T$90,3,FALSE),0)-IF(AND($N$16=I$18,$N$14&lt;&gt;$N$15,$N$16=$N$17,RIGHT($N49,3)="2SP"),VLOOKUP(CONCATENATE(LEFT($N49,2),"L"),$R$63:$T$90,3,FALSE),0)-IF(AND($O$16=I$18,$O$14&lt;&gt;$O$15,$O$16=$O$17,RIGHT($O49,3)="2SP"),VLOOKUP(CONCATENATE(LEFT($O49,2),"L"),$R$63:$T$90,3,FALSE),0)-IF(AND($P$16=I$18,$P$14&lt;&gt;$P$15,$P$16=$P$17,RIGHT($P49,3)="2SP"),VLOOKUP(CONCATENATE(LEFT($P49,2),"L"),$R$63:$T$90,3,FALSE),0)-IF(AND($Q$16=I$18,$Q$14&lt;&gt;$Q$15,$Q$16=$Q$17,RIGHT($Q49,3)="2SP"),VLOOKUP(CONCATENATE(LEFT($Q49,2),"L"),$R$63:$T$90,3,FALSE),0)-IF(AND($T$16=I$18,$T$14&lt;&gt;$T$15,$T$16=$T$17,RIGHT($T49,3)="2SP"),VLOOKUP(CONCATENATE(LEFT($T49,2),"L"),$R$63:$T$90,3,FALSE),0)-IF(AND($U$16=I$18,$U$14&lt;&gt;$U$15,$U$16=$U$17,RIGHT($U49,3)="2SP"),VLOOKUP(CONCATENATE(LEFT($U49,2),"L"),$R$63:$T$90,3,FALSE),0)-IF(AND($V$16=I$18,$V$14&lt;&gt;$V$15,$V$16=$V$17,RIGHT($V49,3)="2SP"),VLOOKUP(CONCATENATE(LEFT($V49,2),"L"),$R$63:$T$90,3,FALSE),0)-IF(AND($W$16=I$18,$W$14&lt;&gt;$W$15,$W$16=$W$17,RIGHT($W49,3)="2SP"),VLOOKUP(CONCATENATE(LEFT($W49,2),"L"),$R$63:$T$90,3,FALSE),0)-IF(AND($X$16=I$18,$X$14&lt;&gt;$X$15,$X$16=$X$17,RIGHT($X49,3)="2SP"),VLOOKUP(CONCATENATE(LEFT($X49,2),"L"),$R$63:$T$90,3,FALSE),0)-IF(AND($Y$16=I$18,$Y$14&lt;&gt;$Y$15,$Y$16=$Y$17,RIGHT($Y49,3)="2SP"),VLOOKUP(CONCATENATE(LEFT($Y49,2),"L"),$R$63:$T$90,3,FALSE),0),"")</f>
        <v/>
      </c>
      <c r="J49" s="129"/>
      <c r="K49" s="130"/>
      <c r="L49" s="130"/>
      <c r="M49" s="130"/>
      <c r="N49" s="130"/>
      <c r="O49" s="130"/>
      <c r="P49" s="130"/>
      <c r="Q49" s="130"/>
      <c r="R49" s="130"/>
      <c r="S49" s="130"/>
      <c r="T49" s="130"/>
      <c r="U49" s="130"/>
      <c r="V49" s="130"/>
      <c r="W49" s="130"/>
      <c r="X49" s="130"/>
      <c r="Y49" s="130"/>
      <c r="Z49" s="131"/>
      <c r="AA49" s="131"/>
      <c r="AB49" s="132"/>
      <c r="AC49" s="132"/>
      <c r="AD49" s="132"/>
      <c r="AE49" s="133">
        <f t="shared" si="0"/>
        <v>0</v>
      </c>
      <c r="AF49" s="78"/>
    </row>
    <row r="50" spans="1:32">
      <c r="A50" s="270">
        <f>IF(AND($K50&lt;&gt;"",$K50&lt;&gt;"--",$K50&lt;&gt;"O3/CP",$K$14=A$18),IF(LEFT($K50,1)="P",VLOOKUP(CONCATENATE(LEFT($K50,2),"H"),$R$63:$T$91,3,FALSE),VLOOKUP($K50,$R$63:$T$91,3,FALSE)))+IF(AND($K50&lt;&gt;"",$K50&lt;&gt;"O3/CP",$K$15=A$18,MID($K50,4,1)="2",$K$15&lt;&gt;$K$14),VLOOKUP(CONCATENATE(LEFT($K50,2),"L"),$R$63:$T$91,3,FALSE),0)+IF(AND($K50="O3/CP",$K$14=A$18),VLOOKUP("O3",$R$63:$T$91,3,FALSE)+VLOOKUP("CP",$R$63:$T$91,3,FALSE),0)+IF(AND($L50&lt;&gt;"",$L50&lt;&gt;"--",$L50&lt;&gt;"O3/CP",$L$14=A$18),IF(LEFT($L50,1)="P",VLOOKUP(CONCATENATE(LEFT($L50,2),"H"),$R$63:$T$91,3,FALSE),VLOOKUP($L50,$R$63:$T$91,3,FALSE)))+IF(AND($L50&lt;&gt;"",$L50&lt;&gt;"O3/CP",$L$15=A$18,MID($L50,4,1)="2",$L$15&lt;&gt;$L$14),VLOOKUP(CONCATENATE(LEFT($L50,2),"L"),$R$63:$T$91,3,FALSE),0)+IF(AND($L50="O3/CP",$L$14=A$18),VLOOKUP("O3",$R$63:$T$91,3,FALSE)+VLOOKUP("CP",$R$63:$T$91,3,FALSE),0)+IF(AND($M50&lt;&gt;"",$M50&lt;&gt;"--",$M50&lt;&gt;"O3/CP",$M$14=A$18),IF(LEFT($M50,1)="P",VLOOKUP(CONCATENATE(LEFT($M50,2),"H"),$R$63:$T$91,3,FALSE),VLOOKUP($M50,$R$63:$T$91,3,FALSE)))+IF(AND($M50&lt;&gt;"",$M50&lt;&gt;"O3/CP",$M$15=A$18,MID($M50,4,1)="2",$M$15&lt;&gt;$M$14),VLOOKUP(CONCATENATE(LEFT($M50,2),"L"),$R$63:$T$91,3,FALSE),0)+IF(AND($M50="O3/CP",$M$14=A$18),VLOOKUP("O3",$R$63:$T$91,3,FALSE)+VLOOKUP("CP",$R$63:$T$91,3,FALSE),0)+IF(AND($N50&lt;&gt;"",$N50&lt;&gt;"--",$N50&lt;&gt;"O3/CP",$N$14=A$18),IF(LEFT($N50,1)="P",VLOOKUP(CONCATENATE(LEFT($N50,2),"H"),$R$63:$T$91,3,FALSE),VLOOKUP($N50,$R$63:$T$91,3,FALSE)))+IF(AND($N50&lt;&gt;"",$N50&lt;&gt;"O3/CP",$N$15=A$18,MID($N50,4,1)="2",$N$15&lt;&gt;$N$14),VLOOKUP(CONCATENATE(LEFT($N50,2),"L"),$R$63:$T$91,3,FALSE),0)+IF(AND($N50="O3/CP",$N$14=A$18),VLOOKUP("O3",$R$63:$T$91,3,FALSE)+VLOOKUP("CP",$R$63:$T$91,3,FALSE),0)+IF(AND($O50&lt;&gt;"",$O50&lt;&gt;"--",$O50&lt;&gt;"O3/CP",$O$14=A$18),IF(LEFT($O50,1)="P",VLOOKUP(CONCATENATE(LEFT($O50,2),"H"),$R$63:$T$91,3,FALSE),VLOOKUP($O50,$R$63:$T$91,3,FALSE)))+IF(AND($O50&lt;&gt;"",$O50&lt;&gt;"O3/CP",$O$15=A$18,MID($O50,4,1)="2",$O$15&lt;&gt;$O$14),VLOOKUP(CONCATENATE(LEFT($O50,2),"L"),$R$63:$T$91,3,FALSE),0)+IF(AND($O50="O3/CP",$O$14=A$18),VLOOKUP("O3",$R$63:$T$91,3,FALSE)+VLOOKUP("CP",$R$63:$T$91,3,FALSE),0)+IF(AND($P50&lt;&gt;"",$P50&lt;&gt;"--",$P50&lt;&gt;"O3/CP",$P$14=A$18),IF(LEFT($P50,1)="P",VLOOKUP(CONCATENATE(LEFT($P50,2),"H"),$R$63:$T$91,3,FALSE),VLOOKUP($P50,$R$63:$T$91,3,FALSE)))+IF(AND($P50&lt;&gt;"",$P50&lt;&gt;"O3/CP",$P$15=A$18,MID($P50,4,1)="2",$P$15&lt;&gt;$P$14),VLOOKUP(CONCATENATE(LEFT($P50,2),"L"),$R$63:$T$91,3,FALSE),0)+IF(AND($P50="O3/CP",$P$14=A$18),VLOOKUP("O3",$R$63:$T$91,3,FALSE)+VLOOKUP("CP",$R$63:$T$91,3,FALSE),0)+IF(AND($Q50&lt;&gt;"",$Q50&lt;&gt;"--",$Q50&lt;&gt;"O3/CP",$Q$14=A$18),IF(LEFT($Q50,1)="P",VLOOKUP(CONCATENATE(LEFT($Q50,2),"H"),$R$63:$T$91,3,FALSE),VLOOKUP($Q50,$R$63:$T$91,3,FALSE)))+IF(AND($Q50&lt;&gt;"",$Q50&lt;&gt;"O3/CP",$Q$15=A$18,MID($Q50,4,1)="2",$Q$15&lt;&gt;$Q$14),VLOOKUP(CONCATENATE(LEFT($Q50,2),"L"),$R$63:$T$91,3,FALSE),0)+IF(AND($Q50="O3/CP",$Q$14=A$18),VLOOKUP("O3",$R$63:$T$91,3,FALSE)+VLOOKUP("CP",$R$63:$T$91,3,FALSE),0)+IF(AND($R50&lt;&gt;"",$R50&lt;&gt;"--",$R50&lt;&gt;"O3/CP",$R$14=A$18),IF(LEFT($R50,1)="P",VLOOKUP(CONCATENATE(LEFT($R50,2),"H"),$R$63:$T$91,3,FALSE),VLOOKUP($R50,$R$63:$T$91,3,FALSE)))+IF(AND($R50&lt;&gt;"",$R50&lt;&gt;"O3/CP",$R$15=A$18,MID($R50,4,1)="2",$R$15&lt;&gt;$R$14),VLOOKUP(CONCATENATE(LEFT($R50,2),"L"),$R$63:$T$91,3,FALSE),0)+IF(AND($R50="O3/CP",$R$14=A$18),VLOOKUP("O3",$R$63:$T$91,3,FALSE)+VLOOKUP("CP",$R$63:$T$91,3,FALSE),0)+IF(AND($S50&lt;&gt;"",$S50&lt;&gt;"--",$S50&lt;&gt;"O3/CP",$S$14=A$18),IF(LEFT($S50,1)="P",VLOOKUP(CONCATENATE(LEFT($S50,2),"H"),$R$63:$T$91,3,FALSE),VLOOKUP($S50,$R$63:$T$91,3,FALSE)))+IF(AND($S50&lt;&gt;"",$S50&lt;&gt;"O3/CP",$S$15=A$18,MID($S50,4,1)="2",$S$15&lt;&gt;$S$14),VLOOKUP(CONCATENATE(LEFT($S50,2),"L"),$R$63:$T$91,3,FALSE),0)+IF(AND($S50="O3/CP",$S$14=A$18),VLOOKUP("O3",$R$63:$T$91,3,FALSE)+VLOOKUP("CP",$R$63:$T$91,3,FALSE),0)+IF(AND($T50&lt;&gt;"",$T50&lt;&gt;"--",$T50&lt;&gt;"O3/CP",$T$14=A$18),IF(LEFT($T50,1)="P",VLOOKUP(CONCATENATE(LEFT($T50,2),"H"),$R$63:$T$91,3,FALSE),VLOOKUP($T50,$R$63:$T$91,3,FALSE)))+IF(AND($T50&lt;&gt;"",$T50&lt;&gt;"O3/CP",$T$15=A$18,MID($T50,4,1)="2",$T$15&lt;&gt;$T$14),VLOOKUP(CONCATENATE(LEFT($T50,2),"L"),$R$63:$T$91,3,FALSE),0)+IF(AND($T50="O3/CP",$T$14=A$18),VLOOKUP("O3",$R$63:$T$91,3,FALSE)+VLOOKUP("CP",$R$63:$T$91,3,FALSE),0)+IF(AND($U50&lt;&gt;"",$U50&lt;&gt;"--",$U50&lt;&gt;"O3/CP",$U$14=A$18),IF(LEFT($U50,1)="P",VLOOKUP(CONCATENATE(LEFT($U50,2),"H"),$R$63:$T$91,3,FALSE),VLOOKUP($U50,$R$63:$T$91,3,FALSE)))+IF(AND($U50&lt;&gt;"",$U50&lt;&gt;"O3/CP",$U$15=A$18,MID($U50,4,1)="2",$U$15&lt;&gt;$U$14),VLOOKUP(CONCATENATE(LEFT($U50,2),"L"),$R$63:$T$91,3,FALSE),0)+IF(AND($U50="O3/CP",$T$14=A$18),VLOOKUP("O3",$R$63:$T$91,3,FALSE)+VLOOKUP("CP",$R$63:$T$91,3,FALSE),0)+IF(AND($V50&lt;&gt;"",$V50&lt;&gt;"--",$V50&lt;&gt;"O3/CP",$V$14=A$18),IF(LEFT($V50,1)="P",VLOOKUP(CONCATENATE(LEFT($V50,2),"H"),$R$63:$T$91,3,FALSE),VLOOKUP($V50,$R$63:$T$91,3,FALSE)))+IF(AND($V50&lt;&gt;"",$V50&lt;&gt;"O3/CP",$V$15=A$18,MID($V50,4,1)="2",$V$15&lt;&gt;$V$14),VLOOKUP(CONCATENATE(LEFT($V50,2),"L"),$R$63:$T$91,3,FALSE),0)+IF(AND($V50="O3/CP",$V$14=A$18),VLOOKUP("O3",$R$63:$T$91,3,FALSE)+VLOOKUP("CP",$R$63:$T$91,3,FALSE),0)+IF(AND($W50&lt;&gt;"",$W50&lt;&gt;"--",$W50&lt;&gt;"O3/CP",$W$14=A$18),IF(LEFT($W50,1)="P",VLOOKUP(CONCATENATE(LEFT($W50,2),"H"),$R$63:$T$91,3,FALSE),VLOOKUP($W50,$R$63:$T$91,3,FALSE)))+IF(AND($W50&lt;&gt;"",$W50&lt;&gt;"O3/CP",$W$15=A$18,MID($W50,4,1)="2",$W$15&lt;&gt;$W$14),VLOOKUP(CONCATENATE(LEFT($W50,2),"L"),$R$63:$T$91,3,FALSE),0)+IF(AND($W50="O3/CP",$W$14=A$18),VLOOKUP("O3",$R$63:$T$91,3,FALSE)+VLOOKUP("CP",$R$63:$T$91,3,FALSE),0)+IF(AND($X50&lt;&gt;"",$X50&lt;&gt;"--",$X50&lt;&gt;"O3/CP",$X$14=A$18),IF(LEFT($X50,1)="P",VLOOKUP(CONCATENATE(LEFT($X50,2),"H"),$R$63:$T$91,3,FALSE),VLOOKUP($X50,$R$63:$T$91,3,FALSE)))+IF(AND($X50&lt;&gt;"",$X50&lt;&gt;"O3/CP",$X$15=A$18,MID($X50,4,1)="2",$X$15&lt;&gt;$X$14),VLOOKUP(CONCATENATE(LEFT($X50,2),"L"),$R$63:$T$91,3,FALSE),0)+IF(AND($X50="O3/CP",$X$14=A$18),VLOOKUP("O3",$R$63:$T$91,3,FALSE)+VLOOKUP("CP",$R$63:$T$91,3,FALSE),0)+IF(AND($Y50&lt;&gt;"",$Y50&lt;&gt;"--",$Y50&lt;&gt;"O3/CP",$Y$14=A$18),IF(LEFT($Y50,1)="P",VLOOKUP(CONCATENATE(LEFT($Y50,2),"H"),$R$63:$T$91,3,FALSE),VLOOKUP($Y50,$R$63:$T$91,3,FALSE)))+IF(AND($Y50&lt;&gt;"",$Y50&lt;&gt;"O3/CP",$Y$15=A$18,MID($Y50,4,1)="2",$Y$15&lt;&gt;$Y$14),VLOOKUP(CONCATENATE(LEFT($Y50,2),"L"),$R$63:$T$91,3,FALSE),0)+IF(AND($Y50="O3/CP",$Y$14=A$18),VLOOKUP("O3",$R$63:$T$91,3,FALSE)+VLOOKUP("CP",$R$63:$T$91,3,FALSE),0)+IF(AND($K$6="CE",'[3]Supply Attribution'!$G$20=A$18),LEFT($S$90,2),0)+IF(AND($X$86&lt;&gt;"Not Set",$X$87=A$18),$X$86,0)</f>
        <v>0</v>
      </c>
      <c r="B50" s="269">
        <f>IF(AND($K50&lt;&gt;"",$K50&lt;&gt;"--",$K50&lt;&gt;"O3/CP",$K$14=B$18),IF(LEFT($K50,1)="P",VLOOKUP(CONCATENATE(LEFT($K50,2),"H"),$R$63:$T$91,3,FALSE),VLOOKUP($K50,$R$63:$T$91,3,FALSE)))+IF(AND($K50&lt;&gt;"",$K50&lt;&gt;"O3/CP",$K$15=B$18,MID($K50,4,1)="2",$K$15&lt;&gt;$K$14),VLOOKUP(CONCATENATE(LEFT($K50,2),"L"),$R$63:$T$91,3,FALSE),0)+IF(AND($K50="O3/CP",$K$14=B$18),VLOOKUP("O3",$R$63:$T$91,3,FALSE)+VLOOKUP("CP",$R$63:$T$91,3,FALSE),0)+IF(AND($L50&lt;&gt;"",$L50&lt;&gt;"--",$L50&lt;&gt;"O3/CP",$L$14=B$18),IF(LEFT($L50,1)="P",VLOOKUP(CONCATENATE(LEFT($L50,2),"H"),$R$63:$T$91,3,FALSE),VLOOKUP($L50,$R$63:$T$91,3,FALSE)))+IF(AND($L50&lt;&gt;"",$L50&lt;&gt;"O3/CP",$L$15=B$18,MID($L50,4,1)="2",$L$15&lt;&gt;$L$14),VLOOKUP(CONCATENATE(LEFT($L50,2),"L"),$R$63:$T$91,3,FALSE),0)+IF(AND($L50="O3/CP",$L$14=B$18),VLOOKUP("O3",$R$63:$T$91,3,FALSE)+VLOOKUP("CP",$R$63:$T$91,3,FALSE),0)+IF(AND($M50&lt;&gt;"",$M50&lt;&gt;"--",$M50&lt;&gt;"O3/CP",$M$14=B$18),IF(LEFT($M50,1)="P",VLOOKUP(CONCATENATE(LEFT($M50,2),"H"),$R$63:$T$91,3,FALSE),VLOOKUP($M50,$R$63:$T$91,3,FALSE)))+IF(AND($M50&lt;&gt;"",$M50&lt;&gt;"O3/CP",$M$15=B$18,MID($M50,4,1)="2",$M$15&lt;&gt;$M$14),VLOOKUP(CONCATENATE(LEFT($M50,2),"L"),$R$63:$T$91,3,FALSE),0)+IF(AND($M50="O3/CP",$M$14=B$18),VLOOKUP("O3",$R$63:$T$91,3,FALSE)+VLOOKUP("CP",$R$63:$T$91,3,FALSE),0)+IF(AND($N50&lt;&gt;"",$N50&lt;&gt;"--",$N50&lt;&gt;"O3/CP",$N$14=B$18),IF(LEFT($N50,1)="P",VLOOKUP(CONCATENATE(LEFT($N50,2),"H"),$R$63:$T$91,3,FALSE),VLOOKUP($N50,$R$63:$T$91,3,FALSE)))+IF(AND($N50&lt;&gt;"",$N50&lt;&gt;"O3/CP",$N$15=B$18,MID($N50,4,1)="2",$N$15&lt;&gt;$N$14),VLOOKUP(CONCATENATE(LEFT($N50,2),"L"),$R$63:$T$91,3,FALSE),0)+IF(AND($N50="O3/CP",$N$14=B$18),VLOOKUP("O3",$R$63:$T$91,3,FALSE)+VLOOKUP("CP",$R$63:$T$91,3,FALSE),0)+IF(AND($O50&lt;&gt;"",$O50&lt;&gt;"--",$O50&lt;&gt;"O3/CP",$O$14=B$18),IF(LEFT($O50,1)="P",VLOOKUP(CONCATENATE(LEFT($O50,2),"H"),$R$63:$T$91,3,FALSE),VLOOKUP($O50,$R$63:$T$91,3,FALSE)))+IF(AND($O50&lt;&gt;"",$O50&lt;&gt;"O3/CP",$O$15=B$18,MID($O50,4,1)="2",$O$15&lt;&gt;$O$14),VLOOKUP(CONCATENATE(LEFT($O50,2),"L"),$R$63:$T$91,3,FALSE),0)+IF(AND($O50="O3/CP",$O$14=B$18),VLOOKUP("O3",$R$63:$T$91,3,FALSE)+VLOOKUP("CP",$R$63:$T$91,3,FALSE),0)+IF(AND($P50&lt;&gt;"",$P50&lt;&gt;"--",$P50&lt;&gt;"O3/CP",$P$14=B$18),IF(LEFT($P50,1)="P",VLOOKUP(CONCATENATE(LEFT($P50,2),"H"),$R$63:$T$91,3,FALSE),VLOOKUP($P50,$R$63:$T$91,3,FALSE)))+IF(AND($P50&lt;&gt;"",$P50&lt;&gt;"O3/CP",$P$15=B$18,MID($P50,4,1)="2",$P$15&lt;&gt;$P$14),VLOOKUP(CONCATENATE(LEFT($P50,2),"L"),$R$63:$T$91,3,FALSE),0)+IF(AND($P50="O3/CP",$P$14=B$18),VLOOKUP("O3",$R$63:$T$91,3,FALSE)+VLOOKUP("CP",$R$63:$T$91,3,FALSE),0)+IF(AND($Q50&lt;&gt;"",$Q50&lt;&gt;"--",$Q50&lt;&gt;"O3/CP",$Q$14=B$18),IF(LEFT($Q50,1)="P",VLOOKUP(CONCATENATE(LEFT($Q50,2),"H"),$R$63:$T$91,3,FALSE),VLOOKUP($Q50,$R$63:$T$91,3,FALSE)))+IF(AND($Q50&lt;&gt;"",$Q50&lt;&gt;"O3/CP",$Q$15=B$18,MID($Q50,4,1)="2",$Q$15&lt;&gt;$Q$14),VLOOKUP(CONCATENATE(LEFT($Q50,2),"L"),$R$63:$T$91,3,FALSE),0)+IF(AND($Q50="O3/CP",$Q$14=B$18),VLOOKUP("O3",$R$63:$T$91,3,FALSE)+VLOOKUP("CP",$R$63:$T$91,3,FALSE),0)+IF(AND($R50&lt;&gt;"",$R50&lt;&gt;"--",$R50&lt;&gt;"O3/CP",$R$14=B$18),IF(LEFT($R50,1)="P",VLOOKUP(CONCATENATE(LEFT($R50,2),"H"),$R$63:$T$91,3,FALSE),VLOOKUP($R50,$R$63:$T$91,3,FALSE)))+IF(AND($R50&lt;&gt;"",$R50&lt;&gt;"O3/CP",$R$15=B$18,MID($R50,4,1)="2",$R$15&lt;&gt;$R$14),VLOOKUP(CONCATENATE(LEFT($R50,2),"L"),$R$63:$T$91,3,FALSE),0)+IF(AND($R50="O3/CP",$R$14=B$18),VLOOKUP("O3",$R$63:$T$91,3,FALSE)+VLOOKUP("CP",$R$63:$T$91,3,FALSE),0)+IF(AND($S50&lt;&gt;"",$S50&lt;&gt;"--",$S50&lt;&gt;"O3/CP",$S$14=B$18),IF(LEFT($S50,1)="P",VLOOKUP(CONCATENATE(LEFT($S50,2),"H"),$R$63:$T$91,3,FALSE),VLOOKUP($S50,$R$63:$T$91,3,FALSE)))+IF(AND($S50&lt;&gt;"",$S50&lt;&gt;"O3/CP",$S$15=B$18,MID($S50,4,1)="2",$S$15&lt;&gt;$S$14),VLOOKUP(CONCATENATE(LEFT($S50,2),"L"),$R$63:$T$91,3,FALSE),0)+IF(AND($S50="O3/CP",$S$14=B$18),VLOOKUP("O3",$R$63:$T$91,3,FALSE)+VLOOKUP("CP",$R$63:$T$91,3,FALSE),0)+IF(AND($T50&lt;&gt;"",$T50&lt;&gt;"--",$T50&lt;&gt;"O3/CP",$T$14=B$18),IF(LEFT($T50,1)="P",VLOOKUP(CONCATENATE(LEFT($T50,2),"H"),$R$63:$T$91,3,FALSE),VLOOKUP($T50,$R$63:$T$91,3,FALSE)))+IF(AND($T50&lt;&gt;"",$T50&lt;&gt;"O3/CP",$T$15=B$18,MID($T50,4,1)="2",$T$15&lt;&gt;$T$14),VLOOKUP(CONCATENATE(LEFT($T50,2),"L"),$R$63:$T$91,3,FALSE),0)+IF(AND($T50="O3/CP",$T$14=B$18),VLOOKUP("O3",$R$63:$T$91,3,FALSE)+VLOOKUP("CP",$R$63:$T$91,3,FALSE),0)+IF(AND($U50&lt;&gt;"",$U50&lt;&gt;"--",$U50&lt;&gt;"O3/CP",$U$14=B$18),IF(LEFT($U50,1)="P",VLOOKUP(CONCATENATE(LEFT($U50,2),"H"),$R$63:$T$91,3,FALSE),VLOOKUP($U50,$R$63:$T$91,3,FALSE)))+IF(AND($U50&lt;&gt;"",$U50&lt;&gt;"O3/CP",$U$15=B$18,MID($U50,4,1)="2",$U$15&lt;&gt;$U$14),VLOOKUP(CONCATENATE(LEFT($U50,2),"L"),$R$63:$T$91,3,FALSE),0)+IF(AND($U50="O3/CP",$T$14=B$18),VLOOKUP("O3",$R$63:$T$91,3,FALSE)+VLOOKUP("CP",$R$63:$T$91,3,FALSE),0)+IF(AND($V50&lt;&gt;"",$V50&lt;&gt;"--",$V50&lt;&gt;"O3/CP",$V$14=B$18),IF(LEFT($V50,1)="P",VLOOKUP(CONCATENATE(LEFT($V50,2),"H"),$R$63:$T$91,3,FALSE),VLOOKUP($V50,$R$63:$T$91,3,FALSE)))+IF(AND($V50&lt;&gt;"",$V50&lt;&gt;"O3/CP",$V$15=B$18,MID($V50,4,1)="2",$V$15&lt;&gt;$V$14),VLOOKUP(CONCATENATE(LEFT($V50,2),"L"),$R$63:$T$91,3,FALSE),0)+IF(AND($V50="O3/CP",$V$14=B$18),VLOOKUP("O3",$R$63:$T$91,3,FALSE)+VLOOKUP("CP",$R$63:$T$91,3,FALSE),0)+IF(AND($W50&lt;&gt;"",$W50&lt;&gt;"--",$W50&lt;&gt;"O3/CP",$W$14=B$18),IF(LEFT($W50,1)="P",VLOOKUP(CONCATENATE(LEFT($W50,2),"H"),$R$63:$T$91,3,FALSE),VLOOKUP($W50,$R$63:$T$91,3,FALSE)))+IF(AND($W50&lt;&gt;"",$W50&lt;&gt;"O3/CP",$W$15=B$18,MID($W50,4,1)="2",$W$15&lt;&gt;$W$14),VLOOKUP(CONCATENATE(LEFT($W50,2),"L"),$R$63:$T$91,3,FALSE),0)+IF(AND($W50="O3/CP",$W$14=B$18),VLOOKUP("O3",$R$63:$T$91,3,FALSE)+VLOOKUP("CP",$R$63:$T$91,3,FALSE),0)+IF(AND($X50&lt;&gt;"",$X50&lt;&gt;"--",$X50&lt;&gt;"O3/CP",$X$14=B$18),IF(LEFT($X50,1)="P",VLOOKUP(CONCATENATE(LEFT($X50,2),"H"),$R$63:$T$91,3,FALSE),VLOOKUP($X50,$R$63:$T$91,3,FALSE)))+IF(AND($X50&lt;&gt;"",$X50&lt;&gt;"O3/CP",$X$15=B$18,MID($X50,4,1)="2",$X$15&lt;&gt;$X$14),VLOOKUP(CONCATENATE(LEFT($X50,2),"L"),$R$63:$T$91,3,FALSE),0)+IF(AND($X50="O3/CP",$X$14=B$18),VLOOKUP("O3",$R$63:$T$91,3,FALSE)+VLOOKUP("CP",$R$63:$T$91,3,FALSE),0)+IF(AND($Y50&lt;&gt;"",$Y50&lt;&gt;"--",$Y50&lt;&gt;"O3/CP",$Y$14=B$18),IF(LEFT($Y50,1)="P",VLOOKUP(CONCATENATE(LEFT($Y50,2),"H"),$R$63:$T$91,3,FALSE),VLOOKUP($Y50,$R$63:$T$91,3,FALSE)))+IF(AND($Y50&lt;&gt;"",$Y50&lt;&gt;"O3/CP",$Y$15=B$18,MID($Y50,4,1)="2",$Y$15&lt;&gt;$Y$14),VLOOKUP(CONCATENATE(LEFT($Y50,2),"L"),$R$63:$T$91,3,FALSE),0)+IF(AND($Y50="O3/CP",$Y$14=B$18),VLOOKUP("O3",$R$63:$T$91,3,FALSE)+VLOOKUP("CP",$R$63:$T$91,3,FALSE),0)+IF(AND($K$6="CE",'[3]Supply Attribution'!$G$20=B$18),LEFT($S$90,2),0)+IF(AND($X$86&lt;&gt;"Not Set",$X$87=B$18),$X$86,0)</f>
        <v>0</v>
      </c>
      <c r="C50" s="269">
        <f>IF(AND($K50&lt;&gt;"",$K50&lt;&gt;"--",$K50&lt;&gt;"O3/CP",$K$14=C$18),IF(LEFT($K50,1)="P",VLOOKUP(CONCATENATE(LEFT($K50,2),"H"),$R$63:$T$91,3,FALSE),VLOOKUP($K50,$R$63:$T$91,3,FALSE)))+IF(AND($K50&lt;&gt;"",$K50&lt;&gt;"O3/CP",$K$15=C$18,MID($K50,4,1)="2",$K$15&lt;&gt;$K$14),VLOOKUP(CONCATENATE(LEFT($K50,2),"L"),$R$63:$T$91,3,FALSE),0)+IF(AND($K50="O3/CP",$K$14=C$18),VLOOKUP("O3",$R$63:$T$91,3,FALSE)+VLOOKUP("CP",$R$63:$T$91,3,FALSE),0)+IF(AND($L50&lt;&gt;"",$L50&lt;&gt;"--",$L50&lt;&gt;"O3/CP",$L$14=C$18),IF(LEFT($L50,1)="P",VLOOKUP(CONCATENATE(LEFT($L50,2),"H"),$R$63:$T$91,3,FALSE),VLOOKUP($L50,$R$63:$T$91,3,FALSE)))+IF(AND($L50&lt;&gt;"",$L50&lt;&gt;"O3/CP",$L$15=C$18,MID($L50,4,1)="2",$L$15&lt;&gt;$L$14),VLOOKUP(CONCATENATE(LEFT($L50,2),"L"),$R$63:$T$91,3,FALSE),0)+IF(AND($L50="O3/CP",$L$14=C$18),VLOOKUP("O3",$R$63:$T$91,3,FALSE)+VLOOKUP("CP",$R$63:$T$91,3,FALSE),0)+IF(AND($M50&lt;&gt;"",$M50&lt;&gt;"--",$M50&lt;&gt;"O3/CP",$M$14=C$18),IF(LEFT($M50,1)="P",VLOOKUP(CONCATENATE(LEFT($M50,2),"H"),$R$63:$T$91,3,FALSE),VLOOKUP($M50,$R$63:$T$91,3,FALSE)))+IF(AND($M50&lt;&gt;"",$M50&lt;&gt;"O3/CP",$M$15=C$18,MID($M50,4,1)="2",$M$15&lt;&gt;$M$14),VLOOKUP(CONCATENATE(LEFT($M50,2),"L"),$R$63:$T$91,3,FALSE),0)+IF(AND($M50="O3/CP",$M$14=C$18),VLOOKUP("O3",$R$63:$T$91,3,FALSE)+VLOOKUP("CP",$R$63:$T$91,3,FALSE),0)+IF(AND($N50&lt;&gt;"",$N50&lt;&gt;"--",$N50&lt;&gt;"O3/CP",$N$14=C$18),IF(LEFT($N50,1)="P",VLOOKUP(CONCATENATE(LEFT($N50,2),"H"),$R$63:$T$91,3,FALSE),VLOOKUP($N50,$R$63:$T$91,3,FALSE)))+IF(AND($N50&lt;&gt;"",$N50&lt;&gt;"O3/CP",$N$15=C$18,MID($N50,4,1)="2",$N$15&lt;&gt;$N$14),VLOOKUP(CONCATENATE(LEFT($N50,2),"L"),$R$63:$T$91,3,FALSE),0)+IF(AND($N50="O3/CP",$N$14=C$18),VLOOKUP("O3",$R$63:$T$91,3,FALSE)+VLOOKUP("CP",$R$63:$T$91,3,FALSE),0)+IF(AND($O50&lt;&gt;"",$O50&lt;&gt;"--",$O50&lt;&gt;"O3/CP",$O$14=C$18),IF(LEFT($O50,1)="P",VLOOKUP(CONCATENATE(LEFT($O50,2),"H"),$R$63:$T$91,3,FALSE),VLOOKUP($O50,$R$63:$T$91,3,FALSE)))+IF(AND($O50&lt;&gt;"",$O50&lt;&gt;"O3/CP",$O$15=C$18,MID($O50,4,1)="2",$O$15&lt;&gt;$O$14),VLOOKUP(CONCATENATE(LEFT($O50,2),"L"),$R$63:$T$91,3,FALSE),0)+IF(AND($O50="O3/CP",$O$14=C$18),VLOOKUP("O3",$R$63:$T$91,3,FALSE)+VLOOKUP("CP",$R$63:$T$91,3,FALSE),0)+IF(AND($P50&lt;&gt;"",$P50&lt;&gt;"--",$P50&lt;&gt;"O3/CP",$P$14=C$18),IF(LEFT($P50,1)="P",VLOOKUP(CONCATENATE(LEFT($P50,2),"H"),$R$63:$T$91,3,FALSE),VLOOKUP($P50,$R$63:$T$91,3,FALSE)))+IF(AND($P50&lt;&gt;"",$P50&lt;&gt;"O3/CP",$P$15=C$18,MID($P50,4,1)="2",$P$15&lt;&gt;$P$14),VLOOKUP(CONCATENATE(LEFT($P50,2),"L"),$R$63:$T$91,3,FALSE),0)+IF(AND($P50="O3/CP",$P$14=C$18),VLOOKUP("O3",$R$63:$T$91,3,FALSE)+VLOOKUP("CP",$R$63:$T$91,3,FALSE),0)+IF(AND($Q50&lt;&gt;"",$Q50&lt;&gt;"--",$Q50&lt;&gt;"O3/CP",$Q$14=C$18),IF(LEFT($Q50,1)="P",VLOOKUP(CONCATENATE(LEFT($Q50,2),"H"),$R$63:$T$91,3,FALSE),VLOOKUP($Q50,$R$63:$T$91,3,FALSE)))+IF(AND($Q50&lt;&gt;"",$Q50&lt;&gt;"O3/CP",$Q$15=C$18,MID($Q50,4,1)="2",$Q$15&lt;&gt;$Q$14),VLOOKUP(CONCATENATE(LEFT($Q50,2),"L"),$R$63:$T$91,3,FALSE),0)+IF(AND($Q50="O3/CP",$Q$14=C$18),VLOOKUP("O3",$R$63:$T$91,3,FALSE)+VLOOKUP("CP",$R$63:$T$91,3,FALSE),0)+IF(AND($R50&lt;&gt;"",$R50&lt;&gt;"--",$R50&lt;&gt;"O3/CP",$R$14=C$18),IF(LEFT($R50,1)="P",VLOOKUP(CONCATENATE(LEFT($R50,2),"H"),$R$63:$T$91,3,FALSE),VLOOKUP($R50,$R$63:$T$91,3,FALSE)))+IF(AND($R50&lt;&gt;"",$R50&lt;&gt;"O3/CP",$R$15=C$18,MID($R50,4,1)="2",$R$15&lt;&gt;$R$14),VLOOKUP(CONCATENATE(LEFT($R50,2),"L"),$R$63:$T$91,3,FALSE),0)+IF(AND($R50="O3/CP",$R$14=C$18),VLOOKUP("O3",$R$63:$T$91,3,FALSE)+VLOOKUP("CP",$R$63:$T$91,3,FALSE),0)+IF(AND($S50&lt;&gt;"",$S50&lt;&gt;"--",$S50&lt;&gt;"O3/CP",$S$14=C$18),IF(LEFT($S50,1)="P",VLOOKUP(CONCATENATE(LEFT($S50,2),"H"),$R$63:$T$91,3,FALSE),VLOOKUP($S50,$R$63:$T$91,3,FALSE)))+IF(AND($S50&lt;&gt;"",$S50&lt;&gt;"O3/CP",$S$15=C$18,MID($S50,4,1)="2",$S$15&lt;&gt;$S$14),VLOOKUP(CONCATENATE(LEFT($S50,2),"L"),$R$63:$T$91,3,FALSE),0)+IF(AND($S50="O3/CP",$S$14=C$18),VLOOKUP("O3",$R$63:$T$91,3,FALSE)+VLOOKUP("CP",$R$63:$T$91,3,FALSE),0)+IF(AND($T50&lt;&gt;"",$T50&lt;&gt;"--",$T50&lt;&gt;"O3/CP",$T$14=C$18),IF(LEFT($T50,1)="P",VLOOKUP(CONCATENATE(LEFT($T50,2),"H"),$R$63:$T$91,3,FALSE),VLOOKUP($T50,$R$63:$T$91,3,FALSE)))+IF(AND($T50&lt;&gt;"",$T50&lt;&gt;"O3/CP",$T$15=C$18,MID($T50,4,1)="2",$T$15&lt;&gt;$T$14),VLOOKUP(CONCATENATE(LEFT($T50,2),"L"),$R$63:$T$91,3,FALSE),0)+IF(AND($T50="O3/CP",$T$14=C$18),VLOOKUP("O3",$R$63:$T$91,3,FALSE)+VLOOKUP("CP",$R$63:$T$91,3,FALSE),0)+IF(AND($U50&lt;&gt;"",$U50&lt;&gt;"--",$U50&lt;&gt;"O3/CP",$U$14=C$18),IF(LEFT($U50,1)="P",VLOOKUP(CONCATENATE(LEFT($U50,2),"H"),$R$63:$T$91,3,FALSE),VLOOKUP($U50,$R$63:$T$91,3,FALSE)))+IF(AND($U50&lt;&gt;"",$U50&lt;&gt;"O3/CP",$U$15=C$18,MID($U50,4,1)="2",$U$15&lt;&gt;$U$14),VLOOKUP(CONCATENATE(LEFT($U50,2),"L"),$R$63:$T$91,3,FALSE),0)+IF(AND($U50="O3/CP",$T$14=C$18),VLOOKUP("O3",$R$63:$T$91,3,FALSE)+VLOOKUP("CP",$R$63:$T$91,3,FALSE),0)+IF(AND($V50&lt;&gt;"",$V50&lt;&gt;"--",$V50&lt;&gt;"O3/CP",$V$14=C$18),IF(LEFT($V50,1)="P",VLOOKUP(CONCATENATE(LEFT($V50,2),"H"),$R$63:$T$91,3,FALSE),VLOOKUP($V50,$R$63:$T$91,3,FALSE)))+IF(AND($V50&lt;&gt;"",$V50&lt;&gt;"O3/CP",$V$15=C$18,MID($V50,4,1)="2",$V$15&lt;&gt;$V$14),VLOOKUP(CONCATENATE(LEFT($V50,2),"L"),$R$63:$T$91,3,FALSE),0)+IF(AND($V50="O3/CP",$V$14=C$18),VLOOKUP("O3",$R$63:$T$91,3,FALSE)+VLOOKUP("CP",$R$63:$T$91,3,FALSE),0)+IF(AND($W50&lt;&gt;"",$W50&lt;&gt;"--",$W50&lt;&gt;"O3/CP",$W$14=C$18),IF(LEFT($W50,1)="P",VLOOKUP(CONCATENATE(LEFT($W50,2),"H"),$R$63:$T$91,3,FALSE),VLOOKUP($W50,$R$63:$T$91,3,FALSE)))+IF(AND($W50&lt;&gt;"",$W50&lt;&gt;"O3/CP",$W$15=C$18,MID($W50,4,1)="2",$W$15&lt;&gt;$W$14),VLOOKUP(CONCATENATE(LEFT($W50,2),"L"),$R$63:$T$91,3,FALSE),0)+IF(AND($W50="O3/CP",$W$14=C$18),VLOOKUP("O3",$R$63:$T$91,3,FALSE)+VLOOKUP("CP",$R$63:$T$91,3,FALSE),0)+IF(AND($X50&lt;&gt;"",$X50&lt;&gt;"--",$X50&lt;&gt;"O3/CP",$X$14=C$18),IF(LEFT($X50,1)="P",VLOOKUP(CONCATENATE(LEFT($X50,2),"H"),$R$63:$T$91,3,FALSE),VLOOKUP($X50,$R$63:$T$91,3,FALSE)))+IF(AND($X50&lt;&gt;"",$X50&lt;&gt;"O3/CP",$X$15=C$18,MID($X50,4,1)="2",$X$15&lt;&gt;$X$14),VLOOKUP(CONCATENATE(LEFT($X50,2),"L"),$R$63:$T$91,3,FALSE),0)+IF(AND($X50="O3/CP",$X$14=C$18),VLOOKUP("O3",$R$63:$T$91,3,FALSE)+VLOOKUP("CP",$R$63:$T$91,3,FALSE),0)+IF(AND($Y50&lt;&gt;"",$Y50&lt;&gt;"--",$Y50&lt;&gt;"O3/CP",$Y$14=C$18),IF(LEFT($Y50,1)="P",VLOOKUP(CONCATENATE(LEFT($Y50,2),"H"),$R$63:$T$91,3,FALSE),VLOOKUP($Y50,$R$63:$T$91,3,FALSE)))+IF(AND($Y50&lt;&gt;"",$Y50&lt;&gt;"O3/CP",$Y$15=C$18,MID($Y50,4,1)="2",$Y$15&lt;&gt;$Y$14),VLOOKUP(CONCATENATE(LEFT($Y50,2),"L"),$R$63:$T$91,3,FALSE),0)+IF(AND($Y50="O3/CP",$Y$14=C$18),VLOOKUP("O3",$R$63:$T$91,3,FALSE)+VLOOKUP("CP",$R$63:$T$91,3,FALSE),0)+IF(AND($K$6="CE",'[3]Supply Attribution'!$G$20=C$18),LEFT($S$90,2),0)+IF(AND($X$86&lt;&gt;"Not Set",$X$87=C$18),$X$86,0)</f>
        <v>0</v>
      </c>
      <c r="D50" s="269">
        <f>IF(AND($K50&lt;&gt;"",$K50&lt;&gt;"--",$K50&lt;&gt;"O3/CP",$K$14=D$18),IF(LEFT($K50,1)="P",VLOOKUP(CONCATENATE(LEFT($K50,2),"H"),$R$63:$T$91,3,FALSE),VLOOKUP($K50,$R$63:$T$91,3,FALSE)))+IF(AND($K50&lt;&gt;"",$K50&lt;&gt;"O3/CP",$K$15=D$18,MID($K50,4,1)="2",$K$15&lt;&gt;$K$14),VLOOKUP(CONCATENATE(LEFT($K50,2),"L"),$R$63:$T$91,3,FALSE),0)+IF(AND($K50="O3/CP",$K$14=D$18),VLOOKUP("O3",$R$63:$T$91,3,FALSE)+VLOOKUP("CP",$R$63:$T$91,3,FALSE),0)+IF(AND($L50&lt;&gt;"",$L50&lt;&gt;"--",$L50&lt;&gt;"O3/CP",$L$14=D$18),IF(LEFT($L50,1)="P",VLOOKUP(CONCATENATE(LEFT($L50,2),"H"),$R$63:$T$91,3,FALSE),VLOOKUP($L50,$R$63:$T$91,3,FALSE)))+IF(AND($L50&lt;&gt;"",$L50&lt;&gt;"O3/CP",$L$15=D$18,MID($L50,4,1)="2",$L$15&lt;&gt;$L$14),VLOOKUP(CONCATENATE(LEFT($L50,2),"L"),$R$63:$T$91,3,FALSE),0)+IF(AND($L50="O3/CP",$L$14=D$18),VLOOKUP("O3",$R$63:$T$91,3,FALSE)+VLOOKUP("CP",$R$63:$T$91,3,FALSE),0)+IF(AND($M50&lt;&gt;"",$M50&lt;&gt;"--",$M50&lt;&gt;"O3/CP",$M$14=D$18),IF(LEFT($M50,1)="P",VLOOKUP(CONCATENATE(LEFT($M50,2),"H"),$R$63:$T$91,3,FALSE),VLOOKUP($M50,$R$63:$T$91,3,FALSE)))+IF(AND($M50&lt;&gt;"",$M50&lt;&gt;"O3/CP",$M$15=D$18,MID($M50,4,1)="2",$M$15&lt;&gt;$M$14),VLOOKUP(CONCATENATE(LEFT($M50,2),"L"),$R$63:$T$91,3,FALSE),0)+IF(AND($M50="O3/CP",$M$14=D$18),VLOOKUP("O3",$R$63:$T$91,3,FALSE)+VLOOKUP("CP",$R$63:$T$91,3,FALSE),0)+IF(AND($N50&lt;&gt;"",$N50&lt;&gt;"--",$N50&lt;&gt;"O3/CP",$N$14=D$18),IF(LEFT($N50,1)="P",VLOOKUP(CONCATENATE(LEFT($N50,2),"H"),$R$63:$T$91,3,FALSE),VLOOKUP($N50,$R$63:$T$91,3,FALSE)))+IF(AND($N50&lt;&gt;"",$N50&lt;&gt;"O3/CP",$N$15=D$18,MID($N50,4,1)="2",$N$15&lt;&gt;$N$14),VLOOKUP(CONCATENATE(LEFT($N50,2),"L"),$R$63:$T$91,3,FALSE),0)+IF(AND($N50="O3/CP",$N$14=D$18),VLOOKUP("O3",$R$63:$T$91,3,FALSE)+VLOOKUP("CP",$R$63:$T$91,3,FALSE),0)+IF(AND($O50&lt;&gt;"",$O50&lt;&gt;"--",$O50&lt;&gt;"O3/CP",$O$14=D$18),IF(LEFT($O50,1)="P",VLOOKUP(CONCATENATE(LEFT($O50,2),"H"),$R$63:$T$91,3,FALSE),VLOOKUP($O50,$R$63:$T$91,3,FALSE)))+IF(AND($O50&lt;&gt;"",$O50&lt;&gt;"O3/CP",$O$15=D$18,MID($O50,4,1)="2",$O$15&lt;&gt;$O$14),VLOOKUP(CONCATENATE(LEFT($O50,2),"L"),$R$63:$T$91,3,FALSE),0)+IF(AND($O50="O3/CP",$O$14=D$18),VLOOKUP("O3",$R$63:$T$91,3,FALSE)+VLOOKUP("CP",$R$63:$T$91,3,FALSE),0)+IF(AND($P50&lt;&gt;"",$P50&lt;&gt;"--",$P50&lt;&gt;"O3/CP",$P$14=D$18),IF(LEFT($P50,1)="P",VLOOKUP(CONCATENATE(LEFT($P50,2),"H"),$R$63:$T$91,3,FALSE),VLOOKUP($P50,$R$63:$T$91,3,FALSE)))+IF(AND($P50&lt;&gt;"",$P50&lt;&gt;"O3/CP",$P$15=D$18,MID($P50,4,1)="2",$P$15&lt;&gt;$P$14),VLOOKUP(CONCATENATE(LEFT($P50,2),"L"),$R$63:$T$91,3,FALSE),0)+IF(AND($P50="O3/CP",$P$14=D$18),VLOOKUP("O3",$R$63:$T$91,3,FALSE)+VLOOKUP("CP",$R$63:$T$91,3,FALSE),0)+IF(AND($Q50&lt;&gt;"",$Q50&lt;&gt;"--",$Q50&lt;&gt;"O3/CP",$Q$14=D$18),IF(LEFT($Q50,1)="P",VLOOKUP(CONCATENATE(LEFT($Q50,2),"H"),$R$63:$T$91,3,FALSE),VLOOKUP($Q50,$R$63:$T$91,3,FALSE)))+IF(AND($Q50&lt;&gt;"",$Q50&lt;&gt;"O3/CP",$Q$15=D$18,MID($Q50,4,1)="2",$Q$15&lt;&gt;$Q$14),VLOOKUP(CONCATENATE(LEFT($Q50,2),"L"),$R$63:$T$91,3,FALSE),0)+IF(AND($Q50="O3/CP",$Q$14=D$18),VLOOKUP("O3",$R$63:$T$91,3,FALSE)+VLOOKUP("CP",$R$63:$T$91,3,FALSE),0)+IF(AND($R50&lt;&gt;"",$R50&lt;&gt;"--",$R50&lt;&gt;"O3/CP",$R$14=D$18),IF(LEFT($R50,1)="P",VLOOKUP(CONCATENATE(LEFT($R50,2),"H"),$R$63:$T$91,3,FALSE),VLOOKUP($R50,$R$63:$T$91,3,FALSE)))+IF(AND($R50&lt;&gt;"",$R50&lt;&gt;"O3/CP",$R$15=D$18,MID($R50,4,1)="2",$R$15&lt;&gt;$R$14),VLOOKUP(CONCATENATE(LEFT($R50,2),"L"),$R$63:$T$91,3,FALSE),0)+IF(AND($R50="O3/CP",$R$14=D$18),VLOOKUP("O3",$R$63:$T$91,3,FALSE)+VLOOKUP("CP",$R$63:$T$91,3,FALSE),0)+IF(AND($S50&lt;&gt;"",$S50&lt;&gt;"--",$S50&lt;&gt;"O3/CP",$S$14=D$18),IF(LEFT($S50,1)="P",VLOOKUP(CONCATENATE(LEFT($S50,2),"H"),$R$63:$T$91,3,FALSE),VLOOKUP($S50,$R$63:$T$91,3,FALSE)))+IF(AND($S50&lt;&gt;"",$S50&lt;&gt;"O3/CP",$S$15=D$18,MID($S50,4,1)="2",$S$15&lt;&gt;$S$14),VLOOKUP(CONCATENATE(LEFT($S50,2),"L"),$R$63:$T$91,3,FALSE),0)+IF(AND($S50="O3/CP",$S$14=D$18),VLOOKUP("O3",$R$63:$T$91,3,FALSE)+VLOOKUP("CP",$R$63:$T$91,3,FALSE),0)+IF(AND($T50&lt;&gt;"",$T50&lt;&gt;"--",$T50&lt;&gt;"O3/CP",$T$14=D$18),IF(LEFT($T50,1)="P",VLOOKUP(CONCATENATE(LEFT($T50,2),"H"),$R$63:$T$91,3,FALSE),VLOOKUP($T50,$R$63:$T$91,3,FALSE)))+IF(AND($T50&lt;&gt;"",$T50&lt;&gt;"O3/CP",$T$15=D$18,MID($T50,4,1)="2",$T$15&lt;&gt;$T$14),VLOOKUP(CONCATENATE(LEFT($T50,2),"L"),$R$63:$T$91,3,FALSE),0)+IF(AND($T50="O3/CP",$T$14=D$18),VLOOKUP("O3",$R$63:$T$91,3,FALSE)+VLOOKUP("CP",$R$63:$T$91,3,FALSE),0)+IF(AND($U50&lt;&gt;"",$U50&lt;&gt;"--",$U50&lt;&gt;"O3/CP",$U$14=D$18),IF(LEFT($U50,1)="P",VLOOKUP(CONCATENATE(LEFT($U50,2),"H"),$R$63:$T$91,3,FALSE),VLOOKUP($U50,$R$63:$T$91,3,FALSE)))+IF(AND($U50&lt;&gt;"",$U50&lt;&gt;"O3/CP",$U$15=D$18,MID($U50,4,1)="2",$U$15&lt;&gt;$U$14),VLOOKUP(CONCATENATE(LEFT($U50,2),"L"),$R$63:$T$91,3,FALSE),0)+IF(AND($U50="O3/CP",$T$14=D$18),VLOOKUP("O3",$R$63:$T$91,3,FALSE)+VLOOKUP("CP",$R$63:$T$91,3,FALSE),0)+IF(AND($V50&lt;&gt;"",$V50&lt;&gt;"--",$V50&lt;&gt;"O3/CP",$V$14=D$18),IF(LEFT($V50,1)="P",VLOOKUP(CONCATENATE(LEFT($V50,2),"H"),$R$63:$T$91,3,FALSE),VLOOKUP($V50,$R$63:$T$91,3,FALSE)))+IF(AND($V50&lt;&gt;"",$V50&lt;&gt;"O3/CP",$V$15=D$18,MID($V50,4,1)="2",$V$15&lt;&gt;$V$14),VLOOKUP(CONCATENATE(LEFT($V50,2),"L"),$R$63:$T$91,3,FALSE),0)+IF(AND($V50="O3/CP",$V$14=D$18),VLOOKUP("O3",$R$63:$T$91,3,FALSE)+VLOOKUP("CP",$R$63:$T$91,3,FALSE),0)+IF(AND($W50&lt;&gt;"",$W50&lt;&gt;"--",$W50&lt;&gt;"O3/CP",$W$14=D$18),IF(LEFT($W50,1)="P",VLOOKUP(CONCATENATE(LEFT($W50,2),"H"),$R$63:$T$91,3,FALSE),VLOOKUP($W50,$R$63:$T$91,3,FALSE)))+IF(AND($W50&lt;&gt;"",$W50&lt;&gt;"O3/CP",$W$15=D$18,MID($W50,4,1)="2",$W$15&lt;&gt;$W$14),VLOOKUP(CONCATENATE(LEFT($W50,2),"L"),$R$63:$T$91,3,FALSE),0)+IF(AND($W50="O3/CP",$W$14=D$18),VLOOKUP("O3",$R$63:$T$91,3,FALSE)+VLOOKUP("CP",$R$63:$T$91,3,FALSE),0)+IF(AND($X50&lt;&gt;"",$X50&lt;&gt;"--",$X50&lt;&gt;"O3/CP",$X$14=D$18),IF(LEFT($X50,1)="P",VLOOKUP(CONCATENATE(LEFT($X50,2),"H"),$R$63:$T$91,3,FALSE),VLOOKUP($X50,$R$63:$T$91,3,FALSE)))+IF(AND($X50&lt;&gt;"",$X50&lt;&gt;"O3/CP",$X$15=D$18,MID($X50,4,1)="2",$X$15&lt;&gt;$X$14),VLOOKUP(CONCATENATE(LEFT($X50,2),"L"),$R$63:$T$91,3,FALSE),0)+IF(AND($X50="O3/CP",$X$14=D$18),VLOOKUP("O3",$R$63:$T$91,3,FALSE)+VLOOKUP("CP",$R$63:$T$91,3,FALSE),0)+IF(AND($Y50&lt;&gt;"",$Y50&lt;&gt;"--",$Y50&lt;&gt;"O3/CP",$Y$14=D$18),IF(LEFT($Y50,1)="P",VLOOKUP(CONCATENATE(LEFT($Y50,2),"H"),$R$63:$T$91,3,FALSE),VLOOKUP($Y50,$R$63:$T$91,3,FALSE)))+IF(AND($Y50&lt;&gt;"",$Y50&lt;&gt;"O3/CP",$Y$15=D$18,MID($Y50,4,1)="2",$Y$15&lt;&gt;$Y$14),VLOOKUP(CONCATENATE(LEFT($Y50,2),"L"),$R$63:$T$91,3,FALSE),0)+IF(AND($Y50="O3/CP",$Y$14=D$18),VLOOKUP("O3",$R$63:$T$91,3,FALSE)+VLOOKUP("CP",$R$63:$T$91,3,FALSE),0)+IF(AND($K$6="CE",'[3]Supply Attribution'!$G$20=D$18),LEFT($S$90,2),0)+IF(AND($X$86&lt;&gt;"Not Set",$X$87=D$18),$X$86,0)</f>
        <v>0</v>
      </c>
      <c r="E50" s="269">
        <f>IF(AND($K50&lt;&gt;"",$K50&lt;&gt;"--",$K50&lt;&gt;"O3/CP",$K$14=E$18),IF(LEFT($K50,1)="P",VLOOKUP(CONCATENATE(LEFT($K50,2),"H"),$R$63:$T$91,3,FALSE),VLOOKUP($K50,$R$63:$T$91,3,FALSE)))+IF(AND($K50&lt;&gt;"",$K50&lt;&gt;"O3/CP",$K$15=E$18,MID($K50,4,1)="2",$K$15&lt;&gt;$K$14),VLOOKUP(CONCATENATE(LEFT($K50,2),"L"),$R$63:$T$91,3,FALSE),0)+IF(AND($K50="O3/CP",$K$14=E$18),VLOOKUP("O3",$R$63:$T$91,3,FALSE)+VLOOKUP("CP",$R$63:$T$91,3,FALSE),0)+IF(AND($L50&lt;&gt;"",$L50&lt;&gt;"--",$L50&lt;&gt;"O3/CP",$L$14=E$18),IF(LEFT($L50,1)="P",VLOOKUP(CONCATENATE(LEFT($L50,2),"H"),$R$63:$T$91,3,FALSE),VLOOKUP($L50,$R$63:$T$91,3,FALSE)))+IF(AND($L50&lt;&gt;"",$L50&lt;&gt;"O3/CP",$L$15=E$18,MID($L50,4,1)="2",$L$15&lt;&gt;$L$14),VLOOKUP(CONCATENATE(LEFT($L50,2),"L"),$R$63:$T$91,3,FALSE),0)+IF(AND($L50="O3/CP",$L$14=E$18),VLOOKUP("O3",$R$63:$T$91,3,FALSE)+VLOOKUP("CP",$R$63:$T$91,3,FALSE),0)+IF(AND($M50&lt;&gt;"",$M50&lt;&gt;"--",$M50&lt;&gt;"O3/CP",$M$14=E$18),IF(LEFT($M50,1)="P",VLOOKUP(CONCATENATE(LEFT($M50,2),"H"),$R$63:$T$91,3,FALSE),VLOOKUP($M50,$R$63:$T$91,3,FALSE)))+IF(AND($M50&lt;&gt;"",$M50&lt;&gt;"O3/CP",$M$15=E$18,MID($M50,4,1)="2",$M$15&lt;&gt;$M$14),VLOOKUP(CONCATENATE(LEFT($M50,2),"L"),$R$63:$T$91,3,FALSE),0)+IF(AND($M50="O3/CP",$M$14=E$18),VLOOKUP("O3",$R$63:$T$91,3,FALSE)+VLOOKUP("CP",$R$63:$T$91,3,FALSE),0)+IF(AND($N50&lt;&gt;"",$N50&lt;&gt;"--",$N50&lt;&gt;"O3/CP",$N$14=E$18),IF(LEFT($N50,1)="P",VLOOKUP(CONCATENATE(LEFT($N50,2),"H"),$R$63:$T$91,3,FALSE),VLOOKUP($N50,$R$63:$T$91,3,FALSE)))+IF(AND($N50&lt;&gt;"",$N50&lt;&gt;"O3/CP",$N$15=E$18,MID($N50,4,1)="2",$N$15&lt;&gt;$N$14),VLOOKUP(CONCATENATE(LEFT($N50,2),"L"),$R$63:$T$91,3,FALSE),0)+IF(AND($N50="O3/CP",$N$14=E$18),VLOOKUP("O3",$R$63:$T$91,3,FALSE)+VLOOKUP("CP",$R$63:$T$91,3,FALSE),0)+IF(AND($O50&lt;&gt;"",$O50&lt;&gt;"--",$O50&lt;&gt;"O3/CP",$O$14=E$18),IF(LEFT($O50,1)="P",VLOOKUP(CONCATENATE(LEFT($O50,2),"H"),$R$63:$T$91,3,FALSE),VLOOKUP($O50,$R$63:$T$91,3,FALSE)))+IF(AND($O50&lt;&gt;"",$O50&lt;&gt;"O3/CP",$O$15=E$18,MID($O50,4,1)="2",$O$15&lt;&gt;$O$14),VLOOKUP(CONCATENATE(LEFT($O50,2),"L"),$R$63:$T$91,3,FALSE),0)+IF(AND($O50="O3/CP",$O$14=E$18),VLOOKUP("O3",$R$63:$T$91,3,FALSE)+VLOOKUP("CP",$R$63:$T$91,3,FALSE),0)+IF(AND($P50&lt;&gt;"",$P50&lt;&gt;"--",$P50&lt;&gt;"O3/CP",$P$14=E$18),IF(LEFT($P50,1)="P",VLOOKUP(CONCATENATE(LEFT($P50,2),"H"),$R$63:$T$91,3,FALSE),VLOOKUP($P50,$R$63:$T$91,3,FALSE)))+IF(AND($P50&lt;&gt;"",$P50&lt;&gt;"O3/CP",$P$15=E$18,MID($P50,4,1)="2",$P$15&lt;&gt;$P$14),VLOOKUP(CONCATENATE(LEFT($P50,2),"L"),$R$63:$T$91,3,FALSE),0)+IF(AND($P50="O3/CP",$P$14=E$18),VLOOKUP("O3",$R$63:$T$91,3,FALSE)+VLOOKUP("CP",$R$63:$T$91,3,FALSE),0)+IF(AND($Q50&lt;&gt;"",$Q50&lt;&gt;"--",$Q50&lt;&gt;"O3/CP",$Q$14=E$18),IF(LEFT($Q50,1)="P",VLOOKUP(CONCATENATE(LEFT($Q50,2),"H"),$R$63:$T$91,3,FALSE),VLOOKUP($Q50,$R$63:$T$91,3,FALSE)))+IF(AND($Q50&lt;&gt;"",$Q50&lt;&gt;"O3/CP",$Q$15=E$18,MID($Q50,4,1)="2",$Q$15&lt;&gt;$Q$14),VLOOKUP(CONCATENATE(LEFT($Q50,2),"L"),$R$63:$T$91,3,FALSE),0)+IF(AND($Q50="O3/CP",$Q$14=E$18),VLOOKUP("O3",$R$63:$T$91,3,FALSE)+VLOOKUP("CP",$R$63:$T$91,3,FALSE),0)+IF(AND($R50&lt;&gt;"",$R50&lt;&gt;"--",$R50&lt;&gt;"O3/CP",$R$14=E$18),IF(LEFT($R50,1)="P",VLOOKUP(CONCATENATE(LEFT($R50,2),"H"),$R$63:$T$91,3,FALSE),VLOOKUP($R50,$R$63:$T$91,3,FALSE)))+IF(AND($R50&lt;&gt;"",$R50&lt;&gt;"O3/CP",$R$15=E$18,MID($R50,4,1)="2",$R$15&lt;&gt;$R$14),VLOOKUP(CONCATENATE(LEFT($R50,2),"L"),$R$63:$T$91,3,FALSE),0)+IF(AND($R50="O3/CP",$R$14=E$18),VLOOKUP("O3",$R$63:$T$91,3,FALSE)+VLOOKUP("CP",$R$63:$T$91,3,FALSE),0)+IF(AND($S50&lt;&gt;"",$S50&lt;&gt;"--",$S50&lt;&gt;"O3/CP",$S$14=E$18),IF(LEFT($S50,1)="P",VLOOKUP(CONCATENATE(LEFT($S50,2),"H"),$R$63:$T$91,3,FALSE),VLOOKUP($S50,$R$63:$T$91,3,FALSE)))+IF(AND($S50&lt;&gt;"",$S50&lt;&gt;"O3/CP",$S$15=E$18,MID($S50,4,1)="2",$S$15&lt;&gt;$S$14),VLOOKUP(CONCATENATE(LEFT($S50,2),"L"),$R$63:$T$91,3,FALSE),0)+IF(AND($S50="O3/CP",$S$14=E$18),VLOOKUP("O3",$R$63:$T$91,3,FALSE)+VLOOKUP("CP",$R$63:$T$91,3,FALSE),0)+IF(AND($T50&lt;&gt;"",$T50&lt;&gt;"--",$T50&lt;&gt;"O3/CP",$T$14=E$18),IF(LEFT($T50,1)="P",VLOOKUP(CONCATENATE(LEFT($T50,2),"H"),$R$63:$T$91,3,FALSE),VLOOKUP($T50,$R$63:$T$91,3,FALSE)))+IF(AND($T50&lt;&gt;"",$T50&lt;&gt;"O3/CP",$T$15=E$18,MID($T50,4,1)="2",$T$15&lt;&gt;$T$14),VLOOKUP(CONCATENATE(LEFT($T50,2),"L"),$R$63:$T$91,3,FALSE),0)+IF(AND($T50="O3/CP",$T$14=E$18),VLOOKUP("O3",$R$63:$T$91,3,FALSE)+VLOOKUP("CP",$R$63:$T$91,3,FALSE),0)+IF(AND($U50&lt;&gt;"",$U50&lt;&gt;"--",$U50&lt;&gt;"O3/CP",$U$14=E$18),IF(LEFT($U50,1)="P",VLOOKUP(CONCATENATE(LEFT($U50,2),"H"),$R$63:$T$91,3,FALSE),VLOOKUP($U50,$R$63:$T$91,3,FALSE)))+IF(AND($U50&lt;&gt;"",$U50&lt;&gt;"O3/CP",$U$15=E$18,MID($U50,4,1)="2",$U$15&lt;&gt;$U$14),VLOOKUP(CONCATENATE(LEFT($U50,2),"L"),$R$63:$T$91,3,FALSE),0)+IF(AND($U50="O3/CP",$T$14=E$18),VLOOKUP("O3",$R$63:$T$91,3,FALSE)+VLOOKUP("CP",$R$63:$T$91,3,FALSE),0)+IF(AND($V50&lt;&gt;"",$V50&lt;&gt;"--",$V50&lt;&gt;"O3/CP",$V$14=E$18),IF(LEFT($V50,1)="P",VLOOKUP(CONCATENATE(LEFT($V50,2),"H"),$R$63:$T$91,3,FALSE),VLOOKUP($V50,$R$63:$T$91,3,FALSE)))+IF(AND($V50&lt;&gt;"",$V50&lt;&gt;"O3/CP",$V$15=E$18,MID($V50,4,1)="2",$V$15&lt;&gt;$V$14),VLOOKUP(CONCATENATE(LEFT($V50,2),"L"),$R$63:$T$91,3,FALSE),0)+IF(AND($V50="O3/CP",$V$14=E$18),VLOOKUP("O3",$R$63:$T$91,3,FALSE)+VLOOKUP("CP",$R$63:$T$91,3,FALSE),0)+IF(AND($W50&lt;&gt;"",$W50&lt;&gt;"--",$W50&lt;&gt;"O3/CP",$W$14=E$18),IF(LEFT($W50,1)="P",VLOOKUP(CONCATENATE(LEFT($W50,2),"H"),$R$63:$T$91,3,FALSE),VLOOKUP($W50,$R$63:$T$91,3,FALSE)))+IF(AND($W50&lt;&gt;"",$W50&lt;&gt;"O3/CP",$W$15=E$18,MID($W50,4,1)="2",$W$15&lt;&gt;$W$14),VLOOKUP(CONCATENATE(LEFT($W50,2),"L"),$R$63:$T$91,3,FALSE),0)+IF(AND($W50="O3/CP",$W$14=E$18),VLOOKUP("O3",$R$63:$T$91,3,FALSE)+VLOOKUP("CP",$R$63:$T$91,3,FALSE),0)+IF(AND($X50&lt;&gt;"",$X50&lt;&gt;"--",$X50&lt;&gt;"O3/CP",$X$14=E$18),IF(LEFT($X50,1)="P",VLOOKUP(CONCATENATE(LEFT($X50,2),"H"),$R$63:$T$91,3,FALSE),VLOOKUP($X50,$R$63:$T$91,3,FALSE)))+IF(AND($X50&lt;&gt;"",$X50&lt;&gt;"O3/CP",$X$15=E$18,MID($X50,4,1)="2",$X$15&lt;&gt;$X$14),VLOOKUP(CONCATENATE(LEFT($X50,2),"L"),$R$63:$T$91,3,FALSE),0)+IF(AND($X50="O3/CP",$X$14=E$18),VLOOKUP("O3",$R$63:$T$91,3,FALSE)+VLOOKUP("CP",$R$63:$T$91,3,FALSE),0)+IF(AND($Y50&lt;&gt;"",$Y50&lt;&gt;"--",$Y50&lt;&gt;"O3/CP",$Y$14=E$18),IF(LEFT($Y50,1)="P",VLOOKUP(CONCATENATE(LEFT($Y50,2),"H"),$R$63:$T$91,3,FALSE),VLOOKUP($Y50,$R$63:$T$91,3,FALSE)))+IF(AND($Y50&lt;&gt;"",$Y50&lt;&gt;"O3/CP",$Y$15=E$18,MID($Y50,4,1)="2",$Y$15&lt;&gt;$Y$14),VLOOKUP(CONCATENATE(LEFT($Y50,2),"L"),$R$63:$T$91,3,FALSE),0)+IF(AND($Y50="O3/CP",$Y$14=E$18),VLOOKUP("O3",$R$63:$T$91,3,FALSE)+VLOOKUP("CP",$R$63:$T$91,3,FALSE),0)+IF(AND($K$6="CE",'[3]Supply Attribution'!$G$20=E$18),LEFT($S$90,2),0)+IF(AND($X$86&lt;&gt;"Not Set",$X$87=E$18),$X$86,0)</f>
        <v>0</v>
      </c>
      <c r="F50" s="268">
        <f>IF(AND($K50&lt;&gt;"",$K50&lt;&gt;"--",$K50&lt;&gt;"O3/CP",$K$14=F$18),IF(LEFT($K50,1)="P",VLOOKUP(CONCATENATE(LEFT($K50,2),"H"),$R$63:$T$91,3,FALSE),VLOOKUP($K50,$R$63:$T$91,3,FALSE)))+IF(AND($K50&lt;&gt;"",$K50&lt;&gt;"O3/CP",$K$15=F$18,MID($K50,4,1)="2",$K$15&lt;&gt;$K$14),VLOOKUP(CONCATENATE(LEFT($K50,2),"L"),$R$63:$T$91,3,FALSE),0)+IF(AND($K50="O3/CP",$K$14=F$18),VLOOKUP("O3",$R$63:$T$91,3,FALSE)+VLOOKUP("CP",$R$63:$T$91,3,FALSE),0)+IF(AND($L50&lt;&gt;"",$L50&lt;&gt;"--",$L50&lt;&gt;"O3/CP",$L$14=F$18),IF(LEFT($L50,1)="P",VLOOKUP(CONCATENATE(LEFT($L50,2),"H"),$R$63:$T$91,3,FALSE),VLOOKUP($L50,$R$63:$T$91,3,FALSE)))+IF(AND($L50&lt;&gt;"",$L50&lt;&gt;"O3/CP",$L$15=F$18,MID($L50,4,1)="2",$L$15&lt;&gt;$L$14),VLOOKUP(CONCATENATE(LEFT($L50,2),"L"),$R$63:$T$91,3,FALSE),0)+IF(AND($L50="O3/CP",$L$14=F$18),VLOOKUP("O3",$R$63:$T$91,3,FALSE)+VLOOKUP("CP",$R$63:$T$91,3,FALSE),0)+IF(AND($M50&lt;&gt;"",$M50&lt;&gt;"--",$M50&lt;&gt;"O3/CP",$M$14=F$18),IF(LEFT($M50,1)="P",VLOOKUP(CONCATENATE(LEFT($M50,2),"H"),$R$63:$T$91,3,FALSE),VLOOKUP($M50,$R$63:$T$91,3,FALSE)))+IF(AND($M50&lt;&gt;"",$M50&lt;&gt;"O3/CP",$M$15=F$18,MID($M50,4,1)="2",$M$15&lt;&gt;$M$14),VLOOKUP(CONCATENATE(LEFT($M50,2),"L"),$R$63:$T$91,3,FALSE),0)+IF(AND($M50="O3/CP",$M$14=F$18),VLOOKUP("O3",$R$63:$T$91,3,FALSE)+VLOOKUP("CP",$R$63:$T$91,3,FALSE),0)+IF(AND($N50&lt;&gt;"",$N50&lt;&gt;"--",$N50&lt;&gt;"O3/CP",$N$14=F$18),IF(LEFT($N50,1)="P",VLOOKUP(CONCATENATE(LEFT($N50,2),"H"),$R$63:$T$91,3,FALSE),VLOOKUP($N50,$R$63:$T$91,3,FALSE)))+IF(AND($N50&lt;&gt;"",$N50&lt;&gt;"O3/CP",$N$15=F$18,MID($N50,4,1)="2",$N$15&lt;&gt;$N$14),VLOOKUP(CONCATENATE(LEFT($N50,2),"L"),$R$63:$T$91,3,FALSE),0)+IF(AND($N50="O3/CP",$N$14=F$18),VLOOKUP("O3",$R$63:$T$91,3,FALSE)+VLOOKUP("CP",$R$63:$T$91,3,FALSE),0)+IF(AND($O50&lt;&gt;"",$O50&lt;&gt;"--",$O50&lt;&gt;"O3/CP",$O$14=F$18),IF(LEFT($O50,1)="P",VLOOKUP(CONCATENATE(LEFT($O50,2),"H"),$R$63:$T$91,3,FALSE),VLOOKUP($O50,$R$63:$T$91,3,FALSE)))+IF(AND($O50&lt;&gt;"",$O50&lt;&gt;"O3/CP",$O$15=F$18,MID($O50,4,1)="2",$O$15&lt;&gt;$O$14),VLOOKUP(CONCATENATE(LEFT($O50,2),"L"),$R$63:$T$91,3,FALSE),0)+IF(AND($O50="O3/CP",$O$14=F$18),VLOOKUP("O3",$R$63:$T$91,3,FALSE)+VLOOKUP("CP",$R$63:$T$91,3,FALSE),0)+IF(AND($P50&lt;&gt;"",$P50&lt;&gt;"--",$P50&lt;&gt;"O3/CP",$P$14=F$18),IF(LEFT($P50,1)="P",VLOOKUP(CONCATENATE(LEFT($P50,2),"H"),$R$63:$T$91,3,FALSE),VLOOKUP($P50,$R$63:$T$91,3,FALSE)))+IF(AND($P50&lt;&gt;"",$P50&lt;&gt;"O3/CP",$P$15=F$18,MID($P50,4,1)="2",$P$15&lt;&gt;$P$14),VLOOKUP(CONCATENATE(LEFT($P50,2),"L"),$R$63:$T$91,3,FALSE),0)+IF(AND($P50="O3/CP",$P$14=F$18),VLOOKUP("O3",$R$63:$T$91,3,FALSE)+VLOOKUP("CP",$R$63:$T$91,3,FALSE),0)+IF(AND($Q50&lt;&gt;"",$Q50&lt;&gt;"--",$Q50&lt;&gt;"O3/CP",$Q$14=F$18),IF(LEFT($Q50,1)="P",VLOOKUP(CONCATENATE(LEFT($Q50,2),"H"),$R$63:$T$91,3,FALSE),VLOOKUP($Q50,$R$63:$T$91,3,FALSE)))+IF(AND($Q50&lt;&gt;"",$Q50&lt;&gt;"O3/CP",$Q$15=F$18,MID($Q50,4,1)="2",$Q$15&lt;&gt;$Q$14),VLOOKUP(CONCATENATE(LEFT($Q50,2),"L"),$R$63:$T$91,3,FALSE),0)+IF(AND($Q50="O3/CP",$Q$14=F$18),VLOOKUP("O3",$R$63:$T$91,3,FALSE)+VLOOKUP("CP",$R$63:$T$91,3,FALSE),0)+IF(AND($R50&lt;&gt;"",$R50&lt;&gt;"--",$R50&lt;&gt;"O3/CP",$R$14=F$18),IF(LEFT($R50,1)="P",VLOOKUP(CONCATENATE(LEFT($R50,2),"H"),$R$63:$T$91,3,FALSE),VLOOKUP($R50,$R$63:$T$91,3,FALSE)))+IF(AND($R50&lt;&gt;"",$R50&lt;&gt;"O3/CP",$R$15=F$18,MID($R50,4,1)="2",$R$15&lt;&gt;$R$14),VLOOKUP(CONCATENATE(LEFT($R50,2),"L"),$R$63:$T$91,3,FALSE),0)+IF(AND($R50="O3/CP",$R$14=F$18),VLOOKUP("O3",$R$63:$T$91,3,FALSE)+VLOOKUP("CP",$R$63:$T$91,3,FALSE),0)+IF(AND($S50&lt;&gt;"",$S50&lt;&gt;"--",$S50&lt;&gt;"O3/CP",$S$14=F$18),IF(LEFT($S50,1)="P",VLOOKUP(CONCATENATE(LEFT($S50,2),"H"),$R$63:$T$91,3,FALSE),VLOOKUP($S50,$R$63:$T$91,3,FALSE)))+IF(AND($S50&lt;&gt;"",$S50&lt;&gt;"O3/CP",$S$15=F$18,MID($S50,4,1)="2",$S$15&lt;&gt;$S$14),VLOOKUP(CONCATENATE(LEFT($S50,2),"L"),$R$63:$T$91,3,FALSE),0)+IF(AND($S50="O3/CP",$S$14=F$18),VLOOKUP("O3",$R$63:$T$91,3,FALSE)+VLOOKUP("CP",$R$63:$T$91,3,FALSE),0)+IF(AND($T50&lt;&gt;"",$T50&lt;&gt;"--",$T50&lt;&gt;"O3/CP",$T$14=F$18),IF(LEFT($T50,1)="P",VLOOKUP(CONCATENATE(LEFT($T50,2),"H"),$R$63:$T$91,3,FALSE),VLOOKUP($T50,$R$63:$T$91,3,FALSE)))+IF(AND($T50&lt;&gt;"",$T50&lt;&gt;"O3/CP",$T$15=F$18,MID($T50,4,1)="2",$T$15&lt;&gt;$T$14),VLOOKUP(CONCATENATE(LEFT($T50,2),"L"),$R$63:$T$91,3,FALSE),0)+IF(AND($T50="O3/CP",$T$14=F$18),VLOOKUP("O3",$R$63:$T$91,3,FALSE)+VLOOKUP("CP",$R$63:$T$91,3,FALSE),0)+IF(AND($U50&lt;&gt;"",$U50&lt;&gt;"--",$U50&lt;&gt;"O3/CP",$U$14=F$18),IF(LEFT($U50,1)="P",VLOOKUP(CONCATENATE(LEFT($U50,2),"H"),$R$63:$T$91,3,FALSE),VLOOKUP($U50,$R$63:$T$91,3,FALSE)))+IF(AND($U50&lt;&gt;"",$U50&lt;&gt;"O3/CP",$U$15=F$18,MID($U50,4,1)="2",$U$15&lt;&gt;$U$14),VLOOKUP(CONCATENATE(LEFT($U50,2),"L"),$R$63:$T$91,3,FALSE),0)+IF(AND($U50="O3/CP",$T$14=F$18),VLOOKUP("O3",$R$63:$T$91,3,FALSE)+VLOOKUP("CP",$R$63:$T$91,3,FALSE),0)+IF(AND($V50&lt;&gt;"",$V50&lt;&gt;"--",$V50&lt;&gt;"O3/CP",$V$14=F$18),IF(LEFT($V50,1)="P",VLOOKUP(CONCATENATE(LEFT($V50,2),"H"),$R$63:$T$91,3,FALSE),VLOOKUP($V50,$R$63:$T$91,3,FALSE)))+IF(AND($V50&lt;&gt;"",$V50&lt;&gt;"O3/CP",$V$15=F$18,MID($V50,4,1)="2",$V$15&lt;&gt;$V$14),VLOOKUP(CONCATENATE(LEFT($V50,2),"L"),$R$63:$T$91,3,FALSE),0)+IF(AND($V50="O3/CP",$V$14=F$18),VLOOKUP("O3",$R$63:$T$91,3,FALSE)+VLOOKUP("CP",$R$63:$T$91,3,FALSE),0)+IF(AND($W50&lt;&gt;"",$W50&lt;&gt;"--",$W50&lt;&gt;"O3/CP",$W$14=F$18),IF(LEFT($W50,1)="P",VLOOKUP(CONCATENATE(LEFT($W50,2),"H"),$R$63:$T$91,3,FALSE),VLOOKUP($W50,$R$63:$T$91,3,FALSE)))+IF(AND($W50&lt;&gt;"",$W50&lt;&gt;"O3/CP",$W$15=F$18,MID($W50,4,1)="2",$W$15&lt;&gt;$W$14),VLOOKUP(CONCATENATE(LEFT($W50,2),"L"),$R$63:$T$91,3,FALSE),0)+IF(AND($W50="O3/CP",$W$14=F$18),VLOOKUP("O3",$R$63:$T$91,3,FALSE)+VLOOKUP("CP",$R$63:$T$91,3,FALSE),0)+IF(AND($X50&lt;&gt;"",$X50&lt;&gt;"--",$X50&lt;&gt;"O3/CP",$X$14=F$18),IF(LEFT($X50,1)="P",VLOOKUP(CONCATENATE(LEFT($X50,2),"H"),$R$63:$T$91,3,FALSE),VLOOKUP($X50,$R$63:$T$91,3,FALSE)))+IF(AND($X50&lt;&gt;"",$X50&lt;&gt;"O3/CP",$X$15=F$18,MID($X50,4,1)="2",$X$15&lt;&gt;$X$14),VLOOKUP(CONCATENATE(LEFT($X50,2),"L"),$R$63:$T$91,3,FALSE),0)+IF(AND($X50="O3/CP",$X$14=F$18),VLOOKUP("O3",$R$63:$T$91,3,FALSE)+VLOOKUP("CP",$R$63:$T$91,3,FALSE),0)+IF(AND($Y50&lt;&gt;"",$Y50&lt;&gt;"--",$Y50&lt;&gt;"O3/CP",$Y$14=F$18),IF(LEFT($Y50,1)="P",VLOOKUP(CONCATENATE(LEFT($Y50,2),"H"),$R$63:$T$91,3,FALSE),VLOOKUP($Y50,$R$63:$T$91,3,FALSE)))+IF(AND($Y50&lt;&gt;"",$Y50&lt;&gt;"O3/CP",$Y$15=F$18,MID($Y50,4,1)="2",$Y$15&lt;&gt;$Y$14),VLOOKUP(CONCATENATE(LEFT($Y50,2),"L"),$R$63:$T$91,3,FALSE),0)+IF(AND($Y50="O3/CP",$Y$14=F$18),VLOOKUP("O3",$R$63:$T$91,3,FALSE)+VLOOKUP("CP",$R$63:$T$91,3,FALSE),0)+IF(AND($K$6="CE",'[3]Supply Attribution'!$G$20=F$18),LEFT($S$90,2),0)+IF(AND($X$86&lt;&gt;"Not Set",$X$87=F$18),$X$86,0)</f>
        <v>0</v>
      </c>
      <c r="G50" s="269">
        <f>IF(AND($K$6="CE",$T$59="1 Phase"),SUM(A50:F50)-IF(AND($K$14&lt;&gt;$K$15,RIGHT($K50,3)="2SP"),VLOOKUP(CONCATENATE(LEFT($K50,2),"L"),$R$63:$T$90,3,FALSE),0)-IF(AND($L$14&lt;&gt;$L$15,RIGHT($L50,3)="2SP"),VLOOKUP(CONCATENATE(LEFT($L50,2),"L"),$R$63:$T$90,3,FALSE),0)-IF(AND($M$14&lt;&gt;$M$15,RIGHT($M50,3)="2SP"),VLOOKUP(CONCATENATE(LEFT($M50,2),"L"),$R$63:$T$90,3,FALSE),0)-IF(AND($N$14&lt;&gt;$N$15,RIGHT($N50,3)="2SP"),VLOOKUP(CONCATENATE(LEFT($N50,2),"L"),$R$63:$T$90,3,FALSE),0)-IF(AND($O$14&lt;&gt;$O$15,RIGHT($O50,3)="2SP"),VLOOKUP(CONCATENATE(LEFT($O50,2),"L"),$R$63:$T$90,3,FALSE),0)-IF(AND($P$14&lt;&gt;$P$15,RIGHT($P50,3)="2SP"),VLOOKUP(CONCATENATE(LEFT($P50,2),"L"),$R$63:$T$90,3,FALSE),0)-IF(AND($Q$14&lt;&gt;$Q$15,RIGHT($Q50,3)="2SP"),VLOOKUP(CONCATENATE(LEFT($Q50,2),"L"),$R$63:$T$90,3,FALSE),0)-IF(AND($R$14&lt;&gt;$R$15,RIGHT($T50,3)="2SP"),VLOOKUP(CONCATENATE(LEFT($R50,2),"L"),$R$63:$T$90,3,FALSE),0)-IF(AND($S$14&lt;&gt;$S$15,RIGHT($T50,3)="2SP"),VLOOKUP(CONCATENATE(LEFT($S50,2),"L"),$R$63:$T$90,3,FALSE),0)-IF(AND($T$14&lt;&gt;$T$15,RIGHT($T50,3)="2SP"),VLOOKUP(CONCATENATE(LEFT($T50,2),"L"),$R$63:$T$90,3,FALSE),0)-IF(AND($U$14&lt;&gt;$U$15,RIGHT($U50,3)="2SP"),VLOOKUP(CONCATENATE(LEFT($U50,2),"L"),$R$63:$T$90,3,FALSE),0)-IF(AND($V$14&lt;&gt;$V$15,RIGHT($V50,3)="2SP"),VLOOKUP(CONCATENATE(LEFT($V50,2),"L"),$R$63:$T$90,3,FALSE),0)-IF(AND($W$14&lt;&gt;$W$15,RIGHT($W50,3)="2SP"),VLOOKUP(CONCATENATE(LEFT($W50,2),"L"),$R$63:$T$90,3,FALSE),0)-IF(AND($X$14&lt;&gt;$X$15,RIGHT($X50,3)="2SP"),VLOOKUP(CONCATENATE(LEFT($X50,2),"L"),$R$63:$T$90,3,FALSE),0)-IF(AND($Y$14&lt;&gt;$Y$15,RIGHT($Y50,3)="2SP"),VLOOKUP(CONCATENATE(LEFT($Y50,2),"L"),$R$63:$T$90,3,FALSE),0),IF(VLOOKUP(CONCATENATE($A$18,"Line"),'[3]Supply Attribution'!$F$31:$G$37,2,FALSE)=G$18,$A50,0)+IF(VLOOKUP(CONCATENATE($B$18,"Line"),'[3]Supply Attribution'!$F$31:$G$37,2,FALSE)=G$18,$B50,0)+IF(VLOOKUP(CONCATENATE($C$18,"Line"),'[3]Supply Attribution'!$F$31:$G$37,2,FALSE)=G$18,$C50,0)+IF(VLOOKUP(CONCATENATE($D$18,"Line"),'[3]Supply Attribution'!$F$31:$G$37,2,FALSE)=G$18,$D50,0)+IF(VLOOKUP(CONCATENATE($E$18,"Line"),'[3]Supply Attribution'!$F$31:$G$37,2,FALSE)=G$18,$E50,0)+IF(VLOOKUP(CONCATENATE($F$18,"Line"),'[3]Supply Attribution'!$F$31:$G$37,2,FALSE)=G$18,$F50,0)+IF($K$6="UL",LEFT($S$90,2),0)-IF(AND($K$16=G$18,$K$14&lt;&gt;$K$15,$K$16=$K$17,RIGHT($K50,3)="2SP"),VLOOKUP(CONCATENATE(LEFT($K50,2),"L"),$R$63:$T$90,3,FALSE),0)-IF(AND($L$16=G$18,$L$14&lt;&gt;$L$15,$L$16=$L$17,RIGHT($L50,3)="2SP"),VLOOKUP(CONCATENATE(LEFT($L50,2),"L"),$R$63:$T$90,3,FALSE),0)-IF(AND($M$16=G$18,$M$14&lt;&gt;$M$15,$M$16=$M$17,RIGHT($M50,3)="2SP"),VLOOKUP(CONCATENATE(LEFT($M50,2),"L"),$R$63:$T$90,3,FALSE),0)-IF(AND($N$16=G$18,$N$14&lt;&gt;$N$15,$N$16=$N$17,RIGHT($N50,3)="2SP"),VLOOKUP(CONCATENATE(LEFT($N50,2),"L"),$R$63:$T$90,3,FALSE),0)-IF(AND($O$16=G$18,$O$14&lt;&gt;$O$15,$O$16=$O$17,RIGHT($O50,3)="2SP"),VLOOKUP(CONCATENATE(LEFT($O50,2),"L"),$R$63:$T$90,3,FALSE),0)-IF(AND($P$16=G$18,$P$14&lt;&gt;$P$15,$P$16=$P$17,RIGHT($P50,3)="2SP"),VLOOKUP(CONCATENATE(LEFT($P50,2),"L"),$R$63:$T$90,3,FALSE),0)-IF(AND($Q$16=G$18,$Q$14&lt;&gt;$Q$15,$Q$16=$Q$17,RIGHT($Q50,3)="2SP"),VLOOKUP(CONCATENATE(LEFT($Q50,2),"L"),$R$63:$T$90,3,FALSE),0)-IF(AND($R$16=G$18,$R$14&lt;&gt;$R$15,$R$16=$R$17,RIGHT($R50,3)="2SP"),VLOOKUP(CONCATENATE(LEFT($R50,2),"L"),$R$63:$T$90,3,FALSE),0)-IF(AND($S$16=G$18,$S$14&lt;&gt;$S$15,$S$16=$S$17,RIGHT($S50,3)="2SP"),VLOOKUP(CONCATENATE(LEFT($S50,2),"L"),$R$63:$T$90,3,FALSE),0)-IF(AND($T$16=G$18,$T$14&lt;&gt;$T$15,$T$16=$T$17,RIGHT($T50,3)="2SP"),VLOOKUP(CONCATENATE(LEFT($T50,2),"L"),$R$63:$T$90,3,FALSE),0)-IF(AND($U$16=G$18,$U$14&lt;&gt;$U$15,$U$16=$U$17,RIGHT($U50,3)="2SP"),VLOOKUP(CONCATENATE(LEFT($U50,2),"L"),$R$63:$T$90,3,FALSE),0)-IF(AND($V$16=G$18,$V$14&lt;&gt;$V$15,$V$16=$V$17,RIGHT($V50,3)="2SP"),VLOOKUP(CONCATENATE(LEFT($V50,2),"L"),$R$63:$T$90,3,FALSE),0)-IF(AND($W$16=G$18,$W$14&lt;&gt;$W$15,$W$16=$W$17,RIGHT($W50,3)="2SP"),VLOOKUP(CONCATENATE(LEFT($W50,2),"L"),$R$63:$T$90,3,FALSE),0)-IF(AND($X$16=G$18,$X$14&lt;&gt;$X$15,$X$16=$X$17,RIGHT($X50,3)="2SP"),VLOOKUP(CONCATENATE(LEFT($X50,2),"L"),$R$63:$T$90,3,FALSE),0)-IF(AND($Y$16=G$18,$Y$14&lt;&gt;$Y$15,$Y$16=$Y$17,RIGHT($Y50,3)="2SP"),VLOOKUP(CONCATENATE(LEFT($Y50,2),"L"),$R$63:$T$90,3,FALSE),0))</f>
        <v>17</v>
      </c>
      <c r="H50" s="269" t="str">
        <f>IF(H$18&lt;&gt;"",IF(VLOOKUP(CONCATENATE($A$18,"Line"),'Supply Attribution'!$F$31:$G$37,2,FALSE)=H$18,$A50,0)+IF(VLOOKUP(CONCATENATE($B$18,"Line"),'Supply Attribution'!$F$31:$G$37,2,FALSE)=H$18,$B50,0)+IF(VLOOKUP(CONCATENATE($C$18,"Line"),'Supply Attribution'!$F$31:$G$37,2,FALSE)=H$18,$C50,0)+IF(VLOOKUP(CONCATENATE($D$18,"Line"),'Supply Attribution'!$F$31:$G$37,2,FALSE)=H$18,$D50,0)+IF(VLOOKUP(CONCATENATE($E$18,"Line"),'Supply Attribution'!$F$31:$G$37,2,FALSE)=H$18,$E50,0)+IF(VLOOKUP(CONCATENATE($F$18,"Line"),'Supply Attribution'!$F$31:$G$37,2,FALSE)=H$18,$F50,0)+IF($K$6="UL",LEFT($S$90,2),0)-IF(AND($K$16=H$18,$K$14&lt;&gt;$K$15,$K$16=$K$17,RIGHT($K50,3)="2SP"),VLOOKUP(CONCATENATE(LEFT($K50,2),"L"),$R$63:$T$90,3,FALSE),0)-IF(AND($L$16=H$18,$L$14&lt;&gt;$L$15,$L$16=$L$17,RIGHT($L50,3)="2SP"),VLOOKUP(CONCATENATE(LEFT($L50,2),"L"),$R$63:$T$90,3,FALSE),0)-IF(AND($M$16=H$18,$M$14&lt;&gt;$M$15,$M$16=$M$17,RIGHT($M50,3)="2SP"),VLOOKUP(CONCATENATE(LEFT($M50,2),"L"),$R$63:$T$90,3,FALSE),0)-IF(AND($N$16=H$18,$N$14&lt;&gt;$N$15,$N$16=$N$17,RIGHT($N50,3)="2SP"),VLOOKUP(CONCATENATE(LEFT($N50,2),"L"),$R$63:$T$90,3,FALSE),0)-IF(AND($O$16=H$18,$O$14&lt;&gt;$O$15,$O$16=$O$17,RIGHT($O50,3)="2SP"),VLOOKUP(CONCATENATE(LEFT($O50,2),"L"),$R$63:$T$90,3,FALSE),0)-IF(AND($P$16=H$18,$P$14&lt;&gt;$P$15,$P$16=$P$17,RIGHT($P50,3)="2SP"),VLOOKUP(CONCATENATE(LEFT($P50,2),"L"),$R$63:$T$90,3,FALSE),0)-IF(AND($Q$16=H$18,$Q$14&lt;&gt;$Q$15,$Q$16=$Q$17,RIGHT($Q50,3)="2SP"),VLOOKUP(CONCATENATE(LEFT($Q50,2),"L"),$R$63:$T$90,3,FALSE),0)-IF(AND($T$16=H$18,$T$14&lt;&gt;$T$15,$T$16=$T$17,RIGHT($T50,3)="2SP"),VLOOKUP(CONCATENATE(LEFT($T50,2),"L"),$R$63:$T$90,3,FALSE),0)-IF(AND($U$16=H$18,$U$14&lt;&gt;$U$15,$U$16=$U$17,RIGHT($U50,3)="2SP"),VLOOKUP(CONCATENATE(LEFT($U50,2),"L"),$R$63:$T$90,3,FALSE),0)-IF(AND($V$16=H$18,$V$14&lt;&gt;$V$15,$V$16=$V$17,RIGHT($V50,3)="2SP"),VLOOKUP(CONCATENATE(LEFT($V50,2),"L"),$R$63:$T$90,3,FALSE),0)-IF(AND($W$16=H$18,$W$14&lt;&gt;$W$15,$W$16=$W$17,RIGHT($W50,3)="2SP"),VLOOKUP(CONCATENATE(LEFT($W50,2),"L"),$R$63:$T$90,3,FALSE),0)-IF(AND($X$16=H$18,$X$14&lt;&gt;$X$15,$X$16=$X$17,RIGHT($X50,3)="2SP"),VLOOKUP(CONCATENATE(LEFT($X50,2),"L"),$R$63:$T$90,3,FALSE),0)-IF(AND($Y$16=H$18,$Y$14&lt;&gt;$Y$15,$Y$16=$Y$17,RIGHT($Y50,3)="2SP"),VLOOKUP(CONCATENATE(LEFT($Y50,2),"L"),$R$63:$T$90,3,FALSE),0)+IF(AND($K$6="CE",$T$59="2 Phases",H$18&lt;&gt;""),IF(VLOOKUP(CONCATENATE($A$18,"Line"),'Supply Attribution'!$F$31:$G$37,2,FALSE)="Line3",$A50,0)+IF(VLOOKUP(CONCATENATE($B$18,"Line"),'Supply Attribution'!$F$31:$G$37,2,FALSE)="Line3",$B50,0)+IF(VLOOKUP(CONCATENATE($C$18,"Line"),'Supply Attribution'!$F$31:$G$37,2,FALSE)="Line3",$C50,0)+IF(VLOOKUP(CONCATENATE($D$18,"Line"),'Supply Attribution'!$F$31:$G$37,2,FALSE)="Line3",$D50,0)+IF(VLOOKUP(CONCATENATE($E$18,"Line"),'Supply Attribution'!$F$31:$G$37,2,FALSE)="Line3",$E50,0)+IF(VLOOKUP(CONCATENATE($F$18,"Line"),'Supply Attribution'!$F$31:$G$37,2,FALSE)="Line3",$F50,0)-IF(AND($K$16=I$18,$K$14&lt;&gt;$K$15,$K$16=$K$17,RIGHT($K50,3)="2SP"),VLOOKUP(CONCATENATE(LEFT($K50,2),"L"),$R$63:$T$90,3,FALSE),0)-IF(AND($L$16=I$18,$L$14&lt;&gt;$L$15,$L$16=$L$17,RIGHT($L50,3)="2SP"),VLOOKUP(CONCATENATE(LEFT($L50,2),"L"),$R$63:$T$90,3,FALSE),0)-IF(AND($M$16=I$18,$M$14&lt;&gt;$M$15,$M$16=$M$17,RIGHT($M50,3)="2SP"),VLOOKUP(CONCATENATE(LEFT($M50,2),"L"),$R$63:$T$90,3,FALSE),0)-IF(AND($N$16=I$18,$N$14&lt;&gt;$N$15,$N$16=$N$17,RIGHT($N50,3)="2SP"),VLOOKUP(CONCATENATE(LEFT($N50,2),"L"),$R$63:$T$90,3,FALSE),0)-IF(AND($O$16=I$18,$O$14&lt;&gt;$O$15,$O$16=$O$17,RIGHT($O50,3)="2SP"),VLOOKUP(CONCATENATE(LEFT($O50,2),"L"),$R$63:$T$90,3,FALSE),0)-IF(AND($P$16=I$18,$P$14&lt;&gt;$P$15,$P$16=$P$17,RIGHT($P50,3)="2SP"),VLOOKUP(CONCATENATE(LEFT($P50,2),"L"),$R$63:$T$90,3,FALSE),0)-IF(AND($Q$16=I$18,$Q$14&lt;&gt;$Q$15,$Q$16=$Q$17,RIGHT($Q50,3)="2SP"),VLOOKUP(CONCATENATE(LEFT($Q50,2),"L"),$R$63:$T$90,3,FALSE),0)-IF(AND($T$16=I$18,$T$14&lt;&gt;$T$15,$T$16=$T$17,RIGHT($T50,3)="2SP"),VLOOKUP(CONCATENATE(LEFT($T50,2),"L"),$R$63:$T$90,3,FALSE),0)-IF(AND($U$16=I$18,$U$14&lt;&gt;$U$15,$U$16=$U$17,RIGHT($U50,3)="2SP"),VLOOKUP(CONCATENATE(LEFT($U50,2),"L"),$R$63:$T$90,3,FALSE),0)-IF(AND($V$16=I$18,$V$14&lt;&gt;$V$15,$V$16=$V$17,RIGHT($V50,3)="2SP"),VLOOKUP(CONCATENATE(LEFT($V50,2),"L"),$R$63:$T$90,3,FALSE),0)-IF(AND($W$16=I$18,$W$14&lt;&gt;$W$15,$W$16=$W$17,RIGHT($W50,3)="2SP"),VLOOKUP(CONCATENATE(LEFT($W50,2),"L"),$R$63:$T$90,3,FALSE),0)-IF(AND($X$16=I$18,$X$14&lt;&gt;$X$15,$X$16=$X$17,RIGHT($X50,3)="2SP"),VLOOKUP(CONCATENATE(LEFT($X50,2),"L"),$R$63:$T$90,3,FALSE),0)-IF(AND($Y$16=I$18,$Y$14&lt;&gt;$Y$15,$Y$16=$Y$17,RIGHT($Y50,3)="2SP"),VLOOKUP(CONCATENATE(LEFT($Y50,2),"L"),$R$63:$T$90,3,FALSE),0),0),"")</f>
        <v/>
      </c>
      <c r="I50" s="269" t="str">
        <f>IF(I$18&lt;&gt;"",IF(VLOOKUP(CONCATENATE($A$18,"Line"),'Supply Attribution'!$F$31:$G$37,2,FALSE)=I$18,$A50,0)+IF(VLOOKUP(CONCATENATE($B$18,"Line"),'Supply Attribution'!$F$31:$G$37,2,FALSE)=I$18,$B50,0)+IF(VLOOKUP(CONCATENATE($C$18,"Line"),'Supply Attribution'!$F$31:$G$37,2,FALSE)=I$18,$C50,0)+IF(VLOOKUP(CONCATENATE($D$18,"Line"),'Supply Attribution'!$F$31:$G$37,2,FALSE)=I$18,$D50,0)+IF(VLOOKUP(CONCATENATE($E$18,"Line"),'Supply Attribution'!$F$31:$G$37,2,FALSE)=I$18,$E50,0)+IF(VLOOKUP(CONCATENATE($F$18,"Line"),'Supply Attribution'!$F$31:$G$37,2,FALSE)=I$18,$F50,0)+IF($K$6="UL",LEFT($S$90,2),0)-IF(AND($K$16=I$18,$K$14&lt;&gt;$K$15,$K$16=$K$17,RIGHT($K50,3)="2SP"),VLOOKUP(CONCATENATE(LEFT($K50,2),"L"),$R$63:$T$90,3,FALSE),0)-IF(AND($L$16=I$18,$L$14&lt;&gt;$L$15,$L$16=$L$17,RIGHT($L50,3)="2SP"),VLOOKUP(CONCATENATE(LEFT($L50,2),"L"),$R$63:$T$90,3,FALSE),0)-IF(AND($M$16=I$18,$M$14&lt;&gt;$M$15,$M$16=$M$17,RIGHT($M50,3)="2SP"),VLOOKUP(CONCATENATE(LEFT($M50,2),"L"),$R$63:$T$90,3,FALSE),0)-IF(AND($N$16=I$18,$N$14&lt;&gt;$N$15,$N$16=$N$17,RIGHT($N50,3)="2SP"),VLOOKUP(CONCATENATE(LEFT($N50,2),"L"),$R$63:$T$90,3,FALSE),0)-IF(AND($O$16=I$18,$O$14&lt;&gt;$O$15,$O$16=$O$17,RIGHT($O50,3)="2SP"),VLOOKUP(CONCATENATE(LEFT($O50,2),"L"),$R$63:$T$90,3,FALSE),0)-IF(AND($P$16=I$18,$P$14&lt;&gt;$P$15,$P$16=$P$17,RIGHT($P50,3)="2SP"),VLOOKUP(CONCATENATE(LEFT($P50,2),"L"),$R$63:$T$90,3,FALSE),0)-IF(AND($Q$16=I$18,$Q$14&lt;&gt;$Q$15,$Q$16=$Q$17,RIGHT($Q50,3)="2SP"),VLOOKUP(CONCATENATE(LEFT($Q50,2),"L"),$R$63:$T$90,3,FALSE),0)-IF(AND($T$16=I$18,$T$14&lt;&gt;$T$15,$T$16=$T$17,RIGHT($T50,3)="2SP"),VLOOKUP(CONCATENATE(LEFT($T50,2),"L"),$R$63:$T$90,3,FALSE),0)-IF(AND($U$16=I$18,$U$14&lt;&gt;$U$15,$U$16=$U$17,RIGHT($U50,3)="2SP"),VLOOKUP(CONCATENATE(LEFT($U50,2),"L"),$R$63:$T$90,3,FALSE),0)-IF(AND($V$16=I$18,$V$14&lt;&gt;$V$15,$V$16=$V$17,RIGHT($V50,3)="2SP"),VLOOKUP(CONCATENATE(LEFT($V50,2),"L"),$R$63:$T$90,3,FALSE),0)-IF(AND($W$16=I$18,$W$14&lt;&gt;$W$15,$W$16=$W$17,RIGHT($W50,3)="2SP"),VLOOKUP(CONCATENATE(LEFT($W50,2),"L"),$R$63:$T$90,3,FALSE),0)-IF(AND($X$16=I$18,$X$14&lt;&gt;$X$15,$X$16=$X$17,RIGHT($X50,3)="2SP"),VLOOKUP(CONCATENATE(LEFT($X50,2),"L"),$R$63:$T$90,3,FALSE),0)-IF(AND($Y$16=I$18,$Y$14&lt;&gt;$Y$15,$Y$16=$Y$17,RIGHT($Y50,3)="2SP"),VLOOKUP(CONCATENATE(LEFT($Y50,2),"L"),$R$63:$T$90,3,FALSE),0),"")</f>
        <v/>
      </c>
      <c r="J50" s="134"/>
      <c r="K50" s="135"/>
      <c r="L50" s="135"/>
      <c r="M50" s="135"/>
      <c r="N50" s="135"/>
      <c r="O50" s="135"/>
      <c r="P50" s="135"/>
      <c r="Q50" s="135"/>
      <c r="R50" s="135"/>
      <c r="S50" s="135"/>
      <c r="T50" s="135"/>
      <c r="U50" s="135"/>
      <c r="V50" s="135"/>
      <c r="W50" s="135"/>
      <c r="X50" s="135"/>
      <c r="Y50" s="135"/>
      <c r="Z50" s="136"/>
      <c r="AA50" s="136"/>
      <c r="AB50" s="137"/>
      <c r="AC50" s="137"/>
      <c r="AD50" s="137"/>
      <c r="AE50" s="138">
        <f t="shared" si="0"/>
        <v>0</v>
      </c>
      <c r="AF50" s="78"/>
    </row>
    <row r="51" spans="1:32">
      <c r="A51" s="264">
        <f>IF(AND($K51&lt;&gt;"",$K51&lt;&gt;"--",$K51&lt;&gt;"O3/CP",$K$14=A$18),IF(LEFT($K51,1)="P",VLOOKUP(CONCATENATE(LEFT($K51,2),"H"),$R$63:$T$91,3,FALSE),VLOOKUP($K51,$R$63:$T$91,3,FALSE)))+IF(AND($K51&lt;&gt;"",$K51&lt;&gt;"O3/CP",$K$15=A$18,MID($K51,4,1)="2",$K$15&lt;&gt;$K$14),VLOOKUP(CONCATENATE(LEFT($K51,2),"L"),$R$63:$T$91,3,FALSE),0)+IF(AND($K51="O3/CP",$K$14=A$18),VLOOKUP("O3",$R$63:$T$91,3,FALSE)+VLOOKUP("CP",$R$63:$T$91,3,FALSE),0)+IF(AND($L51&lt;&gt;"",$L51&lt;&gt;"--",$L51&lt;&gt;"O3/CP",$L$14=A$18),IF(LEFT($L51,1)="P",VLOOKUP(CONCATENATE(LEFT($L51,2),"H"),$R$63:$T$91,3,FALSE),VLOOKUP($L51,$R$63:$T$91,3,FALSE)))+IF(AND($L51&lt;&gt;"",$L51&lt;&gt;"O3/CP",$L$15=A$18,MID($L51,4,1)="2",$L$15&lt;&gt;$L$14),VLOOKUP(CONCATENATE(LEFT($L51,2),"L"),$R$63:$T$91,3,FALSE),0)+IF(AND($L51="O3/CP",$L$14=A$18),VLOOKUP("O3",$R$63:$T$91,3,FALSE)+VLOOKUP("CP",$R$63:$T$91,3,FALSE),0)+IF(AND($M51&lt;&gt;"",$M51&lt;&gt;"--",$M51&lt;&gt;"O3/CP",$M$14=A$18),IF(LEFT($M51,1)="P",VLOOKUP(CONCATENATE(LEFT($M51,2),"H"),$R$63:$T$91,3,FALSE),VLOOKUP($M51,$R$63:$T$91,3,FALSE)))+IF(AND($M51&lt;&gt;"",$M51&lt;&gt;"O3/CP",$M$15=A$18,MID($M51,4,1)="2",$M$15&lt;&gt;$M$14),VLOOKUP(CONCATENATE(LEFT($M51,2),"L"),$R$63:$T$91,3,FALSE),0)+IF(AND($M51="O3/CP",$M$14=A$18),VLOOKUP("O3",$R$63:$T$91,3,FALSE)+VLOOKUP("CP",$R$63:$T$91,3,FALSE),0)+IF(AND($N51&lt;&gt;"",$N51&lt;&gt;"--",$N51&lt;&gt;"O3/CP",$N$14=A$18),IF(LEFT($N51,1)="P",VLOOKUP(CONCATENATE(LEFT($N51,2),"H"),$R$63:$T$91,3,FALSE),VLOOKUP($N51,$R$63:$T$91,3,FALSE)))+IF(AND($N51&lt;&gt;"",$N51&lt;&gt;"O3/CP",$N$15=A$18,MID($N51,4,1)="2",$N$15&lt;&gt;$N$14),VLOOKUP(CONCATENATE(LEFT($N51,2),"L"),$R$63:$T$91,3,FALSE),0)+IF(AND($N51="O3/CP",$N$14=A$18),VLOOKUP("O3",$R$63:$T$91,3,FALSE)+VLOOKUP("CP",$R$63:$T$91,3,FALSE),0)+IF(AND($O51&lt;&gt;"",$O51&lt;&gt;"--",$O51&lt;&gt;"O3/CP",$O$14=A$18),IF(LEFT($O51,1)="P",VLOOKUP(CONCATENATE(LEFT($O51,2),"H"),$R$63:$T$91,3,FALSE),VLOOKUP($O51,$R$63:$T$91,3,FALSE)))+IF(AND($O51&lt;&gt;"",$O51&lt;&gt;"O3/CP",$O$15=A$18,MID($O51,4,1)="2",$O$15&lt;&gt;$O$14),VLOOKUP(CONCATENATE(LEFT($O51,2),"L"),$R$63:$T$91,3,FALSE),0)+IF(AND($O51="O3/CP",$O$14=A$18),VLOOKUP("O3",$R$63:$T$91,3,FALSE)+VLOOKUP("CP",$R$63:$T$91,3,FALSE),0)+IF(AND($P51&lt;&gt;"",$P51&lt;&gt;"--",$P51&lt;&gt;"O3/CP",$P$14=A$18),IF(LEFT($P51,1)="P",VLOOKUP(CONCATENATE(LEFT($P51,2),"H"),$R$63:$T$91,3,FALSE),VLOOKUP($P51,$R$63:$T$91,3,FALSE)))+IF(AND($P51&lt;&gt;"",$P51&lt;&gt;"O3/CP",$P$15=A$18,MID($P51,4,1)="2",$P$15&lt;&gt;$P$14),VLOOKUP(CONCATENATE(LEFT($P51,2),"L"),$R$63:$T$91,3,FALSE),0)+IF(AND($P51="O3/CP",$P$14=A$18),VLOOKUP("O3",$R$63:$T$91,3,FALSE)+VLOOKUP("CP",$R$63:$T$91,3,FALSE),0)+IF(AND($Q51&lt;&gt;"",$Q51&lt;&gt;"--",$Q51&lt;&gt;"O3/CP",$Q$14=A$18),IF(LEFT($Q51,1)="P",VLOOKUP(CONCATENATE(LEFT($Q51,2),"H"),$R$63:$T$91,3,FALSE),VLOOKUP($Q51,$R$63:$T$91,3,FALSE)))+IF(AND($Q51&lt;&gt;"",$Q51&lt;&gt;"O3/CP",$Q$15=A$18,MID($Q51,4,1)="2",$Q$15&lt;&gt;$Q$14),VLOOKUP(CONCATENATE(LEFT($Q51,2),"L"),$R$63:$T$91,3,FALSE),0)+IF(AND($Q51="O3/CP",$Q$14=A$18),VLOOKUP("O3",$R$63:$T$91,3,FALSE)+VLOOKUP("CP",$R$63:$T$91,3,FALSE),0)+IF(AND($R51&lt;&gt;"",$R51&lt;&gt;"--",$R51&lt;&gt;"O3/CP",$R$14=A$18),IF(LEFT($R51,1)="P",VLOOKUP(CONCATENATE(LEFT($R51,2),"H"),$R$63:$T$91,3,FALSE),VLOOKUP($R51,$R$63:$T$91,3,FALSE)))+IF(AND($R51&lt;&gt;"",$R51&lt;&gt;"O3/CP",$R$15=A$18,MID($R51,4,1)="2",$R$15&lt;&gt;$R$14),VLOOKUP(CONCATENATE(LEFT($R51,2),"L"),$R$63:$T$91,3,FALSE),0)+IF(AND($R51="O3/CP",$R$14=A$18),VLOOKUP("O3",$R$63:$T$91,3,FALSE)+VLOOKUP("CP",$R$63:$T$91,3,FALSE),0)+IF(AND($S51&lt;&gt;"",$S51&lt;&gt;"--",$S51&lt;&gt;"O3/CP",$S$14=A$18),IF(LEFT($S51,1)="P",VLOOKUP(CONCATENATE(LEFT($S51,2),"H"),$R$63:$T$91,3,FALSE),VLOOKUP($S51,$R$63:$T$91,3,FALSE)))+IF(AND($S51&lt;&gt;"",$S51&lt;&gt;"O3/CP",$S$15=A$18,MID($S51,4,1)="2",$S$15&lt;&gt;$S$14),VLOOKUP(CONCATENATE(LEFT($S51,2),"L"),$R$63:$T$91,3,FALSE),0)+IF(AND($S51="O3/CP",$S$14=A$18),VLOOKUP("O3",$R$63:$T$91,3,FALSE)+VLOOKUP("CP",$R$63:$T$91,3,FALSE),0)+IF(AND($T51&lt;&gt;"",$T51&lt;&gt;"--",$T51&lt;&gt;"O3/CP",$T$14=A$18),IF(LEFT($T51,1)="P",VLOOKUP(CONCATENATE(LEFT($T51,2),"H"),$R$63:$T$91,3,FALSE),VLOOKUP($T51,$R$63:$T$91,3,FALSE)))+IF(AND($T51&lt;&gt;"",$T51&lt;&gt;"O3/CP",$T$15=A$18,MID($T51,4,1)="2",$T$15&lt;&gt;$T$14),VLOOKUP(CONCATENATE(LEFT($T51,2),"L"),$R$63:$T$91,3,FALSE),0)+IF(AND($T51="O3/CP",$T$14=A$18),VLOOKUP("O3",$R$63:$T$91,3,FALSE)+VLOOKUP("CP",$R$63:$T$91,3,FALSE),0)+IF(AND($U51&lt;&gt;"",$U51&lt;&gt;"--",$U51&lt;&gt;"O3/CP",$U$14=A$18),IF(LEFT($U51,1)="P",VLOOKUP(CONCATENATE(LEFT($U51,2),"H"),$R$63:$T$91,3,FALSE),VLOOKUP($U51,$R$63:$T$91,3,FALSE)))+IF(AND($U51&lt;&gt;"",$U51&lt;&gt;"O3/CP",$U$15=A$18,MID($U51,4,1)="2",$U$15&lt;&gt;$U$14),VLOOKUP(CONCATENATE(LEFT($U51,2),"L"),$R$63:$T$91,3,FALSE),0)+IF(AND($U51="O3/CP",$T$14=A$18),VLOOKUP("O3",$R$63:$T$91,3,FALSE)+VLOOKUP("CP",$R$63:$T$91,3,FALSE),0)+IF(AND($V51&lt;&gt;"",$V51&lt;&gt;"--",$V51&lt;&gt;"O3/CP",$V$14=A$18),IF(LEFT($V51,1)="P",VLOOKUP(CONCATENATE(LEFT($V51,2),"H"),$R$63:$T$91,3,FALSE),VLOOKUP($V51,$R$63:$T$91,3,FALSE)))+IF(AND($V51&lt;&gt;"",$V51&lt;&gt;"O3/CP",$V$15=A$18,MID($V51,4,1)="2",$V$15&lt;&gt;$V$14),VLOOKUP(CONCATENATE(LEFT($V51,2),"L"),$R$63:$T$91,3,FALSE),0)+IF(AND($V51="O3/CP",$V$14=A$18),VLOOKUP("O3",$R$63:$T$91,3,FALSE)+VLOOKUP("CP",$R$63:$T$91,3,FALSE),0)+IF(AND($W51&lt;&gt;"",$W51&lt;&gt;"--",$W51&lt;&gt;"O3/CP",$W$14=A$18),IF(LEFT($W51,1)="P",VLOOKUP(CONCATENATE(LEFT($W51,2),"H"),$R$63:$T$91,3,FALSE),VLOOKUP($W51,$R$63:$T$91,3,FALSE)))+IF(AND($W51&lt;&gt;"",$W51&lt;&gt;"O3/CP",$W$15=A$18,MID($W51,4,1)="2",$W$15&lt;&gt;$W$14),VLOOKUP(CONCATENATE(LEFT($W51,2),"L"),$R$63:$T$91,3,FALSE),0)+IF(AND($W51="O3/CP",$W$14=A$18),VLOOKUP("O3",$R$63:$T$91,3,FALSE)+VLOOKUP("CP",$R$63:$T$91,3,FALSE),0)+IF(AND($X51&lt;&gt;"",$X51&lt;&gt;"--",$X51&lt;&gt;"O3/CP",$X$14=A$18),IF(LEFT($X51,1)="P",VLOOKUP(CONCATENATE(LEFT($X51,2),"H"),$R$63:$T$91,3,FALSE),VLOOKUP($X51,$R$63:$T$91,3,FALSE)))+IF(AND($X51&lt;&gt;"",$X51&lt;&gt;"O3/CP",$X$15=A$18,MID($X51,4,1)="2",$X$15&lt;&gt;$X$14),VLOOKUP(CONCATENATE(LEFT($X51,2),"L"),$R$63:$T$91,3,FALSE),0)+IF(AND($X51="O3/CP",$X$14=A$18),VLOOKUP("O3",$R$63:$T$91,3,FALSE)+VLOOKUP("CP",$R$63:$T$91,3,FALSE),0)+IF(AND($Y51&lt;&gt;"",$Y51&lt;&gt;"--",$Y51&lt;&gt;"O3/CP",$Y$14=A$18),IF(LEFT($Y51,1)="P",VLOOKUP(CONCATENATE(LEFT($Y51,2),"H"),$R$63:$T$91,3,FALSE),VLOOKUP($Y51,$R$63:$T$91,3,FALSE)))+IF(AND($Y51&lt;&gt;"",$Y51&lt;&gt;"O3/CP",$Y$15=A$18,MID($Y51,4,1)="2",$Y$15&lt;&gt;$Y$14),VLOOKUP(CONCATENATE(LEFT($Y51,2),"L"),$R$63:$T$91,3,FALSE),0)+IF(AND($Y51="O3/CP",$Y$14=A$18),VLOOKUP("O3",$R$63:$T$91,3,FALSE)+VLOOKUP("CP",$R$63:$T$91,3,FALSE),0)+IF(AND($K$6="CE",'[3]Supply Attribution'!$G$20=A$18),LEFT($S$90,2),0)+IF(AND($X$86&lt;&gt;"Not Set",$X$87=A$18),$X$86,0)</f>
        <v>0</v>
      </c>
      <c r="B51" s="271">
        <f>IF(AND($K51&lt;&gt;"",$K51&lt;&gt;"--",$K51&lt;&gt;"O3/CP",$K$14=B$18),IF(LEFT($K51,1)="P",VLOOKUP(CONCATENATE(LEFT($K51,2),"H"),$R$63:$T$91,3,FALSE),VLOOKUP($K51,$R$63:$T$91,3,FALSE)))+IF(AND($K51&lt;&gt;"",$K51&lt;&gt;"O3/CP",$K$15=B$18,MID($K51,4,1)="2",$K$15&lt;&gt;$K$14),VLOOKUP(CONCATENATE(LEFT($K51,2),"L"),$R$63:$T$91,3,FALSE),0)+IF(AND($K51="O3/CP",$K$14=B$18),VLOOKUP("O3",$R$63:$T$91,3,FALSE)+VLOOKUP("CP",$R$63:$T$91,3,FALSE),0)+IF(AND($L51&lt;&gt;"",$L51&lt;&gt;"--",$L51&lt;&gt;"O3/CP",$L$14=B$18),IF(LEFT($L51,1)="P",VLOOKUP(CONCATENATE(LEFT($L51,2),"H"),$R$63:$T$91,3,FALSE),VLOOKUP($L51,$R$63:$T$91,3,FALSE)))+IF(AND($L51&lt;&gt;"",$L51&lt;&gt;"O3/CP",$L$15=B$18,MID($L51,4,1)="2",$L$15&lt;&gt;$L$14),VLOOKUP(CONCATENATE(LEFT($L51,2),"L"),$R$63:$T$91,3,FALSE),0)+IF(AND($L51="O3/CP",$L$14=B$18),VLOOKUP("O3",$R$63:$T$91,3,FALSE)+VLOOKUP("CP",$R$63:$T$91,3,FALSE),0)+IF(AND($M51&lt;&gt;"",$M51&lt;&gt;"--",$M51&lt;&gt;"O3/CP",$M$14=B$18),IF(LEFT($M51,1)="P",VLOOKUP(CONCATENATE(LEFT($M51,2),"H"),$R$63:$T$91,3,FALSE),VLOOKUP($M51,$R$63:$T$91,3,FALSE)))+IF(AND($M51&lt;&gt;"",$M51&lt;&gt;"O3/CP",$M$15=B$18,MID($M51,4,1)="2",$M$15&lt;&gt;$M$14),VLOOKUP(CONCATENATE(LEFT($M51,2),"L"),$R$63:$T$91,3,FALSE),0)+IF(AND($M51="O3/CP",$M$14=B$18),VLOOKUP("O3",$R$63:$T$91,3,FALSE)+VLOOKUP("CP",$R$63:$T$91,3,FALSE),0)+IF(AND($N51&lt;&gt;"",$N51&lt;&gt;"--",$N51&lt;&gt;"O3/CP",$N$14=B$18),IF(LEFT($N51,1)="P",VLOOKUP(CONCATENATE(LEFT($N51,2),"H"),$R$63:$T$91,3,FALSE),VLOOKUP($N51,$R$63:$T$91,3,FALSE)))+IF(AND($N51&lt;&gt;"",$N51&lt;&gt;"O3/CP",$N$15=B$18,MID($N51,4,1)="2",$N$15&lt;&gt;$N$14),VLOOKUP(CONCATENATE(LEFT($N51,2),"L"),$R$63:$T$91,3,FALSE),0)+IF(AND($N51="O3/CP",$N$14=B$18),VLOOKUP("O3",$R$63:$T$91,3,FALSE)+VLOOKUP("CP",$R$63:$T$91,3,FALSE),0)+IF(AND($O51&lt;&gt;"",$O51&lt;&gt;"--",$O51&lt;&gt;"O3/CP",$O$14=B$18),IF(LEFT($O51,1)="P",VLOOKUP(CONCATENATE(LEFT($O51,2),"H"),$R$63:$T$91,3,FALSE),VLOOKUP($O51,$R$63:$T$91,3,FALSE)))+IF(AND($O51&lt;&gt;"",$O51&lt;&gt;"O3/CP",$O$15=B$18,MID($O51,4,1)="2",$O$15&lt;&gt;$O$14),VLOOKUP(CONCATENATE(LEFT($O51,2),"L"),$R$63:$T$91,3,FALSE),0)+IF(AND($O51="O3/CP",$O$14=B$18),VLOOKUP("O3",$R$63:$T$91,3,FALSE)+VLOOKUP("CP",$R$63:$T$91,3,FALSE),0)+IF(AND($P51&lt;&gt;"",$P51&lt;&gt;"--",$P51&lt;&gt;"O3/CP",$P$14=B$18),IF(LEFT($P51,1)="P",VLOOKUP(CONCATENATE(LEFT($P51,2),"H"),$R$63:$T$91,3,FALSE),VLOOKUP($P51,$R$63:$T$91,3,FALSE)))+IF(AND($P51&lt;&gt;"",$P51&lt;&gt;"O3/CP",$P$15=B$18,MID($P51,4,1)="2",$P$15&lt;&gt;$P$14),VLOOKUP(CONCATENATE(LEFT($P51,2),"L"),$R$63:$T$91,3,FALSE),0)+IF(AND($P51="O3/CP",$P$14=B$18),VLOOKUP("O3",$R$63:$T$91,3,FALSE)+VLOOKUP("CP",$R$63:$T$91,3,FALSE),0)+IF(AND($Q51&lt;&gt;"",$Q51&lt;&gt;"--",$Q51&lt;&gt;"O3/CP",$Q$14=B$18),IF(LEFT($Q51,1)="P",VLOOKUP(CONCATENATE(LEFT($Q51,2),"H"),$R$63:$T$91,3,FALSE),VLOOKUP($Q51,$R$63:$T$91,3,FALSE)))+IF(AND($Q51&lt;&gt;"",$Q51&lt;&gt;"O3/CP",$Q$15=B$18,MID($Q51,4,1)="2",$Q$15&lt;&gt;$Q$14),VLOOKUP(CONCATENATE(LEFT($Q51,2),"L"),$R$63:$T$91,3,FALSE),0)+IF(AND($Q51="O3/CP",$Q$14=B$18),VLOOKUP("O3",$R$63:$T$91,3,FALSE)+VLOOKUP("CP",$R$63:$T$91,3,FALSE),0)+IF(AND($R51&lt;&gt;"",$R51&lt;&gt;"--",$R51&lt;&gt;"O3/CP",$R$14=B$18),IF(LEFT($R51,1)="P",VLOOKUP(CONCATENATE(LEFT($R51,2),"H"),$R$63:$T$91,3,FALSE),VLOOKUP($R51,$R$63:$T$91,3,FALSE)))+IF(AND($R51&lt;&gt;"",$R51&lt;&gt;"O3/CP",$R$15=B$18,MID($R51,4,1)="2",$R$15&lt;&gt;$R$14),VLOOKUP(CONCATENATE(LEFT($R51,2),"L"),$R$63:$T$91,3,FALSE),0)+IF(AND($R51="O3/CP",$R$14=B$18),VLOOKUP("O3",$R$63:$T$91,3,FALSE)+VLOOKUP("CP",$R$63:$T$91,3,FALSE),0)+IF(AND($S51&lt;&gt;"",$S51&lt;&gt;"--",$S51&lt;&gt;"O3/CP",$S$14=B$18),IF(LEFT($S51,1)="P",VLOOKUP(CONCATENATE(LEFT($S51,2),"H"),$R$63:$T$91,3,FALSE),VLOOKUP($S51,$R$63:$T$91,3,FALSE)))+IF(AND($S51&lt;&gt;"",$S51&lt;&gt;"O3/CP",$S$15=B$18,MID($S51,4,1)="2",$S$15&lt;&gt;$S$14),VLOOKUP(CONCATENATE(LEFT($S51,2),"L"),$R$63:$T$91,3,FALSE),0)+IF(AND($S51="O3/CP",$S$14=B$18),VLOOKUP("O3",$R$63:$T$91,3,FALSE)+VLOOKUP("CP",$R$63:$T$91,3,FALSE),0)+IF(AND($T51&lt;&gt;"",$T51&lt;&gt;"--",$T51&lt;&gt;"O3/CP",$T$14=B$18),IF(LEFT($T51,1)="P",VLOOKUP(CONCATENATE(LEFT($T51,2),"H"),$R$63:$T$91,3,FALSE),VLOOKUP($T51,$R$63:$T$91,3,FALSE)))+IF(AND($T51&lt;&gt;"",$T51&lt;&gt;"O3/CP",$T$15=B$18,MID($T51,4,1)="2",$T$15&lt;&gt;$T$14),VLOOKUP(CONCATENATE(LEFT($T51,2),"L"),$R$63:$T$91,3,FALSE),0)+IF(AND($T51="O3/CP",$T$14=B$18),VLOOKUP("O3",$R$63:$T$91,3,FALSE)+VLOOKUP("CP",$R$63:$T$91,3,FALSE),0)+IF(AND($U51&lt;&gt;"",$U51&lt;&gt;"--",$U51&lt;&gt;"O3/CP",$U$14=B$18),IF(LEFT($U51,1)="P",VLOOKUP(CONCATENATE(LEFT($U51,2),"H"),$R$63:$T$91,3,FALSE),VLOOKUP($U51,$R$63:$T$91,3,FALSE)))+IF(AND($U51&lt;&gt;"",$U51&lt;&gt;"O3/CP",$U$15=B$18,MID($U51,4,1)="2",$U$15&lt;&gt;$U$14),VLOOKUP(CONCATENATE(LEFT($U51,2),"L"),$R$63:$T$91,3,FALSE),0)+IF(AND($U51="O3/CP",$T$14=B$18),VLOOKUP("O3",$R$63:$T$91,3,FALSE)+VLOOKUP("CP",$R$63:$T$91,3,FALSE),0)+IF(AND($V51&lt;&gt;"",$V51&lt;&gt;"--",$V51&lt;&gt;"O3/CP",$V$14=B$18),IF(LEFT($V51,1)="P",VLOOKUP(CONCATENATE(LEFT($V51,2),"H"),$R$63:$T$91,3,FALSE),VLOOKUP($V51,$R$63:$T$91,3,FALSE)))+IF(AND($V51&lt;&gt;"",$V51&lt;&gt;"O3/CP",$V$15=B$18,MID($V51,4,1)="2",$V$15&lt;&gt;$V$14),VLOOKUP(CONCATENATE(LEFT($V51,2),"L"),$R$63:$T$91,3,FALSE),0)+IF(AND($V51="O3/CP",$V$14=B$18),VLOOKUP("O3",$R$63:$T$91,3,FALSE)+VLOOKUP("CP",$R$63:$T$91,3,FALSE),0)+IF(AND($W51&lt;&gt;"",$W51&lt;&gt;"--",$W51&lt;&gt;"O3/CP",$W$14=B$18),IF(LEFT($W51,1)="P",VLOOKUP(CONCATENATE(LEFT($W51,2),"H"),$R$63:$T$91,3,FALSE),VLOOKUP($W51,$R$63:$T$91,3,FALSE)))+IF(AND($W51&lt;&gt;"",$W51&lt;&gt;"O3/CP",$W$15=B$18,MID($W51,4,1)="2",$W$15&lt;&gt;$W$14),VLOOKUP(CONCATENATE(LEFT($W51,2),"L"),$R$63:$T$91,3,FALSE),0)+IF(AND($W51="O3/CP",$W$14=B$18),VLOOKUP("O3",$R$63:$T$91,3,FALSE)+VLOOKUP("CP",$R$63:$T$91,3,FALSE),0)+IF(AND($X51&lt;&gt;"",$X51&lt;&gt;"--",$X51&lt;&gt;"O3/CP",$X$14=B$18),IF(LEFT($X51,1)="P",VLOOKUP(CONCATENATE(LEFT($X51,2),"H"),$R$63:$T$91,3,FALSE),VLOOKUP($X51,$R$63:$T$91,3,FALSE)))+IF(AND($X51&lt;&gt;"",$X51&lt;&gt;"O3/CP",$X$15=B$18,MID($X51,4,1)="2",$X$15&lt;&gt;$X$14),VLOOKUP(CONCATENATE(LEFT($X51,2),"L"),$R$63:$T$91,3,FALSE),0)+IF(AND($X51="O3/CP",$X$14=B$18),VLOOKUP("O3",$R$63:$T$91,3,FALSE)+VLOOKUP("CP",$R$63:$T$91,3,FALSE),0)+IF(AND($Y51&lt;&gt;"",$Y51&lt;&gt;"--",$Y51&lt;&gt;"O3/CP",$Y$14=B$18),IF(LEFT($Y51,1)="P",VLOOKUP(CONCATENATE(LEFT($Y51,2),"H"),$R$63:$T$91,3,FALSE),VLOOKUP($Y51,$R$63:$T$91,3,FALSE)))+IF(AND($Y51&lt;&gt;"",$Y51&lt;&gt;"O3/CP",$Y$15=B$18,MID($Y51,4,1)="2",$Y$15&lt;&gt;$Y$14),VLOOKUP(CONCATENATE(LEFT($Y51,2),"L"),$R$63:$T$91,3,FALSE),0)+IF(AND($Y51="O3/CP",$Y$14=B$18),VLOOKUP("O3",$R$63:$T$91,3,FALSE)+VLOOKUP("CP",$R$63:$T$91,3,FALSE),0)+IF(AND($K$6="CE",'[3]Supply Attribution'!$G$20=B$18),LEFT($S$90,2),0)+IF(AND($X$86&lt;&gt;"Not Set",$X$87=B$18),$X$86,0)</f>
        <v>0</v>
      </c>
      <c r="C51" s="271">
        <f>IF(AND($K51&lt;&gt;"",$K51&lt;&gt;"--",$K51&lt;&gt;"O3/CP",$K$14=C$18),IF(LEFT($K51,1)="P",VLOOKUP(CONCATENATE(LEFT($K51,2),"H"),$R$63:$T$91,3,FALSE),VLOOKUP($K51,$R$63:$T$91,3,FALSE)))+IF(AND($K51&lt;&gt;"",$K51&lt;&gt;"O3/CP",$K$15=C$18,MID($K51,4,1)="2",$K$15&lt;&gt;$K$14),VLOOKUP(CONCATENATE(LEFT($K51,2),"L"),$R$63:$T$91,3,FALSE),0)+IF(AND($K51="O3/CP",$K$14=C$18),VLOOKUP("O3",$R$63:$T$91,3,FALSE)+VLOOKUP("CP",$R$63:$T$91,3,FALSE),0)+IF(AND($L51&lt;&gt;"",$L51&lt;&gt;"--",$L51&lt;&gt;"O3/CP",$L$14=C$18),IF(LEFT($L51,1)="P",VLOOKUP(CONCATENATE(LEFT($L51,2),"H"),$R$63:$T$91,3,FALSE),VLOOKUP($L51,$R$63:$T$91,3,FALSE)))+IF(AND($L51&lt;&gt;"",$L51&lt;&gt;"O3/CP",$L$15=C$18,MID($L51,4,1)="2",$L$15&lt;&gt;$L$14),VLOOKUP(CONCATENATE(LEFT($L51,2),"L"),$R$63:$T$91,3,FALSE),0)+IF(AND($L51="O3/CP",$L$14=C$18),VLOOKUP("O3",$R$63:$T$91,3,FALSE)+VLOOKUP("CP",$R$63:$T$91,3,FALSE),0)+IF(AND($M51&lt;&gt;"",$M51&lt;&gt;"--",$M51&lt;&gt;"O3/CP",$M$14=C$18),IF(LEFT($M51,1)="P",VLOOKUP(CONCATENATE(LEFT($M51,2),"H"),$R$63:$T$91,3,FALSE),VLOOKUP($M51,$R$63:$T$91,3,FALSE)))+IF(AND($M51&lt;&gt;"",$M51&lt;&gt;"O3/CP",$M$15=C$18,MID($M51,4,1)="2",$M$15&lt;&gt;$M$14),VLOOKUP(CONCATENATE(LEFT($M51,2),"L"),$R$63:$T$91,3,FALSE),0)+IF(AND($M51="O3/CP",$M$14=C$18),VLOOKUP("O3",$R$63:$T$91,3,FALSE)+VLOOKUP("CP",$R$63:$T$91,3,FALSE),0)+IF(AND($N51&lt;&gt;"",$N51&lt;&gt;"--",$N51&lt;&gt;"O3/CP",$N$14=C$18),IF(LEFT($N51,1)="P",VLOOKUP(CONCATENATE(LEFT($N51,2),"H"),$R$63:$T$91,3,FALSE),VLOOKUP($N51,$R$63:$T$91,3,FALSE)))+IF(AND($N51&lt;&gt;"",$N51&lt;&gt;"O3/CP",$N$15=C$18,MID($N51,4,1)="2",$N$15&lt;&gt;$N$14),VLOOKUP(CONCATENATE(LEFT($N51,2),"L"),$R$63:$T$91,3,FALSE),0)+IF(AND($N51="O3/CP",$N$14=C$18),VLOOKUP("O3",$R$63:$T$91,3,FALSE)+VLOOKUP("CP",$R$63:$T$91,3,FALSE),0)+IF(AND($O51&lt;&gt;"",$O51&lt;&gt;"--",$O51&lt;&gt;"O3/CP",$O$14=C$18),IF(LEFT($O51,1)="P",VLOOKUP(CONCATENATE(LEFT($O51,2),"H"),$R$63:$T$91,3,FALSE),VLOOKUP($O51,$R$63:$T$91,3,FALSE)))+IF(AND($O51&lt;&gt;"",$O51&lt;&gt;"O3/CP",$O$15=C$18,MID($O51,4,1)="2",$O$15&lt;&gt;$O$14),VLOOKUP(CONCATENATE(LEFT($O51,2),"L"),$R$63:$T$91,3,FALSE),0)+IF(AND($O51="O3/CP",$O$14=C$18),VLOOKUP("O3",$R$63:$T$91,3,FALSE)+VLOOKUP("CP",$R$63:$T$91,3,FALSE),0)+IF(AND($P51&lt;&gt;"",$P51&lt;&gt;"--",$P51&lt;&gt;"O3/CP",$P$14=C$18),IF(LEFT($P51,1)="P",VLOOKUP(CONCATENATE(LEFT($P51,2),"H"),$R$63:$T$91,3,FALSE),VLOOKUP($P51,$R$63:$T$91,3,FALSE)))+IF(AND($P51&lt;&gt;"",$P51&lt;&gt;"O3/CP",$P$15=C$18,MID($P51,4,1)="2",$P$15&lt;&gt;$P$14),VLOOKUP(CONCATENATE(LEFT($P51,2),"L"),$R$63:$T$91,3,FALSE),0)+IF(AND($P51="O3/CP",$P$14=C$18),VLOOKUP("O3",$R$63:$T$91,3,FALSE)+VLOOKUP("CP",$R$63:$T$91,3,FALSE),0)+IF(AND($Q51&lt;&gt;"",$Q51&lt;&gt;"--",$Q51&lt;&gt;"O3/CP",$Q$14=C$18),IF(LEFT($Q51,1)="P",VLOOKUP(CONCATENATE(LEFT($Q51,2),"H"),$R$63:$T$91,3,FALSE),VLOOKUP($Q51,$R$63:$T$91,3,FALSE)))+IF(AND($Q51&lt;&gt;"",$Q51&lt;&gt;"O3/CP",$Q$15=C$18,MID($Q51,4,1)="2",$Q$15&lt;&gt;$Q$14),VLOOKUP(CONCATENATE(LEFT($Q51,2),"L"),$R$63:$T$91,3,FALSE),0)+IF(AND($Q51="O3/CP",$Q$14=C$18),VLOOKUP("O3",$R$63:$T$91,3,FALSE)+VLOOKUP("CP",$R$63:$T$91,3,FALSE),0)+IF(AND($R51&lt;&gt;"",$R51&lt;&gt;"--",$R51&lt;&gt;"O3/CP",$R$14=C$18),IF(LEFT($R51,1)="P",VLOOKUP(CONCATENATE(LEFT($R51,2),"H"),$R$63:$T$91,3,FALSE),VLOOKUP($R51,$R$63:$T$91,3,FALSE)))+IF(AND($R51&lt;&gt;"",$R51&lt;&gt;"O3/CP",$R$15=C$18,MID($R51,4,1)="2",$R$15&lt;&gt;$R$14),VLOOKUP(CONCATENATE(LEFT($R51,2),"L"),$R$63:$T$91,3,FALSE),0)+IF(AND($R51="O3/CP",$R$14=C$18),VLOOKUP("O3",$R$63:$T$91,3,FALSE)+VLOOKUP("CP",$R$63:$T$91,3,FALSE),0)+IF(AND($S51&lt;&gt;"",$S51&lt;&gt;"--",$S51&lt;&gt;"O3/CP",$S$14=C$18),IF(LEFT($S51,1)="P",VLOOKUP(CONCATENATE(LEFT($S51,2),"H"),$R$63:$T$91,3,FALSE),VLOOKUP($S51,$R$63:$T$91,3,FALSE)))+IF(AND($S51&lt;&gt;"",$S51&lt;&gt;"O3/CP",$S$15=C$18,MID($S51,4,1)="2",$S$15&lt;&gt;$S$14),VLOOKUP(CONCATENATE(LEFT($S51,2),"L"),$R$63:$T$91,3,FALSE),0)+IF(AND($S51="O3/CP",$S$14=C$18),VLOOKUP("O3",$R$63:$T$91,3,FALSE)+VLOOKUP("CP",$R$63:$T$91,3,FALSE),0)+IF(AND($T51&lt;&gt;"",$T51&lt;&gt;"--",$T51&lt;&gt;"O3/CP",$T$14=C$18),IF(LEFT($T51,1)="P",VLOOKUP(CONCATENATE(LEFT($T51,2),"H"),$R$63:$T$91,3,FALSE),VLOOKUP($T51,$R$63:$T$91,3,FALSE)))+IF(AND($T51&lt;&gt;"",$T51&lt;&gt;"O3/CP",$T$15=C$18,MID($T51,4,1)="2",$T$15&lt;&gt;$T$14),VLOOKUP(CONCATENATE(LEFT($T51,2),"L"),$R$63:$T$91,3,FALSE),0)+IF(AND($T51="O3/CP",$T$14=C$18),VLOOKUP("O3",$R$63:$T$91,3,FALSE)+VLOOKUP("CP",$R$63:$T$91,3,FALSE),0)+IF(AND($U51&lt;&gt;"",$U51&lt;&gt;"--",$U51&lt;&gt;"O3/CP",$U$14=C$18),IF(LEFT($U51,1)="P",VLOOKUP(CONCATENATE(LEFT($U51,2),"H"),$R$63:$T$91,3,FALSE),VLOOKUP($U51,$R$63:$T$91,3,FALSE)))+IF(AND($U51&lt;&gt;"",$U51&lt;&gt;"O3/CP",$U$15=C$18,MID($U51,4,1)="2",$U$15&lt;&gt;$U$14),VLOOKUP(CONCATENATE(LEFT($U51,2),"L"),$R$63:$T$91,3,FALSE),0)+IF(AND($U51="O3/CP",$T$14=C$18),VLOOKUP("O3",$R$63:$T$91,3,FALSE)+VLOOKUP("CP",$R$63:$T$91,3,FALSE),0)+IF(AND($V51&lt;&gt;"",$V51&lt;&gt;"--",$V51&lt;&gt;"O3/CP",$V$14=C$18),IF(LEFT($V51,1)="P",VLOOKUP(CONCATENATE(LEFT($V51,2),"H"),$R$63:$T$91,3,FALSE),VLOOKUP($V51,$R$63:$T$91,3,FALSE)))+IF(AND($V51&lt;&gt;"",$V51&lt;&gt;"O3/CP",$V$15=C$18,MID($V51,4,1)="2",$V$15&lt;&gt;$V$14),VLOOKUP(CONCATENATE(LEFT($V51,2),"L"),$R$63:$T$91,3,FALSE),0)+IF(AND($V51="O3/CP",$V$14=C$18),VLOOKUP("O3",$R$63:$T$91,3,FALSE)+VLOOKUP("CP",$R$63:$T$91,3,FALSE),0)+IF(AND($W51&lt;&gt;"",$W51&lt;&gt;"--",$W51&lt;&gt;"O3/CP",$W$14=C$18),IF(LEFT($W51,1)="P",VLOOKUP(CONCATENATE(LEFT($W51,2),"H"),$R$63:$T$91,3,FALSE),VLOOKUP($W51,$R$63:$T$91,3,FALSE)))+IF(AND($W51&lt;&gt;"",$W51&lt;&gt;"O3/CP",$W$15=C$18,MID($W51,4,1)="2",$W$15&lt;&gt;$W$14),VLOOKUP(CONCATENATE(LEFT($W51,2),"L"),$R$63:$T$91,3,FALSE),0)+IF(AND($W51="O3/CP",$W$14=C$18),VLOOKUP("O3",$R$63:$T$91,3,FALSE)+VLOOKUP("CP",$R$63:$T$91,3,FALSE),0)+IF(AND($X51&lt;&gt;"",$X51&lt;&gt;"--",$X51&lt;&gt;"O3/CP",$X$14=C$18),IF(LEFT($X51,1)="P",VLOOKUP(CONCATENATE(LEFT($X51,2),"H"),$R$63:$T$91,3,FALSE),VLOOKUP($X51,$R$63:$T$91,3,FALSE)))+IF(AND($X51&lt;&gt;"",$X51&lt;&gt;"O3/CP",$X$15=C$18,MID($X51,4,1)="2",$X$15&lt;&gt;$X$14),VLOOKUP(CONCATENATE(LEFT($X51,2),"L"),$R$63:$T$91,3,FALSE),0)+IF(AND($X51="O3/CP",$X$14=C$18),VLOOKUP("O3",$R$63:$T$91,3,FALSE)+VLOOKUP("CP",$R$63:$T$91,3,FALSE),0)+IF(AND($Y51&lt;&gt;"",$Y51&lt;&gt;"--",$Y51&lt;&gt;"O3/CP",$Y$14=C$18),IF(LEFT($Y51,1)="P",VLOOKUP(CONCATENATE(LEFT($Y51,2),"H"),$R$63:$T$91,3,FALSE),VLOOKUP($Y51,$R$63:$T$91,3,FALSE)))+IF(AND($Y51&lt;&gt;"",$Y51&lt;&gt;"O3/CP",$Y$15=C$18,MID($Y51,4,1)="2",$Y$15&lt;&gt;$Y$14),VLOOKUP(CONCATENATE(LEFT($Y51,2),"L"),$R$63:$T$91,3,FALSE),0)+IF(AND($Y51="O3/CP",$Y$14=C$18),VLOOKUP("O3",$R$63:$T$91,3,FALSE)+VLOOKUP("CP",$R$63:$T$91,3,FALSE),0)+IF(AND($K$6="CE",'[3]Supply Attribution'!$G$20=C$18),LEFT($S$90,2),0)+IF(AND($X$86&lt;&gt;"Not Set",$X$87=C$18),$X$86,0)</f>
        <v>0</v>
      </c>
      <c r="D51" s="271">
        <f>IF(AND($K51&lt;&gt;"",$K51&lt;&gt;"--",$K51&lt;&gt;"O3/CP",$K$14=D$18),IF(LEFT($K51,1)="P",VLOOKUP(CONCATENATE(LEFT($K51,2),"H"),$R$63:$T$91,3,FALSE),VLOOKUP($K51,$R$63:$T$91,3,FALSE)))+IF(AND($K51&lt;&gt;"",$K51&lt;&gt;"O3/CP",$K$15=D$18,MID($K51,4,1)="2",$K$15&lt;&gt;$K$14),VLOOKUP(CONCATENATE(LEFT($K51,2),"L"),$R$63:$T$91,3,FALSE),0)+IF(AND($K51="O3/CP",$K$14=D$18),VLOOKUP("O3",$R$63:$T$91,3,FALSE)+VLOOKUP("CP",$R$63:$T$91,3,FALSE),0)+IF(AND($L51&lt;&gt;"",$L51&lt;&gt;"--",$L51&lt;&gt;"O3/CP",$L$14=D$18),IF(LEFT($L51,1)="P",VLOOKUP(CONCATENATE(LEFT($L51,2),"H"),$R$63:$T$91,3,FALSE),VLOOKUP($L51,$R$63:$T$91,3,FALSE)))+IF(AND($L51&lt;&gt;"",$L51&lt;&gt;"O3/CP",$L$15=D$18,MID($L51,4,1)="2",$L$15&lt;&gt;$L$14),VLOOKUP(CONCATENATE(LEFT($L51,2),"L"),$R$63:$T$91,3,FALSE),0)+IF(AND($L51="O3/CP",$L$14=D$18),VLOOKUP("O3",$R$63:$T$91,3,FALSE)+VLOOKUP("CP",$R$63:$T$91,3,FALSE),0)+IF(AND($M51&lt;&gt;"",$M51&lt;&gt;"--",$M51&lt;&gt;"O3/CP",$M$14=D$18),IF(LEFT($M51,1)="P",VLOOKUP(CONCATENATE(LEFT($M51,2),"H"),$R$63:$T$91,3,FALSE),VLOOKUP($M51,$R$63:$T$91,3,FALSE)))+IF(AND($M51&lt;&gt;"",$M51&lt;&gt;"O3/CP",$M$15=D$18,MID($M51,4,1)="2",$M$15&lt;&gt;$M$14),VLOOKUP(CONCATENATE(LEFT($M51,2),"L"),$R$63:$T$91,3,FALSE),0)+IF(AND($M51="O3/CP",$M$14=D$18),VLOOKUP("O3",$R$63:$T$91,3,FALSE)+VLOOKUP("CP",$R$63:$T$91,3,FALSE),0)+IF(AND($N51&lt;&gt;"",$N51&lt;&gt;"--",$N51&lt;&gt;"O3/CP",$N$14=D$18),IF(LEFT($N51,1)="P",VLOOKUP(CONCATENATE(LEFT($N51,2),"H"),$R$63:$T$91,3,FALSE),VLOOKUP($N51,$R$63:$T$91,3,FALSE)))+IF(AND($N51&lt;&gt;"",$N51&lt;&gt;"O3/CP",$N$15=D$18,MID($N51,4,1)="2",$N$15&lt;&gt;$N$14),VLOOKUP(CONCATENATE(LEFT($N51,2),"L"),$R$63:$T$91,3,FALSE),0)+IF(AND($N51="O3/CP",$N$14=D$18),VLOOKUP("O3",$R$63:$T$91,3,FALSE)+VLOOKUP("CP",$R$63:$T$91,3,FALSE),0)+IF(AND($O51&lt;&gt;"",$O51&lt;&gt;"--",$O51&lt;&gt;"O3/CP",$O$14=D$18),IF(LEFT($O51,1)="P",VLOOKUP(CONCATENATE(LEFT($O51,2),"H"),$R$63:$T$91,3,FALSE),VLOOKUP($O51,$R$63:$T$91,3,FALSE)))+IF(AND($O51&lt;&gt;"",$O51&lt;&gt;"O3/CP",$O$15=D$18,MID($O51,4,1)="2",$O$15&lt;&gt;$O$14),VLOOKUP(CONCATENATE(LEFT($O51,2),"L"),$R$63:$T$91,3,FALSE),0)+IF(AND($O51="O3/CP",$O$14=D$18),VLOOKUP("O3",$R$63:$T$91,3,FALSE)+VLOOKUP("CP",$R$63:$T$91,3,FALSE),0)+IF(AND($P51&lt;&gt;"",$P51&lt;&gt;"--",$P51&lt;&gt;"O3/CP",$P$14=D$18),IF(LEFT($P51,1)="P",VLOOKUP(CONCATENATE(LEFT($P51,2),"H"),$R$63:$T$91,3,FALSE),VLOOKUP($P51,$R$63:$T$91,3,FALSE)))+IF(AND($P51&lt;&gt;"",$P51&lt;&gt;"O3/CP",$P$15=D$18,MID($P51,4,1)="2",$P$15&lt;&gt;$P$14),VLOOKUP(CONCATENATE(LEFT($P51,2),"L"),$R$63:$T$91,3,FALSE),0)+IF(AND($P51="O3/CP",$P$14=D$18),VLOOKUP("O3",$R$63:$T$91,3,FALSE)+VLOOKUP("CP",$R$63:$T$91,3,FALSE),0)+IF(AND($Q51&lt;&gt;"",$Q51&lt;&gt;"--",$Q51&lt;&gt;"O3/CP",$Q$14=D$18),IF(LEFT($Q51,1)="P",VLOOKUP(CONCATENATE(LEFT($Q51,2),"H"),$R$63:$T$91,3,FALSE),VLOOKUP($Q51,$R$63:$T$91,3,FALSE)))+IF(AND($Q51&lt;&gt;"",$Q51&lt;&gt;"O3/CP",$Q$15=D$18,MID($Q51,4,1)="2",$Q$15&lt;&gt;$Q$14),VLOOKUP(CONCATENATE(LEFT($Q51,2),"L"),$R$63:$T$91,3,FALSE),0)+IF(AND($Q51="O3/CP",$Q$14=D$18),VLOOKUP("O3",$R$63:$T$91,3,FALSE)+VLOOKUP("CP",$R$63:$T$91,3,FALSE),0)+IF(AND($R51&lt;&gt;"",$R51&lt;&gt;"--",$R51&lt;&gt;"O3/CP",$R$14=D$18),IF(LEFT($R51,1)="P",VLOOKUP(CONCATENATE(LEFT($R51,2),"H"),$R$63:$T$91,3,FALSE),VLOOKUP($R51,$R$63:$T$91,3,FALSE)))+IF(AND($R51&lt;&gt;"",$R51&lt;&gt;"O3/CP",$R$15=D$18,MID($R51,4,1)="2",$R$15&lt;&gt;$R$14),VLOOKUP(CONCATENATE(LEFT($R51,2),"L"),$R$63:$T$91,3,FALSE),0)+IF(AND($R51="O3/CP",$R$14=D$18),VLOOKUP("O3",$R$63:$T$91,3,FALSE)+VLOOKUP("CP",$R$63:$T$91,3,FALSE),0)+IF(AND($S51&lt;&gt;"",$S51&lt;&gt;"--",$S51&lt;&gt;"O3/CP",$S$14=D$18),IF(LEFT($S51,1)="P",VLOOKUP(CONCATENATE(LEFT($S51,2),"H"),$R$63:$T$91,3,FALSE),VLOOKUP($S51,$R$63:$T$91,3,FALSE)))+IF(AND($S51&lt;&gt;"",$S51&lt;&gt;"O3/CP",$S$15=D$18,MID($S51,4,1)="2",$S$15&lt;&gt;$S$14),VLOOKUP(CONCATENATE(LEFT($S51,2),"L"),$R$63:$T$91,3,FALSE),0)+IF(AND($S51="O3/CP",$S$14=D$18),VLOOKUP("O3",$R$63:$T$91,3,FALSE)+VLOOKUP("CP",$R$63:$T$91,3,FALSE),0)+IF(AND($T51&lt;&gt;"",$T51&lt;&gt;"--",$T51&lt;&gt;"O3/CP",$T$14=D$18),IF(LEFT($T51,1)="P",VLOOKUP(CONCATENATE(LEFT($T51,2),"H"),$R$63:$T$91,3,FALSE),VLOOKUP($T51,$R$63:$T$91,3,FALSE)))+IF(AND($T51&lt;&gt;"",$T51&lt;&gt;"O3/CP",$T$15=D$18,MID($T51,4,1)="2",$T$15&lt;&gt;$T$14),VLOOKUP(CONCATENATE(LEFT($T51,2),"L"),$R$63:$T$91,3,FALSE),0)+IF(AND($T51="O3/CP",$T$14=D$18),VLOOKUP("O3",$R$63:$T$91,3,FALSE)+VLOOKUP("CP",$R$63:$T$91,3,FALSE),0)+IF(AND($U51&lt;&gt;"",$U51&lt;&gt;"--",$U51&lt;&gt;"O3/CP",$U$14=D$18),IF(LEFT($U51,1)="P",VLOOKUP(CONCATENATE(LEFT($U51,2),"H"),$R$63:$T$91,3,FALSE),VLOOKUP($U51,$R$63:$T$91,3,FALSE)))+IF(AND($U51&lt;&gt;"",$U51&lt;&gt;"O3/CP",$U$15=D$18,MID($U51,4,1)="2",$U$15&lt;&gt;$U$14),VLOOKUP(CONCATENATE(LEFT($U51,2),"L"),$R$63:$T$91,3,FALSE),0)+IF(AND($U51="O3/CP",$T$14=D$18),VLOOKUP("O3",$R$63:$T$91,3,FALSE)+VLOOKUP("CP",$R$63:$T$91,3,FALSE),0)+IF(AND($V51&lt;&gt;"",$V51&lt;&gt;"--",$V51&lt;&gt;"O3/CP",$V$14=D$18),IF(LEFT($V51,1)="P",VLOOKUP(CONCATENATE(LEFT($V51,2),"H"),$R$63:$T$91,3,FALSE),VLOOKUP($V51,$R$63:$T$91,3,FALSE)))+IF(AND($V51&lt;&gt;"",$V51&lt;&gt;"O3/CP",$V$15=D$18,MID($V51,4,1)="2",$V$15&lt;&gt;$V$14),VLOOKUP(CONCATENATE(LEFT($V51,2),"L"),$R$63:$T$91,3,FALSE),0)+IF(AND($V51="O3/CP",$V$14=D$18),VLOOKUP("O3",$R$63:$T$91,3,FALSE)+VLOOKUP("CP",$R$63:$T$91,3,FALSE),0)+IF(AND($W51&lt;&gt;"",$W51&lt;&gt;"--",$W51&lt;&gt;"O3/CP",$W$14=D$18),IF(LEFT($W51,1)="P",VLOOKUP(CONCATENATE(LEFT($W51,2),"H"),$R$63:$T$91,3,FALSE),VLOOKUP($W51,$R$63:$T$91,3,FALSE)))+IF(AND($W51&lt;&gt;"",$W51&lt;&gt;"O3/CP",$W$15=D$18,MID($W51,4,1)="2",$W$15&lt;&gt;$W$14),VLOOKUP(CONCATENATE(LEFT($W51,2),"L"),$R$63:$T$91,3,FALSE),0)+IF(AND($W51="O3/CP",$W$14=D$18),VLOOKUP("O3",$R$63:$T$91,3,FALSE)+VLOOKUP("CP",$R$63:$T$91,3,FALSE),0)+IF(AND($X51&lt;&gt;"",$X51&lt;&gt;"--",$X51&lt;&gt;"O3/CP",$X$14=D$18),IF(LEFT($X51,1)="P",VLOOKUP(CONCATENATE(LEFT($X51,2),"H"),$R$63:$T$91,3,FALSE),VLOOKUP($X51,$R$63:$T$91,3,FALSE)))+IF(AND($X51&lt;&gt;"",$X51&lt;&gt;"O3/CP",$X$15=D$18,MID($X51,4,1)="2",$X$15&lt;&gt;$X$14),VLOOKUP(CONCATENATE(LEFT($X51,2),"L"),$R$63:$T$91,3,FALSE),0)+IF(AND($X51="O3/CP",$X$14=D$18),VLOOKUP("O3",$R$63:$T$91,3,FALSE)+VLOOKUP("CP",$R$63:$T$91,3,FALSE),0)+IF(AND($Y51&lt;&gt;"",$Y51&lt;&gt;"--",$Y51&lt;&gt;"O3/CP",$Y$14=D$18),IF(LEFT($Y51,1)="P",VLOOKUP(CONCATENATE(LEFT($Y51,2),"H"),$R$63:$T$91,3,FALSE),VLOOKUP($Y51,$R$63:$T$91,3,FALSE)))+IF(AND($Y51&lt;&gt;"",$Y51&lt;&gt;"O3/CP",$Y$15=D$18,MID($Y51,4,1)="2",$Y$15&lt;&gt;$Y$14),VLOOKUP(CONCATENATE(LEFT($Y51,2),"L"),$R$63:$T$91,3,FALSE),0)+IF(AND($Y51="O3/CP",$Y$14=D$18),VLOOKUP("O3",$R$63:$T$91,3,FALSE)+VLOOKUP("CP",$R$63:$T$91,3,FALSE),0)+IF(AND($K$6="CE",'[3]Supply Attribution'!$G$20=D$18),LEFT($S$90,2),0)+IF(AND($X$86&lt;&gt;"Not Set",$X$87=D$18),$X$86,0)</f>
        <v>0</v>
      </c>
      <c r="E51" s="271">
        <f>IF(AND($K51&lt;&gt;"",$K51&lt;&gt;"--",$K51&lt;&gt;"O3/CP",$K$14=E$18),IF(LEFT($K51,1)="P",VLOOKUP(CONCATENATE(LEFT($K51,2),"H"),$R$63:$T$91,3,FALSE),VLOOKUP($K51,$R$63:$T$91,3,FALSE)))+IF(AND($K51&lt;&gt;"",$K51&lt;&gt;"O3/CP",$K$15=E$18,MID($K51,4,1)="2",$K$15&lt;&gt;$K$14),VLOOKUP(CONCATENATE(LEFT($K51,2),"L"),$R$63:$T$91,3,FALSE),0)+IF(AND($K51="O3/CP",$K$14=E$18),VLOOKUP("O3",$R$63:$T$91,3,FALSE)+VLOOKUP("CP",$R$63:$T$91,3,FALSE),0)+IF(AND($L51&lt;&gt;"",$L51&lt;&gt;"--",$L51&lt;&gt;"O3/CP",$L$14=E$18),IF(LEFT($L51,1)="P",VLOOKUP(CONCATENATE(LEFT($L51,2),"H"),$R$63:$T$91,3,FALSE),VLOOKUP($L51,$R$63:$T$91,3,FALSE)))+IF(AND($L51&lt;&gt;"",$L51&lt;&gt;"O3/CP",$L$15=E$18,MID($L51,4,1)="2",$L$15&lt;&gt;$L$14),VLOOKUP(CONCATENATE(LEFT($L51,2),"L"),$R$63:$T$91,3,FALSE),0)+IF(AND($L51="O3/CP",$L$14=E$18),VLOOKUP("O3",$R$63:$T$91,3,FALSE)+VLOOKUP("CP",$R$63:$T$91,3,FALSE),0)+IF(AND($M51&lt;&gt;"",$M51&lt;&gt;"--",$M51&lt;&gt;"O3/CP",$M$14=E$18),IF(LEFT($M51,1)="P",VLOOKUP(CONCATENATE(LEFT($M51,2),"H"),$R$63:$T$91,3,FALSE),VLOOKUP($M51,$R$63:$T$91,3,FALSE)))+IF(AND($M51&lt;&gt;"",$M51&lt;&gt;"O3/CP",$M$15=E$18,MID($M51,4,1)="2",$M$15&lt;&gt;$M$14),VLOOKUP(CONCATENATE(LEFT($M51,2),"L"),$R$63:$T$91,3,FALSE),0)+IF(AND($M51="O3/CP",$M$14=E$18),VLOOKUP("O3",$R$63:$T$91,3,FALSE)+VLOOKUP("CP",$R$63:$T$91,3,FALSE),0)+IF(AND($N51&lt;&gt;"",$N51&lt;&gt;"--",$N51&lt;&gt;"O3/CP",$N$14=E$18),IF(LEFT($N51,1)="P",VLOOKUP(CONCATENATE(LEFT($N51,2),"H"),$R$63:$T$91,3,FALSE),VLOOKUP($N51,$R$63:$T$91,3,FALSE)))+IF(AND($N51&lt;&gt;"",$N51&lt;&gt;"O3/CP",$N$15=E$18,MID($N51,4,1)="2",$N$15&lt;&gt;$N$14),VLOOKUP(CONCATENATE(LEFT($N51,2),"L"),$R$63:$T$91,3,FALSE),0)+IF(AND($N51="O3/CP",$N$14=E$18),VLOOKUP("O3",$R$63:$T$91,3,FALSE)+VLOOKUP("CP",$R$63:$T$91,3,FALSE),0)+IF(AND($O51&lt;&gt;"",$O51&lt;&gt;"--",$O51&lt;&gt;"O3/CP",$O$14=E$18),IF(LEFT($O51,1)="P",VLOOKUP(CONCATENATE(LEFT($O51,2),"H"),$R$63:$T$91,3,FALSE),VLOOKUP($O51,$R$63:$T$91,3,FALSE)))+IF(AND($O51&lt;&gt;"",$O51&lt;&gt;"O3/CP",$O$15=E$18,MID($O51,4,1)="2",$O$15&lt;&gt;$O$14),VLOOKUP(CONCATENATE(LEFT($O51,2),"L"),$R$63:$T$91,3,FALSE),0)+IF(AND($O51="O3/CP",$O$14=E$18),VLOOKUP("O3",$R$63:$T$91,3,FALSE)+VLOOKUP("CP",$R$63:$T$91,3,FALSE),0)+IF(AND($P51&lt;&gt;"",$P51&lt;&gt;"--",$P51&lt;&gt;"O3/CP",$P$14=E$18),IF(LEFT($P51,1)="P",VLOOKUP(CONCATENATE(LEFT($P51,2),"H"),$R$63:$T$91,3,FALSE),VLOOKUP($P51,$R$63:$T$91,3,FALSE)))+IF(AND($P51&lt;&gt;"",$P51&lt;&gt;"O3/CP",$P$15=E$18,MID($P51,4,1)="2",$P$15&lt;&gt;$P$14),VLOOKUP(CONCATENATE(LEFT($P51,2),"L"),$R$63:$T$91,3,FALSE),0)+IF(AND($P51="O3/CP",$P$14=E$18),VLOOKUP("O3",$R$63:$T$91,3,FALSE)+VLOOKUP("CP",$R$63:$T$91,3,FALSE),0)+IF(AND($Q51&lt;&gt;"",$Q51&lt;&gt;"--",$Q51&lt;&gt;"O3/CP",$Q$14=E$18),IF(LEFT($Q51,1)="P",VLOOKUP(CONCATENATE(LEFT($Q51,2),"H"),$R$63:$T$91,3,FALSE),VLOOKUP($Q51,$R$63:$T$91,3,FALSE)))+IF(AND($Q51&lt;&gt;"",$Q51&lt;&gt;"O3/CP",$Q$15=E$18,MID($Q51,4,1)="2",$Q$15&lt;&gt;$Q$14),VLOOKUP(CONCATENATE(LEFT($Q51,2),"L"),$R$63:$T$91,3,FALSE),0)+IF(AND($Q51="O3/CP",$Q$14=E$18),VLOOKUP("O3",$R$63:$T$91,3,FALSE)+VLOOKUP("CP",$R$63:$T$91,3,FALSE),0)+IF(AND($R51&lt;&gt;"",$R51&lt;&gt;"--",$R51&lt;&gt;"O3/CP",$R$14=E$18),IF(LEFT($R51,1)="P",VLOOKUP(CONCATENATE(LEFT($R51,2),"H"),$R$63:$T$91,3,FALSE),VLOOKUP($R51,$R$63:$T$91,3,FALSE)))+IF(AND($R51&lt;&gt;"",$R51&lt;&gt;"O3/CP",$R$15=E$18,MID($R51,4,1)="2",$R$15&lt;&gt;$R$14),VLOOKUP(CONCATENATE(LEFT($R51,2),"L"),$R$63:$T$91,3,FALSE),0)+IF(AND($R51="O3/CP",$R$14=E$18),VLOOKUP("O3",$R$63:$T$91,3,FALSE)+VLOOKUP("CP",$R$63:$T$91,3,FALSE),0)+IF(AND($S51&lt;&gt;"",$S51&lt;&gt;"--",$S51&lt;&gt;"O3/CP",$S$14=E$18),IF(LEFT($S51,1)="P",VLOOKUP(CONCATENATE(LEFT($S51,2),"H"),$R$63:$T$91,3,FALSE),VLOOKUP($S51,$R$63:$T$91,3,FALSE)))+IF(AND($S51&lt;&gt;"",$S51&lt;&gt;"O3/CP",$S$15=E$18,MID($S51,4,1)="2",$S$15&lt;&gt;$S$14),VLOOKUP(CONCATENATE(LEFT($S51,2),"L"),$R$63:$T$91,3,FALSE),0)+IF(AND($S51="O3/CP",$S$14=E$18),VLOOKUP("O3",$R$63:$T$91,3,FALSE)+VLOOKUP("CP",$R$63:$T$91,3,FALSE),0)+IF(AND($T51&lt;&gt;"",$T51&lt;&gt;"--",$T51&lt;&gt;"O3/CP",$T$14=E$18),IF(LEFT($T51,1)="P",VLOOKUP(CONCATENATE(LEFT($T51,2),"H"),$R$63:$T$91,3,FALSE),VLOOKUP($T51,$R$63:$T$91,3,FALSE)))+IF(AND($T51&lt;&gt;"",$T51&lt;&gt;"O3/CP",$T$15=E$18,MID($T51,4,1)="2",$T$15&lt;&gt;$T$14),VLOOKUP(CONCATENATE(LEFT($T51,2),"L"),$R$63:$T$91,3,FALSE),0)+IF(AND($T51="O3/CP",$T$14=E$18),VLOOKUP("O3",$R$63:$T$91,3,FALSE)+VLOOKUP("CP",$R$63:$T$91,3,FALSE),0)+IF(AND($U51&lt;&gt;"",$U51&lt;&gt;"--",$U51&lt;&gt;"O3/CP",$U$14=E$18),IF(LEFT($U51,1)="P",VLOOKUP(CONCATENATE(LEFT($U51,2),"H"),$R$63:$T$91,3,FALSE),VLOOKUP($U51,$R$63:$T$91,3,FALSE)))+IF(AND($U51&lt;&gt;"",$U51&lt;&gt;"O3/CP",$U$15=E$18,MID($U51,4,1)="2",$U$15&lt;&gt;$U$14),VLOOKUP(CONCATENATE(LEFT($U51,2),"L"),$R$63:$T$91,3,FALSE),0)+IF(AND($U51="O3/CP",$T$14=E$18),VLOOKUP("O3",$R$63:$T$91,3,FALSE)+VLOOKUP("CP",$R$63:$T$91,3,FALSE),0)+IF(AND($V51&lt;&gt;"",$V51&lt;&gt;"--",$V51&lt;&gt;"O3/CP",$V$14=E$18),IF(LEFT($V51,1)="P",VLOOKUP(CONCATENATE(LEFT($V51,2),"H"),$R$63:$T$91,3,FALSE),VLOOKUP($V51,$R$63:$T$91,3,FALSE)))+IF(AND($V51&lt;&gt;"",$V51&lt;&gt;"O3/CP",$V$15=E$18,MID($V51,4,1)="2",$V$15&lt;&gt;$V$14),VLOOKUP(CONCATENATE(LEFT($V51,2),"L"),$R$63:$T$91,3,FALSE),0)+IF(AND($V51="O3/CP",$V$14=E$18),VLOOKUP("O3",$R$63:$T$91,3,FALSE)+VLOOKUP("CP",$R$63:$T$91,3,FALSE),0)+IF(AND($W51&lt;&gt;"",$W51&lt;&gt;"--",$W51&lt;&gt;"O3/CP",$W$14=E$18),IF(LEFT($W51,1)="P",VLOOKUP(CONCATENATE(LEFT($W51,2),"H"),$R$63:$T$91,3,FALSE),VLOOKUP($W51,$R$63:$T$91,3,FALSE)))+IF(AND($W51&lt;&gt;"",$W51&lt;&gt;"O3/CP",$W$15=E$18,MID($W51,4,1)="2",$W$15&lt;&gt;$W$14),VLOOKUP(CONCATENATE(LEFT($W51,2),"L"),$R$63:$T$91,3,FALSE),0)+IF(AND($W51="O3/CP",$W$14=E$18),VLOOKUP("O3",$R$63:$T$91,3,FALSE)+VLOOKUP("CP",$R$63:$T$91,3,FALSE),0)+IF(AND($X51&lt;&gt;"",$X51&lt;&gt;"--",$X51&lt;&gt;"O3/CP",$X$14=E$18),IF(LEFT($X51,1)="P",VLOOKUP(CONCATENATE(LEFT($X51,2),"H"),$R$63:$T$91,3,FALSE),VLOOKUP($X51,$R$63:$T$91,3,FALSE)))+IF(AND($X51&lt;&gt;"",$X51&lt;&gt;"O3/CP",$X$15=E$18,MID($X51,4,1)="2",$X$15&lt;&gt;$X$14),VLOOKUP(CONCATENATE(LEFT($X51,2),"L"),$R$63:$T$91,3,FALSE),0)+IF(AND($X51="O3/CP",$X$14=E$18),VLOOKUP("O3",$R$63:$T$91,3,FALSE)+VLOOKUP("CP",$R$63:$T$91,3,FALSE),0)+IF(AND($Y51&lt;&gt;"",$Y51&lt;&gt;"--",$Y51&lt;&gt;"O3/CP",$Y$14=E$18),IF(LEFT($Y51,1)="P",VLOOKUP(CONCATENATE(LEFT($Y51,2),"H"),$R$63:$T$91,3,FALSE),VLOOKUP($Y51,$R$63:$T$91,3,FALSE)))+IF(AND($Y51&lt;&gt;"",$Y51&lt;&gt;"O3/CP",$Y$15=E$18,MID($Y51,4,1)="2",$Y$15&lt;&gt;$Y$14),VLOOKUP(CONCATENATE(LEFT($Y51,2),"L"),$R$63:$T$91,3,FALSE),0)+IF(AND($Y51="O3/CP",$Y$14=E$18),VLOOKUP("O3",$R$63:$T$91,3,FALSE)+VLOOKUP("CP",$R$63:$T$91,3,FALSE),0)+IF(AND($K$6="CE",'[3]Supply Attribution'!$G$20=E$18),LEFT($S$90,2),0)+IF(AND($X$86&lt;&gt;"Not Set",$X$87=E$18),$X$86,0)</f>
        <v>0</v>
      </c>
      <c r="F51" s="272">
        <f>IF(AND($K51&lt;&gt;"",$K51&lt;&gt;"--",$K51&lt;&gt;"O3/CP",$K$14=F$18),IF(LEFT($K51,1)="P",VLOOKUP(CONCATENATE(LEFT($K51,2),"H"),$R$63:$T$91,3,FALSE),VLOOKUP($K51,$R$63:$T$91,3,FALSE)))+IF(AND($K51&lt;&gt;"",$K51&lt;&gt;"O3/CP",$K$15=F$18,MID($K51,4,1)="2",$K$15&lt;&gt;$K$14),VLOOKUP(CONCATENATE(LEFT($K51,2),"L"),$R$63:$T$91,3,FALSE),0)+IF(AND($K51="O3/CP",$K$14=F$18),VLOOKUP("O3",$R$63:$T$91,3,FALSE)+VLOOKUP("CP",$R$63:$T$91,3,FALSE),0)+IF(AND($L51&lt;&gt;"",$L51&lt;&gt;"--",$L51&lt;&gt;"O3/CP",$L$14=F$18),IF(LEFT($L51,1)="P",VLOOKUP(CONCATENATE(LEFT($L51,2),"H"),$R$63:$T$91,3,FALSE),VLOOKUP($L51,$R$63:$T$91,3,FALSE)))+IF(AND($L51&lt;&gt;"",$L51&lt;&gt;"O3/CP",$L$15=F$18,MID($L51,4,1)="2",$L$15&lt;&gt;$L$14),VLOOKUP(CONCATENATE(LEFT($L51,2),"L"),$R$63:$T$91,3,FALSE),0)+IF(AND($L51="O3/CP",$L$14=F$18),VLOOKUP("O3",$R$63:$T$91,3,FALSE)+VLOOKUP("CP",$R$63:$T$91,3,FALSE),0)+IF(AND($M51&lt;&gt;"",$M51&lt;&gt;"--",$M51&lt;&gt;"O3/CP",$M$14=F$18),IF(LEFT($M51,1)="P",VLOOKUP(CONCATENATE(LEFT($M51,2),"H"),$R$63:$T$91,3,FALSE),VLOOKUP($M51,$R$63:$T$91,3,FALSE)))+IF(AND($M51&lt;&gt;"",$M51&lt;&gt;"O3/CP",$M$15=F$18,MID($M51,4,1)="2",$M$15&lt;&gt;$M$14),VLOOKUP(CONCATENATE(LEFT($M51,2),"L"),$R$63:$T$91,3,FALSE),0)+IF(AND($M51="O3/CP",$M$14=F$18),VLOOKUP("O3",$R$63:$T$91,3,FALSE)+VLOOKUP("CP",$R$63:$T$91,3,FALSE),0)+IF(AND($N51&lt;&gt;"",$N51&lt;&gt;"--",$N51&lt;&gt;"O3/CP",$N$14=F$18),IF(LEFT($N51,1)="P",VLOOKUP(CONCATENATE(LEFT($N51,2),"H"),$R$63:$T$91,3,FALSE),VLOOKUP($N51,$R$63:$T$91,3,FALSE)))+IF(AND($N51&lt;&gt;"",$N51&lt;&gt;"O3/CP",$N$15=F$18,MID($N51,4,1)="2",$N$15&lt;&gt;$N$14),VLOOKUP(CONCATENATE(LEFT($N51,2),"L"),$R$63:$T$91,3,FALSE),0)+IF(AND($N51="O3/CP",$N$14=F$18),VLOOKUP("O3",$R$63:$T$91,3,FALSE)+VLOOKUP("CP",$R$63:$T$91,3,FALSE),0)+IF(AND($O51&lt;&gt;"",$O51&lt;&gt;"--",$O51&lt;&gt;"O3/CP",$O$14=F$18),IF(LEFT($O51,1)="P",VLOOKUP(CONCATENATE(LEFT($O51,2),"H"),$R$63:$T$91,3,FALSE),VLOOKUP($O51,$R$63:$T$91,3,FALSE)))+IF(AND($O51&lt;&gt;"",$O51&lt;&gt;"O3/CP",$O$15=F$18,MID($O51,4,1)="2",$O$15&lt;&gt;$O$14),VLOOKUP(CONCATENATE(LEFT($O51,2),"L"),$R$63:$T$91,3,FALSE),0)+IF(AND($O51="O3/CP",$O$14=F$18),VLOOKUP("O3",$R$63:$T$91,3,FALSE)+VLOOKUP("CP",$R$63:$T$91,3,FALSE),0)+IF(AND($P51&lt;&gt;"",$P51&lt;&gt;"--",$P51&lt;&gt;"O3/CP",$P$14=F$18),IF(LEFT($P51,1)="P",VLOOKUP(CONCATENATE(LEFT($P51,2),"H"),$R$63:$T$91,3,FALSE),VLOOKUP($P51,$R$63:$T$91,3,FALSE)))+IF(AND($P51&lt;&gt;"",$P51&lt;&gt;"O3/CP",$P$15=F$18,MID($P51,4,1)="2",$P$15&lt;&gt;$P$14),VLOOKUP(CONCATENATE(LEFT($P51,2),"L"),$R$63:$T$91,3,FALSE),0)+IF(AND($P51="O3/CP",$P$14=F$18),VLOOKUP("O3",$R$63:$T$91,3,FALSE)+VLOOKUP("CP",$R$63:$T$91,3,FALSE),0)+IF(AND($Q51&lt;&gt;"",$Q51&lt;&gt;"--",$Q51&lt;&gt;"O3/CP",$Q$14=F$18),IF(LEFT($Q51,1)="P",VLOOKUP(CONCATENATE(LEFT($Q51,2),"H"),$R$63:$T$91,3,FALSE),VLOOKUP($Q51,$R$63:$T$91,3,FALSE)))+IF(AND($Q51&lt;&gt;"",$Q51&lt;&gt;"O3/CP",$Q$15=F$18,MID($Q51,4,1)="2",$Q$15&lt;&gt;$Q$14),VLOOKUP(CONCATENATE(LEFT($Q51,2),"L"),$R$63:$T$91,3,FALSE),0)+IF(AND($Q51="O3/CP",$Q$14=F$18),VLOOKUP("O3",$R$63:$T$91,3,FALSE)+VLOOKUP("CP",$R$63:$T$91,3,FALSE),0)+IF(AND($R51&lt;&gt;"",$R51&lt;&gt;"--",$R51&lt;&gt;"O3/CP",$R$14=F$18),IF(LEFT($R51,1)="P",VLOOKUP(CONCATENATE(LEFT($R51,2),"H"),$R$63:$T$91,3,FALSE),VLOOKUP($R51,$R$63:$T$91,3,FALSE)))+IF(AND($R51&lt;&gt;"",$R51&lt;&gt;"O3/CP",$R$15=F$18,MID($R51,4,1)="2",$R$15&lt;&gt;$R$14),VLOOKUP(CONCATENATE(LEFT($R51,2),"L"),$R$63:$T$91,3,FALSE),0)+IF(AND($R51="O3/CP",$R$14=F$18),VLOOKUP("O3",$R$63:$T$91,3,FALSE)+VLOOKUP("CP",$R$63:$T$91,3,FALSE),0)+IF(AND($S51&lt;&gt;"",$S51&lt;&gt;"--",$S51&lt;&gt;"O3/CP",$S$14=F$18),IF(LEFT($S51,1)="P",VLOOKUP(CONCATENATE(LEFT($S51,2),"H"),$R$63:$T$91,3,FALSE),VLOOKUP($S51,$R$63:$T$91,3,FALSE)))+IF(AND($S51&lt;&gt;"",$S51&lt;&gt;"O3/CP",$S$15=F$18,MID($S51,4,1)="2",$S$15&lt;&gt;$S$14),VLOOKUP(CONCATENATE(LEFT($S51,2),"L"),$R$63:$T$91,3,FALSE),0)+IF(AND($S51="O3/CP",$S$14=F$18),VLOOKUP("O3",$R$63:$T$91,3,FALSE)+VLOOKUP("CP",$R$63:$T$91,3,FALSE),0)+IF(AND($T51&lt;&gt;"",$T51&lt;&gt;"--",$T51&lt;&gt;"O3/CP",$T$14=F$18),IF(LEFT($T51,1)="P",VLOOKUP(CONCATENATE(LEFT($T51,2),"H"),$R$63:$T$91,3,FALSE),VLOOKUP($T51,$R$63:$T$91,3,FALSE)))+IF(AND($T51&lt;&gt;"",$T51&lt;&gt;"O3/CP",$T$15=F$18,MID($T51,4,1)="2",$T$15&lt;&gt;$T$14),VLOOKUP(CONCATENATE(LEFT($T51,2),"L"),$R$63:$T$91,3,FALSE),0)+IF(AND($T51="O3/CP",$T$14=F$18),VLOOKUP("O3",$R$63:$T$91,3,FALSE)+VLOOKUP("CP",$R$63:$T$91,3,FALSE),0)+IF(AND($U51&lt;&gt;"",$U51&lt;&gt;"--",$U51&lt;&gt;"O3/CP",$U$14=F$18),IF(LEFT($U51,1)="P",VLOOKUP(CONCATENATE(LEFT($U51,2),"H"),$R$63:$T$91,3,FALSE),VLOOKUP($U51,$R$63:$T$91,3,FALSE)))+IF(AND($U51&lt;&gt;"",$U51&lt;&gt;"O3/CP",$U$15=F$18,MID($U51,4,1)="2",$U$15&lt;&gt;$U$14),VLOOKUP(CONCATENATE(LEFT($U51,2),"L"),$R$63:$T$91,3,FALSE),0)+IF(AND($U51="O3/CP",$T$14=F$18),VLOOKUP("O3",$R$63:$T$91,3,FALSE)+VLOOKUP("CP",$R$63:$T$91,3,FALSE),0)+IF(AND($V51&lt;&gt;"",$V51&lt;&gt;"--",$V51&lt;&gt;"O3/CP",$V$14=F$18),IF(LEFT($V51,1)="P",VLOOKUP(CONCATENATE(LEFT($V51,2),"H"),$R$63:$T$91,3,FALSE),VLOOKUP($V51,$R$63:$T$91,3,FALSE)))+IF(AND($V51&lt;&gt;"",$V51&lt;&gt;"O3/CP",$V$15=F$18,MID($V51,4,1)="2",$V$15&lt;&gt;$V$14),VLOOKUP(CONCATENATE(LEFT($V51,2),"L"),$R$63:$T$91,3,FALSE),0)+IF(AND($V51="O3/CP",$V$14=F$18),VLOOKUP("O3",$R$63:$T$91,3,FALSE)+VLOOKUP("CP",$R$63:$T$91,3,FALSE),0)+IF(AND($W51&lt;&gt;"",$W51&lt;&gt;"--",$W51&lt;&gt;"O3/CP",$W$14=F$18),IF(LEFT($W51,1)="P",VLOOKUP(CONCATENATE(LEFT($W51,2),"H"),$R$63:$T$91,3,FALSE),VLOOKUP($W51,$R$63:$T$91,3,FALSE)))+IF(AND($W51&lt;&gt;"",$W51&lt;&gt;"O3/CP",$W$15=F$18,MID($W51,4,1)="2",$W$15&lt;&gt;$W$14),VLOOKUP(CONCATENATE(LEFT($W51,2),"L"),$R$63:$T$91,3,FALSE),0)+IF(AND($W51="O3/CP",$W$14=F$18),VLOOKUP("O3",$R$63:$T$91,3,FALSE)+VLOOKUP("CP",$R$63:$T$91,3,FALSE),0)+IF(AND($X51&lt;&gt;"",$X51&lt;&gt;"--",$X51&lt;&gt;"O3/CP",$X$14=F$18),IF(LEFT($X51,1)="P",VLOOKUP(CONCATENATE(LEFT($X51,2),"H"),$R$63:$T$91,3,FALSE),VLOOKUP($X51,$R$63:$T$91,3,FALSE)))+IF(AND($X51&lt;&gt;"",$X51&lt;&gt;"O3/CP",$X$15=F$18,MID($X51,4,1)="2",$X$15&lt;&gt;$X$14),VLOOKUP(CONCATENATE(LEFT($X51,2),"L"),$R$63:$T$91,3,FALSE),0)+IF(AND($X51="O3/CP",$X$14=F$18),VLOOKUP("O3",$R$63:$T$91,3,FALSE)+VLOOKUP("CP",$R$63:$T$91,3,FALSE),0)+IF(AND($Y51&lt;&gt;"",$Y51&lt;&gt;"--",$Y51&lt;&gt;"O3/CP",$Y$14=F$18),IF(LEFT($Y51,1)="P",VLOOKUP(CONCATENATE(LEFT($Y51,2),"H"),$R$63:$T$91,3,FALSE),VLOOKUP($Y51,$R$63:$T$91,3,FALSE)))+IF(AND($Y51&lt;&gt;"",$Y51&lt;&gt;"O3/CP",$Y$15=F$18,MID($Y51,4,1)="2",$Y$15&lt;&gt;$Y$14),VLOOKUP(CONCATENATE(LEFT($Y51,2),"L"),$R$63:$T$91,3,FALSE),0)+IF(AND($Y51="O3/CP",$Y$14=F$18),VLOOKUP("O3",$R$63:$T$91,3,FALSE)+VLOOKUP("CP",$R$63:$T$91,3,FALSE),0)+IF(AND($K$6="CE",'[3]Supply Attribution'!$G$20=F$18),LEFT($S$90,2),0)+IF(AND($X$86&lt;&gt;"Not Set",$X$87=F$18),$X$86,0)</f>
        <v>0</v>
      </c>
      <c r="G51" s="271">
        <f>IF(AND($K$6="CE",$T$59="1 Phase"),SUM(A51:F51)-IF(AND($K$14&lt;&gt;$K$15,RIGHT($K51,3)="2SP"),VLOOKUP(CONCATENATE(LEFT($K51,2),"L"),$R$63:$T$90,3,FALSE),0)-IF(AND($L$14&lt;&gt;$L$15,RIGHT($L51,3)="2SP"),VLOOKUP(CONCATENATE(LEFT($L51,2),"L"),$R$63:$T$90,3,FALSE),0)-IF(AND($M$14&lt;&gt;$M$15,RIGHT($M51,3)="2SP"),VLOOKUP(CONCATENATE(LEFT($M51,2),"L"),$R$63:$T$90,3,FALSE),0)-IF(AND($N$14&lt;&gt;$N$15,RIGHT($N51,3)="2SP"),VLOOKUP(CONCATENATE(LEFT($N51,2),"L"),$R$63:$T$90,3,FALSE),0)-IF(AND($O$14&lt;&gt;$O$15,RIGHT($O51,3)="2SP"),VLOOKUP(CONCATENATE(LEFT($O51,2),"L"),$R$63:$T$90,3,FALSE),0)-IF(AND($P$14&lt;&gt;$P$15,RIGHT($P51,3)="2SP"),VLOOKUP(CONCATENATE(LEFT($P51,2),"L"),$R$63:$T$90,3,FALSE),0)-IF(AND($Q$14&lt;&gt;$Q$15,RIGHT($Q51,3)="2SP"),VLOOKUP(CONCATENATE(LEFT($Q51,2),"L"),$R$63:$T$90,3,FALSE),0)-IF(AND($R$14&lt;&gt;$R$15,RIGHT($T51,3)="2SP"),VLOOKUP(CONCATENATE(LEFT($R51,2),"L"),$R$63:$T$90,3,FALSE),0)-IF(AND($S$14&lt;&gt;$S$15,RIGHT($T51,3)="2SP"),VLOOKUP(CONCATENATE(LEFT($S51,2),"L"),$R$63:$T$90,3,FALSE),0)-IF(AND($T$14&lt;&gt;$T$15,RIGHT($T51,3)="2SP"),VLOOKUP(CONCATENATE(LEFT($T51,2),"L"),$R$63:$T$90,3,FALSE),0)-IF(AND($U$14&lt;&gt;$U$15,RIGHT($U51,3)="2SP"),VLOOKUP(CONCATENATE(LEFT($U51,2),"L"),$R$63:$T$90,3,FALSE),0)-IF(AND($V$14&lt;&gt;$V$15,RIGHT($V51,3)="2SP"),VLOOKUP(CONCATENATE(LEFT($V51,2),"L"),$R$63:$T$90,3,FALSE),0)-IF(AND($W$14&lt;&gt;$W$15,RIGHT($W51,3)="2SP"),VLOOKUP(CONCATENATE(LEFT($W51,2),"L"),$R$63:$T$90,3,FALSE),0)-IF(AND($X$14&lt;&gt;$X$15,RIGHT($X51,3)="2SP"),VLOOKUP(CONCATENATE(LEFT($X51,2),"L"),$R$63:$T$90,3,FALSE),0)-IF(AND($Y$14&lt;&gt;$Y$15,RIGHT($Y51,3)="2SP"),VLOOKUP(CONCATENATE(LEFT($Y51,2),"L"),$R$63:$T$90,3,FALSE),0),IF(VLOOKUP(CONCATENATE($A$18,"Line"),'[3]Supply Attribution'!$F$31:$G$37,2,FALSE)=G$18,$A51,0)+IF(VLOOKUP(CONCATENATE($B$18,"Line"),'[3]Supply Attribution'!$F$31:$G$37,2,FALSE)=G$18,$B51,0)+IF(VLOOKUP(CONCATENATE($C$18,"Line"),'[3]Supply Attribution'!$F$31:$G$37,2,FALSE)=G$18,$C51,0)+IF(VLOOKUP(CONCATENATE($D$18,"Line"),'[3]Supply Attribution'!$F$31:$G$37,2,FALSE)=G$18,$D51,0)+IF(VLOOKUP(CONCATENATE($E$18,"Line"),'[3]Supply Attribution'!$F$31:$G$37,2,FALSE)=G$18,$E51,0)+IF(VLOOKUP(CONCATENATE($F$18,"Line"),'[3]Supply Attribution'!$F$31:$G$37,2,FALSE)=G$18,$F51,0)+IF($K$6="UL",LEFT($S$90,2),0)-IF(AND($K$16=G$18,$K$14&lt;&gt;$K$15,$K$16=$K$17,RIGHT($K51,3)="2SP"),VLOOKUP(CONCATENATE(LEFT($K51,2),"L"),$R$63:$T$90,3,FALSE),0)-IF(AND($L$16=G$18,$L$14&lt;&gt;$L$15,$L$16=$L$17,RIGHT($L51,3)="2SP"),VLOOKUP(CONCATENATE(LEFT($L51,2),"L"),$R$63:$T$90,3,FALSE),0)-IF(AND($M$16=G$18,$M$14&lt;&gt;$M$15,$M$16=$M$17,RIGHT($M51,3)="2SP"),VLOOKUP(CONCATENATE(LEFT($M51,2),"L"),$R$63:$T$90,3,FALSE),0)-IF(AND($N$16=G$18,$N$14&lt;&gt;$N$15,$N$16=$N$17,RIGHT($N51,3)="2SP"),VLOOKUP(CONCATENATE(LEFT($N51,2),"L"),$R$63:$T$90,3,FALSE),0)-IF(AND($O$16=G$18,$O$14&lt;&gt;$O$15,$O$16=$O$17,RIGHT($O51,3)="2SP"),VLOOKUP(CONCATENATE(LEFT($O51,2),"L"),$R$63:$T$90,3,FALSE),0)-IF(AND($P$16=G$18,$P$14&lt;&gt;$P$15,$P$16=$P$17,RIGHT($P51,3)="2SP"),VLOOKUP(CONCATENATE(LEFT($P51,2),"L"),$R$63:$T$90,3,FALSE),0)-IF(AND($Q$16=G$18,$Q$14&lt;&gt;$Q$15,$Q$16=$Q$17,RIGHT($Q51,3)="2SP"),VLOOKUP(CONCATENATE(LEFT($Q51,2),"L"),$R$63:$T$90,3,FALSE),0)-IF(AND($R$16=G$18,$R$14&lt;&gt;$R$15,$R$16=$R$17,RIGHT($R51,3)="2SP"),VLOOKUP(CONCATENATE(LEFT($R51,2),"L"),$R$63:$T$90,3,FALSE),0)-IF(AND($S$16=G$18,$S$14&lt;&gt;$S$15,$S$16=$S$17,RIGHT($S51,3)="2SP"),VLOOKUP(CONCATENATE(LEFT($S51,2),"L"),$R$63:$T$90,3,FALSE),0)-IF(AND($T$16=G$18,$T$14&lt;&gt;$T$15,$T$16=$T$17,RIGHT($T51,3)="2SP"),VLOOKUP(CONCATENATE(LEFT($T51,2),"L"),$R$63:$T$90,3,FALSE),0)-IF(AND($U$16=G$18,$U$14&lt;&gt;$U$15,$U$16=$U$17,RIGHT($U51,3)="2SP"),VLOOKUP(CONCATENATE(LEFT($U51,2),"L"),$R$63:$T$90,3,FALSE),0)-IF(AND($V$16=G$18,$V$14&lt;&gt;$V$15,$V$16=$V$17,RIGHT($V51,3)="2SP"),VLOOKUP(CONCATENATE(LEFT($V51,2),"L"),$R$63:$T$90,3,FALSE),0)-IF(AND($W$16=G$18,$W$14&lt;&gt;$W$15,$W$16=$W$17,RIGHT($W51,3)="2SP"),VLOOKUP(CONCATENATE(LEFT($W51,2),"L"),$R$63:$T$90,3,FALSE),0)-IF(AND($X$16=G$18,$X$14&lt;&gt;$X$15,$X$16=$X$17,RIGHT($X51,3)="2SP"),VLOOKUP(CONCATENATE(LEFT($X51,2),"L"),$R$63:$T$90,3,FALSE),0)-IF(AND($Y$16=G$18,$Y$14&lt;&gt;$Y$15,$Y$16=$Y$17,RIGHT($Y51,3)="2SP"),VLOOKUP(CONCATENATE(LEFT($Y51,2),"L"),$R$63:$T$90,3,FALSE),0))</f>
        <v>17</v>
      </c>
      <c r="H51" s="271" t="str">
        <f>IF(H$18&lt;&gt;"",IF(VLOOKUP(CONCATENATE($A$18,"Line"),'Supply Attribution'!$F$31:$G$37,2,FALSE)=H$18,$A51,0)+IF(VLOOKUP(CONCATENATE($B$18,"Line"),'Supply Attribution'!$F$31:$G$37,2,FALSE)=H$18,$B51,0)+IF(VLOOKUP(CONCATENATE($C$18,"Line"),'Supply Attribution'!$F$31:$G$37,2,FALSE)=H$18,$C51,0)+IF(VLOOKUP(CONCATENATE($D$18,"Line"),'Supply Attribution'!$F$31:$G$37,2,FALSE)=H$18,$D51,0)+IF(VLOOKUP(CONCATENATE($E$18,"Line"),'Supply Attribution'!$F$31:$G$37,2,FALSE)=H$18,$E51,0)+IF(VLOOKUP(CONCATENATE($F$18,"Line"),'Supply Attribution'!$F$31:$G$37,2,FALSE)=H$18,$F51,0)+IF($K$6="UL",LEFT($S$90,2),0)-IF(AND($K$16=H$18,$K$14&lt;&gt;$K$15,$K$16=$K$17,RIGHT($K51,3)="2SP"),VLOOKUP(CONCATENATE(LEFT($K51,2),"L"),$R$63:$T$90,3,FALSE),0)-IF(AND($L$16=H$18,$L$14&lt;&gt;$L$15,$L$16=$L$17,RIGHT($L51,3)="2SP"),VLOOKUP(CONCATENATE(LEFT($L51,2),"L"),$R$63:$T$90,3,FALSE),0)-IF(AND($M$16=H$18,$M$14&lt;&gt;$M$15,$M$16=$M$17,RIGHT($M51,3)="2SP"),VLOOKUP(CONCATENATE(LEFT($M51,2),"L"),$R$63:$T$90,3,FALSE),0)-IF(AND($N$16=H$18,$N$14&lt;&gt;$N$15,$N$16=$N$17,RIGHT($N51,3)="2SP"),VLOOKUP(CONCATENATE(LEFT($N51,2),"L"),$R$63:$T$90,3,FALSE),0)-IF(AND($O$16=H$18,$O$14&lt;&gt;$O$15,$O$16=$O$17,RIGHT($O51,3)="2SP"),VLOOKUP(CONCATENATE(LEFT($O51,2),"L"),$R$63:$T$90,3,FALSE),0)-IF(AND($P$16=H$18,$P$14&lt;&gt;$P$15,$P$16=$P$17,RIGHT($P51,3)="2SP"),VLOOKUP(CONCATENATE(LEFT($P51,2),"L"),$R$63:$T$90,3,FALSE),0)-IF(AND($Q$16=H$18,$Q$14&lt;&gt;$Q$15,$Q$16=$Q$17,RIGHT($Q51,3)="2SP"),VLOOKUP(CONCATENATE(LEFT($Q51,2),"L"),$R$63:$T$90,3,FALSE),0)-IF(AND($T$16=H$18,$T$14&lt;&gt;$T$15,$T$16=$T$17,RIGHT($T51,3)="2SP"),VLOOKUP(CONCATENATE(LEFT($T51,2),"L"),$R$63:$T$90,3,FALSE),0)-IF(AND($U$16=H$18,$U$14&lt;&gt;$U$15,$U$16=$U$17,RIGHT($U51,3)="2SP"),VLOOKUP(CONCATENATE(LEFT($U51,2),"L"),$R$63:$T$90,3,FALSE),0)-IF(AND($V$16=H$18,$V$14&lt;&gt;$V$15,$V$16=$V$17,RIGHT($V51,3)="2SP"),VLOOKUP(CONCATENATE(LEFT($V51,2),"L"),$R$63:$T$90,3,FALSE),0)-IF(AND($W$16=H$18,$W$14&lt;&gt;$W$15,$W$16=$W$17,RIGHT($W51,3)="2SP"),VLOOKUP(CONCATENATE(LEFT($W51,2),"L"),$R$63:$T$90,3,FALSE),0)-IF(AND($X$16=H$18,$X$14&lt;&gt;$X$15,$X$16=$X$17,RIGHT($X51,3)="2SP"),VLOOKUP(CONCATENATE(LEFT($X51,2),"L"),$R$63:$T$90,3,FALSE),0)-IF(AND($Y$16=H$18,$Y$14&lt;&gt;$Y$15,$Y$16=$Y$17,RIGHT($Y51,3)="2SP"),VLOOKUP(CONCATENATE(LEFT($Y51,2),"L"),$R$63:$T$90,3,FALSE),0)+IF(AND($K$6="CE",$T$59="2 Phases",H$18&lt;&gt;""),IF(VLOOKUP(CONCATENATE($A$18,"Line"),'Supply Attribution'!$F$31:$G$37,2,FALSE)="Line3",$A51,0)+IF(VLOOKUP(CONCATENATE($B$18,"Line"),'Supply Attribution'!$F$31:$G$37,2,FALSE)="Line3",$B51,0)+IF(VLOOKUP(CONCATENATE($C$18,"Line"),'Supply Attribution'!$F$31:$G$37,2,FALSE)="Line3",$C51,0)+IF(VLOOKUP(CONCATENATE($D$18,"Line"),'Supply Attribution'!$F$31:$G$37,2,FALSE)="Line3",$D51,0)+IF(VLOOKUP(CONCATENATE($E$18,"Line"),'Supply Attribution'!$F$31:$G$37,2,FALSE)="Line3",$E51,0)+IF(VLOOKUP(CONCATENATE($F$18,"Line"),'Supply Attribution'!$F$31:$G$37,2,FALSE)="Line3",$F51,0)-IF(AND($K$16=I$18,$K$14&lt;&gt;$K$15,$K$16=$K$17,RIGHT($K51,3)="2SP"),VLOOKUP(CONCATENATE(LEFT($K51,2),"L"),$R$63:$T$90,3,FALSE),0)-IF(AND($L$16=I$18,$L$14&lt;&gt;$L$15,$L$16=$L$17,RIGHT($L51,3)="2SP"),VLOOKUP(CONCATENATE(LEFT($L51,2),"L"),$R$63:$T$90,3,FALSE),0)-IF(AND($M$16=I$18,$M$14&lt;&gt;$M$15,$M$16=$M$17,RIGHT($M51,3)="2SP"),VLOOKUP(CONCATENATE(LEFT($M51,2),"L"),$R$63:$T$90,3,FALSE),0)-IF(AND($N$16=I$18,$N$14&lt;&gt;$N$15,$N$16=$N$17,RIGHT($N51,3)="2SP"),VLOOKUP(CONCATENATE(LEFT($N51,2),"L"),$R$63:$T$90,3,FALSE),0)-IF(AND($O$16=I$18,$O$14&lt;&gt;$O$15,$O$16=$O$17,RIGHT($O51,3)="2SP"),VLOOKUP(CONCATENATE(LEFT($O51,2),"L"),$R$63:$T$90,3,FALSE),0)-IF(AND($P$16=I$18,$P$14&lt;&gt;$P$15,$P$16=$P$17,RIGHT($P51,3)="2SP"),VLOOKUP(CONCATENATE(LEFT($P51,2),"L"),$R$63:$T$90,3,FALSE),0)-IF(AND($Q$16=I$18,$Q$14&lt;&gt;$Q$15,$Q$16=$Q$17,RIGHT($Q51,3)="2SP"),VLOOKUP(CONCATENATE(LEFT($Q51,2),"L"),$R$63:$T$90,3,FALSE),0)-IF(AND($T$16=I$18,$T$14&lt;&gt;$T$15,$T$16=$T$17,RIGHT($T51,3)="2SP"),VLOOKUP(CONCATENATE(LEFT($T51,2),"L"),$R$63:$T$90,3,FALSE),0)-IF(AND($U$16=I$18,$U$14&lt;&gt;$U$15,$U$16=$U$17,RIGHT($U51,3)="2SP"),VLOOKUP(CONCATENATE(LEFT($U51,2),"L"),$R$63:$T$90,3,FALSE),0)-IF(AND($V$16=I$18,$V$14&lt;&gt;$V$15,$V$16=$V$17,RIGHT($V51,3)="2SP"),VLOOKUP(CONCATENATE(LEFT($V51,2),"L"),$R$63:$T$90,3,FALSE),0)-IF(AND($W$16=I$18,$W$14&lt;&gt;$W$15,$W$16=$W$17,RIGHT($W51,3)="2SP"),VLOOKUP(CONCATENATE(LEFT($W51,2),"L"),$R$63:$T$90,3,FALSE),0)-IF(AND($X$16=I$18,$X$14&lt;&gt;$X$15,$X$16=$X$17,RIGHT($X51,3)="2SP"),VLOOKUP(CONCATENATE(LEFT($X51,2),"L"),$R$63:$T$90,3,FALSE),0)-IF(AND($Y$16=I$18,$Y$14&lt;&gt;$Y$15,$Y$16=$Y$17,RIGHT($Y51,3)="2SP"),VLOOKUP(CONCATENATE(LEFT($Y51,2),"L"),$R$63:$T$90,3,FALSE),0),0),"")</f>
        <v/>
      </c>
      <c r="I51" s="271" t="str">
        <f>IF(I$18&lt;&gt;"",IF(VLOOKUP(CONCATENATE($A$18,"Line"),'Supply Attribution'!$F$31:$G$37,2,FALSE)=I$18,$A51,0)+IF(VLOOKUP(CONCATENATE($B$18,"Line"),'Supply Attribution'!$F$31:$G$37,2,FALSE)=I$18,$B51,0)+IF(VLOOKUP(CONCATENATE($C$18,"Line"),'Supply Attribution'!$F$31:$G$37,2,FALSE)=I$18,$C51,0)+IF(VLOOKUP(CONCATENATE($D$18,"Line"),'Supply Attribution'!$F$31:$G$37,2,FALSE)=I$18,$D51,0)+IF(VLOOKUP(CONCATENATE($E$18,"Line"),'Supply Attribution'!$F$31:$G$37,2,FALSE)=I$18,$E51,0)+IF(VLOOKUP(CONCATENATE($F$18,"Line"),'Supply Attribution'!$F$31:$G$37,2,FALSE)=I$18,$F51,0)+IF($K$6="UL",LEFT($S$90,2),0)-IF(AND($K$16=I$18,$K$14&lt;&gt;$K$15,$K$16=$K$17,RIGHT($K51,3)="2SP"),VLOOKUP(CONCATENATE(LEFT($K51,2),"L"),$R$63:$T$90,3,FALSE),0)-IF(AND($L$16=I$18,$L$14&lt;&gt;$L$15,$L$16=$L$17,RIGHT($L51,3)="2SP"),VLOOKUP(CONCATENATE(LEFT($L51,2),"L"),$R$63:$T$90,3,FALSE),0)-IF(AND($M$16=I$18,$M$14&lt;&gt;$M$15,$M$16=$M$17,RIGHT($M51,3)="2SP"),VLOOKUP(CONCATENATE(LEFT($M51,2),"L"),$R$63:$T$90,3,FALSE),0)-IF(AND($N$16=I$18,$N$14&lt;&gt;$N$15,$N$16=$N$17,RIGHT($N51,3)="2SP"),VLOOKUP(CONCATENATE(LEFT($N51,2),"L"),$R$63:$T$90,3,FALSE),0)-IF(AND($O$16=I$18,$O$14&lt;&gt;$O$15,$O$16=$O$17,RIGHT($O51,3)="2SP"),VLOOKUP(CONCATENATE(LEFT($O51,2),"L"),$R$63:$T$90,3,FALSE),0)-IF(AND($P$16=I$18,$P$14&lt;&gt;$P$15,$P$16=$P$17,RIGHT($P51,3)="2SP"),VLOOKUP(CONCATENATE(LEFT($P51,2),"L"),$R$63:$T$90,3,FALSE),0)-IF(AND($Q$16=I$18,$Q$14&lt;&gt;$Q$15,$Q$16=$Q$17,RIGHT($Q51,3)="2SP"),VLOOKUP(CONCATENATE(LEFT($Q51,2),"L"),$R$63:$T$90,3,FALSE),0)-IF(AND($T$16=I$18,$T$14&lt;&gt;$T$15,$T$16=$T$17,RIGHT($T51,3)="2SP"),VLOOKUP(CONCATENATE(LEFT($T51,2),"L"),$R$63:$T$90,3,FALSE),0)-IF(AND($U$16=I$18,$U$14&lt;&gt;$U$15,$U$16=$U$17,RIGHT($U51,3)="2SP"),VLOOKUP(CONCATENATE(LEFT($U51,2),"L"),$R$63:$T$90,3,FALSE),0)-IF(AND($V$16=I$18,$V$14&lt;&gt;$V$15,$V$16=$V$17,RIGHT($V51,3)="2SP"),VLOOKUP(CONCATENATE(LEFT($V51,2),"L"),$R$63:$T$90,3,FALSE),0)-IF(AND($W$16=I$18,$W$14&lt;&gt;$W$15,$W$16=$W$17,RIGHT($W51,3)="2SP"),VLOOKUP(CONCATENATE(LEFT($W51,2),"L"),$R$63:$T$90,3,FALSE),0)-IF(AND($X$16=I$18,$X$14&lt;&gt;$X$15,$X$16=$X$17,RIGHT($X51,3)="2SP"),VLOOKUP(CONCATENATE(LEFT($X51,2),"L"),$R$63:$T$90,3,FALSE),0)-IF(AND($Y$16=I$18,$Y$14&lt;&gt;$Y$15,$Y$16=$Y$17,RIGHT($Y51,3)="2SP"),VLOOKUP(CONCATENATE(LEFT($Y51,2),"L"),$R$63:$T$90,3,FALSE),0),"")</f>
        <v/>
      </c>
      <c r="J51" s="129"/>
      <c r="K51" s="130"/>
      <c r="L51" s="130"/>
      <c r="M51" s="130"/>
      <c r="N51" s="130"/>
      <c r="O51" s="130"/>
      <c r="P51" s="130"/>
      <c r="Q51" s="130"/>
      <c r="R51" s="130"/>
      <c r="S51" s="130"/>
      <c r="T51" s="130"/>
      <c r="U51" s="130"/>
      <c r="V51" s="130"/>
      <c r="W51" s="130"/>
      <c r="X51" s="130"/>
      <c r="Y51" s="130"/>
      <c r="Z51" s="131"/>
      <c r="AA51" s="131"/>
      <c r="AB51" s="132"/>
      <c r="AC51" s="132"/>
      <c r="AD51" s="132"/>
      <c r="AE51" s="133">
        <f t="shared" si="0"/>
        <v>0</v>
      </c>
      <c r="AF51" s="78"/>
    </row>
    <row r="52" spans="1:32">
      <c r="A52" s="270">
        <f>IF(AND($K52&lt;&gt;"",$K52&lt;&gt;"--",$K52&lt;&gt;"O3/CP",$K$14=A$18),IF(LEFT($K52,1)="P",VLOOKUP(CONCATENATE(LEFT($K52,2),"H"),$R$63:$T$91,3,FALSE),VLOOKUP($K52,$R$63:$T$91,3,FALSE)))+IF(AND($K52&lt;&gt;"",$K52&lt;&gt;"O3/CP",$K$15=A$18,MID($K52,4,1)="2",$K$15&lt;&gt;$K$14),VLOOKUP(CONCATENATE(LEFT($K52,2),"L"),$R$63:$T$91,3,FALSE),0)+IF(AND($K52="O3/CP",$K$14=A$18),VLOOKUP("O3",$R$63:$T$91,3,FALSE)+VLOOKUP("CP",$R$63:$T$91,3,FALSE),0)+IF(AND($L52&lt;&gt;"",$L52&lt;&gt;"--",$L52&lt;&gt;"O3/CP",$L$14=A$18),IF(LEFT($L52,1)="P",VLOOKUP(CONCATENATE(LEFT($L52,2),"H"),$R$63:$T$91,3,FALSE),VLOOKUP($L52,$R$63:$T$91,3,FALSE)))+IF(AND($L52&lt;&gt;"",$L52&lt;&gt;"O3/CP",$L$15=A$18,MID($L52,4,1)="2",$L$15&lt;&gt;$L$14),VLOOKUP(CONCATENATE(LEFT($L52,2),"L"),$R$63:$T$91,3,FALSE),0)+IF(AND($L52="O3/CP",$L$14=A$18),VLOOKUP("O3",$R$63:$T$91,3,FALSE)+VLOOKUP("CP",$R$63:$T$91,3,FALSE),0)+IF(AND($M52&lt;&gt;"",$M52&lt;&gt;"--",$M52&lt;&gt;"O3/CP",$M$14=A$18),IF(LEFT($M52,1)="P",VLOOKUP(CONCATENATE(LEFT($M52,2),"H"),$R$63:$T$91,3,FALSE),VLOOKUP($M52,$R$63:$T$91,3,FALSE)))+IF(AND($M52&lt;&gt;"",$M52&lt;&gt;"O3/CP",$M$15=A$18,MID($M52,4,1)="2",$M$15&lt;&gt;$M$14),VLOOKUP(CONCATENATE(LEFT($M52,2),"L"),$R$63:$T$91,3,FALSE),0)+IF(AND($M52="O3/CP",$M$14=A$18),VLOOKUP("O3",$R$63:$T$91,3,FALSE)+VLOOKUP("CP",$R$63:$T$91,3,FALSE),0)+IF(AND($N52&lt;&gt;"",$N52&lt;&gt;"--",$N52&lt;&gt;"O3/CP",$N$14=A$18),IF(LEFT($N52,1)="P",VLOOKUP(CONCATENATE(LEFT($N52,2),"H"),$R$63:$T$91,3,FALSE),VLOOKUP($N52,$R$63:$T$91,3,FALSE)))+IF(AND($N52&lt;&gt;"",$N52&lt;&gt;"O3/CP",$N$15=A$18,MID($N52,4,1)="2",$N$15&lt;&gt;$N$14),VLOOKUP(CONCATENATE(LEFT($N52,2),"L"),$R$63:$T$91,3,FALSE),0)+IF(AND($N52="O3/CP",$N$14=A$18),VLOOKUP("O3",$R$63:$T$91,3,FALSE)+VLOOKUP("CP",$R$63:$T$91,3,FALSE),0)+IF(AND($O52&lt;&gt;"",$O52&lt;&gt;"--",$O52&lt;&gt;"O3/CP",$O$14=A$18),IF(LEFT($O52,1)="P",VLOOKUP(CONCATENATE(LEFT($O52,2),"H"),$R$63:$T$91,3,FALSE),VLOOKUP($O52,$R$63:$T$91,3,FALSE)))+IF(AND($O52&lt;&gt;"",$O52&lt;&gt;"O3/CP",$O$15=A$18,MID($O52,4,1)="2",$O$15&lt;&gt;$O$14),VLOOKUP(CONCATENATE(LEFT($O52,2),"L"),$R$63:$T$91,3,FALSE),0)+IF(AND($O52="O3/CP",$O$14=A$18),VLOOKUP("O3",$R$63:$T$91,3,FALSE)+VLOOKUP("CP",$R$63:$T$91,3,FALSE),0)+IF(AND($P52&lt;&gt;"",$P52&lt;&gt;"--",$P52&lt;&gt;"O3/CP",$P$14=A$18),IF(LEFT($P52,1)="P",VLOOKUP(CONCATENATE(LEFT($P52,2),"H"),$R$63:$T$91,3,FALSE),VLOOKUP($P52,$R$63:$T$91,3,FALSE)))+IF(AND($P52&lt;&gt;"",$P52&lt;&gt;"O3/CP",$P$15=A$18,MID($P52,4,1)="2",$P$15&lt;&gt;$P$14),VLOOKUP(CONCATENATE(LEFT($P52,2),"L"),$R$63:$T$91,3,FALSE),0)+IF(AND($P52="O3/CP",$P$14=A$18),VLOOKUP("O3",$R$63:$T$91,3,FALSE)+VLOOKUP("CP",$R$63:$T$91,3,FALSE),0)+IF(AND($Q52&lt;&gt;"",$Q52&lt;&gt;"--",$Q52&lt;&gt;"O3/CP",$Q$14=A$18),IF(LEFT($Q52,1)="P",VLOOKUP(CONCATENATE(LEFT($Q52,2),"H"),$R$63:$T$91,3,FALSE),VLOOKUP($Q52,$R$63:$T$91,3,FALSE)))+IF(AND($Q52&lt;&gt;"",$Q52&lt;&gt;"O3/CP",$Q$15=A$18,MID($Q52,4,1)="2",$Q$15&lt;&gt;$Q$14),VLOOKUP(CONCATENATE(LEFT($Q52,2),"L"),$R$63:$T$91,3,FALSE),0)+IF(AND($Q52="O3/CP",$Q$14=A$18),VLOOKUP("O3",$R$63:$T$91,3,FALSE)+VLOOKUP("CP",$R$63:$T$91,3,FALSE),0)+IF(AND($R52&lt;&gt;"",$R52&lt;&gt;"--",$R52&lt;&gt;"O3/CP",$R$14=A$18),IF(LEFT($R52,1)="P",VLOOKUP(CONCATENATE(LEFT($R52,2),"H"),$R$63:$T$91,3,FALSE),VLOOKUP($R52,$R$63:$T$91,3,FALSE)))+IF(AND($R52&lt;&gt;"",$R52&lt;&gt;"O3/CP",$R$15=A$18,MID($R52,4,1)="2",$R$15&lt;&gt;$R$14),VLOOKUP(CONCATENATE(LEFT($R52,2),"L"),$R$63:$T$91,3,FALSE),0)+IF(AND($R52="O3/CP",$R$14=A$18),VLOOKUP("O3",$R$63:$T$91,3,FALSE)+VLOOKUP("CP",$R$63:$T$91,3,FALSE),0)+IF(AND($S52&lt;&gt;"",$S52&lt;&gt;"--",$S52&lt;&gt;"O3/CP",$S$14=A$18),IF(LEFT($S52,1)="P",VLOOKUP(CONCATENATE(LEFT($S52,2),"H"),$R$63:$T$91,3,FALSE),VLOOKUP($S52,$R$63:$T$91,3,FALSE)))+IF(AND($S52&lt;&gt;"",$S52&lt;&gt;"O3/CP",$S$15=A$18,MID($S52,4,1)="2",$S$15&lt;&gt;$S$14),VLOOKUP(CONCATENATE(LEFT($S52,2),"L"),$R$63:$T$91,3,FALSE),0)+IF(AND($S52="O3/CP",$S$14=A$18),VLOOKUP("O3",$R$63:$T$91,3,FALSE)+VLOOKUP("CP",$R$63:$T$91,3,FALSE),0)+IF(AND($T52&lt;&gt;"",$T52&lt;&gt;"--",$T52&lt;&gt;"O3/CP",$T$14=A$18),IF(LEFT($T52,1)="P",VLOOKUP(CONCATENATE(LEFT($T52,2),"H"),$R$63:$T$91,3,FALSE),VLOOKUP($T52,$R$63:$T$91,3,FALSE)))+IF(AND($T52&lt;&gt;"",$T52&lt;&gt;"O3/CP",$T$15=A$18,MID($T52,4,1)="2",$T$15&lt;&gt;$T$14),VLOOKUP(CONCATENATE(LEFT($T52,2),"L"),$R$63:$T$91,3,FALSE),0)+IF(AND($T52="O3/CP",$T$14=A$18),VLOOKUP("O3",$R$63:$T$91,3,FALSE)+VLOOKUP("CP",$R$63:$T$91,3,FALSE),0)+IF(AND($U52&lt;&gt;"",$U52&lt;&gt;"--",$U52&lt;&gt;"O3/CP",$U$14=A$18),IF(LEFT($U52,1)="P",VLOOKUP(CONCATENATE(LEFT($U52,2),"H"),$R$63:$T$91,3,FALSE),VLOOKUP($U52,$R$63:$T$91,3,FALSE)))+IF(AND($U52&lt;&gt;"",$U52&lt;&gt;"O3/CP",$U$15=A$18,MID($U52,4,1)="2",$U$15&lt;&gt;$U$14),VLOOKUP(CONCATENATE(LEFT($U52,2),"L"),$R$63:$T$91,3,FALSE),0)+IF(AND($U52="O3/CP",$T$14=A$18),VLOOKUP("O3",$R$63:$T$91,3,FALSE)+VLOOKUP("CP",$R$63:$T$91,3,FALSE),0)+IF(AND($V52&lt;&gt;"",$V52&lt;&gt;"--",$V52&lt;&gt;"O3/CP",$V$14=A$18),IF(LEFT($V52,1)="P",VLOOKUP(CONCATENATE(LEFT($V52,2),"H"),$R$63:$T$91,3,FALSE),VLOOKUP($V52,$R$63:$T$91,3,FALSE)))+IF(AND($V52&lt;&gt;"",$V52&lt;&gt;"O3/CP",$V$15=A$18,MID($V52,4,1)="2",$V$15&lt;&gt;$V$14),VLOOKUP(CONCATENATE(LEFT($V52,2),"L"),$R$63:$T$91,3,FALSE),0)+IF(AND($V52="O3/CP",$V$14=A$18),VLOOKUP("O3",$R$63:$T$91,3,FALSE)+VLOOKUP("CP",$R$63:$T$91,3,FALSE),0)+IF(AND($W52&lt;&gt;"",$W52&lt;&gt;"--",$W52&lt;&gt;"O3/CP",$W$14=A$18),IF(LEFT($W52,1)="P",VLOOKUP(CONCATENATE(LEFT($W52,2),"H"),$R$63:$T$91,3,FALSE),VLOOKUP($W52,$R$63:$T$91,3,FALSE)))+IF(AND($W52&lt;&gt;"",$W52&lt;&gt;"O3/CP",$W$15=A$18,MID($W52,4,1)="2",$W$15&lt;&gt;$W$14),VLOOKUP(CONCATENATE(LEFT($W52,2),"L"),$R$63:$T$91,3,FALSE),0)+IF(AND($W52="O3/CP",$W$14=A$18),VLOOKUP("O3",$R$63:$T$91,3,FALSE)+VLOOKUP("CP",$R$63:$T$91,3,FALSE),0)+IF(AND($X52&lt;&gt;"",$X52&lt;&gt;"--",$X52&lt;&gt;"O3/CP",$X$14=A$18),IF(LEFT($X52,1)="P",VLOOKUP(CONCATENATE(LEFT($X52,2),"H"),$R$63:$T$91,3,FALSE),VLOOKUP($X52,$R$63:$T$91,3,FALSE)))+IF(AND($X52&lt;&gt;"",$X52&lt;&gt;"O3/CP",$X$15=A$18,MID($X52,4,1)="2",$X$15&lt;&gt;$X$14),VLOOKUP(CONCATENATE(LEFT($X52,2),"L"),$R$63:$T$91,3,FALSE),0)+IF(AND($X52="O3/CP",$X$14=A$18),VLOOKUP("O3",$R$63:$T$91,3,FALSE)+VLOOKUP("CP",$R$63:$T$91,3,FALSE),0)+IF(AND($Y52&lt;&gt;"",$Y52&lt;&gt;"--",$Y52&lt;&gt;"O3/CP",$Y$14=A$18),IF(LEFT($Y52,1)="P",VLOOKUP(CONCATENATE(LEFT($Y52,2),"H"),$R$63:$T$91,3,FALSE),VLOOKUP($Y52,$R$63:$T$91,3,FALSE)))+IF(AND($Y52&lt;&gt;"",$Y52&lt;&gt;"O3/CP",$Y$15=A$18,MID($Y52,4,1)="2",$Y$15&lt;&gt;$Y$14),VLOOKUP(CONCATENATE(LEFT($Y52,2),"L"),$R$63:$T$91,3,FALSE),0)+IF(AND($Y52="O3/CP",$Y$14=A$18),VLOOKUP("O3",$R$63:$T$91,3,FALSE)+VLOOKUP("CP",$R$63:$T$91,3,FALSE),0)+IF(AND($K$6="CE",'[3]Supply Attribution'!$G$20=A$18),LEFT($S$90,2),0)+IF(AND($X$86&lt;&gt;"Not Set",$X$87=A$18),$X$86,0)</f>
        <v>0</v>
      </c>
      <c r="B52" s="269">
        <f>IF(AND($K52&lt;&gt;"",$K52&lt;&gt;"--",$K52&lt;&gt;"O3/CP",$K$14=B$18),IF(LEFT($K52,1)="P",VLOOKUP(CONCATENATE(LEFT($K52,2),"H"),$R$63:$T$91,3,FALSE),VLOOKUP($K52,$R$63:$T$91,3,FALSE)))+IF(AND($K52&lt;&gt;"",$K52&lt;&gt;"O3/CP",$K$15=B$18,MID($K52,4,1)="2",$K$15&lt;&gt;$K$14),VLOOKUP(CONCATENATE(LEFT($K52,2),"L"),$R$63:$T$91,3,FALSE),0)+IF(AND($K52="O3/CP",$K$14=B$18),VLOOKUP("O3",$R$63:$T$91,3,FALSE)+VLOOKUP("CP",$R$63:$T$91,3,FALSE),0)+IF(AND($L52&lt;&gt;"",$L52&lt;&gt;"--",$L52&lt;&gt;"O3/CP",$L$14=B$18),IF(LEFT($L52,1)="P",VLOOKUP(CONCATENATE(LEFT($L52,2),"H"),$R$63:$T$91,3,FALSE),VLOOKUP($L52,$R$63:$T$91,3,FALSE)))+IF(AND($L52&lt;&gt;"",$L52&lt;&gt;"O3/CP",$L$15=B$18,MID($L52,4,1)="2",$L$15&lt;&gt;$L$14),VLOOKUP(CONCATENATE(LEFT($L52,2),"L"),$R$63:$T$91,3,FALSE),0)+IF(AND($L52="O3/CP",$L$14=B$18),VLOOKUP("O3",$R$63:$T$91,3,FALSE)+VLOOKUP("CP",$R$63:$T$91,3,FALSE),0)+IF(AND($M52&lt;&gt;"",$M52&lt;&gt;"--",$M52&lt;&gt;"O3/CP",$M$14=B$18),IF(LEFT($M52,1)="P",VLOOKUP(CONCATENATE(LEFT($M52,2),"H"),$R$63:$T$91,3,FALSE),VLOOKUP($M52,$R$63:$T$91,3,FALSE)))+IF(AND($M52&lt;&gt;"",$M52&lt;&gt;"O3/CP",$M$15=B$18,MID($M52,4,1)="2",$M$15&lt;&gt;$M$14),VLOOKUP(CONCATENATE(LEFT($M52,2),"L"),$R$63:$T$91,3,FALSE),0)+IF(AND($M52="O3/CP",$M$14=B$18),VLOOKUP("O3",$R$63:$T$91,3,FALSE)+VLOOKUP("CP",$R$63:$T$91,3,FALSE),0)+IF(AND($N52&lt;&gt;"",$N52&lt;&gt;"--",$N52&lt;&gt;"O3/CP",$N$14=B$18),IF(LEFT($N52,1)="P",VLOOKUP(CONCATENATE(LEFT($N52,2),"H"),$R$63:$T$91,3,FALSE),VLOOKUP($N52,$R$63:$T$91,3,FALSE)))+IF(AND($N52&lt;&gt;"",$N52&lt;&gt;"O3/CP",$N$15=B$18,MID($N52,4,1)="2",$N$15&lt;&gt;$N$14),VLOOKUP(CONCATENATE(LEFT($N52,2),"L"),$R$63:$T$91,3,FALSE),0)+IF(AND($N52="O3/CP",$N$14=B$18),VLOOKUP("O3",$R$63:$T$91,3,FALSE)+VLOOKUP("CP",$R$63:$T$91,3,FALSE),0)+IF(AND($O52&lt;&gt;"",$O52&lt;&gt;"--",$O52&lt;&gt;"O3/CP",$O$14=B$18),IF(LEFT($O52,1)="P",VLOOKUP(CONCATENATE(LEFT($O52,2),"H"),$R$63:$T$91,3,FALSE),VLOOKUP($O52,$R$63:$T$91,3,FALSE)))+IF(AND($O52&lt;&gt;"",$O52&lt;&gt;"O3/CP",$O$15=B$18,MID($O52,4,1)="2",$O$15&lt;&gt;$O$14),VLOOKUP(CONCATENATE(LEFT($O52,2),"L"),$R$63:$T$91,3,FALSE),0)+IF(AND($O52="O3/CP",$O$14=B$18),VLOOKUP("O3",$R$63:$T$91,3,FALSE)+VLOOKUP("CP",$R$63:$T$91,3,FALSE),0)+IF(AND($P52&lt;&gt;"",$P52&lt;&gt;"--",$P52&lt;&gt;"O3/CP",$P$14=B$18),IF(LEFT($P52,1)="P",VLOOKUP(CONCATENATE(LEFT($P52,2),"H"),$R$63:$T$91,3,FALSE),VLOOKUP($P52,$R$63:$T$91,3,FALSE)))+IF(AND($P52&lt;&gt;"",$P52&lt;&gt;"O3/CP",$P$15=B$18,MID($P52,4,1)="2",$P$15&lt;&gt;$P$14),VLOOKUP(CONCATENATE(LEFT($P52,2),"L"),$R$63:$T$91,3,FALSE),0)+IF(AND($P52="O3/CP",$P$14=B$18),VLOOKUP("O3",$R$63:$T$91,3,FALSE)+VLOOKUP("CP",$R$63:$T$91,3,FALSE),0)+IF(AND($Q52&lt;&gt;"",$Q52&lt;&gt;"--",$Q52&lt;&gt;"O3/CP",$Q$14=B$18),IF(LEFT($Q52,1)="P",VLOOKUP(CONCATENATE(LEFT($Q52,2),"H"),$R$63:$T$91,3,FALSE),VLOOKUP($Q52,$R$63:$T$91,3,FALSE)))+IF(AND($Q52&lt;&gt;"",$Q52&lt;&gt;"O3/CP",$Q$15=B$18,MID($Q52,4,1)="2",$Q$15&lt;&gt;$Q$14),VLOOKUP(CONCATENATE(LEFT($Q52,2),"L"),$R$63:$T$91,3,FALSE),0)+IF(AND($Q52="O3/CP",$Q$14=B$18),VLOOKUP("O3",$R$63:$T$91,3,FALSE)+VLOOKUP("CP",$R$63:$T$91,3,FALSE),0)+IF(AND($R52&lt;&gt;"",$R52&lt;&gt;"--",$R52&lt;&gt;"O3/CP",$R$14=B$18),IF(LEFT($R52,1)="P",VLOOKUP(CONCATENATE(LEFT($R52,2),"H"),$R$63:$T$91,3,FALSE),VLOOKUP($R52,$R$63:$T$91,3,FALSE)))+IF(AND($R52&lt;&gt;"",$R52&lt;&gt;"O3/CP",$R$15=B$18,MID($R52,4,1)="2",$R$15&lt;&gt;$R$14),VLOOKUP(CONCATENATE(LEFT($R52,2),"L"),$R$63:$T$91,3,FALSE),0)+IF(AND($R52="O3/CP",$R$14=B$18),VLOOKUP("O3",$R$63:$T$91,3,FALSE)+VLOOKUP("CP",$R$63:$T$91,3,FALSE),0)+IF(AND($S52&lt;&gt;"",$S52&lt;&gt;"--",$S52&lt;&gt;"O3/CP",$S$14=B$18),IF(LEFT($S52,1)="P",VLOOKUP(CONCATENATE(LEFT($S52,2),"H"),$R$63:$T$91,3,FALSE),VLOOKUP($S52,$R$63:$T$91,3,FALSE)))+IF(AND($S52&lt;&gt;"",$S52&lt;&gt;"O3/CP",$S$15=B$18,MID($S52,4,1)="2",$S$15&lt;&gt;$S$14),VLOOKUP(CONCATENATE(LEFT($S52,2),"L"),$R$63:$T$91,3,FALSE),0)+IF(AND($S52="O3/CP",$S$14=B$18),VLOOKUP("O3",$R$63:$T$91,3,FALSE)+VLOOKUP("CP",$R$63:$T$91,3,FALSE),0)+IF(AND($T52&lt;&gt;"",$T52&lt;&gt;"--",$T52&lt;&gt;"O3/CP",$T$14=B$18),IF(LEFT($T52,1)="P",VLOOKUP(CONCATENATE(LEFT($T52,2),"H"),$R$63:$T$91,3,FALSE),VLOOKUP($T52,$R$63:$T$91,3,FALSE)))+IF(AND($T52&lt;&gt;"",$T52&lt;&gt;"O3/CP",$T$15=B$18,MID($T52,4,1)="2",$T$15&lt;&gt;$T$14),VLOOKUP(CONCATENATE(LEFT($T52,2),"L"),$R$63:$T$91,3,FALSE),0)+IF(AND($T52="O3/CP",$T$14=B$18),VLOOKUP("O3",$R$63:$T$91,3,FALSE)+VLOOKUP("CP",$R$63:$T$91,3,FALSE),0)+IF(AND($U52&lt;&gt;"",$U52&lt;&gt;"--",$U52&lt;&gt;"O3/CP",$U$14=B$18),IF(LEFT($U52,1)="P",VLOOKUP(CONCATENATE(LEFT($U52,2),"H"),$R$63:$T$91,3,FALSE),VLOOKUP($U52,$R$63:$T$91,3,FALSE)))+IF(AND($U52&lt;&gt;"",$U52&lt;&gt;"O3/CP",$U$15=B$18,MID($U52,4,1)="2",$U$15&lt;&gt;$U$14),VLOOKUP(CONCATENATE(LEFT($U52,2),"L"),$R$63:$T$91,3,FALSE),0)+IF(AND($U52="O3/CP",$T$14=B$18),VLOOKUP("O3",$R$63:$T$91,3,FALSE)+VLOOKUP("CP",$R$63:$T$91,3,FALSE),0)+IF(AND($V52&lt;&gt;"",$V52&lt;&gt;"--",$V52&lt;&gt;"O3/CP",$V$14=B$18),IF(LEFT($V52,1)="P",VLOOKUP(CONCATENATE(LEFT($V52,2),"H"),$R$63:$T$91,3,FALSE),VLOOKUP($V52,$R$63:$T$91,3,FALSE)))+IF(AND($V52&lt;&gt;"",$V52&lt;&gt;"O3/CP",$V$15=B$18,MID($V52,4,1)="2",$V$15&lt;&gt;$V$14),VLOOKUP(CONCATENATE(LEFT($V52,2),"L"),$R$63:$T$91,3,FALSE),0)+IF(AND($V52="O3/CP",$V$14=B$18),VLOOKUP("O3",$R$63:$T$91,3,FALSE)+VLOOKUP("CP",$R$63:$T$91,3,FALSE),0)+IF(AND($W52&lt;&gt;"",$W52&lt;&gt;"--",$W52&lt;&gt;"O3/CP",$W$14=B$18),IF(LEFT($W52,1)="P",VLOOKUP(CONCATENATE(LEFT($W52,2),"H"),$R$63:$T$91,3,FALSE),VLOOKUP($W52,$R$63:$T$91,3,FALSE)))+IF(AND($W52&lt;&gt;"",$W52&lt;&gt;"O3/CP",$W$15=B$18,MID($W52,4,1)="2",$W$15&lt;&gt;$W$14),VLOOKUP(CONCATENATE(LEFT($W52,2),"L"),$R$63:$T$91,3,FALSE),0)+IF(AND($W52="O3/CP",$W$14=B$18),VLOOKUP("O3",$R$63:$T$91,3,FALSE)+VLOOKUP("CP",$R$63:$T$91,3,FALSE),0)+IF(AND($X52&lt;&gt;"",$X52&lt;&gt;"--",$X52&lt;&gt;"O3/CP",$X$14=B$18),IF(LEFT($X52,1)="P",VLOOKUP(CONCATENATE(LEFT($X52,2),"H"),$R$63:$T$91,3,FALSE),VLOOKUP($X52,$R$63:$T$91,3,FALSE)))+IF(AND($X52&lt;&gt;"",$X52&lt;&gt;"O3/CP",$X$15=B$18,MID($X52,4,1)="2",$X$15&lt;&gt;$X$14),VLOOKUP(CONCATENATE(LEFT($X52,2),"L"),$R$63:$T$91,3,FALSE),0)+IF(AND($X52="O3/CP",$X$14=B$18),VLOOKUP("O3",$R$63:$T$91,3,FALSE)+VLOOKUP("CP",$R$63:$T$91,3,FALSE),0)+IF(AND($Y52&lt;&gt;"",$Y52&lt;&gt;"--",$Y52&lt;&gt;"O3/CP",$Y$14=B$18),IF(LEFT($Y52,1)="P",VLOOKUP(CONCATENATE(LEFT($Y52,2),"H"),$R$63:$T$91,3,FALSE),VLOOKUP($Y52,$R$63:$T$91,3,FALSE)))+IF(AND($Y52&lt;&gt;"",$Y52&lt;&gt;"O3/CP",$Y$15=B$18,MID($Y52,4,1)="2",$Y$15&lt;&gt;$Y$14),VLOOKUP(CONCATENATE(LEFT($Y52,2),"L"),$R$63:$T$91,3,FALSE),0)+IF(AND($Y52="O3/CP",$Y$14=B$18),VLOOKUP("O3",$R$63:$T$91,3,FALSE)+VLOOKUP("CP",$R$63:$T$91,3,FALSE),0)+IF(AND($K$6="CE",'[3]Supply Attribution'!$G$20=B$18),LEFT($S$90,2),0)+IF(AND($X$86&lt;&gt;"Not Set",$X$87=B$18),$X$86,0)</f>
        <v>0</v>
      </c>
      <c r="C52" s="269">
        <f>IF(AND($K52&lt;&gt;"",$K52&lt;&gt;"--",$K52&lt;&gt;"O3/CP",$K$14=C$18),IF(LEFT($K52,1)="P",VLOOKUP(CONCATENATE(LEFT($K52,2),"H"),$R$63:$T$91,3,FALSE),VLOOKUP($K52,$R$63:$T$91,3,FALSE)))+IF(AND($K52&lt;&gt;"",$K52&lt;&gt;"O3/CP",$K$15=C$18,MID($K52,4,1)="2",$K$15&lt;&gt;$K$14),VLOOKUP(CONCATENATE(LEFT($K52,2),"L"),$R$63:$T$91,3,FALSE),0)+IF(AND($K52="O3/CP",$K$14=C$18),VLOOKUP("O3",$R$63:$T$91,3,FALSE)+VLOOKUP("CP",$R$63:$T$91,3,FALSE),0)+IF(AND($L52&lt;&gt;"",$L52&lt;&gt;"--",$L52&lt;&gt;"O3/CP",$L$14=C$18),IF(LEFT($L52,1)="P",VLOOKUP(CONCATENATE(LEFT($L52,2),"H"),$R$63:$T$91,3,FALSE),VLOOKUP($L52,$R$63:$T$91,3,FALSE)))+IF(AND($L52&lt;&gt;"",$L52&lt;&gt;"O3/CP",$L$15=C$18,MID($L52,4,1)="2",$L$15&lt;&gt;$L$14),VLOOKUP(CONCATENATE(LEFT($L52,2),"L"),$R$63:$T$91,3,FALSE),0)+IF(AND($L52="O3/CP",$L$14=C$18),VLOOKUP("O3",$R$63:$T$91,3,FALSE)+VLOOKUP("CP",$R$63:$T$91,3,FALSE),0)+IF(AND($M52&lt;&gt;"",$M52&lt;&gt;"--",$M52&lt;&gt;"O3/CP",$M$14=C$18),IF(LEFT($M52,1)="P",VLOOKUP(CONCATENATE(LEFT($M52,2),"H"),$R$63:$T$91,3,FALSE),VLOOKUP($M52,$R$63:$T$91,3,FALSE)))+IF(AND($M52&lt;&gt;"",$M52&lt;&gt;"O3/CP",$M$15=C$18,MID($M52,4,1)="2",$M$15&lt;&gt;$M$14),VLOOKUP(CONCATENATE(LEFT($M52,2),"L"),$R$63:$T$91,3,FALSE),0)+IF(AND($M52="O3/CP",$M$14=C$18),VLOOKUP("O3",$R$63:$T$91,3,FALSE)+VLOOKUP("CP",$R$63:$T$91,3,FALSE),0)+IF(AND($N52&lt;&gt;"",$N52&lt;&gt;"--",$N52&lt;&gt;"O3/CP",$N$14=C$18),IF(LEFT($N52,1)="P",VLOOKUP(CONCATENATE(LEFT($N52,2),"H"),$R$63:$T$91,3,FALSE),VLOOKUP($N52,$R$63:$T$91,3,FALSE)))+IF(AND($N52&lt;&gt;"",$N52&lt;&gt;"O3/CP",$N$15=C$18,MID($N52,4,1)="2",$N$15&lt;&gt;$N$14),VLOOKUP(CONCATENATE(LEFT($N52,2),"L"),$R$63:$T$91,3,FALSE),0)+IF(AND($N52="O3/CP",$N$14=C$18),VLOOKUP("O3",$R$63:$T$91,3,FALSE)+VLOOKUP("CP",$R$63:$T$91,3,FALSE),0)+IF(AND($O52&lt;&gt;"",$O52&lt;&gt;"--",$O52&lt;&gt;"O3/CP",$O$14=C$18),IF(LEFT($O52,1)="P",VLOOKUP(CONCATENATE(LEFT($O52,2),"H"),$R$63:$T$91,3,FALSE),VLOOKUP($O52,$R$63:$T$91,3,FALSE)))+IF(AND($O52&lt;&gt;"",$O52&lt;&gt;"O3/CP",$O$15=C$18,MID($O52,4,1)="2",$O$15&lt;&gt;$O$14),VLOOKUP(CONCATENATE(LEFT($O52,2),"L"),$R$63:$T$91,3,FALSE),0)+IF(AND($O52="O3/CP",$O$14=C$18),VLOOKUP("O3",$R$63:$T$91,3,FALSE)+VLOOKUP("CP",$R$63:$T$91,3,FALSE),0)+IF(AND($P52&lt;&gt;"",$P52&lt;&gt;"--",$P52&lt;&gt;"O3/CP",$P$14=C$18),IF(LEFT($P52,1)="P",VLOOKUP(CONCATENATE(LEFT($P52,2),"H"),$R$63:$T$91,3,FALSE),VLOOKUP($P52,$R$63:$T$91,3,FALSE)))+IF(AND($P52&lt;&gt;"",$P52&lt;&gt;"O3/CP",$P$15=C$18,MID($P52,4,1)="2",$P$15&lt;&gt;$P$14),VLOOKUP(CONCATENATE(LEFT($P52,2),"L"),$R$63:$T$91,3,FALSE),0)+IF(AND($P52="O3/CP",$P$14=C$18),VLOOKUP("O3",$R$63:$T$91,3,FALSE)+VLOOKUP("CP",$R$63:$T$91,3,FALSE),0)+IF(AND($Q52&lt;&gt;"",$Q52&lt;&gt;"--",$Q52&lt;&gt;"O3/CP",$Q$14=C$18),IF(LEFT($Q52,1)="P",VLOOKUP(CONCATENATE(LEFT($Q52,2),"H"),$R$63:$T$91,3,FALSE),VLOOKUP($Q52,$R$63:$T$91,3,FALSE)))+IF(AND($Q52&lt;&gt;"",$Q52&lt;&gt;"O3/CP",$Q$15=C$18,MID($Q52,4,1)="2",$Q$15&lt;&gt;$Q$14),VLOOKUP(CONCATENATE(LEFT($Q52,2),"L"),$R$63:$T$91,3,FALSE),0)+IF(AND($Q52="O3/CP",$Q$14=C$18),VLOOKUP("O3",$R$63:$T$91,3,FALSE)+VLOOKUP("CP",$R$63:$T$91,3,FALSE),0)+IF(AND($R52&lt;&gt;"",$R52&lt;&gt;"--",$R52&lt;&gt;"O3/CP",$R$14=C$18),IF(LEFT($R52,1)="P",VLOOKUP(CONCATENATE(LEFT($R52,2),"H"),$R$63:$T$91,3,FALSE),VLOOKUP($R52,$R$63:$T$91,3,FALSE)))+IF(AND($R52&lt;&gt;"",$R52&lt;&gt;"O3/CP",$R$15=C$18,MID($R52,4,1)="2",$R$15&lt;&gt;$R$14),VLOOKUP(CONCATENATE(LEFT($R52,2),"L"),$R$63:$T$91,3,FALSE),0)+IF(AND($R52="O3/CP",$R$14=C$18),VLOOKUP("O3",$R$63:$T$91,3,FALSE)+VLOOKUP("CP",$R$63:$T$91,3,FALSE),0)+IF(AND($S52&lt;&gt;"",$S52&lt;&gt;"--",$S52&lt;&gt;"O3/CP",$S$14=C$18),IF(LEFT($S52,1)="P",VLOOKUP(CONCATENATE(LEFT($S52,2),"H"),$R$63:$T$91,3,FALSE),VLOOKUP($S52,$R$63:$T$91,3,FALSE)))+IF(AND($S52&lt;&gt;"",$S52&lt;&gt;"O3/CP",$S$15=C$18,MID($S52,4,1)="2",$S$15&lt;&gt;$S$14),VLOOKUP(CONCATENATE(LEFT($S52,2),"L"),$R$63:$T$91,3,FALSE),0)+IF(AND($S52="O3/CP",$S$14=C$18),VLOOKUP("O3",$R$63:$T$91,3,FALSE)+VLOOKUP("CP",$R$63:$T$91,3,FALSE),0)+IF(AND($T52&lt;&gt;"",$T52&lt;&gt;"--",$T52&lt;&gt;"O3/CP",$T$14=C$18),IF(LEFT($T52,1)="P",VLOOKUP(CONCATENATE(LEFT($T52,2),"H"),$R$63:$T$91,3,FALSE),VLOOKUP($T52,$R$63:$T$91,3,FALSE)))+IF(AND($T52&lt;&gt;"",$T52&lt;&gt;"O3/CP",$T$15=C$18,MID($T52,4,1)="2",$T$15&lt;&gt;$T$14),VLOOKUP(CONCATENATE(LEFT($T52,2),"L"),$R$63:$T$91,3,FALSE),0)+IF(AND($T52="O3/CP",$T$14=C$18),VLOOKUP("O3",$R$63:$T$91,3,FALSE)+VLOOKUP("CP",$R$63:$T$91,3,FALSE),0)+IF(AND($U52&lt;&gt;"",$U52&lt;&gt;"--",$U52&lt;&gt;"O3/CP",$U$14=C$18),IF(LEFT($U52,1)="P",VLOOKUP(CONCATENATE(LEFT($U52,2),"H"),$R$63:$T$91,3,FALSE),VLOOKUP($U52,$R$63:$T$91,3,FALSE)))+IF(AND($U52&lt;&gt;"",$U52&lt;&gt;"O3/CP",$U$15=C$18,MID($U52,4,1)="2",$U$15&lt;&gt;$U$14),VLOOKUP(CONCATENATE(LEFT($U52,2),"L"),$R$63:$T$91,3,FALSE),0)+IF(AND($U52="O3/CP",$T$14=C$18),VLOOKUP("O3",$R$63:$T$91,3,FALSE)+VLOOKUP("CP",$R$63:$T$91,3,FALSE),0)+IF(AND($V52&lt;&gt;"",$V52&lt;&gt;"--",$V52&lt;&gt;"O3/CP",$V$14=C$18),IF(LEFT($V52,1)="P",VLOOKUP(CONCATENATE(LEFT($V52,2),"H"),$R$63:$T$91,3,FALSE),VLOOKUP($V52,$R$63:$T$91,3,FALSE)))+IF(AND($V52&lt;&gt;"",$V52&lt;&gt;"O3/CP",$V$15=C$18,MID($V52,4,1)="2",$V$15&lt;&gt;$V$14),VLOOKUP(CONCATENATE(LEFT($V52,2),"L"),$R$63:$T$91,3,FALSE),0)+IF(AND($V52="O3/CP",$V$14=C$18),VLOOKUP("O3",$R$63:$T$91,3,FALSE)+VLOOKUP("CP",$R$63:$T$91,3,FALSE),0)+IF(AND($W52&lt;&gt;"",$W52&lt;&gt;"--",$W52&lt;&gt;"O3/CP",$W$14=C$18),IF(LEFT($W52,1)="P",VLOOKUP(CONCATENATE(LEFT($W52,2),"H"),$R$63:$T$91,3,FALSE),VLOOKUP($W52,$R$63:$T$91,3,FALSE)))+IF(AND($W52&lt;&gt;"",$W52&lt;&gt;"O3/CP",$W$15=C$18,MID($W52,4,1)="2",$W$15&lt;&gt;$W$14),VLOOKUP(CONCATENATE(LEFT($W52,2),"L"),$R$63:$T$91,3,FALSE),0)+IF(AND($W52="O3/CP",$W$14=C$18),VLOOKUP("O3",$R$63:$T$91,3,FALSE)+VLOOKUP("CP",$R$63:$T$91,3,FALSE),0)+IF(AND($X52&lt;&gt;"",$X52&lt;&gt;"--",$X52&lt;&gt;"O3/CP",$X$14=C$18),IF(LEFT($X52,1)="P",VLOOKUP(CONCATENATE(LEFT($X52,2),"H"),$R$63:$T$91,3,FALSE),VLOOKUP($X52,$R$63:$T$91,3,FALSE)))+IF(AND($X52&lt;&gt;"",$X52&lt;&gt;"O3/CP",$X$15=C$18,MID($X52,4,1)="2",$X$15&lt;&gt;$X$14),VLOOKUP(CONCATENATE(LEFT($X52,2),"L"),$R$63:$T$91,3,FALSE),0)+IF(AND($X52="O3/CP",$X$14=C$18),VLOOKUP("O3",$R$63:$T$91,3,FALSE)+VLOOKUP("CP",$R$63:$T$91,3,FALSE),0)+IF(AND($Y52&lt;&gt;"",$Y52&lt;&gt;"--",$Y52&lt;&gt;"O3/CP",$Y$14=C$18),IF(LEFT($Y52,1)="P",VLOOKUP(CONCATENATE(LEFT($Y52,2),"H"),$R$63:$T$91,3,FALSE),VLOOKUP($Y52,$R$63:$T$91,3,FALSE)))+IF(AND($Y52&lt;&gt;"",$Y52&lt;&gt;"O3/CP",$Y$15=C$18,MID($Y52,4,1)="2",$Y$15&lt;&gt;$Y$14),VLOOKUP(CONCATENATE(LEFT($Y52,2),"L"),$R$63:$T$91,3,FALSE),0)+IF(AND($Y52="O3/CP",$Y$14=C$18),VLOOKUP("O3",$R$63:$T$91,3,FALSE)+VLOOKUP("CP",$R$63:$T$91,3,FALSE),0)+IF(AND($K$6="CE",'[3]Supply Attribution'!$G$20=C$18),LEFT($S$90,2),0)+IF(AND($X$86&lt;&gt;"Not Set",$X$87=C$18),$X$86,0)</f>
        <v>0</v>
      </c>
      <c r="D52" s="269">
        <f>IF(AND($K52&lt;&gt;"",$K52&lt;&gt;"--",$K52&lt;&gt;"O3/CP",$K$14=D$18),IF(LEFT($K52,1)="P",VLOOKUP(CONCATENATE(LEFT($K52,2),"H"),$R$63:$T$91,3,FALSE),VLOOKUP($K52,$R$63:$T$91,3,FALSE)))+IF(AND($K52&lt;&gt;"",$K52&lt;&gt;"O3/CP",$K$15=D$18,MID($K52,4,1)="2",$K$15&lt;&gt;$K$14),VLOOKUP(CONCATENATE(LEFT($K52,2),"L"),$R$63:$T$91,3,FALSE),0)+IF(AND($K52="O3/CP",$K$14=D$18),VLOOKUP("O3",$R$63:$T$91,3,FALSE)+VLOOKUP("CP",$R$63:$T$91,3,FALSE),0)+IF(AND($L52&lt;&gt;"",$L52&lt;&gt;"--",$L52&lt;&gt;"O3/CP",$L$14=D$18),IF(LEFT($L52,1)="P",VLOOKUP(CONCATENATE(LEFT($L52,2),"H"),$R$63:$T$91,3,FALSE),VLOOKUP($L52,$R$63:$T$91,3,FALSE)))+IF(AND($L52&lt;&gt;"",$L52&lt;&gt;"O3/CP",$L$15=D$18,MID($L52,4,1)="2",$L$15&lt;&gt;$L$14),VLOOKUP(CONCATENATE(LEFT($L52,2),"L"),$R$63:$T$91,3,FALSE),0)+IF(AND($L52="O3/CP",$L$14=D$18),VLOOKUP("O3",$R$63:$T$91,3,FALSE)+VLOOKUP("CP",$R$63:$T$91,3,FALSE),0)+IF(AND($M52&lt;&gt;"",$M52&lt;&gt;"--",$M52&lt;&gt;"O3/CP",$M$14=D$18),IF(LEFT($M52,1)="P",VLOOKUP(CONCATENATE(LEFT($M52,2),"H"),$R$63:$T$91,3,FALSE),VLOOKUP($M52,$R$63:$T$91,3,FALSE)))+IF(AND($M52&lt;&gt;"",$M52&lt;&gt;"O3/CP",$M$15=D$18,MID($M52,4,1)="2",$M$15&lt;&gt;$M$14),VLOOKUP(CONCATENATE(LEFT($M52,2),"L"),$R$63:$T$91,3,FALSE),0)+IF(AND($M52="O3/CP",$M$14=D$18),VLOOKUP("O3",$R$63:$T$91,3,FALSE)+VLOOKUP("CP",$R$63:$T$91,3,FALSE),0)+IF(AND($N52&lt;&gt;"",$N52&lt;&gt;"--",$N52&lt;&gt;"O3/CP",$N$14=D$18),IF(LEFT($N52,1)="P",VLOOKUP(CONCATENATE(LEFT($N52,2),"H"),$R$63:$T$91,3,FALSE),VLOOKUP($N52,$R$63:$T$91,3,FALSE)))+IF(AND($N52&lt;&gt;"",$N52&lt;&gt;"O3/CP",$N$15=D$18,MID($N52,4,1)="2",$N$15&lt;&gt;$N$14),VLOOKUP(CONCATENATE(LEFT($N52,2),"L"),$R$63:$T$91,3,FALSE),0)+IF(AND($N52="O3/CP",$N$14=D$18),VLOOKUP("O3",$R$63:$T$91,3,FALSE)+VLOOKUP("CP",$R$63:$T$91,3,FALSE),0)+IF(AND($O52&lt;&gt;"",$O52&lt;&gt;"--",$O52&lt;&gt;"O3/CP",$O$14=D$18),IF(LEFT($O52,1)="P",VLOOKUP(CONCATENATE(LEFT($O52,2),"H"),$R$63:$T$91,3,FALSE),VLOOKUP($O52,$R$63:$T$91,3,FALSE)))+IF(AND($O52&lt;&gt;"",$O52&lt;&gt;"O3/CP",$O$15=D$18,MID($O52,4,1)="2",$O$15&lt;&gt;$O$14),VLOOKUP(CONCATENATE(LEFT($O52,2),"L"),$R$63:$T$91,3,FALSE),0)+IF(AND($O52="O3/CP",$O$14=D$18),VLOOKUP("O3",$R$63:$T$91,3,FALSE)+VLOOKUP("CP",$R$63:$T$91,3,FALSE),0)+IF(AND($P52&lt;&gt;"",$P52&lt;&gt;"--",$P52&lt;&gt;"O3/CP",$P$14=D$18),IF(LEFT($P52,1)="P",VLOOKUP(CONCATENATE(LEFT($P52,2),"H"),$R$63:$T$91,3,FALSE),VLOOKUP($P52,$R$63:$T$91,3,FALSE)))+IF(AND($P52&lt;&gt;"",$P52&lt;&gt;"O3/CP",$P$15=D$18,MID($P52,4,1)="2",$P$15&lt;&gt;$P$14),VLOOKUP(CONCATENATE(LEFT($P52,2),"L"),$R$63:$T$91,3,FALSE),0)+IF(AND($P52="O3/CP",$P$14=D$18),VLOOKUP("O3",$R$63:$T$91,3,FALSE)+VLOOKUP("CP",$R$63:$T$91,3,FALSE),0)+IF(AND($Q52&lt;&gt;"",$Q52&lt;&gt;"--",$Q52&lt;&gt;"O3/CP",$Q$14=D$18),IF(LEFT($Q52,1)="P",VLOOKUP(CONCATENATE(LEFT($Q52,2),"H"),$R$63:$T$91,3,FALSE),VLOOKUP($Q52,$R$63:$T$91,3,FALSE)))+IF(AND($Q52&lt;&gt;"",$Q52&lt;&gt;"O3/CP",$Q$15=D$18,MID($Q52,4,1)="2",$Q$15&lt;&gt;$Q$14),VLOOKUP(CONCATENATE(LEFT($Q52,2),"L"),$R$63:$T$91,3,FALSE),0)+IF(AND($Q52="O3/CP",$Q$14=D$18),VLOOKUP("O3",$R$63:$T$91,3,FALSE)+VLOOKUP("CP",$R$63:$T$91,3,FALSE),0)+IF(AND($R52&lt;&gt;"",$R52&lt;&gt;"--",$R52&lt;&gt;"O3/CP",$R$14=D$18),IF(LEFT($R52,1)="P",VLOOKUP(CONCATENATE(LEFT($R52,2),"H"),$R$63:$T$91,3,FALSE),VLOOKUP($R52,$R$63:$T$91,3,FALSE)))+IF(AND($R52&lt;&gt;"",$R52&lt;&gt;"O3/CP",$R$15=D$18,MID($R52,4,1)="2",$R$15&lt;&gt;$R$14),VLOOKUP(CONCATENATE(LEFT($R52,2),"L"),$R$63:$T$91,3,FALSE),0)+IF(AND($R52="O3/CP",$R$14=D$18),VLOOKUP("O3",$R$63:$T$91,3,FALSE)+VLOOKUP("CP",$R$63:$T$91,3,FALSE),0)+IF(AND($S52&lt;&gt;"",$S52&lt;&gt;"--",$S52&lt;&gt;"O3/CP",$S$14=D$18),IF(LEFT($S52,1)="P",VLOOKUP(CONCATENATE(LEFT($S52,2),"H"),$R$63:$T$91,3,FALSE),VLOOKUP($S52,$R$63:$T$91,3,FALSE)))+IF(AND($S52&lt;&gt;"",$S52&lt;&gt;"O3/CP",$S$15=D$18,MID($S52,4,1)="2",$S$15&lt;&gt;$S$14),VLOOKUP(CONCATENATE(LEFT($S52,2),"L"),$R$63:$T$91,3,FALSE),0)+IF(AND($S52="O3/CP",$S$14=D$18),VLOOKUP("O3",$R$63:$T$91,3,FALSE)+VLOOKUP("CP",$R$63:$T$91,3,FALSE),0)+IF(AND($T52&lt;&gt;"",$T52&lt;&gt;"--",$T52&lt;&gt;"O3/CP",$T$14=D$18),IF(LEFT($T52,1)="P",VLOOKUP(CONCATENATE(LEFT($T52,2),"H"),$R$63:$T$91,3,FALSE),VLOOKUP($T52,$R$63:$T$91,3,FALSE)))+IF(AND($T52&lt;&gt;"",$T52&lt;&gt;"O3/CP",$T$15=D$18,MID($T52,4,1)="2",$T$15&lt;&gt;$T$14),VLOOKUP(CONCATENATE(LEFT($T52,2),"L"),$R$63:$T$91,3,FALSE),0)+IF(AND($T52="O3/CP",$T$14=D$18),VLOOKUP("O3",$R$63:$T$91,3,FALSE)+VLOOKUP("CP",$R$63:$T$91,3,FALSE),0)+IF(AND($U52&lt;&gt;"",$U52&lt;&gt;"--",$U52&lt;&gt;"O3/CP",$U$14=D$18),IF(LEFT($U52,1)="P",VLOOKUP(CONCATENATE(LEFT($U52,2),"H"),$R$63:$T$91,3,FALSE),VLOOKUP($U52,$R$63:$T$91,3,FALSE)))+IF(AND($U52&lt;&gt;"",$U52&lt;&gt;"O3/CP",$U$15=D$18,MID($U52,4,1)="2",$U$15&lt;&gt;$U$14),VLOOKUP(CONCATENATE(LEFT($U52,2),"L"),$R$63:$T$91,3,FALSE),0)+IF(AND($U52="O3/CP",$T$14=D$18),VLOOKUP("O3",$R$63:$T$91,3,FALSE)+VLOOKUP("CP",$R$63:$T$91,3,FALSE),0)+IF(AND($V52&lt;&gt;"",$V52&lt;&gt;"--",$V52&lt;&gt;"O3/CP",$V$14=D$18),IF(LEFT($V52,1)="P",VLOOKUP(CONCATENATE(LEFT($V52,2),"H"),$R$63:$T$91,3,FALSE),VLOOKUP($V52,$R$63:$T$91,3,FALSE)))+IF(AND($V52&lt;&gt;"",$V52&lt;&gt;"O3/CP",$V$15=D$18,MID($V52,4,1)="2",$V$15&lt;&gt;$V$14),VLOOKUP(CONCATENATE(LEFT($V52,2),"L"),$R$63:$T$91,3,FALSE),0)+IF(AND($V52="O3/CP",$V$14=D$18),VLOOKUP("O3",$R$63:$T$91,3,FALSE)+VLOOKUP("CP",$R$63:$T$91,3,FALSE),0)+IF(AND($W52&lt;&gt;"",$W52&lt;&gt;"--",$W52&lt;&gt;"O3/CP",$W$14=D$18),IF(LEFT($W52,1)="P",VLOOKUP(CONCATENATE(LEFT($W52,2),"H"),$R$63:$T$91,3,FALSE),VLOOKUP($W52,$R$63:$T$91,3,FALSE)))+IF(AND($W52&lt;&gt;"",$W52&lt;&gt;"O3/CP",$W$15=D$18,MID($W52,4,1)="2",$W$15&lt;&gt;$W$14),VLOOKUP(CONCATENATE(LEFT($W52,2),"L"),$R$63:$T$91,3,FALSE),0)+IF(AND($W52="O3/CP",$W$14=D$18),VLOOKUP("O3",$R$63:$T$91,3,FALSE)+VLOOKUP("CP",$R$63:$T$91,3,FALSE),0)+IF(AND($X52&lt;&gt;"",$X52&lt;&gt;"--",$X52&lt;&gt;"O3/CP",$X$14=D$18),IF(LEFT($X52,1)="P",VLOOKUP(CONCATENATE(LEFT($X52,2),"H"),$R$63:$T$91,3,FALSE),VLOOKUP($X52,$R$63:$T$91,3,FALSE)))+IF(AND($X52&lt;&gt;"",$X52&lt;&gt;"O3/CP",$X$15=D$18,MID($X52,4,1)="2",$X$15&lt;&gt;$X$14),VLOOKUP(CONCATENATE(LEFT($X52,2),"L"),$R$63:$T$91,3,FALSE),0)+IF(AND($X52="O3/CP",$X$14=D$18),VLOOKUP("O3",$R$63:$T$91,3,FALSE)+VLOOKUP("CP",$R$63:$T$91,3,FALSE),0)+IF(AND($Y52&lt;&gt;"",$Y52&lt;&gt;"--",$Y52&lt;&gt;"O3/CP",$Y$14=D$18),IF(LEFT($Y52,1)="P",VLOOKUP(CONCATENATE(LEFT($Y52,2),"H"),$R$63:$T$91,3,FALSE),VLOOKUP($Y52,$R$63:$T$91,3,FALSE)))+IF(AND($Y52&lt;&gt;"",$Y52&lt;&gt;"O3/CP",$Y$15=D$18,MID($Y52,4,1)="2",$Y$15&lt;&gt;$Y$14),VLOOKUP(CONCATENATE(LEFT($Y52,2),"L"),$R$63:$T$91,3,FALSE),0)+IF(AND($Y52="O3/CP",$Y$14=D$18),VLOOKUP("O3",$R$63:$T$91,3,FALSE)+VLOOKUP("CP",$R$63:$T$91,3,FALSE),0)+IF(AND($K$6="CE",'[3]Supply Attribution'!$G$20=D$18),LEFT($S$90,2),0)+IF(AND($X$86&lt;&gt;"Not Set",$X$87=D$18),$X$86,0)</f>
        <v>0</v>
      </c>
      <c r="E52" s="269">
        <f>IF(AND($K52&lt;&gt;"",$K52&lt;&gt;"--",$K52&lt;&gt;"O3/CP",$K$14=E$18),IF(LEFT($K52,1)="P",VLOOKUP(CONCATENATE(LEFT($K52,2),"H"),$R$63:$T$91,3,FALSE),VLOOKUP($K52,$R$63:$T$91,3,FALSE)))+IF(AND($K52&lt;&gt;"",$K52&lt;&gt;"O3/CP",$K$15=E$18,MID($K52,4,1)="2",$K$15&lt;&gt;$K$14),VLOOKUP(CONCATENATE(LEFT($K52,2),"L"),$R$63:$T$91,3,FALSE),0)+IF(AND($K52="O3/CP",$K$14=E$18),VLOOKUP("O3",$R$63:$T$91,3,FALSE)+VLOOKUP("CP",$R$63:$T$91,3,FALSE),0)+IF(AND($L52&lt;&gt;"",$L52&lt;&gt;"--",$L52&lt;&gt;"O3/CP",$L$14=E$18),IF(LEFT($L52,1)="P",VLOOKUP(CONCATENATE(LEFT($L52,2),"H"),$R$63:$T$91,3,FALSE),VLOOKUP($L52,$R$63:$T$91,3,FALSE)))+IF(AND($L52&lt;&gt;"",$L52&lt;&gt;"O3/CP",$L$15=E$18,MID($L52,4,1)="2",$L$15&lt;&gt;$L$14),VLOOKUP(CONCATENATE(LEFT($L52,2),"L"),$R$63:$T$91,3,FALSE),0)+IF(AND($L52="O3/CP",$L$14=E$18),VLOOKUP("O3",$R$63:$T$91,3,FALSE)+VLOOKUP("CP",$R$63:$T$91,3,FALSE),0)+IF(AND($M52&lt;&gt;"",$M52&lt;&gt;"--",$M52&lt;&gt;"O3/CP",$M$14=E$18),IF(LEFT($M52,1)="P",VLOOKUP(CONCATENATE(LEFT($M52,2),"H"),$R$63:$T$91,3,FALSE),VLOOKUP($M52,$R$63:$T$91,3,FALSE)))+IF(AND($M52&lt;&gt;"",$M52&lt;&gt;"O3/CP",$M$15=E$18,MID($M52,4,1)="2",$M$15&lt;&gt;$M$14),VLOOKUP(CONCATENATE(LEFT($M52,2),"L"),$R$63:$T$91,3,FALSE),0)+IF(AND($M52="O3/CP",$M$14=E$18),VLOOKUP("O3",$R$63:$T$91,3,FALSE)+VLOOKUP("CP",$R$63:$T$91,3,FALSE),0)+IF(AND($N52&lt;&gt;"",$N52&lt;&gt;"--",$N52&lt;&gt;"O3/CP",$N$14=E$18),IF(LEFT($N52,1)="P",VLOOKUP(CONCATENATE(LEFT($N52,2),"H"),$R$63:$T$91,3,FALSE),VLOOKUP($N52,$R$63:$T$91,3,FALSE)))+IF(AND($N52&lt;&gt;"",$N52&lt;&gt;"O3/CP",$N$15=E$18,MID($N52,4,1)="2",$N$15&lt;&gt;$N$14),VLOOKUP(CONCATENATE(LEFT($N52,2),"L"),$R$63:$T$91,3,FALSE),0)+IF(AND($N52="O3/CP",$N$14=E$18),VLOOKUP("O3",$R$63:$T$91,3,FALSE)+VLOOKUP("CP",$R$63:$T$91,3,FALSE),0)+IF(AND($O52&lt;&gt;"",$O52&lt;&gt;"--",$O52&lt;&gt;"O3/CP",$O$14=E$18),IF(LEFT($O52,1)="P",VLOOKUP(CONCATENATE(LEFT($O52,2),"H"),$R$63:$T$91,3,FALSE),VLOOKUP($O52,$R$63:$T$91,3,FALSE)))+IF(AND($O52&lt;&gt;"",$O52&lt;&gt;"O3/CP",$O$15=E$18,MID($O52,4,1)="2",$O$15&lt;&gt;$O$14),VLOOKUP(CONCATENATE(LEFT($O52,2),"L"),$R$63:$T$91,3,FALSE),0)+IF(AND($O52="O3/CP",$O$14=E$18),VLOOKUP("O3",$R$63:$T$91,3,FALSE)+VLOOKUP("CP",$R$63:$T$91,3,FALSE),0)+IF(AND($P52&lt;&gt;"",$P52&lt;&gt;"--",$P52&lt;&gt;"O3/CP",$P$14=E$18),IF(LEFT($P52,1)="P",VLOOKUP(CONCATENATE(LEFT($P52,2),"H"),$R$63:$T$91,3,FALSE),VLOOKUP($P52,$R$63:$T$91,3,FALSE)))+IF(AND($P52&lt;&gt;"",$P52&lt;&gt;"O3/CP",$P$15=E$18,MID($P52,4,1)="2",$P$15&lt;&gt;$P$14),VLOOKUP(CONCATENATE(LEFT($P52,2),"L"),$R$63:$T$91,3,FALSE),0)+IF(AND($P52="O3/CP",$P$14=E$18),VLOOKUP("O3",$R$63:$T$91,3,FALSE)+VLOOKUP("CP",$R$63:$T$91,3,FALSE),0)+IF(AND($Q52&lt;&gt;"",$Q52&lt;&gt;"--",$Q52&lt;&gt;"O3/CP",$Q$14=E$18),IF(LEFT($Q52,1)="P",VLOOKUP(CONCATENATE(LEFT($Q52,2),"H"),$R$63:$T$91,3,FALSE),VLOOKUP($Q52,$R$63:$T$91,3,FALSE)))+IF(AND($Q52&lt;&gt;"",$Q52&lt;&gt;"O3/CP",$Q$15=E$18,MID($Q52,4,1)="2",$Q$15&lt;&gt;$Q$14),VLOOKUP(CONCATENATE(LEFT($Q52,2),"L"),$R$63:$T$91,3,FALSE),0)+IF(AND($Q52="O3/CP",$Q$14=E$18),VLOOKUP("O3",$R$63:$T$91,3,FALSE)+VLOOKUP("CP",$R$63:$T$91,3,FALSE),0)+IF(AND($R52&lt;&gt;"",$R52&lt;&gt;"--",$R52&lt;&gt;"O3/CP",$R$14=E$18),IF(LEFT($R52,1)="P",VLOOKUP(CONCATENATE(LEFT($R52,2),"H"),$R$63:$T$91,3,FALSE),VLOOKUP($R52,$R$63:$T$91,3,FALSE)))+IF(AND($R52&lt;&gt;"",$R52&lt;&gt;"O3/CP",$R$15=E$18,MID($R52,4,1)="2",$R$15&lt;&gt;$R$14),VLOOKUP(CONCATENATE(LEFT($R52,2),"L"),$R$63:$T$91,3,FALSE),0)+IF(AND($R52="O3/CP",$R$14=E$18),VLOOKUP("O3",$R$63:$T$91,3,FALSE)+VLOOKUP("CP",$R$63:$T$91,3,FALSE),0)+IF(AND($S52&lt;&gt;"",$S52&lt;&gt;"--",$S52&lt;&gt;"O3/CP",$S$14=E$18),IF(LEFT($S52,1)="P",VLOOKUP(CONCATENATE(LEFT($S52,2),"H"),$R$63:$T$91,3,FALSE),VLOOKUP($S52,$R$63:$T$91,3,FALSE)))+IF(AND($S52&lt;&gt;"",$S52&lt;&gt;"O3/CP",$S$15=E$18,MID($S52,4,1)="2",$S$15&lt;&gt;$S$14),VLOOKUP(CONCATENATE(LEFT($S52,2),"L"),$R$63:$T$91,3,FALSE),0)+IF(AND($S52="O3/CP",$S$14=E$18),VLOOKUP("O3",$R$63:$T$91,3,FALSE)+VLOOKUP("CP",$R$63:$T$91,3,FALSE),0)+IF(AND($T52&lt;&gt;"",$T52&lt;&gt;"--",$T52&lt;&gt;"O3/CP",$T$14=E$18),IF(LEFT($T52,1)="P",VLOOKUP(CONCATENATE(LEFT($T52,2),"H"),$R$63:$T$91,3,FALSE),VLOOKUP($T52,$R$63:$T$91,3,FALSE)))+IF(AND($T52&lt;&gt;"",$T52&lt;&gt;"O3/CP",$T$15=E$18,MID($T52,4,1)="2",$T$15&lt;&gt;$T$14),VLOOKUP(CONCATENATE(LEFT($T52,2),"L"),$R$63:$T$91,3,FALSE),0)+IF(AND($T52="O3/CP",$T$14=E$18),VLOOKUP("O3",$R$63:$T$91,3,FALSE)+VLOOKUP("CP",$R$63:$T$91,3,FALSE),0)+IF(AND($U52&lt;&gt;"",$U52&lt;&gt;"--",$U52&lt;&gt;"O3/CP",$U$14=E$18),IF(LEFT($U52,1)="P",VLOOKUP(CONCATENATE(LEFT($U52,2),"H"),$R$63:$T$91,3,FALSE),VLOOKUP($U52,$R$63:$T$91,3,FALSE)))+IF(AND($U52&lt;&gt;"",$U52&lt;&gt;"O3/CP",$U$15=E$18,MID($U52,4,1)="2",$U$15&lt;&gt;$U$14),VLOOKUP(CONCATENATE(LEFT($U52,2),"L"),$R$63:$T$91,3,FALSE),0)+IF(AND($U52="O3/CP",$T$14=E$18),VLOOKUP("O3",$R$63:$T$91,3,FALSE)+VLOOKUP("CP",$R$63:$T$91,3,FALSE),0)+IF(AND($V52&lt;&gt;"",$V52&lt;&gt;"--",$V52&lt;&gt;"O3/CP",$V$14=E$18),IF(LEFT($V52,1)="P",VLOOKUP(CONCATENATE(LEFT($V52,2),"H"),$R$63:$T$91,3,FALSE),VLOOKUP($V52,$R$63:$T$91,3,FALSE)))+IF(AND($V52&lt;&gt;"",$V52&lt;&gt;"O3/CP",$V$15=E$18,MID($V52,4,1)="2",$V$15&lt;&gt;$V$14),VLOOKUP(CONCATENATE(LEFT($V52,2),"L"),$R$63:$T$91,3,FALSE),0)+IF(AND($V52="O3/CP",$V$14=E$18),VLOOKUP("O3",$R$63:$T$91,3,FALSE)+VLOOKUP("CP",$R$63:$T$91,3,FALSE),0)+IF(AND($W52&lt;&gt;"",$W52&lt;&gt;"--",$W52&lt;&gt;"O3/CP",$W$14=E$18),IF(LEFT($W52,1)="P",VLOOKUP(CONCATENATE(LEFT($W52,2),"H"),$R$63:$T$91,3,FALSE),VLOOKUP($W52,$R$63:$T$91,3,FALSE)))+IF(AND($W52&lt;&gt;"",$W52&lt;&gt;"O3/CP",$W$15=E$18,MID($W52,4,1)="2",$W$15&lt;&gt;$W$14),VLOOKUP(CONCATENATE(LEFT($W52,2),"L"),$R$63:$T$91,3,FALSE),0)+IF(AND($W52="O3/CP",$W$14=E$18),VLOOKUP("O3",$R$63:$T$91,3,FALSE)+VLOOKUP("CP",$R$63:$T$91,3,FALSE),0)+IF(AND($X52&lt;&gt;"",$X52&lt;&gt;"--",$X52&lt;&gt;"O3/CP",$X$14=E$18),IF(LEFT($X52,1)="P",VLOOKUP(CONCATENATE(LEFT($X52,2),"H"),$R$63:$T$91,3,FALSE),VLOOKUP($X52,$R$63:$T$91,3,FALSE)))+IF(AND($X52&lt;&gt;"",$X52&lt;&gt;"O3/CP",$X$15=E$18,MID($X52,4,1)="2",$X$15&lt;&gt;$X$14),VLOOKUP(CONCATENATE(LEFT($X52,2),"L"),$R$63:$T$91,3,FALSE),0)+IF(AND($X52="O3/CP",$X$14=E$18),VLOOKUP("O3",$R$63:$T$91,3,FALSE)+VLOOKUP("CP",$R$63:$T$91,3,FALSE),0)+IF(AND($Y52&lt;&gt;"",$Y52&lt;&gt;"--",$Y52&lt;&gt;"O3/CP",$Y$14=E$18),IF(LEFT($Y52,1)="P",VLOOKUP(CONCATENATE(LEFT($Y52,2),"H"),$R$63:$T$91,3,FALSE),VLOOKUP($Y52,$R$63:$T$91,3,FALSE)))+IF(AND($Y52&lt;&gt;"",$Y52&lt;&gt;"O3/CP",$Y$15=E$18,MID($Y52,4,1)="2",$Y$15&lt;&gt;$Y$14),VLOOKUP(CONCATENATE(LEFT($Y52,2),"L"),$R$63:$T$91,3,FALSE),0)+IF(AND($Y52="O3/CP",$Y$14=E$18),VLOOKUP("O3",$R$63:$T$91,3,FALSE)+VLOOKUP("CP",$R$63:$T$91,3,FALSE),0)+IF(AND($K$6="CE",'[3]Supply Attribution'!$G$20=E$18),LEFT($S$90,2),0)+IF(AND($X$86&lt;&gt;"Not Set",$X$87=E$18),$X$86,0)</f>
        <v>0</v>
      </c>
      <c r="F52" s="268">
        <f>IF(AND($K52&lt;&gt;"",$K52&lt;&gt;"--",$K52&lt;&gt;"O3/CP",$K$14=F$18),IF(LEFT($K52,1)="P",VLOOKUP(CONCATENATE(LEFT($K52,2),"H"),$R$63:$T$91,3,FALSE),VLOOKUP($K52,$R$63:$T$91,3,FALSE)))+IF(AND($K52&lt;&gt;"",$K52&lt;&gt;"O3/CP",$K$15=F$18,MID($K52,4,1)="2",$K$15&lt;&gt;$K$14),VLOOKUP(CONCATENATE(LEFT($K52,2),"L"),$R$63:$T$91,3,FALSE),0)+IF(AND($K52="O3/CP",$K$14=F$18),VLOOKUP("O3",$R$63:$T$91,3,FALSE)+VLOOKUP("CP",$R$63:$T$91,3,FALSE),0)+IF(AND($L52&lt;&gt;"",$L52&lt;&gt;"--",$L52&lt;&gt;"O3/CP",$L$14=F$18),IF(LEFT($L52,1)="P",VLOOKUP(CONCATENATE(LEFT($L52,2),"H"),$R$63:$T$91,3,FALSE),VLOOKUP($L52,$R$63:$T$91,3,FALSE)))+IF(AND($L52&lt;&gt;"",$L52&lt;&gt;"O3/CP",$L$15=F$18,MID($L52,4,1)="2",$L$15&lt;&gt;$L$14),VLOOKUP(CONCATENATE(LEFT($L52,2),"L"),$R$63:$T$91,3,FALSE),0)+IF(AND($L52="O3/CP",$L$14=F$18),VLOOKUP("O3",$R$63:$T$91,3,FALSE)+VLOOKUP("CP",$R$63:$T$91,3,FALSE),0)+IF(AND($M52&lt;&gt;"",$M52&lt;&gt;"--",$M52&lt;&gt;"O3/CP",$M$14=F$18),IF(LEFT($M52,1)="P",VLOOKUP(CONCATENATE(LEFT($M52,2),"H"),$R$63:$T$91,3,FALSE),VLOOKUP($M52,$R$63:$T$91,3,FALSE)))+IF(AND($M52&lt;&gt;"",$M52&lt;&gt;"O3/CP",$M$15=F$18,MID($M52,4,1)="2",$M$15&lt;&gt;$M$14),VLOOKUP(CONCATENATE(LEFT($M52,2),"L"),$R$63:$T$91,3,FALSE),0)+IF(AND($M52="O3/CP",$M$14=F$18),VLOOKUP("O3",$R$63:$T$91,3,FALSE)+VLOOKUP("CP",$R$63:$T$91,3,FALSE),0)+IF(AND($N52&lt;&gt;"",$N52&lt;&gt;"--",$N52&lt;&gt;"O3/CP",$N$14=F$18),IF(LEFT($N52,1)="P",VLOOKUP(CONCATENATE(LEFT($N52,2),"H"),$R$63:$T$91,3,FALSE),VLOOKUP($N52,$R$63:$T$91,3,FALSE)))+IF(AND($N52&lt;&gt;"",$N52&lt;&gt;"O3/CP",$N$15=F$18,MID($N52,4,1)="2",$N$15&lt;&gt;$N$14),VLOOKUP(CONCATENATE(LEFT($N52,2),"L"),$R$63:$T$91,3,FALSE),0)+IF(AND($N52="O3/CP",$N$14=F$18),VLOOKUP("O3",$R$63:$T$91,3,FALSE)+VLOOKUP("CP",$R$63:$T$91,3,FALSE),0)+IF(AND($O52&lt;&gt;"",$O52&lt;&gt;"--",$O52&lt;&gt;"O3/CP",$O$14=F$18),IF(LEFT($O52,1)="P",VLOOKUP(CONCATENATE(LEFT($O52,2),"H"),$R$63:$T$91,3,FALSE),VLOOKUP($O52,$R$63:$T$91,3,FALSE)))+IF(AND($O52&lt;&gt;"",$O52&lt;&gt;"O3/CP",$O$15=F$18,MID($O52,4,1)="2",$O$15&lt;&gt;$O$14),VLOOKUP(CONCATENATE(LEFT($O52,2),"L"),$R$63:$T$91,3,FALSE),0)+IF(AND($O52="O3/CP",$O$14=F$18),VLOOKUP("O3",$R$63:$T$91,3,FALSE)+VLOOKUP("CP",$R$63:$T$91,3,FALSE),0)+IF(AND($P52&lt;&gt;"",$P52&lt;&gt;"--",$P52&lt;&gt;"O3/CP",$P$14=F$18),IF(LEFT($P52,1)="P",VLOOKUP(CONCATENATE(LEFT($P52,2),"H"),$R$63:$T$91,3,FALSE),VLOOKUP($P52,$R$63:$T$91,3,FALSE)))+IF(AND($P52&lt;&gt;"",$P52&lt;&gt;"O3/CP",$P$15=F$18,MID($P52,4,1)="2",$P$15&lt;&gt;$P$14),VLOOKUP(CONCATENATE(LEFT($P52,2),"L"),$R$63:$T$91,3,FALSE),0)+IF(AND($P52="O3/CP",$P$14=F$18),VLOOKUP("O3",$R$63:$T$91,3,FALSE)+VLOOKUP("CP",$R$63:$T$91,3,FALSE),0)+IF(AND($Q52&lt;&gt;"",$Q52&lt;&gt;"--",$Q52&lt;&gt;"O3/CP",$Q$14=F$18),IF(LEFT($Q52,1)="P",VLOOKUP(CONCATENATE(LEFT($Q52,2),"H"),$R$63:$T$91,3,FALSE),VLOOKUP($Q52,$R$63:$T$91,3,FALSE)))+IF(AND($Q52&lt;&gt;"",$Q52&lt;&gt;"O3/CP",$Q$15=F$18,MID($Q52,4,1)="2",$Q$15&lt;&gt;$Q$14),VLOOKUP(CONCATENATE(LEFT($Q52,2),"L"),$R$63:$T$91,3,FALSE),0)+IF(AND($Q52="O3/CP",$Q$14=F$18),VLOOKUP("O3",$R$63:$T$91,3,FALSE)+VLOOKUP("CP",$R$63:$T$91,3,FALSE),0)+IF(AND($R52&lt;&gt;"",$R52&lt;&gt;"--",$R52&lt;&gt;"O3/CP",$R$14=F$18),IF(LEFT($R52,1)="P",VLOOKUP(CONCATENATE(LEFT($R52,2),"H"),$R$63:$T$91,3,FALSE),VLOOKUP($R52,$R$63:$T$91,3,FALSE)))+IF(AND($R52&lt;&gt;"",$R52&lt;&gt;"O3/CP",$R$15=F$18,MID($R52,4,1)="2",$R$15&lt;&gt;$R$14),VLOOKUP(CONCATENATE(LEFT($R52,2),"L"),$R$63:$T$91,3,FALSE),0)+IF(AND($R52="O3/CP",$R$14=F$18),VLOOKUP("O3",$R$63:$T$91,3,FALSE)+VLOOKUP("CP",$R$63:$T$91,3,FALSE),0)+IF(AND($S52&lt;&gt;"",$S52&lt;&gt;"--",$S52&lt;&gt;"O3/CP",$S$14=F$18),IF(LEFT($S52,1)="P",VLOOKUP(CONCATENATE(LEFT($S52,2),"H"),$R$63:$T$91,3,FALSE),VLOOKUP($S52,$R$63:$T$91,3,FALSE)))+IF(AND($S52&lt;&gt;"",$S52&lt;&gt;"O3/CP",$S$15=F$18,MID($S52,4,1)="2",$S$15&lt;&gt;$S$14),VLOOKUP(CONCATENATE(LEFT($S52,2),"L"),$R$63:$T$91,3,FALSE),0)+IF(AND($S52="O3/CP",$S$14=F$18),VLOOKUP("O3",$R$63:$T$91,3,FALSE)+VLOOKUP("CP",$R$63:$T$91,3,FALSE),0)+IF(AND($T52&lt;&gt;"",$T52&lt;&gt;"--",$T52&lt;&gt;"O3/CP",$T$14=F$18),IF(LEFT($T52,1)="P",VLOOKUP(CONCATENATE(LEFT($T52,2),"H"),$R$63:$T$91,3,FALSE),VLOOKUP($T52,$R$63:$T$91,3,FALSE)))+IF(AND($T52&lt;&gt;"",$T52&lt;&gt;"O3/CP",$T$15=F$18,MID($T52,4,1)="2",$T$15&lt;&gt;$T$14),VLOOKUP(CONCATENATE(LEFT($T52,2),"L"),$R$63:$T$91,3,FALSE),0)+IF(AND($T52="O3/CP",$T$14=F$18),VLOOKUP("O3",$R$63:$T$91,3,FALSE)+VLOOKUP("CP",$R$63:$T$91,3,FALSE),0)+IF(AND($U52&lt;&gt;"",$U52&lt;&gt;"--",$U52&lt;&gt;"O3/CP",$U$14=F$18),IF(LEFT($U52,1)="P",VLOOKUP(CONCATENATE(LEFT($U52,2),"H"),$R$63:$T$91,3,FALSE),VLOOKUP($U52,$R$63:$T$91,3,FALSE)))+IF(AND($U52&lt;&gt;"",$U52&lt;&gt;"O3/CP",$U$15=F$18,MID($U52,4,1)="2",$U$15&lt;&gt;$U$14),VLOOKUP(CONCATENATE(LEFT($U52,2),"L"),$R$63:$T$91,3,FALSE),0)+IF(AND($U52="O3/CP",$T$14=F$18),VLOOKUP("O3",$R$63:$T$91,3,FALSE)+VLOOKUP("CP",$R$63:$T$91,3,FALSE),0)+IF(AND($V52&lt;&gt;"",$V52&lt;&gt;"--",$V52&lt;&gt;"O3/CP",$V$14=F$18),IF(LEFT($V52,1)="P",VLOOKUP(CONCATENATE(LEFT($V52,2),"H"),$R$63:$T$91,3,FALSE),VLOOKUP($V52,$R$63:$T$91,3,FALSE)))+IF(AND($V52&lt;&gt;"",$V52&lt;&gt;"O3/CP",$V$15=F$18,MID($V52,4,1)="2",$V$15&lt;&gt;$V$14),VLOOKUP(CONCATENATE(LEFT($V52,2),"L"),$R$63:$T$91,3,FALSE),0)+IF(AND($V52="O3/CP",$V$14=F$18),VLOOKUP("O3",$R$63:$T$91,3,FALSE)+VLOOKUP("CP",$R$63:$T$91,3,FALSE),0)+IF(AND($W52&lt;&gt;"",$W52&lt;&gt;"--",$W52&lt;&gt;"O3/CP",$W$14=F$18),IF(LEFT($W52,1)="P",VLOOKUP(CONCATENATE(LEFT($W52,2),"H"),$R$63:$T$91,3,FALSE),VLOOKUP($W52,$R$63:$T$91,3,FALSE)))+IF(AND($W52&lt;&gt;"",$W52&lt;&gt;"O3/CP",$W$15=F$18,MID($W52,4,1)="2",$W$15&lt;&gt;$W$14),VLOOKUP(CONCATENATE(LEFT($W52,2),"L"),$R$63:$T$91,3,FALSE),0)+IF(AND($W52="O3/CP",$W$14=F$18),VLOOKUP("O3",$R$63:$T$91,3,FALSE)+VLOOKUP("CP",$R$63:$T$91,3,FALSE),0)+IF(AND($X52&lt;&gt;"",$X52&lt;&gt;"--",$X52&lt;&gt;"O3/CP",$X$14=F$18),IF(LEFT($X52,1)="P",VLOOKUP(CONCATENATE(LEFT($X52,2),"H"),$R$63:$T$91,3,FALSE),VLOOKUP($X52,$R$63:$T$91,3,FALSE)))+IF(AND($X52&lt;&gt;"",$X52&lt;&gt;"O3/CP",$X$15=F$18,MID($X52,4,1)="2",$X$15&lt;&gt;$X$14),VLOOKUP(CONCATENATE(LEFT($X52,2),"L"),$R$63:$T$91,3,FALSE),0)+IF(AND($X52="O3/CP",$X$14=F$18),VLOOKUP("O3",$R$63:$T$91,3,FALSE)+VLOOKUP("CP",$R$63:$T$91,3,FALSE),0)+IF(AND($Y52&lt;&gt;"",$Y52&lt;&gt;"--",$Y52&lt;&gt;"O3/CP",$Y$14=F$18),IF(LEFT($Y52,1)="P",VLOOKUP(CONCATENATE(LEFT($Y52,2),"H"),$R$63:$T$91,3,FALSE),VLOOKUP($Y52,$R$63:$T$91,3,FALSE)))+IF(AND($Y52&lt;&gt;"",$Y52&lt;&gt;"O3/CP",$Y$15=F$18,MID($Y52,4,1)="2",$Y$15&lt;&gt;$Y$14),VLOOKUP(CONCATENATE(LEFT($Y52,2),"L"),$R$63:$T$91,3,FALSE),0)+IF(AND($Y52="O3/CP",$Y$14=F$18),VLOOKUP("O3",$R$63:$T$91,3,FALSE)+VLOOKUP("CP",$R$63:$T$91,3,FALSE),0)+IF(AND($K$6="CE",'[3]Supply Attribution'!$G$20=F$18),LEFT($S$90,2),0)+IF(AND($X$86&lt;&gt;"Not Set",$X$87=F$18),$X$86,0)</f>
        <v>0</v>
      </c>
      <c r="G52" s="269">
        <f>IF(AND($K$6="CE",$T$59="1 Phase"),SUM(A52:F52)-IF(AND($K$14&lt;&gt;$K$15,RIGHT($K52,3)="2SP"),VLOOKUP(CONCATENATE(LEFT($K52,2),"L"),$R$63:$T$90,3,FALSE),0)-IF(AND($L$14&lt;&gt;$L$15,RIGHT($L52,3)="2SP"),VLOOKUP(CONCATENATE(LEFT($L52,2),"L"),$R$63:$T$90,3,FALSE),0)-IF(AND($M$14&lt;&gt;$M$15,RIGHT($M52,3)="2SP"),VLOOKUP(CONCATENATE(LEFT($M52,2),"L"),$R$63:$T$90,3,FALSE),0)-IF(AND($N$14&lt;&gt;$N$15,RIGHT($N52,3)="2SP"),VLOOKUP(CONCATENATE(LEFT($N52,2),"L"),$R$63:$T$90,3,FALSE),0)-IF(AND($O$14&lt;&gt;$O$15,RIGHT($O52,3)="2SP"),VLOOKUP(CONCATENATE(LEFT($O52,2),"L"),$R$63:$T$90,3,FALSE),0)-IF(AND($P$14&lt;&gt;$P$15,RIGHT($P52,3)="2SP"),VLOOKUP(CONCATENATE(LEFT($P52,2),"L"),$R$63:$T$90,3,FALSE),0)-IF(AND($Q$14&lt;&gt;$Q$15,RIGHT($Q52,3)="2SP"),VLOOKUP(CONCATENATE(LEFT($Q52,2),"L"),$R$63:$T$90,3,FALSE),0)-IF(AND($R$14&lt;&gt;$R$15,RIGHT($T52,3)="2SP"),VLOOKUP(CONCATENATE(LEFT($R52,2),"L"),$R$63:$T$90,3,FALSE),0)-IF(AND($S$14&lt;&gt;$S$15,RIGHT($T52,3)="2SP"),VLOOKUP(CONCATENATE(LEFT($S52,2),"L"),$R$63:$T$90,3,FALSE),0)-IF(AND($T$14&lt;&gt;$T$15,RIGHT($T52,3)="2SP"),VLOOKUP(CONCATENATE(LEFT($T52,2),"L"),$R$63:$T$90,3,FALSE),0)-IF(AND($U$14&lt;&gt;$U$15,RIGHT($U52,3)="2SP"),VLOOKUP(CONCATENATE(LEFT($U52,2),"L"),$R$63:$T$90,3,FALSE),0)-IF(AND($V$14&lt;&gt;$V$15,RIGHT($V52,3)="2SP"),VLOOKUP(CONCATENATE(LEFT($V52,2),"L"),$R$63:$T$90,3,FALSE),0)-IF(AND($W$14&lt;&gt;$W$15,RIGHT($W52,3)="2SP"),VLOOKUP(CONCATENATE(LEFT($W52,2),"L"),$R$63:$T$90,3,FALSE),0)-IF(AND($X$14&lt;&gt;$X$15,RIGHT($X52,3)="2SP"),VLOOKUP(CONCATENATE(LEFT($X52,2),"L"),$R$63:$T$90,3,FALSE),0)-IF(AND($Y$14&lt;&gt;$Y$15,RIGHT($Y52,3)="2SP"),VLOOKUP(CONCATENATE(LEFT($Y52,2),"L"),$R$63:$T$90,3,FALSE),0),IF(VLOOKUP(CONCATENATE($A$18,"Line"),'[3]Supply Attribution'!$F$31:$G$37,2,FALSE)=G$18,$A52,0)+IF(VLOOKUP(CONCATENATE($B$18,"Line"),'[3]Supply Attribution'!$F$31:$G$37,2,FALSE)=G$18,$B52,0)+IF(VLOOKUP(CONCATENATE($C$18,"Line"),'[3]Supply Attribution'!$F$31:$G$37,2,FALSE)=G$18,$C52,0)+IF(VLOOKUP(CONCATENATE($D$18,"Line"),'[3]Supply Attribution'!$F$31:$G$37,2,FALSE)=G$18,$D52,0)+IF(VLOOKUP(CONCATENATE($E$18,"Line"),'[3]Supply Attribution'!$F$31:$G$37,2,FALSE)=G$18,$E52,0)+IF(VLOOKUP(CONCATENATE($F$18,"Line"),'[3]Supply Attribution'!$F$31:$G$37,2,FALSE)=G$18,$F52,0)+IF($K$6="UL",LEFT($S$90,2),0)-IF(AND($K$16=G$18,$K$14&lt;&gt;$K$15,$K$16=$K$17,RIGHT($K52,3)="2SP"),VLOOKUP(CONCATENATE(LEFT($K52,2),"L"),$R$63:$T$90,3,FALSE),0)-IF(AND($L$16=G$18,$L$14&lt;&gt;$L$15,$L$16=$L$17,RIGHT($L52,3)="2SP"),VLOOKUP(CONCATENATE(LEFT($L52,2),"L"),$R$63:$T$90,3,FALSE),0)-IF(AND($M$16=G$18,$M$14&lt;&gt;$M$15,$M$16=$M$17,RIGHT($M52,3)="2SP"),VLOOKUP(CONCATENATE(LEFT($M52,2),"L"),$R$63:$T$90,3,FALSE),0)-IF(AND($N$16=G$18,$N$14&lt;&gt;$N$15,$N$16=$N$17,RIGHT($N52,3)="2SP"),VLOOKUP(CONCATENATE(LEFT($N52,2),"L"),$R$63:$T$90,3,FALSE),0)-IF(AND($O$16=G$18,$O$14&lt;&gt;$O$15,$O$16=$O$17,RIGHT($O52,3)="2SP"),VLOOKUP(CONCATENATE(LEFT($O52,2),"L"),$R$63:$T$90,3,FALSE),0)-IF(AND($P$16=G$18,$P$14&lt;&gt;$P$15,$P$16=$P$17,RIGHT($P52,3)="2SP"),VLOOKUP(CONCATENATE(LEFT($P52,2),"L"),$R$63:$T$90,3,FALSE),0)-IF(AND($Q$16=G$18,$Q$14&lt;&gt;$Q$15,$Q$16=$Q$17,RIGHT($Q52,3)="2SP"),VLOOKUP(CONCATENATE(LEFT($Q52,2),"L"),$R$63:$T$90,3,FALSE),0)-IF(AND($R$16=G$18,$R$14&lt;&gt;$R$15,$R$16=$R$17,RIGHT($R52,3)="2SP"),VLOOKUP(CONCATENATE(LEFT($R52,2),"L"),$R$63:$T$90,3,FALSE),0)-IF(AND($S$16=G$18,$S$14&lt;&gt;$S$15,$S$16=$S$17,RIGHT($S52,3)="2SP"),VLOOKUP(CONCATENATE(LEFT($S52,2),"L"),$R$63:$T$90,3,FALSE),0)-IF(AND($T$16=G$18,$T$14&lt;&gt;$T$15,$T$16=$T$17,RIGHT($T52,3)="2SP"),VLOOKUP(CONCATENATE(LEFT($T52,2),"L"),$R$63:$T$90,3,FALSE),0)-IF(AND($U$16=G$18,$U$14&lt;&gt;$U$15,$U$16=$U$17,RIGHT($U52,3)="2SP"),VLOOKUP(CONCATENATE(LEFT($U52,2),"L"),$R$63:$T$90,3,FALSE),0)-IF(AND($V$16=G$18,$V$14&lt;&gt;$V$15,$V$16=$V$17,RIGHT($V52,3)="2SP"),VLOOKUP(CONCATENATE(LEFT($V52,2),"L"),$R$63:$T$90,3,FALSE),0)-IF(AND($W$16=G$18,$W$14&lt;&gt;$W$15,$W$16=$W$17,RIGHT($W52,3)="2SP"),VLOOKUP(CONCATENATE(LEFT($W52,2),"L"),$R$63:$T$90,3,FALSE),0)-IF(AND($X$16=G$18,$X$14&lt;&gt;$X$15,$X$16=$X$17,RIGHT($X52,3)="2SP"),VLOOKUP(CONCATENATE(LEFT($X52,2),"L"),$R$63:$T$90,3,FALSE),0)-IF(AND($Y$16=G$18,$Y$14&lt;&gt;$Y$15,$Y$16=$Y$17,RIGHT($Y52,3)="2SP"),VLOOKUP(CONCATENATE(LEFT($Y52,2),"L"),$R$63:$T$90,3,FALSE),0))</f>
        <v>17</v>
      </c>
      <c r="H52" s="269" t="str">
        <f>IF(H$18&lt;&gt;"",IF(VLOOKUP(CONCATENATE($A$18,"Line"),'Supply Attribution'!$F$31:$G$37,2,FALSE)=H$18,$A52,0)+IF(VLOOKUP(CONCATENATE($B$18,"Line"),'Supply Attribution'!$F$31:$G$37,2,FALSE)=H$18,$B52,0)+IF(VLOOKUP(CONCATENATE($C$18,"Line"),'Supply Attribution'!$F$31:$G$37,2,FALSE)=H$18,$C52,0)+IF(VLOOKUP(CONCATENATE($D$18,"Line"),'Supply Attribution'!$F$31:$G$37,2,FALSE)=H$18,$D52,0)+IF(VLOOKUP(CONCATENATE($E$18,"Line"),'Supply Attribution'!$F$31:$G$37,2,FALSE)=H$18,$E52,0)+IF(VLOOKUP(CONCATENATE($F$18,"Line"),'Supply Attribution'!$F$31:$G$37,2,FALSE)=H$18,$F52,0)+IF($K$6="UL",LEFT($S$90,2),0)-IF(AND($K$16=H$18,$K$14&lt;&gt;$K$15,$K$16=$K$17,RIGHT($K52,3)="2SP"),VLOOKUP(CONCATENATE(LEFT($K52,2),"L"),$R$63:$T$90,3,FALSE),0)-IF(AND($L$16=H$18,$L$14&lt;&gt;$L$15,$L$16=$L$17,RIGHT($L52,3)="2SP"),VLOOKUP(CONCATENATE(LEFT($L52,2),"L"),$R$63:$T$90,3,FALSE),0)-IF(AND($M$16=H$18,$M$14&lt;&gt;$M$15,$M$16=$M$17,RIGHT($M52,3)="2SP"),VLOOKUP(CONCATENATE(LEFT($M52,2),"L"),$R$63:$T$90,3,FALSE),0)-IF(AND($N$16=H$18,$N$14&lt;&gt;$N$15,$N$16=$N$17,RIGHT($N52,3)="2SP"),VLOOKUP(CONCATENATE(LEFT($N52,2),"L"),$R$63:$T$90,3,FALSE),0)-IF(AND($O$16=H$18,$O$14&lt;&gt;$O$15,$O$16=$O$17,RIGHT($O52,3)="2SP"),VLOOKUP(CONCATENATE(LEFT($O52,2),"L"),$R$63:$T$90,3,FALSE),0)-IF(AND($P$16=H$18,$P$14&lt;&gt;$P$15,$P$16=$P$17,RIGHT($P52,3)="2SP"),VLOOKUP(CONCATENATE(LEFT($P52,2),"L"),$R$63:$T$90,3,FALSE),0)-IF(AND($Q$16=H$18,$Q$14&lt;&gt;$Q$15,$Q$16=$Q$17,RIGHT($Q52,3)="2SP"),VLOOKUP(CONCATENATE(LEFT($Q52,2),"L"),$R$63:$T$90,3,FALSE),0)-IF(AND($T$16=H$18,$T$14&lt;&gt;$T$15,$T$16=$T$17,RIGHT($T52,3)="2SP"),VLOOKUP(CONCATENATE(LEFT($T52,2),"L"),$R$63:$T$90,3,FALSE),0)-IF(AND($U$16=H$18,$U$14&lt;&gt;$U$15,$U$16=$U$17,RIGHT($U52,3)="2SP"),VLOOKUP(CONCATENATE(LEFT($U52,2),"L"),$R$63:$T$90,3,FALSE),0)-IF(AND($V$16=H$18,$V$14&lt;&gt;$V$15,$V$16=$V$17,RIGHT($V52,3)="2SP"),VLOOKUP(CONCATENATE(LEFT($V52,2),"L"),$R$63:$T$90,3,FALSE),0)-IF(AND($W$16=H$18,$W$14&lt;&gt;$W$15,$W$16=$W$17,RIGHT($W52,3)="2SP"),VLOOKUP(CONCATENATE(LEFT($W52,2),"L"),$R$63:$T$90,3,FALSE),0)-IF(AND($X$16=H$18,$X$14&lt;&gt;$X$15,$X$16=$X$17,RIGHT($X52,3)="2SP"),VLOOKUP(CONCATENATE(LEFT($X52,2),"L"),$R$63:$T$90,3,FALSE),0)-IF(AND($Y$16=H$18,$Y$14&lt;&gt;$Y$15,$Y$16=$Y$17,RIGHT($Y52,3)="2SP"),VLOOKUP(CONCATENATE(LEFT($Y52,2),"L"),$R$63:$T$90,3,FALSE),0)+IF(AND($K$6="CE",$T$59="2 Phases",H$18&lt;&gt;""),IF(VLOOKUP(CONCATENATE($A$18,"Line"),'Supply Attribution'!$F$31:$G$37,2,FALSE)="Line3",$A52,0)+IF(VLOOKUP(CONCATENATE($B$18,"Line"),'Supply Attribution'!$F$31:$G$37,2,FALSE)="Line3",$B52,0)+IF(VLOOKUP(CONCATENATE($C$18,"Line"),'Supply Attribution'!$F$31:$G$37,2,FALSE)="Line3",$C52,0)+IF(VLOOKUP(CONCATENATE($D$18,"Line"),'Supply Attribution'!$F$31:$G$37,2,FALSE)="Line3",$D52,0)+IF(VLOOKUP(CONCATENATE($E$18,"Line"),'Supply Attribution'!$F$31:$G$37,2,FALSE)="Line3",$E52,0)+IF(VLOOKUP(CONCATENATE($F$18,"Line"),'Supply Attribution'!$F$31:$G$37,2,FALSE)="Line3",$F52,0)-IF(AND($K$16=I$18,$K$14&lt;&gt;$K$15,$K$16=$K$17,RIGHT($K52,3)="2SP"),VLOOKUP(CONCATENATE(LEFT($K52,2),"L"),$R$63:$T$90,3,FALSE),0)-IF(AND($L$16=I$18,$L$14&lt;&gt;$L$15,$L$16=$L$17,RIGHT($L52,3)="2SP"),VLOOKUP(CONCATENATE(LEFT($L52,2),"L"),$R$63:$T$90,3,FALSE),0)-IF(AND($M$16=I$18,$M$14&lt;&gt;$M$15,$M$16=$M$17,RIGHT($M52,3)="2SP"),VLOOKUP(CONCATENATE(LEFT($M52,2),"L"),$R$63:$T$90,3,FALSE),0)-IF(AND($N$16=I$18,$N$14&lt;&gt;$N$15,$N$16=$N$17,RIGHT($N52,3)="2SP"),VLOOKUP(CONCATENATE(LEFT($N52,2),"L"),$R$63:$T$90,3,FALSE),0)-IF(AND($O$16=I$18,$O$14&lt;&gt;$O$15,$O$16=$O$17,RIGHT($O52,3)="2SP"),VLOOKUP(CONCATENATE(LEFT($O52,2),"L"),$R$63:$T$90,3,FALSE),0)-IF(AND($P$16=I$18,$P$14&lt;&gt;$P$15,$P$16=$P$17,RIGHT($P52,3)="2SP"),VLOOKUP(CONCATENATE(LEFT($P52,2),"L"),$R$63:$T$90,3,FALSE),0)-IF(AND($Q$16=I$18,$Q$14&lt;&gt;$Q$15,$Q$16=$Q$17,RIGHT($Q52,3)="2SP"),VLOOKUP(CONCATENATE(LEFT($Q52,2),"L"),$R$63:$T$90,3,FALSE),0)-IF(AND($T$16=I$18,$T$14&lt;&gt;$T$15,$T$16=$T$17,RIGHT($T52,3)="2SP"),VLOOKUP(CONCATENATE(LEFT($T52,2),"L"),$R$63:$T$90,3,FALSE),0)-IF(AND($U$16=I$18,$U$14&lt;&gt;$U$15,$U$16=$U$17,RIGHT($U52,3)="2SP"),VLOOKUP(CONCATENATE(LEFT($U52,2),"L"),$R$63:$T$90,3,FALSE),0)-IF(AND($V$16=I$18,$V$14&lt;&gt;$V$15,$V$16=$V$17,RIGHT($V52,3)="2SP"),VLOOKUP(CONCATENATE(LEFT($V52,2),"L"),$R$63:$T$90,3,FALSE),0)-IF(AND($W$16=I$18,$W$14&lt;&gt;$W$15,$W$16=$W$17,RIGHT($W52,3)="2SP"),VLOOKUP(CONCATENATE(LEFT($W52,2),"L"),$R$63:$T$90,3,FALSE),0)-IF(AND($X$16=I$18,$X$14&lt;&gt;$X$15,$X$16=$X$17,RIGHT($X52,3)="2SP"),VLOOKUP(CONCATENATE(LEFT($X52,2),"L"),$R$63:$T$90,3,FALSE),0)-IF(AND($Y$16=I$18,$Y$14&lt;&gt;$Y$15,$Y$16=$Y$17,RIGHT($Y52,3)="2SP"),VLOOKUP(CONCATENATE(LEFT($Y52,2),"L"),$R$63:$T$90,3,FALSE),0),0),"")</f>
        <v/>
      </c>
      <c r="I52" s="269" t="str">
        <f>IF(I$18&lt;&gt;"",IF(VLOOKUP(CONCATENATE($A$18,"Line"),'Supply Attribution'!$F$31:$G$37,2,FALSE)=I$18,$A52,0)+IF(VLOOKUP(CONCATENATE($B$18,"Line"),'Supply Attribution'!$F$31:$G$37,2,FALSE)=I$18,$B52,0)+IF(VLOOKUP(CONCATENATE($C$18,"Line"),'Supply Attribution'!$F$31:$G$37,2,FALSE)=I$18,$C52,0)+IF(VLOOKUP(CONCATENATE($D$18,"Line"),'Supply Attribution'!$F$31:$G$37,2,FALSE)=I$18,$D52,0)+IF(VLOOKUP(CONCATENATE($E$18,"Line"),'Supply Attribution'!$F$31:$G$37,2,FALSE)=I$18,$E52,0)+IF(VLOOKUP(CONCATENATE($F$18,"Line"),'Supply Attribution'!$F$31:$G$37,2,FALSE)=I$18,$F52,0)+IF($K$6="UL",LEFT($S$90,2),0)-IF(AND($K$16=I$18,$K$14&lt;&gt;$K$15,$K$16=$K$17,RIGHT($K52,3)="2SP"),VLOOKUP(CONCATENATE(LEFT($K52,2),"L"),$R$63:$T$90,3,FALSE),0)-IF(AND($L$16=I$18,$L$14&lt;&gt;$L$15,$L$16=$L$17,RIGHT($L52,3)="2SP"),VLOOKUP(CONCATENATE(LEFT($L52,2),"L"),$R$63:$T$90,3,FALSE),0)-IF(AND($M$16=I$18,$M$14&lt;&gt;$M$15,$M$16=$M$17,RIGHT($M52,3)="2SP"),VLOOKUP(CONCATENATE(LEFT($M52,2),"L"),$R$63:$T$90,3,FALSE),0)-IF(AND($N$16=I$18,$N$14&lt;&gt;$N$15,$N$16=$N$17,RIGHT($N52,3)="2SP"),VLOOKUP(CONCATENATE(LEFT($N52,2),"L"),$R$63:$T$90,3,FALSE),0)-IF(AND($O$16=I$18,$O$14&lt;&gt;$O$15,$O$16=$O$17,RIGHT($O52,3)="2SP"),VLOOKUP(CONCATENATE(LEFT($O52,2),"L"),$R$63:$T$90,3,FALSE),0)-IF(AND($P$16=I$18,$P$14&lt;&gt;$P$15,$P$16=$P$17,RIGHT($P52,3)="2SP"),VLOOKUP(CONCATENATE(LEFT($P52,2),"L"),$R$63:$T$90,3,FALSE),0)-IF(AND($Q$16=I$18,$Q$14&lt;&gt;$Q$15,$Q$16=$Q$17,RIGHT($Q52,3)="2SP"),VLOOKUP(CONCATENATE(LEFT($Q52,2),"L"),$R$63:$T$90,3,FALSE),0)-IF(AND($T$16=I$18,$T$14&lt;&gt;$T$15,$T$16=$T$17,RIGHT($T52,3)="2SP"),VLOOKUP(CONCATENATE(LEFT($T52,2),"L"),$R$63:$T$90,3,FALSE),0)-IF(AND($U$16=I$18,$U$14&lt;&gt;$U$15,$U$16=$U$17,RIGHT($U52,3)="2SP"),VLOOKUP(CONCATENATE(LEFT($U52,2),"L"),$R$63:$T$90,3,FALSE),0)-IF(AND($V$16=I$18,$V$14&lt;&gt;$V$15,$V$16=$V$17,RIGHT($V52,3)="2SP"),VLOOKUP(CONCATENATE(LEFT($V52,2),"L"),$R$63:$T$90,3,FALSE),0)-IF(AND($W$16=I$18,$W$14&lt;&gt;$W$15,$W$16=$W$17,RIGHT($W52,3)="2SP"),VLOOKUP(CONCATENATE(LEFT($W52,2),"L"),$R$63:$T$90,3,FALSE),0)-IF(AND($X$16=I$18,$X$14&lt;&gt;$X$15,$X$16=$X$17,RIGHT($X52,3)="2SP"),VLOOKUP(CONCATENATE(LEFT($X52,2),"L"),$R$63:$T$90,3,FALSE),0)-IF(AND($Y$16=I$18,$Y$14&lt;&gt;$Y$15,$Y$16=$Y$17,RIGHT($Y52,3)="2SP"),VLOOKUP(CONCATENATE(LEFT($Y52,2),"L"),$R$63:$T$90,3,FALSE),0),"")</f>
        <v/>
      </c>
      <c r="J52" s="134"/>
      <c r="K52" s="135"/>
      <c r="L52" s="135"/>
      <c r="M52" s="135"/>
      <c r="N52" s="135"/>
      <c r="O52" s="135"/>
      <c r="P52" s="135"/>
      <c r="Q52" s="135"/>
      <c r="R52" s="135"/>
      <c r="S52" s="135"/>
      <c r="T52" s="135"/>
      <c r="U52" s="135"/>
      <c r="V52" s="135"/>
      <c r="W52" s="135"/>
      <c r="X52" s="135"/>
      <c r="Y52" s="135"/>
      <c r="Z52" s="136"/>
      <c r="AA52" s="136"/>
      <c r="AB52" s="137"/>
      <c r="AC52" s="137"/>
      <c r="AD52" s="137"/>
      <c r="AE52" s="138">
        <f t="shared" si="0"/>
        <v>0</v>
      </c>
      <c r="AF52" s="78"/>
    </row>
    <row r="53" spans="1:32" ht="13.5" thickBot="1">
      <c r="A53" s="549"/>
      <c r="B53" s="550"/>
      <c r="C53" s="550"/>
      <c r="D53" s="550"/>
      <c r="E53" s="550"/>
      <c r="F53" s="551"/>
      <c r="G53" s="550"/>
      <c r="H53" s="550"/>
      <c r="I53" s="550"/>
      <c r="J53" s="552"/>
      <c r="K53" s="553"/>
      <c r="L53" s="553"/>
      <c r="M53" s="553"/>
      <c r="N53" s="553"/>
      <c r="O53" s="553"/>
      <c r="P53" s="553"/>
      <c r="Q53" s="553"/>
      <c r="R53" s="553"/>
      <c r="S53" s="553"/>
      <c r="T53" s="553"/>
      <c r="U53" s="553"/>
      <c r="V53" s="553"/>
      <c r="W53" s="553"/>
      <c r="X53" s="553"/>
      <c r="Y53" s="553"/>
      <c r="Z53" s="554"/>
      <c r="AA53" s="554"/>
      <c r="AB53" s="555"/>
      <c r="AC53" s="555"/>
      <c r="AD53" s="555"/>
      <c r="AE53" s="556"/>
      <c r="AF53" s="78"/>
    </row>
    <row r="54" spans="1:32" ht="13.5" thickBot="1">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c r="AA54" s="72"/>
      <c r="AB54" s="72"/>
      <c r="AC54" s="72"/>
      <c r="AD54" s="78"/>
    </row>
    <row r="55" spans="1:32" ht="12.75" customHeight="1">
      <c r="A55" s="72"/>
      <c r="B55" s="72"/>
      <c r="C55" s="733"/>
      <c r="D55" s="733"/>
      <c r="E55" s="733"/>
      <c r="F55" s="733"/>
      <c r="G55" s="72"/>
      <c r="H55" s="72"/>
      <c r="I55" s="72"/>
      <c r="J55" s="785" t="s">
        <v>165</v>
      </c>
      <c r="K55" s="786"/>
      <c r="L55" s="786"/>
      <c r="M55" s="786"/>
      <c r="N55" s="786"/>
      <c r="O55" s="786"/>
      <c r="P55" s="786"/>
      <c r="Q55" s="786"/>
      <c r="R55" s="786"/>
      <c r="S55" s="786"/>
      <c r="T55" s="786"/>
      <c r="U55" s="786"/>
      <c r="V55" s="786"/>
      <c r="W55" s="786"/>
      <c r="X55" s="786"/>
      <c r="Y55" s="786"/>
      <c r="Z55" s="786"/>
      <c r="AA55" s="786"/>
      <c r="AB55" s="786"/>
      <c r="AC55" s="786"/>
      <c r="AD55" s="309"/>
    </row>
    <row r="56" spans="1:32" ht="13.5" customHeight="1">
      <c r="A56" s="72"/>
      <c r="B56" s="72"/>
      <c r="C56" s="72"/>
      <c r="D56" s="72"/>
      <c r="E56" s="72"/>
      <c r="F56" s="72"/>
      <c r="G56" s="72"/>
      <c r="H56" s="72"/>
      <c r="I56" s="72"/>
      <c r="J56" s="787"/>
      <c r="K56" s="788"/>
      <c r="L56" s="788"/>
      <c r="M56" s="788"/>
      <c r="N56" s="788"/>
      <c r="O56" s="788"/>
      <c r="P56" s="788"/>
      <c r="Q56" s="788"/>
      <c r="R56" s="788"/>
      <c r="S56" s="788"/>
      <c r="T56" s="788"/>
      <c r="U56" s="788"/>
      <c r="V56" s="788"/>
      <c r="W56" s="788"/>
      <c r="X56" s="788"/>
      <c r="Y56" s="788"/>
      <c r="Z56" s="788"/>
      <c r="AA56" s="788"/>
      <c r="AB56" s="788"/>
      <c r="AC56" s="788"/>
      <c r="AD56" s="310"/>
    </row>
    <row r="57" spans="1:32" ht="13.5" thickBot="1">
      <c r="A57" s="72"/>
      <c r="B57" s="72"/>
      <c r="C57" s="72"/>
      <c r="D57" s="72"/>
      <c r="E57" s="72"/>
      <c r="F57" s="72"/>
      <c r="G57" s="72"/>
      <c r="H57" s="72"/>
      <c r="I57" s="72"/>
      <c r="J57" s="728" t="s">
        <v>4</v>
      </c>
      <c r="K57" s="729"/>
      <c r="L57" s="730"/>
      <c r="M57" s="539" t="s">
        <v>283</v>
      </c>
      <c r="N57" s="728" t="s">
        <v>405</v>
      </c>
      <c r="O57" s="729"/>
      <c r="P57" s="730"/>
      <c r="Q57" s="539" t="s">
        <v>283</v>
      </c>
      <c r="R57" s="728" t="s">
        <v>49</v>
      </c>
      <c r="S57" s="729"/>
      <c r="T57" s="730"/>
      <c r="U57" s="539" t="s">
        <v>283</v>
      </c>
      <c r="V57" s="728" t="s">
        <v>336</v>
      </c>
      <c r="W57" s="729"/>
      <c r="X57" s="730"/>
      <c r="Y57" s="728" t="s">
        <v>370</v>
      </c>
      <c r="Z57" s="729"/>
      <c r="AA57" s="730"/>
      <c r="AB57" s="262"/>
      <c r="AC57" s="262"/>
      <c r="AD57" s="262"/>
    </row>
    <row r="58" spans="1:32">
      <c r="A58" s="72"/>
      <c r="B58" s="72"/>
      <c r="C58" s="72"/>
      <c r="D58" s="72"/>
      <c r="E58" s="72"/>
      <c r="F58" s="72"/>
      <c r="G58" s="72"/>
      <c r="H58" s="72"/>
      <c r="I58" s="72"/>
      <c r="J58" s="140" t="s">
        <v>5</v>
      </c>
      <c r="K58" s="141"/>
      <c r="L58" s="142" t="s">
        <v>569</v>
      </c>
      <c r="M58" s="532"/>
      <c r="N58" s="150" t="s">
        <v>57</v>
      </c>
      <c r="O58" s="107"/>
      <c r="P58" s="146" t="s">
        <v>58</v>
      </c>
      <c r="Q58" s="304"/>
      <c r="R58" s="292" t="s">
        <v>50</v>
      </c>
      <c r="S58" s="107"/>
      <c r="T58" s="146" t="str">
        <f>IF($K$6="CE", "3 Phases", "1 Phase")</f>
        <v>1 Phase</v>
      </c>
      <c r="U58" s="319"/>
      <c r="V58" s="433" t="s">
        <v>331</v>
      </c>
      <c r="W58" s="112"/>
      <c r="X58" s="434">
        <v>48</v>
      </c>
      <c r="Y58" s="143" t="s">
        <v>174</v>
      </c>
      <c r="Z58" s="167"/>
      <c r="AA58" s="177" t="s">
        <v>359</v>
      </c>
      <c r="AB58" s="262"/>
      <c r="AC58" s="262"/>
      <c r="AD58" s="262"/>
    </row>
    <row r="59" spans="1:32">
      <c r="A59" s="72"/>
      <c r="B59" s="72"/>
      <c r="C59" s="72"/>
      <c r="D59" s="72"/>
      <c r="E59" s="72"/>
      <c r="F59" s="72"/>
      <c r="G59" s="72"/>
      <c r="H59" s="72"/>
      <c r="I59" s="72"/>
      <c r="J59" s="143" t="s">
        <v>74</v>
      </c>
      <c r="K59" s="261">
        <f>IF(L59&gt;41,ROUND((L59-32)/1.8,0.5),ROUND(L59*1.8+32,0))</f>
        <v>35</v>
      </c>
      <c r="L59" s="259">
        <v>95</v>
      </c>
      <c r="M59" s="533"/>
      <c r="N59" s="169" t="s">
        <v>84</v>
      </c>
      <c r="O59" s="107"/>
      <c r="P59" s="148">
        <v>2</v>
      </c>
      <c r="Q59" s="305"/>
      <c r="R59" s="144" t="s">
        <v>170</v>
      </c>
      <c r="S59" s="107"/>
      <c r="T59" s="146" t="str">
        <f>IF($K$6="CE", "3 Phases", "1 Phase")</f>
        <v>1 Phase</v>
      </c>
      <c r="U59" s="304"/>
      <c r="V59" s="150" t="s">
        <v>332</v>
      </c>
      <c r="W59" s="107"/>
      <c r="X59" s="156">
        <v>20</v>
      </c>
      <c r="Y59" s="143" t="s">
        <v>175</v>
      </c>
      <c r="Z59" s="167"/>
      <c r="AA59" s="146" t="s">
        <v>176</v>
      </c>
      <c r="AB59" s="262"/>
      <c r="AC59" s="262"/>
      <c r="AD59" s="262"/>
    </row>
    <row r="60" spans="1:32">
      <c r="A60" s="72"/>
      <c r="B60" s="72"/>
      <c r="C60" s="72"/>
      <c r="D60" s="72"/>
      <c r="E60" s="72"/>
      <c r="F60" s="72"/>
      <c r="G60" s="72"/>
      <c r="H60" s="72"/>
      <c r="I60" s="72"/>
      <c r="J60" s="150" t="s">
        <v>51</v>
      </c>
      <c r="K60" s="261">
        <f>IF(L60&gt;41,ROUND((L60-32)/1.8,0.5),ROUND(L60*1.8+32,0))</f>
        <v>15</v>
      </c>
      <c r="L60" s="260">
        <v>59</v>
      </c>
      <c r="M60" s="534"/>
      <c r="N60" s="163" t="s">
        <v>87</v>
      </c>
      <c r="O60" s="176"/>
      <c r="P60" s="181">
        <v>2</v>
      </c>
      <c r="Q60" s="306"/>
      <c r="R60" s="293" t="s">
        <v>52</v>
      </c>
      <c r="S60" s="107"/>
      <c r="T60" s="156">
        <v>48</v>
      </c>
      <c r="U60" s="320"/>
      <c r="V60" s="150" t="s">
        <v>333</v>
      </c>
      <c r="W60" s="107"/>
      <c r="X60" s="156">
        <v>16</v>
      </c>
      <c r="Y60" s="143" t="s">
        <v>177</v>
      </c>
      <c r="Z60" s="167"/>
      <c r="AA60" s="146" t="s">
        <v>178</v>
      </c>
      <c r="AB60" s="262"/>
      <c r="AC60" s="262"/>
      <c r="AD60" s="262"/>
    </row>
    <row r="61" spans="1:32" ht="13.5" thickBot="1">
      <c r="A61" s="72"/>
      <c r="B61" s="72"/>
      <c r="C61" s="72"/>
      <c r="D61" s="72"/>
      <c r="E61" s="72"/>
      <c r="F61" s="72"/>
      <c r="G61" s="72"/>
      <c r="H61" s="72"/>
      <c r="I61" s="72"/>
      <c r="J61" s="150" t="s">
        <v>53</v>
      </c>
      <c r="K61" s="261">
        <f>IF(L61&gt;41,ROUND((L61-32)/1.8,0.5),ROUND(L61*1.8+32,0))</f>
        <v>41</v>
      </c>
      <c r="L61" s="260">
        <f>IF(K6="CE",40,106)</f>
        <v>106</v>
      </c>
      <c r="M61" s="534"/>
      <c r="N61" s="163" t="s">
        <v>88</v>
      </c>
      <c r="O61" s="167"/>
      <c r="P61" s="182">
        <v>4</v>
      </c>
      <c r="Q61" s="307"/>
      <c r="R61" s="107" t="s">
        <v>109</v>
      </c>
      <c r="S61" s="107"/>
      <c r="T61" s="162">
        <v>10</v>
      </c>
      <c r="U61" s="321"/>
      <c r="V61" s="150" t="s">
        <v>334</v>
      </c>
      <c r="W61" s="107"/>
      <c r="X61" s="156">
        <v>48</v>
      </c>
      <c r="Y61" s="143" t="s">
        <v>179</v>
      </c>
      <c r="Z61" s="167"/>
      <c r="AA61" s="146" t="s">
        <v>180</v>
      </c>
      <c r="AB61" s="262"/>
      <c r="AC61" s="262"/>
      <c r="AD61" s="262"/>
    </row>
    <row r="62" spans="1:32" ht="13.5" thickBot="1">
      <c r="A62" s="72"/>
      <c r="B62" s="72"/>
      <c r="C62" s="72"/>
      <c r="D62" s="72"/>
      <c r="E62" s="72"/>
      <c r="F62" s="72"/>
      <c r="G62" s="72"/>
      <c r="H62" s="72"/>
      <c r="I62" s="72"/>
      <c r="J62" s="163" t="s">
        <v>56</v>
      </c>
      <c r="K62" s="164"/>
      <c r="L62" s="165">
        <v>0</v>
      </c>
      <c r="M62" s="538"/>
      <c r="N62" s="175" t="s">
        <v>89</v>
      </c>
      <c r="O62" s="186"/>
      <c r="P62" s="187">
        <v>2</v>
      </c>
      <c r="Q62" s="307"/>
      <c r="R62" s="174" t="s">
        <v>290</v>
      </c>
      <c r="S62" s="167"/>
      <c r="T62" s="187" t="s">
        <v>291</v>
      </c>
      <c r="U62" s="262"/>
      <c r="V62" s="150" t="s">
        <v>335</v>
      </c>
      <c r="W62" s="107"/>
      <c r="X62" s="156">
        <f>IF(K6="CE",20,48)</f>
        <v>48</v>
      </c>
      <c r="Y62" s="143" t="s">
        <v>371</v>
      </c>
      <c r="Z62" s="167"/>
      <c r="AA62" s="146" t="s">
        <v>189</v>
      </c>
      <c r="AB62" s="262"/>
      <c r="AC62" s="262"/>
      <c r="AD62" s="262"/>
    </row>
    <row r="63" spans="1:32" ht="13.5" thickBot="1">
      <c r="A63" s="72"/>
      <c r="B63" s="72"/>
      <c r="C63" s="72"/>
      <c r="D63" s="72"/>
      <c r="E63" s="72"/>
      <c r="F63" s="72"/>
      <c r="G63" s="72"/>
      <c r="H63" s="72"/>
      <c r="I63" s="72"/>
      <c r="J63" s="734" t="s">
        <v>96</v>
      </c>
      <c r="K63" s="735"/>
      <c r="L63" s="736"/>
      <c r="M63" s="540" t="s">
        <v>283</v>
      </c>
      <c r="N63" s="728" t="s">
        <v>48</v>
      </c>
      <c r="O63" s="729"/>
      <c r="P63" s="730"/>
      <c r="Q63" s="540" t="s">
        <v>183</v>
      </c>
      <c r="R63" s="735" t="s">
        <v>21</v>
      </c>
      <c r="S63" s="735"/>
      <c r="T63" s="736"/>
      <c r="U63" s="540" t="s">
        <v>283</v>
      </c>
      <c r="V63" s="174" t="s">
        <v>338</v>
      </c>
      <c r="W63" s="186"/>
      <c r="X63" s="156">
        <v>16</v>
      </c>
      <c r="Y63" s="204" t="s">
        <v>181</v>
      </c>
      <c r="Z63" s="186"/>
      <c r="AA63" s="202">
        <v>6</v>
      </c>
      <c r="AB63" s="262"/>
      <c r="AC63" s="262"/>
      <c r="AD63" s="262"/>
      <c r="AE63" s="543"/>
    </row>
    <row r="64" spans="1:32" ht="13.5" thickBot="1">
      <c r="A64" s="72"/>
      <c r="B64" s="72"/>
      <c r="C64" s="72"/>
      <c r="D64" s="72"/>
      <c r="E64" s="72"/>
      <c r="F64" s="72"/>
      <c r="G64" s="72"/>
      <c r="H64" s="72"/>
      <c r="I64" s="72"/>
      <c r="J64" s="150" t="s">
        <v>91</v>
      </c>
      <c r="K64" s="144"/>
      <c r="L64" s="165">
        <v>20</v>
      </c>
      <c r="M64" s="535"/>
      <c r="N64" s="143" t="s">
        <v>78</v>
      </c>
      <c r="O64" s="144"/>
      <c r="P64" s="145">
        <v>0</v>
      </c>
      <c r="Q64" s="297"/>
      <c r="R64" s="294" t="s">
        <v>13</v>
      </c>
      <c r="S64" s="172" t="str">
        <f>IF(R64&lt;&gt;"--",IF(R64&lt;&gt;"","--------------&gt;",""),"")</f>
        <v>--------------&gt;</v>
      </c>
      <c r="T64" s="156">
        <v>12</v>
      </c>
      <c r="U64" s="262"/>
      <c r="V64" s="734" t="s">
        <v>112</v>
      </c>
      <c r="W64" s="735"/>
      <c r="X64" s="736"/>
      <c r="Y64" s="541" t="s">
        <v>406</v>
      </c>
      <c r="Z64" s="262"/>
      <c r="AA64" s="262"/>
      <c r="AB64" s="262"/>
      <c r="AC64" s="262"/>
      <c r="AD64" s="262"/>
      <c r="AE64" s="543"/>
    </row>
    <row r="65" spans="1:32">
      <c r="A65" s="72"/>
      <c r="B65" s="72"/>
      <c r="C65" s="72"/>
      <c r="D65" s="72"/>
      <c r="E65" s="72"/>
      <c r="F65" s="72"/>
      <c r="G65" s="72"/>
      <c r="H65" s="72"/>
      <c r="I65" s="72"/>
      <c r="J65" s="150" t="s">
        <v>92</v>
      </c>
      <c r="K65" s="144"/>
      <c r="L65" s="173">
        <v>120</v>
      </c>
      <c r="M65" s="536"/>
      <c r="N65" s="143" t="s">
        <v>79</v>
      </c>
      <c r="O65" s="144"/>
      <c r="P65" s="149">
        <v>2</v>
      </c>
      <c r="Q65" s="298">
        <v>12</v>
      </c>
      <c r="R65" s="294" t="s">
        <v>14</v>
      </c>
      <c r="S65" s="172" t="str">
        <f t="shared" ref="S65:S85" si="4">IF(R65&lt;&gt;"--",IF(R65&lt;&gt;"","--------------&gt;",""),"")</f>
        <v>--------------&gt;</v>
      </c>
      <c r="T65" s="156">
        <v>4</v>
      </c>
      <c r="U65" s="262"/>
      <c r="V65" s="143" t="s">
        <v>113</v>
      </c>
      <c r="W65" s="107"/>
      <c r="X65" s="147" t="s">
        <v>127</v>
      </c>
      <c r="Y65" s="542" t="s">
        <v>407</v>
      </c>
      <c r="Z65" s="262"/>
      <c r="AA65" s="262"/>
      <c r="AB65" s="262"/>
      <c r="AC65" s="262"/>
      <c r="AD65" s="262"/>
      <c r="AE65" s="543"/>
    </row>
    <row r="66" spans="1:32" ht="13.5" thickBot="1">
      <c r="A66" s="72"/>
      <c r="B66" s="72"/>
      <c r="C66" s="72"/>
      <c r="D66" s="72"/>
      <c r="E66" s="72"/>
      <c r="F66" s="72"/>
      <c r="G66" s="72"/>
      <c r="H66" s="72"/>
      <c r="I66" s="72"/>
      <c r="J66" s="150" t="s">
        <v>95</v>
      </c>
      <c r="K66" s="164"/>
      <c r="L66" s="165">
        <v>120</v>
      </c>
      <c r="M66" s="535"/>
      <c r="N66" s="143" t="s">
        <v>80</v>
      </c>
      <c r="O66" s="144"/>
      <c r="P66" s="155">
        <v>0</v>
      </c>
      <c r="Q66" s="299"/>
      <c r="R66" s="294" t="s">
        <v>15</v>
      </c>
      <c r="S66" s="172" t="str">
        <f t="shared" si="4"/>
        <v>--------------&gt;</v>
      </c>
      <c r="T66" s="156">
        <v>12</v>
      </c>
      <c r="U66" s="262" t="s">
        <v>573</v>
      </c>
      <c r="V66" s="143" t="s">
        <v>114</v>
      </c>
      <c r="W66" s="107"/>
      <c r="X66" s="146" t="s">
        <v>128</v>
      </c>
      <c r="Y66" s="523"/>
      <c r="Z66" s="196"/>
      <c r="AA66" s="196"/>
      <c r="AB66" s="196"/>
      <c r="AC66" s="196"/>
      <c r="AD66" s="196"/>
      <c r="AE66" s="543"/>
    </row>
    <row r="67" spans="1:32" ht="13.5" thickBot="1">
      <c r="A67" s="72"/>
      <c r="B67" s="72"/>
      <c r="C67" s="72"/>
      <c r="D67" s="72"/>
      <c r="E67" s="72"/>
      <c r="F67" s="72"/>
      <c r="G67" s="72"/>
      <c r="H67" s="72"/>
      <c r="I67" s="72"/>
      <c r="J67" s="150" t="s">
        <v>93</v>
      </c>
      <c r="K67" s="164"/>
      <c r="L67" s="165">
        <v>20</v>
      </c>
      <c r="M67" s="535"/>
      <c r="N67" s="143" t="s">
        <v>81</v>
      </c>
      <c r="O67" s="144"/>
      <c r="P67" s="161">
        <v>2</v>
      </c>
      <c r="Q67" s="300"/>
      <c r="R67" s="294" t="s">
        <v>16</v>
      </c>
      <c r="S67" s="172" t="str">
        <f t="shared" si="4"/>
        <v>--------------&gt;</v>
      </c>
      <c r="T67" s="156">
        <v>4</v>
      </c>
      <c r="U67" s="262"/>
      <c r="V67" s="143" t="s">
        <v>115</v>
      </c>
      <c r="W67" s="107"/>
      <c r="X67" s="147" t="s">
        <v>127</v>
      </c>
      <c r="Y67" s="540" t="s">
        <v>283</v>
      </c>
      <c r="Z67" s="807" t="s">
        <v>372</v>
      </c>
      <c r="AA67" s="808"/>
      <c r="AB67" s="808"/>
      <c r="AC67" s="808"/>
      <c r="AD67" s="808"/>
      <c r="AE67" s="808"/>
      <c r="AF67" s="548"/>
    </row>
    <row r="68" spans="1:32" ht="13.5" thickBot="1">
      <c r="A68" s="72"/>
      <c r="B68" s="72"/>
      <c r="C68" s="72"/>
      <c r="D68" s="72"/>
      <c r="E68" s="72"/>
      <c r="F68" s="72"/>
      <c r="G68" s="72"/>
      <c r="H68" s="72"/>
      <c r="I68" s="72"/>
      <c r="J68" s="150" t="s">
        <v>94</v>
      </c>
      <c r="K68" s="164"/>
      <c r="L68" s="165">
        <v>120</v>
      </c>
      <c r="M68" s="535"/>
      <c r="N68" s="163" t="s">
        <v>54</v>
      </c>
      <c r="O68" s="164"/>
      <c r="P68" s="166" t="s">
        <v>55</v>
      </c>
      <c r="Q68" s="301"/>
      <c r="R68" s="294" t="s">
        <v>17</v>
      </c>
      <c r="S68" s="172" t="str">
        <f t="shared" si="4"/>
        <v>--------------&gt;</v>
      </c>
      <c r="T68" s="156">
        <v>12</v>
      </c>
      <c r="U68" s="262"/>
      <c r="V68" s="143" t="s">
        <v>116</v>
      </c>
      <c r="W68" s="107"/>
      <c r="X68" s="146" t="s">
        <v>128</v>
      </c>
      <c r="Y68" s="695"/>
      <c r="Z68" s="490" t="s">
        <v>284</v>
      </c>
      <c r="AA68" s="119" t="s">
        <v>164</v>
      </c>
      <c r="AB68" s="119" t="s">
        <v>167</v>
      </c>
      <c r="AC68" s="119" t="s">
        <v>168</v>
      </c>
      <c r="AD68" s="119" t="s">
        <v>169</v>
      </c>
      <c r="AE68" s="120" t="s">
        <v>12</v>
      </c>
      <c r="AF68" s="544" t="s">
        <v>166</v>
      </c>
    </row>
    <row r="69" spans="1:32" ht="13.5" thickBot="1">
      <c r="A69" s="72"/>
      <c r="B69" s="72"/>
      <c r="C69" s="72"/>
      <c r="D69" s="72"/>
      <c r="E69" s="72"/>
      <c r="F69" s="72"/>
      <c r="G69" s="72"/>
      <c r="H69" s="72"/>
      <c r="I69" s="72"/>
      <c r="J69" s="178" t="s">
        <v>75</v>
      </c>
      <c r="K69" s="179"/>
      <c r="L69" s="180">
        <v>30</v>
      </c>
      <c r="M69" s="537"/>
      <c r="N69" s="169" t="s">
        <v>82</v>
      </c>
      <c r="O69" s="164"/>
      <c r="P69" s="170">
        <v>0</v>
      </c>
      <c r="Q69" s="302"/>
      <c r="R69" s="294" t="s">
        <v>3</v>
      </c>
      <c r="S69" s="172" t="str">
        <f t="shared" si="4"/>
        <v>--------------&gt;</v>
      </c>
      <c r="T69" s="156">
        <v>5</v>
      </c>
      <c r="U69" s="262"/>
      <c r="V69" s="143" t="s">
        <v>117</v>
      </c>
      <c r="W69" s="107"/>
      <c r="X69" s="147" t="s">
        <v>127</v>
      </c>
      <c r="Y69" s="532"/>
      <c r="Z69" s="151">
        <v>1</v>
      </c>
      <c r="AA69" s="152" t="s">
        <v>171</v>
      </c>
      <c r="AB69" s="153" t="s">
        <v>24</v>
      </c>
      <c r="AC69" s="153" t="s">
        <v>24</v>
      </c>
      <c r="AD69" s="153" t="s">
        <v>24</v>
      </c>
      <c r="AE69" s="154" t="s">
        <v>24</v>
      </c>
      <c r="AF69" s="545">
        <f t="shared" ref="AF69:AF78" si="5">IF(AA69="LOW",1,IF(AA69="HIGH",2,0))+IF(AB69="LOW",4,IF(AB69="HIGH",8,0))+IF(AC69="LOW",16,IF(AC69="HIGH",32,0))+IF(AD69="LOW",64,IF(AD69="HIGH",128,0))+IF(AE69="HIGH",256,0)</f>
        <v>1</v>
      </c>
    </row>
    <row r="70" spans="1:32" ht="13.5" thickBot="1">
      <c r="A70" s="72"/>
      <c r="B70" s="72"/>
      <c r="C70" s="72"/>
      <c r="D70" s="72"/>
      <c r="E70" s="72"/>
      <c r="F70" s="72"/>
      <c r="G70" s="72"/>
      <c r="H70" s="72"/>
      <c r="I70" s="72"/>
      <c r="J70" s="734" t="s">
        <v>60</v>
      </c>
      <c r="K70" s="735"/>
      <c r="L70" s="736"/>
      <c r="M70" s="296"/>
      <c r="N70" s="169" t="s">
        <v>83</v>
      </c>
      <c r="O70" s="164"/>
      <c r="P70" s="171">
        <v>0</v>
      </c>
      <c r="Q70" s="303"/>
      <c r="R70" s="294" t="s">
        <v>18</v>
      </c>
      <c r="S70" s="172" t="str">
        <f t="shared" si="4"/>
        <v>--------------&gt;</v>
      </c>
      <c r="T70" s="156">
        <v>1</v>
      </c>
      <c r="U70" s="262"/>
      <c r="V70" s="143" t="s">
        <v>118</v>
      </c>
      <c r="W70" s="107"/>
      <c r="X70" s="146" t="s">
        <v>128</v>
      </c>
      <c r="Y70" s="695"/>
      <c r="Z70" s="118">
        <v>2</v>
      </c>
      <c r="AA70" s="158" t="s">
        <v>172</v>
      </c>
      <c r="AB70" s="159" t="s">
        <v>24</v>
      </c>
      <c r="AC70" s="159" t="s">
        <v>24</v>
      </c>
      <c r="AD70" s="159" t="s">
        <v>24</v>
      </c>
      <c r="AE70" s="160" t="s">
        <v>24</v>
      </c>
      <c r="AF70" s="546">
        <f t="shared" si="5"/>
        <v>2</v>
      </c>
    </row>
    <row r="71" spans="1:32">
      <c r="A71" s="72"/>
      <c r="B71" s="72"/>
      <c r="C71" s="72"/>
      <c r="D71" s="72"/>
      <c r="E71" s="72"/>
      <c r="F71" s="72"/>
      <c r="G71" s="72"/>
      <c r="H71" s="72"/>
      <c r="I71" s="72"/>
      <c r="J71" s="183" t="s">
        <v>97</v>
      </c>
      <c r="K71" s="184"/>
      <c r="L71" s="185" t="str">
        <f>IF(K6="UL","AM/PM","24H")</f>
        <v>AM/PM</v>
      </c>
      <c r="M71" s="312"/>
      <c r="N71" s="163" t="s">
        <v>6</v>
      </c>
      <c r="O71" s="164"/>
      <c r="P71" s="166" t="s">
        <v>7</v>
      </c>
      <c r="Q71" s="301"/>
      <c r="R71" s="294" t="s">
        <v>22</v>
      </c>
      <c r="S71" s="172" t="str">
        <f t="shared" si="4"/>
        <v>--------------&gt;</v>
      </c>
      <c r="T71" s="156">
        <v>1</v>
      </c>
      <c r="U71" s="262"/>
      <c r="V71" s="143" t="s">
        <v>119</v>
      </c>
      <c r="W71" s="107"/>
      <c r="X71" s="147" t="s">
        <v>127</v>
      </c>
      <c r="Y71" s="532"/>
      <c r="Z71" s="118">
        <v>3</v>
      </c>
      <c r="AA71" s="158" t="s">
        <v>171</v>
      </c>
      <c r="AB71" s="159" t="s">
        <v>171</v>
      </c>
      <c r="AC71" s="159" t="s">
        <v>171</v>
      </c>
      <c r="AD71" s="159" t="s">
        <v>24</v>
      </c>
      <c r="AE71" s="160" t="s">
        <v>24</v>
      </c>
      <c r="AF71" s="546">
        <f t="shared" si="5"/>
        <v>21</v>
      </c>
    </row>
    <row r="72" spans="1:32" ht="13.5" thickBot="1">
      <c r="A72" s="72"/>
      <c r="B72" s="72"/>
      <c r="C72" s="72"/>
      <c r="D72" s="72"/>
      <c r="E72" s="72"/>
      <c r="F72" s="72"/>
      <c r="G72" s="72"/>
      <c r="H72" s="72"/>
      <c r="I72" s="72"/>
      <c r="J72" s="169" t="s">
        <v>76</v>
      </c>
      <c r="K72" s="176"/>
      <c r="L72" s="166" t="s">
        <v>9</v>
      </c>
      <c r="M72" s="312"/>
      <c r="N72" s="174" t="s">
        <v>63</v>
      </c>
      <c r="O72" s="186"/>
      <c r="P72" s="188" t="s">
        <v>10</v>
      </c>
      <c r="Q72" s="480"/>
      <c r="R72" s="294"/>
      <c r="S72" s="172" t="str">
        <f t="shared" si="4"/>
        <v/>
      </c>
      <c r="T72" s="156">
        <v>0</v>
      </c>
      <c r="U72" s="262" t="s">
        <v>574</v>
      </c>
      <c r="V72" s="143" t="s">
        <v>120</v>
      </c>
      <c r="W72" s="107"/>
      <c r="X72" s="146" t="s">
        <v>214</v>
      </c>
      <c r="Y72" s="695"/>
      <c r="Z72" s="118">
        <v>4</v>
      </c>
      <c r="AA72" s="158" t="s">
        <v>172</v>
      </c>
      <c r="AB72" s="159" t="s">
        <v>171</v>
      </c>
      <c r="AC72" s="159" t="s">
        <v>171</v>
      </c>
      <c r="AD72" s="159" t="s">
        <v>24</v>
      </c>
      <c r="AE72" s="160" t="s">
        <v>24</v>
      </c>
      <c r="AF72" s="546">
        <f t="shared" si="5"/>
        <v>22</v>
      </c>
    </row>
    <row r="73" spans="1:32" ht="13.5" thickBot="1">
      <c r="A73" s="72"/>
      <c r="B73" s="72"/>
      <c r="C73" s="72"/>
      <c r="D73" s="72"/>
      <c r="E73" s="72"/>
      <c r="F73" s="72"/>
      <c r="G73" s="72"/>
      <c r="H73" s="72"/>
      <c r="I73" s="72"/>
      <c r="J73" s="169" t="s">
        <v>77</v>
      </c>
      <c r="K73" s="176"/>
      <c r="L73" s="168" t="s">
        <v>570</v>
      </c>
      <c r="M73" s="312"/>
      <c r="N73" s="737" t="s">
        <v>358</v>
      </c>
      <c r="O73" s="738"/>
      <c r="P73" s="739"/>
      <c r="Q73" s="291"/>
      <c r="R73" s="294"/>
      <c r="S73" s="172" t="str">
        <f t="shared" si="4"/>
        <v/>
      </c>
      <c r="T73" s="156">
        <v>0</v>
      </c>
      <c r="U73" s="262"/>
      <c r="V73" s="143" t="s">
        <v>121</v>
      </c>
      <c r="W73" s="176"/>
      <c r="X73" s="168">
        <v>3</v>
      </c>
      <c r="Y73" s="696"/>
      <c r="Z73" s="118">
        <v>5</v>
      </c>
      <c r="AA73" s="158" t="s">
        <v>172</v>
      </c>
      <c r="AB73" s="159" t="s">
        <v>172</v>
      </c>
      <c r="AC73" s="159" t="s">
        <v>171</v>
      </c>
      <c r="AD73" s="159" t="s">
        <v>24</v>
      </c>
      <c r="AE73" s="160" t="s">
        <v>24</v>
      </c>
      <c r="AF73" s="546">
        <f t="shared" si="5"/>
        <v>26</v>
      </c>
    </row>
    <row r="74" spans="1:32">
      <c r="A74" s="72"/>
      <c r="B74" s="72"/>
      <c r="C74" s="72"/>
      <c r="D74" s="72"/>
      <c r="E74" s="72"/>
      <c r="F74" s="72"/>
      <c r="G74" s="72"/>
      <c r="H74" s="72"/>
      <c r="I74" s="72"/>
      <c r="J74" s="163" t="s">
        <v>98</v>
      </c>
      <c r="K74" s="164"/>
      <c r="L74" s="168" t="s">
        <v>99</v>
      </c>
      <c r="M74" s="312"/>
      <c r="N74" s="176" t="s">
        <v>59</v>
      </c>
      <c r="O74" s="176"/>
      <c r="P74" s="166" t="s">
        <v>7</v>
      </c>
      <c r="Q74" s="311"/>
      <c r="R74" s="294"/>
      <c r="S74" s="172" t="str">
        <f t="shared" si="4"/>
        <v/>
      </c>
      <c r="T74" s="156">
        <v>0</v>
      </c>
      <c r="U74" s="262"/>
      <c r="V74" s="169" t="s">
        <v>122</v>
      </c>
      <c r="W74" s="167"/>
      <c r="X74" s="177" t="s">
        <v>108</v>
      </c>
      <c r="Y74" s="697"/>
      <c r="Z74" s="118">
        <v>6</v>
      </c>
      <c r="AA74" s="158" t="s">
        <v>172</v>
      </c>
      <c r="AB74" s="159" t="s">
        <v>172</v>
      </c>
      <c r="AC74" s="159" t="s">
        <v>172</v>
      </c>
      <c r="AD74" s="159" t="s">
        <v>24</v>
      </c>
      <c r="AE74" s="160" t="s">
        <v>24</v>
      </c>
      <c r="AF74" s="546">
        <f t="shared" si="5"/>
        <v>42</v>
      </c>
    </row>
    <row r="75" spans="1:32">
      <c r="A75" s="72"/>
      <c r="B75" s="72"/>
      <c r="C75" s="72"/>
      <c r="D75" s="72"/>
      <c r="E75" s="72"/>
      <c r="F75" s="72"/>
      <c r="G75" s="72"/>
      <c r="H75" s="72"/>
      <c r="I75" s="72"/>
      <c r="J75" s="163" t="s">
        <v>101</v>
      </c>
      <c r="K75" s="164"/>
      <c r="L75" s="168" t="s">
        <v>9</v>
      </c>
      <c r="M75" s="312"/>
      <c r="N75" s="189" t="s">
        <v>173</v>
      </c>
      <c r="O75" s="190"/>
      <c r="P75" s="166" t="s">
        <v>7</v>
      </c>
      <c r="Q75" s="312"/>
      <c r="R75" s="294"/>
      <c r="S75" s="172" t="str">
        <f t="shared" si="4"/>
        <v/>
      </c>
      <c r="T75" s="156">
        <v>0</v>
      </c>
      <c r="U75" s="262"/>
      <c r="V75" s="169" t="s">
        <v>123</v>
      </c>
      <c r="W75" s="167"/>
      <c r="X75" s="177" t="s">
        <v>563</v>
      </c>
      <c r="Y75" s="697"/>
      <c r="Z75" s="118">
        <v>7</v>
      </c>
      <c r="AA75" s="158" t="s">
        <v>24</v>
      </c>
      <c r="AB75" s="159" t="s">
        <v>24</v>
      </c>
      <c r="AC75" s="159" t="s">
        <v>24</v>
      </c>
      <c r="AD75" s="159" t="s">
        <v>24</v>
      </c>
      <c r="AE75" s="160" t="s">
        <v>24</v>
      </c>
      <c r="AF75" s="546">
        <f t="shared" si="5"/>
        <v>0</v>
      </c>
    </row>
    <row r="76" spans="1:32">
      <c r="A76" s="72"/>
      <c r="B76" s="72"/>
      <c r="C76" s="72"/>
      <c r="D76" s="72"/>
      <c r="E76" s="72"/>
      <c r="F76" s="72"/>
      <c r="G76" s="72"/>
      <c r="H76" s="72"/>
      <c r="I76" s="72"/>
      <c r="J76" s="163" t="s">
        <v>100</v>
      </c>
      <c r="K76" s="164"/>
      <c r="L76" s="168" t="s">
        <v>571</v>
      </c>
      <c r="M76" s="312"/>
      <c r="N76" s="176" t="s">
        <v>110</v>
      </c>
      <c r="O76" s="167"/>
      <c r="P76" s="166" t="s">
        <v>102</v>
      </c>
      <c r="Q76" s="312"/>
      <c r="R76" s="294"/>
      <c r="S76" s="172" t="str">
        <f t="shared" si="4"/>
        <v/>
      </c>
      <c r="T76" s="156">
        <v>0</v>
      </c>
      <c r="U76" s="262"/>
      <c r="V76" s="169" t="s">
        <v>124</v>
      </c>
      <c r="W76" s="167"/>
      <c r="X76" s="177" t="s">
        <v>576</v>
      </c>
      <c r="Y76" s="697"/>
      <c r="Z76" s="118">
        <v>8</v>
      </c>
      <c r="AA76" s="158" t="s">
        <v>24</v>
      </c>
      <c r="AB76" s="159" t="s">
        <v>24</v>
      </c>
      <c r="AC76" s="159" t="s">
        <v>24</v>
      </c>
      <c r="AD76" s="159" t="s">
        <v>24</v>
      </c>
      <c r="AE76" s="160" t="s">
        <v>24</v>
      </c>
      <c r="AF76" s="546">
        <f t="shared" si="5"/>
        <v>0</v>
      </c>
    </row>
    <row r="77" spans="1:32">
      <c r="A77" s="72"/>
      <c r="B77" s="72"/>
      <c r="C77" s="72"/>
      <c r="D77" s="72"/>
      <c r="E77" s="72"/>
      <c r="F77" s="72"/>
      <c r="G77" s="72"/>
      <c r="H77" s="72"/>
      <c r="I77" s="72"/>
      <c r="J77" s="163" t="s">
        <v>105</v>
      </c>
      <c r="K77" s="164"/>
      <c r="L77" s="168" t="s">
        <v>337</v>
      </c>
      <c r="M77" s="312"/>
      <c r="N77" s="176" t="s">
        <v>72</v>
      </c>
      <c r="O77" s="176"/>
      <c r="P77" s="145">
        <v>0</v>
      </c>
      <c r="Q77" s="312"/>
      <c r="R77" s="294"/>
      <c r="S77" s="172" t="str">
        <f t="shared" si="4"/>
        <v/>
      </c>
      <c r="T77" s="156">
        <v>0</v>
      </c>
      <c r="U77" s="262"/>
      <c r="V77" s="169" t="s">
        <v>125</v>
      </c>
      <c r="W77" s="167"/>
      <c r="X77" s="177" t="s">
        <v>577</v>
      </c>
      <c r="Y77" s="697"/>
      <c r="Z77" s="118">
        <v>9</v>
      </c>
      <c r="AA77" s="158" t="s">
        <v>24</v>
      </c>
      <c r="AB77" s="159" t="s">
        <v>24</v>
      </c>
      <c r="AC77" s="159" t="s">
        <v>24</v>
      </c>
      <c r="AD77" s="159" t="s">
        <v>24</v>
      </c>
      <c r="AE77" s="160" t="s">
        <v>24</v>
      </c>
      <c r="AF77" s="546">
        <f t="shared" si="5"/>
        <v>0</v>
      </c>
    </row>
    <row r="78" spans="1:32" ht="13.5" thickBot="1">
      <c r="A78" s="72"/>
      <c r="B78" s="72"/>
      <c r="C78" s="72"/>
      <c r="D78" s="72"/>
      <c r="E78" s="72"/>
      <c r="F78" s="72"/>
      <c r="G78" s="72"/>
      <c r="H78" s="72"/>
      <c r="I78" s="72"/>
      <c r="J78" s="163" t="s">
        <v>106</v>
      </c>
      <c r="K78" s="164"/>
      <c r="L78" s="168" t="s">
        <v>337</v>
      </c>
      <c r="M78" s="476"/>
      <c r="N78" s="191" t="s">
        <v>73</v>
      </c>
      <c r="O78" s="191"/>
      <c r="P78" s="187">
        <v>6</v>
      </c>
      <c r="Q78" s="312"/>
      <c r="R78" s="294"/>
      <c r="S78" s="172" t="str">
        <f t="shared" si="4"/>
        <v/>
      </c>
      <c r="T78" s="156">
        <v>0</v>
      </c>
      <c r="U78" s="262"/>
      <c r="V78" s="169" t="s">
        <v>126</v>
      </c>
      <c r="W78" s="167"/>
      <c r="X78" s="177" t="s">
        <v>129</v>
      </c>
      <c r="Y78" s="697"/>
      <c r="Z78" s="517">
        <v>10</v>
      </c>
      <c r="AA78" s="193" t="s">
        <v>24</v>
      </c>
      <c r="AB78" s="194" t="s">
        <v>24</v>
      </c>
      <c r="AC78" s="194" t="s">
        <v>24</v>
      </c>
      <c r="AD78" s="194" t="s">
        <v>24</v>
      </c>
      <c r="AE78" s="195" t="s">
        <v>24</v>
      </c>
      <c r="AF78" s="547">
        <f t="shared" si="5"/>
        <v>0</v>
      </c>
    </row>
    <row r="79" spans="1:32" ht="13.5" thickBot="1">
      <c r="A79" s="72"/>
      <c r="B79" s="72"/>
      <c r="C79" s="72"/>
      <c r="D79" s="72"/>
      <c r="E79" s="72"/>
      <c r="F79" s="72"/>
      <c r="G79" s="72"/>
      <c r="H79" s="72"/>
      <c r="I79" s="72"/>
      <c r="J79" s="163" t="s">
        <v>107</v>
      </c>
      <c r="K79" s="164"/>
      <c r="L79" s="168" t="s">
        <v>102</v>
      </c>
      <c r="M79" s="312"/>
      <c r="N79" s="737" t="s">
        <v>360</v>
      </c>
      <c r="O79" s="738"/>
      <c r="P79" s="739"/>
      <c r="Q79" s="312"/>
      <c r="R79" s="294"/>
      <c r="S79" s="172" t="str">
        <f t="shared" si="4"/>
        <v/>
      </c>
      <c r="T79" s="156">
        <v>0</v>
      </c>
      <c r="U79" s="262"/>
      <c r="V79" s="169" t="s">
        <v>348</v>
      </c>
      <c r="W79" s="167"/>
      <c r="X79" s="177" t="s">
        <v>349</v>
      </c>
      <c r="Y79" s="697"/>
      <c r="Z79" s="807" t="s">
        <v>377</v>
      </c>
      <c r="AA79" s="809"/>
      <c r="AB79" s="262"/>
      <c r="AC79" s="262"/>
      <c r="AD79" s="262"/>
      <c r="AE79" s="262"/>
      <c r="AF79" s="543"/>
    </row>
    <row r="80" spans="1:32" ht="13.5" thickBot="1">
      <c r="A80" s="72"/>
      <c r="B80" s="72"/>
      <c r="C80" s="72"/>
      <c r="D80" s="72"/>
      <c r="E80" s="72"/>
      <c r="F80" s="72"/>
      <c r="G80" s="72"/>
      <c r="H80" s="72"/>
      <c r="I80" s="72"/>
      <c r="J80" s="143" t="s">
        <v>190</v>
      </c>
      <c r="K80" s="107"/>
      <c r="L80" s="146" t="s">
        <v>102</v>
      </c>
      <c r="M80" s="312"/>
      <c r="N80" s="164" t="s">
        <v>61</v>
      </c>
      <c r="O80" s="167"/>
      <c r="P80" s="177" t="s">
        <v>10</v>
      </c>
      <c r="Q80" s="312"/>
      <c r="R80" s="294"/>
      <c r="S80" s="172" t="str">
        <f t="shared" si="4"/>
        <v/>
      </c>
      <c r="T80" s="156">
        <v>0</v>
      </c>
      <c r="U80" s="262"/>
      <c r="V80" s="143" t="s">
        <v>375</v>
      </c>
      <c r="W80" s="176"/>
      <c r="X80" s="177" t="s">
        <v>409</v>
      </c>
      <c r="Y80" s="697"/>
      <c r="Z80" s="518" t="s">
        <v>284</v>
      </c>
      <c r="AA80" s="519" t="s">
        <v>373</v>
      </c>
      <c r="AB80" s="262"/>
      <c r="AC80" s="262"/>
      <c r="AD80" s="262"/>
      <c r="AE80" s="262"/>
      <c r="AF80" s="543"/>
    </row>
    <row r="81" spans="1:32">
      <c r="A81" s="72"/>
      <c r="B81" s="72"/>
      <c r="C81" s="72"/>
      <c r="D81" s="72"/>
      <c r="E81" s="72"/>
      <c r="F81" s="72"/>
      <c r="G81" s="72"/>
      <c r="H81" s="72"/>
      <c r="I81" s="72"/>
      <c r="J81" s="163" t="s">
        <v>404</v>
      </c>
      <c r="K81" s="107"/>
      <c r="L81" s="168" t="s">
        <v>10</v>
      </c>
      <c r="M81" s="312"/>
      <c r="N81" s="164" t="s">
        <v>8</v>
      </c>
      <c r="O81" s="167"/>
      <c r="P81" s="168" t="s">
        <v>10</v>
      </c>
      <c r="Q81" s="312"/>
      <c r="R81" s="294"/>
      <c r="S81" s="172" t="str">
        <f t="shared" si="4"/>
        <v/>
      </c>
      <c r="T81" s="156">
        <v>0</v>
      </c>
      <c r="U81" s="262"/>
      <c r="V81" s="169" t="s">
        <v>374</v>
      </c>
      <c r="W81" s="167"/>
      <c r="X81" s="177" t="s">
        <v>409</v>
      </c>
      <c r="Y81" s="697"/>
      <c r="Z81" s="151">
        <v>1</v>
      </c>
      <c r="AA81" s="520">
        <v>0.1</v>
      </c>
      <c r="AB81" s="262"/>
      <c r="AC81" s="262"/>
      <c r="AD81" s="262"/>
      <c r="AE81" s="262"/>
      <c r="AF81" s="543"/>
    </row>
    <row r="82" spans="1:32">
      <c r="A82" s="72"/>
      <c r="B82" s="72"/>
      <c r="C82" s="72"/>
      <c r="D82" s="72"/>
      <c r="E82" s="72"/>
      <c r="F82" s="72"/>
      <c r="G82" s="72"/>
      <c r="H82" s="72"/>
      <c r="I82" s="72"/>
      <c r="J82" s="163" t="s">
        <v>104</v>
      </c>
      <c r="K82" s="197"/>
      <c r="L82" s="168" t="s">
        <v>108</v>
      </c>
      <c r="M82" s="312"/>
      <c r="N82" s="164" t="s">
        <v>356</v>
      </c>
      <c r="O82" s="167"/>
      <c r="P82" s="177" t="s">
        <v>10</v>
      </c>
      <c r="Q82" s="476"/>
      <c r="R82" s="294"/>
      <c r="S82" s="172" t="str">
        <f t="shared" si="4"/>
        <v/>
      </c>
      <c r="T82" s="156">
        <v>0</v>
      </c>
      <c r="U82" s="262"/>
      <c r="V82" s="169" t="s">
        <v>376</v>
      </c>
      <c r="W82" s="167"/>
      <c r="X82" s="177" t="s">
        <v>102</v>
      </c>
      <c r="Y82" s="697"/>
      <c r="Z82" s="118">
        <v>2</v>
      </c>
      <c r="AA82" s="521">
        <v>0.2</v>
      </c>
      <c r="AB82" s="262"/>
      <c r="AC82" s="262"/>
      <c r="AD82" s="262"/>
      <c r="AE82" s="262"/>
      <c r="AF82" s="543"/>
    </row>
    <row r="83" spans="1:32" ht="13.5" thickBot="1">
      <c r="A83" s="72"/>
      <c r="B83" s="72"/>
      <c r="C83" s="72"/>
      <c r="D83" s="72"/>
      <c r="E83" s="72"/>
      <c r="F83" s="72"/>
      <c r="G83" s="72"/>
      <c r="H83" s="72"/>
      <c r="I83" s="72"/>
      <c r="J83" s="163" t="s">
        <v>111</v>
      </c>
      <c r="K83" s="107"/>
      <c r="L83" s="168" t="s">
        <v>102</v>
      </c>
      <c r="M83" s="312"/>
      <c r="N83" s="479" t="s">
        <v>71</v>
      </c>
      <c r="O83" s="167"/>
      <c r="P83" s="177" t="s">
        <v>9</v>
      </c>
      <c r="Q83" s="312"/>
      <c r="R83" s="294"/>
      <c r="S83" s="172" t="str">
        <f t="shared" si="4"/>
        <v/>
      </c>
      <c r="T83" s="156">
        <v>0</v>
      </c>
      <c r="U83" s="192"/>
      <c r="V83" s="178" t="str">
        <f>IF(OR($L$87 ="BG",$L$87 ="Bullfrog"), "StatusLightFading","--")</f>
        <v>--</v>
      </c>
      <c r="W83" s="186"/>
      <c r="X83" s="188" t="s">
        <v>102</v>
      </c>
      <c r="Y83" s="697"/>
      <c r="Z83" s="118">
        <v>3</v>
      </c>
      <c r="AA83" s="521">
        <v>0.3</v>
      </c>
      <c r="AB83" s="262"/>
      <c r="AC83" s="262"/>
      <c r="AD83" s="262"/>
      <c r="AE83" s="262"/>
      <c r="AF83" s="543"/>
    </row>
    <row r="84" spans="1:32" ht="13.5" thickBot="1">
      <c r="A84" s="72"/>
      <c r="B84" s="72"/>
      <c r="C84" s="72"/>
      <c r="D84" s="72"/>
      <c r="E84" s="72"/>
      <c r="F84" s="72"/>
      <c r="G84" s="72"/>
      <c r="H84" s="72"/>
      <c r="I84" s="72"/>
      <c r="J84" s="163" t="s">
        <v>188</v>
      </c>
      <c r="K84" s="107"/>
      <c r="L84" s="168" t="s">
        <v>189</v>
      </c>
      <c r="M84" s="312"/>
      <c r="N84" s="163" t="s">
        <v>353</v>
      </c>
      <c r="O84" s="107"/>
      <c r="P84" s="168" t="s">
        <v>10</v>
      </c>
      <c r="Q84" s="312"/>
      <c r="R84" s="294"/>
      <c r="S84" s="172" t="str">
        <f t="shared" si="4"/>
        <v/>
      </c>
      <c r="T84" s="156">
        <v>0</v>
      </c>
      <c r="U84" s="192"/>
      <c r="V84" s="734" t="s">
        <v>209</v>
      </c>
      <c r="W84" s="735"/>
      <c r="X84" s="736"/>
      <c r="Y84" s="698"/>
      <c r="Z84" s="118">
        <v>4</v>
      </c>
      <c r="AA84" s="521">
        <v>0.4</v>
      </c>
      <c r="AB84" s="262"/>
      <c r="AC84" s="262"/>
      <c r="AD84" s="262"/>
      <c r="AE84" s="262"/>
      <c r="AF84" s="543"/>
    </row>
    <row r="85" spans="1:32" ht="13.5" thickBot="1">
      <c r="A85" s="72"/>
      <c r="B85" s="72"/>
      <c r="C85" s="72"/>
      <c r="D85" s="72"/>
      <c r="E85" s="72"/>
      <c r="F85" s="72"/>
      <c r="G85" s="72"/>
      <c r="H85" s="72"/>
      <c r="I85" s="72"/>
      <c r="J85" s="163" t="s">
        <v>385</v>
      </c>
      <c r="K85" s="107"/>
      <c r="L85" s="168" t="s">
        <v>10</v>
      </c>
      <c r="M85" s="312"/>
      <c r="N85" s="164" t="s">
        <v>355</v>
      </c>
      <c r="O85" s="167"/>
      <c r="P85" s="168" t="s">
        <v>354</v>
      </c>
      <c r="Q85" s="312"/>
      <c r="R85" s="294"/>
      <c r="S85" s="172" t="str">
        <f t="shared" si="4"/>
        <v/>
      </c>
      <c r="T85" s="156">
        <v>0</v>
      </c>
      <c r="U85" s="192"/>
      <c r="V85" s="183" t="s">
        <v>204</v>
      </c>
      <c r="W85" s="184"/>
      <c r="X85" s="704" t="s">
        <v>191</v>
      </c>
      <c r="Y85" s="699"/>
      <c r="Z85" s="118">
        <v>5</v>
      </c>
      <c r="AA85" s="521">
        <v>0.5</v>
      </c>
      <c r="AB85" s="262"/>
      <c r="AC85" s="262"/>
      <c r="AD85" s="262"/>
      <c r="AE85" s="262"/>
      <c r="AF85" s="543"/>
    </row>
    <row r="86" spans="1:32" ht="13.5" thickBot="1">
      <c r="A86" s="72"/>
      <c r="B86" s="72"/>
      <c r="C86" s="72"/>
      <c r="D86" s="72"/>
      <c r="E86" s="72"/>
      <c r="F86" s="72"/>
      <c r="G86" s="72"/>
      <c r="H86" s="72"/>
      <c r="I86" s="72"/>
      <c r="J86" s="777" t="s">
        <v>85</v>
      </c>
      <c r="K86" s="778"/>
      <c r="L86" s="779"/>
      <c r="M86" s="312"/>
      <c r="N86" s="164"/>
      <c r="O86" s="167"/>
      <c r="P86" s="168"/>
      <c r="Q86" s="312"/>
      <c r="R86" s="294"/>
      <c r="S86" s="172"/>
      <c r="T86" s="156">
        <v>0</v>
      </c>
      <c r="U86" s="192"/>
      <c r="V86" s="169" t="s">
        <v>252</v>
      </c>
      <c r="W86" s="167"/>
      <c r="X86" s="705">
        <v>0</v>
      </c>
      <c r="Y86" s="700"/>
      <c r="Z86" s="118">
        <v>6</v>
      </c>
      <c r="AA86" s="521">
        <v>0.6</v>
      </c>
      <c r="AB86" s="262"/>
      <c r="AC86" s="262"/>
      <c r="AD86" s="262"/>
      <c r="AE86" s="262"/>
      <c r="AF86" s="543"/>
    </row>
    <row r="87" spans="1:32" ht="13.5" thickBot="1">
      <c r="A87" s="72"/>
      <c r="B87" s="72"/>
      <c r="C87" s="72"/>
      <c r="D87" s="72"/>
      <c r="E87" s="72"/>
      <c r="F87" s="72"/>
      <c r="G87" s="72"/>
      <c r="H87" s="72"/>
      <c r="I87" s="72"/>
      <c r="J87" s="183" t="s">
        <v>362</v>
      </c>
      <c r="K87" s="491"/>
      <c r="L87" s="722" t="s">
        <v>572</v>
      </c>
      <c r="M87" s="312"/>
      <c r="N87" s="174"/>
      <c r="O87" s="167"/>
      <c r="P87" s="168"/>
      <c r="Q87" s="312"/>
      <c r="R87" s="294"/>
      <c r="S87" s="172"/>
      <c r="T87" s="156">
        <v>0</v>
      </c>
      <c r="U87" s="192"/>
      <c r="V87" s="169" t="s">
        <v>205</v>
      </c>
      <c r="W87" s="167"/>
      <c r="X87" s="156" t="s">
        <v>206</v>
      </c>
      <c r="Y87" s="701"/>
      <c r="Z87" s="118">
        <v>7</v>
      </c>
      <c r="AA87" s="521">
        <v>0.7</v>
      </c>
      <c r="AB87" s="262"/>
      <c r="AC87" s="262"/>
      <c r="AD87" s="262"/>
      <c r="AE87" s="262"/>
      <c r="AF87" s="543"/>
    </row>
    <row r="88" spans="1:32" ht="15" thickBot="1">
      <c r="A88" s="72"/>
      <c r="B88" s="72"/>
      <c r="C88" s="72"/>
      <c r="D88" s="72"/>
      <c r="E88" s="72"/>
      <c r="F88" s="72"/>
      <c r="G88" s="72"/>
      <c r="H88" s="72"/>
      <c r="I88" s="72"/>
      <c r="J88" s="163" t="s">
        <v>412</v>
      </c>
      <c r="K88" s="493"/>
      <c r="L88" s="619"/>
      <c r="M88" s="312"/>
      <c r="N88" s="737" t="s">
        <v>62</v>
      </c>
      <c r="O88" s="738"/>
      <c r="P88" s="739"/>
      <c r="Q88" s="312"/>
      <c r="R88" s="295" t="s">
        <v>286</v>
      </c>
      <c r="S88" s="198" t="s">
        <v>288</v>
      </c>
      <c r="T88" s="199">
        <v>1</v>
      </c>
      <c r="U88" s="192" t="s">
        <v>575</v>
      </c>
      <c r="V88" s="178" t="s">
        <v>208</v>
      </c>
      <c r="W88" s="186"/>
      <c r="X88" s="706" t="str">
        <f>'Supply Attribution'!$G$21</f>
        <v>F1</v>
      </c>
      <c r="Y88" s="701"/>
      <c r="Z88" s="118">
        <v>8</v>
      </c>
      <c r="AA88" s="521">
        <v>0.8</v>
      </c>
      <c r="AB88" s="262"/>
      <c r="AC88" s="262"/>
      <c r="AD88" s="262"/>
      <c r="AE88" s="262"/>
      <c r="AF88" s="543"/>
    </row>
    <row r="89" spans="1:32" ht="15" thickBot="1">
      <c r="A89" s="72"/>
      <c r="B89" s="72"/>
      <c r="C89" s="72"/>
      <c r="D89" s="72"/>
      <c r="E89" s="72"/>
      <c r="F89" s="72"/>
      <c r="G89" s="72"/>
      <c r="H89" s="72"/>
      <c r="I89" s="72"/>
      <c r="J89" s="557" t="s">
        <v>413</v>
      </c>
      <c r="K89" s="493"/>
      <c r="L89" s="620"/>
      <c r="M89" s="312"/>
      <c r="N89" s="163" t="s">
        <v>67</v>
      </c>
      <c r="O89" s="200"/>
      <c r="P89" s="166" t="s">
        <v>64</v>
      </c>
      <c r="Q89" s="312"/>
      <c r="R89" s="295" t="s">
        <v>287</v>
      </c>
      <c r="S89" s="198" t="s">
        <v>288</v>
      </c>
      <c r="T89" s="201">
        <v>0</v>
      </c>
      <c r="U89" s="192"/>
      <c r="V89" s="777" t="s">
        <v>361</v>
      </c>
      <c r="W89" s="778"/>
      <c r="X89" s="779"/>
      <c r="Y89" s="702"/>
      <c r="Z89" s="118">
        <v>9</v>
      </c>
      <c r="AA89" s="521">
        <v>0.9</v>
      </c>
      <c r="AB89" s="262"/>
      <c r="AC89" s="262"/>
      <c r="AD89" s="262"/>
      <c r="AE89" s="262"/>
      <c r="AF89" s="543"/>
    </row>
    <row r="90" spans="1:32" ht="13.5" thickBot="1">
      <c r="A90" s="72"/>
      <c r="B90" s="72"/>
      <c r="C90" s="72"/>
      <c r="D90" s="72"/>
      <c r="E90" s="72"/>
      <c r="F90" s="72"/>
      <c r="G90" s="72"/>
      <c r="H90" s="72"/>
      <c r="I90" s="72"/>
      <c r="J90" s="558" t="s">
        <v>223</v>
      </c>
      <c r="K90" s="494"/>
      <c r="L90" s="495"/>
      <c r="M90" s="312"/>
      <c r="N90" s="178" t="s">
        <v>66</v>
      </c>
      <c r="O90" s="191"/>
      <c r="P90" s="202" t="s">
        <v>65</v>
      </c>
      <c r="Q90" s="312"/>
      <c r="R90" s="203" t="str">
        <f>CONCATENATE("Heater (",ROUND(T90/IF(K6="CE",250,241),0)," A)")</f>
        <v>Heater (17 A)</v>
      </c>
      <c r="S90" s="316" t="str">
        <f>CONCATENATE(ROUND(ROUND(T90/IF(K6="UL",241,250),0)/IF(AND(K6="UL",T60&lt;=20),2,1),0)," A (",'Supply Attribution'!G20,")")</f>
        <v>17 A (Line1)</v>
      </c>
      <c r="T90" s="315">
        <v>4000</v>
      </c>
      <c r="U90" s="192"/>
      <c r="V90" s="640"/>
      <c r="W90" s="641"/>
      <c r="X90" s="642"/>
      <c r="Y90" s="703"/>
      <c r="Z90" s="517">
        <v>10</v>
      </c>
      <c r="AA90" s="522">
        <v>1</v>
      </c>
      <c r="AB90" s="262"/>
      <c r="AC90" s="262"/>
      <c r="AD90" s="262"/>
      <c r="AE90" s="262"/>
      <c r="AF90" s="543"/>
    </row>
    <row r="91" spans="1:32" ht="13.5" thickBot="1">
      <c r="A91" s="72"/>
      <c r="B91" s="72"/>
      <c r="C91" s="72"/>
      <c r="D91" s="72"/>
      <c r="E91" s="72"/>
      <c r="F91" s="72"/>
      <c r="G91" s="72"/>
      <c r="H91" s="72"/>
      <c r="I91" s="72"/>
      <c r="J91" s="712"/>
      <c r="K91" s="262"/>
      <c r="L91" s="262"/>
      <c r="M91" s="262"/>
      <c r="N91" s="711"/>
      <c r="O91" s="262"/>
      <c r="P91" s="262"/>
      <c r="Q91" s="262"/>
      <c r="R91" s="728" t="s">
        <v>556</v>
      </c>
      <c r="S91" s="729"/>
      <c r="T91" s="730"/>
      <c r="U91" s="262"/>
      <c r="V91" s="710"/>
      <c r="W91" s="262"/>
      <c r="X91" s="262"/>
      <c r="Y91" s="262"/>
      <c r="Z91" s="262"/>
      <c r="AA91" s="262"/>
      <c r="AB91" s="262"/>
      <c r="AC91" s="262"/>
      <c r="AD91" s="262"/>
      <c r="AE91" s="262"/>
    </row>
    <row r="92" spans="1:32">
      <c r="A92" s="72"/>
      <c r="B92" s="72"/>
      <c r="C92" s="72"/>
      <c r="D92" s="72"/>
      <c r="E92" s="72"/>
      <c r="F92" s="72"/>
      <c r="G92" s="72"/>
      <c r="H92" s="72"/>
      <c r="I92" s="72"/>
      <c r="J92" s="712"/>
      <c r="K92" s="262"/>
      <c r="L92" s="262"/>
      <c r="M92" s="262"/>
      <c r="N92" s="262"/>
      <c r="O92" s="262"/>
      <c r="P92" s="262"/>
      <c r="Q92" s="262"/>
      <c r="R92" s="515" t="s">
        <v>557</v>
      </c>
      <c r="S92" s="107"/>
      <c r="T92" s="146" t="s">
        <v>558</v>
      </c>
      <c r="U92" s="262"/>
      <c r="V92" s="710"/>
      <c r="W92" s="262"/>
      <c r="X92" s="262"/>
      <c r="Y92" s="262"/>
      <c r="Z92" s="262"/>
      <c r="AA92" s="262"/>
      <c r="AB92" s="262"/>
      <c r="AC92" s="262"/>
      <c r="AD92" s="262"/>
      <c r="AE92" s="262"/>
    </row>
    <row r="93" spans="1:32">
      <c r="A93" s="72"/>
      <c r="B93" s="72"/>
      <c r="C93" s="72"/>
      <c r="D93" s="72"/>
      <c r="E93" s="72"/>
      <c r="F93" s="72"/>
      <c r="G93" s="72"/>
      <c r="H93" s="72"/>
      <c r="I93" s="72"/>
      <c r="J93" s="712"/>
      <c r="K93" s="262"/>
      <c r="L93" s="262"/>
      <c r="M93" s="262"/>
      <c r="N93" s="262"/>
      <c r="O93" s="262"/>
      <c r="P93" s="262"/>
      <c r="Q93" s="262"/>
      <c r="R93" s="515" t="s">
        <v>551</v>
      </c>
      <c r="S93" s="107"/>
      <c r="T93" s="146" t="s">
        <v>189</v>
      </c>
      <c r="U93" s="262"/>
      <c r="V93" s="710"/>
      <c r="W93" s="262"/>
      <c r="X93" s="262"/>
      <c r="Y93" s="262"/>
      <c r="Z93" s="262"/>
      <c r="AA93" s="262"/>
      <c r="AB93" s="262"/>
      <c r="AC93" s="262"/>
      <c r="AD93" s="262"/>
      <c r="AE93" s="262"/>
    </row>
    <row r="94" spans="1:32">
      <c r="A94" s="72"/>
      <c r="B94" s="72"/>
      <c r="C94" s="72"/>
      <c r="D94" s="72"/>
      <c r="E94" s="72"/>
      <c r="F94" s="72"/>
      <c r="G94" s="72"/>
      <c r="H94" s="72"/>
      <c r="I94" s="72"/>
      <c r="J94" s="712"/>
      <c r="K94" s="262"/>
      <c r="L94" s="262"/>
      <c r="M94" s="262"/>
      <c r="N94" s="262"/>
      <c r="O94" s="262"/>
      <c r="P94" s="262"/>
      <c r="Q94" s="262"/>
      <c r="R94" s="515" t="s">
        <v>552</v>
      </c>
      <c r="S94" s="107"/>
      <c r="T94" s="146" t="s">
        <v>189</v>
      </c>
      <c r="U94" s="262"/>
      <c r="V94" s="710"/>
      <c r="W94" s="262"/>
      <c r="X94" s="262"/>
      <c r="Y94" s="262"/>
      <c r="Z94" s="262"/>
      <c r="AA94" s="262"/>
      <c r="AB94" s="262"/>
      <c r="AC94" s="262"/>
      <c r="AD94" s="262"/>
      <c r="AE94" s="262"/>
    </row>
    <row r="95" spans="1:32">
      <c r="A95" s="72"/>
      <c r="B95" s="72"/>
      <c r="C95" s="72"/>
      <c r="D95" s="72"/>
      <c r="E95" s="72"/>
      <c r="F95" s="72"/>
      <c r="G95" s="72"/>
      <c r="H95" s="72"/>
      <c r="I95" s="72"/>
      <c r="J95" s="712"/>
      <c r="K95" s="262"/>
      <c r="L95" s="262"/>
      <c r="M95" s="262"/>
      <c r="N95" s="262"/>
      <c r="O95" s="262"/>
      <c r="P95" s="262"/>
      <c r="Q95" s="262"/>
      <c r="R95" s="515" t="s">
        <v>554</v>
      </c>
      <c r="S95" s="107"/>
      <c r="T95" s="146" t="s">
        <v>189</v>
      </c>
      <c r="U95" s="262"/>
      <c r="V95" s="710"/>
      <c r="W95" s="262"/>
      <c r="X95" s="262"/>
      <c r="Y95" s="262"/>
      <c r="Z95" s="262"/>
      <c r="AA95" s="262"/>
      <c r="AB95" s="262"/>
      <c r="AC95" s="262"/>
      <c r="AD95" s="262"/>
      <c r="AE95" s="262"/>
    </row>
    <row r="96" spans="1:32">
      <c r="A96" s="72"/>
      <c r="B96" s="72"/>
      <c r="C96" s="72"/>
      <c r="D96" s="72"/>
      <c r="E96" s="72"/>
      <c r="F96" s="72"/>
      <c r="G96" s="72"/>
      <c r="H96" s="72"/>
      <c r="I96" s="72"/>
      <c r="J96" s="712"/>
      <c r="K96" s="262"/>
      <c r="L96" s="262"/>
      <c r="M96" s="262"/>
      <c r="N96" s="262"/>
      <c r="O96" s="262"/>
      <c r="P96" s="262"/>
      <c r="Q96" s="262"/>
      <c r="R96" s="515" t="s">
        <v>553</v>
      </c>
      <c r="S96" s="107"/>
      <c r="T96" s="146" t="s">
        <v>189</v>
      </c>
      <c r="U96" s="262"/>
      <c r="V96" s="710"/>
      <c r="W96" s="262"/>
      <c r="X96" s="262"/>
      <c r="Y96" s="262"/>
      <c r="Z96" s="262"/>
      <c r="AA96" s="262"/>
      <c r="AB96" s="262"/>
      <c r="AC96" s="262"/>
      <c r="AD96" s="262"/>
      <c r="AE96" s="262"/>
    </row>
    <row r="97" spans="1:31">
      <c r="A97" s="72"/>
      <c r="B97" s="72"/>
      <c r="C97" s="72"/>
      <c r="D97" s="72"/>
      <c r="E97" s="72"/>
      <c r="F97" s="72"/>
      <c r="G97" s="72"/>
      <c r="H97" s="72"/>
      <c r="I97" s="72"/>
      <c r="J97" s="712"/>
      <c r="K97" s="262"/>
      <c r="L97" s="262"/>
      <c r="M97" s="262"/>
      <c r="N97" s="262"/>
      <c r="O97" s="262"/>
      <c r="P97" s="262"/>
      <c r="Q97" s="262"/>
      <c r="R97" s="515" t="s">
        <v>555</v>
      </c>
      <c r="S97" s="167"/>
      <c r="T97" s="146" t="s">
        <v>189</v>
      </c>
      <c r="U97" s="262"/>
      <c r="V97" s="710"/>
      <c r="W97" s="262"/>
      <c r="X97" s="262"/>
      <c r="Y97" s="262"/>
      <c r="Z97" s="262"/>
      <c r="AA97" s="262"/>
      <c r="AB97" s="262"/>
      <c r="AC97" s="262"/>
      <c r="AD97" s="262"/>
      <c r="AE97" s="262"/>
    </row>
    <row r="98" spans="1:31">
      <c r="A98" s="72"/>
      <c r="B98" s="72"/>
      <c r="C98" s="72"/>
      <c r="D98" s="72"/>
      <c r="E98" s="72"/>
      <c r="F98" s="72"/>
      <c r="G98" s="72"/>
      <c r="H98" s="72"/>
      <c r="I98" s="72"/>
      <c r="J98" s="712"/>
      <c r="K98" s="262"/>
      <c r="L98" s="262"/>
      <c r="M98" s="262"/>
      <c r="N98" s="262"/>
      <c r="O98" s="262"/>
      <c r="P98" s="262"/>
      <c r="Q98" s="262"/>
      <c r="R98" s="515" t="s">
        <v>559</v>
      </c>
      <c r="S98" s="107"/>
      <c r="T98" s="714">
        <v>0.05</v>
      </c>
      <c r="U98" s="262"/>
      <c r="V98" s="710"/>
      <c r="W98" s="262"/>
      <c r="X98" s="262"/>
      <c r="Y98" s="262"/>
      <c r="Z98" s="262"/>
      <c r="AA98" s="262"/>
      <c r="AB98" s="262"/>
      <c r="AC98" s="262"/>
      <c r="AD98" s="262"/>
      <c r="AE98" s="262"/>
    </row>
    <row r="99" spans="1:31" ht="13.5" thickBot="1">
      <c r="A99" s="72"/>
      <c r="B99" s="72"/>
      <c r="C99" s="72"/>
      <c r="D99" s="72"/>
      <c r="E99" s="72"/>
      <c r="F99" s="72"/>
      <c r="G99" s="72"/>
      <c r="H99" s="72"/>
      <c r="I99" s="72"/>
      <c r="J99" s="712"/>
      <c r="K99" s="262"/>
      <c r="L99" s="262"/>
      <c r="M99" s="262"/>
      <c r="N99" s="262"/>
      <c r="O99" s="262"/>
      <c r="P99" s="262"/>
      <c r="Q99" s="262"/>
      <c r="R99" s="516" t="s">
        <v>560</v>
      </c>
      <c r="S99" s="186"/>
      <c r="T99" s="715">
        <v>0.05</v>
      </c>
      <c r="U99" s="262"/>
      <c r="V99" s="710"/>
      <c r="W99" s="262"/>
      <c r="X99" s="262"/>
      <c r="Y99" s="262"/>
      <c r="Z99" s="262"/>
      <c r="AA99" s="262"/>
      <c r="AB99" s="262"/>
      <c r="AC99" s="262"/>
      <c r="AD99" s="262"/>
      <c r="AE99" s="262"/>
    </row>
    <row r="100" spans="1:31" ht="13.5" thickBot="1">
      <c r="A100" s="72"/>
      <c r="B100" s="72"/>
      <c r="C100" s="72"/>
      <c r="D100" s="72"/>
      <c r="E100" s="72"/>
      <c r="F100" s="72"/>
      <c r="G100" s="72"/>
      <c r="H100" s="72"/>
      <c r="I100" s="72"/>
      <c r="J100" s="713"/>
      <c r="K100" s="196"/>
      <c r="L100" s="196"/>
      <c r="M100" s="196"/>
      <c r="N100" s="196"/>
      <c r="O100" s="196"/>
      <c r="P100" s="196"/>
      <c r="Q100" s="196"/>
      <c r="R100" s="196"/>
      <c r="S100" s="196"/>
      <c r="T100" s="196"/>
      <c r="U100" s="196"/>
      <c r="V100" s="308"/>
      <c r="W100" s="196"/>
      <c r="X100" s="196"/>
      <c r="Y100" s="196"/>
      <c r="Z100" s="196"/>
      <c r="AA100" s="196"/>
      <c r="AB100" s="196"/>
      <c r="AC100" s="196"/>
      <c r="AD100" s="196"/>
      <c r="AE100" s="196"/>
    </row>
    <row r="101" spans="1:31" ht="13.5" thickBot="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72"/>
      <c r="AB101" s="72"/>
      <c r="AC101" s="72"/>
      <c r="AD101" s="78"/>
    </row>
    <row r="102" spans="1:31" ht="13.5" thickBot="1">
      <c r="A102" s="72"/>
      <c r="B102" s="72"/>
      <c r="C102" s="72"/>
      <c r="D102" s="72"/>
      <c r="E102" s="72"/>
      <c r="F102" s="72"/>
      <c r="G102" s="72"/>
      <c r="H102" s="72"/>
      <c r="I102" s="72"/>
      <c r="J102" s="205" t="s">
        <v>11</v>
      </c>
      <c r="K102" s="206"/>
      <c r="L102" s="206"/>
      <c r="M102" s="206"/>
      <c r="N102" s="206"/>
      <c r="O102" s="206"/>
      <c r="P102" s="206"/>
      <c r="Q102" s="206"/>
      <c r="R102" s="207"/>
      <c r="S102" s="208" t="s">
        <v>45</v>
      </c>
      <c r="T102" s="509" t="s">
        <v>46</v>
      </c>
      <c r="U102" s="510"/>
      <c r="V102" s="510"/>
      <c r="W102" s="510"/>
      <c r="X102" s="510"/>
      <c r="Y102" s="510"/>
      <c r="Z102" s="510"/>
      <c r="AA102" s="511"/>
      <c r="AB102" s="208" t="s">
        <v>2</v>
      </c>
      <c r="AC102" s="209" t="s">
        <v>47</v>
      </c>
      <c r="AD102" s="210"/>
    </row>
    <row r="103" spans="1:31">
      <c r="A103" s="72"/>
      <c r="B103" s="72"/>
      <c r="C103" s="72"/>
      <c r="D103" s="72"/>
      <c r="E103" s="72"/>
      <c r="F103" s="72"/>
      <c r="G103" s="72"/>
      <c r="H103" s="72"/>
      <c r="I103" s="72"/>
      <c r="J103" s="484"/>
      <c r="K103" s="485"/>
      <c r="L103" s="485"/>
      <c r="M103" s="485"/>
      <c r="N103" s="485"/>
      <c r="O103" s="485"/>
      <c r="P103" s="485"/>
      <c r="Q103" s="485"/>
      <c r="R103" s="486"/>
      <c r="S103" s="211"/>
      <c r="T103" s="506"/>
      <c r="U103" s="507"/>
      <c r="V103" s="507"/>
      <c r="W103" s="507"/>
      <c r="X103" s="507"/>
      <c r="Y103" s="507"/>
      <c r="Z103" s="507"/>
      <c r="AA103" s="508"/>
      <c r="AB103" s="212"/>
      <c r="AC103" s="213"/>
      <c r="AD103" s="78"/>
    </row>
    <row r="104" spans="1:31">
      <c r="A104" s="72"/>
      <c r="B104" s="72"/>
      <c r="C104" s="72"/>
      <c r="D104" s="72"/>
      <c r="E104" s="72"/>
      <c r="F104" s="72"/>
      <c r="G104" s="72"/>
      <c r="H104" s="72"/>
      <c r="I104" s="72"/>
      <c r="J104" s="481"/>
      <c r="K104" s="482"/>
      <c r="L104" s="482"/>
      <c r="M104" s="482"/>
      <c r="N104" s="482"/>
      <c r="O104" s="482"/>
      <c r="P104" s="482"/>
      <c r="Q104" s="482"/>
      <c r="R104" s="483"/>
      <c r="S104" s="214"/>
      <c r="T104" s="503"/>
      <c r="U104" s="504"/>
      <c r="V104" s="504"/>
      <c r="W104" s="504"/>
      <c r="X104" s="504"/>
      <c r="Y104" s="504"/>
      <c r="Z104" s="504"/>
      <c r="AA104" s="505"/>
      <c r="AB104" s="215"/>
      <c r="AC104" s="216"/>
      <c r="AD104" s="78"/>
    </row>
    <row r="105" spans="1:31">
      <c r="A105" s="72"/>
      <c r="B105" s="72"/>
      <c r="C105" s="72"/>
      <c r="D105" s="72"/>
      <c r="E105" s="72"/>
      <c r="F105" s="72"/>
      <c r="G105" s="72"/>
      <c r="H105" s="72"/>
      <c r="I105" s="72"/>
      <c r="J105" s="481"/>
      <c r="K105" s="524"/>
      <c r="L105" s="482"/>
      <c r="M105" s="482"/>
      <c r="N105" s="482"/>
      <c r="O105" s="482"/>
      <c r="P105" s="482"/>
      <c r="Q105" s="482"/>
      <c r="R105" s="483"/>
      <c r="S105" s="214"/>
      <c r="T105" s="503"/>
      <c r="U105" s="504"/>
      <c r="V105" s="504"/>
      <c r="W105" s="504"/>
      <c r="X105" s="504"/>
      <c r="Y105" s="504"/>
      <c r="Z105" s="504"/>
      <c r="AA105" s="505"/>
      <c r="AB105" s="215"/>
      <c r="AC105" s="216"/>
      <c r="AD105" s="78"/>
    </row>
    <row r="106" spans="1:31">
      <c r="A106" s="72"/>
      <c r="B106" s="72"/>
      <c r="C106" s="72"/>
      <c r="D106" s="72"/>
      <c r="E106" s="72"/>
      <c r="F106" s="72"/>
      <c r="G106" s="72"/>
      <c r="H106" s="72"/>
      <c r="I106" s="72"/>
      <c r="J106" s="481"/>
      <c r="K106" s="482"/>
      <c r="L106" s="482"/>
      <c r="M106" s="482"/>
      <c r="N106" s="482"/>
      <c r="O106" s="482"/>
      <c r="P106" s="482"/>
      <c r="Q106" s="482"/>
      <c r="R106" s="483"/>
      <c r="S106" s="214"/>
      <c r="T106" s="503"/>
      <c r="U106" s="504"/>
      <c r="V106" s="504"/>
      <c r="W106" s="504"/>
      <c r="X106" s="504"/>
      <c r="Y106" s="504"/>
      <c r="Z106" s="504"/>
      <c r="AA106" s="505"/>
      <c r="AB106" s="215"/>
      <c r="AC106" s="216"/>
      <c r="AD106" s="78"/>
    </row>
    <row r="107" spans="1:31" ht="13.5" thickBot="1">
      <c r="A107" s="72"/>
      <c r="B107" s="72"/>
      <c r="C107" s="72"/>
      <c r="D107" s="72"/>
      <c r="E107" s="72"/>
      <c r="F107" s="72"/>
      <c r="G107" s="72"/>
      <c r="H107" s="72"/>
      <c r="I107" s="72"/>
      <c r="J107" s="487"/>
      <c r="K107" s="488"/>
      <c r="L107" s="488"/>
      <c r="M107" s="488"/>
      <c r="N107" s="488"/>
      <c r="O107" s="488"/>
      <c r="P107" s="488"/>
      <c r="Q107" s="488"/>
      <c r="R107" s="489"/>
      <c r="S107" s="217"/>
      <c r="T107" s="512"/>
      <c r="U107" s="513"/>
      <c r="V107" s="513"/>
      <c r="W107" s="513"/>
      <c r="X107" s="513"/>
      <c r="Y107" s="513"/>
      <c r="Z107" s="513"/>
      <c r="AA107" s="514"/>
      <c r="AB107" s="218"/>
      <c r="AC107" s="219"/>
      <c r="AD107" s="78"/>
    </row>
    <row r="108" spans="1:31">
      <c r="A108" s="72"/>
      <c r="B108" s="72"/>
      <c r="C108" s="72"/>
      <c r="D108" s="72"/>
      <c r="E108" s="72"/>
      <c r="F108" s="72"/>
      <c r="G108" s="72"/>
      <c r="H108" s="72"/>
      <c r="I108" s="72"/>
      <c r="J108" s="220"/>
      <c r="K108" s="220"/>
      <c r="L108" s="220"/>
      <c r="M108" s="220"/>
      <c r="N108" s="220"/>
      <c r="O108" s="220"/>
      <c r="P108" s="220"/>
      <c r="Q108" s="220"/>
      <c r="R108" s="220"/>
      <c r="S108" s="72"/>
      <c r="T108" s="220"/>
      <c r="U108" s="220"/>
      <c r="V108" s="220"/>
      <c r="W108" s="220"/>
      <c r="X108" s="220"/>
      <c r="Y108" s="220"/>
      <c r="Z108" s="220"/>
      <c r="AA108" s="220"/>
      <c r="AB108" s="221"/>
      <c r="AC108" s="221"/>
      <c r="AD108" s="78"/>
    </row>
    <row r="109" spans="1:31">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72"/>
      <c r="AB109" s="72"/>
      <c r="AC109" s="72"/>
      <c r="AD109" s="78"/>
    </row>
    <row r="110" spans="1:31" ht="13.5" thickBot="1">
      <c r="A110" s="72"/>
      <c r="B110" s="72"/>
      <c r="C110" s="72"/>
      <c r="D110" s="72"/>
      <c r="E110" s="72"/>
      <c r="F110" s="72"/>
      <c r="G110" s="72"/>
      <c r="H110" s="72"/>
      <c r="I110" s="72"/>
      <c r="J110" s="222" t="s">
        <v>182</v>
      </c>
      <c r="K110" s="222"/>
      <c r="L110" s="222"/>
      <c r="M110" s="222"/>
      <c r="N110" s="222"/>
      <c r="O110" s="222"/>
      <c r="P110" s="222"/>
      <c r="Q110" s="222"/>
      <c r="R110" s="222"/>
      <c r="S110" s="222"/>
      <c r="T110" s="222"/>
      <c r="U110" s="222"/>
      <c r="V110" s="222"/>
      <c r="W110" s="222"/>
      <c r="X110" s="222"/>
      <c r="Y110" s="222"/>
      <c r="Z110" s="222"/>
      <c r="AA110" s="222"/>
      <c r="AB110" s="222"/>
      <c r="AC110" s="222"/>
      <c r="AD110" s="78"/>
    </row>
    <row r="111" spans="1:31">
      <c r="A111" s="72"/>
      <c r="B111" s="72"/>
      <c r="C111" s="72"/>
      <c r="D111" s="72"/>
      <c r="E111" s="72"/>
      <c r="F111" s="72"/>
      <c r="G111" s="72"/>
      <c r="H111" s="72"/>
      <c r="I111" s="72"/>
      <c r="J111" s="223"/>
      <c r="K111" s="224"/>
      <c r="L111" s="224"/>
      <c r="M111" s="224"/>
      <c r="N111" s="224"/>
      <c r="O111" s="224"/>
      <c r="P111" s="224"/>
      <c r="Q111" s="224"/>
      <c r="R111" s="224"/>
      <c r="S111" s="224"/>
      <c r="T111" s="224"/>
      <c r="U111" s="224"/>
      <c r="V111" s="224"/>
      <c r="W111" s="224"/>
      <c r="X111" s="224"/>
      <c r="Y111" s="224"/>
      <c r="Z111" s="224"/>
      <c r="AA111" s="224"/>
      <c r="AB111" s="224"/>
      <c r="AC111" s="225"/>
      <c r="AD111" s="78"/>
    </row>
    <row r="112" spans="1:31" ht="13.5" thickBot="1">
      <c r="A112" s="72"/>
      <c r="B112" s="72"/>
      <c r="C112" s="72"/>
      <c r="D112" s="72"/>
      <c r="E112" s="72"/>
      <c r="F112" s="72"/>
      <c r="G112" s="72"/>
      <c r="H112" s="72"/>
      <c r="I112" s="72"/>
      <c r="J112" s="226"/>
      <c r="K112" s="227"/>
      <c r="L112" s="227"/>
      <c r="M112" s="227"/>
      <c r="N112" s="227"/>
      <c r="O112" s="227"/>
      <c r="P112" s="220"/>
      <c r="Q112" s="220"/>
      <c r="R112" s="220"/>
      <c r="S112" s="782"/>
      <c r="T112" s="782"/>
      <c r="U112" s="220"/>
      <c r="V112" s="220"/>
      <c r="W112" s="220"/>
      <c r="X112" s="220"/>
      <c r="Y112" s="220"/>
      <c r="Z112" s="220"/>
      <c r="AA112" s="220"/>
      <c r="AB112" s="220"/>
      <c r="AC112" s="502"/>
      <c r="AD112" s="78"/>
    </row>
    <row r="113" spans="1:30" ht="13.5" thickBot="1">
      <c r="A113" s="72"/>
      <c r="B113" s="72"/>
      <c r="C113" s="72"/>
      <c r="D113" s="72"/>
      <c r="E113" s="72"/>
      <c r="F113" s="72"/>
      <c r="G113" s="72"/>
      <c r="H113" s="72"/>
      <c r="I113" s="72"/>
      <c r="J113" s="228" t="s">
        <v>1</v>
      </c>
      <c r="K113" s="92"/>
      <c r="L113" s="92"/>
      <c r="M113" s="92"/>
      <c r="N113" s="92"/>
      <c r="O113" s="92"/>
      <c r="P113" s="92"/>
      <c r="Q113" s="92"/>
      <c r="R113" s="92"/>
      <c r="S113" s="229" t="s">
        <v>2</v>
      </c>
      <c r="T113" s="92"/>
      <c r="U113" s="92"/>
      <c r="V113" s="92"/>
      <c r="W113" s="92"/>
      <c r="X113" s="92"/>
      <c r="Y113" s="92"/>
      <c r="Z113" s="92"/>
      <c r="AA113" s="92"/>
      <c r="AB113" s="92"/>
      <c r="AC113" s="139"/>
      <c r="AD113" s="78"/>
    </row>
    <row r="114" spans="1:30">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72"/>
      <c r="AB114" s="72"/>
      <c r="AC114" s="72"/>
      <c r="AD114" s="78"/>
    </row>
    <row r="115" spans="1:30">
      <c r="A115" s="230"/>
      <c r="B115" s="230"/>
      <c r="C115" s="230"/>
      <c r="D115" s="230"/>
      <c r="E115" s="230"/>
      <c r="F115" s="230"/>
      <c r="G115" s="230"/>
      <c r="H115" s="230"/>
      <c r="I115" s="230"/>
      <c r="J115" s="230"/>
      <c r="K115" s="230"/>
      <c r="L115" s="230"/>
      <c r="M115" s="230"/>
      <c r="N115" s="230"/>
      <c r="O115" s="230"/>
      <c r="P115" s="230"/>
      <c r="Q115" s="230"/>
      <c r="R115" s="230"/>
      <c r="S115" s="230"/>
      <c r="T115" s="230"/>
      <c r="U115" s="230"/>
      <c r="V115" s="230"/>
      <c r="W115" s="230"/>
      <c r="X115" s="230"/>
      <c r="Y115" s="230"/>
      <c r="Z115" s="230"/>
      <c r="AA115" s="230"/>
      <c r="AB115" s="230"/>
      <c r="AC115" s="230"/>
      <c r="AD115" s="231"/>
    </row>
  </sheetData>
  <dataConsolidate function="var">
    <dataRefs count="1">
      <dataRef ref="B10:B11" sheet="Config." r:id="rId1"/>
    </dataRefs>
  </dataConsolidate>
  <mergeCells count="51">
    <mergeCell ref="V89:X89"/>
    <mergeCell ref="V84:X84"/>
    <mergeCell ref="AE10:AE11"/>
    <mergeCell ref="AE12:AE13"/>
    <mergeCell ref="J10:J11"/>
    <mergeCell ref="J12:J13"/>
    <mergeCell ref="J57:L57"/>
    <mergeCell ref="V57:X57"/>
    <mergeCell ref="Y57:AA57"/>
    <mergeCell ref="Z67:AE67"/>
    <mergeCell ref="Z79:AA79"/>
    <mergeCell ref="L1:M1"/>
    <mergeCell ref="S112:T112"/>
    <mergeCell ref="L2:M2"/>
    <mergeCell ref="R63:T63"/>
    <mergeCell ref="R57:T57"/>
    <mergeCell ref="J63:L63"/>
    <mergeCell ref="J4:K4"/>
    <mergeCell ref="J55:AC56"/>
    <mergeCell ref="N63:P63"/>
    <mergeCell ref="P7:Q7"/>
    <mergeCell ref="U5:X5"/>
    <mergeCell ref="L5:M5"/>
    <mergeCell ref="L6:M6"/>
    <mergeCell ref="R7:U7"/>
    <mergeCell ref="R8:U8"/>
    <mergeCell ref="K7:N7"/>
    <mergeCell ref="K8:N8"/>
    <mergeCell ref="F10:I10"/>
    <mergeCell ref="F11:I11"/>
    <mergeCell ref="J86:L86"/>
    <mergeCell ref="N88:P88"/>
    <mergeCell ref="J70:L70"/>
    <mergeCell ref="N79:P79"/>
    <mergeCell ref="N57:P57"/>
    <mergeCell ref="R91:T91"/>
    <mergeCell ref="A2:I2"/>
    <mergeCell ref="C55:F55"/>
    <mergeCell ref="V64:X64"/>
    <mergeCell ref="N73:P73"/>
    <mergeCell ref="V7:Y7"/>
    <mergeCell ref="V8:Y8"/>
    <mergeCell ref="D7:F8"/>
    <mergeCell ref="B4:H4"/>
    <mergeCell ref="B5:F5"/>
    <mergeCell ref="G5:H5"/>
    <mergeCell ref="B6:H6"/>
    <mergeCell ref="F12:I12"/>
    <mergeCell ref="F13:I13"/>
    <mergeCell ref="A17:I17"/>
    <mergeCell ref="A16:I16"/>
  </mergeCells>
  <conditionalFormatting sqref="A21:I53">
    <cfRule type="cellIs" dxfId="180" priority="49" operator="greaterThan">
      <formula>A$19</formula>
    </cfRule>
  </conditionalFormatting>
  <conditionalFormatting sqref="J6">
    <cfRule type="cellIs" dxfId="179" priority="225" operator="equal">
      <formula>"Not Set"</formula>
    </cfRule>
  </conditionalFormatting>
  <conditionalFormatting sqref="J20:J53">
    <cfRule type="expression" dxfId="178" priority="351">
      <formula>COUNT($J$20:$J$53)&gt;32</formula>
    </cfRule>
  </conditionalFormatting>
  <conditionalFormatting sqref="K7:N7">
    <cfRule type="duplicateValues" dxfId="177" priority="41"/>
  </conditionalFormatting>
  <conditionalFormatting sqref="K8:N8 R8:T8 V8:Y8">
    <cfRule type="expression" dxfId="176" priority="2">
      <formula>AND($L$6="AMP Block(s)", K$7 &lt;&gt;"--",K$8="--")</formula>
    </cfRule>
  </conditionalFormatting>
  <conditionalFormatting sqref="K8:N8">
    <cfRule type="expression" dxfId="175" priority="5">
      <formula>OR(AND(MID(K$8,1,1)="4",K$12="--"),AND(MID(K$8,1,1)&lt;&gt;"4",K$12&lt;&gt;"--"),AND(MID(K$8,3,1)="4",L$12="--"),AND(MID(K$8,3,1)&lt;&gt;"4",L$12&lt;&gt;"--"),AND(MID(K$8,5,1)="4",M$12="--"),AND(MID(K$8,5,1)&lt;&gt;"4",M$12&lt;&gt;"--"),AND(MID(K$8,7,1)="4",N$12="--"),AND(MID(K$8,7,1)&lt;&gt;"4",N$12&lt;&gt;"--"),AND(MID(K$8,1,1)="B",K$10&lt;&gt;"--"),AND(MID(K$8,1,1)&lt;&gt;"B",K$10="--"),AND(MID(K$8,3,1)="B",L$10&lt;&gt;"--"),AND(MID(K$8,3,1)&lt;&gt;"B",L$10="--"),AND(MID(K$8,5,1)="B",M$10&lt;&gt;"--"),AND(MID(K$8,5,1)&lt;&gt;"B",M$10="--"),AND(MID(K$8,7,1)="B",N$10&lt;&gt;"--"),AND(MID(K$8,7,1)&lt;&gt;"B",N$10="--"))</formula>
    </cfRule>
  </conditionalFormatting>
  <conditionalFormatting sqref="K7:O7">
    <cfRule type="expression" dxfId="174" priority="11">
      <formula>AND($L$6&lt;&gt;"AMP Block(s)")</formula>
    </cfRule>
  </conditionalFormatting>
  <conditionalFormatting sqref="K7:P7">
    <cfRule type="cellIs" dxfId="173" priority="12" operator="equal">
      <formula>"--"</formula>
    </cfRule>
  </conditionalFormatting>
  <conditionalFormatting sqref="K21:P40">
    <cfRule type="expression" dxfId="172" priority="1">
      <formula>AND(RIGHT(K21,3)="2sp",$O$6=TRUE)</formula>
    </cfRule>
  </conditionalFormatting>
  <conditionalFormatting sqref="K8:Q8">
    <cfRule type="expression" dxfId="171" priority="3">
      <formula>AND($L$6&lt;&gt;"AMP Block(s)")</formula>
    </cfRule>
    <cfRule type="cellIs" dxfId="170" priority="4" operator="equal">
      <formula>"--"</formula>
    </cfRule>
  </conditionalFormatting>
  <conditionalFormatting sqref="K9:Y17">
    <cfRule type="cellIs" dxfId="169" priority="241" operator="equal">
      <formula>"--"</formula>
    </cfRule>
  </conditionalFormatting>
  <conditionalFormatting sqref="K10:Y12">
    <cfRule type="expression" dxfId="168" priority="129">
      <formula>AND(K11="Not Installed")</formula>
    </cfRule>
  </conditionalFormatting>
  <conditionalFormatting sqref="K10:Y13">
    <cfRule type="cellIs" dxfId="167" priority="319" operator="equal">
      <formula>"Direct"</formula>
    </cfRule>
    <cfRule type="duplicateValues" dxfId="166" priority="320"/>
  </conditionalFormatting>
  <conditionalFormatting sqref="K10:Y17">
    <cfRule type="cellIs" dxfId="165" priority="240" operator="equal">
      <formula>"Not Installed"</formula>
    </cfRule>
  </conditionalFormatting>
  <conditionalFormatting sqref="K14:Y15">
    <cfRule type="expression" dxfId="164" priority="233">
      <formula>AND(K14="F24",$N$6=TRUE)</formula>
    </cfRule>
    <cfRule type="expression" dxfId="163" priority="234">
      <formula>AND(K14="F23",$N$6=TRUE)</formula>
    </cfRule>
    <cfRule type="expression" dxfId="162" priority="238">
      <formula>AND(K14="F2",$N$6=TRUE)</formula>
    </cfRule>
    <cfRule type="expression" dxfId="161" priority="239">
      <formula>AND(K14="F1",$N$6=TRUE)</formula>
    </cfRule>
    <cfRule type="expression" dxfId="160" priority="237">
      <formula>AND(K14="F3",$N$6=TRUE)</formula>
    </cfRule>
    <cfRule type="expression" dxfId="159" priority="236">
      <formula>AND(K14="F21",$N$6=TRUE)</formula>
    </cfRule>
    <cfRule type="expression" dxfId="158" priority="235">
      <formula>AND(K14="F22",$N$6=TRUE)</formula>
    </cfRule>
  </conditionalFormatting>
  <conditionalFormatting sqref="K16:Y17">
    <cfRule type="expression" dxfId="157" priority="230">
      <formula>AND(K16="Line2",$N$6=TRUE)</formula>
    </cfRule>
    <cfRule type="expression" dxfId="156" priority="232">
      <formula>AND(K16="Line1",$N$6=TRUE)</formula>
    </cfRule>
    <cfRule type="expression" dxfId="155" priority="228">
      <formula>AND(K16="Line3",$N$6=TRUE)</formula>
    </cfRule>
  </conditionalFormatting>
  <conditionalFormatting sqref="L6:M6">
    <cfRule type="expression" dxfId="154" priority="37">
      <formula>OR(AND($K$3&lt;7,$L$6&lt;&gt;"AMP"),AND($K$3&gt;6,$L$6="AMP"))</formula>
    </cfRule>
  </conditionalFormatting>
  <conditionalFormatting sqref="N59:P62">
    <cfRule type="expression" dxfId="153" priority="97">
      <formula>$P$58="Disable"</formula>
    </cfRule>
  </conditionalFormatting>
  <conditionalFormatting sqref="O7">
    <cfRule type="duplicateValues" dxfId="152" priority="22"/>
  </conditionalFormatting>
  <conditionalFormatting sqref="P7">
    <cfRule type="duplicateValues" dxfId="151" priority="19"/>
  </conditionalFormatting>
  <conditionalFormatting sqref="P9">
    <cfRule type="expression" dxfId="150" priority="72">
      <formula>AND($P$9="Not Installed",$P$16&lt;&gt;"--")</formula>
    </cfRule>
    <cfRule type="expression" dxfId="149" priority="112">
      <formula>AND($P$9="Not Installed",$K$3=6,P$16&lt;&gt;"--")</formula>
    </cfRule>
  </conditionalFormatting>
  <conditionalFormatting sqref="P16">
    <cfRule type="expression" dxfId="148" priority="71">
      <formula>AND($P$16="--",$P$9&lt;&gt;"Not Installed")</formula>
    </cfRule>
  </conditionalFormatting>
  <conditionalFormatting sqref="P69">
    <cfRule type="cellIs" dxfId="147" priority="84" operator="equal">
      <formula>1</formula>
    </cfRule>
  </conditionalFormatting>
  <conditionalFormatting sqref="Q9:T9">
    <cfRule type="expression" dxfId="146" priority="110">
      <formula>AND(Q$9="Not Installed",Q$10&lt;&gt;"--")</formula>
    </cfRule>
  </conditionalFormatting>
  <conditionalFormatting sqref="Q10:Y10 P10:Q12">
    <cfRule type="expression" dxfId="145" priority="9">
      <formula>AND(P$9&lt;&gt;"Not Installed",P$9&lt;&gt;"--",P$10="--")</formula>
    </cfRule>
  </conditionalFormatting>
  <conditionalFormatting sqref="Q21:Y29 R30:Y30 Q31:Y40 K41:Y53">
    <cfRule type="expression" dxfId="144" priority="323">
      <formula>(AND(MID(K21,4,1)="2",K$12="--"))</formula>
    </cfRule>
    <cfRule type="expression" dxfId="143" priority="324">
      <formula>AND(MID(K21,4,1)="2",OR(AND(K$12&lt;&gt;"--",K$12=$K$10,$K21&lt;&gt;"",$K21&lt;&gt;"--"),AND(K$12&lt;&gt;"--",K$12=$L$10,$L21&lt;&gt;"",$L21&lt;&gt;"--"),AND(K$12&lt;&gt;"--",K$12=$M$10,$M21&lt;&gt;"",$M21&lt;&gt;"--"),AND(K$12&lt;&gt;"--",K$12=$N$10,$N21&lt;&gt;"",$N21&lt;&gt;"--"),AND(K$12&lt;&gt;"--",K$12=$O$10,$O21&lt;&gt;"",$O21&lt;&gt;"--"),AND(K$12&lt;&gt;"--",K$12=$P$10,$P21&lt;&gt;"",$P21&lt;&gt;"--"),AND(K$12&lt;&gt;"--",K$12=$Q$10,$Q21&lt;&gt;"",$Q21&lt;&gt;"--"),AND(K$12&lt;&gt;"--",K$12=$T$10,$T21&lt;&gt;"",$T21&lt;&gt;"--"),AND(K$12&lt;&gt;"--",K$12=$U$10,$U21&lt;&gt;"",$U21&lt;&gt;"--"),AND(K$12&lt;&gt;"--",K$12=$V$10,$V21&lt;&gt;"",$V21&lt;&gt;"--"),AND(K$12&lt;&gt;"--",K$12=$W$10,$W21&lt;&gt;"",$W21&lt;&gt;"--"),AND(K$12&lt;&gt;"--",K$12=$X$10,$X21&lt;&gt;"",$X21&lt;&gt;"--"),AND(K$12&lt;&gt;"--",K$12=$Y$10,$Y21&lt;&gt;"",$Y21&lt;&gt;"--")))</formula>
    </cfRule>
    <cfRule type="expression" dxfId="142" priority="325">
      <formula>(OR(AND(K$10&lt;&gt;"--",K$10=$K$12,MID($K21,4,1)="2",K21&lt;&gt;"",K21&lt;&gt;"--"),AND(K$10&lt;&gt;"--",K$10=$L$12,MID($L21,4,1)="2",K21&lt;&gt;"",K21&lt;&gt;"--"),AND(K$10&lt;&gt;"--",K$10=$M$12,MID($M21,4,1)="2",K21&lt;&gt;"",K21&lt;&gt;"--"),AND(K$10&lt;&gt;"--",K$10=$N$12,MID($N21,4,1)="2",K21&lt;&gt;"",K21&lt;&gt;"--"),AND(K$10&lt;&gt;"--",K$10=$O$12,MID($O21,4,1)="2",K21&lt;&gt;"",K21&lt;&gt;"--"),AND(K$10&lt;&gt;"--",K$10=$P$12,MID($P21,4,1)="2",K21&lt;&gt;"",K21&lt;&gt;"--"),AND(K$10&lt;&gt;"--",K$10=$Q$12,MID($Q21,4,1)="2",K21&lt;&gt;"",K21&lt;&gt;"--"),AND(K$10&lt;&gt;"--",K$10=$T$12,MID($T21,4,1)="2",K21&lt;&gt;"",K21&lt;&gt;"--"),AND(K$10&lt;&gt;"--",K$10=$U$12,MID($U21,4,1)="2",K21&lt;&gt;"",K21&lt;&gt;"--"),AND(K$10&lt;&gt;"--",K$10=$V$12,MID($V21,4,1)="2",K21&lt;&gt;"",K21&lt;&gt;"--"),AND(K$10&lt;&gt;"--",K$10=$W$12,MID($W21,4,1)="2",K21&lt;&gt;"",K21&lt;&gt;"--"),AND(K$10&lt;&gt;"--",K$10=$X$12,MID($X21,4,1)="2",K21&lt;&gt;"",K21&lt;&gt;"--"),AND(K$10&lt;&gt;"--",K$10=$Y$12,MID($Y21,4,1)="2",K21&lt;&gt;"",K21&lt;&gt;"--")))</formula>
    </cfRule>
  </conditionalFormatting>
  <conditionalFormatting sqref="R7:U8">
    <cfRule type="duplicateValues" dxfId="141" priority="36"/>
  </conditionalFormatting>
  <conditionalFormatting sqref="R7:V8">
    <cfRule type="expression" dxfId="140" priority="26">
      <formula>AND($L$6&lt;&gt;"AMP Block(s)")</formula>
    </cfRule>
  </conditionalFormatting>
  <conditionalFormatting sqref="R7:Y8">
    <cfRule type="cellIs" dxfId="139" priority="25" operator="equal">
      <formula>"--"</formula>
    </cfRule>
  </conditionalFormatting>
  <conditionalFormatting sqref="R8:Y8">
    <cfRule type="expression" dxfId="138" priority="28">
      <formula>IF(R8&lt;&gt;"--",OR(AND(MID(R$8,1,1)="4",R$12="--"),AND(MID(R$8,1,1)&lt;&gt;"4",R$12&lt;&gt;"--"),AND(MID(R$8,3,1)="4",S$12="--"),AND(MID(R$8,3,1)&lt;&gt;"4",S$12&lt;&gt;"--"),AND(MID(R$8,5,1)="4",T$12="--"),AND(MID(R$8,5,1)&lt;&gt;"4",T$12&lt;&gt;"--"),AND(MID(R$8,7,1)="4",U$12="--"),AND(MID(R$8,7,1)&lt;&gt;"4",U$12&lt;&gt;"--"),AND(MID(R$8,1,1)="B",R$10&lt;&gt;"--"),AND(MID(R$8,1,1)&lt;&gt;"B",R$10="--"),AND(MID(R$8,3,1)="B",S$10&lt;&gt;"--"),AND(MID(R$8,3,1)&lt;&gt;"B",S$10="--"),AND(MID(R$8,5,1)="B",T$10&lt;&gt;"--"),AND(MID(R$8,5,1)&lt;&gt;"B",T$10="--"),AND(MID(R$8,7,1)="B",U$10&lt;&gt;"--"),AND(MID(R$8,7,1)&lt;&gt;"B",U$10="--")),FALSE)</formula>
    </cfRule>
  </conditionalFormatting>
  <conditionalFormatting sqref="R30:Y30 Q31:Y40 K41:Y53 Q21:Y29">
    <cfRule type="expression" dxfId="137" priority="95">
      <formula>AND(MID(K21,4,3)="2sp",$O$6=TRUE)</formula>
    </cfRule>
  </conditionalFormatting>
  <conditionalFormatting sqref="T92:T99">
    <cfRule type="expression" dxfId="136" priority="8">
      <formula>AND($K$6="UL",T92="3 Phases")</formula>
    </cfRule>
  </conditionalFormatting>
  <conditionalFormatting sqref="T58:U59">
    <cfRule type="expression" dxfId="135" priority="155">
      <formula>AND($K$6="UL",T58="3 Phases")</formula>
    </cfRule>
  </conditionalFormatting>
  <conditionalFormatting sqref="U30:Y43">
    <cfRule type="expression" dxfId="134" priority="50">
      <formula>AND(MID(U30,4,3)="2sp",$O$6=TRUE)</formula>
    </cfRule>
  </conditionalFormatting>
  <conditionalFormatting sqref="V7:Y7">
    <cfRule type="duplicateValues" dxfId="133" priority="29"/>
  </conditionalFormatting>
  <conditionalFormatting sqref="V8:Y8">
    <cfRule type="expression" dxfId="132" priority="23">
      <formula>AND($L$6&lt;&gt;"AMP Block(s)")</formula>
    </cfRule>
  </conditionalFormatting>
  <conditionalFormatting sqref="X73">
    <cfRule type="expression" dxfId="131" priority="70">
      <formula>OR(X73&lt;&gt;COUNTIF(X65:X72,"Normal"),X73&gt;3)</formula>
    </cfRule>
  </conditionalFormatting>
  <conditionalFormatting sqref="Y59:AA63 Z67 Z68:AF78 Z79 AB79:AF79 Z80:AF90">
    <cfRule type="expression" dxfId="130" priority="74">
      <formula>AND($AA$58="No Exercise")</formula>
    </cfRule>
  </conditionalFormatting>
  <conditionalFormatting sqref="Y62:AA62">
    <cfRule type="expression" dxfId="129" priority="75">
      <formula>AND($AA$58="No Exercise")</formula>
    </cfRule>
  </conditionalFormatting>
  <conditionalFormatting sqref="Y65:AE66">
    <cfRule type="expression" dxfId="128" priority="73">
      <formula>AND($AA$58="No Exercise")</formula>
    </cfRule>
  </conditionalFormatting>
  <conditionalFormatting sqref="Z67 AF67 Z68:AF78">
    <cfRule type="expression" dxfId="127" priority="83">
      <formula>AND($AA$58="SWIM exercise",$AA$59="VSP")</formula>
    </cfRule>
  </conditionalFormatting>
  <conditionalFormatting sqref="Z79 Z80:AA90">
    <cfRule type="expression" dxfId="126" priority="77">
      <formula>AND($AA$58="SWIM exercise",$AA$59="Standard Pumps")</formula>
    </cfRule>
  </conditionalFormatting>
  <conditionalFormatting sqref="AB57:AD62">
    <cfRule type="expression" dxfId="125" priority="6">
      <formula>AND($AA$58="No Exercise")</formula>
    </cfRule>
  </conditionalFormatting>
  <conditionalFormatting sqref="AC4">
    <cfRule type="expression" dxfId="124" priority="66">
      <formula>AND(RIGHT($L$2,4)="128k",RIGHT($AC$4,5)&lt;&gt;"-128k")</formula>
    </cfRule>
  </conditionalFormatting>
  <conditionalFormatting sqref="AF67">
    <cfRule type="expression" dxfId="123" priority="76">
      <formula>AND($AA$58="No Exercise")</formula>
    </cfRule>
  </conditionalFormatting>
  <dataValidations xWindow="792" yWindow="480" count="166">
    <dataValidation type="list" allowBlank="1" showInputMessage="1" showErrorMessage="1" promptTitle="Filter Interface" prompt="Choose between: &#10;PurgeOnly (used with CP always On) &#10;FiltCP (CP is used to filter) &#10;FiltP1 (P1L is used to filter) &#10;FiltP1L, 2 Dur (P1L is used to filter with 2 durations)." sqref="AC19 AC21:AC53">
      <formula1>"'--,Purge only,With CP,With P1,With P1 (2 Dur)"</formula1>
    </dataValidation>
    <dataValidation allowBlank="1" showInputMessage="1" showErrorMessage="1" promptTitle="SPEC Number" prompt="The new spec number now is same as the software number.&#10;Ex.:&#10;Software number: 565&#10;Software revision: 001&#10;Specification number: SP565001" sqref="AC1"/>
    <dataValidation type="list" allowBlank="1" showInputMessage="1" showErrorMessage="1" promptTitle="Manual Clean Up mode" prompt="This function is useful to start a purge step anytime you want." sqref="P80">
      <formula1>"Disable,Enable"</formula1>
    </dataValidation>
    <dataValidation type="list" allowBlank="1" showInputMessage="1" showErrorMessage="1" promptTitle="Soak Mode" prompt="This function is useful when the user wishes to stand in silence in the spa. Cancel everything but the water temperature regulation for 30 min." sqref="P81">
      <formula1>"Disable,Enable"</formula1>
    </dataValidation>
    <dataValidation type="list" allowBlank="1" showInputMessage="1" showErrorMessage="1" promptTitle="Off On Custom Key" prompt="Turns off everything (including SWM) for 30 minutes.&#10;&#10;*Always enabled as &quot;Standby&quot; on graphic keypads*&#10;&#10;[SpaPackInternalOptions]&#10;" sqref="P82">
      <formula1>"Disable,Enable"</formula1>
    </dataValidation>
    <dataValidation type="list" allowBlank="1" showInputMessage="1" showErrorMessage="1" promptTitle="Econ Controlable Manually" prompt="Allow manual activation or deactivation of the Economy Mode without altering the programmed start time and duration.&#10;&#10;[SpaPackInternalOptions]" sqref="P83">
      <formula1>"Disable,Enable"</formula1>
    </dataValidation>
    <dataValidation type="list" allowBlank="1" showInputMessage="1" showErrorMessage="1" promptTitle="Overtemp options:" prompt="Disable (Not protected)&#10;&#10;Always On (overtemp is trig over Set Point + Trigger value)&#10;&#10;Over 95 (minimum set point temperature at which the Overtemp protection feature will be turned on)." sqref="P58:Q58">
      <formula1>"Disable,Always ON,Over 95°F"</formula1>
    </dataValidation>
    <dataValidation type="whole" allowBlank="1" showInputMessage="1" showErrorMessage="1" promptTitle="Maximum CP On time" prompt="Available only when the Circulation Pump is set to Always On. This value sets the maximum consecutive hours the Circulation Pump will be allowed to run to ensure adequate filtration, even if the Overtemp protection has triggered. Value (0 to 12 hours)." sqref="P60:Q60">
      <formula1>0</formula1>
      <formula2>12</formula2>
    </dataValidation>
    <dataValidation type="whole" allowBlank="1" showInputMessage="1" showErrorMessage="1" promptTitle="Maximum CP Off time" prompt="Available only when the Circulation Pump is set to Always On, the Circulation Pump will remain Off for a maximum amount of consecutive hours to ensure adequate filtering, even if the Overtemp protection has triggered. Value (0 to 12 hours)." sqref="P61:Q61">
      <formula1>0</formula1>
      <formula2>12</formula2>
    </dataValidation>
    <dataValidation type="whole" allowBlank="1" showInputMessage="1" showErrorMessage="1" promptTitle="Filter Overtemp" prompt="This guarantees a minimum amount of filter time per day, even if the Overtemp protection has triggered.&#10;&#10;For example, if Filter Overtemp is 2h, and the frequency is set to 2, there will be two one-hour filter cycles per day.&#10; &#10;Value (1 to 24 hours)." sqref="P62:Q62">
      <formula1>1</formula1>
      <formula2>24</formula2>
    </dataValidation>
    <dataValidation type="whole" allowBlank="1" showInputMessage="1" showErrorMessage="1" promptTitle="Overtemp Trigger" prompt="Number of °F (2 to 25) above the set point at which the Overtemp protection will be triggered (activated.)" sqref="P59:Q59">
      <formula1>2</formula1>
      <formula2>25</formula2>
    </dataValidation>
    <dataValidation type="list" allowBlank="1" showInputMessage="1" showErrorMessage="1" promptTitle="Aux On Custom Key" prompt="Allow control of the auxiliary output&#10;Enabled automatically for configurations with AUX output&#10;Disabled automatically for configuration without AUX output&#10;&#10;[SpaPackInternalOptions]" sqref="P85">
      <formula1>"Self-set"</formula1>
    </dataValidation>
    <dataValidation type="whole" allowBlank="1" showInputMessage="1" showErrorMessage="1" promptTitle="Minimum Input Current" prompt="&#10;Value must be set between 0A and 48A, default = 10A&#10;&#10;(Normally, this defined the current value of a Direct, the heater and the associated pump)." sqref="T61:U61">
      <formula1>0</formula1>
      <formula2>48</formula2>
    </dataValidation>
    <dataValidation type="whole" allowBlank="1" showInputMessage="1" showErrorMessage="1" promptTitle="Default Input Current" prompt="Value between 10A - 48A. &#10;&#10;For more information refer to Installer options in Detailed specifications (Software)." sqref="T60:U60">
      <formula1>10</formula1>
      <formula2>48</formula2>
    </dataValidation>
    <dataValidation type="list" allowBlank="1" showInputMessage="1" showErrorMessage="1" promptTitle="Maximum number of phases:" prompt="Maximum number of phases selectable by the user.&#10;&#10;UL: must choose between 1 (Standard) or 2 phases (Swim Spa).&#10;&#10;CE: must choose between 1, 2 or 3 phases (Standard and Swim Spa)." sqref="T59:U59">
      <formula1>"1 Phase,2 Phases,3 Phases"</formula1>
    </dataValidation>
    <dataValidation type="whole" allowBlank="1" showInputMessage="1" showErrorMessage="1" promptTitle="Direct Output 2 current" prompt="Value between 1 and 5A.&#10;0 = Not Installed.&#10;" sqref="T89">
      <formula1>0</formula1>
      <formula2>5</formula2>
    </dataValidation>
    <dataValidation type="list" allowBlank="1" showInputMessage="1" showErrorMessage="1" promptTitle="Heater Power" prompt="Select heat.wav model&#10;&#10;&#10;" sqref="T90">
      <formula1>"2000, 3000, 3600,4000, 5500"</formula1>
    </dataValidation>
    <dataValidation type="list" allowBlank="1" showInputMessage="1" showErrorMessage="1" promptTitle="Flow detector type" prompt="Choose the type of flow detector who is used.&#10;&#10;Important:  this parameter is not in the lowlevel. &#10;The pack automatically detects which probe it's using. &#10;This information is only useful when creating the pack instructions." sqref="P89">
      <formula1>"Not installed,InFlow,Pressure switch"</formula1>
    </dataValidation>
    <dataValidation type="list" allowBlank="1" showInputMessage="1" showErrorMessage="1" promptTitle="Regulation probe location" prompt="Defined the place where the regulation probe is located." sqref="P90">
      <formula1>"Piping,Tub"</formula1>
    </dataValidation>
    <dataValidation type="whole" allowBlank="1" showInputMessage="1" showErrorMessage="1" promptTitle="Programmable Economy Duration:" prompt="Programmable Economy mode duration.  &#10;Value between 1 and 24 hours or 0 if Out Filter is selected." sqref="P78">
      <formula1>0</formula1>
      <formula2>24</formula2>
    </dataValidation>
    <dataValidation type="list" allowBlank="1" showInputMessage="1" showErrorMessage="1" promptTitle="Econ Prog Available" prompt="Disable: The programmable Economy is not available. &#10;&#10;Standard: The programmable economy use the schedule (Start, Duration)&#10;&#10;Out. filter: The economy is active when filtering is off.&#10;&#10;[SpaPackInternalOptions]" sqref="P75">
      <formula1>"Disable,Standard,Outside Filter"</formula1>
    </dataValidation>
    <dataValidation type="list" allowBlank="1" showInputMessage="1" showErrorMessage="1" promptTitle="Econ Type" prompt="Standard = Temperature fixed to 20°F under the set point.&#10;Night = Temperature fixed to 20°F under the set point and the filtering is suspended.&#10;&#10;[WaterTemperatureControl]" sqref="P74">
      <formula1>"Standard,Night"</formula1>
    </dataValidation>
    <dataValidation type="whole" allowBlank="1" showInputMessage="1" showErrorMessage="1" promptTitle="Ozone Suspend" prompt="Period of time the Ozone generator will remain suspended after completion of the last user demand. (Between 0 to 240 min). " sqref="P70:Q70">
      <formula1>0</formula1>
      <formula2>240</formula2>
    </dataValidation>
    <dataValidation type="list" allowBlank="1" showInputMessage="1" showErrorMessage="1" promptTitle="Ozone Type" prompt="If a cycled type of Ozone is chosen, the ozone output will “toggle” on or off every 20 minutes when the Ozone is required." sqref="P71:Q71">
      <formula1>"Standard,Cycled"</formula1>
    </dataValidation>
    <dataValidation type="list" allowBlank="1" showInputMessage="1" showErrorMessage="1" promptTitle="Config Change" prompt="This parameter decides if a password is required to change the selected Low Level configuration.&#10;&#10;Apply to: in.k500 and in.k800 (in.k1000 is ALWAYS password protected)&#10;&#10;[MiscCfg]" sqref="L77">
      <formula1>"No_Restriction,Password_Protected"</formula1>
    </dataValidation>
    <dataValidation type="list" allowBlank="1" showInputMessage="1" showErrorMessage="1" promptTitle="Breaker Change" prompt="This parameter decides if a password is required to change the number of phase or the breaker (current) value.&#10;&#10;Apply to: in.k500, in.k800 and in.k1000&#10;&#10;[MiscCfg]" sqref="L78">
      <formula1>"No_Restriction,Password_Protected"</formula1>
    </dataValidation>
    <dataValidation type="list" allowBlank="1" showInputMessage="1" showErrorMessage="1" promptTitle="Waterfall as CP" prompt="&#10;Yes = Waterfall used as CP&#10;&#10;No = Waterfall not used as CP" sqref="L79">
      <formula1>"YES,NO"</formula1>
    </dataValidation>
    <dataValidation type="list" allowBlank="1" showInputMessage="1" showErrorMessage="1" promptTitle="Keypad back light edit:" prompt="*Option for in.k500, in.k800 and in.k1000.&#10;&#10;Allows user to change the keypad backlight color through the keypad interface&#10;&#10;[MiscCfg]" sqref="L75">
      <formula1>"Disable,Enable"</formula1>
    </dataValidation>
    <dataValidation type="whole" allowBlank="1" showInputMessage="1" showErrorMessage="1" promptTitle="Cooldown Delay" prompt="The Cooldown Delay can be set between 30 and 240 seconds. This value represents the amount of time the Pump associated with the Heater will remain active after the Heater has stopped heating." sqref="L69:M69">
      <formula1>30</formula1>
      <formula2>240</formula2>
    </dataValidation>
    <dataValidation type="list" allowBlank="1" showInputMessage="1" showErrorMessage="1" promptTitle="Time format:" prompt="Default time format when the system will first be powered up. (Only available with keypad supporting a clock)" sqref="L71">
      <formula1>"No time,AM/PM,24H"</formula1>
    </dataValidation>
    <dataValidation type="whole" allowBlank="1" showInputMessage="1" showErrorMessage="1" promptTitle="Light Timeout (120V)" prompt="This option lets you choose the maximum operating time of the 120V light.&#10;&#10;(1 to 255 minutes)" sqref="L66:M66">
      <formula1>1</formula1>
      <formula2>255</formula2>
    </dataValidation>
    <dataValidation type="whole" allowBlank="1" showInputMessage="1" showErrorMessage="1" promptTitle="Light Timeout (12V)" prompt="This option lets you choose the maximum operating time of the 12V light.&#10;&#10;(1 to 255 minutes)" sqref="L65:M65">
      <formula1>1</formula1>
      <formula2>255</formula2>
    </dataValidation>
    <dataValidation type="whole" allowBlank="1" showInputMessage="1" showErrorMessage="1" promptTitle="No heat period" prompt="Minimum Off period after the heater has been shut off.&#10;&#10;(0 to 255 minutes)" sqref="L62:M62">
      <formula1>0</formula1>
      <formula2>255</formula2>
    </dataValidation>
    <dataValidation type="whole" allowBlank="1" showInputMessage="1" showErrorMessage="1" promptTitle="Pump Timeout:" prompt="This option lets you choose the maximum operating time of the pumps and blower output.&#10;&#10;(1 to 255 minutes)" sqref="L64:M64">
      <formula1>1</formula1>
      <formula2>255</formula2>
    </dataValidation>
    <dataValidation type="list" allowBlank="1" showInputMessage="1" showErrorMessage="1" promptTitle="Default Number of Phases" prompt="*Cannot be higher than Maximum number of phases available:&#10;&#10;UL: must choose between 1 (Standard) or 2 phases (Swim Spa).&#10;&#10;CE: must choose between 1, 2 or 3 phases (Standard and Swim Spa)." sqref="T58:U58">
      <formula1>"1 Phase,2 Phases,3 Phases"</formula1>
    </dataValidation>
    <dataValidation type="whole" allowBlank="1" showInputMessage="1" showErrorMessage="1" promptTitle="Filter Cycle Frequency" prompt="Number of filter cycles per day.  Value between 1 and 4." sqref="P67:Q67">
      <formula1>1</formula1>
      <formula2>4</formula2>
    </dataValidation>
    <dataValidation type="decimal" allowBlank="1" showInputMessage="1" showErrorMessage="1" promptTitle="Maximum Set Point" prompt="The value can be set between 59°F (15°C) and 106°F (41.5°C)." sqref="L61:M61">
      <formula1>7</formula1>
      <formula2>106</formula2>
    </dataValidation>
    <dataValidation type="decimal" allowBlank="1" showInputMessage="1" showErrorMessage="1" promptTitle="Minimum Set Point" prompt="The value can be set between 40°F (4.5°C) and 104°F (40°C)." sqref="L60:M60">
      <formula1>7</formula1>
      <formula2>106</formula2>
    </dataValidation>
    <dataValidation type="decimal" allowBlank="1" showInputMessage="1" showErrorMessage="1" promptTitle="Default Set Point" prompt="For UL packs, the value must be between 59°F (15°C) and 100°F (37.5°C) due to UL regulation.&#10;&#10;For CE packs, the value can be between 15°C (59°F) and 40°C (104°F)." sqref="L59:M59">
      <formula1>8</formula1>
      <formula2>104</formula2>
    </dataValidation>
    <dataValidation type="list" allowBlank="1" showInputMessage="1" showErrorMessage="1" promptTitle="Default Temperature Unit" prompt="The default temperature unit can be set to °F or °C." sqref="L58:M58">
      <formula1>"°F,°C"</formula1>
    </dataValidation>
    <dataValidation type="list" allowBlank="1" showInputMessage="1" showErrorMessage="1" promptTitle="Purge speed" prompt="Define the speed used for all Pumps when a purge is required." sqref="P68:Q68">
      <formula1>"High,Low"</formula1>
    </dataValidation>
    <dataValidation type="decimal" allowBlank="1" showInputMessage="1" showErrorMessage="1" promptTitle="Filter Cycle Duration 1" prompt="Number of hours the filter cycle will last.  Value between 0,0 and 24,0 hours by step of 1 hour.&#10;If Filter Cycle Interface is defined to &quot;Clean, P1, 2Dur&quot;, the value must be set between 0,0 and 6,0 hours by step of 0,5 hour." sqref="P65:Q65">
      <formula1>0</formula1>
      <formula2>24</formula2>
    </dataValidation>
    <dataValidation type="decimal" allowBlank="1" showInputMessage="1" showErrorMessage="1" promptTitle="Filter Cycle Duration 2" prompt="Used only when Filter Cycle Interface is defined to &quot;Clean, P1, 2Dur&quot;. The value must be set between 0,0 and 6,0 hours by step of 0,5 hour." sqref="P66:Q66">
      <formula1>0</formula1>
      <formula2>6</formula2>
    </dataValidation>
    <dataValidation type="list" allowBlank="1" showInputMessage="1" showErrorMessage="1" promptTitle="Blower key" prompt="Choose the key used on keypad to control the blower. This affects k800 series only. (Default: Last pump key)." sqref="L73">
      <formula1>"Free pump key, Last pump key"</formula1>
    </dataValidation>
    <dataValidation type="list" allowBlank="1" showInputMessage="1" showErrorMessage="1" promptTitle="Multi key option" prompt="This function is useful with the swim spa configuration. It allows to control the blower with the auxiliary keypad. It's also used with an auxiliary device and a blower's single switch connected to the regular spa. (Default: Enable)." sqref="L72">
      <formula1>"Disable,Enable"</formula1>
    </dataValidation>
    <dataValidation type="whole" allowBlank="1" showInputMessage="1" showErrorMessage="1" promptTitle="Water Fall Timeout:" prompt="This option lets you choose the maximum operating time of the water fall output.&#10;&#10;(1 to 255 minutes)" sqref="L67:M67">
      <formula1>1</formula1>
      <formula2>255</formula2>
    </dataValidation>
    <dataValidation type="whole" allowBlank="1" showInputMessage="1" showErrorMessage="1" promptTitle="Aux Time Out:" prompt="This option lets you choose the maximum operating time of the auxiliary output.&#10;&#10;(1 to 254 minutes, 255 = No time out)&#10;&#10;[TimeOut]" sqref="L68:M68">
      <formula1>1</formula1>
      <formula2>255</formula2>
    </dataValidation>
    <dataValidation type="list" allowBlank="1" showInputMessage="1" showErrorMessage="1" promptTitle="Lock enabled:" prompt="Partial mode = Set Point isn't available and &#10;Full mode = All keys aren't available)&#10;&#10;Choose between:&#10;Yes = Option to lock a keypad is set&#10;No = Option to lock a keypad is unavailable&#10;&#10;K500,K800 and K1000 ignores this setting." sqref="L82">
      <formula1>"NO,YES"</formula1>
    </dataValidation>
    <dataValidation type="list" allowBlank="1" showInputMessage="1" showErrorMessage="1" promptTitle="Mode Key As Invert Display Key" prompt="Set the Mode Key of the in.k500 and in.k800 to be used as an Invert Display Key.&#10;&#10;Note that the mode key must be free of any other feature (in.stream 2, in.mix,...) in order to be used as an Invert Display Key.&#10;&#10;[MiscCfg]" sqref="L83">
      <formula1>"NO,YES"</formula1>
    </dataValidation>
    <dataValidation type="list" allowBlank="1" showInputMessage="1" showErrorMessage="1" promptTitle="UD Prog Economy" prompt="This option will indicate if the programmable economy is active or not.&#10;&#10;Active (YES)&#10;Not (NO)&#10;&#10;[SpaPackInternalOptions]" sqref="P76">
      <formula1>"YES,NO"</formula1>
    </dataValidation>
    <dataValidation type="list" allowBlank="1" showInputMessage="1" showErrorMessage="1" promptTitle="Keypad back light color:" prompt="*Option only for in.k500, in.k800 and in.k1000&#10;&#10;Set default backlight color of the keypad&#10;&#10;Available colors:&#10;OFF, RED, GREEN, YELLOW, BLUE, MAGENTA, CYAN and WHITE." sqref="L76">
      <formula1>"OFF,RED,GREEN,YELLOW,BLUE,MAGENTA,CYAN,WHITE"</formula1>
    </dataValidation>
    <dataValidation type="list" allowBlank="1" showInputMessage="1" showErrorMessage="1" promptTitle="Zone Type" prompt="NOT INSTALLED: Unused zone&#10;NORMAL: User controllable zone&#10;STATUS: Passive zone used to report current spa status (Normal operation / Reminder due / Error)&#10;&#10;[inMixConfig]:&#10;Select NORMAL or STATUS&#10;if Not Installed, MapZoneXToOutY must be NO" sqref="X72 X66 X68 X70">
      <formula1>"Not Installed,Normal,Status"</formula1>
    </dataValidation>
    <dataValidation type="list" allowBlank="1" showInputMessage="1" showErrorMessage="1" promptTitle="Mapping enable" prompt="This parameter is used to activate all the following parameters" sqref="X74">
      <formula1>"YES,NO"</formula1>
    </dataValidation>
    <dataValidation type="list" allowBlank="1" showInputMessage="1" showErrorMessage="1" promptTitle="MapZone1to" prompt="Select hardware output associated to zone 1&#10;OUT1 = P8&#10;OUT2 = P7&#10;OUT3 = P6&#10;OUT4 = P5" sqref="X75">
      <formula1>"N/A,OUT1&amp;OUT2,OUT1,OUT2,OUT3,OUT4"</formula1>
    </dataValidation>
    <dataValidation type="whole" allowBlank="1" showInputMessage="1" showErrorMessage="1" promptTitle="Number of zones" prompt="Number of &quot;Normal&quot; zones (maximum 3).&#10;Status zone DOES NOT count.&#10;&#10;[inMixConfig]" sqref="X73">
      <formula1>1</formula1>
      <formula2>3</formula2>
    </dataValidation>
    <dataValidation type="list" allowBlank="1" showInputMessage="1" showErrorMessage="1" promptTitle="Exercise Type" prompt="Enable exercise feature on in.k1000 keypad.&#10;&#10;[Exercise]" sqref="AA58">
      <formula1>"No exercise,SWIM exercise"</formula1>
    </dataValidation>
    <dataValidation type="list" allowBlank="1" showInputMessage="1" showErrorMessage="1" promptTitle="ExerciseControl" prompt="Determines the type of pumps used by the Exerciser functions.&#10;STANDARD: Drive standard 1-speed and/or 2-speed pumps.&#10;VSP: Drive Variable Speed Pumps.&#10;&#10;[Exercise]" sqref="AA59">
      <formula1>"Standard Pumps, VSP"</formula1>
    </dataValidation>
    <dataValidation type="list" allowBlank="1" showInputMessage="1" showErrorMessage="1" promptTitle="Exercise Dedicated Pumps" prompt="The exerciser feature can always use all pumps (dedicated or not).&#10;&#10;When enabling &quot;Dedicated Pumps&quot;, all pumps set as &quot;Pumps used&quot; will NOT be available in the main spa page for direct control by users.&#10;&#10;[Exercise]" sqref="AA61">
      <formula1>"Yes,No"</formula1>
    </dataValidation>
    <dataValidation type="whole" allowBlank="1" showInputMessage="1" showErrorMessage="1" errorTitle="Choice" error="Choose between 4 and 20" promptTitle="ExerciseNumberOfIntensity" prompt="Number of intensities (speed) for the exerciser. Note that Off must not be counted as an intensity.&#10;Minimum is 4. Maximum is 10.&#10;&#10;[Exercise]&#10;" sqref="AA63">
      <formula1>4</formula1>
      <formula2>10</formula2>
    </dataValidation>
    <dataValidation type="list" allowBlank="1" showInputMessage="1" showErrorMessage="1" promptTitle="MapZone2to" prompt="Select hardware output associated to zone 2&#10;OUT1 = P8&#10;OUT2 = P7&#10;OUT3 = P6&#10;OUT4 = P5" sqref="X76">
      <formula1>"N/A,OUT1&amp;OUT2,OUT1,OUT2,OUT3,OUT4"</formula1>
    </dataValidation>
    <dataValidation type="list" allowBlank="1" showInputMessage="1" showErrorMessage="1" promptTitle="MapZone3to" prompt="Select hardware output associated to zone 3&#10;OUT1 = P8&#10;OUT2 = P7&#10;OUT3 = P6&#10;OUT4 = P5" sqref="X77">
      <formula1>"N/A,OUT1&amp;OUT2,OUT1,OUT2,OUT3,OUT4"</formula1>
    </dataValidation>
    <dataValidation type="list" allowBlank="1" showInputMessage="1" showErrorMessage="1" promptTitle="MapZone4to" prompt="Select hardware output associated to zone 4&#10;OUT1 = P8&#10;OUT2 = P7&#10;OUT3 = P6&#10;OUT4 = P5" sqref="X78">
      <formula1>"N/A,OUT1&amp;OUT2,OUT1,OUT2,OUT3,OUT4"</formula1>
    </dataValidation>
    <dataValidation allowBlank="1" showInputMessage="1" showErrorMessage="1" promptTitle="Exercise Pump Combination 1" prompt="Normally the first combination represent the minimum power and the last combination represent the maximum power." sqref="Z69"/>
    <dataValidation allowBlank="1" showInputMessage="1" showErrorMessage="1" promptTitle="Exercise Pump Combination 2" prompt="Normally the first combination represent the minimum power and the last combination represent the maximum power." sqref="Z70"/>
    <dataValidation allowBlank="1" showInputMessage="1" showErrorMessage="1" promptTitle="Exercise Pump Combination 3" prompt="Normally the first combination represent the minimum power and the last combination represent the maximum power." sqref="Z71"/>
    <dataValidation allowBlank="1" showInputMessage="1" showErrorMessage="1" promptTitle="Exercise Pump Combination 4" prompt="Normally the first combination represent the minimum power and the last combination represent the maximum power." sqref="Z72"/>
    <dataValidation allowBlank="1" showInputMessage="1" showErrorMessage="1" promptTitle="Exercise Pump Combination 5" prompt="Normally the first combination represent the minimum power and the last combination represent the maximum power." sqref="Z73"/>
    <dataValidation allowBlank="1" showInputMessage="1" showErrorMessage="1" promptTitle="Exercise Pump Combination 6" prompt="Normally the first combination represent the minimum power and the last combination represent the maximum power." sqref="Z74"/>
    <dataValidation allowBlank="1" showInputMessage="1" showErrorMessage="1" promptTitle="Exercise Pump Combination 7" prompt="Normally the first combination represent the minimum power and the last combination represent the maximum power." sqref="Z75"/>
    <dataValidation allowBlank="1" showInputMessage="1" showErrorMessage="1" promptTitle="Exercise Pump Combination 8" prompt="Normally the first combination represent the minimum power and the last combination represent the maximum power." sqref="Z76"/>
    <dataValidation allowBlank="1" showInputMessage="1" showErrorMessage="1" promptTitle="Exercise Pump Combination 9" prompt="Normally the first combination represent the minimum power and the last combination represent the maximum power." sqref="Z77"/>
    <dataValidation allowBlank="1" showInputMessage="1" showErrorMessage="1" promptTitle="Exercise Pump Combination 10" prompt="Normally the first combination represent the minimum power and the last combination represent the maximum power." sqref="Z78"/>
    <dataValidation allowBlank="1" showInputMessage="1" showErrorMessage="1" promptTitle="Exercise Pump Combination 11" prompt="Normally the first combination represent the minimum power and the last combination represent the maximum power." sqref="Z81"/>
    <dataValidation allowBlank="1" showInputMessage="1" showErrorMessage="1" promptTitle="Exercise Pump Combination 12" prompt="Normally the first combination represent the minimum power and the last combination represent the maximum power." sqref="Z82"/>
    <dataValidation allowBlank="1" showInputMessage="1" showErrorMessage="1" promptTitle="Exercise Pump Combination 13" prompt="Normally the first combination represent the minimum power and the last combination represent the maximum power." sqref="Z83"/>
    <dataValidation allowBlank="1" showInputMessage="1" showErrorMessage="1" promptTitle="Exercise Pump Combination 14" prompt="Normally the first combination represent the minimum power and the last combination represent the maximum power." sqref="Z84"/>
    <dataValidation allowBlank="1" showInputMessage="1" showErrorMessage="1" promptTitle="Exercise Pump Combination 15" prompt="Normally the first combination represent the minimum power and the last combination represent the maximum power." sqref="Z85"/>
    <dataValidation allowBlank="1" showInputMessage="1" showErrorMessage="1" promptTitle="Exercise Pump Combination 16" prompt="Normally the first combination represent the minimum power and the last combination represent the maximum power." sqref="Z86"/>
    <dataValidation allowBlank="1" showInputMessage="1" showErrorMessage="1" promptTitle="Exercise Pump Combination 17" prompt="Normally the first combination represent the minimum power and the last combination represent the maximum power." sqref="Z87"/>
    <dataValidation allowBlank="1" showInputMessage="1" showErrorMessage="1" promptTitle="Exercise Pump Combination 18" prompt="Normally the first combination represent the minimum power and the last combination represent the maximum power." sqref="Z88"/>
    <dataValidation allowBlank="1" showInputMessage="1" showErrorMessage="1" promptTitle="Exercise Pump Combination 19" prompt="Normally the first combination represent the minimum power and the last combination represent the maximum power." sqref="Z89"/>
    <dataValidation allowBlank="1" showInputMessage="1" showErrorMessage="1" promptTitle="Exercise Pump Combination 20" prompt="Normally the first combination represent the minimum power and the last combination represent the maximum power." sqref="Z90"/>
    <dataValidation type="list" allowBlank="1" showInputMessage="1" showErrorMessage="1" promptTitle="O3 Pump" prompt="Defined witch pump is associated with O3.&#10;CP = Circulation Pump&#10;P1 = Pump 1&#10;&#10;" sqref="AB19 AB21:AB53 AD32:AD35">
      <formula1>"'--,CP,P1"</formula1>
    </dataValidation>
    <dataValidation type="list" allowBlank="1" showInputMessage="1" showErrorMessage="1" promptTitle="CP Usage" prompt="Defined the usage of the circulation pump.&#10;Standard: Used only when filter cycle is on or when a heating resquest is active." sqref="Z19">
      <formula1>"'--,Standard,Always ON"</formula1>
    </dataValidation>
    <dataValidation type="list" allowBlank="1" showInputMessage="1" showErrorMessage="1" promptTitle="Heater Pump" prompt="Defined the pump where the heater is used." sqref="AD19 AD36:AD53 AD21:AD31">
      <formula1>"--,P1,CP"</formula1>
    </dataValidation>
    <dataValidation type="list" allowBlank="1" showInputMessage="1" showErrorMessage="1" promptTitle="Filter Start Time" prompt="Time at which the filter cycle will start.  Value between 01-12 (AM/PM) or between 00-23 (24H)." sqref="Q64">
      <formula1>"0:00 AM,1:00 AM,2:00 AM,3:00 AM,4:00 AM,5:00 AM,6:00 AM,7:00 AM,8:00 AM,9:00 AM,10:00 AM,11:00 AM,12:00 PM (Noon),1:00 PM,2:00 PM,3:00 PM,4:00 PM,5:00 PM,6:00 PM,7:00 PM,8:00 PM,9:00 PM,10:00 PM,11:00 PM,"</formula1>
    </dataValidation>
    <dataValidation type="list" allowBlank="1" showInputMessage="1" showErrorMessage="1" promptTitle="Programmable Economy Start time" prompt="Time at which the programmable Economy will become active. &#10;Value between 01-12 (AM/PM) or between 00-23 (24H). &#10;&#10;If Out Filter is selected, it must be set to 0." sqref="P77">
      <formula1>"0:00 AM,1:00 AM,2:00 AM,3:00 AM,4:00 AM,5:00 AM,6:00 AM,7:00 AM,8:00 AM,9:00 AM,10:00 AM,11:00 AM,12:00 PM (Noon),1:00 PM,2:00 PM,3:00 PM,4:00 PM,5:00 PM,6:00 PM,7:00 PM,8:00 PM,9:00 PM,10:00 PM,11:00 PM,"</formula1>
    </dataValidation>
    <dataValidation type="list" allowBlank="1" showInputMessage="1" showErrorMessage="1" promptTitle="Single pump key:" prompt="&#10;NA =  Not available&#10;&#10;ForSpeeds = For Speeds&#10;&#10;ForZones = For Zones" sqref="L84">
      <formula1>"NA,ForSpeeds,ForZones"</formula1>
    </dataValidation>
    <dataValidation type="whole" allowBlank="1" showInputMessage="1" showErrorMessage="1" promptTitle="Filter Suspend" prompt="Period of time the Filter cycle will remain suspended after completion of the last user demand. (0 or between 2 to 240 min)." sqref="P69:Q69">
      <formula1>0</formula1>
      <formula2>240</formula2>
    </dataValidation>
    <dataValidation type="list" allowBlank="1" showInputMessage="1" showErrorMessage="1" promptTitle="Zone1led" prompt="Default RGB&#10;RGB = RED, GREEN, BLUE&#10;ATTENTION, App in.touch doesn't work in WHITE" sqref="X69 X67 X71">
      <formula1>"RGB, WHITE"</formula1>
    </dataValidation>
    <dataValidation allowBlank="1" showInputMessage="1" showErrorMessage="1" promptTitle="Accessory currents" prompt="Choose an option in the list or - for none." sqref="R90"/>
    <dataValidation type="list" allowBlank="1" showInputMessage="1" showErrorMessage="1" promptTitle="Waterfall Valve on CP" prompt="Set to YES for systems where a valve connected to the Cicrulation Pump controls the water flow to the Waterfall&#10;&#10;[LCOutputConfig]" sqref="L80:L81">
      <formula1>"NO,YES"</formula1>
    </dataValidation>
    <dataValidation type="list" allowBlank="1" showInputMessage="1" showErrorMessage="1" promptTitle="Pump 1 User Access:" prompt="HighSpeedOnly: Only High speed must be controlled with P1 key. (Typically used when the low speed is used as a circulation pump)&#10;BothSpeeds: If both 2 speeds is required." sqref="L74">
      <formula1>"HighSpeedOnly,BothSpeeds"</formula1>
    </dataValidation>
    <dataValidation type="whole" allowBlank="1" showInputMessage="1" showErrorMessage="1" promptTitle="Accessory current value" prompt="Value between 1A and 15A. &#10;0 = Not Installed.&#10;Default = Gecko Heat pump autoconfig." sqref="T64:T87">
      <formula1>0</formula1>
      <formula2>15</formula2>
    </dataValidation>
    <dataValidation type="list" allowBlank="1" showInputMessage="1" showErrorMessage="1" promptTitle="Accessory" prompt="Choose an option in the list or - for none." sqref="R64:R87">
      <formula1>"'--,P1H,P1L,P2H,P2L,P3H,P3L,P4H,P4L,P5H,BL,WaterFall,Fan,O3,CP,Full ON,L120 (Ext. Light),Aux,Onzen,HTR2,"</formula1>
    </dataValidation>
    <dataValidation showInputMessage="1" showErrorMessage="1" promptTitle="Heat Pump ID" prompt="0 - 255&#10;Set to zero (0) for in.temp&#10;!!Warning!! There are reserved IDs! (see SP959)" sqref="X86"/>
    <dataValidation type="list" allowBlank="1" showInputMessage="1" showErrorMessage="1" promptTitle="Heat Pump Regulation Mode" prompt="This is the active regulation mode at power up.&#10;Default = Smart Auto." sqref="X85:X86">
      <formula1>"Cool (1),Smart Heat (2),Eco Heat (3),Smart Auto (4),Eco Auto (5),Electric (6),"</formula1>
    </dataValidation>
    <dataValidation type="whole" allowBlank="1" showInputMessage="1" showErrorMessage="1" promptTitle="Direct Output 1 current" prompt="Value between 1 and 5A.&#10;0 = Not Installed.&#10;" sqref="T88">
      <formula1>0</formula1>
      <formula2>5</formula2>
    </dataValidation>
    <dataValidation type="list" allowBlank="1" showInputMessage="1" showErrorMessage="1" promptTitle="Direct Output" prompt="1 = Used with P28, P30 or P32.&#10;2 = Used with P17 or P21." sqref="R88:R89">
      <formula1>"--,DIRECT 1,DIRECT 2"</formula1>
    </dataValidation>
    <dataValidation type="list" allowBlank="1" showInputMessage="1" showErrorMessage="1" promptTitle="Direct Output" prompt="1= Used with P28, P30 or P32 only.&#10;2= Used with P17 or P21 only." sqref="S88:S89">
      <formula1>"120 V,230/240 V"</formula1>
    </dataValidation>
    <dataValidation type="list" allowBlank="1" showInputMessage="1" showErrorMessage="1" promptTitle="Exercise Pumps Used" prompt="Specify which pumps are DEDICATED to the exerciser. Dedicated pumps cannot be controlled manually in normal operation and are not shown to the user in the main spa page.&#10;&#10;This parameter has no effect if exerciser pumps are NOT dedicated.&#10;&#10;[Exercise]" sqref="AA60">
      <formula1>"No Pump,ALL Pumps,P2 to P5,P3 to P5,P4 and P5,P5 Only"</formula1>
    </dataValidation>
    <dataValidation type="list" allowBlank="1" showInputMessage="1" showErrorMessage="1" promptTitle="Model" prompt="&#10;Select model to begin&#10;&#10;DO NOT CHANGE THIS SELECTION THEREAFTER" sqref="J6">
      <formula1>"Not Set,in.ye-3,in.ye-5,in.ye-6,in.yt-7,in.yt-8,in.yt-9, in.yt-12"</formula1>
    </dataValidation>
    <dataValidation type="list" allowBlank="1" showInputMessage="1" showErrorMessage="1" promptTitle="Region" prompt="&#10;UL = 240V (60Hz) (North America (NA))&#10;&#10;CE = 230-240V (50Hz)" sqref="K6">
      <formula1>"UL,CE"</formula1>
    </dataValidation>
    <dataValidation type="list" allowBlank="1" showInputMessage="1" showErrorMessage="1" promptTitle="Heat Pump current" prompt="Use MAX rated current.&#10;&quot;Not set&quot; will set a default current value on first detection (refer to SP959).&#10;Set to &quot;0&quot; if heat pump IS NOT powered by the controller.&#10;" sqref="X87">
      <formula1>"Not Set,0,1,2,3,4,5,6,7,8,9,10,11,12,13,14,15,"</formula1>
    </dataValidation>
    <dataValidation type="list" allowBlank="1" showInputMessage="1" showErrorMessage="1" promptTitle="Heat Pump Fuse" prompt="This value SHOULD NOT be changed&#10;Refer to in.temp techbook for details&#10;" sqref="X88">
      <formula1>"F1,F2,F3,F21,F22,F23"</formula1>
    </dataValidation>
    <dataValidation allowBlank="1" showInputMessage="1" showErrorMessage="1" promptTitle="High Speed Line" prompt="Line associated with Relay or TAB. This parameter is automatically set by the selected PCB and cannot be changed." sqref="K16:Y16"/>
    <dataValidation allowBlank="1" showInputMessage="1" showErrorMessage="1" promptTitle="Fuses and Line(s) MAX load" prompt="Display the maximum potential load for each fuse and line to help balance loads and anticipate if and where load shedding will be applied.&#10;DOUBLE CHECK CALCULATION FOR ALL CONFIGURATION&#10;*Breaker value for line calculation of CE dual pack may be incorrect*" sqref="A16:I16"/>
    <dataValidation type="list" allowBlank="1" showInputMessage="1" showErrorMessage="1" promptTitle="Default Output Wiring" prompt="UL controllers can be wired for 120V or 240V outputs&#10;CE controllers are always 230V" sqref="T62">
      <formula1>"120V,230/240V"</formula1>
    </dataValidation>
    <dataValidation type="list" allowBlank="1" showInputMessage="1" showErrorMessage="1" sqref="P9">
      <formula1>"Not Installed,A6"</formula1>
    </dataValidation>
    <dataValidation type="list" allowBlank="1" showInputMessage="1" showErrorMessage="1" sqref="Q9">
      <formula1>"'Not Installed,A0 (FL1)"</formula1>
    </dataValidation>
    <dataValidation type="list" allowBlank="1" showInputMessage="1" showErrorMessage="1" sqref="Y9 U9">
      <formula1>"'--"</formula1>
    </dataValidation>
    <dataValidation allowBlank="1" showInputMessage="1" showErrorMessage="1" sqref="K9:O9"/>
    <dataValidation type="list" allowBlank="1" showInputMessage="1" showErrorMessage="1" promptTitle="InMixZoneToFollow" prompt="If an external in.mix is installed, the internal in.mix will synch with one of its zones unless the internal in.mix is set as a 12V DC supply (Note: Maximum output current is shared between 12V Light and internal in.mix. Refer to SP959 for details)." sqref="X79">
      <formula1>"Follow zone 1,Follow zone 2,Follow zone 3,Follow zone 4,As 12V supply"</formula1>
    </dataValidation>
    <dataValidation type="whole" allowBlank="1" showInputMessage="1" showErrorMessage="1" promptTitle="Max 1 phase single pack current" prompt="Value between 10A - 48A.&#10;&#10;For more information refer to Installer options in Detailed specifications (Software) and Swim Spa Solution Techbook (9919-101142)." sqref="X58">
      <formula1>10</formula1>
      <formula2>48</formula2>
    </dataValidation>
    <dataValidation type="whole" allowBlank="1" showInputMessage="1" showErrorMessage="1" promptTitle="Max 1 phase dual pack current" prompt="Value between 10A - 48A. &#10;&#10;For more information refer to Installer options in Detailed specifications (Software) and Swim Spa Solution Techbook (9919-101142)." sqref="X61">
      <formula1>10</formula1>
      <formula2>48</formula2>
    </dataValidation>
    <dataValidation type="whole" allowBlank="1" showInputMessage="1" showErrorMessage="1" promptTitle="Max 2 phase dual pack current" prompt="Value between 10A - 48A. &#10;&#10;For more information refer to Installer options in Detailed specifications (Software) and Swim Spa Solution Techbook (9919-101142)." sqref="X62">
      <formula1>10</formula1>
      <formula2>48</formula2>
    </dataValidation>
    <dataValidation type="whole" allowBlank="1" showInputMessage="1" showErrorMessage="1" promptTitle="Max 2 phase single pack current" prompt="Value between 10A - 20A. &#10;Applies to CE models only.&#10;&#10;For more information refer to Installer options in Detailed specifications (Software) and Swim Spa Solution Techbook (9919-101142)." sqref="X59">
      <formula1>10</formula1>
      <formula2>20</formula2>
    </dataValidation>
    <dataValidation type="whole" allowBlank="1" showInputMessage="1" showErrorMessage="1" promptTitle="Max 3 phase single pack current" prompt="Value between 10A - 16A. &#10;Applies to CE models only.&#10;&#10;For more information refer to Installer options in Detailed specifications (Software) and Swim Spa Solution Techbook (9919-101142)." sqref="X60">
      <formula1>10</formula1>
      <formula2>16</formula2>
    </dataValidation>
    <dataValidation type="whole" allowBlank="1" showInputMessage="1" showErrorMessage="1" promptTitle="Max 3 phase dual pack current" prompt="Value between 10A - 20A. &#10;Applies to CE models only.&#10;&#10;For more information refer to Installer options in Detailed specifications (Software) and Swim Spa Solution Techbook (9919-101142)." sqref="X63">
      <formula1>10</formula1>
      <formula2>20</formula2>
    </dataValidation>
    <dataValidation type="list" allowBlank="1" showInputMessage="1" showErrorMessage="1" promptTitle="QuickOnOffCustomKey" prompt="When enabled, shut down all active user demands by a press and reactivate them by another press.&#10;&#10;[SpaPackInternalOptions]" sqref="P85">
      <formula1>"Disable,Enable"</formula1>
    </dataValidation>
    <dataValidation type="list" allowBlank="1" showInputMessage="1" showErrorMessage="1" promptTitle="DrainMode" prompt="Add drain mode using the specified pump.&#10;&#10;REQUIRES OFF/STANDBY MODE&#10;&#10;[AdvanceFilterConfig]" sqref="Q72">
      <formula1>"Not Available,Drain with CP,Drain with P1"</formula1>
    </dataValidation>
    <dataValidation type="list" allowBlank="1" showInputMessage="1" showErrorMessage="1" promptTitle="O3Usage" prompt="Define when the Ozone will be ON&#10;Filter = During filter cycle only (require seperate relays for pump and ozone)&#10;Always ON with pump = Ozone and its pump are are always ON together&#10;&#10;[O3Config]&#10;&#10;" sqref="AA19">
      <formula1>"'--,ON when filtering,Always on with pump"</formula1>
    </dataValidation>
    <dataValidation type="list" allowBlank="1" showInputMessage="1" showErrorMessage="1" promptTitle="Quick On Off Custom Key" prompt="When enabled, shut down all active user demands by a press and reactivate them by another press.&#10;&#10;[SpaPackInternalOptions]" sqref="P84">
      <formula1>"Disable,Enable"</formula1>
    </dataValidation>
    <dataValidation type="list" allowBlank="1" showInputMessage="1" showErrorMessage="1" promptTitle="Drain Mode" prompt="Add drain mode using the specified pump.&#10;&#10;REQUIRES OFF/STANDBY MODE&#10;&#10;[AdvanceFilterConfig]" sqref="P72">
      <formula1>"Not Available,Drain with CP,Drain with P1"</formula1>
    </dataValidation>
    <dataValidation allowBlank="1" showInputMessage="1" showErrorMessage="1" promptTitle="Keypad(s) and accessories" prompt="Some parameters are affected by the installed keypad or accessories.&#10;List all keypad(s) and accessories to be used with those Low Level here." sqref="V90:X90"/>
    <dataValidation allowBlank="1" showInputMessage="1" showErrorMessage="1" promptTitle="Customer ID" prompt="If applicable, specify the Customer ID." sqref="L87"/>
    <dataValidation type="list" allowBlank="1" showInputMessage="1" showErrorMessage="1" promptTitle="Filter Start Time" prompt="Time at which the filter cycle will start.&#10;&#10;[SpaPackInternalOptions]" sqref="P64">
      <formula1>"0:00 AM,1:00 AM,2:00 AM,3:00 AM,4:00 AM,5:00 AM,6:00 AM,7:00 AM,8:00 AM,9:00 AM,10:00 AM,11:00 AM,12:00 PM (Noon),1:00 PM,2:00 PM,3:00 PM,4:00 PM,5:00 PM,6:00 PM,7:00 PM,8:00 PM,9:00 PM,10:00 PM,11:00 PM,"</formula1>
    </dataValidation>
    <dataValidation type="list" allowBlank="1" showInputMessage="1" showErrorMessage="1" promptTitle="AssignVSP#" prompt="Define which Pump(s) are Variable Speed Pump(s) (if any).&#10;&#10;Note: Configuring VSP on Slave output (Dual-Pack config) is not supported.&#10;&#10;[VSP]" sqref="T93:T97">
      <formula1>"NA,Pump 1, Pump 2,Pump 3,Pump 4,Pump 5"</formula1>
    </dataValidation>
    <dataValidation type="whole" allowBlank="1" showInputMessage="1" showErrorMessage="1" errorTitle="Out of range" error="Choose between 0 and 511" promptTitle="Value" prompt="The value is an automatic calculation set between 0 and 511. This is used by Gecko when configuring the SPA." sqref="AF69:AF78">
      <formula1>0</formula1>
      <formula2>511</formula2>
    </dataValidation>
    <dataValidation type="list" allowBlank="1" showInputMessage="1" showErrorMessage="1" promptTitle="Pump 1" prompt="• -- add 0 to value&#10;• LOW add 1 to value&#10;• HIGH add 2 to value" sqref="AA69:AA78">
      <formula1>"'--,LOW,HIGH"</formula1>
    </dataValidation>
    <dataValidation type="list" allowBlank="1" showInputMessage="1" showErrorMessage="1" promptTitle="Pump 2" prompt="• -- add 0 to value&#10;• LOW add 4 to value&#10;• HIGH add 8 to value" sqref="AB69:AB78">
      <formula1>"'--,LOW,HIGH"</formula1>
    </dataValidation>
    <dataValidation type="list" allowBlank="1" showInputMessage="1" showErrorMessage="1" promptTitle="Pump 3" prompt="• -- add 0 to value&#10;• LOW add 16 to value&#10;• HIGH add 32 to value" sqref="AC69:AC78">
      <formula1>"'--,LOW,HIGH"</formula1>
    </dataValidation>
    <dataValidation type="list" allowBlank="1" showInputMessage="1" showErrorMessage="1" promptTitle="Pump 4" prompt="• -- add 0 to value&#10;• LOW add 64 to value&#10;• HIGH add 128 to value" sqref="AD69:AD78">
      <formula1>"'--,LOW,HIGH"</formula1>
    </dataValidation>
    <dataValidation type="list" allowBlank="1" showInputMessage="1" showErrorMessage="1" promptTitle="Pump 5" prompt="• -- add 0 to value&#10;• HIGH add 256 to value&#10;" sqref="AE69:AF78">
      <formula1>"'--,HIGH"</formula1>
    </dataValidation>
    <dataValidation type="list" allowBlank="1" showInputMessage="1" showErrorMessage="1" promptTitle="StatusLightRemindersColor" prompt="When a Reminder is due, the status light will change to this color (unless the status light is reporting an error).&#10;&#10;[inMixConfig]" sqref="X81">
      <formula1>"OFF,SAME AS NORMAL,GREEN,YELLOW,MAGENTA,CYAN,ORANGE,WHITE"</formula1>
    </dataValidation>
    <dataValidation type="list" allowBlank="1" showInputMessage="1" showErrorMessage="1" promptTitle="RemindersNotBlinkingLED" prompt="YES: Status Light will NOT blink when a reminder is due.&#10;NO: Status Light will blink when a reminder is due.&#10;&#10;[inMixConfig]" sqref="X82">
      <formula1>"YES,NO"</formula1>
    </dataValidation>
    <dataValidation type="decimal" allowBlank="1" showInputMessage="1" showErrorMessage="1" promptTitle="ExercisePumpIntensity#" prompt="Enter the speed (in %) of the VSP(s) to be used for each intensity&#10;(Value between 1 and 100)&#10;&#10;Note: ALL variable speed pumps will be set to the same speed except if one of the pump is set as a buoyancy pump&#10;&#10;[Exercise]" sqref="AA81:AA90">
      <formula1>0.01</formula1>
      <formula2>1</formula2>
    </dataValidation>
    <dataValidation type="list" allowBlank="1" showInputMessage="1" showErrorMessage="1" promptTitle="ExerciseBuoyancyPump" prompt="Determine which pump is used for buoyancy (if any).&#10;Buoyancy pump helps the swimmer stay afloat. They can be manually controlled during an exercise session and will not be overriden by the exerciser sequence.&#10;&#10;[Exercise]" sqref="AA62">
      <formula1>"NA,Pump 1,Pump 2,Pump 3,Pump 4,Pump 5"</formula1>
    </dataValidation>
    <dataValidation type="list" allowBlank="1" showInputMessage="1" showErrorMessage="1" promptTitle="StatusLighNormalColor" prompt="Status light color when the spa is in normal operation&#10;&#10;[inMixConfig]" sqref="X80">
      <formula1>"OFF,BLUE,GREEN,YELLOW,MAGENTA,CYAN,ORANGE,WHITE"</formula1>
    </dataValidation>
    <dataValidation type="list" allowBlank="1" showInputMessage="1" showErrorMessage="1" promptTitle="Light Output Protection:" prompt="&#10;Enable = Default&#10;Disable = Removes the protection mechanism for high capacitive LEDs clusters (&gt;10 000uF) on light output. &#10;Could be disabled if the 12Vdc LED modules usually used on the Light Ouput don't work properly.&#10;DISABLED ONLY WITH R&amp;D APPROVAL" sqref="L85">
      <formula1>"Disable,Enable"</formula1>
    </dataValidation>
    <dataValidation type="list" allowBlank="1" showInputMessage="1" showErrorMessage="1" promptTitle="Custom Key Enabled" prompt="Set the last pump key of the in.k800 serie as a Custom Key to control ONE of the Multi-Mode Configuration option&#10;&#10;[MiscCfg]" sqref="L81">
      <formula1>"Disable,Enable"</formula1>
    </dataValidation>
    <dataValidation type="list" allowBlank="1" showInputMessage="1" showErrorMessage="1" promptTitle="SilentMode" prompt="Bullfrog (YX-2)&#10;(Reserved)&#10;Disable = NA&#10;The two modes available are = OFF or SLEEP&#10;More detail SP1113" sqref="L88">
      <formula1>"NA,OFF,SLEEP"</formula1>
    </dataValidation>
    <dataValidation type="list" allowBlank="1" showInputMessage="1" showErrorMessage="1" sqref="L89">
      <formula1>"Not Allowed,Allowed"</formula1>
    </dataValidation>
    <dataValidation type="list" allowBlank="1" showInputMessage="1" showErrorMessage="1" sqref="R9">
      <formula1>"'--,B0 (FL2),B1,B2,B3,B4,C1,C2,C3,C4,"</formula1>
    </dataValidation>
    <dataValidation type="list" allowBlank="1" showInputMessage="1" showErrorMessage="1" sqref="S9:T9 W9:X9">
      <formula1>"'--,Not Installed,B0 (FL2),B1,B2,B3,B4,C1,C2,C3,C4,"</formula1>
    </dataValidation>
    <dataValidation type="list" allowBlank="1" showInputMessage="1" showErrorMessage="1" promptTitle="Bloc Configuration" prompt="3 = 1 speed output&#10;4 = 2 speed output&#10;B = Blank (not installed)" sqref="K8:N8 R8:Y8">
      <formula1>"'--,3-3-4-B,3-3-3-3,4-3-3-B,3-3-4-3,3-4-4-3,4-3-4-3,4-3-3-3"</formula1>
    </dataValidation>
    <dataValidation type="list" allowBlank="1" showInputMessage="1" showErrorMessage="1" promptTitle="TERMINAL BLOCK 1" sqref="K7:N7">
      <formula1>"--,Terminal Block A,Terminal Block B,Terminal Block C"</formula1>
    </dataValidation>
    <dataValidation type="list" allowBlank="1" showInputMessage="1" showErrorMessage="1" promptTitle="Connection Type" prompt="This parameter enable or disable the &quot;Terminal Block ID&quot; and &quot;Block Configuration&quot; settings." sqref="L6:M6">
      <formula1>"AMP,AMP Block(s),Quick Connect"</formula1>
    </dataValidation>
    <dataValidation allowBlank="1" showInputMessage="1" showErrorMessage="1" promptTitle="Accessory" prompt="Select which accessory is used with the OUT." sqref="K19:P19"/>
    <dataValidation allowBlank="1" showInputMessage="1" showErrorMessage="1" promptTitle="Low Speed Line" prompt="Line associated with Relay or TAB. This parameter is automatically set by the selected PCB and cannot be changed." sqref="K17:Y17"/>
    <dataValidation allowBlank="1" showInputMessage="1" showErrorMessage="1" promptTitle="OUTPUT ID" prompt="Output associated with Relay or TAB. This parameter is automatically set by the selected PCB and cannot be changed." sqref="K11:Y11 K13:Y13"/>
    <dataValidation allowBlank="1" showInputMessage="1" showErrorMessage="1" promptTitle="High Speed Fuse" prompt="Fuse associated with high speed. This parameter is automatically set by the selected PCB and cannot be changed." sqref="K14:Y14"/>
    <dataValidation allowBlank="1" showInputMessage="1" showErrorMessage="1" promptTitle="Low Speed Fuse" prompt="Fuse associated with Relay or TAB. This parameter is automatically set by the selected PCB and cannot be changed." sqref="K15:Y15"/>
    <dataValidation type="list" allowBlank="1" showInputMessage="1" showErrorMessage="1" promptTitle="Terminal Block 2" prompt="Second terminal block can be either B or C" sqref="R7:U7">
      <formula1>"--,Terminal Block A,Terminal Block B,Terminal Block C"</formula1>
    </dataValidation>
    <dataValidation type="list" allowBlank="1" showInputMessage="1" showErrorMessage="1" promptTitle="Terminal Block 3" sqref="V7:Y7">
      <formula1>"--,Terminal Block A,Terminal Block B,Terminal Block C"</formula1>
    </dataValidation>
    <dataValidation allowBlank="1" showErrorMessage="1" promptTitle="AMP connector" prompt="AMP output connector number." sqref="O7:P8 Q8"/>
    <dataValidation type="list" allowBlank="1" showInputMessage="1" showErrorMessage="1" promptTitle="Accessory" prompt="Select which accessory is used with the OUT." sqref="Q19:Y19">
      <formula1>"'--,P1_1SP,P1_2SP,P2_1SP,P2_2SP,P3_1SP,P3_2SP,P4_1SP,P4_2SP,P5_1SP,BL,Waterfall,Fan,O3,O3/CP,CP,Full ON,DIRECT 1,DIRECT 2,L120 (Ext. Light),Aux,Onzen,Cool Zone,Heater 2,"</formula1>
    </dataValidation>
    <dataValidation type="list" allowBlank="1" showInputMessage="1" showErrorMessage="1" promptTitle="Zone1led" prompt="Default RGB &#10;RGB = RED, GREEN, BLUE                                                &#10;ATTENTION, App in.touch doesn't work in WHITE" sqref="X65">
      <formula1>"RGB, WHITE"</formula1>
    </dataValidation>
    <dataValidation type="list" allowBlank="1" showInputMessage="1" showErrorMessage="1" promptTitle="StatusLightFading" prompt="NO: default&#10;&#10;[inMixConfig]" sqref="X83">
      <formula1>"NO, YES"</formula1>
    </dataValidation>
    <dataValidation type="list" allowBlank="1" showInputMessage="1" showErrorMessage="1" promptTitle="VSPType" prompt="Define type of VSP installed&#10;&#10;[VSP]" sqref="T92">
      <formula1>"No VSP,Hydropool drive,Gecko VMS"</formula1>
    </dataValidation>
    <dataValidation type="decimal" allowBlank="1" showInputMessage="1" showErrorMessage="1" promptTitle="VSPHeatingSpeed" prompt="Enter the speed (in %) of the VSP when it used for heating&#10;(Value between 5 and 100)&#10;&#10;[VSP]" sqref="T98">
      <formula1>0.05</formula1>
      <formula2>1</formula2>
    </dataValidation>
    <dataValidation type="decimal" allowBlank="1" showInputMessage="1" showErrorMessage="1" promptTitle="VSPFilteringSpeed" prompt="Enter the speed (in %) of the VSP when it used for filtering&#10;(Value between 5 and 100)&#10;&#10;[VSP]" sqref="T99">
      <formula1>0.05</formula1>
      <formula2>1</formula2>
    </dataValidation>
    <dataValidation type="list" allowBlank="1" showInputMessage="1" sqref="V9">
      <formula1>"'--,Not Installed,B0 (FL2),B1,B2,B3,B4,C1,C2,C3,C4,"</formula1>
    </dataValidation>
    <dataValidation type="list" allowBlank="1" showInputMessage="1" showErrorMessage="1" promptTitle="O3Usage" prompt="Define when the Ozone will be ON&#10;ON when filtering = During filter cycle only (require seperate relays for pump and ozone)&#10;Always ON with pump = Ozone and its pump are always ON together&#10;&#10;[O3Config]&#10;&#10;" sqref="AA21:AA53">
      <formula1>"'--,ON when filtering,Always on with pump"</formula1>
    </dataValidation>
    <dataValidation type="list" allowBlank="1" showInputMessage="1" showErrorMessage="1" promptTitle="CpUsage" prompt="Defined the usage of the circulation pump.&#10;Standard: Used only when filter cycle is on or when a heating resquest is active.&#10;Always ON: ON 24/7&#10;&#10;[FilterConfig]" sqref="Z21:Z53">
      <formula1>"'--,Standard,Always ON"</formula1>
    </dataValidation>
    <dataValidation type="list" allowBlank="1" showInputMessage="1" showErrorMessage="1" promptTitle="Accessory" prompt="Select which accessory is used with the OUT." sqref="K21:P53 R21:Y53 Q21:Q29 Q31:Q53">
      <formula1>"'--,P1_1SP,P1_2SP,P2_1SP,P2_2SP,P3_1SP,P3_2SP,P4_1SP,P4_2SP,P5_1SP,BL,Waterfall,Fan,O3,O3/CP,CP,Full ON,DIRECT 1,DIRECT 2,L120 (Ext. Light),Aux,Onzen,Cool Zone,HTR2,"</formula1>
    </dataValidation>
  </dataValidations>
  <printOptions horizontalCentered="1" verticalCentered="1"/>
  <pageMargins left="0.19685039370078741" right="0.19685039370078741" top="0.19685039370078741" bottom="0.19685039370078741" header="0" footer="0.19685039370078741"/>
  <pageSetup paperSize="5" scale="42" orientation="landscape" r:id="rId2"/>
  <headerFooter>
    <oddFooter>&amp;C&amp;"Arial,Gras"&amp;D</oddFooter>
  </headerFooter>
  <ignoredErrors>
    <ignoredError sqref="V13:Y14 V11:Y11 L3:M3 M2 L11:Q11 K13:Q14" evalError="1"/>
  </ignoredErrors>
  <drawing r:id="rId3"/>
  <legacyDrawing r:id="rId4"/>
  <extLst xmlns:xr="http://schemas.microsoft.com/office/spreadsheetml/2014/revision" xmlns:x14="http://schemas.microsoft.com/office/spreadsheetml/2009/9/main">
    <ext uri="{78C0D931-6437-407d-A8EE-F0AAD7539E65}">
      <x14:conditionalFormattings>
        <x14:conditionalFormatting xmlns:xm="http://schemas.microsoft.com/office/excel/2006/main">
          <x14:cfRule type="expression" priority="243" id="{D7433F54-5335-4545-9978-0CE9674A377C}">
            <xm:f>AND(VLOOKUP(CONCATENATE(K$14,"current"),'Supply Attribution'!$F$23:$G$28,2,FALSE)&gt;20,(MID(K21,3,1)&lt;&gt;"_"),K21&lt;&gt;"",K21&lt;&gt;"--")</xm:f>
            <x14:dxf>
              <fill>
                <patternFill>
                  <bgColor rgb="FFFF0000"/>
                </patternFill>
              </fill>
            </x14:dxf>
          </x14:cfRule>
          <xm:sqref>Q21:Y29 R30:Y30 Q31:Y40 K41:Y53</xm:sqref>
        </x14:conditionalFormatting>
      </x14:conditionalFormattings>
    </ext>
    <ext uri="{CCE6A557-97BC-4b89-ADB6-D9C93CAAB3DF}">
      <x14:dataValidations xmlns:xm="http://schemas.microsoft.com/office/excel/2006/main" xWindow="792" yWindow="480" count="6">
        <x14:dataValidation type="list" allowBlank="1" showInputMessage="1" showErrorMessage="1" xr:uid="{634E7060-7F5E-4778-9A9C-D1752FD98E28}">
          <x14:formula1>
            <xm:f>'Supply Attribution'!$AG$5:$AG$11</xm:f>
          </x14:formula1>
          <xm:sqref>K2</xm:sqref>
        </x14:dataValidation>
        <x14:dataValidation type="list" allowBlank="1" showInputMessage="1" showErrorMessage="1" xr:uid="{E0318463-4729-4C76-80FA-9573EA956BFE}">
          <x14:formula1>
            <xm:f>'Supply Attribution'!$AH$5:$AH$9</xm:f>
          </x14:formula1>
          <xm:sqref>K1</xm:sqref>
        </x14:dataValidation>
        <x14:dataValidation type="list" allowBlank="1" showInputMessage="1" showErrorMessage="1" promptTitle="Relays &amp; Tabs ID" prompt="Select relay associated with high speed for this position" xr:uid="{D26E04E7-501E-4955-82B3-1500797FAB27}">
          <x14:formula1>
            <xm:f>'Supply Attribution'!$W$14:$AD$14</xm:f>
          </x14:formula1>
          <xm:sqref>R12:Y12</xm:sqref>
        </x14:dataValidation>
        <x14:dataValidation type="list" allowBlank="1" showInputMessage="1" showErrorMessage="1" xr:uid="{7F5CCA75-D078-4E73-ABAF-A2B2EF6E908C}">
          <x14:formula1>
            <xm:f>'Supply Attribution'!$W$14:$AD$14</xm:f>
          </x14:formula1>
          <xm:sqref>R10:Y10</xm:sqref>
        </x14:dataValidation>
        <x14:dataValidation type="list" allowBlank="1" showInputMessage="1" showErrorMessage="1" xr:uid="{FFB11937-EE4E-4472-BD87-D44AD944E76C}">
          <x14:formula1>
            <xm:f>'Supply Attribution'!$M$14:$W$14</xm:f>
          </x14:formula1>
          <xm:sqref>K10:Q10</xm:sqref>
        </x14:dataValidation>
        <x14:dataValidation type="list" allowBlank="1" showInputMessage="1" showErrorMessage="1" promptTitle="Relays &amp; Tabs ID" prompt="Select relay associated with high speed for this position" xr:uid="{890C8372-9D05-4D4C-974B-AB62046F52E2}">
          <x14:formula1>
            <xm:f>'Supply Attribution'!$M$14:$W$14</xm:f>
          </x14:formula1>
          <xm:sqref>K12:Q12</xm:sqref>
        </x14:dataValidation>
      </x14:dataValidations>
    </ext>
  </extLst>
</worksheet>
</file>

<file path=xl/worksheets/sheet2.xml><?xml version="1.0" encoding="utf-8"?>
<worksheet xmlns="http://schemas.openxmlformats.org/spreadsheetml/2006/main" xmlns:r="http://schemas.openxmlformats.org/officeDocument/2006/relationships">
  <sheetPr codeName="Feuil4">
    <tabColor rgb="FF00B0F0"/>
    <pageSetUpPr fitToPage="1"/>
  </sheetPr>
  <dimension ref="A1:AF106"/>
  <sheetViews>
    <sheetView topLeftCell="A9" zoomScale="130" zoomScaleNormal="130" zoomScaleSheetLayoutView="119" workbookViewId="0">
      <selection activeCell="J29" sqref="J29"/>
    </sheetView>
  </sheetViews>
  <sheetFormatPr defaultColWidth="11.42578125" defaultRowHeight="12.75" outlineLevelCol="1"/>
  <cols>
    <col min="1" max="4" width="4.7109375" style="79" customWidth="1" outlineLevel="1"/>
    <col min="5" max="5" width="4.5703125" style="79" customWidth="1" outlineLevel="1"/>
    <col min="6" max="6" width="4.7109375" style="79" customWidth="1" outlineLevel="1"/>
    <col min="7" max="9" width="5" style="79" customWidth="1" outlineLevel="1"/>
    <col min="10" max="10" width="20.7109375" style="79" customWidth="1"/>
    <col min="11" max="23" width="17.5703125" style="79" customWidth="1"/>
    <col min="24" max="29" width="20.7109375" style="79" customWidth="1"/>
    <col min="30" max="30" width="6.7109375" style="79" customWidth="1"/>
    <col min="31" max="31" width="6.42578125" style="79" bestFit="1" customWidth="1"/>
    <col min="32" max="16384" width="11.42578125" style="79"/>
  </cols>
  <sheetData>
    <row r="1" spans="1:32" ht="13.15" customHeight="1">
      <c r="A1" s="107"/>
      <c r="B1" s="107"/>
      <c r="C1" s="107"/>
      <c r="D1" s="107"/>
      <c r="E1" s="107"/>
      <c r="F1" s="107"/>
      <c r="G1" s="107"/>
      <c r="H1" s="107"/>
      <c r="I1" s="107"/>
      <c r="J1" s="414" t="s">
        <v>217</v>
      </c>
      <c r="K1" s="415" t="str">
        <f>Config.!K1</f>
        <v>Not Installed</v>
      </c>
      <c r="L1" s="810" t="s">
        <v>24</v>
      </c>
      <c r="M1" s="811"/>
      <c r="N1" s="613"/>
      <c r="O1" s="613"/>
      <c r="P1" s="613"/>
      <c r="Q1" s="613"/>
      <c r="R1" s="256"/>
      <c r="S1" s="72"/>
      <c r="T1" s="72"/>
      <c r="U1" s="73"/>
      <c r="V1" s="74" t="s">
        <v>155</v>
      </c>
      <c r="W1" s="75"/>
      <c r="X1" s="76" t="str">
        <f>Config.!X1</f>
        <v>0610-221126-755</v>
      </c>
      <c r="Y1" s="72"/>
      <c r="Z1" s="77"/>
      <c r="AA1" s="74" t="s">
        <v>0</v>
      </c>
      <c r="AB1" s="75"/>
      <c r="AC1" s="496" t="str">
        <f>Config.!AC1</f>
        <v>SP755001</v>
      </c>
      <c r="AD1" s="78"/>
    </row>
    <row r="2" spans="1:32" ht="13.15" customHeight="1">
      <c r="A2" s="107"/>
      <c r="B2" s="107"/>
      <c r="C2" s="107"/>
      <c r="D2" s="107"/>
      <c r="E2" s="107"/>
      <c r="F2" s="107"/>
      <c r="G2" s="107"/>
      <c r="H2" s="107"/>
      <c r="I2" s="107"/>
      <c r="J2" s="418" t="s">
        <v>218</v>
      </c>
      <c r="K2" s="350" t="str">
        <f>Config.!K2</f>
        <v>9920-201326</v>
      </c>
      <c r="L2" s="811" t="str">
        <f>Config.!L2</f>
        <v>ASSY PCB IN.YE-V3FLX-5OP-A11-A22-A32-A41-A5DIR</v>
      </c>
      <c r="M2" s="811"/>
      <c r="N2" s="614"/>
      <c r="O2" s="614"/>
      <c r="P2" s="614"/>
      <c r="Q2" s="614"/>
      <c r="R2" s="72" t="str">
        <f>MID(A1,4,3)</f>
        <v/>
      </c>
      <c r="S2" s="72"/>
      <c r="T2" s="72"/>
      <c r="U2" s="80"/>
      <c r="V2" s="81" t="s">
        <v>160</v>
      </c>
      <c r="W2" s="82"/>
      <c r="X2" s="317" t="str">
        <f>Config.!X2</f>
        <v>9937-130074</v>
      </c>
      <c r="Y2" s="72"/>
      <c r="Z2" s="83"/>
      <c r="AA2" s="81" t="s">
        <v>363</v>
      </c>
      <c r="AB2" s="82"/>
      <c r="AC2" s="500" t="str">
        <f>Config.!AC2</f>
        <v>9938-755001</v>
      </c>
      <c r="AD2" s="78"/>
    </row>
    <row r="3" spans="1:32" ht="12.75" customHeight="1">
      <c r="A3" s="107"/>
      <c r="B3" s="107"/>
      <c r="C3" s="107"/>
      <c r="D3" s="107"/>
      <c r="E3" s="107"/>
      <c r="F3" s="107"/>
      <c r="G3" s="107"/>
      <c r="H3" s="107"/>
      <c r="I3" s="107"/>
      <c r="J3" s="418" t="s">
        <v>251</v>
      </c>
      <c r="K3" s="350">
        <f>Config.!K3</f>
        <v>5</v>
      </c>
      <c r="L3" s="811" t="str">
        <f>Config.!L3</f>
        <v>+1</v>
      </c>
      <c r="M3" s="811"/>
      <c r="N3" s="618" t="s">
        <v>279</v>
      </c>
      <c r="O3" s="614"/>
      <c r="P3" s="614"/>
      <c r="Q3" s="614"/>
      <c r="R3" s="72"/>
      <c r="S3" s="84"/>
      <c r="T3" s="85"/>
      <c r="U3" s="80"/>
      <c r="V3" s="81" t="s">
        <v>158</v>
      </c>
      <c r="W3" s="432"/>
      <c r="X3" s="86" t="str">
        <f>Config.!X3</f>
        <v>9919-101830</v>
      </c>
      <c r="Y3" s="72"/>
      <c r="Z3" s="83"/>
      <c r="AA3" s="81" t="s">
        <v>364</v>
      </c>
      <c r="AB3" s="82"/>
      <c r="AC3" s="497">
        <f>Config.!AC3</f>
        <v>1</v>
      </c>
      <c r="AD3" s="78"/>
    </row>
    <row r="4" spans="1:32" ht="13.15" customHeight="1" thickBot="1">
      <c r="A4" s="107"/>
      <c r="B4" s="107"/>
      <c r="C4" s="107"/>
      <c r="D4" s="107"/>
      <c r="E4" s="107"/>
      <c r="F4" s="107"/>
      <c r="G4" s="107"/>
      <c r="H4" s="107"/>
      <c r="I4" s="107"/>
      <c r="J4" s="812" t="str">
        <f>IF(OR(J6="",J6="Not Set"),"Select Model and Region first","")</f>
        <v/>
      </c>
      <c r="K4" s="813"/>
      <c r="L4" s="613"/>
      <c r="M4" s="613"/>
      <c r="N4" s="614"/>
      <c r="O4" s="614"/>
      <c r="P4" s="614"/>
      <c r="Q4" s="614"/>
      <c r="R4" s="72"/>
      <c r="S4" s="84"/>
      <c r="T4" s="84"/>
      <c r="U4" s="90"/>
      <c r="V4" s="91" t="s">
        <v>159</v>
      </c>
      <c r="W4" s="92"/>
      <c r="X4" s="93" t="str">
        <f>Config.!X4</f>
        <v>A</v>
      </c>
      <c r="Y4" s="72"/>
      <c r="Z4" s="83"/>
      <c r="AA4" s="81" t="s">
        <v>365</v>
      </c>
      <c r="AB4" s="82"/>
      <c r="AC4" s="498" t="str">
        <f>Config.!AC4</f>
        <v>9940-755001</v>
      </c>
      <c r="AD4" s="78"/>
    </row>
    <row r="5" spans="1:32" ht="13.15" customHeight="1" thickBot="1">
      <c r="A5" s="107"/>
      <c r="B5" s="107"/>
      <c r="C5" s="107"/>
      <c r="D5" s="107"/>
      <c r="E5" s="107"/>
      <c r="F5" s="107"/>
      <c r="G5" s="107"/>
      <c r="H5" s="107"/>
      <c r="I5" s="107"/>
      <c r="J5" s="416" t="s">
        <v>219</v>
      </c>
      <c r="K5" s="417" t="s">
        <v>220</v>
      </c>
      <c r="L5" s="814" t="s">
        <v>435</v>
      </c>
      <c r="M5" s="815"/>
      <c r="N5" s="614"/>
      <c r="O5" s="614"/>
      <c r="P5" s="614"/>
      <c r="Q5" s="614"/>
      <c r="R5" s="72"/>
      <c r="S5" s="89"/>
      <c r="T5" s="84"/>
      <c r="U5" s="816"/>
      <c r="V5" s="816"/>
      <c r="W5" s="816"/>
      <c r="X5" s="816"/>
      <c r="Y5" s="72"/>
      <c r="Z5" s="94"/>
      <c r="AA5" s="91" t="s">
        <v>86</v>
      </c>
      <c r="AB5" s="92"/>
      <c r="AC5" s="499" t="str">
        <f>Config.!AC5</f>
        <v>Dynasty</v>
      </c>
      <c r="AD5" s="78"/>
    </row>
    <row r="6" spans="1:32" ht="24" thickBot="1">
      <c r="A6" s="107"/>
      <c r="B6" s="107"/>
      <c r="C6" s="107"/>
      <c r="D6" s="107"/>
      <c r="E6" s="107"/>
      <c r="F6" s="107"/>
      <c r="G6" s="107"/>
      <c r="H6" s="107"/>
      <c r="I6" s="107"/>
      <c r="J6" s="616" t="str">
        <f>Config.!J6</f>
        <v>in.ye-5</v>
      </c>
      <c r="K6" s="617" t="str">
        <f>Config.!K6</f>
        <v>UL</v>
      </c>
      <c r="L6" s="617" t="str">
        <f>Config.!L6</f>
        <v>AMP</v>
      </c>
      <c r="M6" s="617">
        <f>Config.!M6</f>
        <v>0</v>
      </c>
      <c r="N6" s="617" t="b">
        <f>Config.!N6</f>
        <v>1</v>
      </c>
      <c r="O6" s="615" t="b">
        <f>Config.!O6</f>
        <v>1</v>
      </c>
      <c r="P6" s="72"/>
      <c r="Q6" s="614"/>
      <c r="R6" s="72"/>
      <c r="S6" s="84"/>
      <c r="T6" s="84"/>
      <c r="U6" s="84"/>
      <c r="V6" s="84"/>
      <c r="W6" s="72"/>
      <c r="X6" s="84"/>
      <c r="Y6" s="72"/>
      <c r="Z6" s="72"/>
      <c r="AA6" s="72"/>
      <c r="AB6" s="72"/>
      <c r="AC6" s="72"/>
      <c r="AD6" s="78"/>
    </row>
    <row r="7" spans="1:32">
      <c r="A7" s="107"/>
      <c r="B7" s="107"/>
      <c r="C7" s="107"/>
      <c r="D7" s="107"/>
      <c r="E7" s="107"/>
      <c r="F7" s="107"/>
      <c r="G7" s="107"/>
      <c r="H7" s="107"/>
      <c r="I7" s="107"/>
      <c r="J7" s="580" t="s">
        <v>433</v>
      </c>
      <c r="K7" s="789" t="str">
        <f>IFERROR(IF($K$3&gt;7,"Terminal Block A","--"),"--")</f>
        <v>--</v>
      </c>
      <c r="L7" s="740"/>
      <c r="M7" s="740"/>
      <c r="N7" s="740"/>
      <c r="O7" s="602" t="s">
        <v>24</v>
      </c>
      <c r="P7" s="789" t="s">
        <v>456</v>
      </c>
      <c r="Q7" s="741"/>
      <c r="R7" s="795" t="str">
        <f>IFERROR(IF($K$3&lt;7,"--",IF($K$3&gt;10,"Terminal Block B","Terminal Block C")),"--")</f>
        <v>--</v>
      </c>
      <c r="S7" s="796"/>
      <c r="T7" s="796"/>
      <c r="U7" s="797"/>
      <c r="V7" s="740" t="str">
        <f>IFERROR(IF($K$3&gt;10,"Terminal Block C","--"),"--")</f>
        <v>--</v>
      </c>
      <c r="W7" s="740"/>
      <c r="X7" s="740"/>
      <c r="Y7" s="741"/>
      <c r="Z7" s="84"/>
      <c r="AA7" s="72"/>
      <c r="AB7" s="72"/>
      <c r="AC7" s="72"/>
      <c r="AD7" s="72"/>
      <c r="AE7" s="72"/>
      <c r="AF7" s="78"/>
    </row>
    <row r="8" spans="1:32">
      <c r="A8" s="107"/>
      <c r="B8" s="107"/>
      <c r="C8" s="107"/>
      <c r="D8" s="107"/>
      <c r="E8" s="107"/>
      <c r="F8" s="107"/>
      <c r="G8" s="107"/>
      <c r="H8" s="107"/>
      <c r="I8" s="107"/>
      <c r="J8" s="581" t="s">
        <v>434</v>
      </c>
      <c r="K8" s="769" t="str">
        <f>IF(K7="--","--",IF(K3&lt;4,"3-3-4-B","3-4-4-3"))</f>
        <v>--</v>
      </c>
      <c r="L8" s="770"/>
      <c r="M8" s="770"/>
      <c r="N8" s="770"/>
      <c r="O8" s="603" t="s">
        <v>24</v>
      </c>
      <c r="P8" s="604" t="s">
        <v>24</v>
      </c>
      <c r="Q8" s="605" t="s">
        <v>24</v>
      </c>
      <c r="R8" s="798" t="str">
        <f>IFERROR(IF(K3&lt;6,"--",IF(K$3&gt;10,"3-4-4-3","3-3-4-B")),"--")</f>
        <v>--</v>
      </c>
      <c r="S8" s="799"/>
      <c r="T8" s="799"/>
      <c r="U8" s="800"/>
      <c r="V8" s="742" t="str">
        <f>IFERROR(IF(K3&gt;10,"3-3-4-B","--"),"--")</f>
        <v>--</v>
      </c>
      <c r="W8" s="743"/>
      <c r="X8" s="743"/>
      <c r="Y8" s="744"/>
      <c r="Z8" s="84"/>
      <c r="AA8" s="72"/>
      <c r="AB8" s="72"/>
      <c r="AC8" s="72"/>
      <c r="AD8" s="72"/>
      <c r="AE8" s="72"/>
      <c r="AF8" s="78"/>
    </row>
    <row r="9" spans="1:32" s="100" customFormat="1" ht="13.15" customHeight="1" thickBot="1">
      <c r="A9" s="157"/>
      <c r="B9" s="254"/>
      <c r="C9" s="254"/>
      <c r="D9" s="254"/>
      <c r="E9" s="254"/>
      <c r="F9" s="107"/>
      <c r="G9" s="107"/>
      <c r="H9" s="107"/>
      <c r="I9" s="107"/>
      <c r="J9" s="275" t="s">
        <v>199</v>
      </c>
      <c r="K9" s="586" t="s">
        <v>19</v>
      </c>
      <c r="L9" s="436" t="s">
        <v>20</v>
      </c>
      <c r="M9" s="436" t="s">
        <v>23</v>
      </c>
      <c r="N9" s="436" t="str">
        <f>IF(ISERROR($K$3),"--",(IF($K$3=3,"--","A4")))</f>
        <v>A4</v>
      </c>
      <c r="O9" s="278" t="str">
        <f>IF(ISERROR($K$3),"--",(IF($K$3&gt;6,"--","A5")))</f>
        <v>A5</v>
      </c>
      <c r="P9" s="372" t="s">
        <v>214</v>
      </c>
      <c r="Q9" s="276" t="s">
        <v>214</v>
      </c>
      <c r="R9" s="276" t="str">
        <f>IF(OR(R7="--",MID(R8,1,1)="B"),"--",CONCATENATE(RIGHT(R7,1),"1"))</f>
        <v>--</v>
      </c>
      <c r="S9" s="277" t="str">
        <f>IF(OR(R7="--",MID(R8,3,1)="B"),"--",CONCATENATE(RIGHT(R7,1),"2"))</f>
        <v>--</v>
      </c>
      <c r="T9" s="277" t="str">
        <f>IF(OR(R7="--",MID(R8,5,1)="B"),"--",CONCATENATE(RIGHT(R7,1),"3"))</f>
        <v>--</v>
      </c>
      <c r="U9" s="278" t="str">
        <f>IF(OR(R7="--",MID(R8,7,1)="B"),"--",CONCATENATE(RIGHT(R7,1),"4"))</f>
        <v>--</v>
      </c>
      <c r="V9" s="276" t="str">
        <f>IF(OR(V7="--",MID(V8,1,1)="B"),"--",CONCATENATE(RIGHT(V7,1),"1"))</f>
        <v>--</v>
      </c>
      <c r="W9" s="277" t="str">
        <f>IF(OR(V7="--",MID(V8,3,1)="B"),"--",CONCATENATE(RIGHT(V7,1),"2"))</f>
        <v>--</v>
      </c>
      <c r="X9" s="277" t="str">
        <f>IF(OR(V7="--",MID(V8,5,1)="B"),"--",CONCATENATE(RIGHT(V7,1),"3"))</f>
        <v>--</v>
      </c>
      <c r="Y9" s="278" t="str">
        <f>IF(AND(RIGHT(V7,1)="C",RIGHT(V8,1)="3"),"C4",IF(AND(RIGHT(V7,1)="B",RIGHT(V8,1)="3"),"B4","--"))</f>
        <v>--</v>
      </c>
      <c r="Z9" s="95" t="s">
        <v>90</v>
      </c>
      <c r="AA9" s="95" t="s">
        <v>162</v>
      </c>
      <c r="AB9" s="95" t="s">
        <v>163</v>
      </c>
      <c r="AC9" s="96" t="s">
        <v>154</v>
      </c>
      <c r="AD9" s="97" t="s">
        <v>153</v>
      </c>
      <c r="AE9" s="98" t="s">
        <v>156</v>
      </c>
      <c r="AF9" s="99"/>
    </row>
    <row r="10" spans="1:32" s="100" customFormat="1" ht="10.15" customHeight="1">
      <c r="A10" s="157"/>
      <c r="B10" s="254"/>
      <c r="C10" s="254"/>
      <c r="D10" s="254"/>
      <c r="E10" s="254"/>
      <c r="F10" s="771" t="s">
        <v>280</v>
      </c>
      <c r="G10" s="772"/>
      <c r="H10" s="772"/>
      <c r="I10" s="773"/>
      <c r="J10" s="804" t="s">
        <v>201</v>
      </c>
      <c r="K10" s="362" t="str">
        <f>IF(ISERROR(VLOOKUP(CONCATENATE(K$9,"-H"),'Supply Attribution'!$O$5:$S$11,4,FALSE)),"--",VLOOKUP(CONCATENATE(K$9,"-H"),'Supply Attribution'!$O$5:$S$11,4,FALSE))</f>
        <v>K1-P (P30,P31)</v>
      </c>
      <c r="L10" s="363" t="str">
        <f>IF(ISERROR(VLOOKUP(CONCATENATE(L$9,"-H"),'Supply Attribution'!$O$5:$S$11,4,FALSE)),"--",VLOOKUP(CONCATENATE(L$9,"-H"),'Supply Attribution'!$O$5:$S$11,4,FALSE))</f>
        <v>K3-P</v>
      </c>
      <c r="M10" s="378" t="str">
        <f>IF(ISERROR(VLOOKUP(CONCATENATE(M$9,"-H"),'Supply Attribution'!$O$5:$S$11,4,FALSE)),"--",VLOOKUP(CONCATENATE(M$9,"-H"),'Supply Attribution'!$O$5:$S$11,4,FALSE))</f>
        <v>K4-P</v>
      </c>
      <c r="N10" s="362" t="str">
        <f>IF(ISERROR(VLOOKUP(CONCATENATE(N$9,"-H"),'Supply Attribution'!$O$5:$S$11,4,FALSE)),"--",VLOOKUP(CONCATENATE(N$9,"-H"),'Supply Attribution'!$O$5:$S$11,4,FALSE))</f>
        <v>K6-P</v>
      </c>
      <c r="O10" s="378" t="str">
        <f>IF(ISERROR(VLOOKUP(CONCATENATE(O$9,"-H"),'Supply Attribution'!$O$5:$S$11,4,FALSE)),"--",VLOOKUP(CONCATENATE(O$9,"-H"),'Supply Attribution'!$O$5:$S$11,4,FALSE))</f>
        <v>(P49,P50)</v>
      </c>
      <c r="P10" s="373" t="str">
        <f>IF(ISERROR(VLOOKUP(CONCATENATE(P$9,"-H"),'Supply Attribution'!$O$5:$S$11,4,FALSE)),"--",VLOOKUP(CONCATENATE(P$9,"-H"),'Supply Attribution'!$O$5:$S$11,4,FALSE))</f>
        <v>--</v>
      </c>
      <c r="Q10" s="373" t="str">
        <f>IF(ISERROR(VLOOKUP(CONCATENATE(Q$9,"-H"),'Supply Attribution'!$O$5:$S$11,4,FALSE)),"--",VLOOKUP(CONCATENATE(Q$9,"-H"),'Supply Attribution'!$O$5:$S$11,4,FALSE))</f>
        <v>--</v>
      </c>
      <c r="R10" s="362" t="str">
        <f>IF(ISERROR(VLOOKUP(CONCATENATE(R$9,"-H"),'Supply Attribution'!$V$5:$Z$12,4,FALSE)),"--",VLOOKUP(CONCATENATE(R$9,"-H"),'Supply Attribution'!$V$5:$Z$12,4,FALSE))</f>
        <v>--</v>
      </c>
      <c r="S10" s="363" t="str">
        <f>IF(ISERROR(VLOOKUP(CONCATENATE(S$9,"-H"),'Supply Attribution'!$V$5:$Z$12,4,FALSE)),"--",VLOOKUP(CONCATENATE(S$9,"-H"),'Supply Attribution'!$V$5:$Z$12,4,FALSE))</f>
        <v>--</v>
      </c>
      <c r="T10" s="363" t="str">
        <f>IF(ISERROR(VLOOKUP(CONCATENATE(T$9,"-H"),'Supply Attribution'!$V$5:$Z$12,4,FALSE)),"--",VLOOKUP(CONCATENATE(T$9,"-H"),'Supply Attribution'!$V$5:$Z$12,4,FALSE))</f>
        <v>--</v>
      </c>
      <c r="U10" s="378" t="str">
        <f>IF(ISERROR(VLOOKUP(CONCATENATE(U$9,"-H"),'Supply Attribution'!$V$5:$Z$12,4,FALSE)),"--",VLOOKUP(CONCATENATE(U$9,"-H"),'Supply Attribution'!$V$5:$Z$12,4,FALSE))</f>
        <v>--</v>
      </c>
      <c r="V10" s="362" t="str">
        <f>IF(ISERROR(VLOOKUP(CONCATENATE(V$9,"-H"),'Supply Attribution'!$V$5:$Z$12,4,FALSE)),"--",VLOOKUP(CONCATENATE(V$9,"-H"),'Supply Attribution'!$V$5:$Z$12,4,FALSE))</f>
        <v>--</v>
      </c>
      <c r="W10" s="363" t="str">
        <f>IF(ISERROR(VLOOKUP(CONCATENATE(W$9,"-H"),'Supply Attribution'!$V$5:$Z$12,4,FALSE)),"--",VLOOKUP(CONCATENATE(W$9,"-H"),'Supply Attribution'!$V$5:$Z$12,4,FALSE))</f>
        <v>--</v>
      </c>
      <c r="X10" s="363" t="str">
        <f>IF(ISERROR(VLOOKUP(CONCATENATE(X$9,"-H"),'Supply Attribution'!$V$5:$Z$12,4,FALSE)),"--",VLOOKUP(CONCATENATE(X$9,"-H"),'Supply Attribution'!$V$5:$Z$12,4,FALSE))</f>
        <v>--</v>
      </c>
      <c r="Y10" s="378" t="str">
        <f>IF(ISERROR(VLOOKUP(CONCATENATE(Y$9,"-H"),'Supply Attribution'!$V$5:$Z$12,4,FALSE)),"--",VLOOKUP(CONCATENATE(Y$9,"-H"),'Supply Attribution'!$V$5:$Z$12,4,FALSE))</f>
        <v>--</v>
      </c>
      <c r="Z10" s="101"/>
      <c r="AA10" s="101"/>
      <c r="AB10" s="101"/>
      <c r="AC10" s="101"/>
      <c r="AD10" s="102"/>
      <c r="AE10" s="801" t="s">
        <v>34</v>
      </c>
      <c r="AF10" s="99"/>
    </row>
    <row r="11" spans="1:32" s="100" customFormat="1" ht="10.15" customHeight="1" thickBot="1">
      <c r="A11" s="157"/>
      <c r="B11" s="157"/>
      <c r="C11" s="157"/>
      <c r="D11" s="157"/>
      <c r="E11" s="254"/>
      <c r="F11" s="774" t="s">
        <v>289</v>
      </c>
      <c r="G11" s="775"/>
      <c r="H11" s="775"/>
      <c r="I11" s="776"/>
      <c r="J11" s="804"/>
      <c r="K11" s="364" t="str">
        <f>IF(K10="--","--",IF(ISNA(VLOOKUP(K10,'Supply Attribution'!$B$4:$G$20,5,FALSE)),"Not Installed",VLOOKUP(K10,'Supply Attribution'!$B$4:$G$20,5,FALSE)))</f>
        <v>OUT 4</v>
      </c>
      <c r="L11" s="365" t="str">
        <f>IF(L10="--","--",IF(ISNA(VLOOKUP(L10,'Supply Attribution'!$B$4:$G$20,5,FALSE)),"Not Installed",VLOOKUP(L10,'Supply Attribution'!$B$4:$G$20,5,FALSE)))</f>
        <v>OUT 1</v>
      </c>
      <c r="M11" s="379" t="str">
        <f>IF(M10="--","--",IF(ISNA(VLOOKUP(M10,'Supply Attribution'!$B$4:$G$20,5,FALSE)),"Not Installed",VLOOKUP(M10,'Supply Attribution'!$B$4:$G$20,5,FALSE)))</f>
        <v>OUT 2</v>
      </c>
      <c r="N11" s="364" t="str">
        <f>IF(N10="--","--",IF(ISNA(VLOOKUP(N10,'Supply Attribution'!$B$4:$G$20,5,FALSE)),"Not Installed",VLOOKUP(N10,'Supply Attribution'!$B$4:$G$20,5,FALSE)))</f>
        <v>OUT 3</v>
      </c>
      <c r="O11" s="379" t="str">
        <f>IF(O10="--","--",IF(ISNA(VLOOKUP(O10,'Supply Attribution'!$B$4:$G$20,5,FALSE)),"Not Installed",VLOOKUP(O10,'Supply Attribution'!$B$4:$G$20,5,FALSE)))</f>
        <v>DIRECT</v>
      </c>
      <c r="P11" s="716" t="str">
        <f>IF(P10="--","--",IF(ISNA(VLOOKUP(P10,'Supply Attribution'!$B$4:$G$20,5,FALSE)),"Not Installed",VLOOKUP(P10,'Supply Attribution'!$B$4:$G$20,5,FALSE)))</f>
        <v>--</v>
      </c>
      <c r="Q11" s="374" t="str">
        <f>IF(Q10="--","--",IF(ISNA(VLOOKUP(Q10,'Supply Attribution'!$B$4:$G$20,5,FALSE)),"Not Installed",VLOOKUP(Q10,'Supply Attribution'!$B$4:$G$20,5,FALSE)))</f>
        <v>--</v>
      </c>
      <c r="R11" s="364" t="str">
        <f>IF(R10="--","--",IF(ISNA(VLOOKUP(R10,'Supply Attribution'!$B$4:$G$20,5,FALSE)),"Not Installed",VLOOKUP(R10,'Supply Attribution'!$B$4:$G$20,5,FALSE)))</f>
        <v>--</v>
      </c>
      <c r="S11" s="365" t="str">
        <f>IF(S10="--","--",IF(ISNA(VLOOKUP(S10,'Supply Attribution'!$B$4:$G$20,5,FALSE)),"Not Installed",VLOOKUP(S10,'Supply Attribution'!$B$4:$G$20,5,FALSE)))</f>
        <v>--</v>
      </c>
      <c r="T11" s="365" t="str">
        <f>IF(T10="--","--",IF(ISNA(VLOOKUP(T10,'Supply Attribution'!$B$4:$G$20,5,FALSE)),"Not Installed",VLOOKUP(T10,'Supply Attribution'!$B$4:$G$20,5,FALSE)))</f>
        <v>--</v>
      </c>
      <c r="U11" s="379" t="str">
        <f>IF(U10="--","--",IF(ISNA(VLOOKUP(U10,'Supply Attribution'!$B$4:$G$20,5,FALSE)),"Not Installed",VLOOKUP(U10,'Supply Attribution'!$B$4:$G$20,5,FALSE)))</f>
        <v>--</v>
      </c>
      <c r="V11" s="364" t="str">
        <f>IF(V10="--","--",IF(ISNA(VLOOKUP(V10,'Supply Attribution'!$B$4:$G$20,5,FALSE)),"Not Installed",VLOOKUP(V10,'Supply Attribution'!$B$4:$G$20,5,FALSE)))</f>
        <v>--</v>
      </c>
      <c r="W11" s="365" t="str">
        <f>IF(W10="--","--",IF(ISNA(VLOOKUP(W10,'Supply Attribution'!$B$4:$G$20,5,FALSE)),"Not Installed",VLOOKUP(W10,'Supply Attribution'!$B$4:$G$20,5,FALSE)))</f>
        <v>--</v>
      </c>
      <c r="X11" s="365" t="str">
        <f>IF(X10="--","--",IF(ISNA(VLOOKUP(X10,'Supply Attribution'!$B$4:$G$20,5,FALSE)),"Not Installed",VLOOKUP(X10,'Supply Attribution'!$B$4:$G$20,5,FALSE)))</f>
        <v>--</v>
      </c>
      <c r="Y11" s="379" t="str">
        <f>IF(Y10="--","--",IF(ISNA(VLOOKUP(Y10,'Supply Attribution'!$B$4:$G$20,5,FALSE)),"Not Installed",VLOOKUP(Y10,'Supply Attribution'!$B$4:$G$20,5,FALSE)))</f>
        <v>--</v>
      </c>
      <c r="Z11" s="101"/>
      <c r="AA11" s="101"/>
      <c r="AB11" s="101"/>
      <c r="AC11" s="101"/>
      <c r="AD11" s="102"/>
      <c r="AE11" s="802"/>
      <c r="AF11" s="99"/>
    </row>
    <row r="12" spans="1:32" s="100" customFormat="1" ht="10.15" customHeight="1">
      <c r="A12" s="253"/>
      <c r="B12" s="254"/>
      <c r="C12" s="254"/>
      <c r="D12" s="254"/>
      <c r="E12" s="254"/>
      <c r="F12" s="757" t="s">
        <v>222</v>
      </c>
      <c r="G12" s="758"/>
      <c r="H12" s="758"/>
      <c r="I12" s="759"/>
      <c r="J12" s="805" t="s">
        <v>202</v>
      </c>
      <c r="K12" s="362" t="str">
        <f>IF(ISERROR(VLOOKUP(CONCATENATE(K$9,"-L"),'Supply Attribution'!$P$5:$S$11,3,FALSE)),"--",VLOOKUP(CONCATENATE(K$9,"-L"),'Supply Attribution'!$P$5:$S$11,3,FALSE))</f>
        <v>--</v>
      </c>
      <c r="L12" s="363" t="str">
        <f>IF(ISERROR(VLOOKUP(CONCATENATE(L$9,"-L"),'Supply Attribution'!$P$5:$S$11,3,FALSE)),"--",VLOOKUP(CONCATENATE(L$9,"-L"),'Supply Attribution'!$P$5:$S$11,3,FALSE))</f>
        <v>K6-P</v>
      </c>
      <c r="M12" s="378" t="str">
        <f>IF(ISERROR(VLOOKUP(CONCATENATE(M$9,"-L"),'Supply Attribution'!$P$5:$S$11,3,FALSE)),"--",VLOOKUP(CONCATENATE(M$9,"-L"),'Supply Attribution'!$P$5:$S$11,3,FALSE))</f>
        <v>K2-P (P46,P47)</v>
      </c>
      <c r="N12" s="362" t="str">
        <f>IF(ISERROR(VLOOKUP(CONCATENATE(N$9,"-L"),'Supply Attribution'!$P$5:$S$11,3,FALSE)),"--",VLOOKUP(CONCATENATE(N$9,"-L"),'Supply Attribution'!$P$5:$S$11,3,FALSE))</f>
        <v>--</v>
      </c>
      <c r="O12" s="378" t="str">
        <f>IF(ISERROR(VLOOKUP(CONCATENATE(O$9,"-L"),'Supply Attribution'!$P$5:$S$11,3,FALSE)),"--",VLOOKUP(CONCATENATE(O$9,"-L"),'Supply Attribution'!$P$5:$S$11,3,FALSE))</f>
        <v>--</v>
      </c>
      <c r="P12" s="373" t="str">
        <f>IF(ISERROR(VLOOKUP(CONCATENATE(P$9,"-L"),'Supply Attribution'!$P$5:$S$11,3,FALSE)),"--",VLOOKUP(CONCATENATE(P$9,"-L"),'Supply Attribution'!$P$5:$S$11,3,FALSE))</f>
        <v>--</v>
      </c>
      <c r="Q12" s="373" t="str">
        <f>IF(ISERROR(VLOOKUP(CONCATENATE(Q$9,"-L"),'Supply Attribution'!$P$5:$S$11,3,FALSE)),"--",VLOOKUP(CONCATENATE(Q$9,"-L"),'Supply Attribution'!$P$5:$S$11,3,FALSE))</f>
        <v>--</v>
      </c>
      <c r="R12" s="362" t="str">
        <f>IF(ISERROR(VLOOKUP(CONCATENATE(R$9,"-L"),'Supply Attribution'!$W$5:$Z$12,3,FALSE)),"--",VLOOKUP(CONCATENATE(R$9,"-L"),'Supply Attribution'!$W$5:$Z$12,3,FALSE))</f>
        <v>--</v>
      </c>
      <c r="S12" s="363" t="str">
        <f>IF(ISERROR(VLOOKUP(CONCATENATE(S$9,"-L"),'Supply Attribution'!$W$5:$Z$12,3,FALSE)),"--",VLOOKUP(CONCATENATE(S$9,"-L"),'Supply Attribution'!$W$5:$Z$12,3,FALSE))</f>
        <v>--</v>
      </c>
      <c r="T12" s="363" t="str">
        <f>IF(ISERROR(VLOOKUP(CONCATENATE(T$9,"-L"),'Supply Attribution'!$W$5:$Z$12,3,FALSE)),"--",VLOOKUP(CONCATENATE(T$9,"-L"),'Supply Attribution'!$W$5:$Z$12,3,FALSE))</f>
        <v>--</v>
      </c>
      <c r="U12" s="378" t="str">
        <f>IF(ISERROR(VLOOKUP(CONCATENATE(U$9,"-L"),'Supply Attribution'!$W$5:$Z$12,3,FALSE)),"--",VLOOKUP(CONCATENATE(U$9,"-L"),'Supply Attribution'!$W$5:$Z$12,3,FALSE))</f>
        <v>--</v>
      </c>
      <c r="V12" s="362" t="str">
        <f>IF(ISERROR(VLOOKUP(CONCATENATE(V$9,"-L"),'Supply Attribution'!$W$5:$Z$12,3,FALSE)),"--",VLOOKUP(CONCATENATE(V$9,"-L"),'Supply Attribution'!$W$5:$Z$12,3,FALSE))</f>
        <v>--</v>
      </c>
      <c r="W12" s="363" t="str">
        <f>IF(ISERROR(VLOOKUP(CONCATENATE(W$9,"-L"),'Supply Attribution'!$W$5:$Z$12,3,FALSE)),"--",VLOOKUP(CONCATENATE(W$9,"-L"),'Supply Attribution'!$W$5:$Z$12,3,FALSE))</f>
        <v>--</v>
      </c>
      <c r="X12" s="363" t="str">
        <f>IF(ISERROR(VLOOKUP(CONCATENATE(X$9,"-L"),'Supply Attribution'!$W$5:$Z$12,3,FALSE)),"--",VLOOKUP(CONCATENATE(X$9,"-L"),'Supply Attribution'!$W$5:$Z$12,3,FALSE))</f>
        <v>--</v>
      </c>
      <c r="Y12" s="378" t="str">
        <f>IF(ISERROR(VLOOKUP(CONCATENATE(Y$9,"-L"),'Supply Attribution'!$W$5:$Z$12,3,FALSE)),"--",VLOOKUP(CONCATENATE(Y$9,"-L"),'Supply Attribution'!$W$5:$Z$12,3,FALSE))</f>
        <v>--</v>
      </c>
      <c r="Z12" s="101"/>
      <c r="AA12" s="101"/>
      <c r="AB12" s="101"/>
      <c r="AC12" s="103"/>
      <c r="AD12" s="102"/>
      <c r="AE12" s="803" t="s">
        <v>35</v>
      </c>
      <c r="AF12" s="99"/>
    </row>
    <row r="13" spans="1:32" s="100" customFormat="1" ht="10.15" customHeight="1" thickBot="1">
      <c r="A13" s="273"/>
      <c r="B13" s="157"/>
      <c r="C13" s="157"/>
      <c r="D13" s="157"/>
      <c r="E13" s="157"/>
      <c r="F13" s="760" t="s">
        <v>221</v>
      </c>
      <c r="G13" s="761"/>
      <c r="H13" s="761"/>
      <c r="I13" s="762"/>
      <c r="J13" s="806"/>
      <c r="K13" s="279" t="str">
        <f>IF(K12="--","--",IF(ISNA(VLOOKUP(K12,'Supply Attribution'!$B$4:$G$20,5,FALSE)),"Not Installed",VLOOKUP(K12,'Supply Attribution'!$B$4:$G$20,5,FALSE)))</f>
        <v>--</v>
      </c>
      <c r="L13" s="280" t="str">
        <f>IF(L12="--","--",IF(ISNA(VLOOKUP(L12,'Supply Attribution'!$B$4:$G$20,5,FALSE)),"Not Installed",VLOOKUP(L12,'Supply Attribution'!$B$4:$G$20,5,FALSE)))</f>
        <v>OUT 3</v>
      </c>
      <c r="M13" s="281" t="str">
        <f>IF(M12="--","--",IF(ISNA(VLOOKUP(M12,'Supply Attribution'!$B$4:$G$20,5,FALSE)),"Not Installed",VLOOKUP(M12,'Supply Attribution'!$B$4:$G$20,5,FALSE)))</f>
        <v>OUT 5</v>
      </c>
      <c r="N13" s="279" t="str">
        <f>IF(N12="--","--",IF(ISNA(VLOOKUP(N12,'Supply Attribution'!$B$4:$G$20,5,FALSE)),"Not Installed",VLOOKUP(N12,'Supply Attribution'!$B$4:$G$20,5,FALSE)))</f>
        <v>--</v>
      </c>
      <c r="O13" s="281" t="str">
        <f>IF(O12="--","--",IF(ISNA(VLOOKUP(O12,'Supply Attribution'!$B$4:$G$20,5,FALSE)),"Not Installed",VLOOKUP(O12,'Supply Attribution'!$B$4:$G$20,5,FALSE)))</f>
        <v>--</v>
      </c>
      <c r="P13" s="720" t="str">
        <f>IF(P12="--","--",IF(ISNA(VLOOKUP(P12,'Supply Attribution'!$B$4:$G$20,5,FALSE)),"Not Installed",VLOOKUP(P12,'Supply Attribution'!$B$4:$G$20,5,FALSE)))</f>
        <v>--</v>
      </c>
      <c r="Q13" s="720" t="str">
        <f>IF(Q12="--","--",IF(ISNA(VLOOKUP(Q12,'Supply Attribution'!$B$4:$G$20,5,FALSE)),"Not Installed",VLOOKUP(Q12,'Supply Attribution'!$B$4:$G$20,5,FALSE)))</f>
        <v>--</v>
      </c>
      <c r="R13" s="279" t="str">
        <f>IF(R12="--","--",IF(ISNA(VLOOKUP(R12,'Supply Attribution'!$B$4:$G$20,5,FALSE)),"Not Installed",VLOOKUP(R12,'Supply Attribution'!$B$4:$G$20,5,FALSE)))</f>
        <v>--</v>
      </c>
      <c r="S13" s="280" t="str">
        <f>IF(S12="--","--",IF(ISNA(VLOOKUP(S12,'Supply Attribution'!$B$4:$G$20,5,FALSE)),"Not Installed",VLOOKUP(S12,'Supply Attribution'!$B$4:$G$20,5,FALSE)))</f>
        <v>--</v>
      </c>
      <c r="T13" s="280" t="str">
        <f>IF(T12="--","--",IF(ISNA(VLOOKUP(T12,'Supply Attribution'!$B$4:$G$20,5,FALSE)),"Not Installed",VLOOKUP(T12,'Supply Attribution'!$B$4:$G$20,5,FALSE)))</f>
        <v>--</v>
      </c>
      <c r="U13" s="281" t="str">
        <f>IF(U12="--","--",IF(ISNA(VLOOKUP(U12,'Supply Attribution'!$B$4:$G$20,5,FALSE)),"Not Installed",VLOOKUP(U12,'Supply Attribution'!$B$4:$G$20,5,FALSE)))</f>
        <v>--</v>
      </c>
      <c r="V13" s="279" t="str">
        <f>IF(V12="--","--",IF(ISNA(VLOOKUP(V12,'Supply Attribution'!$B$4:$G$20,5,FALSE)),"Not Installed",VLOOKUP(V12,'Supply Attribution'!$B$4:$G$20,5,FALSE)))</f>
        <v>--</v>
      </c>
      <c r="W13" s="280" t="str">
        <f>IF(W12="--","--",IF(ISNA(VLOOKUP(W12,'Supply Attribution'!$B$4:$G$20,5,FALSE)),"Not Installed",VLOOKUP(W12,'Supply Attribution'!$B$4:$G$20,5,FALSE)))</f>
        <v>--</v>
      </c>
      <c r="X13" s="280" t="str">
        <f>IF(X12="--","--",IF(ISNA(VLOOKUP(X12,'Supply Attribution'!$B$4:$G$20,5,FALSE)),"Not Installed",VLOOKUP(X12,'Supply Attribution'!$B$4:$G$20,5,FALSE)))</f>
        <v>--</v>
      </c>
      <c r="Y13" s="281" t="str">
        <f>IF(Y12="--","--",IF(ISNA(VLOOKUP(Y12,'Supply Attribution'!$B$4:$G$20,5,FALSE)),"Not Installed",VLOOKUP(Y12,'Supply Attribution'!$B$4:$G$20,5,FALSE)))</f>
        <v>--</v>
      </c>
      <c r="Z13" s="104"/>
      <c r="AA13" s="104"/>
      <c r="AB13" s="104"/>
      <c r="AC13" s="104"/>
      <c r="AD13" s="105"/>
      <c r="AE13" s="802"/>
      <c r="AF13" s="99"/>
    </row>
    <row r="14" spans="1:32" ht="15.75">
      <c r="A14" s="115"/>
      <c r="B14" s="116"/>
      <c r="C14" s="116"/>
      <c r="D14" s="116"/>
      <c r="E14" s="116"/>
      <c r="F14" s="116"/>
      <c r="G14" s="116"/>
      <c r="H14" s="116"/>
      <c r="I14" s="116"/>
      <c r="J14" s="111" t="s">
        <v>195</v>
      </c>
      <c r="K14" s="282" t="str">
        <f>IF(ISERROR(VLOOKUP(K10,'Supply Attribution'!$B$4:$G$20,6,FALSE)),"--",VLOOKUP(K10,'Supply Attribution'!$B$4:$G$20,6,FALSE))</f>
        <v>F2</v>
      </c>
      <c r="L14" s="283" t="str">
        <f>IF(ISERROR(VLOOKUP(L10,'Supply Attribution'!$B$4:$G$20,6,FALSE)),"--",VLOOKUP(L10,'Supply Attribution'!$B$4:$G$20,6,FALSE))</f>
        <v>F3</v>
      </c>
      <c r="M14" s="284" t="str">
        <f>IF(ISERROR(VLOOKUP(M10,'Supply Attribution'!$B$4:$G$20,6,FALSE)),"--",VLOOKUP(M10,'Supply Attribution'!$B$4:$G$20,6,FALSE))</f>
        <v>F1</v>
      </c>
      <c r="N14" s="282" t="str">
        <f>IF(ISERROR(VLOOKUP(N10,'Supply Attribution'!$B$4:$G$20,6,FALSE)),"--",VLOOKUP(N10,'Supply Attribution'!$B$4:$G$20,6,FALSE))</f>
        <v>F3</v>
      </c>
      <c r="O14" s="284" t="str">
        <f>IF(ISERROR(VLOOKUP(O10,'Supply Attribution'!$B$4:$G$20,6,FALSE)),"--",VLOOKUP(O10,'Supply Attribution'!$B$4:$G$20,6,FALSE))</f>
        <v>F1</v>
      </c>
      <c r="P14" s="717" t="str">
        <f>IF(ISERROR(VLOOKUP(P10,'Supply Attribution'!$B$4:$G$20,6,FALSE)),"--",VLOOKUP(P10,'Supply Attribution'!$B$4:$G$20,6,FALSE))</f>
        <v>--</v>
      </c>
      <c r="Q14" s="375" t="str">
        <f>IF(ISERROR(VLOOKUP(Q10,'Supply Attribution'!$B$4:$G$20,6,FALSE)),"--",VLOOKUP(Q10,'Supply Attribution'!$B$4:$G$20,6,FALSE))</f>
        <v>--</v>
      </c>
      <c r="R14" s="282" t="str">
        <f>IF(ISERROR(VLOOKUP(R10,'Supply Attribution'!$B$4:$G$20,6,FALSE)),"--",VLOOKUP(R10,'Supply Attribution'!$B$4:$G$20,6,FALSE))</f>
        <v>--</v>
      </c>
      <c r="S14" s="283" t="str">
        <f>IF(ISERROR(VLOOKUP(S10,'Supply Attribution'!$B$4:$G$20,6,FALSE)),"--",VLOOKUP(S10,'Supply Attribution'!$B$4:$G$20,6,FALSE))</f>
        <v>--</v>
      </c>
      <c r="T14" s="283" t="str">
        <f>IF(ISERROR(VLOOKUP(T10,'Supply Attribution'!$B$4:$G$20,6,FALSE)),"--",VLOOKUP(T10,'Supply Attribution'!$B$4:$G$20,6,FALSE))</f>
        <v>--</v>
      </c>
      <c r="U14" s="284" t="str">
        <f>IF(ISERROR(VLOOKUP(U10,'Supply Attribution'!$B$4:$G$20,6,FALSE)),"--",VLOOKUP(U10,'Supply Attribution'!$B$4:$G$20,6,FALSE))</f>
        <v>--</v>
      </c>
      <c r="V14" s="282" t="str">
        <f>IF(ISERROR(VLOOKUP(V10,'Supply Attribution'!$B$4:$G$20,6,FALSE)),"--",VLOOKUP(V10,'Supply Attribution'!$B$4:$G$20,6,FALSE))</f>
        <v>--</v>
      </c>
      <c r="W14" s="283" t="str">
        <f>IF(ISERROR(VLOOKUP(W10,'Supply Attribution'!$B$4:$G$20,6,FALSE)),"--",VLOOKUP(W10,'Supply Attribution'!$B$4:$G$20,6,FALSE))</f>
        <v>--</v>
      </c>
      <c r="X14" s="283" t="str">
        <f>IF(ISERROR(VLOOKUP(X10,'Supply Attribution'!$B$4:$G$20,6,FALSE)),"--",VLOOKUP(X10,'Supply Attribution'!$B$4:$G$20,6,FALSE))</f>
        <v>--</v>
      </c>
      <c r="Y14" s="284" t="str">
        <f>IF(ISERROR(VLOOKUP(Y10,'Supply Attribution'!$B$4:$G$20,6,FALSE)),"--",VLOOKUP(Y10,'Supply Attribution'!$B$4:$G$20,6,FALSE))</f>
        <v>--</v>
      </c>
      <c r="Z14" s="106"/>
      <c r="AA14" s="106"/>
      <c r="AB14" s="106"/>
      <c r="AC14" s="107"/>
      <c r="AD14" s="107"/>
      <c r="AE14" s="108" t="s">
        <v>103</v>
      </c>
      <c r="AF14" s="78"/>
    </row>
    <row r="15" spans="1:32" ht="15.95" customHeight="1" thickBot="1">
      <c r="A15" s="115"/>
      <c r="B15" s="116"/>
      <c r="C15" s="116"/>
      <c r="D15" s="116"/>
      <c r="E15" s="116"/>
      <c r="F15" s="116"/>
      <c r="G15" s="116"/>
      <c r="H15" s="116"/>
      <c r="I15" s="116"/>
      <c r="J15" s="285" t="s">
        <v>196</v>
      </c>
      <c r="K15" s="286" t="str">
        <f>IF(ISERROR(VLOOKUP(K12,'Supply Attribution'!$B$4:$G$20,6,FALSE)),"--",VLOOKUP(K12,'Supply Attribution'!$B$4:$G$20,6,FALSE))</f>
        <v>--</v>
      </c>
      <c r="L15" s="287" t="str">
        <f>IF(ISERROR(VLOOKUP(L12,'Supply Attribution'!$B$4:$G$20,6,FALSE)),"--",VLOOKUP(L12,'Supply Attribution'!$B$4:$G$20,6,FALSE))</f>
        <v>F3</v>
      </c>
      <c r="M15" s="288" t="str">
        <f>IF(ISERROR(VLOOKUP(M12,'Supply Attribution'!$B$4:$G$20,6,FALSE)),"--",VLOOKUP(M12,'Supply Attribution'!$B$4:$G$20,6,FALSE))</f>
        <v>F2</v>
      </c>
      <c r="N15" s="286" t="str">
        <f>IF(ISERROR(VLOOKUP(N12,'Supply Attribution'!$B$4:$G$20,6,FALSE)),"--",VLOOKUP(N12,'Supply Attribution'!$B$4:$G$20,6,FALSE))</f>
        <v>--</v>
      </c>
      <c r="O15" s="288" t="str">
        <f>IF(ISERROR(VLOOKUP(O12,'Supply Attribution'!$B$4:$G$20,6,FALSE)),"--",VLOOKUP(O12,'Supply Attribution'!$B$4:$G$20,6,FALSE))</f>
        <v>--</v>
      </c>
      <c r="P15" s="721" t="str">
        <f>IF(ISERROR(VLOOKUP(P12,'Supply Attribution'!$B$4:$G$20,6,FALSE)),"--",VLOOKUP(P12,'Supply Attribution'!$B$4:$G$20,6,FALSE))</f>
        <v>--</v>
      </c>
      <c r="Q15" s="721" t="str">
        <f>IF(ISERROR(VLOOKUP(Q12,'Supply Attribution'!$B$4:$G$20,6,FALSE)),"--",VLOOKUP(Q12,'Supply Attribution'!$B$4:$G$20,6,FALSE))</f>
        <v>--</v>
      </c>
      <c r="R15" s="286" t="str">
        <f>IF(ISERROR(VLOOKUP(R12,'Supply Attribution'!$B$4:$G$20,6,FALSE)),"--",VLOOKUP(R12,'Supply Attribution'!$B$4:$G$20,6,FALSE))</f>
        <v>--</v>
      </c>
      <c r="S15" s="287" t="str">
        <f>IF(ISERROR(VLOOKUP(S12,'Supply Attribution'!$B$4:$G$20,6,FALSE)),"--",VLOOKUP(S12,'Supply Attribution'!$B$4:$G$20,6,FALSE))</f>
        <v>--</v>
      </c>
      <c r="T15" s="287" t="str">
        <f>IF(ISERROR(VLOOKUP(T12,'Supply Attribution'!$B$4:$G$20,6,FALSE)),"--",VLOOKUP(T12,'Supply Attribution'!$B$4:$G$20,6,FALSE))</f>
        <v>--</v>
      </c>
      <c r="U15" s="288" t="str">
        <f>IF(ISERROR(VLOOKUP(U12,'Supply Attribution'!$B$4:$G$20,6,FALSE)),"--",VLOOKUP(U12,'Supply Attribution'!$B$4:$G$20,6,FALSE))</f>
        <v>--</v>
      </c>
      <c r="V15" s="286" t="str">
        <f>IF(ISERROR(VLOOKUP(V12,'Supply Attribution'!$B$4:$G$20,6,FALSE)),"--",VLOOKUP(V12,'Supply Attribution'!$B$4:$G$20,6,FALSE))</f>
        <v>--</v>
      </c>
      <c r="W15" s="287" t="str">
        <f>IF(ISERROR(VLOOKUP(W12,'Supply Attribution'!$B$4:$G$20,6,FALSE)),"--",VLOOKUP(W12,'Supply Attribution'!$B$4:$G$20,6,FALSE))</f>
        <v>--</v>
      </c>
      <c r="X15" s="287" t="str">
        <f>IF(ISERROR(VLOOKUP(X12,'Supply Attribution'!$B$4:$G$20,6,FALSE)),"--",VLOOKUP(X12,'Supply Attribution'!$B$4:$G$20,6,FALSE))</f>
        <v>--</v>
      </c>
      <c r="Y15" s="288" t="str">
        <f>IF(ISERROR(VLOOKUP(Y12,'Supply Attribution'!$B$4:$G$20,6,FALSE)),"--",VLOOKUP(Y12,'Supply Attribution'!$B$4:$G$20,6,FALSE))</f>
        <v>--</v>
      </c>
      <c r="Z15" s="109"/>
      <c r="AA15" s="109"/>
      <c r="AB15" s="109"/>
      <c r="AC15" s="109"/>
      <c r="AD15" s="107"/>
      <c r="AE15" s="110"/>
      <c r="AF15" s="78"/>
    </row>
    <row r="16" spans="1:32" ht="15.75">
      <c r="A16" s="766" t="s">
        <v>281</v>
      </c>
      <c r="B16" s="767"/>
      <c r="C16" s="767"/>
      <c r="D16" s="767"/>
      <c r="E16" s="767"/>
      <c r="F16" s="767"/>
      <c r="G16" s="767"/>
      <c r="H16" s="767"/>
      <c r="I16" s="768"/>
      <c r="J16" s="111" t="s">
        <v>193</v>
      </c>
      <c r="K16" s="63" t="str">
        <f>IF(ISNA(VLOOKUP(CONCATENATE(K14,"Line"),'Supply Attribution'!$F$31:$G$37,2,FALSE)),"--",VLOOKUP(CONCATENATE(K14,"Line"),'Supply Attribution'!$F$31:$G$37,2,FALSE))</f>
        <v>Line1</v>
      </c>
      <c r="L16" s="64" t="str">
        <f>IF(ISNA(VLOOKUP(CONCATENATE(L14,"Line"),'Supply Attribution'!$F$31:$G$37,2,FALSE)),"--",VLOOKUP(CONCATENATE(L14,"Line"),'Supply Attribution'!$F$31:$G$37,2,FALSE))</f>
        <v>Line1</v>
      </c>
      <c r="M16" s="65" t="str">
        <f>IF(ISNA(VLOOKUP(CONCATENATE(M14,"Line"),'Supply Attribution'!$F$31:$G$37,2,FALSE)),"--",VLOOKUP(CONCATENATE(M14,"Line"),'Supply Attribution'!$F$31:$G$37,2,FALSE))</f>
        <v>Line1</v>
      </c>
      <c r="N16" s="63" t="str">
        <f>IF(ISNA(VLOOKUP(CONCATENATE(N14,"Line"),'Supply Attribution'!$F$31:$G$37,2,FALSE)),"--",VLOOKUP(CONCATENATE(N14,"Line"),'Supply Attribution'!$F$31:$G$37,2,FALSE))</f>
        <v>Line1</v>
      </c>
      <c r="O16" s="65" t="str">
        <f>IF(ISNA(VLOOKUP(CONCATENATE(O14,"Line"),'Supply Attribution'!$F$31:$G$37,2,FALSE)),"--",VLOOKUP(CONCATENATE(O14,"Line"),'Supply Attribution'!$F$31:$G$37,2,FALSE))</f>
        <v>Line1</v>
      </c>
      <c r="P16" s="718" t="str">
        <f>IF(ISNA(VLOOKUP(CONCATENATE(P14,"Line"),'Supply Attribution'!$F$31:$G$37,2,FALSE)),"--",VLOOKUP(CONCATENATE(P14,"Line"),'Supply Attribution'!$F$31:$G$37,2,FALSE))</f>
        <v>--</v>
      </c>
      <c r="Q16" s="63" t="str">
        <f>IF(ISNA(VLOOKUP(CONCATENATE(Q14,"Line"),'Supply Attribution'!$F$31:$G$37,2,FALSE)),"--",VLOOKUP(CONCATENATE(Q14,"Line"),'Supply Attribution'!$F$31:$G$37,2,FALSE))</f>
        <v>--</v>
      </c>
      <c r="R16" s="63" t="str">
        <f>IF(ISNA(VLOOKUP(CONCATENATE(R14,"Line"),'Supply Attribution'!$F$31:$G$37,2,FALSE)),"--",VLOOKUP(CONCATENATE(R14,"Line"),'Supply Attribution'!$F$31:$G$37,2,FALSE))</f>
        <v>--</v>
      </c>
      <c r="S16" s="64" t="str">
        <f>IF(ISNA(VLOOKUP(CONCATENATE(S14,"Line"),'Supply Attribution'!$F$31:$G$37,2,FALSE)),"--",VLOOKUP(CONCATENATE(S14,"Line"),'Supply Attribution'!$F$31:$G$37,2,FALSE))</f>
        <v>--</v>
      </c>
      <c r="T16" s="64" t="str">
        <f>IF(ISNA(VLOOKUP(CONCATENATE(T14,"Line"),'Supply Attribution'!$F$31:$G$37,2,FALSE)),"--",VLOOKUP(CONCATENATE(T14,"Line"),'Supply Attribution'!$F$31:$G$37,2,FALSE))</f>
        <v>--</v>
      </c>
      <c r="U16" s="65" t="str">
        <f>IF(ISNA(VLOOKUP(CONCATENATE(U14,"Line"),'Supply Attribution'!$F$31:$G$37,2,FALSE)),"--",VLOOKUP(CONCATENATE(U14,"Line"),'Supply Attribution'!$F$31:$G$37,2,FALSE))</f>
        <v>--</v>
      </c>
      <c r="V16" s="63" t="str">
        <f>IF(ISNA(VLOOKUP(CONCATENATE(V14,"Line"),'Supply Attribution'!$F$31:$G$37,2,FALSE)),"--",VLOOKUP(CONCATENATE(V14,"Line"),'Supply Attribution'!$F$31:$G$37,2,FALSE))</f>
        <v>--</v>
      </c>
      <c r="W16" s="64" t="str">
        <f>IF(ISNA(VLOOKUP(CONCATENATE(W14,"Line"),'Supply Attribution'!$F$31:$G$37,2,FALSE)),"--",VLOOKUP(CONCATENATE(W14,"Line"),'Supply Attribution'!$F$31:$G$37,2,FALSE))</f>
        <v>--</v>
      </c>
      <c r="X16" s="64" t="str">
        <f>IF(ISNA(VLOOKUP(CONCATENATE(X14,"Line"),'Supply Attribution'!$F$31:$G$37,2,FALSE)),"--",VLOOKUP(CONCATENATE(X14,"Line"),'Supply Attribution'!$F$31:$G$37,2,FALSE))</f>
        <v>--</v>
      </c>
      <c r="Y16" s="65" t="str">
        <f>IF(ISNA(VLOOKUP(CONCATENATE(Y14,"Line"),'Supply Attribution'!$F$31:$G$37,2,FALSE)),"--",VLOOKUP(CONCATENATE(Y14,"Line"),'Supply Attribution'!$F$31:$G$37,2,FALSE))</f>
        <v>--</v>
      </c>
      <c r="Z16" s="112"/>
      <c r="AA16" s="113"/>
      <c r="AB16" s="112"/>
      <c r="AC16" s="112"/>
      <c r="AD16" s="112"/>
      <c r="AE16" s="114"/>
      <c r="AF16" s="78"/>
    </row>
    <row r="17" spans="1:32" ht="15.75" thickBot="1">
      <c r="A17" s="763" t="s">
        <v>282</v>
      </c>
      <c r="B17" s="764"/>
      <c r="C17" s="764"/>
      <c r="D17" s="764"/>
      <c r="E17" s="764"/>
      <c r="F17" s="764"/>
      <c r="G17" s="764"/>
      <c r="H17" s="764"/>
      <c r="I17" s="765"/>
      <c r="J17" s="285" t="s">
        <v>194</v>
      </c>
      <c r="K17" s="289" t="str">
        <f>IF(ISNA(VLOOKUP(CONCATENATE(K15,"Line"),'Supply Attribution'!$F$31:$G$37,2,FALSE)),"--",VLOOKUP(CONCATENATE(K15,"Line"),'Supply Attribution'!$F$31:$G$37,2,FALSE))</f>
        <v>--</v>
      </c>
      <c r="L17" s="290" t="str">
        <f>IF(ISNA(VLOOKUP(CONCATENATE(L15,"Line"),'Supply Attribution'!$F$31:$G$37,2,FALSE)),"--",VLOOKUP(CONCATENATE(L15,"Line"),'Supply Attribution'!$F$31:$G$37,2,FALSE))</f>
        <v>Line1</v>
      </c>
      <c r="M17" s="582" t="str">
        <f>IF(ISNA(VLOOKUP(CONCATENATE(M15,"Line"),'Supply Attribution'!$F$31:$G$37,2,FALSE)),"--",VLOOKUP(CONCATENATE(M15,"Line"),'Supply Attribution'!$F$31:$G$37,2,FALSE))</f>
        <v>Line1</v>
      </c>
      <c r="N17" s="289" t="str">
        <f>IF(ISNA(VLOOKUP(CONCATENATE(N15,"Line"),'Supply Attribution'!$F$31:$G$37,2,FALSE)),"--",VLOOKUP(CONCATENATE(N15,"Line"),'Supply Attribution'!$F$31:$G$37,2,FALSE))</f>
        <v>--</v>
      </c>
      <c r="O17" s="582" t="str">
        <f>IF(ISNA(VLOOKUP(CONCATENATE(O15,"Line"),'Supply Attribution'!$F$31:$G$37,2,FALSE)),"--",VLOOKUP(CONCATENATE(O15,"Line"),'Supply Attribution'!$F$31:$G$37,2,FALSE))</f>
        <v>--</v>
      </c>
      <c r="P17" s="719" t="str">
        <f>IF(ISNA(VLOOKUP(CONCATENATE(P15,"Line"),'Supply Attribution'!$F$31:$G$37,2,FALSE)),"--",VLOOKUP(CONCATENATE(P15,"Line"),'Supply Attribution'!$F$31:$G$37,2,FALSE))</f>
        <v>--</v>
      </c>
      <c r="Q17" s="289" t="str">
        <f>IF(ISNA(VLOOKUP(CONCATENATE(Q15,"Line"),'Supply Attribution'!$F$31:$G$37,2,FALSE)),"--",VLOOKUP(CONCATENATE(Q15,"Line"),'Supply Attribution'!$F$31:$G$37,2,FALSE))</f>
        <v>--</v>
      </c>
      <c r="R17" s="289" t="str">
        <f>IF(ISNA(VLOOKUP(CONCATENATE(R15,"Line"),'Supply Attribution'!$F$31:$G$37,2,FALSE)),"--",VLOOKUP(CONCATENATE(R15,"Line"),'Supply Attribution'!$F$31:$G$37,2,FALSE))</f>
        <v>--</v>
      </c>
      <c r="S17" s="290" t="str">
        <f>IF(ISNA(VLOOKUP(CONCATENATE(S15,"Line"),'Supply Attribution'!$F$31:$G$37,2,FALSE)),"--",VLOOKUP(CONCATENATE(S15,"Line"),'Supply Attribution'!$F$31:$G$37,2,FALSE))</f>
        <v>--</v>
      </c>
      <c r="T17" s="290" t="str">
        <f>IF(ISNA(VLOOKUP(CONCATENATE(T15,"Line"),'Supply Attribution'!$F$31:$G$37,2,FALSE)),"--",VLOOKUP(CONCATENATE(T15,"Line"),'Supply Attribution'!$F$31:$G$37,2,FALSE))</f>
        <v>--</v>
      </c>
      <c r="U17" s="582" t="str">
        <f>IF(ISNA(VLOOKUP(CONCATENATE(U15,"Line"),'Supply Attribution'!$F$31:$G$37,2,FALSE)),"--",VLOOKUP(CONCATENATE(U15,"Line"),'Supply Attribution'!$F$31:$G$37,2,FALSE))</f>
        <v>--</v>
      </c>
      <c r="V17" s="289" t="str">
        <f>IF(ISNA(VLOOKUP(CONCATENATE(V15,"Line"),'Supply Attribution'!$F$31:$G$37,2,FALSE)),"--",VLOOKUP(CONCATENATE(V15,"Line"),'Supply Attribution'!$F$31:$G$37,2,FALSE))</f>
        <v>--</v>
      </c>
      <c r="W17" s="290" t="str">
        <f>IF(ISNA(VLOOKUP(CONCATENATE(W15,"Line"),'Supply Attribution'!$F$31:$G$37,2,FALSE)),"--",VLOOKUP(CONCATENATE(W15,"Line"),'Supply Attribution'!$F$31:$G$37,2,FALSE))</f>
        <v>--</v>
      </c>
      <c r="X17" s="290" t="str">
        <f>IF(ISNA(VLOOKUP(CONCATENATE(X15,"Line"),'Supply Attribution'!$F$31:$G$37,2,FALSE)),"--",VLOOKUP(CONCATENATE(X15,"Line"),'Supply Attribution'!$F$31:$G$37,2,FALSE))</f>
        <v>--</v>
      </c>
      <c r="Y17" s="582" t="str">
        <f>IF(ISNA(VLOOKUP(CONCATENATE(Y15,"Line"),'Supply Attribution'!$F$31:$G$37,2,FALSE)),"--",VLOOKUP(CONCATENATE(Y15,"Line"),'Supply Attribution'!$F$31:$G$37,2,FALSE))</f>
        <v>--</v>
      </c>
      <c r="Z17" s="107"/>
      <c r="AA17" s="117"/>
      <c r="AB17" s="107"/>
      <c r="AC17" s="107"/>
      <c r="AD17" s="107"/>
      <c r="AE17" s="108"/>
      <c r="AF17" s="78"/>
    </row>
    <row r="18" spans="1:32" s="100" customFormat="1" ht="13.15" customHeight="1">
      <c r="A18" s="118" t="s">
        <v>132</v>
      </c>
      <c r="B18" s="119" t="s">
        <v>133</v>
      </c>
      <c r="C18" s="119" t="s">
        <v>131</v>
      </c>
      <c r="D18" s="119" t="s">
        <v>134</v>
      </c>
      <c r="E18" s="119" t="s">
        <v>136</v>
      </c>
      <c r="F18" s="120" t="s">
        <v>135</v>
      </c>
      <c r="G18" s="119" t="s">
        <v>139</v>
      </c>
      <c r="H18" s="119" t="str">
        <f>IF(AND(K6="CE",T59&lt;&gt;"1 Phase"),"Line2","")</f>
        <v/>
      </c>
      <c r="I18" s="119" t="str">
        <f>IF(AND($K$6="CE",T59="3 Phases"),"Line3","")</f>
        <v/>
      </c>
      <c r="J18" s="118"/>
      <c r="K18" s="119"/>
      <c r="L18" s="119"/>
      <c r="M18" s="119"/>
      <c r="N18" s="318"/>
      <c r="O18" s="119"/>
      <c r="P18" s="119"/>
      <c r="Q18" s="119"/>
      <c r="R18" s="119"/>
      <c r="S18" s="119"/>
      <c r="T18" s="119"/>
      <c r="U18" s="119"/>
      <c r="V18" s="119"/>
      <c r="W18" s="119"/>
      <c r="X18" s="119"/>
      <c r="Y18" s="119"/>
      <c r="Z18" s="477" t="s">
        <v>90</v>
      </c>
      <c r="AA18" s="477" t="s">
        <v>162</v>
      </c>
      <c r="AB18" s="477" t="s">
        <v>163</v>
      </c>
      <c r="AC18" s="478" t="s">
        <v>154</v>
      </c>
      <c r="AD18" s="478" t="s">
        <v>153</v>
      </c>
      <c r="AE18" s="120"/>
      <c r="AF18" s="99"/>
    </row>
    <row r="19" spans="1:32" ht="13.15" customHeight="1" thickBot="1">
      <c r="A19" s="121">
        <f>VLOOKUP(CONCATENATE(A18,"CURRENT"),'Supply Attribution'!$F22:$G30,2,FALSE)</f>
        <v>15</v>
      </c>
      <c r="B19" s="122">
        <f>VLOOKUP(CONCATENATE(B18,"CURRENT"),'Supply Attribution'!$F22:$G30,2,FALSE)</f>
        <v>15</v>
      </c>
      <c r="C19" s="122">
        <f>VLOOKUP(CONCATENATE(C18,"CURRENT"),'Supply Attribution'!$F22:$G30,2,FALSE)</f>
        <v>24</v>
      </c>
      <c r="D19" s="122" t="str">
        <f>VLOOKUP(CONCATENATE(D18,"CURRENT"),'Supply Attribution'!$F22:$G30,2,FALSE)</f>
        <v>N/A</v>
      </c>
      <c r="E19" s="122" t="str">
        <f>VLOOKUP(CONCATENATE(E18,"CURRENT"),'Supply Attribution'!$F22:$G30,2,FALSE)</f>
        <v>N/A</v>
      </c>
      <c r="F19" s="123" t="str">
        <f>VLOOKUP(CONCATENATE(F18,"CURRENT"),'Supply Attribution'!$F22:$G30,2,FALSE)</f>
        <v>N/A</v>
      </c>
      <c r="G19" s="267">
        <f>IF(AND(K6="CE",T59="2 phases"),MIN(20,T60),IF(AND(K6="CE",T59="3 Phases"),MIN(16,T60),MIN(48,T60)))</f>
        <v>48</v>
      </c>
      <c r="H19" s="266" t="str">
        <f>IF(OR(K6="UL",T59="1 phase"),"",IF(T59="2 Phases",MIN(20,T60),MIN(16,T60)))</f>
        <v/>
      </c>
      <c r="I19" s="266" t="str">
        <f>IF(AND(K6="CE",T59="3 Phases"),MIN(T60,16),"")</f>
        <v/>
      </c>
      <c r="J19" s="526" t="s">
        <v>392</v>
      </c>
      <c r="K19" s="124" t="s">
        <v>389</v>
      </c>
      <c r="L19" s="124" t="s">
        <v>390</v>
      </c>
      <c r="M19" s="124" t="s">
        <v>391</v>
      </c>
      <c r="N19" s="124" t="s">
        <v>388</v>
      </c>
      <c r="O19" s="124" t="s">
        <v>203</v>
      </c>
      <c r="P19" s="124" t="s">
        <v>3</v>
      </c>
      <c r="Q19" s="124" t="s">
        <v>24</v>
      </c>
      <c r="R19" s="124" t="s">
        <v>24</v>
      </c>
      <c r="S19" s="124" t="s">
        <v>457</v>
      </c>
      <c r="T19" s="124" t="s">
        <v>458</v>
      </c>
      <c r="U19" s="124" t="s">
        <v>3</v>
      </c>
      <c r="V19" s="124" t="s">
        <v>287</v>
      </c>
      <c r="W19" s="124" t="s">
        <v>18</v>
      </c>
      <c r="X19" s="124" t="s">
        <v>411</v>
      </c>
      <c r="Y19" s="124" t="s">
        <v>24</v>
      </c>
      <c r="Z19" s="124" t="s">
        <v>7</v>
      </c>
      <c r="AA19" s="124" t="s">
        <v>357</v>
      </c>
      <c r="AB19" s="125" t="s">
        <v>18</v>
      </c>
      <c r="AC19" s="125" t="s">
        <v>183</v>
      </c>
      <c r="AD19" s="125" t="s">
        <v>18</v>
      </c>
      <c r="AE19" s="120"/>
      <c r="AF19" s="78"/>
    </row>
    <row r="20" spans="1:32" ht="13.15" customHeight="1">
      <c r="A20" s="263" t="str">
        <f>IF($K$6="CE",CONCATENATE("Heater on ",'Supply Attribution'!G20),"")</f>
        <v/>
      </c>
      <c r="B20" s="72"/>
      <c r="C20" s="72"/>
      <c r="D20" s="72"/>
      <c r="E20" s="72"/>
      <c r="F20" s="313" t="str">
        <f>IF(AND(X86&lt;&gt;"Not Set",X86&lt;&gt;""),CONCATENATE("Heat Pump on ",X87),"")</f>
        <v>Heat Pump on Not Set</v>
      </c>
      <c r="G20" s="265" t="str">
        <f>IF($K$6="UL","Heater on Line1","")</f>
        <v>Heater on Line1</v>
      </c>
      <c r="H20" s="72"/>
      <c r="I20" s="72"/>
      <c r="J20" s="126"/>
      <c r="K20" s="127"/>
      <c r="L20" s="127"/>
      <c r="M20" s="127"/>
      <c r="N20" s="127"/>
      <c r="O20" s="127"/>
      <c r="P20" s="127"/>
      <c r="Q20" s="127"/>
      <c r="R20" s="127"/>
      <c r="S20" s="127"/>
      <c r="T20" s="127"/>
      <c r="U20" s="127"/>
      <c r="V20" s="127"/>
      <c r="W20" s="127"/>
      <c r="X20" s="127"/>
      <c r="Y20" s="127"/>
      <c r="Z20" s="127"/>
      <c r="AA20" s="127"/>
      <c r="AB20" s="127"/>
      <c r="AC20" s="127"/>
      <c r="AD20" s="127"/>
      <c r="AE20" s="128"/>
      <c r="AF20" s="78"/>
    </row>
    <row r="21" spans="1:32" ht="13.15" customHeight="1">
      <c r="A21" s="264">
        <f>IF(AND($K21&lt;&gt;"",$K21&lt;&gt;"--",$K21&lt;&gt;"O3/CP",$K$14=A$18),IF(LEFT($K21,1)="P",VLOOKUP(CONCATENATE(LEFT($K21,2),"H"),$R$63:$T$91,3,FALSE),VLOOKUP($K21,$R$63:$T$91,3,FALSE)))+IF(AND($K21&lt;&gt;"",$K21&lt;&gt;"O3/CP",$K$15=A$18,MID($K21,4,1)="2",$K$15&lt;&gt;$K$14),VLOOKUP(CONCATENATE(LEFT($K21,2),"L"),$R$63:$T$91,3,FALSE),0)+IF(AND($K21="O3/CP",$K$14=A$18),VLOOKUP("O3",$R$63:$T$91,3,FALSE)+VLOOKUP("CP",$R$63:$T$91,3,FALSE),0)+IF(AND($L21&lt;&gt;"",$L21&lt;&gt;"--",$L21&lt;&gt;"O3/CP",$L$14=A$18),IF(LEFT($L21,1)="P",VLOOKUP(CONCATENATE(LEFT($L21,2),"H"),$R$63:$T$91,3,FALSE),VLOOKUP($L21,$R$63:$T$91,3,FALSE)))+IF(AND($L21&lt;&gt;"",$L21&lt;&gt;"O3/CP",$L$15=A$18,MID($L21,4,1)="2",$L$15&lt;&gt;$L$14),VLOOKUP(CONCATENATE(LEFT($L21,2),"L"),$R$63:$T$91,3,FALSE),0)+IF(AND($L21="O3/CP",$L$14=A$18),VLOOKUP("O3",$R$63:$T$91,3,FALSE)+VLOOKUP("CP",$R$63:$T$91,3,FALSE),0)+IF(AND($M21&lt;&gt;"",$M21&lt;&gt;"--",$M21&lt;&gt;"O3/CP",$M$14=A$18),IF(LEFT($M21,1)="P",VLOOKUP(CONCATENATE(LEFT($M21,2),"H"),$R$63:$T$91,3,FALSE),VLOOKUP($M21,$R$63:$T$91,3,FALSE)))+IF(AND($M21&lt;&gt;"",$M21&lt;&gt;"O3/CP",$M$15=A$18,MID($M21,4,1)="2",$M$15&lt;&gt;$M$14),VLOOKUP(CONCATENATE(LEFT($M21,2),"L"),$R$63:$T$91,3,FALSE),0)+IF(AND($M21="O3/CP",$M$14=A$18),VLOOKUP("O3",$R$63:$T$91,3,FALSE)+VLOOKUP("CP",$R$63:$T$91,3,FALSE),0)+IF(AND($N21&lt;&gt;"",$N21&lt;&gt;"--",$N21&lt;&gt;"O3/CP",$N$14=A$18),IF(LEFT($N21,1)="P",VLOOKUP(CONCATENATE(LEFT($N21,2),"H"),$R$63:$T$91,3,FALSE),VLOOKUP($N21,$R$63:$T$91,3,FALSE)))+IF(AND($N21&lt;&gt;"",$N21&lt;&gt;"O3/CP",$N$15=A$18,MID($N21,4,1)="2",$N$15&lt;&gt;$N$14),VLOOKUP(CONCATENATE(LEFT($N21,2),"L"),$R$63:$T$91,3,FALSE),0)+IF(AND($N21="O3/CP",$N$14=A$18),VLOOKUP("O3",$R$63:$T$91,3,FALSE)+VLOOKUP("CP",$R$63:$T$91,3,FALSE),0)+IF(AND($O21&lt;&gt;"",$O21&lt;&gt;"--",$O21&lt;&gt;"O3/CP",$O$14=A$18),IF(LEFT($O21,1)="P",VLOOKUP(CONCATENATE(LEFT($O21,2),"H"),$R$63:$T$91,3,FALSE),VLOOKUP($O21,$R$63:$T$91,3,FALSE)))+IF(AND($O21&lt;&gt;"",$O21&lt;&gt;"O3/CP",$O$15=A$18,MID($O21,4,1)="2",$O$15&lt;&gt;$O$14),VLOOKUP(CONCATENATE(LEFT($O21,2),"L"),$R$63:$T$91,3,FALSE),0)+IF(AND($O21="O3/CP",$O$14=A$18),VLOOKUP("O3",$R$63:$T$91,3,FALSE)+VLOOKUP("CP",$R$63:$T$91,3,FALSE),0)+IF(AND($P21&lt;&gt;"",$P21&lt;&gt;"--",$P21&lt;&gt;"O3/CP",$P$14=A$18),IF(LEFT($P21,1)="P",VLOOKUP(CONCATENATE(LEFT($P21,2),"H"),$R$63:$T$91,3,FALSE),VLOOKUP($P21,$R$63:$T$91,3,FALSE)))+IF(AND($P21&lt;&gt;"",$P21&lt;&gt;"O3/CP",$P$15=A$18,MID($P21,4,1)="2",$P$15&lt;&gt;$P$14),VLOOKUP(CONCATENATE(LEFT($P21,2),"L"),$R$63:$T$91,3,FALSE),0)+IF(AND($P21="O3/CP",$P$14=A$18),VLOOKUP("O3",$R$63:$T$91,3,FALSE)+VLOOKUP("CP",$R$63:$T$91,3,FALSE),0)+IF(AND($Q21&lt;&gt;"",$Q21&lt;&gt;"--",$Q21&lt;&gt;"O3/CP",$Q$14=A$18),IF(LEFT($Q21,1)="P",VLOOKUP(CONCATENATE(LEFT($Q21,2),"H"),$R$63:$T$91,3,FALSE),VLOOKUP($Q21,$R$63:$T$91,3,FALSE)))+IF(AND($Q21&lt;&gt;"",$Q21&lt;&gt;"O3/CP",$Q$15=A$18,MID($Q21,4,1)="2",$Q$15&lt;&gt;$Q$14),VLOOKUP(CONCATENATE(LEFT($Q21,2),"L"),$R$63:$T$91,3,FALSE),0)+IF(AND($Q21="O3/CP",$Q$14=A$18),VLOOKUP("O3",$R$63:$T$91,3,FALSE)+VLOOKUP("CP",$R$63:$T$91,3,FALSE),0)+IF(AND($R21&lt;&gt;"",$R21&lt;&gt;"--",$R21&lt;&gt;"O3/CP",$R$14=A$18),IF(LEFT($R21,1)="P",VLOOKUP(CONCATENATE(LEFT($R21,2),"H"),$R$63:$T$91,3,FALSE),VLOOKUP($R21,$R$63:$T$91,3,FALSE)))+IF(AND($R21&lt;&gt;"",$R21&lt;&gt;"O3/CP",$R$15=A$18,MID($R21,4,1)="2",$R$15&lt;&gt;$R$14),VLOOKUP(CONCATENATE(LEFT($R21,2),"L"),$R$63:$T$91,3,FALSE),0)+IF(AND($R21="O3/CP",$R$14=A$18),VLOOKUP("O3",$R$63:$T$91,3,FALSE)+VLOOKUP("CP",$R$63:$T$91,3,FALSE),0)+IF(AND($S21&lt;&gt;"",$S21&lt;&gt;"--",$S21&lt;&gt;"O3/CP",$S$14=A$18),IF(LEFT($S21,1)="P",VLOOKUP(CONCATENATE(LEFT($S21,2),"H"),$R$63:$T$91,3,FALSE),VLOOKUP($S21,$R$63:$T$91,3,FALSE)))+IF(AND($S21&lt;&gt;"",$S21&lt;&gt;"O3/CP",$S$15=A$18,MID($S21,4,1)="2",$S$15&lt;&gt;$S$14),VLOOKUP(CONCATENATE(LEFT($S21,2),"L"),$R$63:$T$91,3,FALSE),0)+IF(AND($S21="O3/CP",$S$14=A$18),VLOOKUP("O3",$R$63:$T$91,3,FALSE)+VLOOKUP("CP",$R$63:$T$91,3,FALSE),0)+IF(AND($T21&lt;&gt;"",$T21&lt;&gt;"--",$T21&lt;&gt;"O3/CP",$T$14=A$18),IF(LEFT($T21,1)="P",VLOOKUP(CONCATENATE(LEFT($T21,2),"H"),$R$63:$T$91,3,FALSE),VLOOKUP($T21,$R$63:$T$91,3,FALSE)))+IF(AND($T21&lt;&gt;"",$T21&lt;&gt;"O3/CP",$T$15=A$18,MID($T21,4,1)="2",$T$15&lt;&gt;$T$14),VLOOKUP(CONCATENATE(LEFT($T21,2),"L"),$R$63:$T$91,3,FALSE),0)+IF(AND($T21="O3/CP",$T$14=A$18),VLOOKUP("O3",$R$63:$T$91,3,FALSE)+VLOOKUP("CP",$R$63:$T$91,3,FALSE),0)+IF(AND($U21&lt;&gt;"",$U21&lt;&gt;"--",$U21&lt;&gt;"O3/CP",$U$14=A$18),IF(LEFT($U21,1)="P",VLOOKUP(CONCATENATE(LEFT($U21,2),"H"),$R$63:$T$91,3,FALSE),VLOOKUP($U21,$R$63:$T$91,3,FALSE)))+IF(AND($U21&lt;&gt;"",$U21&lt;&gt;"O3/CP",$U$15=A$18,MID($U21,4,1)="2",$U$15&lt;&gt;$U$14),VLOOKUP(CONCATENATE(LEFT($U21,2),"L"),$R$63:$T$91,3,FALSE),0)+IF(AND($U21="O3/CP",$T$14=A$18),VLOOKUP("O3",$R$63:$T$91,3,FALSE)+VLOOKUP("CP",$R$63:$T$91,3,FALSE),0)+IF(AND($V21&lt;&gt;"",$V21&lt;&gt;"--",$V21&lt;&gt;"O3/CP",$V$14=A$18),IF(LEFT($V21,1)="P",VLOOKUP(CONCATENATE(LEFT($V21,2),"H"),$R$63:$T$91,3,FALSE),VLOOKUP($V21,$R$63:$T$91,3,FALSE)))+IF(AND($V21&lt;&gt;"",$V21&lt;&gt;"O3/CP",$V$15=A$18,MID($V21,4,1)="2",$V$15&lt;&gt;$V$14),VLOOKUP(CONCATENATE(LEFT($V21,2),"L"),$R$63:$T$91,3,FALSE),0)+IF(AND($V21="O3/CP",$V$14=A$18),VLOOKUP("O3",$R$63:$T$91,3,FALSE)+VLOOKUP("CP",$R$63:$T$91,3,FALSE),0)+IF(AND($W21&lt;&gt;"",$W21&lt;&gt;"--",$W21&lt;&gt;"O3/CP",$W$14=A$18),IF(LEFT($W21,1)="P",VLOOKUP(CONCATENATE(LEFT($W21,2),"H"),$R$63:$T$91,3,FALSE),VLOOKUP($W21,$R$63:$T$91,3,FALSE)))+IF(AND($W21&lt;&gt;"",$W21&lt;&gt;"O3/CP",$W$15=A$18,MID($W21,4,1)="2",$W$15&lt;&gt;$W$14),VLOOKUP(CONCATENATE(LEFT($W21,2),"L"),$R$63:$T$91,3,FALSE),0)+IF(AND($W21="O3/CP",$W$14=A$18),VLOOKUP("O3",$R$63:$T$91,3,FALSE)+VLOOKUP("CP",$R$63:$T$91,3,FALSE),0)+IF(AND($X21&lt;&gt;"",$X21&lt;&gt;"--",$X21&lt;&gt;"O3/CP",$X$14=A$18),IF(LEFT($X21,1)="P",VLOOKUP(CONCATENATE(LEFT($X21,2),"H"),$R$63:$T$91,3,FALSE),VLOOKUP($X21,$R$63:$T$91,3,FALSE)))+IF(AND($X21&lt;&gt;"",$X21&lt;&gt;"O3/CP",$X$15=A$18,MID($X21,4,1)="2",$X$15&lt;&gt;$X$14),VLOOKUP(CONCATENATE(LEFT($X21,2),"L"),$R$63:$T$91,3,FALSE),0)+IF(AND($X21="O3/CP",$X$14=A$18),VLOOKUP("O3",$R$63:$T$91,3,FALSE)+VLOOKUP("CP",$R$63:$T$91,3,FALSE),0)+IF(AND($Y21&lt;&gt;"",$Y21&lt;&gt;"--",$Y21&lt;&gt;"O3/CP",$Y$14=A$18),IF(LEFT($Y21,1)="P",VLOOKUP(CONCATENATE(LEFT($Y21,2),"H"),$R$63:$T$91,3,FALSE),VLOOKUP($Y21,$R$63:$T$91,3,FALSE)))+IF(AND($Y21&lt;&gt;"",$Y21&lt;&gt;"O3/CP",$Y$15=A$18,MID($Y21,4,1)="2",$Y$15&lt;&gt;$Y$14),VLOOKUP(CONCATENATE(LEFT($Y21,2),"L"),$R$63:$T$91,3,FALSE),0)+IF(AND($Y21="O3/CP",$Y$14=A$18),VLOOKUP("O3",$R$63:$T$91,3,FALSE)+VLOOKUP("CP",$R$63:$T$91,3,FALSE),0)+IF(AND($K$6="CE",'[3]Supply Attribution'!$G$20=A$18),LEFT($S$90,2),0)+IF(AND($X$86&lt;&gt;"Not Set",$X$87=A$18),$X$86,0)</f>
        <v>13</v>
      </c>
      <c r="B21" s="271">
        <f>IF(AND($K21&lt;&gt;"",$K21&lt;&gt;"--",$K21&lt;&gt;"O3/CP",$K$14=B$18),IF(LEFT($K21,1)="P",VLOOKUP(CONCATENATE(LEFT($K21,2),"H"),$R$63:$T$91,3,FALSE),VLOOKUP($K21,$R$63:$T$91,3,FALSE)))+IF(AND($K21&lt;&gt;"",$K21&lt;&gt;"O3/CP",$K$15=B$18,MID($K21,4,1)="2",$K$15&lt;&gt;$K$14),VLOOKUP(CONCATENATE(LEFT($K21,2),"L"),$R$63:$T$91,3,FALSE),0)+IF(AND($K21="O3/CP",$K$14=B$18),VLOOKUP("O3",$R$63:$T$91,3,FALSE)+VLOOKUP("CP",$R$63:$T$91,3,FALSE),0)+IF(AND($L21&lt;&gt;"",$L21&lt;&gt;"--",$L21&lt;&gt;"O3/CP",$L$14=B$18),IF(LEFT($L21,1)="P",VLOOKUP(CONCATENATE(LEFT($L21,2),"H"),$R$63:$T$91,3,FALSE),VLOOKUP($L21,$R$63:$T$91,3,FALSE)))+IF(AND($L21&lt;&gt;"",$L21&lt;&gt;"O3/CP",$L$15=B$18,MID($L21,4,1)="2",$L$15&lt;&gt;$L$14),VLOOKUP(CONCATENATE(LEFT($L21,2),"L"),$R$63:$T$91,3,FALSE),0)+IF(AND($L21="O3/CP",$L$14=B$18),VLOOKUP("O3",$R$63:$T$91,3,FALSE)+VLOOKUP("CP",$R$63:$T$91,3,FALSE),0)+IF(AND($M21&lt;&gt;"",$M21&lt;&gt;"--",$M21&lt;&gt;"O3/CP",$M$14=B$18),IF(LEFT($M21,1)="P",VLOOKUP(CONCATENATE(LEFT($M21,2),"H"),$R$63:$T$91,3,FALSE),VLOOKUP($M21,$R$63:$T$91,3,FALSE)))+IF(AND($M21&lt;&gt;"",$M21&lt;&gt;"O3/CP",$M$15=B$18,MID($M21,4,1)="2",$M$15&lt;&gt;$M$14),VLOOKUP(CONCATENATE(LEFT($M21,2),"L"),$R$63:$T$91,3,FALSE),0)+IF(AND($M21="O3/CP",$M$14=B$18),VLOOKUP("O3",$R$63:$T$91,3,FALSE)+VLOOKUP("CP",$R$63:$T$91,3,FALSE),0)+IF(AND($N21&lt;&gt;"",$N21&lt;&gt;"--",$N21&lt;&gt;"O3/CP",$N$14=B$18),IF(LEFT($N21,1)="P",VLOOKUP(CONCATENATE(LEFT($N21,2),"H"),$R$63:$T$91,3,FALSE),VLOOKUP($N21,$R$63:$T$91,3,FALSE)))+IF(AND($N21&lt;&gt;"",$N21&lt;&gt;"O3/CP",$N$15=B$18,MID($N21,4,1)="2",$N$15&lt;&gt;$N$14),VLOOKUP(CONCATENATE(LEFT($N21,2),"L"),$R$63:$T$91,3,FALSE),0)+IF(AND($N21="O3/CP",$N$14=B$18),VLOOKUP("O3",$R$63:$T$91,3,FALSE)+VLOOKUP("CP",$R$63:$T$91,3,FALSE),0)+IF(AND($O21&lt;&gt;"",$O21&lt;&gt;"--",$O21&lt;&gt;"O3/CP",$O$14=B$18),IF(LEFT($O21,1)="P",VLOOKUP(CONCATENATE(LEFT($O21,2),"H"),$R$63:$T$91,3,FALSE),VLOOKUP($O21,$R$63:$T$91,3,FALSE)))+IF(AND($O21&lt;&gt;"",$O21&lt;&gt;"O3/CP",$O$15=B$18,MID($O21,4,1)="2",$O$15&lt;&gt;$O$14),VLOOKUP(CONCATENATE(LEFT($O21,2),"L"),$R$63:$T$91,3,FALSE),0)+IF(AND($O21="O3/CP",$O$14=B$18),VLOOKUP("O3",$R$63:$T$91,3,FALSE)+VLOOKUP("CP",$R$63:$T$91,3,FALSE),0)+IF(AND($P21&lt;&gt;"",$P21&lt;&gt;"--",$P21&lt;&gt;"O3/CP",$P$14=B$18),IF(LEFT($P21,1)="P",VLOOKUP(CONCATENATE(LEFT($P21,2),"H"),$R$63:$T$91,3,FALSE),VLOOKUP($P21,$R$63:$T$91,3,FALSE)))+IF(AND($P21&lt;&gt;"",$P21&lt;&gt;"O3/CP",$P$15=B$18,MID($P21,4,1)="2",$P$15&lt;&gt;$P$14),VLOOKUP(CONCATENATE(LEFT($P21,2),"L"),$R$63:$T$91,3,FALSE),0)+IF(AND($P21="O3/CP",$P$14=B$18),VLOOKUP("O3",$R$63:$T$91,3,FALSE)+VLOOKUP("CP",$R$63:$T$91,3,FALSE),0)+IF(AND($Q21&lt;&gt;"",$Q21&lt;&gt;"--",$Q21&lt;&gt;"O3/CP",$Q$14=B$18),IF(LEFT($Q21,1)="P",VLOOKUP(CONCATENATE(LEFT($Q21,2),"H"),$R$63:$T$91,3,FALSE),VLOOKUP($Q21,$R$63:$T$91,3,FALSE)))+IF(AND($Q21&lt;&gt;"",$Q21&lt;&gt;"O3/CP",$Q$15=B$18,MID($Q21,4,1)="2",$Q$15&lt;&gt;$Q$14),VLOOKUP(CONCATENATE(LEFT($Q21,2),"L"),$R$63:$T$91,3,FALSE),0)+IF(AND($Q21="O3/CP",$Q$14=B$18),VLOOKUP("O3",$R$63:$T$91,3,FALSE)+VLOOKUP("CP",$R$63:$T$91,3,FALSE),0)+IF(AND($R21&lt;&gt;"",$R21&lt;&gt;"--",$R21&lt;&gt;"O3/CP",$R$14=B$18),IF(LEFT($R21,1)="P",VLOOKUP(CONCATENATE(LEFT($R21,2),"H"),$R$63:$T$91,3,FALSE),VLOOKUP($R21,$R$63:$T$91,3,FALSE)))+IF(AND($R21&lt;&gt;"",$R21&lt;&gt;"O3/CP",$R$15=B$18,MID($R21,4,1)="2",$R$15&lt;&gt;$R$14),VLOOKUP(CONCATENATE(LEFT($R21,2),"L"),$R$63:$T$91,3,FALSE),0)+IF(AND($R21="O3/CP",$R$14=B$18),VLOOKUP("O3",$R$63:$T$91,3,FALSE)+VLOOKUP("CP",$R$63:$T$91,3,FALSE),0)+IF(AND($S21&lt;&gt;"",$S21&lt;&gt;"--",$S21&lt;&gt;"O3/CP",$S$14=B$18),IF(LEFT($S21,1)="P",VLOOKUP(CONCATENATE(LEFT($S21,2),"H"),$R$63:$T$91,3,FALSE),VLOOKUP($S21,$R$63:$T$91,3,FALSE)))+IF(AND($S21&lt;&gt;"",$S21&lt;&gt;"O3/CP",$S$15=B$18,MID($S21,4,1)="2",$S$15&lt;&gt;$S$14),VLOOKUP(CONCATENATE(LEFT($S21,2),"L"),$R$63:$T$91,3,FALSE),0)+IF(AND($S21="O3/CP",$S$14=B$18),VLOOKUP("O3",$R$63:$T$91,3,FALSE)+VLOOKUP("CP",$R$63:$T$91,3,FALSE),0)+IF(AND($T21&lt;&gt;"",$T21&lt;&gt;"--",$T21&lt;&gt;"O3/CP",$T$14=B$18),IF(LEFT($T21,1)="P",VLOOKUP(CONCATENATE(LEFT($T21,2),"H"),$R$63:$T$91,3,FALSE),VLOOKUP($T21,$R$63:$T$91,3,FALSE)))+IF(AND($T21&lt;&gt;"",$T21&lt;&gt;"O3/CP",$T$15=B$18,MID($T21,4,1)="2",$T$15&lt;&gt;$T$14),VLOOKUP(CONCATENATE(LEFT($T21,2),"L"),$R$63:$T$91,3,FALSE),0)+IF(AND($T21="O3/CP",$T$14=B$18),VLOOKUP("O3",$R$63:$T$91,3,FALSE)+VLOOKUP("CP",$R$63:$T$91,3,FALSE),0)+IF(AND($U21&lt;&gt;"",$U21&lt;&gt;"--",$U21&lt;&gt;"O3/CP",$U$14=B$18),IF(LEFT($U21,1)="P",VLOOKUP(CONCATENATE(LEFT($U21,2),"H"),$R$63:$T$91,3,FALSE),VLOOKUP($U21,$R$63:$T$91,3,FALSE)))+IF(AND($U21&lt;&gt;"",$U21&lt;&gt;"O3/CP",$U$15=B$18,MID($U21,4,1)="2",$U$15&lt;&gt;$U$14),VLOOKUP(CONCATENATE(LEFT($U21,2),"L"),$R$63:$T$91,3,FALSE),0)+IF(AND($U21="O3/CP",$T$14=B$18),VLOOKUP("O3",$R$63:$T$91,3,FALSE)+VLOOKUP("CP",$R$63:$T$91,3,FALSE),0)+IF(AND($V21&lt;&gt;"",$V21&lt;&gt;"--",$V21&lt;&gt;"O3/CP",$V$14=B$18),IF(LEFT($V21,1)="P",VLOOKUP(CONCATENATE(LEFT($V21,2),"H"),$R$63:$T$91,3,FALSE),VLOOKUP($V21,$R$63:$T$91,3,FALSE)))+IF(AND($V21&lt;&gt;"",$V21&lt;&gt;"O3/CP",$V$15=B$18,MID($V21,4,1)="2",$V$15&lt;&gt;$V$14),VLOOKUP(CONCATENATE(LEFT($V21,2),"L"),$R$63:$T$91,3,FALSE),0)+IF(AND($V21="O3/CP",$V$14=B$18),VLOOKUP("O3",$R$63:$T$91,3,FALSE)+VLOOKUP("CP",$R$63:$T$91,3,FALSE),0)+IF(AND($W21&lt;&gt;"",$W21&lt;&gt;"--",$W21&lt;&gt;"O3/CP",$W$14=B$18),IF(LEFT($W21,1)="P",VLOOKUP(CONCATENATE(LEFT($W21,2),"H"),$R$63:$T$91,3,FALSE),VLOOKUP($W21,$R$63:$T$91,3,FALSE)))+IF(AND($W21&lt;&gt;"",$W21&lt;&gt;"O3/CP",$W$15=B$18,MID($W21,4,1)="2",$W$15&lt;&gt;$W$14),VLOOKUP(CONCATENATE(LEFT($W21,2),"L"),$R$63:$T$91,3,FALSE),0)+IF(AND($W21="O3/CP",$W$14=B$18),VLOOKUP("O3",$R$63:$T$91,3,FALSE)+VLOOKUP("CP",$R$63:$T$91,3,FALSE),0)+IF(AND($X21&lt;&gt;"",$X21&lt;&gt;"--",$X21&lt;&gt;"O3/CP",$X$14=B$18),IF(LEFT($X21,1)="P",VLOOKUP(CONCATENATE(LEFT($X21,2),"H"),$R$63:$T$91,3,FALSE),VLOOKUP($X21,$R$63:$T$91,3,FALSE)))+IF(AND($X21&lt;&gt;"",$X21&lt;&gt;"O3/CP",$X$15=B$18,MID($X21,4,1)="2",$X$15&lt;&gt;$X$14),VLOOKUP(CONCATENATE(LEFT($X21,2),"L"),$R$63:$T$91,3,FALSE),0)+IF(AND($X21="O3/CP",$X$14=B$18),VLOOKUP("O3",$R$63:$T$91,3,FALSE)+VLOOKUP("CP",$R$63:$T$91,3,FALSE),0)+IF(AND($Y21&lt;&gt;"",$Y21&lt;&gt;"--",$Y21&lt;&gt;"O3/CP",$Y$14=B$18),IF(LEFT($Y21,1)="P",VLOOKUP(CONCATENATE(LEFT($Y21,2),"H"),$R$63:$T$91,3,FALSE),VLOOKUP($Y21,$R$63:$T$91,3,FALSE)))+IF(AND($Y21&lt;&gt;"",$Y21&lt;&gt;"O3/CP",$Y$15=B$18,MID($Y21,4,1)="2",$Y$15&lt;&gt;$Y$14),VLOOKUP(CONCATENATE(LEFT($Y21,2),"L"),$R$63:$T$91,3,FALSE),0)+IF(AND($Y21="O3/CP",$Y$14=B$18),VLOOKUP("O3",$R$63:$T$91,3,FALSE)+VLOOKUP("CP",$R$63:$T$91,3,FALSE),0)+IF(AND($K$6="CE",'[3]Supply Attribution'!$G$20=B$18),LEFT($S$90,2),0)+IF(AND($X$86&lt;&gt;"Not Set",$X$87=B$18),$X$86,0)</f>
        <v>5</v>
      </c>
      <c r="C21" s="271">
        <f>IF(AND($K21&lt;&gt;"",$K21&lt;&gt;"--",$K21&lt;&gt;"O3/CP",$K$14=C$18),IF(LEFT($K21,1)="P",VLOOKUP(CONCATENATE(LEFT($K21,2),"H"),$R$63:$T$91,3,FALSE),VLOOKUP($K21,$R$63:$T$91,3,FALSE)))+IF(AND($K21&lt;&gt;"",$K21&lt;&gt;"O3/CP",$K$15=C$18,MID($K21,4,1)="2",$K$15&lt;&gt;$K$14),VLOOKUP(CONCATENATE(LEFT($K21,2),"L"),$R$63:$T$91,3,FALSE),0)+IF(AND($K21="O3/CP",$K$14=C$18),VLOOKUP("O3",$R$63:$T$91,3,FALSE)+VLOOKUP("CP",$R$63:$T$91,3,FALSE),0)+IF(AND($L21&lt;&gt;"",$L21&lt;&gt;"--",$L21&lt;&gt;"O3/CP",$L$14=C$18),IF(LEFT($L21,1)="P",VLOOKUP(CONCATENATE(LEFT($L21,2),"H"),$R$63:$T$91,3,FALSE),VLOOKUP($L21,$R$63:$T$91,3,FALSE)))+IF(AND($L21&lt;&gt;"",$L21&lt;&gt;"O3/CP",$L$15=C$18,MID($L21,4,1)="2",$L$15&lt;&gt;$L$14),VLOOKUP(CONCATENATE(LEFT($L21,2),"L"),$R$63:$T$91,3,FALSE),0)+IF(AND($L21="O3/CP",$L$14=C$18),VLOOKUP("O3",$R$63:$T$91,3,FALSE)+VLOOKUP("CP",$R$63:$T$91,3,FALSE),0)+IF(AND($M21&lt;&gt;"",$M21&lt;&gt;"--",$M21&lt;&gt;"O3/CP",$M$14=C$18),IF(LEFT($M21,1)="P",VLOOKUP(CONCATENATE(LEFT($M21,2),"H"),$R$63:$T$91,3,FALSE),VLOOKUP($M21,$R$63:$T$91,3,FALSE)))+IF(AND($M21&lt;&gt;"",$M21&lt;&gt;"O3/CP",$M$15=C$18,MID($M21,4,1)="2",$M$15&lt;&gt;$M$14),VLOOKUP(CONCATENATE(LEFT($M21,2),"L"),$R$63:$T$91,3,FALSE),0)+IF(AND($M21="O3/CP",$M$14=C$18),VLOOKUP("O3",$R$63:$T$91,3,FALSE)+VLOOKUP("CP",$R$63:$T$91,3,FALSE),0)+IF(AND($N21&lt;&gt;"",$N21&lt;&gt;"--",$N21&lt;&gt;"O3/CP",$N$14=C$18),IF(LEFT($N21,1)="P",VLOOKUP(CONCATENATE(LEFT($N21,2),"H"),$R$63:$T$91,3,FALSE),VLOOKUP($N21,$R$63:$T$91,3,FALSE)))+IF(AND($N21&lt;&gt;"",$N21&lt;&gt;"O3/CP",$N$15=C$18,MID($N21,4,1)="2",$N$15&lt;&gt;$N$14),VLOOKUP(CONCATENATE(LEFT($N21,2),"L"),$R$63:$T$91,3,FALSE),0)+IF(AND($N21="O3/CP",$N$14=C$18),VLOOKUP("O3",$R$63:$T$91,3,FALSE)+VLOOKUP("CP",$R$63:$T$91,3,FALSE),0)+IF(AND($O21&lt;&gt;"",$O21&lt;&gt;"--",$O21&lt;&gt;"O3/CP",$O$14=C$18),IF(LEFT($O21,1)="P",VLOOKUP(CONCATENATE(LEFT($O21,2),"H"),$R$63:$T$91,3,FALSE),VLOOKUP($O21,$R$63:$T$91,3,FALSE)))+IF(AND($O21&lt;&gt;"",$O21&lt;&gt;"O3/CP",$O$15=C$18,MID($O21,4,1)="2",$O$15&lt;&gt;$O$14),VLOOKUP(CONCATENATE(LEFT($O21,2),"L"),$R$63:$T$91,3,FALSE),0)+IF(AND($O21="O3/CP",$O$14=C$18),VLOOKUP("O3",$R$63:$T$91,3,FALSE)+VLOOKUP("CP",$R$63:$T$91,3,FALSE),0)+IF(AND($P21&lt;&gt;"",$P21&lt;&gt;"--",$P21&lt;&gt;"O3/CP",$P$14=C$18),IF(LEFT($P21,1)="P",VLOOKUP(CONCATENATE(LEFT($P21,2),"H"),$R$63:$T$91,3,FALSE),VLOOKUP($P21,$R$63:$T$91,3,FALSE)))+IF(AND($P21&lt;&gt;"",$P21&lt;&gt;"O3/CP",$P$15=C$18,MID($P21,4,1)="2",$P$15&lt;&gt;$P$14),VLOOKUP(CONCATENATE(LEFT($P21,2),"L"),$R$63:$T$91,3,FALSE),0)+IF(AND($P21="O3/CP",$P$14=C$18),VLOOKUP("O3",$R$63:$T$91,3,FALSE)+VLOOKUP("CP",$R$63:$T$91,3,FALSE),0)+IF(AND($Q21&lt;&gt;"",$Q21&lt;&gt;"--",$Q21&lt;&gt;"O3/CP",$Q$14=C$18),IF(LEFT($Q21,1)="P",VLOOKUP(CONCATENATE(LEFT($Q21,2),"H"),$R$63:$T$91,3,FALSE),VLOOKUP($Q21,$R$63:$T$91,3,FALSE)))+IF(AND($Q21&lt;&gt;"",$Q21&lt;&gt;"O3/CP",$Q$15=C$18,MID($Q21,4,1)="2",$Q$15&lt;&gt;$Q$14),VLOOKUP(CONCATENATE(LEFT($Q21,2),"L"),$R$63:$T$91,3,FALSE),0)+IF(AND($Q21="O3/CP",$Q$14=C$18),VLOOKUP("O3",$R$63:$T$91,3,FALSE)+VLOOKUP("CP",$R$63:$T$91,3,FALSE),0)+IF(AND($R21&lt;&gt;"",$R21&lt;&gt;"--",$R21&lt;&gt;"O3/CP",$R$14=C$18),IF(LEFT($R21,1)="P",VLOOKUP(CONCATENATE(LEFT($R21,2),"H"),$R$63:$T$91,3,FALSE),VLOOKUP($R21,$R$63:$T$91,3,FALSE)))+IF(AND($R21&lt;&gt;"",$R21&lt;&gt;"O3/CP",$R$15=C$18,MID($R21,4,1)="2",$R$15&lt;&gt;$R$14),VLOOKUP(CONCATENATE(LEFT($R21,2),"L"),$R$63:$T$91,3,FALSE),0)+IF(AND($R21="O3/CP",$R$14=C$18),VLOOKUP("O3",$R$63:$T$91,3,FALSE)+VLOOKUP("CP",$R$63:$T$91,3,FALSE),0)+IF(AND($S21&lt;&gt;"",$S21&lt;&gt;"--",$S21&lt;&gt;"O3/CP",$S$14=C$18),IF(LEFT($S21,1)="P",VLOOKUP(CONCATENATE(LEFT($S21,2),"H"),$R$63:$T$91,3,FALSE),VLOOKUP($S21,$R$63:$T$91,3,FALSE)))+IF(AND($S21&lt;&gt;"",$S21&lt;&gt;"O3/CP",$S$15=C$18,MID($S21,4,1)="2",$S$15&lt;&gt;$S$14),VLOOKUP(CONCATENATE(LEFT($S21,2),"L"),$R$63:$T$91,3,FALSE),0)+IF(AND($S21="O3/CP",$S$14=C$18),VLOOKUP("O3",$R$63:$T$91,3,FALSE)+VLOOKUP("CP",$R$63:$T$91,3,FALSE),0)+IF(AND($T21&lt;&gt;"",$T21&lt;&gt;"--",$T21&lt;&gt;"O3/CP",$T$14=C$18),IF(LEFT($T21,1)="P",VLOOKUP(CONCATENATE(LEFT($T21,2),"H"),$R$63:$T$91,3,FALSE),VLOOKUP($T21,$R$63:$T$91,3,FALSE)))+IF(AND($T21&lt;&gt;"",$T21&lt;&gt;"O3/CP",$T$15=C$18,MID($T21,4,1)="2",$T$15&lt;&gt;$T$14),VLOOKUP(CONCATENATE(LEFT($T21,2),"L"),$R$63:$T$91,3,FALSE),0)+IF(AND($T21="O3/CP",$T$14=C$18),VLOOKUP("O3",$R$63:$T$91,3,FALSE)+VLOOKUP("CP",$R$63:$T$91,3,FALSE),0)+IF(AND($U21&lt;&gt;"",$U21&lt;&gt;"--",$U21&lt;&gt;"O3/CP",$U$14=C$18),IF(LEFT($U21,1)="P",VLOOKUP(CONCATENATE(LEFT($U21,2),"H"),$R$63:$T$91,3,FALSE),VLOOKUP($U21,$R$63:$T$91,3,FALSE)))+IF(AND($U21&lt;&gt;"",$U21&lt;&gt;"O3/CP",$U$15=C$18,MID($U21,4,1)="2",$U$15&lt;&gt;$U$14),VLOOKUP(CONCATENATE(LEFT($U21,2),"L"),$R$63:$T$91,3,FALSE),0)+IF(AND($U21="O3/CP",$T$14=C$18),VLOOKUP("O3",$R$63:$T$91,3,FALSE)+VLOOKUP("CP",$R$63:$T$91,3,FALSE),0)+IF(AND($V21&lt;&gt;"",$V21&lt;&gt;"--",$V21&lt;&gt;"O3/CP",$V$14=C$18),IF(LEFT($V21,1)="P",VLOOKUP(CONCATENATE(LEFT($V21,2),"H"),$R$63:$T$91,3,FALSE),VLOOKUP($V21,$R$63:$T$91,3,FALSE)))+IF(AND($V21&lt;&gt;"",$V21&lt;&gt;"O3/CP",$V$15=C$18,MID($V21,4,1)="2",$V$15&lt;&gt;$V$14),VLOOKUP(CONCATENATE(LEFT($V21,2),"L"),$R$63:$T$91,3,FALSE),0)+IF(AND($V21="O3/CP",$V$14=C$18),VLOOKUP("O3",$R$63:$T$91,3,FALSE)+VLOOKUP("CP",$R$63:$T$91,3,FALSE),0)+IF(AND($W21&lt;&gt;"",$W21&lt;&gt;"--",$W21&lt;&gt;"O3/CP",$W$14=C$18),IF(LEFT($W21,1)="P",VLOOKUP(CONCATENATE(LEFT($W21,2),"H"),$R$63:$T$91,3,FALSE),VLOOKUP($W21,$R$63:$T$91,3,FALSE)))+IF(AND($W21&lt;&gt;"",$W21&lt;&gt;"O3/CP",$W$15=C$18,MID($W21,4,1)="2",$W$15&lt;&gt;$W$14),VLOOKUP(CONCATENATE(LEFT($W21,2),"L"),$R$63:$T$91,3,FALSE),0)+IF(AND($W21="O3/CP",$W$14=C$18),VLOOKUP("O3",$R$63:$T$91,3,FALSE)+VLOOKUP("CP",$R$63:$T$91,3,FALSE),0)+IF(AND($X21&lt;&gt;"",$X21&lt;&gt;"--",$X21&lt;&gt;"O3/CP",$X$14=C$18),IF(LEFT($X21,1)="P",VLOOKUP(CONCATENATE(LEFT($X21,2),"H"),$R$63:$T$91,3,FALSE),VLOOKUP($X21,$R$63:$T$91,3,FALSE)))+IF(AND($X21&lt;&gt;"",$X21&lt;&gt;"O3/CP",$X$15=C$18,MID($X21,4,1)="2",$X$15&lt;&gt;$X$14),VLOOKUP(CONCATENATE(LEFT($X21,2),"L"),$R$63:$T$91,3,FALSE),0)+IF(AND($X21="O3/CP",$X$14=C$18),VLOOKUP("O3",$R$63:$T$91,3,FALSE)+VLOOKUP("CP",$R$63:$T$91,3,FALSE),0)+IF(AND($Y21&lt;&gt;"",$Y21&lt;&gt;"--",$Y21&lt;&gt;"O3/CP",$Y$14=C$18),IF(LEFT($Y21,1)="P",VLOOKUP(CONCATENATE(LEFT($Y21,2),"H"),$R$63:$T$91,3,FALSE),VLOOKUP($Y21,$R$63:$T$91,3,FALSE)))+IF(AND($Y21&lt;&gt;"",$Y21&lt;&gt;"O3/CP",$Y$15=C$18,MID($Y21,4,1)="2",$Y$15&lt;&gt;$Y$14),VLOOKUP(CONCATENATE(LEFT($Y21,2),"L"),$R$63:$T$91,3,FALSE),0)+IF(AND($Y21="O3/CP",$Y$14=C$18),VLOOKUP("O3",$R$63:$T$91,3,FALSE)+VLOOKUP("CP",$R$63:$T$91,3,FALSE),0)+IF(AND($K$6="CE",'[3]Supply Attribution'!$G$20=C$18),LEFT($S$90,2),0)+IF(AND($X$86&lt;&gt;"Not Set",$X$87=C$18),$X$86,0)</f>
        <v>12</v>
      </c>
      <c r="D21" s="271">
        <f>IF(AND($K21&lt;&gt;"",$K21&lt;&gt;"--",$K21&lt;&gt;"O3/CP",$K$14=D$18),IF(LEFT($K21,1)="P",VLOOKUP(CONCATENATE(LEFT($K21,2),"H"),$R$63:$T$91,3,FALSE),VLOOKUP($K21,$R$63:$T$91,3,FALSE)))+IF(AND($K21&lt;&gt;"",$K21&lt;&gt;"O3/CP",$K$15=D$18,MID($K21,4,1)="2",$K$15&lt;&gt;$K$14),VLOOKUP(CONCATENATE(LEFT($K21,2),"L"),$R$63:$T$91,3,FALSE),0)+IF(AND($K21="O3/CP",$K$14=D$18),VLOOKUP("O3",$R$63:$T$91,3,FALSE)+VLOOKUP("CP",$R$63:$T$91,3,FALSE),0)+IF(AND($L21&lt;&gt;"",$L21&lt;&gt;"--",$L21&lt;&gt;"O3/CP",$L$14=D$18),IF(LEFT($L21,1)="P",VLOOKUP(CONCATENATE(LEFT($L21,2),"H"),$R$63:$T$91,3,FALSE),VLOOKUP($L21,$R$63:$T$91,3,FALSE)))+IF(AND($L21&lt;&gt;"",$L21&lt;&gt;"O3/CP",$L$15=D$18,MID($L21,4,1)="2",$L$15&lt;&gt;$L$14),VLOOKUP(CONCATENATE(LEFT($L21,2),"L"),$R$63:$T$91,3,FALSE),0)+IF(AND($L21="O3/CP",$L$14=D$18),VLOOKUP("O3",$R$63:$T$91,3,FALSE)+VLOOKUP("CP",$R$63:$T$91,3,FALSE),0)+IF(AND($M21&lt;&gt;"",$M21&lt;&gt;"--",$M21&lt;&gt;"O3/CP",$M$14=D$18),IF(LEFT($M21,1)="P",VLOOKUP(CONCATENATE(LEFT($M21,2),"H"),$R$63:$T$91,3,FALSE),VLOOKUP($M21,$R$63:$T$91,3,FALSE)))+IF(AND($M21&lt;&gt;"",$M21&lt;&gt;"O3/CP",$M$15=D$18,MID($M21,4,1)="2",$M$15&lt;&gt;$M$14),VLOOKUP(CONCATENATE(LEFT($M21,2),"L"),$R$63:$T$91,3,FALSE),0)+IF(AND($M21="O3/CP",$M$14=D$18),VLOOKUP("O3",$R$63:$T$91,3,FALSE)+VLOOKUP("CP",$R$63:$T$91,3,FALSE),0)+IF(AND($N21&lt;&gt;"",$N21&lt;&gt;"--",$N21&lt;&gt;"O3/CP",$N$14=D$18),IF(LEFT($N21,1)="P",VLOOKUP(CONCATENATE(LEFT($N21,2),"H"),$R$63:$T$91,3,FALSE),VLOOKUP($N21,$R$63:$T$91,3,FALSE)))+IF(AND($N21&lt;&gt;"",$N21&lt;&gt;"O3/CP",$N$15=D$18,MID($N21,4,1)="2",$N$15&lt;&gt;$N$14),VLOOKUP(CONCATENATE(LEFT($N21,2),"L"),$R$63:$T$91,3,FALSE),0)+IF(AND($N21="O3/CP",$N$14=D$18),VLOOKUP("O3",$R$63:$T$91,3,FALSE)+VLOOKUP("CP",$R$63:$T$91,3,FALSE),0)+IF(AND($O21&lt;&gt;"",$O21&lt;&gt;"--",$O21&lt;&gt;"O3/CP",$O$14=D$18),IF(LEFT($O21,1)="P",VLOOKUP(CONCATENATE(LEFT($O21,2),"H"),$R$63:$T$91,3,FALSE),VLOOKUP($O21,$R$63:$T$91,3,FALSE)))+IF(AND($O21&lt;&gt;"",$O21&lt;&gt;"O3/CP",$O$15=D$18,MID($O21,4,1)="2",$O$15&lt;&gt;$O$14),VLOOKUP(CONCATENATE(LEFT($O21,2),"L"),$R$63:$T$91,3,FALSE),0)+IF(AND($O21="O3/CP",$O$14=D$18),VLOOKUP("O3",$R$63:$T$91,3,FALSE)+VLOOKUP("CP",$R$63:$T$91,3,FALSE),0)+IF(AND($P21&lt;&gt;"",$P21&lt;&gt;"--",$P21&lt;&gt;"O3/CP",$P$14=D$18),IF(LEFT($P21,1)="P",VLOOKUP(CONCATENATE(LEFT($P21,2),"H"),$R$63:$T$91,3,FALSE),VLOOKUP($P21,$R$63:$T$91,3,FALSE)))+IF(AND($P21&lt;&gt;"",$P21&lt;&gt;"O3/CP",$P$15=D$18,MID($P21,4,1)="2",$P$15&lt;&gt;$P$14),VLOOKUP(CONCATENATE(LEFT($P21,2),"L"),$R$63:$T$91,3,FALSE),0)+IF(AND($P21="O3/CP",$P$14=D$18),VLOOKUP("O3",$R$63:$T$91,3,FALSE)+VLOOKUP("CP",$R$63:$T$91,3,FALSE),0)+IF(AND($Q21&lt;&gt;"",$Q21&lt;&gt;"--",$Q21&lt;&gt;"O3/CP",$Q$14=D$18),IF(LEFT($Q21,1)="P",VLOOKUP(CONCATENATE(LEFT($Q21,2),"H"),$R$63:$T$91,3,FALSE),VLOOKUP($Q21,$R$63:$T$91,3,FALSE)))+IF(AND($Q21&lt;&gt;"",$Q21&lt;&gt;"O3/CP",$Q$15=D$18,MID($Q21,4,1)="2",$Q$15&lt;&gt;$Q$14),VLOOKUP(CONCATENATE(LEFT($Q21,2),"L"),$R$63:$T$91,3,FALSE),0)+IF(AND($Q21="O3/CP",$Q$14=D$18),VLOOKUP("O3",$R$63:$T$91,3,FALSE)+VLOOKUP("CP",$R$63:$T$91,3,FALSE),0)+IF(AND($R21&lt;&gt;"",$R21&lt;&gt;"--",$R21&lt;&gt;"O3/CP",$R$14=D$18),IF(LEFT($R21,1)="P",VLOOKUP(CONCATENATE(LEFT($R21,2),"H"),$R$63:$T$91,3,FALSE),VLOOKUP($R21,$R$63:$T$91,3,FALSE)))+IF(AND($R21&lt;&gt;"",$R21&lt;&gt;"O3/CP",$R$15=D$18,MID($R21,4,1)="2",$R$15&lt;&gt;$R$14),VLOOKUP(CONCATENATE(LEFT($R21,2),"L"),$R$63:$T$91,3,FALSE),0)+IF(AND($R21="O3/CP",$R$14=D$18),VLOOKUP("O3",$R$63:$T$91,3,FALSE)+VLOOKUP("CP",$R$63:$T$91,3,FALSE),0)+IF(AND($S21&lt;&gt;"",$S21&lt;&gt;"--",$S21&lt;&gt;"O3/CP",$S$14=D$18),IF(LEFT($S21,1)="P",VLOOKUP(CONCATENATE(LEFT($S21,2),"H"),$R$63:$T$91,3,FALSE),VLOOKUP($S21,$R$63:$T$91,3,FALSE)))+IF(AND($S21&lt;&gt;"",$S21&lt;&gt;"O3/CP",$S$15=D$18,MID($S21,4,1)="2",$S$15&lt;&gt;$S$14),VLOOKUP(CONCATENATE(LEFT($S21,2),"L"),$R$63:$T$91,3,FALSE),0)+IF(AND($S21="O3/CP",$S$14=D$18),VLOOKUP("O3",$R$63:$T$91,3,FALSE)+VLOOKUP("CP",$R$63:$T$91,3,FALSE),0)+IF(AND($T21&lt;&gt;"",$T21&lt;&gt;"--",$T21&lt;&gt;"O3/CP",$T$14=D$18),IF(LEFT($T21,1)="P",VLOOKUP(CONCATENATE(LEFT($T21,2),"H"),$R$63:$T$91,3,FALSE),VLOOKUP($T21,$R$63:$T$91,3,FALSE)))+IF(AND($T21&lt;&gt;"",$T21&lt;&gt;"O3/CP",$T$15=D$18,MID($T21,4,1)="2",$T$15&lt;&gt;$T$14),VLOOKUP(CONCATENATE(LEFT($T21,2),"L"),$R$63:$T$91,3,FALSE),0)+IF(AND($T21="O3/CP",$T$14=D$18),VLOOKUP("O3",$R$63:$T$91,3,FALSE)+VLOOKUP("CP",$R$63:$T$91,3,FALSE),0)+IF(AND($U21&lt;&gt;"",$U21&lt;&gt;"--",$U21&lt;&gt;"O3/CP",$U$14=D$18),IF(LEFT($U21,1)="P",VLOOKUP(CONCATENATE(LEFT($U21,2),"H"),$R$63:$T$91,3,FALSE),VLOOKUP($U21,$R$63:$T$91,3,FALSE)))+IF(AND($U21&lt;&gt;"",$U21&lt;&gt;"O3/CP",$U$15=D$18,MID($U21,4,1)="2",$U$15&lt;&gt;$U$14),VLOOKUP(CONCATENATE(LEFT($U21,2),"L"),$R$63:$T$91,3,FALSE),0)+IF(AND($U21="O3/CP",$T$14=D$18),VLOOKUP("O3",$R$63:$T$91,3,FALSE)+VLOOKUP("CP",$R$63:$T$91,3,FALSE),0)+IF(AND($V21&lt;&gt;"",$V21&lt;&gt;"--",$V21&lt;&gt;"O3/CP",$V$14=D$18),IF(LEFT($V21,1)="P",VLOOKUP(CONCATENATE(LEFT($V21,2),"H"),$R$63:$T$91,3,FALSE),VLOOKUP($V21,$R$63:$T$91,3,FALSE)))+IF(AND($V21&lt;&gt;"",$V21&lt;&gt;"O3/CP",$V$15=D$18,MID($V21,4,1)="2",$V$15&lt;&gt;$V$14),VLOOKUP(CONCATENATE(LEFT($V21,2),"L"),$R$63:$T$91,3,FALSE),0)+IF(AND($V21="O3/CP",$V$14=D$18),VLOOKUP("O3",$R$63:$T$91,3,FALSE)+VLOOKUP("CP",$R$63:$T$91,3,FALSE),0)+IF(AND($W21&lt;&gt;"",$W21&lt;&gt;"--",$W21&lt;&gt;"O3/CP",$W$14=D$18),IF(LEFT($W21,1)="P",VLOOKUP(CONCATENATE(LEFT($W21,2),"H"),$R$63:$T$91,3,FALSE),VLOOKUP($W21,$R$63:$T$91,3,FALSE)))+IF(AND($W21&lt;&gt;"",$W21&lt;&gt;"O3/CP",$W$15=D$18,MID($W21,4,1)="2",$W$15&lt;&gt;$W$14),VLOOKUP(CONCATENATE(LEFT($W21,2),"L"),$R$63:$T$91,3,FALSE),0)+IF(AND($W21="O3/CP",$W$14=D$18),VLOOKUP("O3",$R$63:$T$91,3,FALSE)+VLOOKUP("CP",$R$63:$T$91,3,FALSE),0)+IF(AND($X21&lt;&gt;"",$X21&lt;&gt;"--",$X21&lt;&gt;"O3/CP",$X$14=D$18),IF(LEFT($X21,1)="P",VLOOKUP(CONCATENATE(LEFT($X21,2),"H"),$R$63:$T$91,3,FALSE),VLOOKUP($X21,$R$63:$T$91,3,FALSE)))+IF(AND($X21&lt;&gt;"",$X21&lt;&gt;"O3/CP",$X$15=D$18,MID($X21,4,1)="2",$X$15&lt;&gt;$X$14),VLOOKUP(CONCATENATE(LEFT($X21,2),"L"),$R$63:$T$91,3,FALSE),0)+IF(AND($X21="O3/CP",$X$14=D$18),VLOOKUP("O3",$R$63:$T$91,3,FALSE)+VLOOKUP("CP",$R$63:$T$91,3,FALSE),0)+IF(AND($Y21&lt;&gt;"",$Y21&lt;&gt;"--",$Y21&lt;&gt;"O3/CP",$Y$14=D$18),IF(LEFT($Y21,1)="P",VLOOKUP(CONCATENATE(LEFT($Y21,2),"H"),$R$63:$T$91,3,FALSE),VLOOKUP($Y21,$R$63:$T$91,3,FALSE)))+IF(AND($Y21&lt;&gt;"",$Y21&lt;&gt;"O3/CP",$Y$15=D$18,MID($Y21,4,1)="2",$Y$15&lt;&gt;$Y$14),VLOOKUP(CONCATENATE(LEFT($Y21,2),"L"),$R$63:$T$91,3,FALSE),0)+IF(AND($Y21="O3/CP",$Y$14=D$18),VLOOKUP("O3",$R$63:$T$91,3,FALSE)+VLOOKUP("CP",$R$63:$T$91,3,FALSE),0)+IF(AND($K$6="CE",'[3]Supply Attribution'!$G$20=D$18),LEFT($S$90,2),0)+IF(AND($X$86&lt;&gt;"Not Set",$X$87=D$18),$X$86,0)</f>
        <v>0</v>
      </c>
      <c r="E21" s="271">
        <f>IF(AND($K21&lt;&gt;"",$K21&lt;&gt;"--",$K21&lt;&gt;"O3/CP",$K$14=E$18),IF(LEFT($K21,1)="P",VLOOKUP(CONCATENATE(LEFT($K21,2),"H"),$R$63:$T$91,3,FALSE),VLOOKUP($K21,$R$63:$T$91,3,FALSE)))+IF(AND($K21&lt;&gt;"",$K21&lt;&gt;"O3/CP",$K$15=E$18,MID($K21,4,1)="2",$K$15&lt;&gt;$K$14),VLOOKUP(CONCATENATE(LEFT($K21,2),"L"),$R$63:$T$91,3,FALSE),0)+IF(AND($K21="O3/CP",$K$14=E$18),VLOOKUP("O3",$R$63:$T$91,3,FALSE)+VLOOKUP("CP",$R$63:$T$91,3,FALSE),0)+IF(AND($L21&lt;&gt;"",$L21&lt;&gt;"--",$L21&lt;&gt;"O3/CP",$L$14=E$18),IF(LEFT($L21,1)="P",VLOOKUP(CONCATENATE(LEFT($L21,2),"H"),$R$63:$T$91,3,FALSE),VLOOKUP($L21,$R$63:$T$91,3,FALSE)))+IF(AND($L21&lt;&gt;"",$L21&lt;&gt;"O3/CP",$L$15=E$18,MID($L21,4,1)="2",$L$15&lt;&gt;$L$14),VLOOKUP(CONCATENATE(LEFT($L21,2),"L"),$R$63:$T$91,3,FALSE),0)+IF(AND($L21="O3/CP",$L$14=E$18),VLOOKUP("O3",$R$63:$T$91,3,FALSE)+VLOOKUP("CP",$R$63:$T$91,3,FALSE),0)+IF(AND($M21&lt;&gt;"",$M21&lt;&gt;"--",$M21&lt;&gt;"O3/CP",$M$14=E$18),IF(LEFT($M21,1)="P",VLOOKUP(CONCATENATE(LEFT($M21,2),"H"),$R$63:$T$91,3,FALSE),VLOOKUP($M21,$R$63:$T$91,3,FALSE)))+IF(AND($M21&lt;&gt;"",$M21&lt;&gt;"O3/CP",$M$15=E$18,MID($M21,4,1)="2",$M$15&lt;&gt;$M$14),VLOOKUP(CONCATENATE(LEFT($M21,2),"L"),$R$63:$T$91,3,FALSE),0)+IF(AND($M21="O3/CP",$M$14=E$18),VLOOKUP("O3",$R$63:$T$91,3,FALSE)+VLOOKUP("CP",$R$63:$T$91,3,FALSE),0)+IF(AND($N21&lt;&gt;"",$N21&lt;&gt;"--",$N21&lt;&gt;"O3/CP",$N$14=E$18),IF(LEFT($N21,1)="P",VLOOKUP(CONCATENATE(LEFT($N21,2),"H"),$R$63:$T$91,3,FALSE),VLOOKUP($N21,$R$63:$T$91,3,FALSE)))+IF(AND($N21&lt;&gt;"",$N21&lt;&gt;"O3/CP",$N$15=E$18,MID($N21,4,1)="2",$N$15&lt;&gt;$N$14),VLOOKUP(CONCATENATE(LEFT($N21,2),"L"),$R$63:$T$91,3,FALSE),0)+IF(AND($N21="O3/CP",$N$14=E$18),VLOOKUP("O3",$R$63:$T$91,3,FALSE)+VLOOKUP("CP",$R$63:$T$91,3,FALSE),0)+IF(AND($O21&lt;&gt;"",$O21&lt;&gt;"--",$O21&lt;&gt;"O3/CP",$O$14=E$18),IF(LEFT($O21,1)="P",VLOOKUP(CONCATENATE(LEFT($O21,2),"H"),$R$63:$T$91,3,FALSE),VLOOKUP($O21,$R$63:$T$91,3,FALSE)))+IF(AND($O21&lt;&gt;"",$O21&lt;&gt;"O3/CP",$O$15=E$18,MID($O21,4,1)="2",$O$15&lt;&gt;$O$14),VLOOKUP(CONCATENATE(LEFT($O21,2),"L"),$R$63:$T$91,3,FALSE),0)+IF(AND($O21="O3/CP",$O$14=E$18),VLOOKUP("O3",$R$63:$T$91,3,FALSE)+VLOOKUP("CP",$R$63:$T$91,3,FALSE),0)+IF(AND($P21&lt;&gt;"",$P21&lt;&gt;"--",$P21&lt;&gt;"O3/CP",$P$14=E$18),IF(LEFT($P21,1)="P",VLOOKUP(CONCATENATE(LEFT($P21,2),"H"),$R$63:$T$91,3,FALSE),VLOOKUP($P21,$R$63:$T$91,3,FALSE)))+IF(AND($P21&lt;&gt;"",$P21&lt;&gt;"O3/CP",$P$15=E$18,MID($P21,4,1)="2",$P$15&lt;&gt;$P$14),VLOOKUP(CONCATENATE(LEFT($P21,2),"L"),$R$63:$T$91,3,FALSE),0)+IF(AND($P21="O3/CP",$P$14=E$18),VLOOKUP("O3",$R$63:$T$91,3,FALSE)+VLOOKUP("CP",$R$63:$T$91,3,FALSE),0)+IF(AND($Q21&lt;&gt;"",$Q21&lt;&gt;"--",$Q21&lt;&gt;"O3/CP",$Q$14=E$18),IF(LEFT($Q21,1)="P",VLOOKUP(CONCATENATE(LEFT($Q21,2),"H"),$R$63:$T$91,3,FALSE),VLOOKUP($Q21,$R$63:$T$91,3,FALSE)))+IF(AND($Q21&lt;&gt;"",$Q21&lt;&gt;"O3/CP",$Q$15=E$18,MID($Q21,4,1)="2",$Q$15&lt;&gt;$Q$14),VLOOKUP(CONCATENATE(LEFT($Q21,2),"L"),$R$63:$T$91,3,FALSE),0)+IF(AND($Q21="O3/CP",$Q$14=E$18),VLOOKUP("O3",$R$63:$T$91,3,FALSE)+VLOOKUP("CP",$R$63:$T$91,3,FALSE),0)+IF(AND($R21&lt;&gt;"",$R21&lt;&gt;"--",$R21&lt;&gt;"O3/CP",$R$14=E$18),IF(LEFT($R21,1)="P",VLOOKUP(CONCATENATE(LEFT($R21,2),"H"),$R$63:$T$91,3,FALSE),VLOOKUP($R21,$R$63:$T$91,3,FALSE)))+IF(AND($R21&lt;&gt;"",$R21&lt;&gt;"O3/CP",$R$15=E$18,MID($R21,4,1)="2",$R$15&lt;&gt;$R$14),VLOOKUP(CONCATENATE(LEFT($R21,2),"L"),$R$63:$T$91,3,FALSE),0)+IF(AND($R21="O3/CP",$R$14=E$18),VLOOKUP("O3",$R$63:$T$91,3,FALSE)+VLOOKUP("CP",$R$63:$T$91,3,FALSE),0)+IF(AND($S21&lt;&gt;"",$S21&lt;&gt;"--",$S21&lt;&gt;"O3/CP",$S$14=E$18),IF(LEFT($S21,1)="P",VLOOKUP(CONCATENATE(LEFT($S21,2),"H"),$R$63:$T$91,3,FALSE),VLOOKUP($S21,$R$63:$T$91,3,FALSE)))+IF(AND($S21&lt;&gt;"",$S21&lt;&gt;"O3/CP",$S$15=E$18,MID($S21,4,1)="2",$S$15&lt;&gt;$S$14),VLOOKUP(CONCATENATE(LEFT($S21,2),"L"),$R$63:$T$91,3,FALSE),0)+IF(AND($S21="O3/CP",$S$14=E$18),VLOOKUP("O3",$R$63:$T$91,3,FALSE)+VLOOKUP("CP",$R$63:$T$91,3,FALSE),0)+IF(AND($T21&lt;&gt;"",$T21&lt;&gt;"--",$T21&lt;&gt;"O3/CP",$T$14=E$18),IF(LEFT($T21,1)="P",VLOOKUP(CONCATENATE(LEFT($T21,2),"H"),$R$63:$T$91,3,FALSE),VLOOKUP($T21,$R$63:$T$91,3,FALSE)))+IF(AND($T21&lt;&gt;"",$T21&lt;&gt;"O3/CP",$T$15=E$18,MID($T21,4,1)="2",$T$15&lt;&gt;$T$14),VLOOKUP(CONCATENATE(LEFT($T21,2),"L"),$R$63:$T$91,3,FALSE),0)+IF(AND($T21="O3/CP",$T$14=E$18),VLOOKUP("O3",$R$63:$T$91,3,FALSE)+VLOOKUP("CP",$R$63:$T$91,3,FALSE),0)+IF(AND($U21&lt;&gt;"",$U21&lt;&gt;"--",$U21&lt;&gt;"O3/CP",$U$14=E$18),IF(LEFT($U21,1)="P",VLOOKUP(CONCATENATE(LEFT($U21,2),"H"),$R$63:$T$91,3,FALSE),VLOOKUP($U21,$R$63:$T$91,3,FALSE)))+IF(AND($U21&lt;&gt;"",$U21&lt;&gt;"O3/CP",$U$15=E$18,MID($U21,4,1)="2",$U$15&lt;&gt;$U$14),VLOOKUP(CONCATENATE(LEFT($U21,2),"L"),$R$63:$T$91,3,FALSE),0)+IF(AND($U21="O3/CP",$T$14=E$18),VLOOKUP("O3",$R$63:$T$91,3,FALSE)+VLOOKUP("CP",$R$63:$T$91,3,FALSE),0)+IF(AND($V21&lt;&gt;"",$V21&lt;&gt;"--",$V21&lt;&gt;"O3/CP",$V$14=E$18),IF(LEFT($V21,1)="P",VLOOKUP(CONCATENATE(LEFT($V21,2),"H"),$R$63:$T$91,3,FALSE),VLOOKUP($V21,$R$63:$T$91,3,FALSE)))+IF(AND($V21&lt;&gt;"",$V21&lt;&gt;"O3/CP",$V$15=E$18,MID($V21,4,1)="2",$V$15&lt;&gt;$V$14),VLOOKUP(CONCATENATE(LEFT($V21,2),"L"),$R$63:$T$91,3,FALSE),0)+IF(AND($V21="O3/CP",$V$14=E$18),VLOOKUP("O3",$R$63:$T$91,3,FALSE)+VLOOKUP("CP",$R$63:$T$91,3,FALSE),0)+IF(AND($W21&lt;&gt;"",$W21&lt;&gt;"--",$W21&lt;&gt;"O3/CP",$W$14=E$18),IF(LEFT($W21,1)="P",VLOOKUP(CONCATENATE(LEFT($W21,2),"H"),$R$63:$T$91,3,FALSE),VLOOKUP($W21,$R$63:$T$91,3,FALSE)))+IF(AND($W21&lt;&gt;"",$W21&lt;&gt;"O3/CP",$W$15=E$18,MID($W21,4,1)="2",$W$15&lt;&gt;$W$14),VLOOKUP(CONCATENATE(LEFT($W21,2),"L"),$R$63:$T$91,3,FALSE),0)+IF(AND($W21="O3/CP",$W$14=E$18),VLOOKUP("O3",$R$63:$T$91,3,FALSE)+VLOOKUP("CP",$R$63:$T$91,3,FALSE),0)+IF(AND($X21&lt;&gt;"",$X21&lt;&gt;"--",$X21&lt;&gt;"O3/CP",$X$14=E$18),IF(LEFT($X21,1)="P",VLOOKUP(CONCATENATE(LEFT($X21,2),"H"),$R$63:$T$91,3,FALSE),VLOOKUP($X21,$R$63:$T$91,3,FALSE)))+IF(AND($X21&lt;&gt;"",$X21&lt;&gt;"O3/CP",$X$15=E$18,MID($X21,4,1)="2",$X$15&lt;&gt;$X$14),VLOOKUP(CONCATENATE(LEFT($X21,2),"L"),$R$63:$T$91,3,FALSE),0)+IF(AND($X21="O3/CP",$X$14=E$18),VLOOKUP("O3",$R$63:$T$91,3,FALSE)+VLOOKUP("CP",$R$63:$T$91,3,FALSE),0)+IF(AND($Y21&lt;&gt;"",$Y21&lt;&gt;"--",$Y21&lt;&gt;"O3/CP",$Y$14=E$18),IF(LEFT($Y21,1)="P",VLOOKUP(CONCATENATE(LEFT($Y21,2),"H"),$R$63:$T$91,3,FALSE),VLOOKUP($Y21,$R$63:$T$91,3,FALSE)))+IF(AND($Y21&lt;&gt;"",$Y21&lt;&gt;"O3/CP",$Y$15=E$18,MID($Y21,4,1)="2",$Y$15&lt;&gt;$Y$14),VLOOKUP(CONCATENATE(LEFT($Y21,2),"L"),$R$63:$T$91,3,FALSE),0)+IF(AND($Y21="O3/CP",$Y$14=E$18),VLOOKUP("O3",$R$63:$T$91,3,FALSE)+VLOOKUP("CP",$R$63:$T$91,3,FALSE),0)+IF(AND($K$6="CE",'[3]Supply Attribution'!$G$20=E$18),LEFT($S$90,2),0)+IF(AND($X$86&lt;&gt;"Not Set",$X$87=E$18),$X$86,0)</f>
        <v>0</v>
      </c>
      <c r="F21" s="272">
        <f>IF(AND($K21&lt;&gt;"",$K21&lt;&gt;"--",$K21&lt;&gt;"O3/CP",$K$14=F$18),IF(LEFT($K21,1)="P",VLOOKUP(CONCATENATE(LEFT($K21,2),"H"),$R$63:$T$91,3,FALSE),VLOOKUP($K21,$R$63:$T$91,3,FALSE)))+IF(AND($K21&lt;&gt;"",$K21&lt;&gt;"O3/CP",$K$15=F$18,MID($K21,4,1)="2",$K$15&lt;&gt;$K$14),VLOOKUP(CONCATENATE(LEFT($K21,2),"L"),$R$63:$T$91,3,FALSE),0)+IF(AND($K21="O3/CP",$K$14=F$18),VLOOKUP("O3",$R$63:$T$91,3,FALSE)+VLOOKUP("CP",$R$63:$T$91,3,FALSE),0)+IF(AND($L21&lt;&gt;"",$L21&lt;&gt;"--",$L21&lt;&gt;"O3/CP",$L$14=F$18),IF(LEFT($L21,1)="P",VLOOKUP(CONCATENATE(LEFT($L21,2),"H"),$R$63:$T$91,3,FALSE),VLOOKUP($L21,$R$63:$T$91,3,FALSE)))+IF(AND($L21&lt;&gt;"",$L21&lt;&gt;"O3/CP",$L$15=F$18,MID($L21,4,1)="2",$L$15&lt;&gt;$L$14),VLOOKUP(CONCATENATE(LEFT($L21,2),"L"),$R$63:$T$91,3,FALSE),0)+IF(AND($L21="O3/CP",$L$14=F$18),VLOOKUP("O3",$R$63:$T$91,3,FALSE)+VLOOKUP("CP",$R$63:$T$91,3,FALSE),0)+IF(AND($M21&lt;&gt;"",$M21&lt;&gt;"--",$M21&lt;&gt;"O3/CP",$M$14=F$18),IF(LEFT($M21,1)="P",VLOOKUP(CONCATENATE(LEFT($M21,2),"H"),$R$63:$T$91,3,FALSE),VLOOKUP($M21,$R$63:$T$91,3,FALSE)))+IF(AND($M21&lt;&gt;"",$M21&lt;&gt;"O3/CP",$M$15=F$18,MID($M21,4,1)="2",$M$15&lt;&gt;$M$14),VLOOKUP(CONCATENATE(LEFT($M21,2),"L"),$R$63:$T$91,3,FALSE),0)+IF(AND($M21="O3/CP",$M$14=F$18),VLOOKUP("O3",$R$63:$T$91,3,FALSE)+VLOOKUP("CP",$R$63:$T$91,3,FALSE),0)+IF(AND($N21&lt;&gt;"",$N21&lt;&gt;"--",$N21&lt;&gt;"O3/CP",$N$14=F$18),IF(LEFT($N21,1)="P",VLOOKUP(CONCATENATE(LEFT($N21,2),"H"),$R$63:$T$91,3,FALSE),VLOOKUP($N21,$R$63:$T$91,3,FALSE)))+IF(AND($N21&lt;&gt;"",$N21&lt;&gt;"O3/CP",$N$15=F$18,MID($N21,4,1)="2",$N$15&lt;&gt;$N$14),VLOOKUP(CONCATENATE(LEFT($N21,2),"L"),$R$63:$T$91,3,FALSE),0)+IF(AND($N21="O3/CP",$N$14=F$18),VLOOKUP("O3",$R$63:$T$91,3,FALSE)+VLOOKUP("CP",$R$63:$T$91,3,FALSE),0)+IF(AND($O21&lt;&gt;"",$O21&lt;&gt;"--",$O21&lt;&gt;"O3/CP",$O$14=F$18),IF(LEFT($O21,1)="P",VLOOKUP(CONCATENATE(LEFT($O21,2),"H"),$R$63:$T$91,3,FALSE),VLOOKUP($O21,$R$63:$T$91,3,FALSE)))+IF(AND($O21&lt;&gt;"",$O21&lt;&gt;"O3/CP",$O$15=F$18,MID($O21,4,1)="2",$O$15&lt;&gt;$O$14),VLOOKUP(CONCATENATE(LEFT($O21,2),"L"),$R$63:$T$91,3,FALSE),0)+IF(AND($O21="O3/CP",$O$14=F$18),VLOOKUP("O3",$R$63:$T$91,3,FALSE)+VLOOKUP("CP",$R$63:$T$91,3,FALSE),0)+IF(AND($P21&lt;&gt;"",$P21&lt;&gt;"--",$P21&lt;&gt;"O3/CP",$P$14=F$18),IF(LEFT($P21,1)="P",VLOOKUP(CONCATENATE(LEFT($P21,2),"H"),$R$63:$T$91,3,FALSE),VLOOKUP($P21,$R$63:$T$91,3,FALSE)))+IF(AND($P21&lt;&gt;"",$P21&lt;&gt;"O3/CP",$P$15=F$18,MID($P21,4,1)="2",$P$15&lt;&gt;$P$14),VLOOKUP(CONCATENATE(LEFT($P21,2),"L"),$R$63:$T$91,3,FALSE),0)+IF(AND($P21="O3/CP",$P$14=F$18),VLOOKUP("O3",$R$63:$T$91,3,FALSE)+VLOOKUP("CP",$R$63:$T$91,3,FALSE),0)+IF(AND($Q21&lt;&gt;"",$Q21&lt;&gt;"--",$Q21&lt;&gt;"O3/CP",$Q$14=F$18),IF(LEFT($Q21,1)="P",VLOOKUP(CONCATENATE(LEFT($Q21,2),"H"),$R$63:$T$91,3,FALSE),VLOOKUP($Q21,$R$63:$T$91,3,FALSE)))+IF(AND($Q21&lt;&gt;"",$Q21&lt;&gt;"O3/CP",$Q$15=F$18,MID($Q21,4,1)="2",$Q$15&lt;&gt;$Q$14),VLOOKUP(CONCATENATE(LEFT($Q21,2),"L"),$R$63:$T$91,3,FALSE),0)+IF(AND($Q21="O3/CP",$Q$14=F$18),VLOOKUP("O3",$R$63:$T$91,3,FALSE)+VLOOKUP("CP",$R$63:$T$91,3,FALSE),0)+IF(AND($R21&lt;&gt;"",$R21&lt;&gt;"--",$R21&lt;&gt;"O3/CP",$R$14=F$18),IF(LEFT($R21,1)="P",VLOOKUP(CONCATENATE(LEFT($R21,2),"H"),$R$63:$T$91,3,FALSE),VLOOKUP($R21,$R$63:$T$91,3,FALSE)))+IF(AND($R21&lt;&gt;"",$R21&lt;&gt;"O3/CP",$R$15=F$18,MID($R21,4,1)="2",$R$15&lt;&gt;$R$14),VLOOKUP(CONCATENATE(LEFT($R21,2),"L"),$R$63:$T$91,3,FALSE),0)+IF(AND($R21="O3/CP",$R$14=F$18),VLOOKUP("O3",$R$63:$T$91,3,FALSE)+VLOOKUP("CP",$R$63:$T$91,3,FALSE),0)+IF(AND($S21&lt;&gt;"",$S21&lt;&gt;"--",$S21&lt;&gt;"O3/CP",$S$14=F$18),IF(LEFT($S21,1)="P",VLOOKUP(CONCATENATE(LEFT($S21,2),"H"),$R$63:$T$91,3,FALSE),VLOOKUP($S21,$R$63:$T$91,3,FALSE)))+IF(AND($S21&lt;&gt;"",$S21&lt;&gt;"O3/CP",$S$15=F$18,MID($S21,4,1)="2",$S$15&lt;&gt;$S$14),VLOOKUP(CONCATENATE(LEFT($S21,2),"L"),$R$63:$T$91,3,FALSE),0)+IF(AND($S21="O3/CP",$S$14=F$18),VLOOKUP("O3",$R$63:$T$91,3,FALSE)+VLOOKUP("CP",$R$63:$T$91,3,FALSE),0)+IF(AND($T21&lt;&gt;"",$T21&lt;&gt;"--",$T21&lt;&gt;"O3/CP",$T$14=F$18),IF(LEFT($T21,1)="P",VLOOKUP(CONCATENATE(LEFT($T21,2),"H"),$R$63:$T$91,3,FALSE),VLOOKUP($T21,$R$63:$T$91,3,FALSE)))+IF(AND($T21&lt;&gt;"",$T21&lt;&gt;"O3/CP",$T$15=F$18,MID($T21,4,1)="2",$T$15&lt;&gt;$T$14),VLOOKUP(CONCATENATE(LEFT($T21,2),"L"),$R$63:$T$91,3,FALSE),0)+IF(AND($T21="O3/CP",$T$14=F$18),VLOOKUP("O3",$R$63:$T$91,3,FALSE)+VLOOKUP("CP",$R$63:$T$91,3,FALSE),0)+IF(AND($U21&lt;&gt;"",$U21&lt;&gt;"--",$U21&lt;&gt;"O3/CP",$U$14=F$18),IF(LEFT($U21,1)="P",VLOOKUP(CONCATENATE(LEFT($U21,2),"H"),$R$63:$T$91,3,FALSE),VLOOKUP($U21,$R$63:$T$91,3,FALSE)))+IF(AND($U21&lt;&gt;"",$U21&lt;&gt;"O3/CP",$U$15=F$18,MID($U21,4,1)="2",$U$15&lt;&gt;$U$14),VLOOKUP(CONCATENATE(LEFT($U21,2),"L"),$R$63:$T$91,3,FALSE),0)+IF(AND($U21="O3/CP",$T$14=F$18),VLOOKUP("O3",$R$63:$T$91,3,FALSE)+VLOOKUP("CP",$R$63:$T$91,3,FALSE),0)+IF(AND($V21&lt;&gt;"",$V21&lt;&gt;"--",$V21&lt;&gt;"O3/CP",$V$14=F$18),IF(LEFT($V21,1)="P",VLOOKUP(CONCATENATE(LEFT($V21,2),"H"),$R$63:$T$91,3,FALSE),VLOOKUP($V21,$R$63:$T$91,3,FALSE)))+IF(AND($V21&lt;&gt;"",$V21&lt;&gt;"O3/CP",$V$15=F$18,MID($V21,4,1)="2",$V$15&lt;&gt;$V$14),VLOOKUP(CONCATENATE(LEFT($V21,2),"L"),$R$63:$T$91,3,FALSE),0)+IF(AND($V21="O3/CP",$V$14=F$18),VLOOKUP("O3",$R$63:$T$91,3,FALSE)+VLOOKUP("CP",$R$63:$T$91,3,FALSE),0)+IF(AND($W21&lt;&gt;"",$W21&lt;&gt;"--",$W21&lt;&gt;"O3/CP",$W$14=F$18),IF(LEFT($W21,1)="P",VLOOKUP(CONCATENATE(LEFT($W21,2),"H"),$R$63:$T$91,3,FALSE),VLOOKUP($W21,$R$63:$T$91,3,FALSE)))+IF(AND($W21&lt;&gt;"",$W21&lt;&gt;"O3/CP",$W$15=F$18,MID($W21,4,1)="2",$W$15&lt;&gt;$W$14),VLOOKUP(CONCATENATE(LEFT($W21,2),"L"),$R$63:$T$91,3,FALSE),0)+IF(AND($W21="O3/CP",$W$14=F$18),VLOOKUP("O3",$R$63:$T$91,3,FALSE)+VLOOKUP("CP",$R$63:$T$91,3,FALSE),0)+IF(AND($X21&lt;&gt;"",$X21&lt;&gt;"--",$X21&lt;&gt;"O3/CP",$X$14=F$18),IF(LEFT($X21,1)="P",VLOOKUP(CONCATENATE(LEFT($X21,2),"H"),$R$63:$T$91,3,FALSE),VLOOKUP($X21,$R$63:$T$91,3,FALSE)))+IF(AND($X21&lt;&gt;"",$X21&lt;&gt;"O3/CP",$X$15=F$18,MID($X21,4,1)="2",$X$15&lt;&gt;$X$14),VLOOKUP(CONCATENATE(LEFT($X21,2),"L"),$R$63:$T$91,3,FALSE),0)+IF(AND($X21="O3/CP",$X$14=F$18),VLOOKUP("O3",$R$63:$T$91,3,FALSE)+VLOOKUP("CP",$R$63:$T$91,3,FALSE),0)+IF(AND($Y21&lt;&gt;"",$Y21&lt;&gt;"--",$Y21&lt;&gt;"O3/CP",$Y$14=F$18),IF(LEFT($Y21,1)="P",VLOOKUP(CONCATENATE(LEFT($Y21,2),"H"),$R$63:$T$91,3,FALSE),VLOOKUP($Y21,$R$63:$T$91,3,FALSE)))+IF(AND($Y21&lt;&gt;"",$Y21&lt;&gt;"O3/CP",$Y$15=F$18,MID($Y21,4,1)="2",$Y$15&lt;&gt;$Y$14),VLOOKUP(CONCATENATE(LEFT($Y21,2),"L"),$R$63:$T$91,3,FALSE),0)+IF(AND($Y21="O3/CP",$Y$14=F$18),VLOOKUP("O3",$R$63:$T$91,3,FALSE)+VLOOKUP("CP",$R$63:$T$91,3,FALSE),0)+IF(AND($K$6="CE",'[3]Supply Attribution'!$G$20=F$18),LEFT($S$90,2),0)+IF(AND($X$86&lt;&gt;"Not Set",$X$87=F$18),$X$86,0)</f>
        <v>0</v>
      </c>
      <c r="G21" s="271">
        <f>IF(AND($K$6="CE",$T$59="1 Phase"),SUM(A21:F21)-IF(AND($K$14&lt;&gt;$K$15,RIGHT($K21,3)="2SP"),VLOOKUP(CONCATENATE(LEFT($K21,2),"L"),$R$63:$T$90,3,FALSE),0)-IF(AND($L$14&lt;&gt;$L$15,RIGHT($L21,3)="2SP"),VLOOKUP(CONCATENATE(LEFT($L21,2),"L"),$R$63:$T$90,3,FALSE),0)-IF(AND($M$14&lt;&gt;$M$15,RIGHT($M21,3)="2SP"),VLOOKUP(CONCATENATE(LEFT($M21,2),"L"),$R$63:$T$90,3,FALSE),0)-IF(AND($N$14&lt;&gt;$N$15,RIGHT($N21,3)="2SP"),VLOOKUP(CONCATENATE(LEFT($N21,2),"L"),$R$63:$T$90,3,FALSE),0)-IF(AND($O$14&lt;&gt;$O$15,RIGHT($O21,3)="2SP"),VLOOKUP(CONCATENATE(LEFT($O21,2),"L"),$R$63:$T$90,3,FALSE),0)-IF(AND($P$14&lt;&gt;$P$15,RIGHT($P21,3)="2SP"),VLOOKUP(CONCATENATE(LEFT($P21,2),"L"),$R$63:$T$90,3,FALSE),0)-IF(AND($Q$14&lt;&gt;$Q$15,RIGHT($Q21,3)="2SP"),VLOOKUP(CONCATENATE(LEFT($Q21,2),"L"),$R$63:$T$90,3,FALSE),0)-IF(AND($R$14&lt;&gt;$R$15,RIGHT($T21,3)="2SP"),VLOOKUP(CONCATENATE(LEFT($R21,2),"L"),$R$63:$T$90,3,FALSE),0)-IF(AND($S$14&lt;&gt;$S$15,RIGHT($T21,3)="2SP"),VLOOKUP(CONCATENATE(LEFT($S21,2),"L"),$R$63:$T$90,3,FALSE),0)-IF(AND($T$14&lt;&gt;$T$15,RIGHT($T21,3)="2SP"),VLOOKUP(CONCATENATE(LEFT($T21,2),"L"),$R$63:$T$90,3,FALSE),0)-IF(AND($U$14&lt;&gt;$U$15,RIGHT($U21,3)="2SP"),VLOOKUP(CONCATENATE(LEFT($U21,2),"L"),$R$63:$T$90,3,FALSE),0)-IF(AND($V$14&lt;&gt;$V$15,RIGHT($V21,3)="2SP"),VLOOKUP(CONCATENATE(LEFT($V21,2),"L"),$R$63:$T$90,3,FALSE),0)-IF(AND($W$14&lt;&gt;$W$15,RIGHT($W21,3)="2SP"),VLOOKUP(CONCATENATE(LEFT($W21,2),"L"),$R$63:$T$90,3,FALSE),0)-IF(AND($X$14&lt;&gt;$X$15,RIGHT($X21,3)="2SP"),VLOOKUP(CONCATENATE(LEFT($X21,2),"L"),$R$63:$T$90,3,FALSE),0)-IF(AND($Y$14&lt;&gt;$Y$15,RIGHT($Y21,3)="2SP"),VLOOKUP(CONCATENATE(LEFT($Y21,2),"L"),$R$63:$T$90,3,FALSE),0),IF(VLOOKUP(CONCATENATE($A$18,"Line"),'[3]Supply Attribution'!$F$31:$G$37,2,FALSE)=G$18,$A21,0)+IF(VLOOKUP(CONCATENATE($B$18,"Line"),'[3]Supply Attribution'!$F$31:$G$37,2,FALSE)=G$18,$B21,0)+IF(VLOOKUP(CONCATENATE($C$18,"Line"),'[3]Supply Attribution'!$F$31:$G$37,2,FALSE)=G$18,$C21,0)+IF(VLOOKUP(CONCATENATE($D$18,"Line"),'[3]Supply Attribution'!$F$31:$G$37,2,FALSE)=G$18,$D21,0)+IF(VLOOKUP(CONCATENATE($E$18,"Line"),'[3]Supply Attribution'!$F$31:$G$37,2,FALSE)=G$18,$E21,0)+IF(VLOOKUP(CONCATENATE($F$18,"Line"),'[3]Supply Attribution'!$F$31:$G$37,2,FALSE)=G$18,$F21,0)+IF($K$6="UL",LEFT($S$90,2),0)-IF(AND($K$16=G$18,$K$14&lt;&gt;$K$15,$K$16=$K$17,RIGHT($K21,3)="2SP"),VLOOKUP(CONCATENATE(LEFT($K21,2),"L"),$R$63:$T$90,3,FALSE),0)-IF(AND($L$16=G$18,$L$14&lt;&gt;$L$15,$L$16=$L$17,RIGHT($L21,3)="2SP"),VLOOKUP(CONCATENATE(LEFT($L21,2),"L"),$R$63:$T$90,3,FALSE),0)-IF(AND($M$16=G$18,$M$14&lt;&gt;$M$15,$M$16=$M$17,RIGHT($M21,3)="2SP"),VLOOKUP(CONCATENATE(LEFT($M21,2),"L"),$R$63:$T$90,3,FALSE),0)-IF(AND($N$16=G$18,$N$14&lt;&gt;$N$15,$N$16=$N$17,RIGHT($N21,3)="2SP"),VLOOKUP(CONCATENATE(LEFT($N21,2),"L"),$R$63:$T$90,3,FALSE),0)-IF(AND($O$16=G$18,$O$14&lt;&gt;$O$15,$O$16=$O$17,RIGHT($O21,3)="2SP"),VLOOKUP(CONCATENATE(LEFT($O21,2),"L"),$R$63:$T$90,3,FALSE),0)-IF(AND($P$16=G$18,$P$14&lt;&gt;$P$15,$P$16=$P$17,RIGHT($P21,3)="2SP"),VLOOKUP(CONCATENATE(LEFT($P21,2),"L"),$R$63:$T$90,3,FALSE),0)-IF(AND($Q$16=G$18,$Q$14&lt;&gt;$Q$15,$Q$16=$Q$17,RIGHT($Q21,3)="2SP"),VLOOKUP(CONCATENATE(LEFT($Q21,2),"L"),$R$63:$T$90,3,FALSE),0)-IF(AND($R$16=G$18,$R$14&lt;&gt;$R$15,$R$16=$R$17,RIGHT($R21,3)="2SP"),VLOOKUP(CONCATENATE(LEFT($R21,2),"L"),$R$63:$T$90,3,FALSE),0)-IF(AND($S$16=G$18,$S$14&lt;&gt;$S$15,$S$16=$S$17,RIGHT($S21,3)="2SP"),VLOOKUP(CONCATENATE(LEFT($S21,2),"L"),$R$63:$T$90,3,FALSE),0)-IF(AND($T$16=G$18,$T$14&lt;&gt;$T$15,$T$16=$T$17,RIGHT($T21,3)="2SP"),VLOOKUP(CONCATENATE(LEFT($T21,2),"L"),$R$63:$T$90,3,FALSE),0)-IF(AND($U$16=G$18,$U$14&lt;&gt;$U$15,$U$16=$U$17,RIGHT($U21,3)="2SP"),VLOOKUP(CONCATENATE(LEFT($U21,2),"L"),$R$63:$T$90,3,FALSE),0)-IF(AND($V$16=G$18,$V$14&lt;&gt;$V$15,$V$16=$V$17,RIGHT($V21,3)="2SP"),VLOOKUP(CONCATENATE(LEFT($V21,2),"L"),$R$63:$T$90,3,FALSE),0)-IF(AND($W$16=G$18,$W$14&lt;&gt;$W$15,$W$16=$W$17,RIGHT($W21,3)="2SP"),VLOOKUP(CONCATENATE(LEFT($W21,2),"L"),$R$63:$T$90,3,FALSE),0)-IF(AND($X$16=G$18,$X$14&lt;&gt;$X$15,$X$16=$X$17,RIGHT($X21,3)="2SP"),VLOOKUP(CONCATENATE(LEFT($X21,2),"L"),$R$63:$T$90,3,FALSE),0)-IF(AND($Y$16=G$18,$Y$14&lt;&gt;$Y$15,$Y$16=$Y$17,RIGHT($Y21,3)="2SP"),VLOOKUP(CONCATENATE(LEFT($Y21,2),"L"),$R$63:$T$90,3,FALSE),0))</f>
        <v>43</v>
      </c>
      <c r="H21" s="271" t="str">
        <f>IF(H$18&lt;&gt;"",IF(VLOOKUP(CONCATENATE($A$18,"Line"),'Supply Attribution'!$F$31:$G$37,2,FALSE)=H$18,$A21,0)+IF(VLOOKUP(CONCATENATE($B$18,"Line"),'Supply Attribution'!$F$31:$G$37,2,FALSE)=H$18,$B21,0)+IF(VLOOKUP(CONCATENATE($C$18,"Line"),'Supply Attribution'!$F$31:$G$37,2,FALSE)=H$18,$C21,0)+IF(VLOOKUP(CONCATENATE($D$18,"Line"),'Supply Attribution'!$F$31:$G$37,2,FALSE)=H$18,$D21,0)+IF(VLOOKUP(CONCATENATE($E$18,"Line"),'Supply Attribution'!$F$31:$G$37,2,FALSE)=H$18,$E21,0)+IF(VLOOKUP(CONCATENATE($F$18,"Line"),'Supply Attribution'!$F$31:$G$37,2,FALSE)=H$18,$F21,0)+IF($K$6="UL",LEFT($S$90,2),0)-IF(AND($K$16=H$18,$K$14&lt;&gt;$K$15,$K$16=$K$17,RIGHT($K21,3)="2SP"),VLOOKUP(CONCATENATE(LEFT($K21,2),"L"),$R$63:$T$90,3,FALSE),0)-IF(AND($L$16=H$18,$L$14&lt;&gt;$L$15,$L$16=$L$17,RIGHT($L21,3)="2SP"),VLOOKUP(CONCATENATE(LEFT($L21,2),"L"),$R$63:$T$90,3,FALSE),0)-IF(AND($M$16=H$18,$M$14&lt;&gt;$M$15,$M$16=$M$17,RIGHT($M21,3)="2SP"),VLOOKUP(CONCATENATE(LEFT($M21,2),"L"),$R$63:$T$90,3,FALSE),0)-IF(AND($N$16=H$18,$N$14&lt;&gt;$N$15,$N$16=$N$17,RIGHT($N21,3)="2SP"),VLOOKUP(CONCATENATE(LEFT($N21,2),"L"),$R$63:$T$90,3,FALSE),0)-IF(AND($O$16=H$18,$O$14&lt;&gt;$O$15,$O$16=$O$17,RIGHT($O21,3)="2SP"),VLOOKUP(CONCATENATE(LEFT($O21,2),"L"),$R$63:$T$90,3,FALSE),0)-IF(AND($P$16=H$18,$P$14&lt;&gt;$P$15,$P$16=$P$17,RIGHT($P21,3)="2SP"),VLOOKUP(CONCATENATE(LEFT($P21,2),"L"),$R$63:$T$90,3,FALSE),0)-IF(AND($Q$16=H$18,$Q$14&lt;&gt;$Q$15,$Q$16=$Q$17,RIGHT($Q21,3)="2SP"),VLOOKUP(CONCATENATE(LEFT($Q21,2),"L"),$R$63:$T$90,3,FALSE),0)-IF(AND($T$16=H$18,$T$14&lt;&gt;$T$15,$T$16=$T$17,RIGHT($T21,3)="2SP"),VLOOKUP(CONCATENATE(LEFT($T21,2),"L"),$R$63:$T$90,3,FALSE),0)-IF(AND($U$16=H$18,$U$14&lt;&gt;$U$15,$U$16=$U$17,RIGHT($U21,3)="2SP"),VLOOKUP(CONCATENATE(LEFT($U21,2),"L"),$R$63:$T$90,3,FALSE),0)-IF(AND($V$16=H$18,$V$14&lt;&gt;$V$15,$V$16=$V$17,RIGHT($V21,3)="2SP"),VLOOKUP(CONCATENATE(LEFT($V21,2),"L"),$R$63:$T$90,3,FALSE),0)-IF(AND($W$16=H$18,$W$14&lt;&gt;$W$15,$W$16=$W$17,RIGHT($W21,3)="2SP"),VLOOKUP(CONCATENATE(LEFT($W21,2),"L"),$R$63:$T$90,3,FALSE),0)-IF(AND($X$16=H$18,$X$14&lt;&gt;$X$15,$X$16=$X$17,RIGHT($X21,3)="2SP"),VLOOKUP(CONCATENATE(LEFT($X21,2),"L"),$R$63:$T$90,3,FALSE),0)-IF(AND($Y$16=H$18,$Y$14&lt;&gt;$Y$15,$Y$16=$Y$17,RIGHT($Y21,3)="2SP"),VLOOKUP(CONCATENATE(LEFT($Y21,2),"L"),$R$63:$T$90,3,FALSE),0)+IF(AND($K$6="CE",$T$59="2 Phases",H$18&lt;&gt;""),IF(VLOOKUP(CONCATENATE($A$18,"Line"),'Supply Attribution'!$F$31:$G$37,2,FALSE)="Line3",$A21,0)+IF(VLOOKUP(CONCATENATE($B$18,"Line"),'Supply Attribution'!$F$31:$G$37,2,FALSE)="Line3",$B21,0)+IF(VLOOKUP(CONCATENATE($C$18,"Line"),'Supply Attribution'!$F$31:$G$37,2,FALSE)="Line3",$C21,0)+IF(VLOOKUP(CONCATENATE($D$18,"Line"),'Supply Attribution'!$F$31:$G$37,2,FALSE)="Line3",$D21,0)+IF(VLOOKUP(CONCATENATE($E$18,"Line"),'Supply Attribution'!$F$31:$G$37,2,FALSE)="Line3",$E21,0)+IF(VLOOKUP(CONCATENATE($F$18,"Line"),'Supply Attribution'!$F$31:$G$37,2,FALSE)="Line3",$F21,0)-IF(AND($K$16=I$18,$K$14&lt;&gt;$K$15,$K$16=$K$17,RIGHT($K21,3)="2SP"),VLOOKUP(CONCATENATE(LEFT($K21,2),"L"),$R$63:$T$90,3,FALSE),0)-IF(AND($L$16=I$18,$L$14&lt;&gt;$L$15,$L$16=$L$17,RIGHT($L21,3)="2SP"),VLOOKUP(CONCATENATE(LEFT($L21,2),"L"),$R$63:$T$90,3,FALSE),0)-IF(AND($M$16=I$18,$M$14&lt;&gt;$M$15,$M$16=$M$17,RIGHT($M21,3)="2SP"),VLOOKUP(CONCATENATE(LEFT($M21,2),"L"),$R$63:$T$90,3,FALSE),0)-IF(AND($N$16=I$18,$N$14&lt;&gt;$N$15,$N$16=$N$17,RIGHT($N21,3)="2SP"),VLOOKUP(CONCATENATE(LEFT($N21,2),"L"),$R$63:$T$90,3,FALSE),0)-IF(AND($O$16=I$18,$O$14&lt;&gt;$O$15,$O$16=$O$17,RIGHT($O21,3)="2SP"),VLOOKUP(CONCATENATE(LEFT($O21,2),"L"),$R$63:$T$90,3,FALSE),0)-IF(AND($P$16=I$18,$P$14&lt;&gt;$P$15,$P$16=$P$17,RIGHT($P21,3)="2SP"),VLOOKUP(CONCATENATE(LEFT($P21,2),"L"),$R$63:$T$90,3,FALSE),0)-IF(AND($Q$16=I$18,$Q$14&lt;&gt;$Q$15,$Q$16=$Q$17,RIGHT($Q21,3)="2SP"),VLOOKUP(CONCATENATE(LEFT($Q21,2),"L"),$R$63:$T$90,3,FALSE),0)-IF(AND($T$16=I$18,$T$14&lt;&gt;$T$15,$T$16=$T$17,RIGHT($T21,3)="2SP"),VLOOKUP(CONCATENATE(LEFT($T21,2),"L"),$R$63:$T$90,3,FALSE),0)-IF(AND($U$16=I$18,$U$14&lt;&gt;$U$15,$U$16=$U$17,RIGHT($U21,3)="2SP"),VLOOKUP(CONCATENATE(LEFT($U21,2),"L"),$R$63:$T$90,3,FALSE),0)-IF(AND($V$16=I$18,$V$14&lt;&gt;$V$15,$V$16=$V$17,RIGHT($V21,3)="2SP"),VLOOKUP(CONCATENATE(LEFT($V21,2),"L"),$R$63:$T$90,3,FALSE),0)-IF(AND($W$16=I$18,$W$14&lt;&gt;$W$15,$W$16=$W$17,RIGHT($W21,3)="2SP"),VLOOKUP(CONCATENATE(LEFT($W21,2),"L"),$R$63:$T$90,3,FALSE),0)-IF(AND($X$16=I$18,$X$14&lt;&gt;$X$15,$X$16=$X$17,RIGHT($X21,3)="2SP"),VLOOKUP(CONCATENATE(LEFT($X21,2),"L"),$R$63:$T$90,3,FALSE),0)-IF(AND($Y$16=I$18,$Y$14&lt;&gt;$Y$15,$Y$16=$Y$17,RIGHT($Y21,3)="2SP"),VLOOKUP(CONCATENATE(LEFT($Y21,2),"L"),$R$63:$T$90,3,FALSE),0),0),"")</f>
        <v/>
      </c>
      <c r="I21" s="271" t="str">
        <f>IF(I$18&lt;&gt;"",IF(VLOOKUP(CONCATENATE($A$18,"Line"),'Supply Attribution'!$F$31:$G$37,2,FALSE)=I$18,$A21,0)+IF(VLOOKUP(CONCATENATE($B$18,"Line"),'Supply Attribution'!$F$31:$G$37,2,FALSE)=I$18,$B21,0)+IF(VLOOKUP(CONCATENATE($C$18,"Line"),'Supply Attribution'!$F$31:$G$37,2,FALSE)=I$18,$C21,0)+IF(VLOOKUP(CONCATENATE($D$18,"Line"),'Supply Attribution'!$F$31:$G$37,2,FALSE)=I$18,$D21,0)+IF(VLOOKUP(CONCATENATE($E$18,"Line"),'Supply Attribution'!$F$31:$G$37,2,FALSE)=I$18,$E21,0)+IF(VLOOKUP(CONCATENATE($F$18,"Line"),'Supply Attribution'!$F$31:$G$37,2,FALSE)=I$18,$F21,0)+IF($K$6="UL",LEFT($S$90,2),0)-IF(AND($K$16=I$18,$K$14&lt;&gt;$K$15,$K$16=$K$17,RIGHT($K21,3)="2SP"),VLOOKUP(CONCATENATE(LEFT($K21,2),"L"),$R$63:$T$90,3,FALSE),0)-IF(AND($L$16=I$18,$L$14&lt;&gt;$L$15,$L$16=$L$17,RIGHT($L21,3)="2SP"),VLOOKUP(CONCATENATE(LEFT($L21,2),"L"),$R$63:$T$90,3,FALSE),0)-IF(AND($M$16=I$18,$M$14&lt;&gt;$M$15,$M$16=$M$17,RIGHT($M21,3)="2SP"),VLOOKUP(CONCATENATE(LEFT($M21,2),"L"),$R$63:$T$90,3,FALSE),0)-IF(AND($N$16=I$18,$N$14&lt;&gt;$N$15,$N$16=$N$17,RIGHT($N21,3)="2SP"),VLOOKUP(CONCATENATE(LEFT($N21,2),"L"),$R$63:$T$90,3,FALSE),0)-IF(AND($O$16=I$18,$O$14&lt;&gt;$O$15,$O$16=$O$17,RIGHT($O21,3)="2SP"),VLOOKUP(CONCATENATE(LEFT($O21,2),"L"),$R$63:$T$90,3,FALSE),0)-IF(AND($P$16=I$18,$P$14&lt;&gt;$P$15,$P$16=$P$17,RIGHT($P21,3)="2SP"),VLOOKUP(CONCATENATE(LEFT($P21,2),"L"),$R$63:$T$90,3,FALSE),0)-IF(AND($Q$16=I$18,$Q$14&lt;&gt;$Q$15,$Q$16=$Q$17,RIGHT($Q21,3)="2SP"),VLOOKUP(CONCATENATE(LEFT($Q21,2),"L"),$R$63:$T$90,3,FALSE),0)-IF(AND($T$16=I$18,$T$14&lt;&gt;$T$15,$T$16=$T$17,RIGHT($T21,3)="2SP"),VLOOKUP(CONCATENATE(LEFT($T21,2),"L"),$R$63:$T$90,3,FALSE),0)-IF(AND($U$16=I$18,$U$14&lt;&gt;$U$15,$U$16=$U$17,RIGHT($U21,3)="2SP"),VLOOKUP(CONCATENATE(LEFT($U21,2),"L"),$R$63:$T$90,3,FALSE),0)-IF(AND($V$16=I$18,$V$14&lt;&gt;$V$15,$V$16=$V$17,RIGHT($V21,3)="2SP"),VLOOKUP(CONCATENATE(LEFT($V21,2),"L"),$R$63:$T$90,3,FALSE),0)-IF(AND($W$16=I$18,$W$14&lt;&gt;$W$15,$W$16=$W$17,RIGHT($W21,3)="2SP"),VLOOKUP(CONCATENATE(LEFT($W21,2),"L"),$R$63:$T$90,3,FALSE),0)-IF(AND($X$16=I$18,$X$14&lt;&gt;$X$15,$X$16=$X$17,RIGHT($X21,3)="2SP"),VLOOKUP(CONCATENATE(LEFT($X21,2),"L"),$R$63:$T$90,3,FALSE),0)-IF(AND($Y$16=I$18,$Y$14&lt;&gt;$Y$15,$Y$16=$Y$17,RIGHT($Y21,3)="2SP"),VLOOKUP(CONCATENATE(LEFT($Y21,2),"L"),$R$63:$T$90,3,FALSE),0),"")</f>
        <v/>
      </c>
      <c r="J21" s="129">
        <v>40</v>
      </c>
      <c r="K21" s="130" t="s">
        <v>22</v>
      </c>
      <c r="L21" s="130" t="s">
        <v>390</v>
      </c>
      <c r="M21" s="130" t="s">
        <v>391</v>
      </c>
      <c r="N21" s="130" t="s">
        <v>24</v>
      </c>
      <c r="O21" s="130" t="s">
        <v>286</v>
      </c>
      <c r="P21" s="130"/>
      <c r="Q21" s="130"/>
      <c r="R21" s="130"/>
      <c r="S21" s="130"/>
      <c r="T21" s="130"/>
      <c r="U21" s="130"/>
      <c r="V21" s="130"/>
      <c r="W21" s="130"/>
      <c r="X21" s="130"/>
      <c r="Y21" s="130"/>
      <c r="Z21" s="131"/>
      <c r="AA21" s="131"/>
      <c r="AB21" s="132"/>
      <c r="AC21" s="132"/>
      <c r="AD21" s="132"/>
      <c r="AE21" s="133">
        <f t="shared" ref="AE21:AE52" si="0">J21</f>
        <v>40</v>
      </c>
      <c r="AF21" s="78"/>
    </row>
    <row r="22" spans="1:32" ht="13.15" customHeight="1">
      <c r="A22" s="270">
        <f>IF(AND($K22&lt;&gt;"",$K22&lt;&gt;"--",$K22&lt;&gt;"O3/CP",$K$14=A$18),IF(LEFT($K22,1)="P",VLOOKUP(CONCATENATE(LEFT($K22,2),"H"),$R$63:$T$91,3,FALSE),VLOOKUP($K22,$R$63:$T$91,3,FALSE)))+IF(AND($K22&lt;&gt;"",$K22&lt;&gt;"O3/CP",$K$15=A$18,MID($K22,4,1)="2",$K$15&lt;&gt;$K$14),VLOOKUP(CONCATENATE(LEFT($K22,2),"L"),$R$63:$T$91,3,FALSE),0)+IF(AND($K22="O3/CP",$K$14=A$18),VLOOKUP("O3",$R$63:$T$91,3,FALSE)+VLOOKUP("CP",$R$63:$T$91,3,FALSE),0)+IF(AND($L22&lt;&gt;"",$L22&lt;&gt;"--",$L22&lt;&gt;"O3/CP",$L$14=A$18),IF(LEFT($L22,1)="P",VLOOKUP(CONCATENATE(LEFT($L22,2),"H"),$R$63:$T$91,3,FALSE),VLOOKUP($L22,$R$63:$T$91,3,FALSE)))+IF(AND($L22&lt;&gt;"",$L22&lt;&gt;"O3/CP",$L$15=A$18,MID($L22,4,1)="2",$L$15&lt;&gt;$L$14),VLOOKUP(CONCATENATE(LEFT($L22,2),"L"),$R$63:$T$91,3,FALSE),0)+IF(AND($L22="O3/CP",$L$14=A$18),VLOOKUP("O3",$R$63:$T$91,3,FALSE)+VLOOKUP("CP",$R$63:$T$91,3,FALSE),0)+IF(AND($M22&lt;&gt;"",$M22&lt;&gt;"--",$M22&lt;&gt;"O3/CP",$M$14=A$18),IF(LEFT($M22,1)="P",VLOOKUP(CONCATENATE(LEFT($M22,2),"H"),$R$63:$T$91,3,FALSE),VLOOKUP($M22,$R$63:$T$91,3,FALSE)))+IF(AND($M22&lt;&gt;"",$M22&lt;&gt;"O3/CP",$M$15=A$18,MID($M22,4,1)="2",$M$15&lt;&gt;$M$14),VLOOKUP(CONCATENATE(LEFT($M22,2),"L"),$R$63:$T$91,3,FALSE),0)+IF(AND($M22="O3/CP",$M$14=A$18),VLOOKUP("O3",$R$63:$T$91,3,FALSE)+VLOOKUP("CP",$R$63:$T$91,3,FALSE),0)+IF(AND($N22&lt;&gt;"",$N22&lt;&gt;"--",$N22&lt;&gt;"O3/CP",$N$14=A$18),IF(LEFT($N22,1)="P",VLOOKUP(CONCATENATE(LEFT($N22,2),"H"),$R$63:$T$91,3,FALSE),VLOOKUP($N22,$R$63:$T$91,3,FALSE)))+IF(AND($N22&lt;&gt;"",$N22&lt;&gt;"O3/CP",$N$15=A$18,MID($N22,4,1)="2",$N$15&lt;&gt;$N$14),VLOOKUP(CONCATENATE(LEFT($N22,2),"L"),$R$63:$T$91,3,FALSE),0)+IF(AND($N22="O3/CP",$N$14=A$18),VLOOKUP("O3",$R$63:$T$91,3,FALSE)+VLOOKUP("CP",$R$63:$T$91,3,FALSE),0)+IF(AND($O22&lt;&gt;"",$O22&lt;&gt;"--",$O22&lt;&gt;"O3/CP",$O$14=A$18),IF(LEFT($O22,1)="P",VLOOKUP(CONCATENATE(LEFT($O22,2),"H"),$R$63:$T$91,3,FALSE),VLOOKUP($O22,$R$63:$T$91,3,FALSE)))+IF(AND($O22&lt;&gt;"",$O22&lt;&gt;"O3/CP",$O$15=A$18,MID($O22,4,1)="2",$O$15&lt;&gt;$O$14),VLOOKUP(CONCATENATE(LEFT($O22,2),"L"),$R$63:$T$91,3,FALSE),0)+IF(AND($O22="O3/CP",$O$14=A$18),VLOOKUP("O3",$R$63:$T$91,3,FALSE)+VLOOKUP("CP",$R$63:$T$91,3,FALSE),0)+IF(AND($P22&lt;&gt;"",$P22&lt;&gt;"--",$P22&lt;&gt;"O3/CP",$P$14=A$18),IF(LEFT($P22,1)="P",VLOOKUP(CONCATENATE(LEFT($P22,2),"H"),$R$63:$T$91,3,FALSE),VLOOKUP($P22,$R$63:$T$91,3,FALSE)))+IF(AND($P22&lt;&gt;"",$P22&lt;&gt;"O3/CP",$P$15=A$18,MID($P22,4,1)="2",$P$15&lt;&gt;$P$14),VLOOKUP(CONCATENATE(LEFT($P22,2),"L"),$R$63:$T$91,3,FALSE),0)+IF(AND($P22="O3/CP",$P$14=A$18),VLOOKUP("O3",$R$63:$T$91,3,FALSE)+VLOOKUP("CP",$R$63:$T$91,3,FALSE),0)+IF(AND($Q22&lt;&gt;"",$Q22&lt;&gt;"--",$Q22&lt;&gt;"O3/CP",$Q$14=A$18),IF(LEFT($Q22,1)="P",VLOOKUP(CONCATENATE(LEFT($Q22,2),"H"),$R$63:$T$91,3,FALSE),VLOOKUP($Q22,$R$63:$T$91,3,FALSE)))+IF(AND($Q22&lt;&gt;"",$Q22&lt;&gt;"O3/CP",$Q$15=A$18,MID($Q22,4,1)="2",$Q$15&lt;&gt;$Q$14),VLOOKUP(CONCATENATE(LEFT($Q22,2),"L"),$R$63:$T$91,3,FALSE),0)+IF(AND($Q22="O3/CP",$Q$14=A$18),VLOOKUP("O3",$R$63:$T$91,3,FALSE)+VLOOKUP("CP",$R$63:$T$91,3,FALSE),0)+IF(AND($R22&lt;&gt;"",$R22&lt;&gt;"--",$R22&lt;&gt;"O3/CP",$R$14=A$18),IF(LEFT($R22,1)="P",VLOOKUP(CONCATENATE(LEFT($R22,2),"H"),$R$63:$T$91,3,FALSE),VLOOKUP($R22,$R$63:$T$91,3,FALSE)))+IF(AND($R22&lt;&gt;"",$R22&lt;&gt;"O3/CP",$R$15=A$18,MID($R22,4,1)="2",$R$15&lt;&gt;$R$14),VLOOKUP(CONCATENATE(LEFT($R22,2),"L"),$R$63:$T$91,3,FALSE),0)+IF(AND($R22="O3/CP",$R$14=A$18),VLOOKUP("O3",$R$63:$T$91,3,FALSE)+VLOOKUP("CP",$R$63:$T$91,3,FALSE),0)+IF(AND($S22&lt;&gt;"",$S22&lt;&gt;"--",$S22&lt;&gt;"O3/CP",$S$14=A$18),IF(LEFT($S22,1)="P",VLOOKUP(CONCATENATE(LEFT($S22,2),"H"),$R$63:$T$91,3,FALSE),VLOOKUP($S22,$R$63:$T$91,3,FALSE)))+IF(AND($S22&lt;&gt;"",$S22&lt;&gt;"O3/CP",$S$15=A$18,MID($S22,4,1)="2",$S$15&lt;&gt;$S$14),VLOOKUP(CONCATENATE(LEFT($S22,2),"L"),$R$63:$T$91,3,FALSE),0)+IF(AND($S22="O3/CP",$S$14=A$18),VLOOKUP("O3",$R$63:$T$91,3,FALSE)+VLOOKUP("CP",$R$63:$T$91,3,FALSE),0)+IF(AND($T22&lt;&gt;"",$T22&lt;&gt;"--",$T22&lt;&gt;"O3/CP",$T$14=A$18),IF(LEFT($T22,1)="P",VLOOKUP(CONCATENATE(LEFT($T22,2),"H"),$R$63:$T$91,3,FALSE),VLOOKUP($T22,$R$63:$T$91,3,FALSE)))+IF(AND($T22&lt;&gt;"",$T22&lt;&gt;"O3/CP",$T$15=A$18,MID($T22,4,1)="2",$T$15&lt;&gt;$T$14),VLOOKUP(CONCATENATE(LEFT($T22,2),"L"),$R$63:$T$91,3,FALSE),0)+IF(AND($T22="O3/CP",$T$14=A$18),VLOOKUP("O3",$R$63:$T$91,3,FALSE)+VLOOKUP("CP",$R$63:$T$91,3,FALSE),0)+IF(AND($U22&lt;&gt;"",$U22&lt;&gt;"--",$U22&lt;&gt;"O3/CP",$U$14=A$18),IF(LEFT($U22,1)="P",VLOOKUP(CONCATENATE(LEFT($U22,2),"H"),$R$63:$T$91,3,FALSE),VLOOKUP($U22,$R$63:$T$91,3,FALSE)))+IF(AND($U22&lt;&gt;"",$U22&lt;&gt;"O3/CP",$U$15=A$18,MID($U22,4,1)="2",$U$15&lt;&gt;$U$14),VLOOKUP(CONCATENATE(LEFT($U22,2),"L"),$R$63:$T$91,3,FALSE),0)+IF(AND($U22="O3/CP",$T$14=A$18),VLOOKUP("O3",$R$63:$T$91,3,FALSE)+VLOOKUP("CP",$R$63:$T$91,3,FALSE),0)+IF(AND($V22&lt;&gt;"",$V22&lt;&gt;"--",$V22&lt;&gt;"O3/CP",$V$14=A$18),IF(LEFT($V22,1)="P",VLOOKUP(CONCATENATE(LEFT($V22,2),"H"),$R$63:$T$91,3,FALSE),VLOOKUP($V22,$R$63:$T$91,3,FALSE)))+IF(AND($V22&lt;&gt;"",$V22&lt;&gt;"O3/CP",$V$15=A$18,MID($V22,4,1)="2",$V$15&lt;&gt;$V$14),VLOOKUP(CONCATENATE(LEFT($V22,2),"L"),$R$63:$T$91,3,FALSE),0)+IF(AND($V22="O3/CP",$V$14=A$18),VLOOKUP("O3",$R$63:$T$91,3,FALSE)+VLOOKUP("CP",$R$63:$T$91,3,FALSE),0)+IF(AND($W22&lt;&gt;"",$W22&lt;&gt;"--",$W22&lt;&gt;"O3/CP",$W$14=A$18),IF(LEFT($W22,1)="P",VLOOKUP(CONCATENATE(LEFT($W22,2),"H"),$R$63:$T$91,3,FALSE),VLOOKUP($W22,$R$63:$T$91,3,FALSE)))+IF(AND($W22&lt;&gt;"",$W22&lt;&gt;"O3/CP",$W$15=A$18,MID($W22,4,1)="2",$W$15&lt;&gt;$W$14),VLOOKUP(CONCATENATE(LEFT($W22,2),"L"),$R$63:$T$91,3,FALSE),0)+IF(AND($W22="O3/CP",$W$14=A$18),VLOOKUP("O3",$R$63:$T$91,3,FALSE)+VLOOKUP("CP",$R$63:$T$91,3,FALSE),0)+IF(AND($X22&lt;&gt;"",$X22&lt;&gt;"--",$X22&lt;&gt;"O3/CP",$X$14=A$18),IF(LEFT($X22,1)="P",VLOOKUP(CONCATENATE(LEFT($X22,2),"H"),$R$63:$T$91,3,FALSE),VLOOKUP($X22,$R$63:$T$91,3,FALSE)))+IF(AND($X22&lt;&gt;"",$X22&lt;&gt;"O3/CP",$X$15=A$18,MID($X22,4,1)="2",$X$15&lt;&gt;$X$14),VLOOKUP(CONCATENATE(LEFT($X22,2),"L"),$R$63:$T$91,3,FALSE),0)+IF(AND($X22="O3/CP",$X$14=A$18),VLOOKUP("O3",$R$63:$T$91,3,FALSE)+VLOOKUP("CP",$R$63:$T$91,3,FALSE),0)+IF(AND($Y22&lt;&gt;"",$Y22&lt;&gt;"--",$Y22&lt;&gt;"O3/CP",$Y$14=A$18),IF(LEFT($Y22,1)="P",VLOOKUP(CONCATENATE(LEFT($Y22,2),"H"),$R$63:$T$91,3,FALSE),VLOOKUP($Y22,$R$63:$T$91,3,FALSE)))+IF(AND($Y22&lt;&gt;"",$Y22&lt;&gt;"O3/CP",$Y$15=A$18,MID($Y22,4,1)="2",$Y$15&lt;&gt;$Y$14),VLOOKUP(CONCATENATE(LEFT($Y22,2),"L"),$R$63:$T$91,3,FALSE),0)+IF(AND($Y22="O3/CP",$Y$14=A$18),VLOOKUP("O3",$R$63:$T$91,3,FALSE)+VLOOKUP("CP",$R$63:$T$91,3,FALSE),0)+IF(AND($K$6="CE",'[3]Supply Attribution'!$G$20=A$18),LEFT($S$90,2),0)+IF(AND($X$86&lt;&gt;"Not Set",$X$87=A$18),$X$86,0)</f>
        <v>13</v>
      </c>
      <c r="B22" s="269">
        <f>IF(AND($K22&lt;&gt;"",$K22&lt;&gt;"--",$K22&lt;&gt;"O3/CP",$K$14=B$18),IF(LEFT($K22,1)="P",VLOOKUP(CONCATENATE(LEFT($K22,2),"H"),$R$63:$T$91,3,FALSE),VLOOKUP($K22,$R$63:$T$91,3,FALSE)))+IF(AND($K22&lt;&gt;"",$K22&lt;&gt;"O3/CP",$K$15=B$18,MID($K22,4,1)="2",$K$15&lt;&gt;$K$14),VLOOKUP(CONCATENATE(LEFT($K22,2),"L"),$R$63:$T$91,3,FALSE),0)+IF(AND($K22="O3/CP",$K$14=B$18),VLOOKUP("O3",$R$63:$T$91,3,FALSE)+VLOOKUP("CP",$R$63:$T$91,3,FALSE),0)+IF(AND($L22&lt;&gt;"",$L22&lt;&gt;"--",$L22&lt;&gt;"O3/CP",$L$14=B$18),IF(LEFT($L22,1)="P",VLOOKUP(CONCATENATE(LEFT($L22,2),"H"),$R$63:$T$91,3,FALSE),VLOOKUP($L22,$R$63:$T$91,3,FALSE)))+IF(AND($L22&lt;&gt;"",$L22&lt;&gt;"O3/CP",$L$15=B$18,MID($L22,4,1)="2",$L$15&lt;&gt;$L$14),VLOOKUP(CONCATENATE(LEFT($L22,2),"L"),$R$63:$T$91,3,FALSE),0)+IF(AND($L22="O3/CP",$L$14=B$18),VLOOKUP("O3",$R$63:$T$91,3,FALSE)+VLOOKUP("CP",$R$63:$T$91,3,FALSE),0)+IF(AND($M22&lt;&gt;"",$M22&lt;&gt;"--",$M22&lt;&gt;"O3/CP",$M$14=B$18),IF(LEFT($M22,1)="P",VLOOKUP(CONCATENATE(LEFT($M22,2),"H"),$R$63:$T$91,3,FALSE),VLOOKUP($M22,$R$63:$T$91,3,FALSE)))+IF(AND($M22&lt;&gt;"",$M22&lt;&gt;"O3/CP",$M$15=B$18,MID($M22,4,1)="2",$M$15&lt;&gt;$M$14),VLOOKUP(CONCATENATE(LEFT($M22,2),"L"),$R$63:$T$91,3,FALSE),0)+IF(AND($M22="O3/CP",$M$14=B$18),VLOOKUP("O3",$R$63:$T$91,3,FALSE)+VLOOKUP("CP",$R$63:$T$91,3,FALSE),0)+IF(AND($N22&lt;&gt;"",$N22&lt;&gt;"--",$N22&lt;&gt;"O3/CP",$N$14=B$18),IF(LEFT($N22,1)="P",VLOOKUP(CONCATENATE(LEFT($N22,2),"H"),$R$63:$T$91,3,FALSE),VLOOKUP($N22,$R$63:$T$91,3,FALSE)))+IF(AND($N22&lt;&gt;"",$N22&lt;&gt;"O3/CP",$N$15=B$18,MID($N22,4,1)="2",$N$15&lt;&gt;$N$14),VLOOKUP(CONCATENATE(LEFT($N22,2),"L"),$R$63:$T$91,3,FALSE),0)+IF(AND($N22="O3/CP",$N$14=B$18),VLOOKUP("O3",$R$63:$T$91,3,FALSE)+VLOOKUP("CP",$R$63:$T$91,3,FALSE),0)+IF(AND($O22&lt;&gt;"",$O22&lt;&gt;"--",$O22&lt;&gt;"O3/CP",$O$14=B$18),IF(LEFT($O22,1)="P",VLOOKUP(CONCATENATE(LEFT($O22,2),"H"),$R$63:$T$91,3,FALSE),VLOOKUP($O22,$R$63:$T$91,3,FALSE)))+IF(AND($O22&lt;&gt;"",$O22&lt;&gt;"O3/CP",$O$15=B$18,MID($O22,4,1)="2",$O$15&lt;&gt;$O$14),VLOOKUP(CONCATENATE(LEFT($O22,2),"L"),$R$63:$T$91,3,FALSE),0)+IF(AND($O22="O3/CP",$O$14=B$18),VLOOKUP("O3",$R$63:$T$91,3,FALSE)+VLOOKUP("CP",$R$63:$T$91,3,FALSE),0)+IF(AND($P22&lt;&gt;"",$P22&lt;&gt;"--",$P22&lt;&gt;"O3/CP",$P$14=B$18),IF(LEFT($P22,1)="P",VLOOKUP(CONCATENATE(LEFT($P22,2),"H"),$R$63:$T$91,3,FALSE),VLOOKUP($P22,$R$63:$T$91,3,FALSE)))+IF(AND($P22&lt;&gt;"",$P22&lt;&gt;"O3/CP",$P$15=B$18,MID($P22,4,1)="2",$P$15&lt;&gt;$P$14),VLOOKUP(CONCATENATE(LEFT($P22,2),"L"),$R$63:$T$91,3,FALSE),0)+IF(AND($P22="O3/CP",$P$14=B$18),VLOOKUP("O3",$R$63:$T$91,3,FALSE)+VLOOKUP("CP",$R$63:$T$91,3,FALSE),0)+IF(AND($Q22&lt;&gt;"",$Q22&lt;&gt;"--",$Q22&lt;&gt;"O3/CP",$Q$14=B$18),IF(LEFT($Q22,1)="P",VLOOKUP(CONCATENATE(LEFT($Q22,2),"H"),$R$63:$T$91,3,FALSE),VLOOKUP($Q22,$R$63:$T$91,3,FALSE)))+IF(AND($Q22&lt;&gt;"",$Q22&lt;&gt;"O3/CP",$Q$15=B$18,MID($Q22,4,1)="2",$Q$15&lt;&gt;$Q$14),VLOOKUP(CONCATENATE(LEFT($Q22,2),"L"),$R$63:$T$91,3,FALSE),0)+IF(AND($Q22="O3/CP",$Q$14=B$18),VLOOKUP("O3",$R$63:$T$91,3,FALSE)+VLOOKUP("CP",$R$63:$T$91,3,FALSE),0)+IF(AND($R22&lt;&gt;"",$R22&lt;&gt;"--",$R22&lt;&gt;"O3/CP",$R$14=B$18),IF(LEFT($R22,1)="P",VLOOKUP(CONCATENATE(LEFT($R22,2),"H"),$R$63:$T$91,3,FALSE),VLOOKUP($R22,$R$63:$T$91,3,FALSE)))+IF(AND($R22&lt;&gt;"",$R22&lt;&gt;"O3/CP",$R$15=B$18,MID($R22,4,1)="2",$R$15&lt;&gt;$R$14),VLOOKUP(CONCATENATE(LEFT($R22,2),"L"),$R$63:$T$91,3,FALSE),0)+IF(AND($R22="O3/CP",$R$14=B$18),VLOOKUP("O3",$R$63:$T$91,3,FALSE)+VLOOKUP("CP",$R$63:$T$91,3,FALSE),0)+IF(AND($S22&lt;&gt;"",$S22&lt;&gt;"--",$S22&lt;&gt;"O3/CP",$S$14=B$18),IF(LEFT($S22,1)="P",VLOOKUP(CONCATENATE(LEFT($S22,2),"H"),$R$63:$T$91,3,FALSE),VLOOKUP($S22,$R$63:$T$91,3,FALSE)))+IF(AND($S22&lt;&gt;"",$S22&lt;&gt;"O3/CP",$S$15=B$18,MID($S22,4,1)="2",$S$15&lt;&gt;$S$14),VLOOKUP(CONCATENATE(LEFT($S22,2),"L"),$R$63:$T$91,3,FALSE),0)+IF(AND($S22="O3/CP",$S$14=B$18),VLOOKUP("O3",$R$63:$T$91,3,FALSE)+VLOOKUP("CP",$R$63:$T$91,3,FALSE),0)+IF(AND($T22&lt;&gt;"",$T22&lt;&gt;"--",$T22&lt;&gt;"O3/CP",$T$14=B$18),IF(LEFT($T22,1)="P",VLOOKUP(CONCATENATE(LEFT($T22,2),"H"),$R$63:$T$91,3,FALSE),VLOOKUP($T22,$R$63:$T$91,3,FALSE)))+IF(AND($T22&lt;&gt;"",$T22&lt;&gt;"O3/CP",$T$15=B$18,MID($T22,4,1)="2",$T$15&lt;&gt;$T$14),VLOOKUP(CONCATENATE(LEFT($T22,2),"L"),$R$63:$T$91,3,FALSE),0)+IF(AND($T22="O3/CP",$T$14=B$18),VLOOKUP("O3",$R$63:$T$91,3,FALSE)+VLOOKUP("CP",$R$63:$T$91,3,FALSE),0)+IF(AND($U22&lt;&gt;"",$U22&lt;&gt;"--",$U22&lt;&gt;"O3/CP",$U$14=B$18),IF(LEFT($U22,1)="P",VLOOKUP(CONCATENATE(LEFT($U22,2),"H"),$R$63:$T$91,3,FALSE),VLOOKUP($U22,$R$63:$T$91,3,FALSE)))+IF(AND($U22&lt;&gt;"",$U22&lt;&gt;"O3/CP",$U$15=B$18,MID($U22,4,1)="2",$U$15&lt;&gt;$U$14),VLOOKUP(CONCATENATE(LEFT($U22,2),"L"),$R$63:$T$91,3,FALSE),0)+IF(AND($U22="O3/CP",$T$14=B$18),VLOOKUP("O3",$R$63:$T$91,3,FALSE)+VLOOKUP("CP",$R$63:$T$91,3,FALSE),0)+IF(AND($V22&lt;&gt;"",$V22&lt;&gt;"--",$V22&lt;&gt;"O3/CP",$V$14=B$18),IF(LEFT($V22,1)="P",VLOOKUP(CONCATENATE(LEFT($V22,2),"H"),$R$63:$T$91,3,FALSE),VLOOKUP($V22,$R$63:$T$91,3,FALSE)))+IF(AND($V22&lt;&gt;"",$V22&lt;&gt;"O3/CP",$V$15=B$18,MID($V22,4,1)="2",$V$15&lt;&gt;$V$14),VLOOKUP(CONCATENATE(LEFT($V22,2),"L"),$R$63:$T$91,3,FALSE),0)+IF(AND($V22="O3/CP",$V$14=B$18),VLOOKUP("O3",$R$63:$T$91,3,FALSE)+VLOOKUP("CP",$R$63:$T$91,3,FALSE),0)+IF(AND($W22&lt;&gt;"",$W22&lt;&gt;"--",$W22&lt;&gt;"O3/CP",$W$14=B$18),IF(LEFT($W22,1)="P",VLOOKUP(CONCATENATE(LEFT($W22,2),"H"),$R$63:$T$91,3,FALSE),VLOOKUP($W22,$R$63:$T$91,3,FALSE)))+IF(AND($W22&lt;&gt;"",$W22&lt;&gt;"O3/CP",$W$15=B$18,MID($W22,4,1)="2",$W$15&lt;&gt;$W$14),VLOOKUP(CONCATENATE(LEFT($W22,2),"L"),$R$63:$T$91,3,FALSE),0)+IF(AND($W22="O3/CP",$W$14=B$18),VLOOKUP("O3",$R$63:$T$91,3,FALSE)+VLOOKUP("CP",$R$63:$T$91,3,FALSE),0)+IF(AND($X22&lt;&gt;"",$X22&lt;&gt;"--",$X22&lt;&gt;"O3/CP",$X$14=B$18),IF(LEFT($X22,1)="P",VLOOKUP(CONCATENATE(LEFT($X22,2),"H"),$R$63:$T$91,3,FALSE),VLOOKUP($X22,$R$63:$T$91,3,FALSE)))+IF(AND($X22&lt;&gt;"",$X22&lt;&gt;"O3/CP",$X$15=B$18,MID($X22,4,1)="2",$X$15&lt;&gt;$X$14),VLOOKUP(CONCATENATE(LEFT($X22,2),"L"),$R$63:$T$91,3,FALSE),0)+IF(AND($X22="O3/CP",$X$14=B$18),VLOOKUP("O3",$R$63:$T$91,3,FALSE)+VLOOKUP("CP",$R$63:$T$91,3,FALSE),0)+IF(AND($Y22&lt;&gt;"",$Y22&lt;&gt;"--",$Y22&lt;&gt;"O3/CP",$Y$14=B$18),IF(LEFT($Y22,1)="P",VLOOKUP(CONCATENATE(LEFT($Y22,2),"H"),$R$63:$T$91,3,FALSE),VLOOKUP($Y22,$R$63:$T$91,3,FALSE)))+IF(AND($Y22&lt;&gt;"",$Y22&lt;&gt;"O3/CP",$Y$15=B$18,MID($Y22,4,1)="2",$Y$15&lt;&gt;$Y$14),VLOOKUP(CONCATENATE(LEFT($Y22,2),"L"),$R$63:$T$91,3,FALSE),0)+IF(AND($Y22="O3/CP",$Y$14=B$18),VLOOKUP("O3",$R$63:$T$91,3,FALSE)+VLOOKUP("CP",$R$63:$T$91,3,FALSE),0)+IF(AND($K$6="CE",'[3]Supply Attribution'!$G$20=B$18),LEFT($S$90,2),0)+IF(AND($X$86&lt;&gt;"Not Set",$X$87=B$18),$X$86,0)</f>
        <v>0</v>
      </c>
      <c r="C22" s="269">
        <f>IF(AND($K22&lt;&gt;"",$K22&lt;&gt;"--",$K22&lt;&gt;"O3/CP",$K$14=C$18),IF(LEFT($K22,1)="P",VLOOKUP(CONCATENATE(LEFT($K22,2),"H"),$R$63:$T$91,3,FALSE),VLOOKUP($K22,$R$63:$T$91,3,FALSE)))+IF(AND($K22&lt;&gt;"",$K22&lt;&gt;"O3/CP",$K$15=C$18,MID($K22,4,1)="2",$K$15&lt;&gt;$K$14),VLOOKUP(CONCATENATE(LEFT($K22,2),"L"),$R$63:$T$91,3,FALSE),0)+IF(AND($K22="O3/CP",$K$14=C$18),VLOOKUP("O3",$R$63:$T$91,3,FALSE)+VLOOKUP("CP",$R$63:$T$91,3,FALSE),0)+IF(AND($L22&lt;&gt;"",$L22&lt;&gt;"--",$L22&lt;&gt;"O3/CP",$L$14=C$18),IF(LEFT($L22,1)="P",VLOOKUP(CONCATENATE(LEFT($L22,2),"H"),$R$63:$T$91,3,FALSE),VLOOKUP($L22,$R$63:$T$91,3,FALSE)))+IF(AND($L22&lt;&gt;"",$L22&lt;&gt;"O3/CP",$L$15=C$18,MID($L22,4,1)="2",$L$15&lt;&gt;$L$14),VLOOKUP(CONCATENATE(LEFT($L22,2),"L"),$R$63:$T$91,3,FALSE),0)+IF(AND($L22="O3/CP",$L$14=C$18),VLOOKUP("O3",$R$63:$T$91,3,FALSE)+VLOOKUP("CP",$R$63:$T$91,3,FALSE),0)+IF(AND($M22&lt;&gt;"",$M22&lt;&gt;"--",$M22&lt;&gt;"O3/CP",$M$14=C$18),IF(LEFT($M22,1)="P",VLOOKUP(CONCATENATE(LEFT($M22,2),"H"),$R$63:$T$91,3,FALSE),VLOOKUP($M22,$R$63:$T$91,3,FALSE)))+IF(AND($M22&lt;&gt;"",$M22&lt;&gt;"O3/CP",$M$15=C$18,MID($M22,4,1)="2",$M$15&lt;&gt;$M$14),VLOOKUP(CONCATENATE(LEFT($M22,2),"L"),$R$63:$T$91,3,FALSE),0)+IF(AND($M22="O3/CP",$M$14=C$18),VLOOKUP("O3",$R$63:$T$91,3,FALSE)+VLOOKUP("CP",$R$63:$T$91,3,FALSE),0)+IF(AND($N22&lt;&gt;"",$N22&lt;&gt;"--",$N22&lt;&gt;"O3/CP",$N$14=C$18),IF(LEFT($N22,1)="P",VLOOKUP(CONCATENATE(LEFT($N22,2),"H"),$R$63:$T$91,3,FALSE),VLOOKUP($N22,$R$63:$T$91,3,FALSE)))+IF(AND($N22&lt;&gt;"",$N22&lt;&gt;"O3/CP",$N$15=C$18,MID($N22,4,1)="2",$N$15&lt;&gt;$N$14),VLOOKUP(CONCATENATE(LEFT($N22,2),"L"),$R$63:$T$91,3,FALSE),0)+IF(AND($N22="O3/CP",$N$14=C$18),VLOOKUP("O3",$R$63:$T$91,3,FALSE)+VLOOKUP("CP",$R$63:$T$91,3,FALSE),0)+IF(AND($O22&lt;&gt;"",$O22&lt;&gt;"--",$O22&lt;&gt;"O3/CP",$O$14=C$18),IF(LEFT($O22,1)="P",VLOOKUP(CONCATENATE(LEFT($O22,2),"H"),$R$63:$T$91,3,FALSE),VLOOKUP($O22,$R$63:$T$91,3,FALSE)))+IF(AND($O22&lt;&gt;"",$O22&lt;&gt;"O3/CP",$O$15=C$18,MID($O22,4,1)="2",$O$15&lt;&gt;$O$14),VLOOKUP(CONCATENATE(LEFT($O22,2),"L"),$R$63:$T$91,3,FALSE),0)+IF(AND($O22="O3/CP",$O$14=C$18),VLOOKUP("O3",$R$63:$T$91,3,FALSE)+VLOOKUP("CP",$R$63:$T$91,3,FALSE),0)+IF(AND($P22&lt;&gt;"",$P22&lt;&gt;"--",$P22&lt;&gt;"O3/CP",$P$14=C$18),IF(LEFT($P22,1)="P",VLOOKUP(CONCATENATE(LEFT($P22,2),"H"),$R$63:$T$91,3,FALSE),VLOOKUP($P22,$R$63:$T$91,3,FALSE)))+IF(AND($P22&lt;&gt;"",$P22&lt;&gt;"O3/CP",$P$15=C$18,MID($P22,4,1)="2",$P$15&lt;&gt;$P$14),VLOOKUP(CONCATENATE(LEFT($P22,2),"L"),$R$63:$T$91,3,FALSE),0)+IF(AND($P22="O3/CP",$P$14=C$18),VLOOKUP("O3",$R$63:$T$91,3,FALSE)+VLOOKUP("CP",$R$63:$T$91,3,FALSE),0)+IF(AND($Q22&lt;&gt;"",$Q22&lt;&gt;"--",$Q22&lt;&gt;"O3/CP",$Q$14=C$18),IF(LEFT($Q22,1)="P",VLOOKUP(CONCATENATE(LEFT($Q22,2),"H"),$R$63:$T$91,3,FALSE),VLOOKUP($Q22,$R$63:$T$91,3,FALSE)))+IF(AND($Q22&lt;&gt;"",$Q22&lt;&gt;"O3/CP",$Q$15=C$18,MID($Q22,4,1)="2",$Q$15&lt;&gt;$Q$14),VLOOKUP(CONCATENATE(LEFT($Q22,2),"L"),$R$63:$T$91,3,FALSE),0)+IF(AND($Q22="O3/CP",$Q$14=C$18),VLOOKUP("O3",$R$63:$T$91,3,FALSE)+VLOOKUP("CP",$R$63:$T$91,3,FALSE),0)+IF(AND($R22&lt;&gt;"",$R22&lt;&gt;"--",$R22&lt;&gt;"O3/CP",$R$14=C$18),IF(LEFT($R22,1)="P",VLOOKUP(CONCATENATE(LEFT($R22,2),"H"),$R$63:$T$91,3,FALSE),VLOOKUP($R22,$R$63:$T$91,3,FALSE)))+IF(AND($R22&lt;&gt;"",$R22&lt;&gt;"O3/CP",$R$15=C$18,MID($R22,4,1)="2",$R$15&lt;&gt;$R$14),VLOOKUP(CONCATENATE(LEFT($R22,2),"L"),$R$63:$T$91,3,FALSE),0)+IF(AND($R22="O3/CP",$R$14=C$18),VLOOKUP("O3",$R$63:$T$91,3,FALSE)+VLOOKUP("CP",$R$63:$T$91,3,FALSE),0)+IF(AND($S22&lt;&gt;"",$S22&lt;&gt;"--",$S22&lt;&gt;"O3/CP",$S$14=C$18),IF(LEFT($S22,1)="P",VLOOKUP(CONCATENATE(LEFT($S22,2),"H"),$R$63:$T$91,3,FALSE),VLOOKUP($S22,$R$63:$T$91,3,FALSE)))+IF(AND($S22&lt;&gt;"",$S22&lt;&gt;"O3/CP",$S$15=C$18,MID($S22,4,1)="2",$S$15&lt;&gt;$S$14),VLOOKUP(CONCATENATE(LEFT($S22,2),"L"),$R$63:$T$91,3,FALSE),0)+IF(AND($S22="O3/CP",$S$14=C$18),VLOOKUP("O3",$R$63:$T$91,3,FALSE)+VLOOKUP("CP",$R$63:$T$91,3,FALSE),0)+IF(AND($T22&lt;&gt;"",$T22&lt;&gt;"--",$T22&lt;&gt;"O3/CP",$T$14=C$18),IF(LEFT($T22,1)="P",VLOOKUP(CONCATENATE(LEFT($T22,2),"H"),$R$63:$T$91,3,FALSE),VLOOKUP($T22,$R$63:$T$91,3,FALSE)))+IF(AND($T22&lt;&gt;"",$T22&lt;&gt;"O3/CP",$T$15=C$18,MID($T22,4,1)="2",$T$15&lt;&gt;$T$14),VLOOKUP(CONCATENATE(LEFT($T22,2),"L"),$R$63:$T$91,3,FALSE),0)+IF(AND($T22="O3/CP",$T$14=C$18),VLOOKUP("O3",$R$63:$T$91,3,FALSE)+VLOOKUP("CP",$R$63:$T$91,3,FALSE),0)+IF(AND($U22&lt;&gt;"",$U22&lt;&gt;"--",$U22&lt;&gt;"O3/CP",$U$14=C$18),IF(LEFT($U22,1)="P",VLOOKUP(CONCATENATE(LEFT($U22,2),"H"),$R$63:$T$91,3,FALSE),VLOOKUP($U22,$R$63:$T$91,3,FALSE)))+IF(AND($U22&lt;&gt;"",$U22&lt;&gt;"O3/CP",$U$15=C$18,MID($U22,4,1)="2",$U$15&lt;&gt;$U$14),VLOOKUP(CONCATENATE(LEFT($U22,2),"L"),$R$63:$T$91,3,FALSE),0)+IF(AND($U22="O3/CP",$T$14=C$18),VLOOKUP("O3",$R$63:$T$91,3,FALSE)+VLOOKUP("CP",$R$63:$T$91,3,FALSE),0)+IF(AND($V22&lt;&gt;"",$V22&lt;&gt;"--",$V22&lt;&gt;"O3/CP",$V$14=C$18),IF(LEFT($V22,1)="P",VLOOKUP(CONCATENATE(LEFT($V22,2),"H"),$R$63:$T$91,3,FALSE),VLOOKUP($V22,$R$63:$T$91,3,FALSE)))+IF(AND($V22&lt;&gt;"",$V22&lt;&gt;"O3/CP",$V$15=C$18,MID($V22,4,1)="2",$V$15&lt;&gt;$V$14),VLOOKUP(CONCATENATE(LEFT($V22,2),"L"),$R$63:$T$91,3,FALSE),0)+IF(AND($V22="O3/CP",$V$14=C$18),VLOOKUP("O3",$R$63:$T$91,3,FALSE)+VLOOKUP("CP",$R$63:$T$91,3,FALSE),0)+IF(AND($W22&lt;&gt;"",$W22&lt;&gt;"--",$W22&lt;&gt;"O3/CP",$W$14=C$18),IF(LEFT($W22,1)="P",VLOOKUP(CONCATENATE(LEFT($W22,2),"H"),$R$63:$T$91,3,FALSE),VLOOKUP($W22,$R$63:$T$91,3,FALSE)))+IF(AND($W22&lt;&gt;"",$W22&lt;&gt;"O3/CP",$W$15=C$18,MID($W22,4,1)="2",$W$15&lt;&gt;$W$14),VLOOKUP(CONCATENATE(LEFT($W22,2),"L"),$R$63:$T$91,3,FALSE),0)+IF(AND($W22="O3/CP",$W$14=C$18),VLOOKUP("O3",$R$63:$T$91,3,FALSE)+VLOOKUP("CP",$R$63:$T$91,3,FALSE),0)+IF(AND($X22&lt;&gt;"",$X22&lt;&gt;"--",$X22&lt;&gt;"O3/CP",$X$14=C$18),IF(LEFT($X22,1)="P",VLOOKUP(CONCATENATE(LEFT($X22,2),"H"),$R$63:$T$91,3,FALSE),VLOOKUP($X22,$R$63:$T$91,3,FALSE)))+IF(AND($X22&lt;&gt;"",$X22&lt;&gt;"O3/CP",$X$15=C$18,MID($X22,4,1)="2",$X$15&lt;&gt;$X$14),VLOOKUP(CONCATENATE(LEFT($X22,2),"L"),$R$63:$T$91,3,FALSE),0)+IF(AND($X22="O3/CP",$X$14=C$18),VLOOKUP("O3",$R$63:$T$91,3,FALSE)+VLOOKUP("CP",$R$63:$T$91,3,FALSE),0)+IF(AND($Y22&lt;&gt;"",$Y22&lt;&gt;"--",$Y22&lt;&gt;"O3/CP",$Y$14=C$18),IF(LEFT($Y22,1)="P",VLOOKUP(CONCATENATE(LEFT($Y22,2),"H"),$R$63:$T$91,3,FALSE),VLOOKUP($Y22,$R$63:$T$91,3,FALSE)))+IF(AND($Y22&lt;&gt;"",$Y22&lt;&gt;"O3/CP",$Y$15=C$18,MID($Y22,4,1)="2",$Y$15&lt;&gt;$Y$14),VLOOKUP(CONCATENATE(LEFT($Y22,2),"L"),$R$63:$T$91,3,FALSE),0)+IF(AND($Y22="O3/CP",$Y$14=C$18),VLOOKUP("O3",$R$63:$T$91,3,FALSE)+VLOOKUP("CP",$R$63:$T$91,3,FALSE),0)+IF(AND($K$6="CE",'[3]Supply Attribution'!$G$20=C$18),LEFT($S$90,2),0)+IF(AND($X$86&lt;&gt;"Not Set",$X$87=C$18),$X$86,0)</f>
        <v>12</v>
      </c>
      <c r="D22" s="269">
        <f>IF(AND($K22&lt;&gt;"",$K22&lt;&gt;"--",$K22&lt;&gt;"O3/CP",$K$14=D$18),IF(LEFT($K22,1)="P",VLOOKUP(CONCATENATE(LEFT($K22,2),"H"),$R$63:$T$91,3,FALSE),VLOOKUP($K22,$R$63:$T$91,3,FALSE)))+IF(AND($K22&lt;&gt;"",$K22&lt;&gt;"O3/CP",$K$15=D$18,MID($K22,4,1)="2",$K$15&lt;&gt;$K$14),VLOOKUP(CONCATENATE(LEFT($K22,2),"L"),$R$63:$T$91,3,FALSE),0)+IF(AND($K22="O3/CP",$K$14=D$18),VLOOKUP("O3",$R$63:$T$91,3,FALSE)+VLOOKUP("CP",$R$63:$T$91,3,FALSE),0)+IF(AND($L22&lt;&gt;"",$L22&lt;&gt;"--",$L22&lt;&gt;"O3/CP",$L$14=D$18),IF(LEFT($L22,1)="P",VLOOKUP(CONCATENATE(LEFT($L22,2),"H"),$R$63:$T$91,3,FALSE),VLOOKUP($L22,$R$63:$T$91,3,FALSE)))+IF(AND($L22&lt;&gt;"",$L22&lt;&gt;"O3/CP",$L$15=D$18,MID($L22,4,1)="2",$L$15&lt;&gt;$L$14),VLOOKUP(CONCATENATE(LEFT($L22,2),"L"),$R$63:$T$91,3,FALSE),0)+IF(AND($L22="O3/CP",$L$14=D$18),VLOOKUP("O3",$R$63:$T$91,3,FALSE)+VLOOKUP("CP",$R$63:$T$91,3,FALSE),0)+IF(AND($M22&lt;&gt;"",$M22&lt;&gt;"--",$M22&lt;&gt;"O3/CP",$M$14=D$18),IF(LEFT($M22,1)="P",VLOOKUP(CONCATENATE(LEFT($M22,2),"H"),$R$63:$T$91,3,FALSE),VLOOKUP($M22,$R$63:$T$91,3,FALSE)))+IF(AND($M22&lt;&gt;"",$M22&lt;&gt;"O3/CP",$M$15=D$18,MID($M22,4,1)="2",$M$15&lt;&gt;$M$14),VLOOKUP(CONCATENATE(LEFT($M22,2),"L"),$R$63:$T$91,3,FALSE),0)+IF(AND($M22="O3/CP",$M$14=D$18),VLOOKUP("O3",$R$63:$T$91,3,FALSE)+VLOOKUP("CP",$R$63:$T$91,3,FALSE),0)+IF(AND($N22&lt;&gt;"",$N22&lt;&gt;"--",$N22&lt;&gt;"O3/CP",$N$14=D$18),IF(LEFT($N22,1)="P",VLOOKUP(CONCATENATE(LEFT($N22,2),"H"),$R$63:$T$91,3,FALSE),VLOOKUP($N22,$R$63:$T$91,3,FALSE)))+IF(AND($N22&lt;&gt;"",$N22&lt;&gt;"O3/CP",$N$15=D$18,MID($N22,4,1)="2",$N$15&lt;&gt;$N$14),VLOOKUP(CONCATENATE(LEFT($N22,2),"L"),$R$63:$T$91,3,FALSE),0)+IF(AND($N22="O3/CP",$N$14=D$18),VLOOKUP("O3",$R$63:$T$91,3,FALSE)+VLOOKUP("CP",$R$63:$T$91,3,FALSE),0)+IF(AND($O22&lt;&gt;"",$O22&lt;&gt;"--",$O22&lt;&gt;"O3/CP",$O$14=D$18),IF(LEFT($O22,1)="P",VLOOKUP(CONCATENATE(LEFT($O22,2),"H"),$R$63:$T$91,3,FALSE),VLOOKUP($O22,$R$63:$T$91,3,FALSE)))+IF(AND($O22&lt;&gt;"",$O22&lt;&gt;"O3/CP",$O$15=D$18,MID($O22,4,1)="2",$O$15&lt;&gt;$O$14),VLOOKUP(CONCATENATE(LEFT($O22,2),"L"),$R$63:$T$91,3,FALSE),0)+IF(AND($O22="O3/CP",$O$14=D$18),VLOOKUP("O3",$R$63:$T$91,3,FALSE)+VLOOKUP("CP",$R$63:$T$91,3,FALSE),0)+IF(AND($P22&lt;&gt;"",$P22&lt;&gt;"--",$P22&lt;&gt;"O3/CP",$P$14=D$18),IF(LEFT($P22,1)="P",VLOOKUP(CONCATENATE(LEFT($P22,2),"H"),$R$63:$T$91,3,FALSE),VLOOKUP($P22,$R$63:$T$91,3,FALSE)))+IF(AND($P22&lt;&gt;"",$P22&lt;&gt;"O3/CP",$P$15=D$18,MID($P22,4,1)="2",$P$15&lt;&gt;$P$14),VLOOKUP(CONCATENATE(LEFT($P22,2),"L"),$R$63:$T$91,3,FALSE),0)+IF(AND($P22="O3/CP",$P$14=D$18),VLOOKUP("O3",$R$63:$T$91,3,FALSE)+VLOOKUP("CP",$R$63:$T$91,3,FALSE),0)+IF(AND($Q22&lt;&gt;"",$Q22&lt;&gt;"--",$Q22&lt;&gt;"O3/CP",$Q$14=D$18),IF(LEFT($Q22,1)="P",VLOOKUP(CONCATENATE(LEFT($Q22,2),"H"),$R$63:$T$91,3,FALSE),VLOOKUP($Q22,$R$63:$T$91,3,FALSE)))+IF(AND($Q22&lt;&gt;"",$Q22&lt;&gt;"O3/CP",$Q$15=D$18,MID($Q22,4,1)="2",$Q$15&lt;&gt;$Q$14),VLOOKUP(CONCATENATE(LEFT($Q22,2),"L"),$R$63:$T$91,3,FALSE),0)+IF(AND($Q22="O3/CP",$Q$14=D$18),VLOOKUP("O3",$R$63:$T$91,3,FALSE)+VLOOKUP("CP",$R$63:$T$91,3,FALSE),0)+IF(AND($R22&lt;&gt;"",$R22&lt;&gt;"--",$R22&lt;&gt;"O3/CP",$R$14=D$18),IF(LEFT($R22,1)="P",VLOOKUP(CONCATENATE(LEFT($R22,2),"H"),$R$63:$T$91,3,FALSE),VLOOKUP($R22,$R$63:$T$91,3,FALSE)))+IF(AND($R22&lt;&gt;"",$R22&lt;&gt;"O3/CP",$R$15=D$18,MID($R22,4,1)="2",$R$15&lt;&gt;$R$14),VLOOKUP(CONCATENATE(LEFT($R22,2),"L"),$R$63:$T$91,3,FALSE),0)+IF(AND($R22="O3/CP",$R$14=D$18),VLOOKUP("O3",$R$63:$T$91,3,FALSE)+VLOOKUP("CP",$R$63:$T$91,3,FALSE),0)+IF(AND($S22&lt;&gt;"",$S22&lt;&gt;"--",$S22&lt;&gt;"O3/CP",$S$14=D$18),IF(LEFT($S22,1)="P",VLOOKUP(CONCATENATE(LEFT($S22,2),"H"),$R$63:$T$91,3,FALSE),VLOOKUP($S22,$R$63:$T$91,3,FALSE)))+IF(AND($S22&lt;&gt;"",$S22&lt;&gt;"O3/CP",$S$15=D$18,MID($S22,4,1)="2",$S$15&lt;&gt;$S$14),VLOOKUP(CONCATENATE(LEFT($S22,2),"L"),$R$63:$T$91,3,FALSE),0)+IF(AND($S22="O3/CP",$S$14=D$18),VLOOKUP("O3",$R$63:$T$91,3,FALSE)+VLOOKUP("CP",$R$63:$T$91,3,FALSE),0)+IF(AND($T22&lt;&gt;"",$T22&lt;&gt;"--",$T22&lt;&gt;"O3/CP",$T$14=D$18),IF(LEFT($T22,1)="P",VLOOKUP(CONCATENATE(LEFT($T22,2),"H"),$R$63:$T$91,3,FALSE),VLOOKUP($T22,$R$63:$T$91,3,FALSE)))+IF(AND($T22&lt;&gt;"",$T22&lt;&gt;"O3/CP",$T$15=D$18,MID($T22,4,1)="2",$T$15&lt;&gt;$T$14),VLOOKUP(CONCATENATE(LEFT($T22,2),"L"),$R$63:$T$91,3,FALSE),0)+IF(AND($T22="O3/CP",$T$14=D$18),VLOOKUP("O3",$R$63:$T$91,3,FALSE)+VLOOKUP("CP",$R$63:$T$91,3,FALSE),0)+IF(AND($U22&lt;&gt;"",$U22&lt;&gt;"--",$U22&lt;&gt;"O3/CP",$U$14=D$18),IF(LEFT($U22,1)="P",VLOOKUP(CONCATENATE(LEFT($U22,2),"H"),$R$63:$T$91,3,FALSE),VLOOKUP($U22,$R$63:$T$91,3,FALSE)))+IF(AND($U22&lt;&gt;"",$U22&lt;&gt;"O3/CP",$U$15=D$18,MID($U22,4,1)="2",$U$15&lt;&gt;$U$14),VLOOKUP(CONCATENATE(LEFT($U22,2),"L"),$R$63:$T$91,3,FALSE),0)+IF(AND($U22="O3/CP",$T$14=D$18),VLOOKUP("O3",$R$63:$T$91,3,FALSE)+VLOOKUP("CP",$R$63:$T$91,3,FALSE),0)+IF(AND($V22&lt;&gt;"",$V22&lt;&gt;"--",$V22&lt;&gt;"O3/CP",$V$14=D$18),IF(LEFT($V22,1)="P",VLOOKUP(CONCATENATE(LEFT($V22,2),"H"),$R$63:$T$91,3,FALSE),VLOOKUP($V22,$R$63:$T$91,3,FALSE)))+IF(AND($V22&lt;&gt;"",$V22&lt;&gt;"O3/CP",$V$15=D$18,MID($V22,4,1)="2",$V$15&lt;&gt;$V$14),VLOOKUP(CONCATENATE(LEFT($V22,2),"L"),$R$63:$T$91,3,FALSE),0)+IF(AND($V22="O3/CP",$V$14=D$18),VLOOKUP("O3",$R$63:$T$91,3,FALSE)+VLOOKUP("CP",$R$63:$T$91,3,FALSE),0)+IF(AND($W22&lt;&gt;"",$W22&lt;&gt;"--",$W22&lt;&gt;"O3/CP",$W$14=D$18),IF(LEFT($W22,1)="P",VLOOKUP(CONCATENATE(LEFT($W22,2),"H"),$R$63:$T$91,3,FALSE),VLOOKUP($W22,$R$63:$T$91,3,FALSE)))+IF(AND($W22&lt;&gt;"",$W22&lt;&gt;"O3/CP",$W$15=D$18,MID($W22,4,1)="2",$W$15&lt;&gt;$W$14),VLOOKUP(CONCATENATE(LEFT($W22,2),"L"),$R$63:$T$91,3,FALSE),0)+IF(AND($W22="O3/CP",$W$14=D$18),VLOOKUP("O3",$R$63:$T$91,3,FALSE)+VLOOKUP("CP",$R$63:$T$91,3,FALSE),0)+IF(AND($X22&lt;&gt;"",$X22&lt;&gt;"--",$X22&lt;&gt;"O3/CP",$X$14=D$18),IF(LEFT($X22,1)="P",VLOOKUP(CONCATENATE(LEFT($X22,2),"H"),$R$63:$T$91,3,FALSE),VLOOKUP($X22,$R$63:$T$91,3,FALSE)))+IF(AND($X22&lt;&gt;"",$X22&lt;&gt;"O3/CP",$X$15=D$18,MID($X22,4,1)="2",$X$15&lt;&gt;$X$14),VLOOKUP(CONCATENATE(LEFT($X22,2),"L"),$R$63:$T$91,3,FALSE),0)+IF(AND($X22="O3/CP",$X$14=D$18),VLOOKUP("O3",$R$63:$T$91,3,FALSE)+VLOOKUP("CP",$R$63:$T$91,3,FALSE),0)+IF(AND($Y22&lt;&gt;"",$Y22&lt;&gt;"--",$Y22&lt;&gt;"O3/CP",$Y$14=D$18),IF(LEFT($Y22,1)="P",VLOOKUP(CONCATENATE(LEFT($Y22,2),"H"),$R$63:$T$91,3,FALSE),VLOOKUP($Y22,$R$63:$T$91,3,FALSE)))+IF(AND($Y22&lt;&gt;"",$Y22&lt;&gt;"O3/CP",$Y$15=D$18,MID($Y22,4,1)="2",$Y$15&lt;&gt;$Y$14),VLOOKUP(CONCATENATE(LEFT($Y22,2),"L"),$R$63:$T$91,3,FALSE),0)+IF(AND($Y22="O3/CP",$Y$14=D$18),VLOOKUP("O3",$R$63:$T$91,3,FALSE)+VLOOKUP("CP",$R$63:$T$91,3,FALSE),0)+IF(AND($K$6="CE",'[3]Supply Attribution'!$G$20=D$18),LEFT($S$90,2),0)+IF(AND($X$86&lt;&gt;"Not Set",$X$87=D$18),$X$86,0)</f>
        <v>0</v>
      </c>
      <c r="E22" s="269">
        <f>IF(AND($K22&lt;&gt;"",$K22&lt;&gt;"--",$K22&lt;&gt;"O3/CP",$K$14=E$18),IF(LEFT($K22,1)="P",VLOOKUP(CONCATENATE(LEFT($K22,2),"H"),$R$63:$T$91,3,FALSE),VLOOKUP($K22,$R$63:$T$91,3,FALSE)))+IF(AND($K22&lt;&gt;"",$K22&lt;&gt;"O3/CP",$K$15=E$18,MID($K22,4,1)="2",$K$15&lt;&gt;$K$14),VLOOKUP(CONCATENATE(LEFT($K22,2),"L"),$R$63:$T$91,3,FALSE),0)+IF(AND($K22="O3/CP",$K$14=E$18),VLOOKUP("O3",$R$63:$T$91,3,FALSE)+VLOOKUP("CP",$R$63:$T$91,3,FALSE),0)+IF(AND($L22&lt;&gt;"",$L22&lt;&gt;"--",$L22&lt;&gt;"O3/CP",$L$14=E$18),IF(LEFT($L22,1)="P",VLOOKUP(CONCATENATE(LEFT($L22,2),"H"),$R$63:$T$91,3,FALSE),VLOOKUP($L22,$R$63:$T$91,3,FALSE)))+IF(AND($L22&lt;&gt;"",$L22&lt;&gt;"O3/CP",$L$15=E$18,MID($L22,4,1)="2",$L$15&lt;&gt;$L$14),VLOOKUP(CONCATENATE(LEFT($L22,2),"L"),$R$63:$T$91,3,FALSE),0)+IF(AND($L22="O3/CP",$L$14=E$18),VLOOKUP("O3",$R$63:$T$91,3,FALSE)+VLOOKUP("CP",$R$63:$T$91,3,FALSE),0)+IF(AND($M22&lt;&gt;"",$M22&lt;&gt;"--",$M22&lt;&gt;"O3/CP",$M$14=E$18),IF(LEFT($M22,1)="P",VLOOKUP(CONCATENATE(LEFT($M22,2),"H"),$R$63:$T$91,3,FALSE),VLOOKUP($M22,$R$63:$T$91,3,FALSE)))+IF(AND($M22&lt;&gt;"",$M22&lt;&gt;"O3/CP",$M$15=E$18,MID($M22,4,1)="2",$M$15&lt;&gt;$M$14),VLOOKUP(CONCATENATE(LEFT($M22,2),"L"),$R$63:$T$91,3,FALSE),0)+IF(AND($M22="O3/CP",$M$14=E$18),VLOOKUP("O3",$R$63:$T$91,3,FALSE)+VLOOKUP("CP",$R$63:$T$91,3,FALSE),0)+IF(AND($N22&lt;&gt;"",$N22&lt;&gt;"--",$N22&lt;&gt;"O3/CP",$N$14=E$18),IF(LEFT($N22,1)="P",VLOOKUP(CONCATENATE(LEFT($N22,2),"H"),$R$63:$T$91,3,FALSE),VLOOKUP($N22,$R$63:$T$91,3,FALSE)))+IF(AND($N22&lt;&gt;"",$N22&lt;&gt;"O3/CP",$N$15=E$18,MID($N22,4,1)="2",$N$15&lt;&gt;$N$14),VLOOKUP(CONCATENATE(LEFT($N22,2),"L"),$R$63:$T$91,3,FALSE),0)+IF(AND($N22="O3/CP",$N$14=E$18),VLOOKUP("O3",$R$63:$T$91,3,FALSE)+VLOOKUP("CP",$R$63:$T$91,3,FALSE),0)+IF(AND($O22&lt;&gt;"",$O22&lt;&gt;"--",$O22&lt;&gt;"O3/CP",$O$14=E$18),IF(LEFT($O22,1)="P",VLOOKUP(CONCATENATE(LEFT($O22,2),"H"),$R$63:$T$91,3,FALSE),VLOOKUP($O22,$R$63:$T$91,3,FALSE)))+IF(AND($O22&lt;&gt;"",$O22&lt;&gt;"O3/CP",$O$15=E$18,MID($O22,4,1)="2",$O$15&lt;&gt;$O$14),VLOOKUP(CONCATENATE(LEFT($O22,2),"L"),$R$63:$T$91,3,FALSE),0)+IF(AND($O22="O3/CP",$O$14=E$18),VLOOKUP("O3",$R$63:$T$91,3,FALSE)+VLOOKUP("CP",$R$63:$T$91,3,FALSE),0)+IF(AND($P22&lt;&gt;"",$P22&lt;&gt;"--",$P22&lt;&gt;"O3/CP",$P$14=E$18),IF(LEFT($P22,1)="P",VLOOKUP(CONCATENATE(LEFT($P22,2),"H"),$R$63:$T$91,3,FALSE),VLOOKUP($P22,$R$63:$T$91,3,FALSE)))+IF(AND($P22&lt;&gt;"",$P22&lt;&gt;"O3/CP",$P$15=E$18,MID($P22,4,1)="2",$P$15&lt;&gt;$P$14),VLOOKUP(CONCATENATE(LEFT($P22,2),"L"),$R$63:$T$91,3,FALSE),0)+IF(AND($P22="O3/CP",$P$14=E$18),VLOOKUP("O3",$R$63:$T$91,3,FALSE)+VLOOKUP("CP",$R$63:$T$91,3,FALSE),0)+IF(AND($Q22&lt;&gt;"",$Q22&lt;&gt;"--",$Q22&lt;&gt;"O3/CP",$Q$14=E$18),IF(LEFT($Q22,1)="P",VLOOKUP(CONCATENATE(LEFT($Q22,2),"H"),$R$63:$T$91,3,FALSE),VLOOKUP($Q22,$R$63:$T$91,3,FALSE)))+IF(AND($Q22&lt;&gt;"",$Q22&lt;&gt;"O3/CP",$Q$15=E$18,MID($Q22,4,1)="2",$Q$15&lt;&gt;$Q$14),VLOOKUP(CONCATENATE(LEFT($Q22,2),"L"),$R$63:$T$91,3,FALSE),0)+IF(AND($Q22="O3/CP",$Q$14=E$18),VLOOKUP("O3",$R$63:$T$91,3,FALSE)+VLOOKUP("CP",$R$63:$T$91,3,FALSE),0)+IF(AND($R22&lt;&gt;"",$R22&lt;&gt;"--",$R22&lt;&gt;"O3/CP",$R$14=E$18),IF(LEFT($R22,1)="P",VLOOKUP(CONCATENATE(LEFT($R22,2),"H"),$R$63:$T$91,3,FALSE),VLOOKUP($R22,$R$63:$T$91,3,FALSE)))+IF(AND($R22&lt;&gt;"",$R22&lt;&gt;"O3/CP",$R$15=E$18,MID($R22,4,1)="2",$R$15&lt;&gt;$R$14),VLOOKUP(CONCATENATE(LEFT($R22,2),"L"),$R$63:$T$91,3,FALSE),0)+IF(AND($R22="O3/CP",$R$14=E$18),VLOOKUP("O3",$R$63:$T$91,3,FALSE)+VLOOKUP("CP",$R$63:$T$91,3,FALSE),0)+IF(AND($S22&lt;&gt;"",$S22&lt;&gt;"--",$S22&lt;&gt;"O3/CP",$S$14=E$18),IF(LEFT($S22,1)="P",VLOOKUP(CONCATENATE(LEFT($S22,2),"H"),$R$63:$T$91,3,FALSE),VLOOKUP($S22,$R$63:$T$91,3,FALSE)))+IF(AND($S22&lt;&gt;"",$S22&lt;&gt;"O3/CP",$S$15=E$18,MID($S22,4,1)="2",$S$15&lt;&gt;$S$14),VLOOKUP(CONCATENATE(LEFT($S22,2),"L"),$R$63:$T$91,3,FALSE),0)+IF(AND($S22="O3/CP",$S$14=E$18),VLOOKUP("O3",$R$63:$T$91,3,FALSE)+VLOOKUP("CP",$R$63:$T$91,3,FALSE),0)+IF(AND($T22&lt;&gt;"",$T22&lt;&gt;"--",$T22&lt;&gt;"O3/CP",$T$14=E$18),IF(LEFT($T22,1)="P",VLOOKUP(CONCATENATE(LEFT($T22,2),"H"),$R$63:$T$91,3,FALSE),VLOOKUP($T22,$R$63:$T$91,3,FALSE)))+IF(AND($T22&lt;&gt;"",$T22&lt;&gt;"O3/CP",$T$15=E$18,MID($T22,4,1)="2",$T$15&lt;&gt;$T$14),VLOOKUP(CONCATENATE(LEFT($T22,2),"L"),$R$63:$T$91,3,FALSE),0)+IF(AND($T22="O3/CP",$T$14=E$18),VLOOKUP("O3",$R$63:$T$91,3,FALSE)+VLOOKUP("CP",$R$63:$T$91,3,FALSE),0)+IF(AND($U22&lt;&gt;"",$U22&lt;&gt;"--",$U22&lt;&gt;"O3/CP",$U$14=E$18),IF(LEFT($U22,1)="P",VLOOKUP(CONCATENATE(LEFT($U22,2),"H"),$R$63:$T$91,3,FALSE),VLOOKUP($U22,$R$63:$T$91,3,FALSE)))+IF(AND($U22&lt;&gt;"",$U22&lt;&gt;"O3/CP",$U$15=E$18,MID($U22,4,1)="2",$U$15&lt;&gt;$U$14),VLOOKUP(CONCATENATE(LEFT($U22,2),"L"),$R$63:$T$91,3,FALSE),0)+IF(AND($U22="O3/CP",$T$14=E$18),VLOOKUP("O3",$R$63:$T$91,3,FALSE)+VLOOKUP("CP",$R$63:$T$91,3,FALSE),0)+IF(AND($V22&lt;&gt;"",$V22&lt;&gt;"--",$V22&lt;&gt;"O3/CP",$V$14=E$18),IF(LEFT($V22,1)="P",VLOOKUP(CONCATENATE(LEFT($V22,2),"H"),$R$63:$T$91,3,FALSE),VLOOKUP($V22,$R$63:$T$91,3,FALSE)))+IF(AND($V22&lt;&gt;"",$V22&lt;&gt;"O3/CP",$V$15=E$18,MID($V22,4,1)="2",$V$15&lt;&gt;$V$14),VLOOKUP(CONCATENATE(LEFT($V22,2),"L"),$R$63:$T$91,3,FALSE),0)+IF(AND($V22="O3/CP",$V$14=E$18),VLOOKUP("O3",$R$63:$T$91,3,FALSE)+VLOOKUP("CP",$R$63:$T$91,3,FALSE),0)+IF(AND($W22&lt;&gt;"",$W22&lt;&gt;"--",$W22&lt;&gt;"O3/CP",$W$14=E$18),IF(LEFT($W22,1)="P",VLOOKUP(CONCATENATE(LEFT($W22,2),"H"),$R$63:$T$91,3,FALSE),VLOOKUP($W22,$R$63:$T$91,3,FALSE)))+IF(AND($W22&lt;&gt;"",$W22&lt;&gt;"O3/CP",$W$15=E$18,MID($W22,4,1)="2",$W$15&lt;&gt;$W$14),VLOOKUP(CONCATENATE(LEFT($W22,2),"L"),$R$63:$T$91,3,FALSE),0)+IF(AND($W22="O3/CP",$W$14=E$18),VLOOKUP("O3",$R$63:$T$91,3,FALSE)+VLOOKUP("CP",$R$63:$T$91,3,FALSE),0)+IF(AND($X22&lt;&gt;"",$X22&lt;&gt;"--",$X22&lt;&gt;"O3/CP",$X$14=E$18),IF(LEFT($X22,1)="P",VLOOKUP(CONCATENATE(LEFT($X22,2),"H"),$R$63:$T$91,3,FALSE),VLOOKUP($X22,$R$63:$T$91,3,FALSE)))+IF(AND($X22&lt;&gt;"",$X22&lt;&gt;"O3/CP",$X$15=E$18,MID($X22,4,1)="2",$X$15&lt;&gt;$X$14),VLOOKUP(CONCATENATE(LEFT($X22,2),"L"),$R$63:$T$91,3,FALSE),0)+IF(AND($X22="O3/CP",$X$14=E$18),VLOOKUP("O3",$R$63:$T$91,3,FALSE)+VLOOKUP("CP",$R$63:$T$91,3,FALSE),0)+IF(AND($Y22&lt;&gt;"",$Y22&lt;&gt;"--",$Y22&lt;&gt;"O3/CP",$Y$14=E$18),IF(LEFT($Y22,1)="P",VLOOKUP(CONCATENATE(LEFT($Y22,2),"H"),$R$63:$T$91,3,FALSE),VLOOKUP($Y22,$R$63:$T$91,3,FALSE)))+IF(AND($Y22&lt;&gt;"",$Y22&lt;&gt;"O3/CP",$Y$15=E$18,MID($Y22,4,1)="2",$Y$15&lt;&gt;$Y$14),VLOOKUP(CONCATENATE(LEFT($Y22,2),"L"),$R$63:$T$91,3,FALSE),0)+IF(AND($Y22="O3/CP",$Y$14=E$18),VLOOKUP("O3",$R$63:$T$91,3,FALSE)+VLOOKUP("CP",$R$63:$T$91,3,FALSE),0)+IF(AND($K$6="CE",'[3]Supply Attribution'!$G$20=E$18),LEFT($S$90,2),0)+IF(AND($X$86&lt;&gt;"Not Set",$X$87=E$18),$X$86,0)</f>
        <v>0</v>
      </c>
      <c r="F22" s="268">
        <f>IF(AND($K22&lt;&gt;"",$K22&lt;&gt;"--",$K22&lt;&gt;"O3/CP",$K$14=F$18),IF(LEFT($K22,1)="P",VLOOKUP(CONCATENATE(LEFT($K22,2),"H"),$R$63:$T$91,3,FALSE),VLOOKUP($K22,$R$63:$T$91,3,FALSE)))+IF(AND($K22&lt;&gt;"",$K22&lt;&gt;"O3/CP",$K$15=F$18,MID($K22,4,1)="2",$K$15&lt;&gt;$K$14),VLOOKUP(CONCATENATE(LEFT($K22,2),"L"),$R$63:$T$91,3,FALSE),0)+IF(AND($K22="O3/CP",$K$14=F$18),VLOOKUP("O3",$R$63:$T$91,3,FALSE)+VLOOKUP("CP",$R$63:$T$91,3,FALSE),0)+IF(AND($L22&lt;&gt;"",$L22&lt;&gt;"--",$L22&lt;&gt;"O3/CP",$L$14=F$18),IF(LEFT($L22,1)="P",VLOOKUP(CONCATENATE(LEFT($L22,2),"H"),$R$63:$T$91,3,FALSE),VLOOKUP($L22,$R$63:$T$91,3,FALSE)))+IF(AND($L22&lt;&gt;"",$L22&lt;&gt;"O3/CP",$L$15=F$18,MID($L22,4,1)="2",$L$15&lt;&gt;$L$14),VLOOKUP(CONCATENATE(LEFT($L22,2),"L"),$R$63:$T$91,3,FALSE),0)+IF(AND($L22="O3/CP",$L$14=F$18),VLOOKUP("O3",$R$63:$T$91,3,FALSE)+VLOOKUP("CP",$R$63:$T$91,3,FALSE),0)+IF(AND($M22&lt;&gt;"",$M22&lt;&gt;"--",$M22&lt;&gt;"O3/CP",$M$14=F$18),IF(LEFT($M22,1)="P",VLOOKUP(CONCATENATE(LEFT($M22,2),"H"),$R$63:$T$91,3,FALSE),VLOOKUP($M22,$R$63:$T$91,3,FALSE)))+IF(AND($M22&lt;&gt;"",$M22&lt;&gt;"O3/CP",$M$15=F$18,MID($M22,4,1)="2",$M$15&lt;&gt;$M$14),VLOOKUP(CONCATENATE(LEFT($M22,2),"L"),$R$63:$T$91,3,FALSE),0)+IF(AND($M22="O3/CP",$M$14=F$18),VLOOKUP("O3",$R$63:$T$91,3,FALSE)+VLOOKUP("CP",$R$63:$T$91,3,FALSE),0)+IF(AND($N22&lt;&gt;"",$N22&lt;&gt;"--",$N22&lt;&gt;"O3/CP",$N$14=F$18),IF(LEFT($N22,1)="P",VLOOKUP(CONCATENATE(LEFT($N22,2),"H"),$R$63:$T$91,3,FALSE),VLOOKUP($N22,$R$63:$T$91,3,FALSE)))+IF(AND($N22&lt;&gt;"",$N22&lt;&gt;"O3/CP",$N$15=F$18,MID($N22,4,1)="2",$N$15&lt;&gt;$N$14),VLOOKUP(CONCATENATE(LEFT($N22,2),"L"),$R$63:$T$91,3,FALSE),0)+IF(AND($N22="O3/CP",$N$14=F$18),VLOOKUP("O3",$R$63:$T$91,3,FALSE)+VLOOKUP("CP",$R$63:$T$91,3,FALSE),0)+IF(AND($O22&lt;&gt;"",$O22&lt;&gt;"--",$O22&lt;&gt;"O3/CP",$O$14=F$18),IF(LEFT($O22,1)="P",VLOOKUP(CONCATENATE(LEFT($O22,2),"H"),$R$63:$T$91,3,FALSE),VLOOKUP($O22,$R$63:$T$91,3,FALSE)))+IF(AND($O22&lt;&gt;"",$O22&lt;&gt;"O3/CP",$O$15=F$18,MID($O22,4,1)="2",$O$15&lt;&gt;$O$14),VLOOKUP(CONCATENATE(LEFT($O22,2),"L"),$R$63:$T$91,3,FALSE),0)+IF(AND($O22="O3/CP",$O$14=F$18),VLOOKUP("O3",$R$63:$T$91,3,FALSE)+VLOOKUP("CP",$R$63:$T$91,3,FALSE),0)+IF(AND($P22&lt;&gt;"",$P22&lt;&gt;"--",$P22&lt;&gt;"O3/CP",$P$14=F$18),IF(LEFT($P22,1)="P",VLOOKUP(CONCATENATE(LEFT($P22,2),"H"),$R$63:$T$91,3,FALSE),VLOOKUP($P22,$R$63:$T$91,3,FALSE)))+IF(AND($P22&lt;&gt;"",$P22&lt;&gt;"O3/CP",$P$15=F$18,MID($P22,4,1)="2",$P$15&lt;&gt;$P$14),VLOOKUP(CONCATENATE(LEFT($P22,2),"L"),$R$63:$T$91,3,FALSE),0)+IF(AND($P22="O3/CP",$P$14=F$18),VLOOKUP("O3",$R$63:$T$91,3,FALSE)+VLOOKUP("CP",$R$63:$T$91,3,FALSE),0)+IF(AND($Q22&lt;&gt;"",$Q22&lt;&gt;"--",$Q22&lt;&gt;"O3/CP",$Q$14=F$18),IF(LEFT($Q22,1)="P",VLOOKUP(CONCATENATE(LEFT($Q22,2),"H"),$R$63:$T$91,3,FALSE),VLOOKUP($Q22,$R$63:$T$91,3,FALSE)))+IF(AND($Q22&lt;&gt;"",$Q22&lt;&gt;"O3/CP",$Q$15=F$18,MID($Q22,4,1)="2",$Q$15&lt;&gt;$Q$14),VLOOKUP(CONCATENATE(LEFT($Q22,2),"L"),$R$63:$T$91,3,FALSE),0)+IF(AND($Q22="O3/CP",$Q$14=F$18),VLOOKUP("O3",$R$63:$T$91,3,FALSE)+VLOOKUP("CP",$R$63:$T$91,3,FALSE),0)+IF(AND($R22&lt;&gt;"",$R22&lt;&gt;"--",$R22&lt;&gt;"O3/CP",$R$14=F$18),IF(LEFT($R22,1)="P",VLOOKUP(CONCATENATE(LEFT($R22,2),"H"),$R$63:$T$91,3,FALSE),VLOOKUP($R22,$R$63:$T$91,3,FALSE)))+IF(AND($R22&lt;&gt;"",$R22&lt;&gt;"O3/CP",$R$15=F$18,MID($R22,4,1)="2",$R$15&lt;&gt;$R$14),VLOOKUP(CONCATENATE(LEFT($R22,2),"L"),$R$63:$T$91,3,FALSE),0)+IF(AND($R22="O3/CP",$R$14=F$18),VLOOKUP("O3",$R$63:$T$91,3,FALSE)+VLOOKUP("CP",$R$63:$T$91,3,FALSE),0)+IF(AND($S22&lt;&gt;"",$S22&lt;&gt;"--",$S22&lt;&gt;"O3/CP",$S$14=F$18),IF(LEFT($S22,1)="P",VLOOKUP(CONCATENATE(LEFT($S22,2),"H"),$R$63:$T$91,3,FALSE),VLOOKUP($S22,$R$63:$T$91,3,FALSE)))+IF(AND($S22&lt;&gt;"",$S22&lt;&gt;"O3/CP",$S$15=F$18,MID($S22,4,1)="2",$S$15&lt;&gt;$S$14),VLOOKUP(CONCATENATE(LEFT($S22,2),"L"),$R$63:$T$91,3,FALSE),0)+IF(AND($S22="O3/CP",$S$14=F$18),VLOOKUP("O3",$R$63:$T$91,3,FALSE)+VLOOKUP("CP",$R$63:$T$91,3,FALSE),0)+IF(AND($T22&lt;&gt;"",$T22&lt;&gt;"--",$T22&lt;&gt;"O3/CP",$T$14=F$18),IF(LEFT($T22,1)="P",VLOOKUP(CONCATENATE(LEFT($T22,2),"H"),$R$63:$T$91,3,FALSE),VLOOKUP($T22,$R$63:$T$91,3,FALSE)))+IF(AND($T22&lt;&gt;"",$T22&lt;&gt;"O3/CP",$T$15=F$18,MID($T22,4,1)="2",$T$15&lt;&gt;$T$14),VLOOKUP(CONCATENATE(LEFT($T22,2),"L"),$R$63:$T$91,3,FALSE),0)+IF(AND($T22="O3/CP",$T$14=F$18),VLOOKUP("O3",$R$63:$T$91,3,FALSE)+VLOOKUP("CP",$R$63:$T$91,3,FALSE),0)+IF(AND($U22&lt;&gt;"",$U22&lt;&gt;"--",$U22&lt;&gt;"O3/CP",$U$14=F$18),IF(LEFT($U22,1)="P",VLOOKUP(CONCATENATE(LEFT($U22,2),"H"),$R$63:$T$91,3,FALSE),VLOOKUP($U22,$R$63:$T$91,3,FALSE)))+IF(AND($U22&lt;&gt;"",$U22&lt;&gt;"O3/CP",$U$15=F$18,MID($U22,4,1)="2",$U$15&lt;&gt;$U$14),VLOOKUP(CONCATENATE(LEFT($U22,2),"L"),$R$63:$T$91,3,FALSE),0)+IF(AND($U22="O3/CP",$T$14=F$18),VLOOKUP("O3",$R$63:$T$91,3,FALSE)+VLOOKUP("CP",$R$63:$T$91,3,FALSE),0)+IF(AND($V22&lt;&gt;"",$V22&lt;&gt;"--",$V22&lt;&gt;"O3/CP",$V$14=F$18),IF(LEFT($V22,1)="P",VLOOKUP(CONCATENATE(LEFT($V22,2),"H"),$R$63:$T$91,3,FALSE),VLOOKUP($V22,$R$63:$T$91,3,FALSE)))+IF(AND($V22&lt;&gt;"",$V22&lt;&gt;"O3/CP",$V$15=F$18,MID($V22,4,1)="2",$V$15&lt;&gt;$V$14),VLOOKUP(CONCATENATE(LEFT($V22,2),"L"),$R$63:$T$91,3,FALSE),0)+IF(AND($V22="O3/CP",$V$14=F$18),VLOOKUP("O3",$R$63:$T$91,3,FALSE)+VLOOKUP("CP",$R$63:$T$91,3,FALSE),0)+IF(AND($W22&lt;&gt;"",$W22&lt;&gt;"--",$W22&lt;&gt;"O3/CP",$W$14=F$18),IF(LEFT($W22,1)="P",VLOOKUP(CONCATENATE(LEFT($W22,2),"H"),$R$63:$T$91,3,FALSE),VLOOKUP($W22,$R$63:$T$91,3,FALSE)))+IF(AND($W22&lt;&gt;"",$W22&lt;&gt;"O3/CP",$W$15=F$18,MID($W22,4,1)="2",$W$15&lt;&gt;$W$14),VLOOKUP(CONCATENATE(LEFT($W22,2),"L"),$R$63:$T$91,3,FALSE),0)+IF(AND($W22="O3/CP",$W$14=F$18),VLOOKUP("O3",$R$63:$T$91,3,FALSE)+VLOOKUP("CP",$R$63:$T$91,3,FALSE),0)+IF(AND($X22&lt;&gt;"",$X22&lt;&gt;"--",$X22&lt;&gt;"O3/CP",$X$14=F$18),IF(LEFT($X22,1)="P",VLOOKUP(CONCATENATE(LEFT($X22,2),"H"),$R$63:$T$91,3,FALSE),VLOOKUP($X22,$R$63:$T$91,3,FALSE)))+IF(AND($X22&lt;&gt;"",$X22&lt;&gt;"O3/CP",$X$15=F$18,MID($X22,4,1)="2",$X$15&lt;&gt;$X$14),VLOOKUP(CONCATENATE(LEFT($X22,2),"L"),$R$63:$T$91,3,FALSE),0)+IF(AND($X22="O3/CP",$X$14=F$18),VLOOKUP("O3",$R$63:$T$91,3,FALSE)+VLOOKUP("CP",$R$63:$T$91,3,FALSE),0)+IF(AND($Y22&lt;&gt;"",$Y22&lt;&gt;"--",$Y22&lt;&gt;"O3/CP",$Y$14=F$18),IF(LEFT($Y22,1)="P",VLOOKUP(CONCATENATE(LEFT($Y22,2),"H"),$R$63:$T$91,3,FALSE),VLOOKUP($Y22,$R$63:$T$91,3,FALSE)))+IF(AND($Y22&lt;&gt;"",$Y22&lt;&gt;"O3/CP",$Y$15=F$18,MID($Y22,4,1)="2",$Y$15&lt;&gt;$Y$14),VLOOKUP(CONCATENATE(LEFT($Y22,2),"L"),$R$63:$T$91,3,FALSE),0)+IF(AND($Y22="O3/CP",$Y$14=F$18),VLOOKUP("O3",$R$63:$T$91,3,FALSE)+VLOOKUP("CP",$R$63:$T$91,3,FALSE),0)+IF(AND($K$6="CE",'[3]Supply Attribution'!$G$20=F$18),LEFT($S$90,2),0)+IF(AND($X$86&lt;&gt;"Not Set",$X$87=F$18),$X$86,0)</f>
        <v>0</v>
      </c>
      <c r="G22" s="269">
        <f>IF(AND($K$6="CE",$T$59="1 Phase"),SUM(A22:F22)-IF(AND($K$14&lt;&gt;$K$15,RIGHT($K22,3)="2SP"),VLOOKUP(CONCATENATE(LEFT($K22,2),"L"),$R$63:$T$90,3,FALSE),0)-IF(AND($L$14&lt;&gt;$L$15,RIGHT($L22,3)="2SP"),VLOOKUP(CONCATENATE(LEFT($L22,2),"L"),$R$63:$T$90,3,FALSE),0)-IF(AND($M$14&lt;&gt;$M$15,RIGHT($M22,3)="2SP"),VLOOKUP(CONCATENATE(LEFT($M22,2),"L"),$R$63:$T$90,3,FALSE),0)-IF(AND($N$14&lt;&gt;$N$15,RIGHT($N22,3)="2SP"),VLOOKUP(CONCATENATE(LEFT($N22,2),"L"),$R$63:$T$90,3,FALSE),0)-IF(AND($O$14&lt;&gt;$O$15,RIGHT($O22,3)="2SP"),VLOOKUP(CONCATENATE(LEFT($O22,2),"L"),$R$63:$T$90,3,FALSE),0)-IF(AND($P$14&lt;&gt;$P$15,RIGHT($P22,3)="2SP"),VLOOKUP(CONCATENATE(LEFT($P22,2),"L"),$R$63:$T$90,3,FALSE),0)-IF(AND($Q$14&lt;&gt;$Q$15,RIGHT($Q22,3)="2SP"),VLOOKUP(CONCATENATE(LEFT($Q22,2),"L"),$R$63:$T$90,3,FALSE),0)-IF(AND($R$14&lt;&gt;$R$15,RIGHT($T22,3)="2SP"),VLOOKUP(CONCATENATE(LEFT($R22,2),"L"),$R$63:$T$90,3,FALSE),0)-IF(AND($S$14&lt;&gt;$S$15,RIGHT($T22,3)="2SP"),VLOOKUP(CONCATENATE(LEFT($S22,2),"L"),$R$63:$T$90,3,FALSE),0)-IF(AND($T$14&lt;&gt;$T$15,RIGHT($T22,3)="2SP"),VLOOKUP(CONCATENATE(LEFT($T22,2),"L"),$R$63:$T$90,3,FALSE),0)-IF(AND($U$14&lt;&gt;$U$15,RIGHT($U22,3)="2SP"),VLOOKUP(CONCATENATE(LEFT($U22,2),"L"),$R$63:$T$90,3,FALSE),0)-IF(AND($V$14&lt;&gt;$V$15,RIGHT($V22,3)="2SP"),VLOOKUP(CONCATENATE(LEFT($V22,2),"L"),$R$63:$T$90,3,FALSE),0)-IF(AND($W$14&lt;&gt;$W$15,RIGHT($W22,3)="2SP"),VLOOKUP(CONCATENATE(LEFT($W22,2),"L"),$R$63:$T$90,3,FALSE),0)-IF(AND($X$14&lt;&gt;$X$15,RIGHT($X22,3)="2SP"),VLOOKUP(CONCATENATE(LEFT($X22,2),"L"),$R$63:$T$90,3,FALSE),0)-IF(AND($Y$14&lt;&gt;$Y$15,RIGHT($Y22,3)="2SP"),VLOOKUP(CONCATENATE(LEFT($Y22,2),"L"),$R$63:$T$90,3,FALSE),0),IF(VLOOKUP(CONCATENATE($A$18,"Line"),'[3]Supply Attribution'!$F$31:$G$37,2,FALSE)=G$18,$A22,0)+IF(VLOOKUP(CONCATENATE($B$18,"Line"),'[3]Supply Attribution'!$F$31:$G$37,2,FALSE)=G$18,$B22,0)+IF(VLOOKUP(CONCATENATE($C$18,"Line"),'[3]Supply Attribution'!$F$31:$G$37,2,FALSE)=G$18,$C22,0)+IF(VLOOKUP(CONCATENATE($D$18,"Line"),'[3]Supply Attribution'!$F$31:$G$37,2,FALSE)=G$18,$D22,0)+IF(VLOOKUP(CONCATENATE($E$18,"Line"),'[3]Supply Attribution'!$F$31:$G$37,2,FALSE)=G$18,$E22,0)+IF(VLOOKUP(CONCATENATE($F$18,"Line"),'[3]Supply Attribution'!$F$31:$G$37,2,FALSE)=G$18,$F22,0)+IF($K$6="UL",LEFT($S$90,2),0)-IF(AND($K$16=G$18,$K$14&lt;&gt;$K$15,$K$16=$K$17,RIGHT($K22,3)="2SP"),VLOOKUP(CONCATENATE(LEFT($K22,2),"L"),$R$63:$T$90,3,FALSE),0)-IF(AND($L$16=G$18,$L$14&lt;&gt;$L$15,$L$16=$L$17,RIGHT($L22,3)="2SP"),VLOOKUP(CONCATENATE(LEFT($L22,2),"L"),$R$63:$T$90,3,FALSE),0)-IF(AND($M$16=G$18,$M$14&lt;&gt;$M$15,$M$16=$M$17,RIGHT($M22,3)="2SP"),VLOOKUP(CONCATENATE(LEFT($M22,2),"L"),$R$63:$T$90,3,FALSE),0)-IF(AND($N$16=G$18,$N$14&lt;&gt;$N$15,$N$16=$N$17,RIGHT($N22,3)="2SP"),VLOOKUP(CONCATENATE(LEFT($N22,2),"L"),$R$63:$T$90,3,FALSE),0)-IF(AND($O$16=G$18,$O$14&lt;&gt;$O$15,$O$16=$O$17,RIGHT($O22,3)="2SP"),VLOOKUP(CONCATENATE(LEFT($O22,2),"L"),$R$63:$T$90,3,FALSE),0)-IF(AND($P$16=G$18,$P$14&lt;&gt;$P$15,$P$16=$P$17,RIGHT($P22,3)="2SP"),VLOOKUP(CONCATENATE(LEFT($P22,2),"L"),$R$63:$T$90,3,FALSE),0)-IF(AND($Q$16=G$18,$Q$14&lt;&gt;$Q$15,$Q$16=$Q$17,RIGHT($Q22,3)="2SP"),VLOOKUP(CONCATENATE(LEFT($Q22,2),"L"),$R$63:$T$90,3,FALSE),0)-IF(AND($R$16=G$18,$R$14&lt;&gt;$R$15,$R$16=$R$17,RIGHT($R22,3)="2SP"),VLOOKUP(CONCATENATE(LEFT($R22,2),"L"),$R$63:$T$90,3,FALSE),0)-IF(AND($S$16=G$18,$S$14&lt;&gt;$S$15,$S$16=$S$17,RIGHT($S22,3)="2SP"),VLOOKUP(CONCATENATE(LEFT($S22,2),"L"),$R$63:$T$90,3,FALSE),0)-IF(AND($T$16=G$18,$T$14&lt;&gt;$T$15,$T$16=$T$17,RIGHT($T22,3)="2SP"),VLOOKUP(CONCATENATE(LEFT($T22,2),"L"),$R$63:$T$90,3,FALSE),0)-IF(AND($U$16=G$18,$U$14&lt;&gt;$U$15,$U$16=$U$17,RIGHT($U22,3)="2SP"),VLOOKUP(CONCATENATE(LEFT($U22,2),"L"),$R$63:$T$90,3,FALSE),0)-IF(AND($V$16=G$18,$V$14&lt;&gt;$V$15,$V$16=$V$17,RIGHT($V22,3)="2SP"),VLOOKUP(CONCATENATE(LEFT($V22,2),"L"),$R$63:$T$90,3,FALSE),0)-IF(AND($W$16=G$18,$W$14&lt;&gt;$W$15,$W$16=$W$17,RIGHT($W22,3)="2SP"),VLOOKUP(CONCATENATE(LEFT($W22,2),"L"),$R$63:$T$90,3,FALSE),0)-IF(AND($X$16=G$18,$X$14&lt;&gt;$X$15,$X$16=$X$17,RIGHT($X22,3)="2SP"),VLOOKUP(CONCATENATE(LEFT($X22,2),"L"),$R$63:$T$90,3,FALSE),0)-IF(AND($Y$16=G$18,$Y$14&lt;&gt;$Y$15,$Y$16=$Y$17,RIGHT($Y22,3)="2SP"),VLOOKUP(CONCATENATE(LEFT($Y22,2),"L"),$R$63:$T$90,3,FALSE),0))</f>
        <v>42</v>
      </c>
      <c r="H22" s="269" t="str">
        <f>IF(H$18&lt;&gt;"",IF(VLOOKUP(CONCATENATE($A$18,"Line"),'Supply Attribution'!$F$31:$G$37,2,FALSE)=H$18,$A22,0)+IF(VLOOKUP(CONCATENATE($B$18,"Line"),'Supply Attribution'!$F$31:$G$37,2,FALSE)=H$18,$B22,0)+IF(VLOOKUP(CONCATENATE($C$18,"Line"),'Supply Attribution'!$F$31:$G$37,2,FALSE)=H$18,$C22,0)+IF(VLOOKUP(CONCATENATE($D$18,"Line"),'Supply Attribution'!$F$31:$G$37,2,FALSE)=H$18,$D22,0)+IF(VLOOKUP(CONCATENATE($E$18,"Line"),'Supply Attribution'!$F$31:$G$37,2,FALSE)=H$18,$E22,0)+IF(VLOOKUP(CONCATENATE($F$18,"Line"),'Supply Attribution'!$F$31:$G$37,2,FALSE)=H$18,$F22,0)+IF($K$6="UL",LEFT($S$90,2),0)-IF(AND($K$16=H$18,$K$14&lt;&gt;$K$15,$K$16=$K$17,RIGHT($K22,3)="2SP"),VLOOKUP(CONCATENATE(LEFT($K22,2),"L"),$R$63:$T$90,3,FALSE),0)-IF(AND($L$16=H$18,$L$14&lt;&gt;$L$15,$L$16=$L$17,RIGHT($L22,3)="2SP"),VLOOKUP(CONCATENATE(LEFT($L22,2),"L"),$R$63:$T$90,3,FALSE),0)-IF(AND($M$16=H$18,$M$14&lt;&gt;$M$15,$M$16=$M$17,RIGHT($M22,3)="2SP"),VLOOKUP(CONCATENATE(LEFT($M22,2),"L"),$R$63:$T$90,3,FALSE),0)-IF(AND($N$16=H$18,$N$14&lt;&gt;$N$15,$N$16=$N$17,RIGHT($N22,3)="2SP"),VLOOKUP(CONCATENATE(LEFT($N22,2),"L"),$R$63:$T$90,3,FALSE),0)-IF(AND($O$16=H$18,$O$14&lt;&gt;$O$15,$O$16=$O$17,RIGHT($O22,3)="2SP"),VLOOKUP(CONCATENATE(LEFT($O22,2),"L"),$R$63:$T$90,3,FALSE),0)-IF(AND($P$16=H$18,$P$14&lt;&gt;$P$15,$P$16=$P$17,RIGHT($P22,3)="2SP"),VLOOKUP(CONCATENATE(LEFT($P22,2),"L"),$R$63:$T$90,3,FALSE),0)-IF(AND($Q$16=H$18,$Q$14&lt;&gt;$Q$15,$Q$16=$Q$17,RIGHT($Q22,3)="2SP"),VLOOKUP(CONCATENATE(LEFT($Q22,2),"L"),$R$63:$T$90,3,FALSE),0)-IF(AND($T$16=H$18,$T$14&lt;&gt;$T$15,$T$16=$T$17,RIGHT($T22,3)="2SP"),VLOOKUP(CONCATENATE(LEFT($T22,2),"L"),$R$63:$T$90,3,FALSE),0)-IF(AND($U$16=H$18,$U$14&lt;&gt;$U$15,$U$16=$U$17,RIGHT($U22,3)="2SP"),VLOOKUP(CONCATENATE(LEFT($U22,2),"L"),$R$63:$T$90,3,FALSE),0)-IF(AND($V$16=H$18,$V$14&lt;&gt;$V$15,$V$16=$V$17,RIGHT($V22,3)="2SP"),VLOOKUP(CONCATENATE(LEFT($V22,2),"L"),$R$63:$T$90,3,FALSE),0)-IF(AND($W$16=H$18,$W$14&lt;&gt;$W$15,$W$16=$W$17,RIGHT($W22,3)="2SP"),VLOOKUP(CONCATENATE(LEFT($W22,2),"L"),$R$63:$T$90,3,FALSE),0)-IF(AND($X$16=H$18,$X$14&lt;&gt;$X$15,$X$16=$X$17,RIGHT($X22,3)="2SP"),VLOOKUP(CONCATENATE(LEFT($X22,2),"L"),$R$63:$T$90,3,FALSE),0)-IF(AND($Y$16=H$18,$Y$14&lt;&gt;$Y$15,$Y$16=$Y$17,RIGHT($Y22,3)="2SP"),VLOOKUP(CONCATENATE(LEFT($Y22,2),"L"),$R$63:$T$90,3,FALSE),0)+IF(AND($K$6="CE",$T$59="2 Phases",H$18&lt;&gt;""),IF(VLOOKUP(CONCATENATE($A$18,"Line"),'Supply Attribution'!$F$31:$G$37,2,FALSE)="Line3",$A22,0)+IF(VLOOKUP(CONCATENATE($B$18,"Line"),'Supply Attribution'!$F$31:$G$37,2,FALSE)="Line3",$B22,0)+IF(VLOOKUP(CONCATENATE($C$18,"Line"),'Supply Attribution'!$F$31:$G$37,2,FALSE)="Line3",$C22,0)+IF(VLOOKUP(CONCATENATE($D$18,"Line"),'Supply Attribution'!$F$31:$G$37,2,FALSE)="Line3",$D22,0)+IF(VLOOKUP(CONCATENATE($E$18,"Line"),'Supply Attribution'!$F$31:$G$37,2,FALSE)="Line3",$E22,0)+IF(VLOOKUP(CONCATENATE($F$18,"Line"),'Supply Attribution'!$F$31:$G$37,2,FALSE)="Line3",$F22,0)-IF(AND($K$16=I$18,$K$14&lt;&gt;$K$15,$K$16=$K$17,RIGHT($K22,3)="2SP"),VLOOKUP(CONCATENATE(LEFT($K22,2),"L"),$R$63:$T$90,3,FALSE),0)-IF(AND($L$16=I$18,$L$14&lt;&gt;$L$15,$L$16=$L$17,RIGHT($L22,3)="2SP"),VLOOKUP(CONCATENATE(LEFT($L22,2),"L"),$R$63:$T$90,3,FALSE),0)-IF(AND($M$16=I$18,$M$14&lt;&gt;$M$15,$M$16=$M$17,RIGHT($M22,3)="2SP"),VLOOKUP(CONCATENATE(LEFT($M22,2),"L"),$R$63:$T$90,3,FALSE),0)-IF(AND($N$16=I$18,$N$14&lt;&gt;$N$15,$N$16=$N$17,RIGHT($N22,3)="2SP"),VLOOKUP(CONCATENATE(LEFT($N22,2),"L"),$R$63:$T$90,3,FALSE),0)-IF(AND($O$16=I$18,$O$14&lt;&gt;$O$15,$O$16=$O$17,RIGHT($O22,3)="2SP"),VLOOKUP(CONCATENATE(LEFT($O22,2),"L"),$R$63:$T$90,3,FALSE),0)-IF(AND($P$16=I$18,$P$14&lt;&gt;$P$15,$P$16=$P$17,RIGHT($P22,3)="2SP"),VLOOKUP(CONCATENATE(LEFT($P22,2),"L"),$R$63:$T$90,3,FALSE),0)-IF(AND($Q$16=I$18,$Q$14&lt;&gt;$Q$15,$Q$16=$Q$17,RIGHT($Q22,3)="2SP"),VLOOKUP(CONCATENATE(LEFT($Q22,2),"L"),$R$63:$T$90,3,FALSE),0)-IF(AND($T$16=I$18,$T$14&lt;&gt;$T$15,$T$16=$T$17,RIGHT($T22,3)="2SP"),VLOOKUP(CONCATENATE(LEFT($T22,2),"L"),$R$63:$T$90,3,FALSE),0)-IF(AND($U$16=I$18,$U$14&lt;&gt;$U$15,$U$16=$U$17,RIGHT($U22,3)="2SP"),VLOOKUP(CONCATENATE(LEFT($U22,2),"L"),$R$63:$T$90,3,FALSE),0)-IF(AND($V$16=I$18,$V$14&lt;&gt;$V$15,$V$16=$V$17,RIGHT($V22,3)="2SP"),VLOOKUP(CONCATENATE(LEFT($V22,2),"L"),$R$63:$T$90,3,FALSE),0)-IF(AND($W$16=I$18,$W$14&lt;&gt;$W$15,$W$16=$W$17,RIGHT($W22,3)="2SP"),VLOOKUP(CONCATENATE(LEFT($W22,2),"L"),$R$63:$T$90,3,FALSE),0)-IF(AND($X$16=I$18,$X$14&lt;&gt;$X$15,$X$16=$X$17,RIGHT($X22,3)="2SP"),VLOOKUP(CONCATENATE(LEFT($X22,2),"L"),$R$63:$T$90,3,FALSE),0)-IF(AND($Y$16=I$18,$Y$14&lt;&gt;$Y$15,$Y$16=$Y$17,RIGHT($Y22,3)="2SP"),VLOOKUP(CONCATENATE(LEFT($Y22,2),"L"),$R$63:$T$90,3,FALSE),0),0),"")</f>
        <v/>
      </c>
      <c r="I22" s="269" t="str">
        <f>IF(I$18&lt;&gt;"",IF(VLOOKUP(CONCATENATE($A$18,"Line"),'Supply Attribution'!$F$31:$G$37,2,FALSE)=I$18,$A22,0)+IF(VLOOKUP(CONCATENATE($B$18,"Line"),'Supply Attribution'!$F$31:$G$37,2,FALSE)=I$18,$B22,0)+IF(VLOOKUP(CONCATENATE($C$18,"Line"),'Supply Attribution'!$F$31:$G$37,2,FALSE)=I$18,$C22,0)+IF(VLOOKUP(CONCATENATE($D$18,"Line"),'Supply Attribution'!$F$31:$G$37,2,FALSE)=I$18,$D22,0)+IF(VLOOKUP(CONCATENATE($E$18,"Line"),'Supply Attribution'!$F$31:$G$37,2,FALSE)=I$18,$E22,0)+IF(VLOOKUP(CONCATENATE($F$18,"Line"),'Supply Attribution'!$F$31:$G$37,2,FALSE)=I$18,$F22,0)+IF($K$6="UL",LEFT($S$90,2),0)-IF(AND($K$16=I$18,$K$14&lt;&gt;$K$15,$K$16=$K$17,RIGHT($K22,3)="2SP"),VLOOKUP(CONCATENATE(LEFT($K22,2),"L"),$R$63:$T$90,3,FALSE),0)-IF(AND($L$16=I$18,$L$14&lt;&gt;$L$15,$L$16=$L$17,RIGHT($L22,3)="2SP"),VLOOKUP(CONCATENATE(LEFT($L22,2),"L"),$R$63:$T$90,3,FALSE),0)-IF(AND($M$16=I$18,$M$14&lt;&gt;$M$15,$M$16=$M$17,RIGHT($M22,3)="2SP"),VLOOKUP(CONCATENATE(LEFT($M22,2),"L"),$R$63:$T$90,3,FALSE),0)-IF(AND($N$16=I$18,$N$14&lt;&gt;$N$15,$N$16=$N$17,RIGHT($N22,3)="2SP"),VLOOKUP(CONCATENATE(LEFT($N22,2),"L"),$R$63:$T$90,3,FALSE),0)-IF(AND($O$16=I$18,$O$14&lt;&gt;$O$15,$O$16=$O$17,RIGHT($O22,3)="2SP"),VLOOKUP(CONCATENATE(LEFT($O22,2),"L"),$R$63:$T$90,3,FALSE),0)-IF(AND($P$16=I$18,$P$14&lt;&gt;$P$15,$P$16=$P$17,RIGHT($P22,3)="2SP"),VLOOKUP(CONCATENATE(LEFT($P22,2),"L"),$R$63:$T$90,3,FALSE),0)-IF(AND($Q$16=I$18,$Q$14&lt;&gt;$Q$15,$Q$16=$Q$17,RIGHT($Q22,3)="2SP"),VLOOKUP(CONCATENATE(LEFT($Q22,2),"L"),$R$63:$T$90,3,FALSE),0)-IF(AND($T$16=I$18,$T$14&lt;&gt;$T$15,$T$16=$T$17,RIGHT($T22,3)="2SP"),VLOOKUP(CONCATENATE(LEFT($T22,2),"L"),$R$63:$T$90,3,FALSE),0)-IF(AND($U$16=I$18,$U$14&lt;&gt;$U$15,$U$16=$U$17,RIGHT($U22,3)="2SP"),VLOOKUP(CONCATENATE(LEFT($U22,2),"L"),$R$63:$T$90,3,FALSE),0)-IF(AND($V$16=I$18,$V$14&lt;&gt;$V$15,$V$16=$V$17,RIGHT($V22,3)="2SP"),VLOOKUP(CONCATENATE(LEFT($V22,2),"L"),$R$63:$T$90,3,FALSE),0)-IF(AND($W$16=I$18,$W$14&lt;&gt;$W$15,$W$16=$W$17,RIGHT($W22,3)="2SP"),VLOOKUP(CONCATENATE(LEFT($W22,2),"L"),$R$63:$T$90,3,FALSE),0)-IF(AND($X$16=I$18,$X$14&lt;&gt;$X$15,$X$16=$X$17,RIGHT($X22,3)="2SP"),VLOOKUP(CONCATENATE(LEFT($X22,2),"L"),$R$63:$T$90,3,FALSE),0)-IF(AND($Y$16=I$18,$Y$14&lt;&gt;$Y$15,$Y$16=$Y$17,RIGHT($Y22,3)="2SP"),VLOOKUP(CONCATENATE(LEFT($Y22,2),"L"),$R$63:$T$90,3,FALSE),0),"")</f>
        <v/>
      </c>
      <c r="J22" s="134">
        <v>140</v>
      </c>
      <c r="K22" s="135" t="s">
        <v>24</v>
      </c>
      <c r="L22" s="135" t="s">
        <v>578</v>
      </c>
      <c r="M22" s="135" t="s">
        <v>388</v>
      </c>
      <c r="N22" s="135" t="s">
        <v>24</v>
      </c>
      <c r="O22" s="135" t="s">
        <v>286</v>
      </c>
      <c r="P22" s="135"/>
      <c r="Q22" s="135"/>
      <c r="R22" s="135"/>
      <c r="S22" s="135"/>
      <c r="T22" s="135"/>
      <c r="U22" s="135"/>
      <c r="V22" s="135"/>
      <c r="W22" s="135"/>
      <c r="X22" s="135"/>
      <c r="Y22" s="135"/>
      <c r="Z22" s="136"/>
      <c r="AA22" s="136"/>
      <c r="AB22" s="137"/>
      <c r="AC22" s="137"/>
      <c r="AD22" s="137"/>
      <c r="AE22" s="138">
        <f t="shared" si="0"/>
        <v>140</v>
      </c>
      <c r="AF22" s="78"/>
    </row>
    <row r="23" spans="1:32" ht="13.15" customHeight="1">
      <c r="A23" s="264">
        <f>IF(AND($K23&lt;&gt;"",$K23&lt;&gt;"--",$K23&lt;&gt;"O3/CP",$K$14=A$18),IF(LEFT($K23,1)="P",VLOOKUP(CONCATENATE(LEFT($K23,2),"H"),$R$63:$T$91,3,FALSE),VLOOKUP($K23,$R$63:$T$91,3,FALSE)))+IF(AND($K23&lt;&gt;"",$K23&lt;&gt;"O3/CP",$K$15=A$18,MID($K23,4,1)="2",$K$15&lt;&gt;$K$14),VLOOKUP(CONCATENATE(LEFT($K23,2),"L"),$R$63:$T$91,3,FALSE),0)+IF(AND($K23="O3/CP",$K$14=A$18),VLOOKUP("O3",$R$63:$T$91,3,FALSE)+VLOOKUP("CP",$R$63:$T$91,3,FALSE),0)+IF(AND($L23&lt;&gt;"",$L23&lt;&gt;"--",$L23&lt;&gt;"O3/CP",$L$14=A$18),IF(LEFT($L23,1)="P",VLOOKUP(CONCATENATE(LEFT($L23,2),"H"),$R$63:$T$91,3,FALSE),VLOOKUP($L23,$R$63:$T$91,3,FALSE)))+IF(AND($L23&lt;&gt;"",$L23&lt;&gt;"O3/CP",$L$15=A$18,MID($L23,4,1)="2",$L$15&lt;&gt;$L$14),VLOOKUP(CONCATENATE(LEFT($L23,2),"L"),$R$63:$T$91,3,FALSE),0)+IF(AND($L23="O3/CP",$L$14=A$18),VLOOKUP("O3",$R$63:$T$91,3,FALSE)+VLOOKUP("CP",$R$63:$T$91,3,FALSE),0)+IF(AND($M23&lt;&gt;"",$M23&lt;&gt;"--",$M23&lt;&gt;"O3/CP",$M$14=A$18),IF(LEFT($M23,1)="P",VLOOKUP(CONCATENATE(LEFT($M23,2),"H"),$R$63:$T$91,3,FALSE),VLOOKUP($M23,$R$63:$T$91,3,FALSE)))+IF(AND($M23&lt;&gt;"",$M23&lt;&gt;"O3/CP",$M$15=A$18,MID($M23,4,1)="2",$M$15&lt;&gt;$M$14),VLOOKUP(CONCATENATE(LEFT($M23,2),"L"),$R$63:$T$91,3,FALSE),0)+IF(AND($M23="O3/CP",$M$14=A$18),VLOOKUP("O3",$R$63:$T$91,3,FALSE)+VLOOKUP("CP",$R$63:$T$91,3,FALSE),0)+IF(AND($N23&lt;&gt;"",$N23&lt;&gt;"--",$N23&lt;&gt;"O3/CP",$N$14=A$18),IF(LEFT($N23,1)="P",VLOOKUP(CONCATENATE(LEFT($N23,2),"H"),$R$63:$T$91,3,FALSE),VLOOKUP($N23,$R$63:$T$91,3,FALSE)))+IF(AND($N23&lt;&gt;"",$N23&lt;&gt;"O3/CP",$N$15=A$18,MID($N23,4,1)="2",$N$15&lt;&gt;$N$14),VLOOKUP(CONCATENATE(LEFT($N23,2),"L"),$R$63:$T$91,3,FALSE),0)+IF(AND($N23="O3/CP",$N$14=A$18),VLOOKUP("O3",$R$63:$T$91,3,FALSE)+VLOOKUP("CP",$R$63:$T$91,3,FALSE),0)+IF(AND($O23&lt;&gt;"",$O23&lt;&gt;"--",$O23&lt;&gt;"O3/CP",$O$14=A$18),IF(LEFT($O23,1)="P",VLOOKUP(CONCATENATE(LEFT($O23,2),"H"),$R$63:$T$91,3,FALSE),VLOOKUP($O23,$R$63:$T$91,3,FALSE)))+IF(AND($O23&lt;&gt;"",$O23&lt;&gt;"O3/CP",$O$15=A$18,MID($O23,4,1)="2",$O$15&lt;&gt;$O$14),VLOOKUP(CONCATENATE(LEFT($O23,2),"L"),$R$63:$T$91,3,FALSE),0)+IF(AND($O23="O3/CP",$O$14=A$18),VLOOKUP("O3",$R$63:$T$91,3,FALSE)+VLOOKUP("CP",$R$63:$T$91,3,FALSE),0)+IF(AND($P23&lt;&gt;"",$P23&lt;&gt;"--",$P23&lt;&gt;"O3/CP",$P$14=A$18),IF(LEFT($P23,1)="P",VLOOKUP(CONCATENATE(LEFT($P23,2),"H"),$R$63:$T$91,3,FALSE),VLOOKUP($P23,$R$63:$T$91,3,FALSE)))+IF(AND($P23&lt;&gt;"",$P23&lt;&gt;"O3/CP",$P$15=A$18,MID($P23,4,1)="2",$P$15&lt;&gt;$P$14),VLOOKUP(CONCATENATE(LEFT($P23,2),"L"),$R$63:$T$91,3,FALSE),0)+IF(AND($P23="O3/CP",$P$14=A$18),VLOOKUP("O3",$R$63:$T$91,3,FALSE)+VLOOKUP("CP",$R$63:$T$91,3,FALSE),0)+IF(AND($Q23&lt;&gt;"",$Q23&lt;&gt;"--",$Q23&lt;&gt;"O3/CP",$Q$14=A$18),IF(LEFT($Q23,1)="P",VLOOKUP(CONCATENATE(LEFT($Q23,2),"H"),$R$63:$T$91,3,FALSE),VLOOKUP($Q23,$R$63:$T$91,3,FALSE)))+IF(AND($Q23&lt;&gt;"",$Q23&lt;&gt;"O3/CP",$Q$15=A$18,MID($Q23,4,1)="2",$Q$15&lt;&gt;$Q$14),VLOOKUP(CONCATENATE(LEFT($Q23,2),"L"),$R$63:$T$91,3,FALSE),0)+IF(AND($Q23="O3/CP",$Q$14=A$18),VLOOKUP("O3",$R$63:$T$91,3,FALSE)+VLOOKUP("CP",$R$63:$T$91,3,FALSE),0)+IF(AND($R23&lt;&gt;"",$R23&lt;&gt;"--",$R23&lt;&gt;"O3/CP",$R$14=A$18),IF(LEFT($R23,1)="P",VLOOKUP(CONCATENATE(LEFT($R23,2),"H"),$R$63:$T$91,3,FALSE),VLOOKUP($R23,$R$63:$T$91,3,FALSE)))+IF(AND($R23&lt;&gt;"",$R23&lt;&gt;"O3/CP",$R$15=A$18,MID($R23,4,1)="2",$R$15&lt;&gt;$R$14),VLOOKUP(CONCATENATE(LEFT($R23,2),"L"),$R$63:$T$91,3,FALSE),0)+IF(AND($R23="O3/CP",$R$14=A$18),VLOOKUP("O3",$R$63:$T$91,3,FALSE)+VLOOKUP("CP",$R$63:$T$91,3,FALSE),0)+IF(AND($S23&lt;&gt;"",$S23&lt;&gt;"--",$S23&lt;&gt;"O3/CP",$S$14=A$18),IF(LEFT($S23,1)="P",VLOOKUP(CONCATENATE(LEFT($S23,2),"H"),$R$63:$T$91,3,FALSE),VLOOKUP($S23,$R$63:$T$91,3,FALSE)))+IF(AND($S23&lt;&gt;"",$S23&lt;&gt;"O3/CP",$S$15=A$18,MID($S23,4,1)="2",$S$15&lt;&gt;$S$14),VLOOKUP(CONCATENATE(LEFT($S23,2),"L"),$R$63:$T$91,3,FALSE),0)+IF(AND($S23="O3/CP",$S$14=A$18),VLOOKUP("O3",$R$63:$T$91,3,FALSE)+VLOOKUP("CP",$R$63:$T$91,3,FALSE),0)+IF(AND($T23&lt;&gt;"",$T23&lt;&gt;"--",$T23&lt;&gt;"O3/CP",$T$14=A$18),IF(LEFT($T23,1)="P",VLOOKUP(CONCATENATE(LEFT($T23,2),"H"),$R$63:$T$91,3,FALSE),VLOOKUP($T23,$R$63:$T$91,3,FALSE)))+IF(AND($T23&lt;&gt;"",$T23&lt;&gt;"O3/CP",$T$15=A$18,MID($T23,4,1)="2",$T$15&lt;&gt;$T$14),VLOOKUP(CONCATENATE(LEFT($T23,2),"L"),$R$63:$T$91,3,FALSE),0)+IF(AND($T23="O3/CP",$T$14=A$18),VLOOKUP("O3",$R$63:$T$91,3,FALSE)+VLOOKUP("CP",$R$63:$T$91,3,FALSE),0)+IF(AND($U23&lt;&gt;"",$U23&lt;&gt;"--",$U23&lt;&gt;"O3/CP",$U$14=A$18),IF(LEFT($U23,1)="P",VLOOKUP(CONCATENATE(LEFT($U23,2),"H"),$R$63:$T$91,3,FALSE),VLOOKUP($U23,$R$63:$T$91,3,FALSE)))+IF(AND($U23&lt;&gt;"",$U23&lt;&gt;"O3/CP",$U$15=A$18,MID($U23,4,1)="2",$U$15&lt;&gt;$U$14),VLOOKUP(CONCATENATE(LEFT($U23,2),"L"),$R$63:$T$91,3,FALSE),0)+IF(AND($U23="O3/CP",$T$14=A$18),VLOOKUP("O3",$R$63:$T$91,3,FALSE)+VLOOKUP("CP",$R$63:$T$91,3,FALSE),0)+IF(AND($V23&lt;&gt;"",$V23&lt;&gt;"--",$V23&lt;&gt;"O3/CP",$V$14=A$18),IF(LEFT($V23,1)="P",VLOOKUP(CONCATENATE(LEFT($V23,2),"H"),$R$63:$T$91,3,FALSE),VLOOKUP($V23,$R$63:$T$91,3,FALSE)))+IF(AND($V23&lt;&gt;"",$V23&lt;&gt;"O3/CP",$V$15=A$18,MID($V23,4,1)="2",$V$15&lt;&gt;$V$14),VLOOKUP(CONCATENATE(LEFT($V23,2),"L"),$R$63:$T$91,3,FALSE),0)+IF(AND($V23="O3/CP",$V$14=A$18),VLOOKUP("O3",$R$63:$T$91,3,FALSE)+VLOOKUP("CP",$R$63:$T$91,3,FALSE),0)+IF(AND($W23&lt;&gt;"",$W23&lt;&gt;"--",$W23&lt;&gt;"O3/CP",$W$14=A$18),IF(LEFT($W23,1)="P",VLOOKUP(CONCATENATE(LEFT($W23,2),"H"),$R$63:$T$91,3,FALSE),VLOOKUP($W23,$R$63:$T$91,3,FALSE)))+IF(AND($W23&lt;&gt;"",$W23&lt;&gt;"O3/CP",$W$15=A$18,MID($W23,4,1)="2",$W$15&lt;&gt;$W$14),VLOOKUP(CONCATENATE(LEFT($W23,2),"L"),$R$63:$T$91,3,FALSE),0)+IF(AND($W23="O3/CP",$W$14=A$18),VLOOKUP("O3",$R$63:$T$91,3,FALSE)+VLOOKUP("CP",$R$63:$T$91,3,FALSE),0)+IF(AND($X23&lt;&gt;"",$X23&lt;&gt;"--",$X23&lt;&gt;"O3/CP",$X$14=A$18),IF(LEFT($X23,1)="P",VLOOKUP(CONCATENATE(LEFT($X23,2),"H"),$R$63:$T$91,3,FALSE),VLOOKUP($X23,$R$63:$T$91,3,FALSE)))+IF(AND($X23&lt;&gt;"",$X23&lt;&gt;"O3/CP",$X$15=A$18,MID($X23,4,1)="2",$X$15&lt;&gt;$X$14),VLOOKUP(CONCATENATE(LEFT($X23,2),"L"),$R$63:$T$91,3,FALSE),0)+IF(AND($X23="O3/CP",$X$14=A$18),VLOOKUP("O3",$R$63:$T$91,3,FALSE)+VLOOKUP("CP",$R$63:$T$91,3,FALSE),0)+IF(AND($Y23&lt;&gt;"",$Y23&lt;&gt;"--",$Y23&lt;&gt;"O3/CP",$Y$14=A$18),IF(LEFT($Y23,1)="P",VLOOKUP(CONCATENATE(LEFT($Y23,2),"H"),$R$63:$T$91,3,FALSE),VLOOKUP($Y23,$R$63:$T$91,3,FALSE)))+IF(AND($Y23&lt;&gt;"",$Y23&lt;&gt;"O3/CP",$Y$15=A$18,MID($Y23,4,1)="2",$Y$15&lt;&gt;$Y$14),VLOOKUP(CONCATENATE(LEFT($Y23,2),"L"),$R$63:$T$91,3,FALSE),0)+IF(AND($Y23="O3/CP",$Y$14=A$18),VLOOKUP("O3",$R$63:$T$91,3,FALSE)+VLOOKUP("CP",$R$63:$T$91,3,FALSE),0)+IF(AND($K$6="CE",'[3]Supply Attribution'!$G$20=A$18),LEFT($S$90,2),0)+IF(AND($X$86&lt;&gt;"Not Set",$X$87=A$18),$X$86,0)</f>
        <v>13</v>
      </c>
      <c r="B23" s="271">
        <f>IF(AND($K23&lt;&gt;"",$K23&lt;&gt;"--",$K23&lt;&gt;"O3/CP",$K$14=B$18),IF(LEFT($K23,1)="P",VLOOKUP(CONCATENATE(LEFT($K23,2),"H"),$R$63:$T$91,3,FALSE),VLOOKUP($K23,$R$63:$T$91,3,FALSE)))+IF(AND($K23&lt;&gt;"",$K23&lt;&gt;"O3/CP",$K$15=B$18,MID($K23,4,1)="2",$K$15&lt;&gt;$K$14),VLOOKUP(CONCATENATE(LEFT($K23,2),"L"),$R$63:$T$91,3,FALSE),0)+IF(AND($K23="O3/CP",$K$14=B$18),VLOOKUP("O3",$R$63:$T$91,3,FALSE)+VLOOKUP("CP",$R$63:$T$91,3,FALSE),0)+IF(AND($L23&lt;&gt;"",$L23&lt;&gt;"--",$L23&lt;&gt;"O3/CP",$L$14=B$18),IF(LEFT($L23,1)="P",VLOOKUP(CONCATENATE(LEFT($L23,2),"H"),$R$63:$T$91,3,FALSE),VLOOKUP($L23,$R$63:$T$91,3,FALSE)))+IF(AND($L23&lt;&gt;"",$L23&lt;&gt;"O3/CP",$L$15=B$18,MID($L23,4,1)="2",$L$15&lt;&gt;$L$14),VLOOKUP(CONCATENATE(LEFT($L23,2),"L"),$R$63:$T$91,3,FALSE),0)+IF(AND($L23="O3/CP",$L$14=B$18),VLOOKUP("O3",$R$63:$T$91,3,FALSE)+VLOOKUP("CP",$R$63:$T$91,3,FALSE),0)+IF(AND($M23&lt;&gt;"",$M23&lt;&gt;"--",$M23&lt;&gt;"O3/CP",$M$14=B$18),IF(LEFT($M23,1)="P",VLOOKUP(CONCATENATE(LEFT($M23,2),"H"),$R$63:$T$91,3,FALSE),VLOOKUP($M23,$R$63:$T$91,3,FALSE)))+IF(AND($M23&lt;&gt;"",$M23&lt;&gt;"O3/CP",$M$15=B$18,MID($M23,4,1)="2",$M$15&lt;&gt;$M$14),VLOOKUP(CONCATENATE(LEFT($M23,2),"L"),$R$63:$T$91,3,FALSE),0)+IF(AND($M23="O3/CP",$M$14=B$18),VLOOKUP("O3",$R$63:$T$91,3,FALSE)+VLOOKUP("CP",$R$63:$T$91,3,FALSE),0)+IF(AND($N23&lt;&gt;"",$N23&lt;&gt;"--",$N23&lt;&gt;"O3/CP",$N$14=B$18),IF(LEFT($N23,1)="P",VLOOKUP(CONCATENATE(LEFT($N23,2),"H"),$R$63:$T$91,3,FALSE),VLOOKUP($N23,$R$63:$T$91,3,FALSE)))+IF(AND($N23&lt;&gt;"",$N23&lt;&gt;"O3/CP",$N$15=B$18,MID($N23,4,1)="2",$N$15&lt;&gt;$N$14),VLOOKUP(CONCATENATE(LEFT($N23,2),"L"),$R$63:$T$91,3,FALSE),0)+IF(AND($N23="O3/CP",$N$14=B$18),VLOOKUP("O3",$R$63:$T$91,3,FALSE)+VLOOKUP("CP",$R$63:$T$91,3,FALSE),0)+IF(AND($O23&lt;&gt;"",$O23&lt;&gt;"--",$O23&lt;&gt;"O3/CP",$O$14=B$18),IF(LEFT($O23,1)="P",VLOOKUP(CONCATENATE(LEFT($O23,2),"H"),$R$63:$T$91,3,FALSE),VLOOKUP($O23,$R$63:$T$91,3,FALSE)))+IF(AND($O23&lt;&gt;"",$O23&lt;&gt;"O3/CP",$O$15=B$18,MID($O23,4,1)="2",$O$15&lt;&gt;$O$14),VLOOKUP(CONCATENATE(LEFT($O23,2),"L"),$R$63:$T$91,3,FALSE),0)+IF(AND($O23="O3/CP",$O$14=B$18),VLOOKUP("O3",$R$63:$T$91,3,FALSE)+VLOOKUP("CP",$R$63:$T$91,3,FALSE),0)+IF(AND($P23&lt;&gt;"",$P23&lt;&gt;"--",$P23&lt;&gt;"O3/CP",$P$14=B$18),IF(LEFT($P23,1)="P",VLOOKUP(CONCATENATE(LEFT($P23,2),"H"),$R$63:$T$91,3,FALSE),VLOOKUP($P23,$R$63:$T$91,3,FALSE)))+IF(AND($P23&lt;&gt;"",$P23&lt;&gt;"O3/CP",$P$15=B$18,MID($P23,4,1)="2",$P$15&lt;&gt;$P$14),VLOOKUP(CONCATENATE(LEFT($P23,2),"L"),$R$63:$T$91,3,FALSE),0)+IF(AND($P23="O3/CP",$P$14=B$18),VLOOKUP("O3",$R$63:$T$91,3,FALSE)+VLOOKUP("CP",$R$63:$T$91,3,FALSE),0)+IF(AND($Q23&lt;&gt;"",$Q23&lt;&gt;"--",$Q23&lt;&gt;"O3/CP",$Q$14=B$18),IF(LEFT($Q23,1)="P",VLOOKUP(CONCATENATE(LEFT($Q23,2),"H"),$R$63:$T$91,3,FALSE),VLOOKUP($Q23,$R$63:$T$91,3,FALSE)))+IF(AND($Q23&lt;&gt;"",$Q23&lt;&gt;"O3/CP",$Q$15=B$18,MID($Q23,4,1)="2",$Q$15&lt;&gt;$Q$14),VLOOKUP(CONCATENATE(LEFT($Q23,2),"L"),$R$63:$T$91,3,FALSE),0)+IF(AND($Q23="O3/CP",$Q$14=B$18),VLOOKUP("O3",$R$63:$T$91,3,FALSE)+VLOOKUP("CP",$R$63:$T$91,3,FALSE),0)+IF(AND($R23&lt;&gt;"",$R23&lt;&gt;"--",$R23&lt;&gt;"O3/CP",$R$14=B$18),IF(LEFT($R23,1)="P",VLOOKUP(CONCATENATE(LEFT($R23,2),"H"),$R$63:$T$91,3,FALSE),VLOOKUP($R23,$R$63:$T$91,3,FALSE)))+IF(AND($R23&lt;&gt;"",$R23&lt;&gt;"O3/CP",$R$15=B$18,MID($R23,4,1)="2",$R$15&lt;&gt;$R$14),VLOOKUP(CONCATENATE(LEFT($R23,2),"L"),$R$63:$T$91,3,FALSE),0)+IF(AND($R23="O3/CP",$R$14=B$18),VLOOKUP("O3",$R$63:$T$91,3,FALSE)+VLOOKUP("CP",$R$63:$T$91,3,FALSE),0)+IF(AND($S23&lt;&gt;"",$S23&lt;&gt;"--",$S23&lt;&gt;"O3/CP",$S$14=B$18),IF(LEFT($S23,1)="P",VLOOKUP(CONCATENATE(LEFT($S23,2),"H"),$R$63:$T$91,3,FALSE),VLOOKUP($S23,$R$63:$T$91,3,FALSE)))+IF(AND($S23&lt;&gt;"",$S23&lt;&gt;"O3/CP",$S$15=B$18,MID($S23,4,1)="2",$S$15&lt;&gt;$S$14),VLOOKUP(CONCATENATE(LEFT($S23,2),"L"),$R$63:$T$91,3,FALSE),0)+IF(AND($S23="O3/CP",$S$14=B$18),VLOOKUP("O3",$R$63:$T$91,3,FALSE)+VLOOKUP("CP",$R$63:$T$91,3,FALSE),0)+IF(AND($T23&lt;&gt;"",$T23&lt;&gt;"--",$T23&lt;&gt;"O3/CP",$T$14=B$18),IF(LEFT($T23,1)="P",VLOOKUP(CONCATENATE(LEFT($T23,2),"H"),$R$63:$T$91,3,FALSE),VLOOKUP($T23,$R$63:$T$91,3,FALSE)))+IF(AND($T23&lt;&gt;"",$T23&lt;&gt;"O3/CP",$T$15=B$18,MID($T23,4,1)="2",$T$15&lt;&gt;$T$14),VLOOKUP(CONCATENATE(LEFT($T23,2),"L"),$R$63:$T$91,3,FALSE),0)+IF(AND($T23="O3/CP",$T$14=B$18),VLOOKUP("O3",$R$63:$T$91,3,FALSE)+VLOOKUP("CP",$R$63:$T$91,3,FALSE),0)+IF(AND($U23&lt;&gt;"",$U23&lt;&gt;"--",$U23&lt;&gt;"O3/CP",$U$14=B$18),IF(LEFT($U23,1)="P",VLOOKUP(CONCATENATE(LEFT($U23,2),"H"),$R$63:$T$91,3,FALSE),VLOOKUP($U23,$R$63:$T$91,3,FALSE)))+IF(AND($U23&lt;&gt;"",$U23&lt;&gt;"O3/CP",$U$15=B$18,MID($U23,4,1)="2",$U$15&lt;&gt;$U$14),VLOOKUP(CONCATENATE(LEFT($U23,2),"L"),$R$63:$T$91,3,FALSE),0)+IF(AND($U23="O3/CP",$T$14=B$18),VLOOKUP("O3",$R$63:$T$91,3,FALSE)+VLOOKUP("CP",$R$63:$T$91,3,FALSE),0)+IF(AND($V23&lt;&gt;"",$V23&lt;&gt;"--",$V23&lt;&gt;"O3/CP",$V$14=B$18),IF(LEFT($V23,1)="P",VLOOKUP(CONCATENATE(LEFT($V23,2),"H"),$R$63:$T$91,3,FALSE),VLOOKUP($V23,$R$63:$T$91,3,FALSE)))+IF(AND($V23&lt;&gt;"",$V23&lt;&gt;"O3/CP",$V$15=B$18,MID($V23,4,1)="2",$V$15&lt;&gt;$V$14),VLOOKUP(CONCATENATE(LEFT($V23,2),"L"),$R$63:$T$91,3,FALSE),0)+IF(AND($V23="O3/CP",$V$14=B$18),VLOOKUP("O3",$R$63:$T$91,3,FALSE)+VLOOKUP("CP",$R$63:$T$91,3,FALSE),0)+IF(AND($W23&lt;&gt;"",$W23&lt;&gt;"--",$W23&lt;&gt;"O3/CP",$W$14=B$18),IF(LEFT($W23,1)="P",VLOOKUP(CONCATENATE(LEFT($W23,2),"H"),$R$63:$T$91,3,FALSE),VLOOKUP($W23,$R$63:$T$91,3,FALSE)))+IF(AND($W23&lt;&gt;"",$W23&lt;&gt;"O3/CP",$W$15=B$18,MID($W23,4,1)="2",$W$15&lt;&gt;$W$14),VLOOKUP(CONCATENATE(LEFT($W23,2),"L"),$R$63:$T$91,3,FALSE),0)+IF(AND($W23="O3/CP",$W$14=B$18),VLOOKUP("O3",$R$63:$T$91,3,FALSE)+VLOOKUP("CP",$R$63:$T$91,3,FALSE),0)+IF(AND($X23&lt;&gt;"",$X23&lt;&gt;"--",$X23&lt;&gt;"O3/CP",$X$14=B$18),IF(LEFT($X23,1)="P",VLOOKUP(CONCATENATE(LEFT($X23,2),"H"),$R$63:$T$91,3,FALSE),VLOOKUP($X23,$R$63:$T$91,3,FALSE)))+IF(AND($X23&lt;&gt;"",$X23&lt;&gt;"O3/CP",$X$15=B$18,MID($X23,4,1)="2",$X$15&lt;&gt;$X$14),VLOOKUP(CONCATENATE(LEFT($X23,2),"L"),$R$63:$T$91,3,FALSE),0)+IF(AND($X23="O3/CP",$X$14=B$18),VLOOKUP("O3",$R$63:$T$91,3,FALSE)+VLOOKUP("CP",$R$63:$T$91,3,FALSE),0)+IF(AND($Y23&lt;&gt;"",$Y23&lt;&gt;"--",$Y23&lt;&gt;"O3/CP",$Y$14=B$18),IF(LEFT($Y23,1)="P",VLOOKUP(CONCATENATE(LEFT($Y23,2),"H"),$R$63:$T$91,3,FALSE),VLOOKUP($Y23,$R$63:$T$91,3,FALSE)))+IF(AND($Y23&lt;&gt;"",$Y23&lt;&gt;"O3/CP",$Y$15=B$18,MID($Y23,4,1)="2",$Y$15&lt;&gt;$Y$14),VLOOKUP(CONCATENATE(LEFT($Y23,2),"L"),$R$63:$T$91,3,FALSE),0)+IF(AND($Y23="O3/CP",$Y$14=B$18),VLOOKUP("O3",$R$63:$T$91,3,FALSE)+VLOOKUP("CP",$R$63:$T$91,3,FALSE),0)+IF(AND($K$6="CE",'[3]Supply Attribution'!$G$20=B$18),LEFT($S$90,2),0)+IF(AND($X$86&lt;&gt;"Not Set",$X$87=B$18),$X$86,0)</f>
        <v>5</v>
      </c>
      <c r="C23" s="271">
        <f>IF(AND($K23&lt;&gt;"",$K23&lt;&gt;"--",$K23&lt;&gt;"O3/CP",$K$14=C$18),IF(LEFT($K23,1)="P",VLOOKUP(CONCATENATE(LEFT($K23,2),"H"),$R$63:$T$91,3,FALSE),VLOOKUP($K23,$R$63:$T$91,3,FALSE)))+IF(AND($K23&lt;&gt;"",$K23&lt;&gt;"O3/CP",$K$15=C$18,MID($K23,4,1)="2",$K$15&lt;&gt;$K$14),VLOOKUP(CONCATENATE(LEFT($K23,2),"L"),$R$63:$T$91,3,FALSE),0)+IF(AND($K23="O3/CP",$K$14=C$18),VLOOKUP("O3",$R$63:$T$91,3,FALSE)+VLOOKUP("CP",$R$63:$T$91,3,FALSE),0)+IF(AND($L23&lt;&gt;"",$L23&lt;&gt;"--",$L23&lt;&gt;"O3/CP",$L$14=C$18),IF(LEFT($L23,1)="P",VLOOKUP(CONCATENATE(LEFT($L23,2),"H"),$R$63:$T$91,3,FALSE),VLOOKUP($L23,$R$63:$T$91,3,FALSE)))+IF(AND($L23&lt;&gt;"",$L23&lt;&gt;"O3/CP",$L$15=C$18,MID($L23,4,1)="2",$L$15&lt;&gt;$L$14),VLOOKUP(CONCATENATE(LEFT($L23,2),"L"),$R$63:$T$91,3,FALSE),0)+IF(AND($L23="O3/CP",$L$14=C$18),VLOOKUP("O3",$R$63:$T$91,3,FALSE)+VLOOKUP("CP",$R$63:$T$91,3,FALSE),0)+IF(AND($M23&lt;&gt;"",$M23&lt;&gt;"--",$M23&lt;&gt;"O3/CP",$M$14=C$18),IF(LEFT($M23,1)="P",VLOOKUP(CONCATENATE(LEFT($M23,2),"H"),$R$63:$T$91,3,FALSE),VLOOKUP($M23,$R$63:$T$91,3,FALSE)))+IF(AND($M23&lt;&gt;"",$M23&lt;&gt;"O3/CP",$M$15=C$18,MID($M23,4,1)="2",$M$15&lt;&gt;$M$14),VLOOKUP(CONCATENATE(LEFT($M23,2),"L"),$R$63:$T$91,3,FALSE),0)+IF(AND($M23="O3/CP",$M$14=C$18),VLOOKUP("O3",$R$63:$T$91,3,FALSE)+VLOOKUP("CP",$R$63:$T$91,3,FALSE),0)+IF(AND($N23&lt;&gt;"",$N23&lt;&gt;"--",$N23&lt;&gt;"O3/CP",$N$14=C$18),IF(LEFT($N23,1)="P",VLOOKUP(CONCATENATE(LEFT($N23,2),"H"),$R$63:$T$91,3,FALSE),VLOOKUP($N23,$R$63:$T$91,3,FALSE)))+IF(AND($N23&lt;&gt;"",$N23&lt;&gt;"O3/CP",$N$15=C$18,MID($N23,4,1)="2",$N$15&lt;&gt;$N$14),VLOOKUP(CONCATENATE(LEFT($N23,2),"L"),$R$63:$T$91,3,FALSE),0)+IF(AND($N23="O3/CP",$N$14=C$18),VLOOKUP("O3",$R$63:$T$91,3,FALSE)+VLOOKUP("CP",$R$63:$T$91,3,FALSE),0)+IF(AND($O23&lt;&gt;"",$O23&lt;&gt;"--",$O23&lt;&gt;"O3/CP",$O$14=C$18),IF(LEFT($O23,1)="P",VLOOKUP(CONCATENATE(LEFT($O23,2),"H"),$R$63:$T$91,3,FALSE),VLOOKUP($O23,$R$63:$T$91,3,FALSE)))+IF(AND($O23&lt;&gt;"",$O23&lt;&gt;"O3/CP",$O$15=C$18,MID($O23,4,1)="2",$O$15&lt;&gt;$O$14),VLOOKUP(CONCATENATE(LEFT($O23,2),"L"),$R$63:$T$91,3,FALSE),0)+IF(AND($O23="O3/CP",$O$14=C$18),VLOOKUP("O3",$R$63:$T$91,3,FALSE)+VLOOKUP("CP",$R$63:$T$91,3,FALSE),0)+IF(AND($P23&lt;&gt;"",$P23&lt;&gt;"--",$P23&lt;&gt;"O3/CP",$P$14=C$18),IF(LEFT($P23,1)="P",VLOOKUP(CONCATENATE(LEFT($P23,2),"H"),$R$63:$T$91,3,FALSE),VLOOKUP($P23,$R$63:$T$91,3,FALSE)))+IF(AND($P23&lt;&gt;"",$P23&lt;&gt;"O3/CP",$P$15=C$18,MID($P23,4,1)="2",$P$15&lt;&gt;$P$14),VLOOKUP(CONCATENATE(LEFT($P23,2),"L"),$R$63:$T$91,3,FALSE),0)+IF(AND($P23="O3/CP",$P$14=C$18),VLOOKUP("O3",$R$63:$T$91,3,FALSE)+VLOOKUP("CP",$R$63:$T$91,3,FALSE),0)+IF(AND($Q23&lt;&gt;"",$Q23&lt;&gt;"--",$Q23&lt;&gt;"O3/CP",$Q$14=C$18),IF(LEFT($Q23,1)="P",VLOOKUP(CONCATENATE(LEFT($Q23,2),"H"),$R$63:$T$91,3,FALSE),VLOOKUP($Q23,$R$63:$T$91,3,FALSE)))+IF(AND($Q23&lt;&gt;"",$Q23&lt;&gt;"O3/CP",$Q$15=C$18,MID($Q23,4,1)="2",$Q$15&lt;&gt;$Q$14),VLOOKUP(CONCATENATE(LEFT($Q23,2),"L"),$R$63:$T$91,3,FALSE),0)+IF(AND($Q23="O3/CP",$Q$14=C$18),VLOOKUP("O3",$R$63:$T$91,3,FALSE)+VLOOKUP("CP",$R$63:$T$91,3,FALSE),0)+IF(AND($R23&lt;&gt;"",$R23&lt;&gt;"--",$R23&lt;&gt;"O3/CP",$R$14=C$18),IF(LEFT($R23,1)="P",VLOOKUP(CONCATENATE(LEFT($R23,2),"H"),$R$63:$T$91,3,FALSE),VLOOKUP($R23,$R$63:$T$91,3,FALSE)))+IF(AND($R23&lt;&gt;"",$R23&lt;&gt;"O3/CP",$R$15=C$18,MID($R23,4,1)="2",$R$15&lt;&gt;$R$14),VLOOKUP(CONCATENATE(LEFT($R23,2),"L"),$R$63:$T$91,3,FALSE),0)+IF(AND($R23="O3/CP",$R$14=C$18),VLOOKUP("O3",$R$63:$T$91,3,FALSE)+VLOOKUP("CP",$R$63:$T$91,3,FALSE),0)+IF(AND($S23&lt;&gt;"",$S23&lt;&gt;"--",$S23&lt;&gt;"O3/CP",$S$14=C$18),IF(LEFT($S23,1)="P",VLOOKUP(CONCATENATE(LEFT($S23,2),"H"),$R$63:$T$91,3,FALSE),VLOOKUP($S23,$R$63:$T$91,3,FALSE)))+IF(AND($S23&lt;&gt;"",$S23&lt;&gt;"O3/CP",$S$15=C$18,MID($S23,4,1)="2",$S$15&lt;&gt;$S$14),VLOOKUP(CONCATENATE(LEFT($S23,2),"L"),$R$63:$T$91,3,FALSE),0)+IF(AND($S23="O3/CP",$S$14=C$18),VLOOKUP("O3",$R$63:$T$91,3,FALSE)+VLOOKUP("CP",$R$63:$T$91,3,FALSE),0)+IF(AND($T23&lt;&gt;"",$T23&lt;&gt;"--",$T23&lt;&gt;"O3/CP",$T$14=C$18),IF(LEFT($T23,1)="P",VLOOKUP(CONCATENATE(LEFT($T23,2),"H"),$R$63:$T$91,3,FALSE),VLOOKUP($T23,$R$63:$T$91,3,FALSE)))+IF(AND($T23&lt;&gt;"",$T23&lt;&gt;"O3/CP",$T$15=C$18,MID($T23,4,1)="2",$T$15&lt;&gt;$T$14),VLOOKUP(CONCATENATE(LEFT($T23,2),"L"),$R$63:$T$91,3,FALSE),0)+IF(AND($T23="O3/CP",$T$14=C$18),VLOOKUP("O3",$R$63:$T$91,3,FALSE)+VLOOKUP("CP",$R$63:$T$91,3,FALSE),0)+IF(AND($U23&lt;&gt;"",$U23&lt;&gt;"--",$U23&lt;&gt;"O3/CP",$U$14=C$18),IF(LEFT($U23,1)="P",VLOOKUP(CONCATENATE(LEFT($U23,2),"H"),$R$63:$T$91,3,FALSE),VLOOKUP($U23,$R$63:$T$91,3,FALSE)))+IF(AND($U23&lt;&gt;"",$U23&lt;&gt;"O3/CP",$U$15=C$18,MID($U23,4,1)="2",$U$15&lt;&gt;$U$14),VLOOKUP(CONCATENATE(LEFT($U23,2),"L"),$R$63:$T$91,3,FALSE),0)+IF(AND($U23="O3/CP",$T$14=C$18),VLOOKUP("O3",$R$63:$T$91,3,FALSE)+VLOOKUP("CP",$R$63:$T$91,3,FALSE),0)+IF(AND($V23&lt;&gt;"",$V23&lt;&gt;"--",$V23&lt;&gt;"O3/CP",$V$14=C$18),IF(LEFT($V23,1)="P",VLOOKUP(CONCATENATE(LEFT($V23,2),"H"),$R$63:$T$91,3,FALSE),VLOOKUP($V23,$R$63:$T$91,3,FALSE)))+IF(AND($V23&lt;&gt;"",$V23&lt;&gt;"O3/CP",$V$15=C$18,MID($V23,4,1)="2",$V$15&lt;&gt;$V$14),VLOOKUP(CONCATENATE(LEFT($V23,2),"L"),$R$63:$T$91,3,FALSE),0)+IF(AND($V23="O3/CP",$V$14=C$18),VLOOKUP("O3",$R$63:$T$91,3,FALSE)+VLOOKUP("CP",$R$63:$T$91,3,FALSE),0)+IF(AND($W23&lt;&gt;"",$W23&lt;&gt;"--",$W23&lt;&gt;"O3/CP",$W$14=C$18),IF(LEFT($W23,1)="P",VLOOKUP(CONCATENATE(LEFT($W23,2),"H"),$R$63:$T$91,3,FALSE),VLOOKUP($W23,$R$63:$T$91,3,FALSE)))+IF(AND($W23&lt;&gt;"",$W23&lt;&gt;"O3/CP",$W$15=C$18,MID($W23,4,1)="2",$W$15&lt;&gt;$W$14),VLOOKUP(CONCATENATE(LEFT($W23,2),"L"),$R$63:$T$91,3,FALSE),0)+IF(AND($W23="O3/CP",$W$14=C$18),VLOOKUP("O3",$R$63:$T$91,3,FALSE)+VLOOKUP("CP",$R$63:$T$91,3,FALSE),0)+IF(AND($X23&lt;&gt;"",$X23&lt;&gt;"--",$X23&lt;&gt;"O3/CP",$X$14=C$18),IF(LEFT($X23,1)="P",VLOOKUP(CONCATENATE(LEFT($X23,2),"H"),$R$63:$T$91,3,FALSE),VLOOKUP($X23,$R$63:$T$91,3,FALSE)))+IF(AND($X23&lt;&gt;"",$X23&lt;&gt;"O3/CP",$X$15=C$18,MID($X23,4,1)="2",$X$15&lt;&gt;$X$14),VLOOKUP(CONCATENATE(LEFT($X23,2),"L"),$R$63:$T$91,3,FALSE),0)+IF(AND($X23="O3/CP",$X$14=C$18),VLOOKUP("O3",$R$63:$T$91,3,FALSE)+VLOOKUP("CP",$R$63:$T$91,3,FALSE),0)+IF(AND($Y23&lt;&gt;"",$Y23&lt;&gt;"--",$Y23&lt;&gt;"O3/CP",$Y$14=C$18),IF(LEFT($Y23,1)="P",VLOOKUP(CONCATENATE(LEFT($Y23,2),"H"),$R$63:$T$91,3,FALSE),VLOOKUP($Y23,$R$63:$T$91,3,FALSE)))+IF(AND($Y23&lt;&gt;"",$Y23&lt;&gt;"O3/CP",$Y$15=C$18,MID($Y23,4,1)="2",$Y$15&lt;&gt;$Y$14),VLOOKUP(CONCATENATE(LEFT($Y23,2),"L"),$R$63:$T$91,3,FALSE),0)+IF(AND($Y23="O3/CP",$Y$14=C$18),VLOOKUP("O3",$R$63:$T$91,3,FALSE)+VLOOKUP("CP",$R$63:$T$91,3,FALSE),0)+IF(AND($K$6="CE",'[3]Supply Attribution'!$G$20=C$18),LEFT($S$90,2),0)+IF(AND($X$86&lt;&gt;"Not Set",$X$87=C$18),$X$86,0)</f>
        <v>12</v>
      </c>
      <c r="D23" s="271">
        <f>IF(AND($K23&lt;&gt;"",$K23&lt;&gt;"--",$K23&lt;&gt;"O3/CP",$K$14=D$18),IF(LEFT($K23,1)="P",VLOOKUP(CONCATENATE(LEFT($K23,2),"H"),$R$63:$T$91,3,FALSE),VLOOKUP($K23,$R$63:$T$91,3,FALSE)))+IF(AND($K23&lt;&gt;"",$K23&lt;&gt;"O3/CP",$K$15=D$18,MID($K23,4,1)="2",$K$15&lt;&gt;$K$14),VLOOKUP(CONCATENATE(LEFT($K23,2),"L"),$R$63:$T$91,3,FALSE),0)+IF(AND($K23="O3/CP",$K$14=D$18),VLOOKUP("O3",$R$63:$T$91,3,FALSE)+VLOOKUP("CP",$R$63:$T$91,3,FALSE),0)+IF(AND($L23&lt;&gt;"",$L23&lt;&gt;"--",$L23&lt;&gt;"O3/CP",$L$14=D$18),IF(LEFT($L23,1)="P",VLOOKUP(CONCATENATE(LEFT($L23,2),"H"),$R$63:$T$91,3,FALSE),VLOOKUP($L23,$R$63:$T$91,3,FALSE)))+IF(AND($L23&lt;&gt;"",$L23&lt;&gt;"O3/CP",$L$15=D$18,MID($L23,4,1)="2",$L$15&lt;&gt;$L$14),VLOOKUP(CONCATENATE(LEFT($L23,2),"L"),$R$63:$T$91,3,FALSE),0)+IF(AND($L23="O3/CP",$L$14=D$18),VLOOKUP("O3",$R$63:$T$91,3,FALSE)+VLOOKUP("CP",$R$63:$T$91,3,FALSE),0)+IF(AND($M23&lt;&gt;"",$M23&lt;&gt;"--",$M23&lt;&gt;"O3/CP",$M$14=D$18),IF(LEFT($M23,1)="P",VLOOKUP(CONCATENATE(LEFT($M23,2),"H"),$R$63:$T$91,3,FALSE),VLOOKUP($M23,$R$63:$T$91,3,FALSE)))+IF(AND($M23&lt;&gt;"",$M23&lt;&gt;"O3/CP",$M$15=D$18,MID($M23,4,1)="2",$M$15&lt;&gt;$M$14),VLOOKUP(CONCATENATE(LEFT($M23,2),"L"),$R$63:$T$91,3,FALSE),0)+IF(AND($M23="O3/CP",$M$14=D$18),VLOOKUP("O3",$R$63:$T$91,3,FALSE)+VLOOKUP("CP",$R$63:$T$91,3,FALSE),0)+IF(AND($N23&lt;&gt;"",$N23&lt;&gt;"--",$N23&lt;&gt;"O3/CP",$N$14=D$18),IF(LEFT($N23,1)="P",VLOOKUP(CONCATENATE(LEFT($N23,2),"H"),$R$63:$T$91,3,FALSE),VLOOKUP($N23,$R$63:$T$91,3,FALSE)))+IF(AND($N23&lt;&gt;"",$N23&lt;&gt;"O3/CP",$N$15=D$18,MID($N23,4,1)="2",$N$15&lt;&gt;$N$14),VLOOKUP(CONCATENATE(LEFT($N23,2),"L"),$R$63:$T$91,3,FALSE),0)+IF(AND($N23="O3/CP",$N$14=D$18),VLOOKUP("O3",$R$63:$T$91,3,FALSE)+VLOOKUP("CP",$R$63:$T$91,3,FALSE),0)+IF(AND($O23&lt;&gt;"",$O23&lt;&gt;"--",$O23&lt;&gt;"O3/CP",$O$14=D$18),IF(LEFT($O23,1)="P",VLOOKUP(CONCATENATE(LEFT($O23,2),"H"),$R$63:$T$91,3,FALSE),VLOOKUP($O23,$R$63:$T$91,3,FALSE)))+IF(AND($O23&lt;&gt;"",$O23&lt;&gt;"O3/CP",$O$15=D$18,MID($O23,4,1)="2",$O$15&lt;&gt;$O$14),VLOOKUP(CONCATENATE(LEFT($O23,2),"L"),$R$63:$T$91,3,FALSE),0)+IF(AND($O23="O3/CP",$O$14=D$18),VLOOKUP("O3",$R$63:$T$91,3,FALSE)+VLOOKUP("CP",$R$63:$T$91,3,FALSE),0)+IF(AND($P23&lt;&gt;"",$P23&lt;&gt;"--",$P23&lt;&gt;"O3/CP",$P$14=D$18),IF(LEFT($P23,1)="P",VLOOKUP(CONCATENATE(LEFT($P23,2),"H"),$R$63:$T$91,3,FALSE),VLOOKUP($P23,$R$63:$T$91,3,FALSE)))+IF(AND($P23&lt;&gt;"",$P23&lt;&gt;"O3/CP",$P$15=D$18,MID($P23,4,1)="2",$P$15&lt;&gt;$P$14),VLOOKUP(CONCATENATE(LEFT($P23,2),"L"),$R$63:$T$91,3,FALSE),0)+IF(AND($P23="O3/CP",$P$14=D$18),VLOOKUP("O3",$R$63:$T$91,3,FALSE)+VLOOKUP("CP",$R$63:$T$91,3,FALSE),0)+IF(AND($Q23&lt;&gt;"",$Q23&lt;&gt;"--",$Q23&lt;&gt;"O3/CP",$Q$14=D$18),IF(LEFT($Q23,1)="P",VLOOKUP(CONCATENATE(LEFT($Q23,2),"H"),$R$63:$T$91,3,FALSE),VLOOKUP($Q23,$R$63:$T$91,3,FALSE)))+IF(AND($Q23&lt;&gt;"",$Q23&lt;&gt;"O3/CP",$Q$15=D$18,MID($Q23,4,1)="2",$Q$15&lt;&gt;$Q$14),VLOOKUP(CONCATENATE(LEFT($Q23,2),"L"),$R$63:$T$91,3,FALSE),0)+IF(AND($Q23="O3/CP",$Q$14=D$18),VLOOKUP("O3",$R$63:$T$91,3,FALSE)+VLOOKUP("CP",$R$63:$T$91,3,FALSE),0)+IF(AND($R23&lt;&gt;"",$R23&lt;&gt;"--",$R23&lt;&gt;"O3/CP",$R$14=D$18),IF(LEFT($R23,1)="P",VLOOKUP(CONCATENATE(LEFT($R23,2),"H"),$R$63:$T$91,3,FALSE),VLOOKUP($R23,$R$63:$T$91,3,FALSE)))+IF(AND($R23&lt;&gt;"",$R23&lt;&gt;"O3/CP",$R$15=D$18,MID($R23,4,1)="2",$R$15&lt;&gt;$R$14),VLOOKUP(CONCATENATE(LEFT($R23,2),"L"),$R$63:$T$91,3,FALSE),0)+IF(AND($R23="O3/CP",$R$14=D$18),VLOOKUP("O3",$R$63:$T$91,3,FALSE)+VLOOKUP("CP",$R$63:$T$91,3,FALSE),0)+IF(AND($S23&lt;&gt;"",$S23&lt;&gt;"--",$S23&lt;&gt;"O3/CP",$S$14=D$18),IF(LEFT($S23,1)="P",VLOOKUP(CONCATENATE(LEFT($S23,2),"H"),$R$63:$T$91,3,FALSE),VLOOKUP($S23,$R$63:$T$91,3,FALSE)))+IF(AND($S23&lt;&gt;"",$S23&lt;&gt;"O3/CP",$S$15=D$18,MID($S23,4,1)="2",$S$15&lt;&gt;$S$14),VLOOKUP(CONCATENATE(LEFT($S23,2),"L"),$R$63:$T$91,3,FALSE),0)+IF(AND($S23="O3/CP",$S$14=D$18),VLOOKUP("O3",$R$63:$T$91,3,FALSE)+VLOOKUP("CP",$R$63:$T$91,3,FALSE),0)+IF(AND($T23&lt;&gt;"",$T23&lt;&gt;"--",$T23&lt;&gt;"O3/CP",$T$14=D$18),IF(LEFT($T23,1)="P",VLOOKUP(CONCATENATE(LEFT($T23,2),"H"),$R$63:$T$91,3,FALSE),VLOOKUP($T23,$R$63:$T$91,3,FALSE)))+IF(AND($T23&lt;&gt;"",$T23&lt;&gt;"O3/CP",$T$15=D$18,MID($T23,4,1)="2",$T$15&lt;&gt;$T$14),VLOOKUP(CONCATENATE(LEFT($T23,2),"L"),$R$63:$T$91,3,FALSE),0)+IF(AND($T23="O3/CP",$T$14=D$18),VLOOKUP("O3",$R$63:$T$91,3,FALSE)+VLOOKUP("CP",$R$63:$T$91,3,FALSE),0)+IF(AND($U23&lt;&gt;"",$U23&lt;&gt;"--",$U23&lt;&gt;"O3/CP",$U$14=D$18),IF(LEFT($U23,1)="P",VLOOKUP(CONCATENATE(LEFT($U23,2),"H"),$R$63:$T$91,3,FALSE),VLOOKUP($U23,$R$63:$T$91,3,FALSE)))+IF(AND($U23&lt;&gt;"",$U23&lt;&gt;"O3/CP",$U$15=D$18,MID($U23,4,1)="2",$U$15&lt;&gt;$U$14),VLOOKUP(CONCATENATE(LEFT($U23,2),"L"),$R$63:$T$91,3,FALSE),0)+IF(AND($U23="O3/CP",$T$14=D$18),VLOOKUP("O3",$R$63:$T$91,3,FALSE)+VLOOKUP("CP",$R$63:$T$91,3,FALSE),0)+IF(AND($V23&lt;&gt;"",$V23&lt;&gt;"--",$V23&lt;&gt;"O3/CP",$V$14=D$18),IF(LEFT($V23,1)="P",VLOOKUP(CONCATENATE(LEFT($V23,2),"H"),$R$63:$T$91,3,FALSE),VLOOKUP($V23,$R$63:$T$91,3,FALSE)))+IF(AND($V23&lt;&gt;"",$V23&lt;&gt;"O3/CP",$V$15=D$18,MID($V23,4,1)="2",$V$15&lt;&gt;$V$14),VLOOKUP(CONCATENATE(LEFT($V23,2),"L"),$R$63:$T$91,3,FALSE),0)+IF(AND($V23="O3/CP",$V$14=D$18),VLOOKUP("O3",$R$63:$T$91,3,FALSE)+VLOOKUP("CP",$R$63:$T$91,3,FALSE),0)+IF(AND($W23&lt;&gt;"",$W23&lt;&gt;"--",$W23&lt;&gt;"O3/CP",$W$14=D$18),IF(LEFT($W23,1)="P",VLOOKUP(CONCATENATE(LEFT($W23,2),"H"),$R$63:$T$91,3,FALSE),VLOOKUP($W23,$R$63:$T$91,3,FALSE)))+IF(AND($W23&lt;&gt;"",$W23&lt;&gt;"O3/CP",$W$15=D$18,MID($W23,4,1)="2",$W$15&lt;&gt;$W$14),VLOOKUP(CONCATENATE(LEFT($W23,2),"L"),$R$63:$T$91,3,FALSE),0)+IF(AND($W23="O3/CP",$W$14=D$18),VLOOKUP("O3",$R$63:$T$91,3,FALSE)+VLOOKUP("CP",$R$63:$T$91,3,FALSE),0)+IF(AND($X23&lt;&gt;"",$X23&lt;&gt;"--",$X23&lt;&gt;"O3/CP",$X$14=D$18),IF(LEFT($X23,1)="P",VLOOKUP(CONCATENATE(LEFT($X23,2),"H"),$R$63:$T$91,3,FALSE),VLOOKUP($X23,$R$63:$T$91,3,FALSE)))+IF(AND($X23&lt;&gt;"",$X23&lt;&gt;"O3/CP",$X$15=D$18,MID($X23,4,1)="2",$X$15&lt;&gt;$X$14),VLOOKUP(CONCATENATE(LEFT($X23,2),"L"),$R$63:$T$91,3,FALSE),0)+IF(AND($X23="O3/CP",$X$14=D$18),VLOOKUP("O3",$R$63:$T$91,3,FALSE)+VLOOKUP("CP",$R$63:$T$91,3,FALSE),0)+IF(AND($Y23&lt;&gt;"",$Y23&lt;&gt;"--",$Y23&lt;&gt;"O3/CP",$Y$14=D$18),IF(LEFT($Y23,1)="P",VLOOKUP(CONCATENATE(LEFT($Y23,2),"H"),$R$63:$T$91,3,FALSE),VLOOKUP($Y23,$R$63:$T$91,3,FALSE)))+IF(AND($Y23&lt;&gt;"",$Y23&lt;&gt;"O3/CP",$Y$15=D$18,MID($Y23,4,1)="2",$Y$15&lt;&gt;$Y$14),VLOOKUP(CONCATENATE(LEFT($Y23,2),"L"),$R$63:$T$91,3,FALSE),0)+IF(AND($Y23="O3/CP",$Y$14=D$18),VLOOKUP("O3",$R$63:$T$91,3,FALSE)+VLOOKUP("CP",$R$63:$T$91,3,FALSE),0)+IF(AND($K$6="CE",'[3]Supply Attribution'!$G$20=D$18),LEFT($S$90,2),0)+IF(AND($X$86&lt;&gt;"Not Set",$X$87=D$18),$X$86,0)</f>
        <v>0</v>
      </c>
      <c r="E23" s="271">
        <f>IF(AND($K23&lt;&gt;"",$K23&lt;&gt;"--",$K23&lt;&gt;"O3/CP",$K$14=E$18),IF(LEFT($K23,1)="P",VLOOKUP(CONCATENATE(LEFT($K23,2),"H"),$R$63:$T$91,3,FALSE),VLOOKUP($K23,$R$63:$T$91,3,FALSE)))+IF(AND($K23&lt;&gt;"",$K23&lt;&gt;"O3/CP",$K$15=E$18,MID($K23,4,1)="2",$K$15&lt;&gt;$K$14),VLOOKUP(CONCATENATE(LEFT($K23,2),"L"),$R$63:$T$91,3,FALSE),0)+IF(AND($K23="O3/CP",$K$14=E$18),VLOOKUP("O3",$R$63:$T$91,3,FALSE)+VLOOKUP("CP",$R$63:$T$91,3,FALSE),0)+IF(AND($L23&lt;&gt;"",$L23&lt;&gt;"--",$L23&lt;&gt;"O3/CP",$L$14=E$18),IF(LEFT($L23,1)="P",VLOOKUP(CONCATENATE(LEFT($L23,2),"H"),$R$63:$T$91,3,FALSE),VLOOKUP($L23,$R$63:$T$91,3,FALSE)))+IF(AND($L23&lt;&gt;"",$L23&lt;&gt;"O3/CP",$L$15=E$18,MID($L23,4,1)="2",$L$15&lt;&gt;$L$14),VLOOKUP(CONCATENATE(LEFT($L23,2),"L"),$R$63:$T$91,3,FALSE),0)+IF(AND($L23="O3/CP",$L$14=E$18),VLOOKUP("O3",$R$63:$T$91,3,FALSE)+VLOOKUP("CP",$R$63:$T$91,3,FALSE),0)+IF(AND($M23&lt;&gt;"",$M23&lt;&gt;"--",$M23&lt;&gt;"O3/CP",$M$14=E$18),IF(LEFT($M23,1)="P",VLOOKUP(CONCATENATE(LEFT($M23,2),"H"),$R$63:$T$91,3,FALSE),VLOOKUP($M23,$R$63:$T$91,3,FALSE)))+IF(AND($M23&lt;&gt;"",$M23&lt;&gt;"O3/CP",$M$15=E$18,MID($M23,4,1)="2",$M$15&lt;&gt;$M$14),VLOOKUP(CONCATENATE(LEFT($M23,2),"L"),$R$63:$T$91,3,FALSE),0)+IF(AND($M23="O3/CP",$M$14=E$18),VLOOKUP("O3",$R$63:$T$91,3,FALSE)+VLOOKUP("CP",$R$63:$T$91,3,FALSE),0)+IF(AND($N23&lt;&gt;"",$N23&lt;&gt;"--",$N23&lt;&gt;"O3/CP",$N$14=E$18),IF(LEFT($N23,1)="P",VLOOKUP(CONCATENATE(LEFT($N23,2),"H"),$R$63:$T$91,3,FALSE),VLOOKUP($N23,$R$63:$T$91,3,FALSE)))+IF(AND($N23&lt;&gt;"",$N23&lt;&gt;"O3/CP",$N$15=E$18,MID($N23,4,1)="2",$N$15&lt;&gt;$N$14),VLOOKUP(CONCATENATE(LEFT($N23,2),"L"),$R$63:$T$91,3,FALSE),0)+IF(AND($N23="O3/CP",$N$14=E$18),VLOOKUP("O3",$R$63:$T$91,3,FALSE)+VLOOKUP("CP",$R$63:$T$91,3,FALSE),0)+IF(AND($O23&lt;&gt;"",$O23&lt;&gt;"--",$O23&lt;&gt;"O3/CP",$O$14=E$18),IF(LEFT($O23,1)="P",VLOOKUP(CONCATENATE(LEFT($O23,2),"H"),$R$63:$T$91,3,FALSE),VLOOKUP($O23,$R$63:$T$91,3,FALSE)))+IF(AND($O23&lt;&gt;"",$O23&lt;&gt;"O3/CP",$O$15=E$18,MID($O23,4,1)="2",$O$15&lt;&gt;$O$14),VLOOKUP(CONCATENATE(LEFT($O23,2),"L"),$R$63:$T$91,3,FALSE),0)+IF(AND($O23="O3/CP",$O$14=E$18),VLOOKUP("O3",$R$63:$T$91,3,FALSE)+VLOOKUP("CP",$R$63:$T$91,3,FALSE),0)+IF(AND($P23&lt;&gt;"",$P23&lt;&gt;"--",$P23&lt;&gt;"O3/CP",$P$14=E$18),IF(LEFT($P23,1)="P",VLOOKUP(CONCATENATE(LEFT($P23,2),"H"),$R$63:$T$91,3,FALSE),VLOOKUP($P23,$R$63:$T$91,3,FALSE)))+IF(AND($P23&lt;&gt;"",$P23&lt;&gt;"O3/CP",$P$15=E$18,MID($P23,4,1)="2",$P$15&lt;&gt;$P$14),VLOOKUP(CONCATENATE(LEFT($P23,2),"L"),$R$63:$T$91,3,FALSE),0)+IF(AND($P23="O3/CP",$P$14=E$18),VLOOKUP("O3",$R$63:$T$91,3,FALSE)+VLOOKUP("CP",$R$63:$T$91,3,FALSE),0)+IF(AND($Q23&lt;&gt;"",$Q23&lt;&gt;"--",$Q23&lt;&gt;"O3/CP",$Q$14=E$18),IF(LEFT($Q23,1)="P",VLOOKUP(CONCATENATE(LEFT($Q23,2),"H"),$R$63:$T$91,3,FALSE),VLOOKUP($Q23,$R$63:$T$91,3,FALSE)))+IF(AND($Q23&lt;&gt;"",$Q23&lt;&gt;"O3/CP",$Q$15=E$18,MID($Q23,4,1)="2",$Q$15&lt;&gt;$Q$14),VLOOKUP(CONCATENATE(LEFT($Q23,2),"L"),$R$63:$T$91,3,FALSE),0)+IF(AND($Q23="O3/CP",$Q$14=E$18),VLOOKUP("O3",$R$63:$T$91,3,FALSE)+VLOOKUP("CP",$R$63:$T$91,3,FALSE),0)+IF(AND($R23&lt;&gt;"",$R23&lt;&gt;"--",$R23&lt;&gt;"O3/CP",$R$14=E$18),IF(LEFT($R23,1)="P",VLOOKUP(CONCATENATE(LEFT($R23,2),"H"),$R$63:$T$91,3,FALSE),VLOOKUP($R23,$R$63:$T$91,3,FALSE)))+IF(AND($R23&lt;&gt;"",$R23&lt;&gt;"O3/CP",$R$15=E$18,MID($R23,4,1)="2",$R$15&lt;&gt;$R$14),VLOOKUP(CONCATENATE(LEFT($R23,2),"L"),$R$63:$T$91,3,FALSE),0)+IF(AND($R23="O3/CP",$R$14=E$18),VLOOKUP("O3",$R$63:$T$91,3,FALSE)+VLOOKUP("CP",$R$63:$T$91,3,FALSE),0)+IF(AND($S23&lt;&gt;"",$S23&lt;&gt;"--",$S23&lt;&gt;"O3/CP",$S$14=E$18),IF(LEFT($S23,1)="P",VLOOKUP(CONCATENATE(LEFT($S23,2),"H"),$R$63:$T$91,3,FALSE),VLOOKUP($S23,$R$63:$T$91,3,FALSE)))+IF(AND($S23&lt;&gt;"",$S23&lt;&gt;"O3/CP",$S$15=E$18,MID($S23,4,1)="2",$S$15&lt;&gt;$S$14),VLOOKUP(CONCATENATE(LEFT($S23,2),"L"),$R$63:$T$91,3,FALSE),0)+IF(AND($S23="O3/CP",$S$14=E$18),VLOOKUP("O3",$R$63:$T$91,3,FALSE)+VLOOKUP("CP",$R$63:$T$91,3,FALSE),0)+IF(AND($T23&lt;&gt;"",$T23&lt;&gt;"--",$T23&lt;&gt;"O3/CP",$T$14=E$18),IF(LEFT($T23,1)="P",VLOOKUP(CONCATENATE(LEFT($T23,2),"H"),$R$63:$T$91,3,FALSE),VLOOKUP($T23,$R$63:$T$91,3,FALSE)))+IF(AND($T23&lt;&gt;"",$T23&lt;&gt;"O3/CP",$T$15=E$18,MID($T23,4,1)="2",$T$15&lt;&gt;$T$14),VLOOKUP(CONCATENATE(LEFT($T23,2),"L"),$R$63:$T$91,3,FALSE),0)+IF(AND($T23="O3/CP",$T$14=E$18),VLOOKUP("O3",$R$63:$T$91,3,FALSE)+VLOOKUP("CP",$R$63:$T$91,3,FALSE),0)+IF(AND($U23&lt;&gt;"",$U23&lt;&gt;"--",$U23&lt;&gt;"O3/CP",$U$14=E$18),IF(LEFT($U23,1)="P",VLOOKUP(CONCATENATE(LEFT($U23,2),"H"),$R$63:$T$91,3,FALSE),VLOOKUP($U23,$R$63:$T$91,3,FALSE)))+IF(AND($U23&lt;&gt;"",$U23&lt;&gt;"O3/CP",$U$15=E$18,MID($U23,4,1)="2",$U$15&lt;&gt;$U$14),VLOOKUP(CONCATENATE(LEFT($U23,2),"L"),$R$63:$T$91,3,FALSE),0)+IF(AND($U23="O3/CP",$T$14=E$18),VLOOKUP("O3",$R$63:$T$91,3,FALSE)+VLOOKUP("CP",$R$63:$T$91,3,FALSE),0)+IF(AND($V23&lt;&gt;"",$V23&lt;&gt;"--",$V23&lt;&gt;"O3/CP",$V$14=E$18),IF(LEFT($V23,1)="P",VLOOKUP(CONCATENATE(LEFT($V23,2),"H"),$R$63:$T$91,3,FALSE),VLOOKUP($V23,$R$63:$T$91,3,FALSE)))+IF(AND($V23&lt;&gt;"",$V23&lt;&gt;"O3/CP",$V$15=E$18,MID($V23,4,1)="2",$V$15&lt;&gt;$V$14),VLOOKUP(CONCATENATE(LEFT($V23,2),"L"),$R$63:$T$91,3,FALSE),0)+IF(AND($V23="O3/CP",$V$14=E$18),VLOOKUP("O3",$R$63:$T$91,3,FALSE)+VLOOKUP("CP",$R$63:$T$91,3,FALSE),0)+IF(AND($W23&lt;&gt;"",$W23&lt;&gt;"--",$W23&lt;&gt;"O3/CP",$W$14=E$18),IF(LEFT($W23,1)="P",VLOOKUP(CONCATENATE(LEFT($W23,2),"H"),$R$63:$T$91,3,FALSE),VLOOKUP($W23,$R$63:$T$91,3,FALSE)))+IF(AND($W23&lt;&gt;"",$W23&lt;&gt;"O3/CP",$W$15=E$18,MID($W23,4,1)="2",$W$15&lt;&gt;$W$14),VLOOKUP(CONCATENATE(LEFT($W23,2),"L"),$R$63:$T$91,3,FALSE),0)+IF(AND($W23="O3/CP",$W$14=E$18),VLOOKUP("O3",$R$63:$T$91,3,FALSE)+VLOOKUP("CP",$R$63:$T$91,3,FALSE),0)+IF(AND($X23&lt;&gt;"",$X23&lt;&gt;"--",$X23&lt;&gt;"O3/CP",$X$14=E$18),IF(LEFT($X23,1)="P",VLOOKUP(CONCATENATE(LEFT($X23,2),"H"),$R$63:$T$91,3,FALSE),VLOOKUP($X23,$R$63:$T$91,3,FALSE)))+IF(AND($X23&lt;&gt;"",$X23&lt;&gt;"O3/CP",$X$15=E$18,MID($X23,4,1)="2",$X$15&lt;&gt;$X$14),VLOOKUP(CONCATENATE(LEFT($X23,2),"L"),$R$63:$T$91,3,FALSE),0)+IF(AND($X23="O3/CP",$X$14=E$18),VLOOKUP("O3",$R$63:$T$91,3,FALSE)+VLOOKUP("CP",$R$63:$T$91,3,FALSE),0)+IF(AND($Y23&lt;&gt;"",$Y23&lt;&gt;"--",$Y23&lt;&gt;"O3/CP",$Y$14=E$18),IF(LEFT($Y23,1)="P",VLOOKUP(CONCATENATE(LEFT($Y23,2),"H"),$R$63:$T$91,3,FALSE),VLOOKUP($Y23,$R$63:$T$91,3,FALSE)))+IF(AND($Y23&lt;&gt;"",$Y23&lt;&gt;"O3/CP",$Y$15=E$18,MID($Y23,4,1)="2",$Y$15&lt;&gt;$Y$14),VLOOKUP(CONCATENATE(LEFT($Y23,2),"L"),$R$63:$T$91,3,FALSE),0)+IF(AND($Y23="O3/CP",$Y$14=E$18),VLOOKUP("O3",$R$63:$T$91,3,FALSE)+VLOOKUP("CP",$R$63:$T$91,3,FALSE),0)+IF(AND($K$6="CE",'[3]Supply Attribution'!$G$20=E$18),LEFT($S$90,2),0)+IF(AND($X$86&lt;&gt;"Not Set",$X$87=E$18),$X$86,0)</f>
        <v>0</v>
      </c>
      <c r="F23" s="272">
        <f>IF(AND($K23&lt;&gt;"",$K23&lt;&gt;"--",$K23&lt;&gt;"O3/CP",$K$14=F$18),IF(LEFT($K23,1)="P",VLOOKUP(CONCATENATE(LEFT($K23,2),"H"),$R$63:$T$91,3,FALSE),VLOOKUP($K23,$R$63:$T$91,3,FALSE)))+IF(AND($K23&lt;&gt;"",$K23&lt;&gt;"O3/CP",$K$15=F$18,MID($K23,4,1)="2",$K$15&lt;&gt;$K$14),VLOOKUP(CONCATENATE(LEFT($K23,2),"L"),$R$63:$T$91,3,FALSE),0)+IF(AND($K23="O3/CP",$K$14=F$18),VLOOKUP("O3",$R$63:$T$91,3,FALSE)+VLOOKUP("CP",$R$63:$T$91,3,FALSE),0)+IF(AND($L23&lt;&gt;"",$L23&lt;&gt;"--",$L23&lt;&gt;"O3/CP",$L$14=F$18),IF(LEFT($L23,1)="P",VLOOKUP(CONCATENATE(LEFT($L23,2),"H"),$R$63:$T$91,3,FALSE),VLOOKUP($L23,$R$63:$T$91,3,FALSE)))+IF(AND($L23&lt;&gt;"",$L23&lt;&gt;"O3/CP",$L$15=F$18,MID($L23,4,1)="2",$L$15&lt;&gt;$L$14),VLOOKUP(CONCATENATE(LEFT($L23,2),"L"),$R$63:$T$91,3,FALSE),0)+IF(AND($L23="O3/CP",$L$14=F$18),VLOOKUP("O3",$R$63:$T$91,3,FALSE)+VLOOKUP("CP",$R$63:$T$91,3,FALSE),0)+IF(AND($M23&lt;&gt;"",$M23&lt;&gt;"--",$M23&lt;&gt;"O3/CP",$M$14=F$18),IF(LEFT($M23,1)="P",VLOOKUP(CONCATENATE(LEFT($M23,2),"H"),$R$63:$T$91,3,FALSE),VLOOKUP($M23,$R$63:$T$91,3,FALSE)))+IF(AND($M23&lt;&gt;"",$M23&lt;&gt;"O3/CP",$M$15=F$18,MID($M23,4,1)="2",$M$15&lt;&gt;$M$14),VLOOKUP(CONCATENATE(LEFT($M23,2),"L"),$R$63:$T$91,3,FALSE),0)+IF(AND($M23="O3/CP",$M$14=F$18),VLOOKUP("O3",$R$63:$T$91,3,FALSE)+VLOOKUP("CP",$R$63:$T$91,3,FALSE),0)+IF(AND($N23&lt;&gt;"",$N23&lt;&gt;"--",$N23&lt;&gt;"O3/CP",$N$14=F$18),IF(LEFT($N23,1)="P",VLOOKUP(CONCATENATE(LEFT($N23,2),"H"),$R$63:$T$91,3,FALSE),VLOOKUP($N23,$R$63:$T$91,3,FALSE)))+IF(AND($N23&lt;&gt;"",$N23&lt;&gt;"O3/CP",$N$15=F$18,MID($N23,4,1)="2",$N$15&lt;&gt;$N$14),VLOOKUP(CONCATENATE(LEFT($N23,2),"L"),$R$63:$T$91,3,FALSE),0)+IF(AND($N23="O3/CP",$N$14=F$18),VLOOKUP("O3",$R$63:$T$91,3,FALSE)+VLOOKUP("CP",$R$63:$T$91,3,FALSE),0)+IF(AND($O23&lt;&gt;"",$O23&lt;&gt;"--",$O23&lt;&gt;"O3/CP",$O$14=F$18),IF(LEFT($O23,1)="P",VLOOKUP(CONCATENATE(LEFT($O23,2),"H"),$R$63:$T$91,3,FALSE),VLOOKUP($O23,$R$63:$T$91,3,FALSE)))+IF(AND($O23&lt;&gt;"",$O23&lt;&gt;"O3/CP",$O$15=F$18,MID($O23,4,1)="2",$O$15&lt;&gt;$O$14),VLOOKUP(CONCATENATE(LEFT($O23,2),"L"),$R$63:$T$91,3,FALSE),0)+IF(AND($O23="O3/CP",$O$14=F$18),VLOOKUP("O3",$R$63:$T$91,3,FALSE)+VLOOKUP("CP",$R$63:$T$91,3,FALSE),0)+IF(AND($P23&lt;&gt;"",$P23&lt;&gt;"--",$P23&lt;&gt;"O3/CP",$P$14=F$18),IF(LEFT($P23,1)="P",VLOOKUP(CONCATENATE(LEFT($P23,2),"H"),$R$63:$T$91,3,FALSE),VLOOKUP($P23,$R$63:$T$91,3,FALSE)))+IF(AND($P23&lt;&gt;"",$P23&lt;&gt;"O3/CP",$P$15=F$18,MID($P23,4,1)="2",$P$15&lt;&gt;$P$14),VLOOKUP(CONCATENATE(LEFT($P23,2),"L"),$R$63:$T$91,3,FALSE),0)+IF(AND($P23="O3/CP",$P$14=F$18),VLOOKUP("O3",$R$63:$T$91,3,FALSE)+VLOOKUP("CP",$R$63:$T$91,3,FALSE),0)+IF(AND($Q23&lt;&gt;"",$Q23&lt;&gt;"--",$Q23&lt;&gt;"O3/CP",$Q$14=F$18),IF(LEFT($Q23,1)="P",VLOOKUP(CONCATENATE(LEFT($Q23,2),"H"),$R$63:$T$91,3,FALSE),VLOOKUP($Q23,$R$63:$T$91,3,FALSE)))+IF(AND($Q23&lt;&gt;"",$Q23&lt;&gt;"O3/CP",$Q$15=F$18,MID($Q23,4,1)="2",$Q$15&lt;&gt;$Q$14),VLOOKUP(CONCATENATE(LEFT($Q23,2),"L"),$R$63:$T$91,3,FALSE),0)+IF(AND($Q23="O3/CP",$Q$14=F$18),VLOOKUP("O3",$R$63:$T$91,3,FALSE)+VLOOKUP("CP",$R$63:$T$91,3,FALSE),0)+IF(AND($R23&lt;&gt;"",$R23&lt;&gt;"--",$R23&lt;&gt;"O3/CP",$R$14=F$18),IF(LEFT($R23,1)="P",VLOOKUP(CONCATENATE(LEFT($R23,2),"H"),$R$63:$T$91,3,FALSE),VLOOKUP($R23,$R$63:$T$91,3,FALSE)))+IF(AND($R23&lt;&gt;"",$R23&lt;&gt;"O3/CP",$R$15=F$18,MID($R23,4,1)="2",$R$15&lt;&gt;$R$14),VLOOKUP(CONCATENATE(LEFT($R23,2),"L"),$R$63:$T$91,3,FALSE),0)+IF(AND($R23="O3/CP",$R$14=F$18),VLOOKUP("O3",$R$63:$T$91,3,FALSE)+VLOOKUP("CP",$R$63:$T$91,3,FALSE),0)+IF(AND($S23&lt;&gt;"",$S23&lt;&gt;"--",$S23&lt;&gt;"O3/CP",$S$14=F$18),IF(LEFT($S23,1)="P",VLOOKUP(CONCATENATE(LEFT($S23,2),"H"),$R$63:$T$91,3,FALSE),VLOOKUP($S23,$R$63:$T$91,3,FALSE)))+IF(AND($S23&lt;&gt;"",$S23&lt;&gt;"O3/CP",$S$15=F$18,MID($S23,4,1)="2",$S$15&lt;&gt;$S$14),VLOOKUP(CONCATENATE(LEFT($S23,2),"L"),$R$63:$T$91,3,FALSE),0)+IF(AND($S23="O3/CP",$S$14=F$18),VLOOKUP("O3",$R$63:$T$91,3,FALSE)+VLOOKUP("CP",$R$63:$T$91,3,FALSE),0)+IF(AND($T23&lt;&gt;"",$T23&lt;&gt;"--",$T23&lt;&gt;"O3/CP",$T$14=F$18),IF(LEFT($T23,1)="P",VLOOKUP(CONCATENATE(LEFT($T23,2),"H"),$R$63:$T$91,3,FALSE),VLOOKUP($T23,$R$63:$T$91,3,FALSE)))+IF(AND($T23&lt;&gt;"",$T23&lt;&gt;"O3/CP",$T$15=F$18,MID($T23,4,1)="2",$T$15&lt;&gt;$T$14),VLOOKUP(CONCATENATE(LEFT($T23,2),"L"),$R$63:$T$91,3,FALSE),0)+IF(AND($T23="O3/CP",$T$14=F$18),VLOOKUP("O3",$R$63:$T$91,3,FALSE)+VLOOKUP("CP",$R$63:$T$91,3,FALSE),0)+IF(AND($U23&lt;&gt;"",$U23&lt;&gt;"--",$U23&lt;&gt;"O3/CP",$U$14=F$18),IF(LEFT($U23,1)="P",VLOOKUP(CONCATENATE(LEFT($U23,2),"H"),$R$63:$T$91,3,FALSE),VLOOKUP($U23,$R$63:$T$91,3,FALSE)))+IF(AND($U23&lt;&gt;"",$U23&lt;&gt;"O3/CP",$U$15=F$18,MID($U23,4,1)="2",$U$15&lt;&gt;$U$14),VLOOKUP(CONCATENATE(LEFT($U23,2),"L"),$R$63:$T$91,3,FALSE),0)+IF(AND($U23="O3/CP",$T$14=F$18),VLOOKUP("O3",$R$63:$T$91,3,FALSE)+VLOOKUP("CP",$R$63:$T$91,3,FALSE),0)+IF(AND($V23&lt;&gt;"",$V23&lt;&gt;"--",$V23&lt;&gt;"O3/CP",$V$14=F$18),IF(LEFT($V23,1)="P",VLOOKUP(CONCATENATE(LEFT($V23,2),"H"),$R$63:$T$91,3,FALSE),VLOOKUP($V23,$R$63:$T$91,3,FALSE)))+IF(AND($V23&lt;&gt;"",$V23&lt;&gt;"O3/CP",$V$15=F$18,MID($V23,4,1)="2",$V$15&lt;&gt;$V$14),VLOOKUP(CONCATENATE(LEFT($V23,2),"L"),$R$63:$T$91,3,FALSE),0)+IF(AND($V23="O3/CP",$V$14=F$18),VLOOKUP("O3",$R$63:$T$91,3,FALSE)+VLOOKUP("CP",$R$63:$T$91,3,FALSE),0)+IF(AND($W23&lt;&gt;"",$W23&lt;&gt;"--",$W23&lt;&gt;"O3/CP",$W$14=F$18),IF(LEFT($W23,1)="P",VLOOKUP(CONCATENATE(LEFT($W23,2),"H"),$R$63:$T$91,3,FALSE),VLOOKUP($W23,$R$63:$T$91,3,FALSE)))+IF(AND($W23&lt;&gt;"",$W23&lt;&gt;"O3/CP",$W$15=F$18,MID($W23,4,1)="2",$W$15&lt;&gt;$W$14),VLOOKUP(CONCATENATE(LEFT($W23,2),"L"),$R$63:$T$91,3,FALSE),0)+IF(AND($W23="O3/CP",$W$14=F$18),VLOOKUP("O3",$R$63:$T$91,3,FALSE)+VLOOKUP("CP",$R$63:$T$91,3,FALSE),0)+IF(AND($X23&lt;&gt;"",$X23&lt;&gt;"--",$X23&lt;&gt;"O3/CP",$X$14=F$18),IF(LEFT($X23,1)="P",VLOOKUP(CONCATENATE(LEFT($X23,2),"H"),$R$63:$T$91,3,FALSE),VLOOKUP($X23,$R$63:$T$91,3,FALSE)))+IF(AND($X23&lt;&gt;"",$X23&lt;&gt;"O3/CP",$X$15=F$18,MID($X23,4,1)="2",$X$15&lt;&gt;$X$14),VLOOKUP(CONCATENATE(LEFT($X23,2),"L"),$R$63:$T$91,3,FALSE),0)+IF(AND($X23="O3/CP",$X$14=F$18),VLOOKUP("O3",$R$63:$T$91,3,FALSE)+VLOOKUP("CP",$R$63:$T$91,3,FALSE),0)+IF(AND($Y23&lt;&gt;"",$Y23&lt;&gt;"--",$Y23&lt;&gt;"O3/CP",$Y$14=F$18),IF(LEFT($Y23,1)="P",VLOOKUP(CONCATENATE(LEFT($Y23,2),"H"),$R$63:$T$91,3,FALSE),VLOOKUP($Y23,$R$63:$T$91,3,FALSE)))+IF(AND($Y23&lt;&gt;"",$Y23&lt;&gt;"O3/CP",$Y$15=F$18,MID($Y23,4,1)="2",$Y$15&lt;&gt;$Y$14),VLOOKUP(CONCATENATE(LEFT($Y23,2),"L"),$R$63:$T$91,3,FALSE),0)+IF(AND($Y23="O3/CP",$Y$14=F$18),VLOOKUP("O3",$R$63:$T$91,3,FALSE)+VLOOKUP("CP",$R$63:$T$91,3,FALSE),0)+IF(AND($K$6="CE",'[3]Supply Attribution'!$G$20=F$18),LEFT($S$90,2),0)+IF(AND($X$86&lt;&gt;"Not Set",$X$87=F$18),$X$86,0)</f>
        <v>0</v>
      </c>
      <c r="G23" s="271">
        <f>IF(AND($K$6="CE",$T$59="1 Phase"),SUM(A23:F23)-IF(AND($K$14&lt;&gt;$K$15,RIGHT($K23,3)="2SP"),VLOOKUP(CONCATENATE(LEFT($K23,2),"L"),$R$63:$T$90,3,FALSE),0)-IF(AND($L$14&lt;&gt;$L$15,RIGHT($L23,3)="2SP"),VLOOKUP(CONCATENATE(LEFT($L23,2),"L"),$R$63:$T$90,3,FALSE),0)-IF(AND($M$14&lt;&gt;$M$15,RIGHT($M23,3)="2SP"),VLOOKUP(CONCATENATE(LEFT($M23,2),"L"),$R$63:$T$90,3,FALSE),0)-IF(AND($N$14&lt;&gt;$N$15,RIGHT($N23,3)="2SP"),VLOOKUP(CONCATENATE(LEFT($N23,2),"L"),$R$63:$T$90,3,FALSE),0)-IF(AND($O$14&lt;&gt;$O$15,RIGHT($O23,3)="2SP"),VLOOKUP(CONCATENATE(LEFT($O23,2),"L"),$R$63:$T$90,3,FALSE),0)-IF(AND($P$14&lt;&gt;$P$15,RIGHT($P23,3)="2SP"),VLOOKUP(CONCATENATE(LEFT($P23,2),"L"),$R$63:$T$90,3,FALSE),0)-IF(AND($Q$14&lt;&gt;$Q$15,RIGHT($Q23,3)="2SP"),VLOOKUP(CONCATENATE(LEFT($Q23,2),"L"),$R$63:$T$90,3,FALSE),0)-IF(AND($R$14&lt;&gt;$R$15,RIGHT($T23,3)="2SP"),VLOOKUP(CONCATENATE(LEFT($R23,2),"L"),$R$63:$T$90,3,FALSE),0)-IF(AND($S$14&lt;&gt;$S$15,RIGHT($T23,3)="2SP"),VLOOKUP(CONCATENATE(LEFT($S23,2),"L"),$R$63:$T$90,3,FALSE),0)-IF(AND($T$14&lt;&gt;$T$15,RIGHT($T23,3)="2SP"),VLOOKUP(CONCATENATE(LEFT($T23,2),"L"),$R$63:$T$90,3,FALSE),0)-IF(AND($U$14&lt;&gt;$U$15,RIGHT($U23,3)="2SP"),VLOOKUP(CONCATENATE(LEFT($U23,2),"L"),$R$63:$T$90,3,FALSE),0)-IF(AND($V$14&lt;&gt;$V$15,RIGHT($V23,3)="2SP"),VLOOKUP(CONCATENATE(LEFT($V23,2),"L"),$R$63:$T$90,3,FALSE),0)-IF(AND($W$14&lt;&gt;$W$15,RIGHT($W23,3)="2SP"),VLOOKUP(CONCATENATE(LEFT($W23,2),"L"),$R$63:$T$90,3,FALSE),0)-IF(AND($X$14&lt;&gt;$X$15,RIGHT($X23,3)="2SP"),VLOOKUP(CONCATENATE(LEFT($X23,2),"L"),$R$63:$T$90,3,FALSE),0)-IF(AND($Y$14&lt;&gt;$Y$15,RIGHT($Y23,3)="2SP"),VLOOKUP(CONCATENATE(LEFT($Y23,2),"L"),$R$63:$T$90,3,FALSE),0),IF(VLOOKUP(CONCATENATE($A$18,"Line"),'[3]Supply Attribution'!$F$31:$G$37,2,FALSE)=G$18,$A23,0)+IF(VLOOKUP(CONCATENATE($B$18,"Line"),'[3]Supply Attribution'!$F$31:$G$37,2,FALSE)=G$18,$B23,0)+IF(VLOOKUP(CONCATENATE($C$18,"Line"),'[3]Supply Attribution'!$F$31:$G$37,2,FALSE)=G$18,$C23,0)+IF(VLOOKUP(CONCATENATE($D$18,"Line"),'[3]Supply Attribution'!$F$31:$G$37,2,FALSE)=G$18,$D23,0)+IF(VLOOKUP(CONCATENATE($E$18,"Line"),'[3]Supply Attribution'!$F$31:$G$37,2,FALSE)=G$18,$E23,0)+IF(VLOOKUP(CONCATENATE($F$18,"Line"),'[3]Supply Attribution'!$F$31:$G$37,2,FALSE)=G$18,$F23,0)+IF($K$6="UL",LEFT($S$90,2),0)-IF(AND($K$16=G$18,$K$14&lt;&gt;$K$15,$K$16=$K$17,RIGHT($K23,3)="2SP"),VLOOKUP(CONCATENATE(LEFT($K23,2),"L"),$R$63:$T$90,3,FALSE),0)-IF(AND($L$16=G$18,$L$14&lt;&gt;$L$15,$L$16=$L$17,RIGHT($L23,3)="2SP"),VLOOKUP(CONCATENATE(LEFT($L23,2),"L"),$R$63:$T$90,3,FALSE),0)-IF(AND($M$16=G$18,$M$14&lt;&gt;$M$15,$M$16=$M$17,RIGHT($M23,3)="2SP"),VLOOKUP(CONCATENATE(LEFT($M23,2),"L"),$R$63:$T$90,3,FALSE),0)-IF(AND($N$16=G$18,$N$14&lt;&gt;$N$15,$N$16=$N$17,RIGHT($N23,3)="2SP"),VLOOKUP(CONCATENATE(LEFT($N23,2),"L"),$R$63:$T$90,3,FALSE),0)-IF(AND($O$16=G$18,$O$14&lt;&gt;$O$15,$O$16=$O$17,RIGHT($O23,3)="2SP"),VLOOKUP(CONCATENATE(LEFT($O23,2),"L"),$R$63:$T$90,3,FALSE),0)-IF(AND($P$16=G$18,$P$14&lt;&gt;$P$15,$P$16=$P$17,RIGHT($P23,3)="2SP"),VLOOKUP(CONCATENATE(LEFT($P23,2),"L"),$R$63:$T$90,3,FALSE),0)-IF(AND($Q$16=G$18,$Q$14&lt;&gt;$Q$15,$Q$16=$Q$17,RIGHT($Q23,3)="2SP"),VLOOKUP(CONCATENATE(LEFT($Q23,2),"L"),$R$63:$T$90,3,FALSE),0)-IF(AND($R$16=G$18,$R$14&lt;&gt;$R$15,$R$16=$R$17,RIGHT($R23,3)="2SP"),VLOOKUP(CONCATENATE(LEFT($R23,2),"L"),$R$63:$T$90,3,FALSE),0)-IF(AND($S$16=G$18,$S$14&lt;&gt;$S$15,$S$16=$S$17,RIGHT($S23,3)="2SP"),VLOOKUP(CONCATENATE(LEFT($S23,2),"L"),$R$63:$T$90,3,FALSE),0)-IF(AND($T$16=G$18,$T$14&lt;&gt;$T$15,$T$16=$T$17,RIGHT($T23,3)="2SP"),VLOOKUP(CONCATENATE(LEFT($T23,2),"L"),$R$63:$T$90,3,FALSE),0)-IF(AND($U$16=G$18,$U$14&lt;&gt;$U$15,$U$16=$U$17,RIGHT($U23,3)="2SP"),VLOOKUP(CONCATENATE(LEFT($U23,2),"L"),$R$63:$T$90,3,FALSE),0)-IF(AND($V$16=G$18,$V$14&lt;&gt;$V$15,$V$16=$V$17,RIGHT($V23,3)="2SP"),VLOOKUP(CONCATENATE(LEFT($V23,2),"L"),$R$63:$T$90,3,FALSE),0)-IF(AND($W$16=G$18,$W$14&lt;&gt;$W$15,$W$16=$W$17,RIGHT($W23,3)="2SP"),VLOOKUP(CONCATENATE(LEFT($W23,2),"L"),$R$63:$T$90,3,FALSE),0)-IF(AND($X$16=G$18,$X$14&lt;&gt;$X$15,$X$16=$X$17,RIGHT($X23,3)="2SP"),VLOOKUP(CONCATENATE(LEFT($X23,2),"L"),$R$63:$T$90,3,FALSE),0)-IF(AND($Y$16=G$18,$Y$14&lt;&gt;$Y$15,$Y$16=$Y$17,RIGHT($Y23,3)="2SP"),VLOOKUP(CONCATENATE(LEFT($Y23,2),"L"),$R$63:$T$90,3,FALSE),0))</f>
        <v>43</v>
      </c>
      <c r="H23" s="271" t="str">
        <f>IF(H$18&lt;&gt;"",IF(VLOOKUP(CONCATENATE($A$18,"Line"),'Supply Attribution'!$F$31:$G$37,2,FALSE)=H$18,$A23,0)+IF(VLOOKUP(CONCATENATE($B$18,"Line"),'Supply Attribution'!$F$31:$G$37,2,FALSE)=H$18,$B23,0)+IF(VLOOKUP(CONCATENATE($C$18,"Line"),'Supply Attribution'!$F$31:$G$37,2,FALSE)=H$18,$C23,0)+IF(VLOOKUP(CONCATENATE($D$18,"Line"),'Supply Attribution'!$F$31:$G$37,2,FALSE)=H$18,$D23,0)+IF(VLOOKUP(CONCATENATE($E$18,"Line"),'Supply Attribution'!$F$31:$G$37,2,FALSE)=H$18,$E23,0)+IF(VLOOKUP(CONCATENATE($F$18,"Line"),'Supply Attribution'!$F$31:$G$37,2,FALSE)=H$18,$F23,0)+IF($K$6="UL",LEFT($S$90,2),0)-IF(AND($K$16=H$18,$K$14&lt;&gt;$K$15,$K$16=$K$17,RIGHT($K23,3)="2SP"),VLOOKUP(CONCATENATE(LEFT($K23,2),"L"),$R$63:$T$90,3,FALSE),0)-IF(AND($L$16=H$18,$L$14&lt;&gt;$L$15,$L$16=$L$17,RIGHT($L23,3)="2SP"),VLOOKUP(CONCATENATE(LEFT($L23,2),"L"),$R$63:$T$90,3,FALSE),0)-IF(AND($M$16=H$18,$M$14&lt;&gt;$M$15,$M$16=$M$17,RIGHT($M23,3)="2SP"),VLOOKUP(CONCATENATE(LEFT($M23,2),"L"),$R$63:$T$90,3,FALSE),0)-IF(AND($N$16=H$18,$N$14&lt;&gt;$N$15,$N$16=$N$17,RIGHT($N23,3)="2SP"),VLOOKUP(CONCATENATE(LEFT($N23,2),"L"),$R$63:$T$90,3,FALSE),0)-IF(AND($O$16=H$18,$O$14&lt;&gt;$O$15,$O$16=$O$17,RIGHT($O23,3)="2SP"),VLOOKUP(CONCATENATE(LEFT($O23,2),"L"),$R$63:$T$90,3,FALSE),0)-IF(AND($P$16=H$18,$P$14&lt;&gt;$P$15,$P$16=$P$17,RIGHT($P23,3)="2SP"),VLOOKUP(CONCATENATE(LEFT($P23,2),"L"),$R$63:$T$90,3,FALSE),0)-IF(AND($Q$16=H$18,$Q$14&lt;&gt;$Q$15,$Q$16=$Q$17,RIGHT($Q23,3)="2SP"),VLOOKUP(CONCATENATE(LEFT($Q23,2),"L"),$R$63:$T$90,3,FALSE),0)-IF(AND($T$16=H$18,$T$14&lt;&gt;$T$15,$T$16=$T$17,RIGHT($T23,3)="2SP"),VLOOKUP(CONCATENATE(LEFT($T23,2),"L"),$R$63:$T$90,3,FALSE),0)-IF(AND($U$16=H$18,$U$14&lt;&gt;$U$15,$U$16=$U$17,RIGHT($U23,3)="2SP"),VLOOKUP(CONCATENATE(LEFT($U23,2),"L"),$R$63:$T$90,3,FALSE),0)-IF(AND($V$16=H$18,$V$14&lt;&gt;$V$15,$V$16=$V$17,RIGHT($V23,3)="2SP"),VLOOKUP(CONCATENATE(LEFT($V23,2),"L"),$R$63:$T$90,3,FALSE),0)-IF(AND($W$16=H$18,$W$14&lt;&gt;$W$15,$W$16=$W$17,RIGHT($W23,3)="2SP"),VLOOKUP(CONCATENATE(LEFT($W23,2),"L"),$R$63:$T$90,3,FALSE),0)-IF(AND($X$16=H$18,$X$14&lt;&gt;$X$15,$X$16=$X$17,RIGHT($X23,3)="2SP"),VLOOKUP(CONCATENATE(LEFT($X23,2),"L"),$R$63:$T$90,3,FALSE),0)-IF(AND($Y$16=H$18,$Y$14&lt;&gt;$Y$15,$Y$16=$Y$17,RIGHT($Y23,3)="2SP"),VLOOKUP(CONCATENATE(LEFT($Y23,2),"L"),$R$63:$T$90,3,FALSE),0)+IF(AND($K$6="CE",$T$59="2 Phases",H$18&lt;&gt;""),IF(VLOOKUP(CONCATENATE($A$18,"Line"),'Supply Attribution'!$F$31:$G$37,2,FALSE)="Line3",$A23,0)+IF(VLOOKUP(CONCATENATE($B$18,"Line"),'Supply Attribution'!$F$31:$G$37,2,FALSE)="Line3",$B23,0)+IF(VLOOKUP(CONCATENATE($C$18,"Line"),'Supply Attribution'!$F$31:$G$37,2,FALSE)="Line3",$C23,0)+IF(VLOOKUP(CONCATENATE($D$18,"Line"),'Supply Attribution'!$F$31:$G$37,2,FALSE)="Line3",$D23,0)+IF(VLOOKUP(CONCATENATE($E$18,"Line"),'Supply Attribution'!$F$31:$G$37,2,FALSE)="Line3",$E23,0)+IF(VLOOKUP(CONCATENATE($F$18,"Line"),'Supply Attribution'!$F$31:$G$37,2,FALSE)="Line3",$F23,0)-IF(AND($K$16=I$18,$K$14&lt;&gt;$K$15,$K$16=$K$17,RIGHT($K23,3)="2SP"),VLOOKUP(CONCATENATE(LEFT($K23,2),"L"),$R$63:$T$90,3,FALSE),0)-IF(AND($L$16=I$18,$L$14&lt;&gt;$L$15,$L$16=$L$17,RIGHT($L23,3)="2SP"),VLOOKUP(CONCATENATE(LEFT($L23,2),"L"),$R$63:$T$90,3,FALSE),0)-IF(AND($M$16=I$18,$M$14&lt;&gt;$M$15,$M$16=$M$17,RIGHT($M23,3)="2SP"),VLOOKUP(CONCATENATE(LEFT($M23,2),"L"),$R$63:$T$90,3,FALSE),0)-IF(AND($N$16=I$18,$N$14&lt;&gt;$N$15,$N$16=$N$17,RIGHT($N23,3)="2SP"),VLOOKUP(CONCATENATE(LEFT($N23,2),"L"),$R$63:$T$90,3,FALSE),0)-IF(AND($O$16=I$18,$O$14&lt;&gt;$O$15,$O$16=$O$17,RIGHT($O23,3)="2SP"),VLOOKUP(CONCATENATE(LEFT($O23,2),"L"),$R$63:$T$90,3,FALSE),0)-IF(AND($P$16=I$18,$P$14&lt;&gt;$P$15,$P$16=$P$17,RIGHT($P23,3)="2SP"),VLOOKUP(CONCATENATE(LEFT($P23,2),"L"),$R$63:$T$90,3,FALSE),0)-IF(AND($Q$16=I$18,$Q$14&lt;&gt;$Q$15,$Q$16=$Q$17,RIGHT($Q23,3)="2SP"),VLOOKUP(CONCATENATE(LEFT($Q23,2),"L"),$R$63:$T$90,3,FALSE),0)-IF(AND($T$16=I$18,$T$14&lt;&gt;$T$15,$T$16=$T$17,RIGHT($T23,3)="2SP"),VLOOKUP(CONCATENATE(LEFT($T23,2),"L"),$R$63:$T$90,3,FALSE),0)-IF(AND($U$16=I$18,$U$14&lt;&gt;$U$15,$U$16=$U$17,RIGHT($U23,3)="2SP"),VLOOKUP(CONCATENATE(LEFT($U23,2),"L"),$R$63:$T$90,3,FALSE),0)-IF(AND($V$16=I$18,$V$14&lt;&gt;$V$15,$V$16=$V$17,RIGHT($V23,3)="2SP"),VLOOKUP(CONCATENATE(LEFT($V23,2),"L"),$R$63:$T$90,3,FALSE),0)-IF(AND($W$16=I$18,$W$14&lt;&gt;$W$15,$W$16=$W$17,RIGHT($W23,3)="2SP"),VLOOKUP(CONCATENATE(LEFT($W23,2),"L"),$R$63:$T$90,3,FALSE),0)-IF(AND($X$16=I$18,$X$14&lt;&gt;$X$15,$X$16=$X$17,RIGHT($X23,3)="2SP"),VLOOKUP(CONCATENATE(LEFT($X23,2),"L"),$R$63:$T$90,3,FALSE),0)-IF(AND($Y$16=I$18,$Y$14&lt;&gt;$Y$15,$Y$16=$Y$17,RIGHT($Y23,3)="2SP"),VLOOKUP(CONCATENATE(LEFT($Y23,2),"L"),$R$63:$T$90,3,FALSE),0),0),"")</f>
        <v/>
      </c>
      <c r="I23" s="271" t="str">
        <f>IF(I$18&lt;&gt;"",IF(VLOOKUP(CONCATENATE($A$18,"Line"),'Supply Attribution'!$F$31:$G$37,2,FALSE)=I$18,$A23,0)+IF(VLOOKUP(CONCATENATE($B$18,"Line"),'Supply Attribution'!$F$31:$G$37,2,FALSE)=I$18,$B23,0)+IF(VLOOKUP(CONCATENATE($C$18,"Line"),'Supply Attribution'!$F$31:$G$37,2,FALSE)=I$18,$C23,0)+IF(VLOOKUP(CONCATENATE($D$18,"Line"),'Supply Attribution'!$F$31:$G$37,2,FALSE)=I$18,$D23,0)+IF(VLOOKUP(CONCATENATE($E$18,"Line"),'Supply Attribution'!$F$31:$G$37,2,FALSE)=I$18,$E23,0)+IF(VLOOKUP(CONCATENATE($F$18,"Line"),'Supply Attribution'!$F$31:$G$37,2,FALSE)=I$18,$F23,0)+IF($K$6="UL",LEFT($S$90,2),0)-IF(AND($K$16=I$18,$K$14&lt;&gt;$K$15,$K$16=$K$17,RIGHT($K23,3)="2SP"),VLOOKUP(CONCATENATE(LEFT($K23,2),"L"),$R$63:$T$90,3,FALSE),0)-IF(AND($L$16=I$18,$L$14&lt;&gt;$L$15,$L$16=$L$17,RIGHT($L23,3)="2SP"),VLOOKUP(CONCATENATE(LEFT($L23,2),"L"),$R$63:$T$90,3,FALSE),0)-IF(AND($M$16=I$18,$M$14&lt;&gt;$M$15,$M$16=$M$17,RIGHT($M23,3)="2SP"),VLOOKUP(CONCATENATE(LEFT($M23,2),"L"),$R$63:$T$90,3,FALSE),0)-IF(AND($N$16=I$18,$N$14&lt;&gt;$N$15,$N$16=$N$17,RIGHT($N23,3)="2SP"),VLOOKUP(CONCATENATE(LEFT($N23,2),"L"),$R$63:$T$90,3,FALSE),0)-IF(AND($O$16=I$18,$O$14&lt;&gt;$O$15,$O$16=$O$17,RIGHT($O23,3)="2SP"),VLOOKUP(CONCATENATE(LEFT($O23,2),"L"),$R$63:$T$90,3,FALSE),0)-IF(AND($P$16=I$18,$P$14&lt;&gt;$P$15,$P$16=$P$17,RIGHT($P23,3)="2SP"),VLOOKUP(CONCATENATE(LEFT($P23,2),"L"),$R$63:$T$90,3,FALSE),0)-IF(AND($Q$16=I$18,$Q$14&lt;&gt;$Q$15,$Q$16=$Q$17,RIGHT($Q23,3)="2SP"),VLOOKUP(CONCATENATE(LEFT($Q23,2),"L"),$R$63:$T$90,3,FALSE),0)-IF(AND($T$16=I$18,$T$14&lt;&gt;$T$15,$T$16=$T$17,RIGHT($T23,3)="2SP"),VLOOKUP(CONCATENATE(LEFT($T23,2),"L"),$R$63:$T$90,3,FALSE),0)-IF(AND($U$16=I$18,$U$14&lt;&gt;$U$15,$U$16=$U$17,RIGHT($U23,3)="2SP"),VLOOKUP(CONCATENATE(LEFT($U23,2),"L"),$R$63:$T$90,3,FALSE),0)-IF(AND($V$16=I$18,$V$14&lt;&gt;$V$15,$V$16=$V$17,RIGHT($V23,3)="2SP"),VLOOKUP(CONCATENATE(LEFT($V23,2),"L"),$R$63:$T$90,3,FALSE),0)-IF(AND($W$16=I$18,$W$14&lt;&gt;$W$15,$W$16=$W$17,RIGHT($W23,3)="2SP"),VLOOKUP(CONCATENATE(LEFT($W23,2),"L"),$R$63:$T$90,3,FALSE),0)-IF(AND($X$16=I$18,$X$14&lt;&gt;$X$15,$X$16=$X$17,RIGHT($X23,3)="2SP"),VLOOKUP(CONCATENATE(LEFT($X23,2),"L"),$R$63:$T$90,3,FALSE),0)-IF(AND($Y$16=I$18,$Y$14&lt;&gt;$Y$15,$Y$16=$Y$17,RIGHT($Y23,3)="2SP"),VLOOKUP(CONCATENATE(LEFT($Y23,2),"L"),$R$63:$T$90,3,FALSE),0),"")</f>
        <v/>
      </c>
      <c r="J23" s="129">
        <v>41</v>
      </c>
      <c r="K23" s="130" t="s">
        <v>22</v>
      </c>
      <c r="L23" s="130" t="s">
        <v>390</v>
      </c>
      <c r="M23" s="130" t="s">
        <v>391</v>
      </c>
      <c r="N23" s="130" t="s">
        <v>24</v>
      </c>
      <c r="O23" s="130" t="s">
        <v>286</v>
      </c>
      <c r="P23" s="130"/>
      <c r="Q23" s="130"/>
      <c r="R23" s="130"/>
      <c r="S23" s="130"/>
      <c r="T23" s="130"/>
      <c r="U23" s="130"/>
      <c r="V23" s="130"/>
      <c r="W23" s="130"/>
      <c r="X23" s="130"/>
      <c r="Y23" s="130"/>
      <c r="Z23" s="131"/>
      <c r="AA23" s="131"/>
      <c r="AB23" s="132"/>
      <c r="AC23" s="132"/>
      <c r="AD23" s="132"/>
      <c r="AE23" s="133">
        <f t="shared" si="0"/>
        <v>41</v>
      </c>
      <c r="AF23" s="78"/>
    </row>
    <row r="24" spans="1:32" ht="13.15" customHeight="1">
      <c r="A24" s="270">
        <f>IF(AND($K24&lt;&gt;"",$K24&lt;&gt;"--",$K24&lt;&gt;"O3/CP",$K$14=A$18),IF(LEFT($K24,1)="P",VLOOKUP(CONCATENATE(LEFT($K24,2),"H"),$R$63:$T$91,3,FALSE),VLOOKUP($K24,$R$63:$T$91,3,FALSE)))+IF(AND($K24&lt;&gt;"",$K24&lt;&gt;"O3/CP",$K$15=A$18,MID($K24,4,1)="2",$K$15&lt;&gt;$K$14),VLOOKUP(CONCATENATE(LEFT($K24,2),"L"),$R$63:$T$91,3,FALSE),0)+IF(AND($K24="O3/CP",$K$14=A$18),VLOOKUP("O3",$R$63:$T$91,3,FALSE)+VLOOKUP("CP",$R$63:$T$91,3,FALSE),0)+IF(AND($L24&lt;&gt;"",$L24&lt;&gt;"--",$L24&lt;&gt;"O3/CP",$L$14=A$18),IF(LEFT($L24,1)="P",VLOOKUP(CONCATENATE(LEFT($L24,2),"H"),$R$63:$T$91,3,FALSE),VLOOKUP($L24,$R$63:$T$91,3,FALSE)))+IF(AND($L24&lt;&gt;"",$L24&lt;&gt;"O3/CP",$L$15=A$18,MID($L24,4,1)="2",$L$15&lt;&gt;$L$14),VLOOKUP(CONCATENATE(LEFT($L24,2),"L"),$R$63:$T$91,3,FALSE),0)+IF(AND($L24="O3/CP",$L$14=A$18),VLOOKUP("O3",$R$63:$T$91,3,FALSE)+VLOOKUP("CP",$R$63:$T$91,3,FALSE),0)+IF(AND($M24&lt;&gt;"",$M24&lt;&gt;"--",$M24&lt;&gt;"O3/CP",$M$14=A$18),IF(LEFT($M24,1)="P",VLOOKUP(CONCATENATE(LEFT($M24,2),"H"),$R$63:$T$91,3,FALSE),VLOOKUP($M24,$R$63:$T$91,3,FALSE)))+IF(AND($M24&lt;&gt;"",$M24&lt;&gt;"O3/CP",$M$15=A$18,MID($M24,4,1)="2",$M$15&lt;&gt;$M$14),VLOOKUP(CONCATENATE(LEFT($M24,2),"L"),$R$63:$T$91,3,FALSE),0)+IF(AND($M24="O3/CP",$M$14=A$18),VLOOKUP("O3",$R$63:$T$91,3,FALSE)+VLOOKUP("CP",$R$63:$T$91,3,FALSE),0)+IF(AND($N24&lt;&gt;"",$N24&lt;&gt;"--",$N24&lt;&gt;"O3/CP",$N$14=A$18),IF(LEFT($N24,1)="P",VLOOKUP(CONCATENATE(LEFT($N24,2),"H"),$R$63:$T$91,3,FALSE),VLOOKUP($N24,$R$63:$T$91,3,FALSE)))+IF(AND($N24&lt;&gt;"",$N24&lt;&gt;"O3/CP",$N$15=A$18,MID($N24,4,1)="2",$N$15&lt;&gt;$N$14),VLOOKUP(CONCATENATE(LEFT($N24,2),"L"),$R$63:$T$91,3,FALSE),0)+IF(AND($N24="O3/CP",$N$14=A$18),VLOOKUP("O3",$R$63:$T$91,3,FALSE)+VLOOKUP("CP",$R$63:$T$91,3,FALSE),0)+IF(AND($O24&lt;&gt;"",$O24&lt;&gt;"--",$O24&lt;&gt;"O3/CP",$O$14=A$18),IF(LEFT($O24,1)="P",VLOOKUP(CONCATENATE(LEFT($O24,2),"H"),$R$63:$T$91,3,FALSE),VLOOKUP($O24,$R$63:$T$91,3,FALSE)))+IF(AND($O24&lt;&gt;"",$O24&lt;&gt;"O3/CP",$O$15=A$18,MID($O24,4,1)="2",$O$15&lt;&gt;$O$14),VLOOKUP(CONCATENATE(LEFT($O24,2),"L"),$R$63:$T$91,3,FALSE),0)+IF(AND($O24="O3/CP",$O$14=A$18),VLOOKUP("O3",$R$63:$T$91,3,FALSE)+VLOOKUP("CP",$R$63:$T$91,3,FALSE),0)+IF(AND($P24&lt;&gt;"",$P24&lt;&gt;"--",$P24&lt;&gt;"O3/CP",$P$14=A$18),IF(LEFT($P24,1)="P",VLOOKUP(CONCATENATE(LEFT($P24,2),"H"),$R$63:$T$91,3,FALSE),VLOOKUP($P24,$R$63:$T$91,3,FALSE)))+IF(AND($P24&lt;&gt;"",$P24&lt;&gt;"O3/CP",$P$15=A$18,MID($P24,4,1)="2",$P$15&lt;&gt;$P$14),VLOOKUP(CONCATENATE(LEFT($P24,2),"L"),$R$63:$T$91,3,FALSE),0)+IF(AND($P24="O3/CP",$P$14=A$18),VLOOKUP("O3",$R$63:$T$91,3,FALSE)+VLOOKUP("CP",$R$63:$T$91,3,FALSE),0)+IF(AND($Q24&lt;&gt;"",$Q24&lt;&gt;"--",$Q24&lt;&gt;"O3/CP",$Q$14=A$18),IF(LEFT($Q24,1)="P",VLOOKUP(CONCATENATE(LEFT($Q24,2),"H"),$R$63:$T$91,3,FALSE),VLOOKUP($Q24,$R$63:$T$91,3,FALSE)))+IF(AND($Q24&lt;&gt;"",$Q24&lt;&gt;"O3/CP",$Q$15=A$18,MID($Q24,4,1)="2",$Q$15&lt;&gt;$Q$14),VLOOKUP(CONCATENATE(LEFT($Q24,2),"L"),$R$63:$T$91,3,FALSE),0)+IF(AND($Q24="O3/CP",$Q$14=A$18),VLOOKUP("O3",$R$63:$T$91,3,FALSE)+VLOOKUP("CP",$R$63:$T$91,3,FALSE),0)+IF(AND($R24&lt;&gt;"",$R24&lt;&gt;"--",$R24&lt;&gt;"O3/CP",$R$14=A$18),IF(LEFT($R24,1)="P",VLOOKUP(CONCATENATE(LEFT($R24,2),"H"),$R$63:$T$91,3,FALSE),VLOOKUP($R24,$R$63:$T$91,3,FALSE)))+IF(AND($R24&lt;&gt;"",$R24&lt;&gt;"O3/CP",$R$15=A$18,MID($R24,4,1)="2",$R$15&lt;&gt;$R$14),VLOOKUP(CONCATENATE(LEFT($R24,2),"L"),$R$63:$T$91,3,FALSE),0)+IF(AND($R24="O3/CP",$R$14=A$18),VLOOKUP("O3",$R$63:$T$91,3,FALSE)+VLOOKUP("CP",$R$63:$T$91,3,FALSE),0)+IF(AND($S24&lt;&gt;"",$S24&lt;&gt;"--",$S24&lt;&gt;"O3/CP",$S$14=A$18),IF(LEFT($S24,1)="P",VLOOKUP(CONCATENATE(LEFT($S24,2),"H"),$R$63:$T$91,3,FALSE),VLOOKUP($S24,$R$63:$T$91,3,FALSE)))+IF(AND($S24&lt;&gt;"",$S24&lt;&gt;"O3/CP",$S$15=A$18,MID($S24,4,1)="2",$S$15&lt;&gt;$S$14),VLOOKUP(CONCATENATE(LEFT($S24,2),"L"),$R$63:$T$91,3,FALSE),0)+IF(AND($S24="O3/CP",$S$14=A$18),VLOOKUP("O3",$R$63:$T$91,3,FALSE)+VLOOKUP("CP",$R$63:$T$91,3,FALSE),0)+IF(AND($T24&lt;&gt;"",$T24&lt;&gt;"--",$T24&lt;&gt;"O3/CP",$T$14=A$18),IF(LEFT($T24,1)="P",VLOOKUP(CONCATENATE(LEFT($T24,2),"H"),$R$63:$T$91,3,FALSE),VLOOKUP($T24,$R$63:$T$91,3,FALSE)))+IF(AND($T24&lt;&gt;"",$T24&lt;&gt;"O3/CP",$T$15=A$18,MID($T24,4,1)="2",$T$15&lt;&gt;$T$14),VLOOKUP(CONCATENATE(LEFT($T24,2),"L"),$R$63:$T$91,3,FALSE),0)+IF(AND($T24="O3/CP",$T$14=A$18),VLOOKUP("O3",$R$63:$T$91,3,FALSE)+VLOOKUP("CP",$R$63:$T$91,3,FALSE),0)+IF(AND($U24&lt;&gt;"",$U24&lt;&gt;"--",$U24&lt;&gt;"O3/CP",$U$14=A$18),IF(LEFT($U24,1)="P",VLOOKUP(CONCATENATE(LEFT($U24,2),"H"),$R$63:$T$91,3,FALSE),VLOOKUP($U24,$R$63:$T$91,3,FALSE)))+IF(AND($U24&lt;&gt;"",$U24&lt;&gt;"O3/CP",$U$15=A$18,MID($U24,4,1)="2",$U$15&lt;&gt;$U$14),VLOOKUP(CONCATENATE(LEFT($U24,2),"L"),$R$63:$T$91,3,FALSE),0)+IF(AND($U24="O3/CP",$T$14=A$18),VLOOKUP("O3",$R$63:$T$91,3,FALSE)+VLOOKUP("CP",$R$63:$T$91,3,FALSE),0)+IF(AND($V24&lt;&gt;"",$V24&lt;&gt;"--",$V24&lt;&gt;"O3/CP",$V$14=A$18),IF(LEFT($V24,1)="P",VLOOKUP(CONCATENATE(LEFT($V24,2),"H"),$R$63:$T$91,3,FALSE),VLOOKUP($V24,$R$63:$T$91,3,FALSE)))+IF(AND($V24&lt;&gt;"",$V24&lt;&gt;"O3/CP",$V$15=A$18,MID($V24,4,1)="2",$V$15&lt;&gt;$V$14),VLOOKUP(CONCATENATE(LEFT($V24,2),"L"),$R$63:$T$91,3,FALSE),0)+IF(AND($V24="O3/CP",$V$14=A$18),VLOOKUP("O3",$R$63:$T$91,3,FALSE)+VLOOKUP("CP",$R$63:$T$91,3,FALSE),0)+IF(AND($W24&lt;&gt;"",$W24&lt;&gt;"--",$W24&lt;&gt;"O3/CP",$W$14=A$18),IF(LEFT($W24,1)="P",VLOOKUP(CONCATENATE(LEFT($W24,2),"H"),$R$63:$T$91,3,FALSE),VLOOKUP($W24,$R$63:$T$91,3,FALSE)))+IF(AND($W24&lt;&gt;"",$W24&lt;&gt;"O3/CP",$W$15=A$18,MID($W24,4,1)="2",$W$15&lt;&gt;$W$14),VLOOKUP(CONCATENATE(LEFT($W24,2),"L"),$R$63:$T$91,3,FALSE),0)+IF(AND($W24="O3/CP",$W$14=A$18),VLOOKUP("O3",$R$63:$T$91,3,FALSE)+VLOOKUP("CP",$R$63:$T$91,3,FALSE),0)+IF(AND($X24&lt;&gt;"",$X24&lt;&gt;"--",$X24&lt;&gt;"O3/CP",$X$14=A$18),IF(LEFT($X24,1)="P",VLOOKUP(CONCATENATE(LEFT($X24,2),"H"),$R$63:$T$91,3,FALSE),VLOOKUP($X24,$R$63:$T$91,3,FALSE)))+IF(AND($X24&lt;&gt;"",$X24&lt;&gt;"O3/CP",$X$15=A$18,MID($X24,4,1)="2",$X$15&lt;&gt;$X$14),VLOOKUP(CONCATENATE(LEFT($X24,2),"L"),$R$63:$T$91,3,FALSE),0)+IF(AND($X24="O3/CP",$X$14=A$18),VLOOKUP("O3",$R$63:$T$91,3,FALSE)+VLOOKUP("CP",$R$63:$T$91,3,FALSE),0)+IF(AND($Y24&lt;&gt;"",$Y24&lt;&gt;"--",$Y24&lt;&gt;"O3/CP",$Y$14=A$18),IF(LEFT($Y24,1)="P",VLOOKUP(CONCATENATE(LEFT($Y24,2),"H"),$R$63:$T$91,3,FALSE),VLOOKUP($Y24,$R$63:$T$91,3,FALSE)))+IF(AND($Y24&lt;&gt;"",$Y24&lt;&gt;"O3/CP",$Y$15=A$18,MID($Y24,4,1)="2",$Y$15&lt;&gt;$Y$14),VLOOKUP(CONCATENATE(LEFT($Y24,2),"L"),$R$63:$T$91,3,FALSE),0)+IF(AND($Y24="O3/CP",$Y$14=A$18),VLOOKUP("O3",$R$63:$T$91,3,FALSE)+VLOOKUP("CP",$R$63:$T$91,3,FALSE),0)+IF(AND($K$6="CE",'[3]Supply Attribution'!$G$20=A$18),LEFT($S$90,2),0)+IF(AND($X$86&lt;&gt;"Not Set",$X$87=A$18),$X$86,0)</f>
        <v>13</v>
      </c>
      <c r="B24" s="269">
        <f>IF(AND($K24&lt;&gt;"",$K24&lt;&gt;"--",$K24&lt;&gt;"O3/CP",$K$14=B$18),IF(LEFT($K24,1)="P",VLOOKUP(CONCATENATE(LEFT($K24,2),"H"),$R$63:$T$91,3,FALSE),VLOOKUP($K24,$R$63:$T$91,3,FALSE)))+IF(AND($K24&lt;&gt;"",$K24&lt;&gt;"O3/CP",$K$15=B$18,MID($K24,4,1)="2",$K$15&lt;&gt;$K$14),VLOOKUP(CONCATENATE(LEFT($K24,2),"L"),$R$63:$T$91,3,FALSE),0)+IF(AND($K24="O3/CP",$K$14=B$18),VLOOKUP("O3",$R$63:$T$91,3,FALSE)+VLOOKUP("CP",$R$63:$T$91,3,FALSE),0)+IF(AND($L24&lt;&gt;"",$L24&lt;&gt;"--",$L24&lt;&gt;"O3/CP",$L$14=B$18),IF(LEFT($L24,1)="P",VLOOKUP(CONCATENATE(LEFT($L24,2),"H"),$R$63:$T$91,3,FALSE),VLOOKUP($L24,$R$63:$T$91,3,FALSE)))+IF(AND($L24&lt;&gt;"",$L24&lt;&gt;"O3/CP",$L$15=B$18,MID($L24,4,1)="2",$L$15&lt;&gt;$L$14),VLOOKUP(CONCATENATE(LEFT($L24,2),"L"),$R$63:$T$91,3,FALSE),0)+IF(AND($L24="O3/CP",$L$14=B$18),VLOOKUP("O3",$R$63:$T$91,3,FALSE)+VLOOKUP("CP",$R$63:$T$91,3,FALSE),0)+IF(AND($M24&lt;&gt;"",$M24&lt;&gt;"--",$M24&lt;&gt;"O3/CP",$M$14=B$18),IF(LEFT($M24,1)="P",VLOOKUP(CONCATENATE(LEFT($M24,2),"H"),$R$63:$T$91,3,FALSE),VLOOKUP($M24,$R$63:$T$91,3,FALSE)))+IF(AND($M24&lt;&gt;"",$M24&lt;&gt;"O3/CP",$M$15=B$18,MID($M24,4,1)="2",$M$15&lt;&gt;$M$14),VLOOKUP(CONCATENATE(LEFT($M24,2),"L"),$R$63:$T$91,3,FALSE),0)+IF(AND($M24="O3/CP",$M$14=B$18),VLOOKUP("O3",$R$63:$T$91,3,FALSE)+VLOOKUP("CP",$R$63:$T$91,3,FALSE),0)+IF(AND($N24&lt;&gt;"",$N24&lt;&gt;"--",$N24&lt;&gt;"O3/CP",$N$14=B$18),IF(LEFT($N24,1)="P",VLOOKUP(CONCATENATE(LEFT($N24,2),"H"),$R$63:$T$91,3,FALSE),VLOOKUP($N24,$R$63:$T$91,3,FALSE)))+IF(AND($N24&lt;&gt;"",$N24&lt;&gt;"O3/CP",$N$15=B$18,MID($N24,4,1)="2",$N$15&lt;&gt;$N$14),VLOOKUP(CONCATENATE(LEFT($N24,2),"L"),$R$63:$T$91,3,FALSE),0)+IF(AND($N24="O3/CP",$N$14=B$18),VLOOKUP("O3",$R$63:$T$91,3,FALSE)+VLOOKUP("CP",$R$63:$T$91,3,FALSE),0)+IF(AND($O24&lt;&gt;"",$O24&lt;&gt;"--",$O24&lt;&gt;"O3/CP",$O$14=B$18),IF(LEFT($O24,1)="P",VLOOKUP(CONCATENATE(LEFT($O24,2),"H"),$R$63:$T$91,3,FALSE),VLOOKUP($O24,$R$63:$T$91,3,FALSE)))+IF(AND($O24&lt;&gt;"",$O24&lt;&gt;"O3/CP",$O$15=B$18,MID($O24,4,1)="2",$O$15&lt;&gt;$O$14),VLOOKUP(CONCATENATE(LEFT($O24,2),"L"),$R$63:$T$91,3,FALSE),0)+IF(AND($O24="O3/CP",$O$14=B$18),VLOOKUP("O3",$R$63:$T$91,3,FALSE)+VLOOKUP("CP",$R$63:$T$91,3,FALSE),0)+IF(AND($P24&lt;&gt;"",$P24&lt;&gt;"--",$P24&lt;&gt;"O3/CP",$P$14=B$18),IF(LEFT($P24,1)="P",VLOOKUP(CONCATENATE(LEFT($P24,2),"H"),$R$63:$T$91,3,FALSE),VLOOKUP($P24,$R$63:$T$91,3,FALSE)))+IF(AND($P24&lt;&gt;"",$P24&lt;&gt;"O3/CP",$P$15=B$18,MID($P24,4,1)="2",$P$15&lt;&gt;$P$14),VLOOKUP(CONCATENATE(LEFT($P24,2),"L"),$R$63:$T$91,3,FALSE),0)+IF(AND($P24="O3/CP",$P$14=B$18),VLOOKUP("O3",$R$63:$T$91,3,FALSE)+VLOOKUP("CP",$R$63:$T$91,3,FALSE),0)+IF(AND($Q24&lt;&gt;"",$Q24&lt;&gt;"--",$Q24&lt;&gt;"O3/CP",$Q$14=B$18),IF(LEFT($Q24,1)="P",VLOOKUP(CONCATENATE(LEFT($Q24,2),"H"),$R$63:$T$91,3,FALSE),VLOOKUP($Q24,$R$63:$T$91,3,FALSE)))+IF(AND($Q24&lt;&gt;"",$Q24&lt;&gt;"O3/CP",$Q$15=B$18,MID($Q24,4,1)="2",$Q$15&lt;&gt;$Q$14),VLOOKUP(CONCATENATE(LEFT($Q24,2),"L"),$R$63:$T$91,3,FALSE),0)+IF(AND($Q24="O3/CP",$Q$14=B$18),VLOOKUP("O3",$R$63:$T$91,3,FALSE)+VLOOKUP("CP",$R$63:$T$91,3,FALSE),0)+IF(AND($R24&lt;&gt;"",$R24&lt;&gt;"--",$R24&lt;&gt;"O3/CP",$R$14=B$18),IF(LEFT($R24,1)="P",VLOOKUP(CONCATENATE(LEFT($R24,2),"H"),$R$63:$T$91,3,FALSE),VLOOKUP($R24,$R$63:$T$91,3,FALSE)))+IF(AND($R24&lt;&gt;"",$R24&lt;&gt;"O3/CP",$R$15=B$18,MID($R24,4,1)="2",$R$15&lt;&gt;$R$14),VLOOKUP(CONCATENATE(LEFT($R24,2),"L"),$R$63:$T$91,3,FALSE),0)+IF(AND($R24="O3/CP",$R$14=B$18),VLOOKUP("O3",$R$63:$T$91,3,FALSE)+VLOOKUP("CP",$R$63:$T$91,3,FALSE),0)+IF(AND($S24&lt;&gt;"",$S24&lt;&gt;"--",$S24&lt;&gt;"O3/CP",$S$14=B$18),IF(LEFT($S24,1)="P",VLOOKUP(CONCATENATE(LEFT($S24,2),"H"),$R$63:$T$91,3,FALSE),VLOOKUP($S24,$R$63:$T$91,3,FALSE)))+IF(AND($S24&lt;&gt;"",$S24&lt;&gt;"O3/CP",$S$15=B$18,MID($S24,4,1)="2",$S$15&lt;&gt;$S$14),VLOOKUP(CONCATENATE(LEFT($S24,2),"L"),$R$63:$T$91,3,FALSE),0)+IF(AND($S24="O3/CP",$S$14=B$18),VLOOKUP("O3",$R$63:$T$91,3,FALSE)+VLOOKUP("CP",$R$63:$T$91,3,FALSE),0)+IF(AND($T24&lt;&gt;"",$T24&lt;&gt;"--",$T24&lt;&gt;"O3/CP",$T$14=B$18),IF(LEFT($T24,1)="P",VLOOKUP(CONCATENATE(LEFT($T24,2),"H"),$R$63:$T$91,3,FALSE),VLOOKUP($T24,$R$63:$T$91,3,FALSE)))+IF(AND($T24&lt;&gt;"",$T24&lt;&gt;"O3/CP",$T$15=B$18,MID($T24,4,1)="2",$T$15&lt;&gt;$T$14),VLOOKUP(CONCATENATE(LEFT($T24,2),"L"),$R$63:$T$91,3,FALSE),0)+IF(AND($T24="O3/CP",$T$14=B$18),VLOOKUP("O3",$R$63:$T$91,3,FALSE)+VLOOKUP("CP",$R$63:$T$91,3,FALSE),0)+IF(AND($U24&lt;&gt;"",$U24&lt;&gt;"--",$U24&lt;&gt;"O3/CP",$U$14=B$18),IF(LEFT($U24,1)="P",VLOOKUP(CONCATENATE(LEFT($U24,2),"H"),$R$63:$T$91,3,FALSE),VLOOKUP($U24,$R$63:$T$91,3,FALSE)))+IF(AND($U24&lt;&gt;"",$U24&lt;&gt;"O3/CP",$U$15=B$18,MID($U24,4,1)="2",$U$15&lt;&gt;$U$14),VLOOKUP(CONCATENATE(LEFT($U24,2),"L"),$R$63:$T$91,3,FALSE),0)+IF(AND($U24="O3/CP",$T$14=B$18),VLOOKUP("O3",$R$63:$T$91,3,FALSE)+VLOOKUP("CP",$R$63:$T$91,3,FALSE),0)+IF(AND($V24&lt;&gt;"",$V24&lt;&gt;"--",$V24&lt;&gt;"O3/CP",$V$14=B$18),IF(LEFT($V24,1)="P",VLOOKUP(CONCATENATE(LEFT($V24,2),"H"),$R$63:$T$91,3,FALSE),VLOOKUP($V24,$R$63:$T$91,3,FALSE)))+IF(AND($V24&lt;&gt;"",$V24&lt;&gt;"O3/CP",$V$15=B$18,MID($V24,4,1)="2",$V$15&lt;&gt;$V$14),VLOOKUP(CONCATENATE(LEFT($V24,2),"L"),$R$63:$T$91,3,FALSE),0)+IF(AND($V24="O3/CP",$V$14=B$18),VLOOKUP("O3",$R$63:$T$91,3,FALSE)+VLOOKUP("CP",$R$63:$T$91,3,FALSE),0)+IF(AND($W24&lt;&gt;"",$W24&lt;&gt;"--",$W24&lt;&gt;"O3/CP",$W$14=B$18),IF(LEFT($W24,1)="P",VLOOKUP(CONCATENATE(LEFT($W24,2),"H"),$R$63:$T$91,3,FALSE),VLOOKUP($W24,$R$63:$T$91,3,FALSE)))+IF(AND($W24&lt;&gt;"",$W24&lt;&gt;"O3/CP",$W$15=B$18,MID($W24,4,1)="2",$W$15&lt;&gt;$W$14),VLOOKUP(CONCATENATE(LEFT($W24,2),"L"),$R$63:$T$91,3,FALSE),0)+IF(AND($W24="O3/CP",$W$14=B$18),VLOOKUP("O3",$R$63:$T$91,3,FALSE)+VLOOKUP("CP",$R$63:$T$91,3,FALSE),0)+IF(AND($X24&lt;&gt;"",$X24&lt;&gt;"--",$X24&lt;&gt;"O3/CP",$X$14=B$18),IF(LEFT($X24,1)="P",VLOOKUP(CONCATENATE(LEFT($X24,2),"H"),$R$63:$T$91,3,FALSE),VLOOKUP($X24,$R$63:$T$91,3,FALSE)))+IF(AND($X24&lt;&gt;"",$X24&lt;&gt;"O3/CP",$X$15=B$18,MID($X24,4,1)="2",$X$15&lt;&gt;$X$14),VLOOKUP(CONCATENATE(LEFT($X24,2),"L"),$R$63:$T$91,3,FALSE),0)+IF(AND($X24="O3/CP",$X$14=B$18),VLOOKUP("O3",$R$63:$T$91,3,FALSE)+VLOOKUP("CP",$R$63:$T$91,3,FALSE),0)+IF(AND($Y24&lt;&gt;"",$Y24&lt;&gt;"--",$Y24&lt;&gt;"O3/CP",$Y$14=B$18),IF(LEFT($Y24,1)="P",VLOOKUP(CONCATENATE(LEFT($Y24,2),"H"),$R$63:$T$91,3,FALSE),VLOOKUP($Y24,$R$63:$T$91,3,FALSE)))+IF(AND($Y24&lt;&gt;"",$Y24&lt;&gt;"O3/CP",$Y$15=B$18,MID($Y24,4,1)="2",$Y$15&lt;&gt;$Y$14),VLOOKUP(CONCATENATE(LEFT($Y24,2),"L"),$R$63:$T$91,3,FALSE),0)+IF(AND($Y24="O3/CP",$Y$14=B$18),VLOOKUP("O3",$R$63:$T$91,3,FALSE)+VLOOKUP("CP",$R$63:$T$91,3,FALSE),0)+IF(AND($K$6="CE",'[3]Supply Attribution'!$G$20=B$18),LEFT($S$90,2),0)+IF(AND($X$86&lt;&gt;"Not Set",$X$87=B$18),$X$86,0)</f>
        <v>0</v>
      </c>
      <c r="C24" s="269">
        <f>IF(AND($K24&lt;&gt;"",$K24&lt;&gt;"--",$K24&lt;&gt;"O3/CP",$K$14=C$18),IF(LEFT($K24,1)="P",VLOOKUP(CONCATENATE(LEFT($K24,2),"H"),$R$63:$T$91,3,FALSE),VLOOKUP($K24,$R$63:$T$91,3,FALSE)))+IF(AND($K24&lt;&gt;"",$K24&lt;&gt;"O3/CP",$K$15=C$18,MID($K24,4,1)="2",$K$15&lt;&gt;$K$14),VLOOKUP(CONCATENATE(LEFT($K24,2),"L"),$R$63:$T$91,3,FALSE),0)+IF(AND($K24="O3/CP",$K$14=C$18),VLOOKUP("O3",$R$63:$T$91,3,FALSE)+VLOOKUP("CP",$R$63:$T$91,3,FALSE),0)+IF(AND($L24&lt;&gt;"",$L24&lt;&gt;"--",$L24&lt;&gt;"O3/CP",$L$14=C$18),IF(LEFT($L24,1)="P",VLOOKUP(CONCATENATE(LEFT($L24,2),"H"),$R$63:$T$91,3,FALSE),VLOOKUP($L24,$R$63:$T$91,3,FALSE)))+IF(AND($L24&lt;&gt;"",$L24&lt;&gt;"O3/CP",$L$15=C$18,MID($L24,4,1)="2",$L$15&lt;&gt;$L$14),VLOOKUP(CONCATENATE(LEFT($L24,2),"L"),$R$63:$T$91,3,FALSE),0)+IF(AND($L24="O3/CP",$L$14=C$18),VLOOKUP("O3",$R$63:$T$91,3,FALSE)+VLOOKUP("CP",$R$63:$T$91,3,FALSE),0)+IF(AND($M24&lt;&gt;"",$M24&lt;&gt;"--",$M24&lt;&gt;"O3/CP",$M$14=C$18),IF(LEFT($M24,1)="P",VLOOKUP(CONCATENATE(LEFT($M24,2),"H"),$R$63:$T$91,3,FALSE),VLOOKUP($M24,$R$63:$T$91,3,FALSE)))+IF(AND($M24&lt;&gt;"",$M24&lt;&gt;"O3/CP",$M$15=C$18,MID($M24,4,1)="2",$M$15&lt;&gt;$M$14),VLOOKUP(CONCATENATE(LEFT($M24,2),"L"),$R$63:$T$91,3,FALSE),0)+IF(AND($M24="O3/CP",$M$14=C$18),VLOOKUP("O3",$R$63:$T$91,3,FALSE)+VLOOKUP("CP",$R$63:$T$91,3,FALSE),0)+IF(AND($N24&lt;&gt;"",$N24&lt;&gt;"--",$N24&lt;&gt;"O3/CP",$N$14=C$18),IF(LEFT($N24,1)="P",VLOOKUP(CONCATENATE(LEFT($N24,2),"H"),$R$63:$T$91,3,FALSE),VLOOKUP($N24,$R$63:$T$91,3,FALSE)))+IF(AND($N24&lt;&gt;"",$N24&lt;&gt;"O3/CP",$N$15=C$18,MID($N24,4,1)="2",$N$15&lt;&gt;$N$14),VLOOKUP(CONCATENATE(LEFT($N24,2),"L"),$R$63:$T$91,3,FALSE),0)+IF(AND($N24="O3/CP",$N$14=C$18),VLOOKUP("O3",$R$63:$T$91,3,FALSE)+VLOOKUP("CP",$R$63:$T$91,3,FALSE),0)+IF(AND($O24&lt;&gt;"",$O24&lt;&gt;"--",$O24&lt;&gt;"O3/CP",$O$14=C$18),IF(LEFT($O24,1)="P",VLOOKUP(CONCATENATE(LEFT($O24,2),"H"),$R$63:$T$91,3,FALSE),VLOOKUP($O24,$R$63:$T$91,3,FALSE)))+IF(AND($O24&lt;&gt;"",$O24&lt;&gt;"O3/CP",$O$15=C$18,MID($O24,4,1)="2",$O$15&lt;&gt;$O$14),VLOOKUP(CONCATENATE(LEFT($O24,2),"L"),$R$63:$T$91,3,FALSE),0)+IF(AND($O24="O3/CP",$O$14=C$18),VLOOKUP("O3",$R$63:$T$91,3,FALSE)+VLOOKUP("CP",$R$63:$T$91,3,FALSE),0)+IF(AND($P24&lt;&gt;"",$P24&lt;&gt;"--",$P24&lt;&gt;"O3/CP",$P$14=C$18),IF(LEFT($P24,1)="P",VLOOKUP(CONCATENATE(LEFT($P24,2),"H"),$R$63:$T$91,3,FALSE),VLOOKUP($P24,$R$63:$T$91,3,FALSE)))+IF(AND($P24&lt;&gt;"",$P24&lt;&gt;"O3/CP",$P$15=C$18,MID($P24,4,1)="2",$P$15&lt;&gt;$P$14),VLOOKUP(CONCATENATE(LEFT($P24,2),"L"),$R$63:$T$91,3,FALSE),0)+IF(AND($P24="O3/CP",$P$14=C$18),VLOOKUP("O3",$R$63:$T$91,3,FALSE)+VLOOKUP("CP",$R$63:$T$91,3,FALSE),0)+IF(AND($Q24&lt;&gt;"",$Q24&lt;&gt;"--",$Q24&lt;&gt;"O3/CP",$Q$14=C$18),IF(LEFT($Q24,1)="P",VLOOKUP(CONCATENATE(LEFT($Q24,2),"H"),$R$63:$T$91,3,FALSE),VLOOKUP($Q24,$R$63:$T$91,3,FALSE)))+IF(AND($Q24&lt;&gt;"",$Q24&lt;&gt;"O3/CP",$Q$15=C$18,MID($Q24,4,1)="2",$Q$15&lt;&gt;$Q$14),VLOOKUP(CONCATENATE(LEFT($Q24,2),"L"),$R$63:$T$91,3,FALSE),0)+IF(AND($Q24="O3/CP",$Q$14=C$18),VLOOKUP("O3",$R$63:$T$91,3,FALSE)+VLOOKUP("CP",$R$63:$T$91,3,FALSE),0)+IF(AND($R24&lt;&gt;"",$R24&lt;&gt;"--",$R24&lt;&gt;"O3/CP",$R$14=C$18),IF(LEFT($R24,1)="P",VLOOKUP(CONCATENATE(LEFT($R24,2),"H"),$R$63:$T$91,3,FALSE),VLOOKUP($R24,$R$63:$T$91,3,FALSE)))+IF(AND($R24&lt;&gt;"",$R24&lt;&gt;"O3/CP",$R$15=C$18,MID($R24,4,1)="2",$R$15&lt;&gt;$R$14),VLOOKUP(CONCATENATE(LEFT($R24,2),"L"),$R$63:$T$91,3,FALSE),0)+IF(AND($R24="O3/CP",$R$14=C$18),VLOOKUP("O3",$R$63:$T$91,3,FALSE)+VLOOKUP("CP",$R$63:$T$91,3,FALSE),0)+IF(AND($S24&lt;&gt;"",$S24&lt;&gt;"--",$S24&lt;&gt;"O3/CP",$S$14=C$18),IF(LEFT($S24,1)="P",VLOOKUP(CONCATENATE(LEFT($S24,2),"H"),$R$63:$T$91,3,FALSE),VLOOKUP($S24,$R$63:$T$91,3,FALSE)))+IF(AND($S24&lt;&gt;"",$S24&lt;&gt;"O3/CP",$S$15=C$18,MID($S24,4,1)="2",$S$15&lt;&gt;$S$14),VLOOKUP(CONCATENATE(LEFT($S24,2),"L"),$R$63:$T$91,3,FALSE),0)+IF(AND($S24="O3/CP",$S$14=C$18),VLOOKUP("O3",$R$63:$T$91,3,FALSE)+VLOOKUP("CP",$R$63:$T$91,3,FALSE),0)+IF(AND($T24&lt;&gt;"",$T24&lt;&gt;"--",$T24&lt;&gt;"O3/CP",$T$14=C$18),IF(LEFT($T24,1)="P",VLOOKUP(CONCATENATE(LEFT($T24,2),"H"),$R$63:$T$91,3,FALSE),VLOOKUP($T24,$R$63:$T$91,3,FALSE)))+IF(AND($T24&lt;&gt;"",$T24&lt;&gt;"O3/CP",$T$15=C$18,MID($T24,4,1)="2",$T$15&lt;&gt;$T$14),VLOOKUP(CONCATENATE(LEFT($T24,2),"L"),$R$63:$T$91,3,FALSE),0)+IF(AND($T24="O3/CP",$T$14=C$18),VLOOKUP("O3",$R$63:$T$91,3,FALSE)+VLOOKUP("CP",$R$63:$T$91,3,FALSE),0)+IF(AND($U24&lt;&gt;"",$U24&lt;&gt;"--",$U24&lt;&gt;"O3/CP",$U$14=C$18),IF(LEFT($U24,1)="P",VLOOKUP(CONCATENATE(LEFT($U24,2),"H"),$R$63:$T$91,3,FALSE),VLOOKUP($U24,$R$63:$T$91,3,FALSE)))+IF(AND($U24&lt;&gt;"",$U24&lt;&gt;"O3/CP",$U$15=C$18,MID($U24,4,1)="2",$U$15&lt;&gt;$U$14),VLOOKUP(CONCATENATE(LEFT($U24,2),"L"),$R$63:$T$91,3,FALSE),0)+IF(AND($U24="O3/CP",$T$14=C$18),VLOOKUP("O3",$R$63:$T$91,3,FALSE)+VLOOKUP("CP",$R$63:$T$91,3,FALSE),0)+IF(AND($V24&lt;&gt;"",$V24&lt;&gt;"--",$V24&lt;&gt;"O3/CP",$V$14=C$18),IF(LEFT($V24,1)="P",VLOOKUP(CONCATENATE(LEFT($V24,2),"H"),$R$63:$T$91,3,FALSE),VLOOKUP($V24,$R$63:$T$91,3,FALSE)))+IF(AND($V24&lt;&gt;"",$V24&lt;&gt;"O3/CP",$V$15=C$18,MID($V24,4,1)="2",$V$15&lt;&gt;$V$14),VLOOKUP(CONCATENATE(LEFT($V24,2),"L"),$R$63:$T$91,3,FALSE),0)+IF(AND($V24="O3/CP",$V$14=C$18),VLOOKUP("O3",$R$63:$T$91,3,FALSE)+VLOOKUP("CP",$R$63:$T$91,3,FALSE),0)+IF(AND($W24&lt;&gt;"",$W24&lt;&gt;"--",$W24&lt;&gt;"O3/CP",$W$14=C$18),IF(LEFT($W24,1)="P",VLOOKUP(CONCATENATE(LEFT($W24,2),"H"),$R$63:$T$91,3,FALSE),VLOOKUP($W24,$R$63:$T$91,3,FALSE)))+IF(AND($W24&lt;&gt;"",$W24&lt;&gt;"O3/CP",$W$15=C$18,MID($W24,4,1)="2",$W$15&lt;&gt;$W$14),VLOOKUP(CONCATENATE(LEFT($W24,2),"L"),$R$63:$T$91,3,FALSE),0)+IF(AND($W24="O3/CP",$W$14=C$18),VLOOKUP("O3",$R$63:$T$91,3,FALSE)+VLOOKUP("CP",$R$63:$T$91,3,FALSE),0)+IF(AND($X24&lt;&gt;"",$X24&lt;&gt;"--",$X24&lt;&gt;"O3/CP",$X$14=C$18),IF(LEFT($X24,1)="P",VLOOKUP(CONCATENATE(LEFT($X24,2),"H"),$R$63:$T$91,3,FALSE),VLOOKUP($X24,$R$63:$T$91,3,FALSE)))+IF(AND($X24&lt;&gt;"",$X24&lt;&gt;"O3/CP",$X$15=C$18,MID($X24,4,1)="2",$X$15&lt;&gt;$X$14),VLOOKUP(CONCATENATE(LEFT($X24,2),"L"),$R$63:$T$91,3,FALSE),0)+IF(AND($X24="O3/CP",$X$14=C$18),VLOOKUP("O3",$R$63:$T$91,3,FALSE)+VLOOKUP("CP",$R$63:$T$91,3,FALSE),0)+IF(AND($Y24&lt;&gt;"",$Y24&lt;&gt;"--",$Y24&lt;&gt;"O3/CP",$Y$14=C$18),IF(LEFT($Y24,1)="P",VLOOKUP(CONCATENATE(LEFT($Y24,2),"H"),$R$63:$T$91,3,FALSE),VLOOKUP($Y24,$R$63:$T$91,3,FALSE)))+IF(AND($Y24&lt;&gt;"",$Y24&lt;&gt;"O3/CP",$Y$15=C$18,MID($Y24,4,1)="2",$Y$15&lt;&gt;$Y$14),VLOOKUP(CONCATENATE(LEFT($Y24,2),"L"),$R$63:$T$91,3,FALSE),0)+IF(AND($Y24="O3/CP",$Y$14=C$18),VLOOKUP("O3",$R$63:$T$91,3,FALSE)+VLOOKUP("CP",$R$63:$T$91,3,FALSE),0)+IF(AND($K$6="CE",'[3]Supply Attribution'!$G$20=C$18),LEFT($S$90,2),0)+IF(AND($X$86&lt;&gt;"Not Set",$X$87=C$18),$X$86,0)</f>
        <v>0</v>
      </c>
      <c r="D24" s="269">
        <f>IF(AND($K24&lt;&gt;"",$K24&lt;&gt;"--",$K24&lt;&gt;"O3/CP",$K$14=D$18),IF(LEFT($K24,1)="P",VLOOKUP(CONCATENATE(LEFT($K24,2),"H"),$R$63:$T$91,3,FALSE),VLOOKUP($K24,$R$63:$T$91,3,FALSE)))+IF(AND($K24&lt;&gt;"",$K24&lt;&gt;"O3/CP",$K$15=D$18,MID($K24,4,1)="2",$K$15&lt;&gt;$K$14),VLOOKUP(CONCATENATE(LEFT($K24,2),"L"),$R$63:$T$91,3,FALSE),0)+IF(AND($K24="O3/CP",$K$14=D$18),VLOOKUP("O3",$R$63:$T$91,3,FALSE)+VLOOKUP("CP",$R$63:$T$91,3,FALSE),0)+IF(AND($L24&lt;&gt;"",$L24&lt;&gt;"--",$L24&lt;&gt;"O3/CP",$L$14=D$18),IF(LEFT($L24,1)="P",VLOOKUP(CONCATENATE(LEFT($L24,2),"H"),$R$63:$T$91,3,FALSE),VLOOKUP($L24,$R$63:$T$91,3,FALSE)))+IF(AND($L24&lt;&gt;"",$L24&lt;&gt;"O3/CP",$L$15=D$18,MID($L24,4,1)="2",$L$15&lt;&gt;$L$14),VLOOKUP(CONCATENATE(LEFT($L24,2),"L"),$R$63:$T$91,3,FALSE),0)+IF(AND($L24="O3/CP",$L$14=D$18),VLOOKUP("O3",$R$63:$T$91,3,FALSE)+VLOOKUP("CP",$R$63:$T$91,3,FALSE),0)+IF(AND($M24&lt;&gt;"",$M24&lt;&gt;"--",$M24&lt;&gt;"O3/CP",$M$14=D$18),IF(LEFT($M24,1)="P",VLOOKUP(CONCATENATE(LEFT($M24,2),"H"),$R$63:$T$91,3,FALSE),VLOOKUP($M24,$R$63:$T$91,3,FALSE)))+IF(AND($M24&lt;&gt;"",$M24&lt;&gt;"O3/CP",$M$15=D$18,MID($M24,4,1)="2",$M$15&lt;&gt;$M$14),VLOOKUP(CONCATENATE(LEFT($M24,2),"L"),$R$63:$T$91,3,FALSE),0)+IF(AND($M24="O3/CP",$M$14=D$18),VLOOKUP("O3",$R$63:$T$91,3,FALSE)+VLOOKUP("CP",$R$63:$T$91,3,FALSE),0)+IF(AND($N24&lt;&gt;"",$N24&lt;&gt;"--",$N24&lt;&gt;"O3/CP",$N$14=D$18),IF(LEFT($N24,1)="P",VLOOKUP(CONCATENATE(LEFT($N24,2),"H"),$R$63:$T$91,3,FALSE),VLOOKUP($N24,$R$63:$T$91,3,FALSE)))+IF(AND($N24&lt;&gt;"",$N24&lt;&gt;"O3/CP",$N$15=D$18,MID($N24,4,1)="2",$N$15&lt;&gt;$N$14),VLOOKUP(CONCATENATE(LEFT($N24,2),"L"),$R$63:$T$91,3,FALSE),0)+IF(AND($N24="O3/CP",$N$14=D$18),VLOOKUP("O3",$R$63:$T$91,3,FALSE)+VLOOKUP("CP",$R$63:$T$91,3,FALSE),0)+IF(AND($O24&lt;&gt;"",$O24&lt;&gt;"--",$O24&lt;&gt;"O3/CP",$O$14=D$18),IF(LEFT($O24,1)="P",VLOOKUP(CONCATENATE(LEFT($O24,2),"H"),$R$63:$T$91,3,FALSE),VLOOKUP($O24,$R$63:$T$91,3,FALSE)))+IF(AND($O24&lt;&gt;"",$O24&lt;&gt;"O3/CP",$O$15=D$18,MID($O24,4,1)="2",$O$15&lt;&gt;$O$14),VLOOKUP(CONCATENATE(LEFT($O24,2),"L"),$R$63:$T$91,3,FALSE),0)+IF(AND($O24="O3/CP",$O$14=D$18),VLOOKUP("O3",$R$63:$T$91,3,FALSE)+VLOOKUP("CP",$R$63:$T$91,3,FALSE),0)+IF(AND($P24&lt;&gt;"",$P24&lt;&gt;"--",$P24&lt;&gt;"O3/CP",$P$14=D$18),IF(LEFT($P24,1)="P",VLOOKUP(CONCATENATE(LEFT($P24,2),"H"),$R$63:$T$91,3,FALSE),VLOOKUP($P24,$R$63:$T$91,3,FALSE)))+IF(AND($P24&lt;&gt;"",$P24&lt;&gt;"O3/CP",$P$15=D$18,MID($P24,4,1)="2",$P$15&lt;&gt;$P$14),VLOOKUP(CONCATENATE(LEFT($P24,2),"L"),$R$63:$T$91,3,FALSE),0)+IF(AND($P24="O3/CP",$P$14=D$18),VLOOKUP("O3",$R$63:$T$91,3,FALSE)+VLOOKUP("CP",$R$63:$T$91,3,FALSE),0)+IF(AND($Q24&lt;&gt;"",$Q24&lt;&gt;"--",$Q24&lt;&gt;"O3/CP",$Q$14=D$18),IF(LEFT($Q24,1)="P",VLOOKUP(CONCATENATE(LEFT($Q24,2),"H"),$R$63:$T$91,3,FALSE),VLOOKUP($Q24,$R$63:$T$91,3,FALSE)))+IF(AND($Q24&lt;&gt;"",$Q24&lt;&gt;"O3/CP",$Q$15=D$18,MID($Q24,4,1)="2",$Q$15&lt;&gt;$Q$14),VLOOKUP(CONCATENATE(LEFT($Q24,2),"L"),$R$63:$T$91,3,FALSE),0)+IF(AND($Q24="O3/CP",$Q$14=D$18),VLOOKUP("O3",$R$63:$T$91,3,FALSE)+VLOOKUP("CP",$R$63:$T$91,3,FALSE),0)+IF(AND($R24&lt;&gt;"",$R24&lt;&gt;"--",$R24&lt;&gt;"O3/CP",$R$14=D$18),IF(LEFT($R24,1)="P",VLOOKUP(CONCATENATE(LEFT($R24,2),"H"),$R$63:$T$91,3,FALSE),VLOOKUP($R24,$R$63:$T$91,3,FALSE)))+IF(AND($R24&lt;&gt;"",$R24&lt;&gt;"O3/CP",$R$15=D$18,MID($R24,4,1)="2",$R$15&lt;&gt;$R$14),VLOOKUP(CONCATENATE(LEFT($R24,2),"L"),$R$63:$T$91,3,FALSE),0)+IF(AND($R24="O3/CP",$R$14=D$18),VLOOKUP("O3",$R$63:$T$91,3,FALSE)+VLOOKUP("CP",$R$63:$T$91,3,FALSE),0)+IF(AND($S24&lt;&gt;"",$S24&lt;&gt;"--",$S24&lt;&gt;"O3/CP",$S$14=D$18),IF(LEFT($S24,1)="P",VLOOKUP(CONCATENATE(LEFT($S24,2),"H"),$R$63:$T$91,3,FALSE),VLOOKUP($S24,$R$63:$T$91,3,FALSE)))+IF(AND($S24&lt;&gt;"",$S24&lt;&gt;"O3/CP",$S$15=D$18,MID($S24,4,1)="2",$S$15&lt;&gt;$S$14),VLOOKUP(CONCATENATE(LEFT($S24,2),"L"),$R$63:$T$91,3,FALSE),0)+IF(AND($S24="O3/CP",$S$14=D$18),VLOOKUP("O3",$R$63:$T$91,3,FALSE)+VLOOKUP("CP",$R$63:$T$91,3,FALSE),0)+IF(AND($T24&lt;&gt;"",$T24&lt;&gt;"--",$T24&lt;&gt;"O3/CP",$T$14=D$18),IF(LEFT($T24,1)="P",VLOOKUP(CONCATENATE(LEFT($T24,2),"H"),$R$63:$T$91,3,FALSE),VLOOKUP($T24,$R$63:$T$91,3,FALSE)))+IF(AND($T24&lt;&gt;"",$T24&lt;&gt;"O3/CP",$T$15=D$18,MID($T24,4,1)="2",$T$15&lt;&gt;$T$14),VLOOKUP(CONCATENATE(LEFT($T24,2),"L"),$R$63:$T$91,3,FALSE),0)+IF(AND($T24="O3/CP",$T$14=D$18),VLOOKUP("O3",$R$63:$T$91,3,FALSE)+VLOOKUP("CP",$R$63:$T$91,3,FALSE),0)+IF(AND($U24&lt;&gt;"",$U24&lt;&gt;"--",$U24&lt;&gt;"O3/CP",$U$14=D$18),IF(LEFT($U24,1)="P",VLOOKUP(CONCATENATE(LEFT($U24,2),"H"),$R$63:$T$91,3,FALSE),VLOOKUP($U24,$R$63:$T$91,3,FALSE)))+IF(AND($U24&lt;&gt;"",$U24&lt;&gt;"O3/CP",$U$15=D$18,MID($U24,4,1)="2",$U$15&lt;&gt;$U$14),VLOOKUP(CONCATENATE(LEFT($U24,2),"L"),$R$63:$T$91,3,FALSE),0)+IF(AND($U24="O3/CP",$T$14=D$18),VLOOKUP("O3",$R$63:$T$91,3,FALSE)+VLOOKUP("CP",$R$63:$T$91,3,FALSE),0)+IF(AND($V24&lt;&gt;"",$V24&lt;&gt;"--",$V24&lt;&gt;"O3/CP",$V$14=D$18),IF(LEFT($V24,1)="P",VLOOKUP(CONCATENATE(LEFT($V24,2),"H"),$R$63:$T$91,3,FALSE),VLOOKUP($V24,$R$63:$T$91,3,FALSE)))+IF(AND($V24&lt;&gt;"",$V24&lt;&gt;"O3/CP",$V$15=D$18,MID($V24,4,1)="2",$V$15&lt;&gt;$V$14),VLOOKUP(CONCATENATE(LEFT($V24,2),"L"),$R$63:$T$91,3,FALSE),0)+IF(AND($V24="O3/CP",$V$14=D$18),VLOOKUP("O3",$R$63:$T$91,3,FALSE)+VLOOKUP("CP",$R$63:$T$91,3,FALSE),0)+IF(AND($W24&lt;&gt;"",$W24&lt;&gt;"--",$W24&lt;&gt;"O3/CP",$W$14=D$18),IF(LEFT($W24,1)="P",VLOOKUP(CONCATENATE(LEFT($W24,2),"H"),$R$63:$T$91,3,FALSE),VLOOKUP($W24,$R$63:$T$91,3,FALSE)))+IF(AND($W24&lt;&gt;"",$W24&lt;&gt;"O3/CP",$W$15=D$18,MID($W24,4,1)="2",$W$15&lt;&gt;$W$14),VLOOKUP(CONCATENATE(LEFT($W24,2),"L"),$R$63:$T$91,3,FALSE),0)+IF(AND($W24="O3/CP",$W$14=D$18),VLOOKUP("O3",$R$63:$T$91,3,FALSE)+VLOOKUP("CP",$R$63:$T$91,3,FALSE),0)+IF(AND($X24&lt;&gt;"",$X24&lt;&gt;"--",$X24&lt;&gt;"O3/CP",$X$14=D$18),IF(LEFT($X24,1)="P",VLOOKUP(CONCATENATE(LEFT($X24,2),"H"),$R$63:$T$91,3,FALSE),VLOOKUP($X24,$R$63:$T$91,3,FALSE)))+IF(AND($X24&lt;&gt;"",$X24&lt;&gt;"O3/CP",$X$15=D$18,MID($X24,4,1)="2",$X$15&lt;&gt;$X$14),VLOOKUP(CONCATENATE(LEFT($X24,2),"L"),$R$63:$T$91,3,FALSE),0)+IF(AND($X24="O3/CP",$X$14=D$18),VLOOKUP("O3",$R$63:$T$91,3,FALSE)+VLOOKUP("CP",$R$63:$T$91,3,FALSE),0)+IF(AND($Y24&lt;&gt;"",$Y24&lt;&gt;"--",$Y24&lt;&gt;"O3/CP",$Y$14=D$18),IF(LEFT($Y24,1)="P",VLOOKUP(CONCATENATE(LEFT($Y24,2),"H"),$R$63:$T$91,3,FALSE),VLOOKUP($Y24,$R$63:$T$91,3,FALSE)))+IF(AND($Y24&lt;&gt;"",$Y24&lt;&gt;"O3/CP",$Y$15=D$18,MID($Y24,4,1)="2",$Y$15&lt;&gt;$Y$14),VLOOKUP(CONCATENATE(LEFT($Y24,2),"L"),$R$63:$T$91,3,FALSE),0)+IF(AND($Y24="O3/CP",$Y$14=D$18),VLOOKUP("O3",$R$63:$T$91,3,FALSE)+VLOOKUP("CP",$R$63:$T$91,3,FALSE),0)+IF(AND($K$6="CE",'[3]Supply Attribution'!$G$20=D$18),LEFT($S$90,2),0)+IF(AND($X$86&lt;&gt;"Not Set",$X$87=D$18),$X$86,0)</f>
        <v>0</v>
      </c>
      <c r="E24" s="269">
        <f>IF(AND($K24&lt;&gt;"",$K24&lt;&gt;"--",$K24&lt;&gt;"O3/CP",$K$14=E$18),IF(LEFT($K24,1)="P",VLOOKUP(CONCATENATE(LEFT($K24,2),"H"),$R$63:$T$91,3,FALSE),VLOOKUP($K24,$R$63:$T$91,3,FALSE)))+IF(AND($K24&lt;&gt;"",$K24&lt;&gt;"O3/CP",$K$15=E$18,MID($K24,4,1)="2",$K$15&lt;&gt;$K$14),VLOOKUP(CONCATENATE(LEFT($K24,2),"L"),$R$63:$T$91,3,FALSE),0)+IF(AND($K24="O3/CP",$K$14=E$18),VLOOKUP("O3",$R$63:$T$91,3,FALSE)+VLOOKUP("CP",$R$63:$T$91,3,FALSE),0)+IF(AND($L24&lt;&gt;"",$L24&lt;&gt;"--",$L24&lt;&gt;"O3/CP",$L$14=E$18),IF(LEFT($L24,1)="P",VLOOKUP(CONCATENATE(LEFT($L24,2),"H"),$R$63:$T$91,3,FALSE),VLOOKUP($L24,$R$63:$T$91,3,FALSE)))+IF(AND($L24&lt;&gt;"",$L24&lt;&gt;"O3/CP",$L$15=E$18,MID($L24,4,1)="2",$L$15&lt;&gt;$L$14),VLOOKUP(CONCATENATE(LEFT($L24,2),"L"),$R$63:$T$91,3,FALSE),0)+IF(AND($L24="O3/CP",$L$14=E$18),VLOOKUP("O3",$R$63:$T$91,3,FALSE)+VLOOKUP("CP",$R$63:$T$91,3,FALSE),0)+IF(AND($M24&lt;&gt;"",$M24&lt;&gt;"--",$M24&lt;&gt;"O3/CP",$M$14=E$18),IF(LEFT($M24,1)="P",VLOOKUP(CONCATENATE(LEFT($M24,2),"H"),$R$63:$T$91,3,FALSE),VLOOKUP($M24,$R$63:$T$91,3,FALSE)))+IF(AND($M24&lt;&gt;"",$M24&lt;&gt;"O3/CP",$M$15=E$18,MID($M24,4,1)="2",$M$15&lt;&gt;$M$14),VLOOKUP(CONCATENATE(LEFT($M24,2),"L"),$R$63:$T$91,3,FALSE),0)+IF(AND($M24="O3/CP",$M$14=E$18),VLOOKUP("O3",$R$63:$T$91,3,FALSE)+VLOOKUP("CP",$R$63:$T$91,3,FALSE),0)+IF(AND($N24&lt;&gt;"",$N24&lt;&gt;"--",$N24&lt;&gt;"O3/CP",$N$14=E$18),IF(LEFT($N24,1)="P",VLOOKUP(CONCATENATE(LEFT($N24,2),"H"),$R$63:$T$91,3,FALSE),VLOOKUP($N24,$R$63:$T$91,3,FALSE)))+IF(AND($N24&lt;&gt;"",$N24&lt;&gt;"O3/CP",$N$15=E$18,MID($N24,4,1)="2",$N$15&lt;&gt;$N$14),VLOOKUP(CONCATENATE(LEFT($N24,2),"L"),$R$63:$T$91,3,FALSE),0)+IF(AND($N24="O3/CP",$N$14=E$18),VLOOKUP("O3",$R$63:$T$91,3,FALSE)+VLOOKUP("CP",$R$63:$T$91,3,FALSE),0)+IF(AND($O24&lt;&gt;"",$O24&lt;&gt;"--",$O24&lt;&gt;"O3/CP",$O$14=E$18),IF(LEFT($O24,1)="P",VLOOKUP(CONCATENATE(LEFT($O24,2),"H"),$R$63:$T$91,3,FALSE),VLOOKUP($O24,$R$63:$T$91,3,FALSE)))+IF(AND($O24&lt;&gt;"",$O24&lt;&gt;"O3/CP",$O$15=E$18,MID($O24,4,1)="2",$O$15&lt;&gt;$O$14),VLOOKUP(CONCATENATE(LEFT($O24,2),"L"),$R$63:$T$91,3,FALSE),0)+IF(AND($O24="O3/CP",$O$14=E$18),VLOOKUP("O3",$R$63:$T$91,3,FALSE)+VLOOKUP("CP",$R$63:$T$91,3,FALSE),0)+IF(AND($P24&lt;&gt;"",$P24&lt;&gt;"--",$P24&lt;&gt;"O3/CP",$P$14=E$18),IF(LEFT($P24,1)="P",VLOOKUP(CONCATENATE(LEFT($P24,2),"H"),$R$63:$T$91,3,FALSE),VLOOKUP($P24,$R$63:$T$91,3,FALSE)))+IF(AND($P24&lt;&gt;"",$P24&lt;&gt;"O3/CP",$P$15=E$18,MID($P24,4,1)="2",$P$15&lt;&gt;$P$14),VLOOKUP(CONCATENATE(LEFT($P24,2),"L"),$R$63:$T$91,3,FALSE),0)+IF(AND($P24="O3/CP",$P$14=E$18),VLOOKUP("O3",$R$63:$T$91,3,FALSE)+VLOOKUP("CP",$R$63:$T$91,3,FALSE),0)+IF(AND($Q24&lt;&gt;"",$Q24&lt;&gt;"--",$Q24&lt;&gt;"O3/CP",$Q$14=E$18),IF(LEFT($Q24,1)="P",VLOOKUP(CONCATENATE(LEFT($Q24,2),"H"),$R$63:$T$91,3,FALSE),VLOOKUP($Q24,$R$63:$T$91,3,FALSE)))+IF(AND($Q24&lt;&gt;"",$Q24&lt;&gt;"O3/CP",$Q$15=E$18,MID($Q24,4,1)="2",$Q$15&lt;&gt;$Q$14),VLOOKUP(CONCATENATE(LEFT($Q24,2),"L"),$R$63:$T$91,3,FALSE),0)+IF(AND($Q24="O3/CP",$Q$14=E$18),VLOOKUP("O3",$R$63:$T$91,3,FALSE)+VLOOKUP("CP",$R$63:$T$91,3,FALSE),0)+IF(AND($R24&lt;&gt;"",$R24&lt;&gt;"--",$R24&lt;&gt;"O3/CP",$R$14=E$18),IF(LEFT($R24,1)="P",VLOOKUP(CONCATENATE(LEFT($R24,2),"H"),$R$63:$T$91,3,FALSE),VLOOKUP($R24,$R$63:$T$91,3,FALSE)))+IF(AND($R24&lt;&gt;"",$R24&lt;&gt;"O3/CP",$R$15=E$18,MID($R24,4,1)="2",$R$15&lt;&gt;$R$14),VLOOKUP(CONCATENATE(LEFT($R24,2),"L"),$R$63:$T$91,3,FALSE),0)+IF(AND($R24="O3/CP",$R$14=E$18),VLOOKUP("O3",$R$63:$T$91,3,FALSE)+VLOOKUP("CP",$R$63:$T$91,3,FALSE),0)+IF(AND($S24&lt;&gt;"",$S24&lt;&gt;"--",$S24&lt;&gt;"O3/CP",$S$14=E$18),IF(LEFT($S24,1)="P",VLOOKUP(CONCATENATE(LEFT($S24,2),"H"),$R$63:$T$91,3,FALSE),VLOOKUP($S24,$R$63:$T$91,3,FALSE)))+IF(AND($S24&lt;&gt;"",$S24&lt;&gt;"O3/CP",$S$15=E$18,MID($S24,4,1)="2",$S$15&lt;&gt;$S$14),VLOOKUP(CONCATENATE(LEFT($S24,2),"L"),$R$63:$T$91,3,FALSE),0)+IF(AND($S24="O3/CP",$S$14=E$18),VLOOKUP("O3",$R$63:$T$91,3,FALSE)+VLOOKUP("CP",$R$63:$T$91,3,FALSE),0)+IF(AND($T24&lt;&gt;"",$T24&lt;&gt;"--",$T24&lt;&gt;"O3/CP",$T$14=E$18),IF(LEFT($T24,1)="P",VLOOKUP(CONCATENATE(LEFT($T24,2),"H"),$R$63:$T$91,3,FALSE),VLOOKUP($T24,$R$63:$T$91,3,FALSE)))+IF(AND($T24&lt;&gt;"",$T24&lt;&gt;"O3/CP",$T$15=E$18,MID($T24,4,1)="2",$T$15&lt;&gt;$T$14),VLOOKUP(CONCATENATE(LEFT($T24,2),"L"),$R$63:$T$91,3,FALSE),0)+IF(AND($T24="O3/CP",$T$14=E$18),VLOOKUP("O3",$R$63:$T$91,3,FALSE)+VLOOKUP("CP",$R$63:$T$91,3,FALSE),0)+IF(AND($U24&lt;&gt;"",$U24&lt;&gt;"--",$U24&lt;&gt;"O3/CP",$U$14=E$18),IF(LEFT($U24,1)="P",VLOOKUP(CONCATENATE(LEFT($U24,2),"H"),$R$63:$T$91,3,FALSE),VLOOKUP($U24,$R$63:$T$91,3,FALSE)))+IF(AND($U24&lt;&gt;"",$U24&lt;&gt;"O3/CP",$U$15=E$18,MID($U24,4,1)="2",$U$15&lt;&gt;$U$14),VLOOKUP(CONCATENATE(LEFT($U24,2),"L"),$R$63:$T$91,3,FALSE),0)+IF(AND($U24="O3/CP",$T$14=E$18),VLOOKUP("O3",$R$63:$T$91,3,FALSE)+VLOOKUP("CP",$R$63:$T$91,3,FALSE),0)+IF(AND($V24&lt;&gt;"",$V24&lt;&gt;"--",$V24&lt;&gt;"O3/CP",$V$14=E$18),IF(LEFT($V24,1)="P",VLOOKUP(CONCATENATE(LEFT($V24,2),"H"),$R$63:$T$91,3,FALSE),VLOOKUP($V24,$R$63:$T$91,3,FALSE)))+IF(AND($V24&lt;&gt;"",$V24&lt;&gt;"O3/CP",$V$15=E$18,MID($V24,4,1)="2",$V$15&lt;&gt;$V$14),VLOOKUP(CONCATENATE(LEFT($V24,2),"L"),$R$63:$T$91,3,FALSE),0)+IF(AND($V24="O3/CP",$V$14=E$18),VLOOKUP("O3",$R$63:$T$91,3,FALSE)+VLOOKUP("CP",$R$63:$T$91,3,FALSE),0)+IF(AND($W24&lt;&gt;"",$W24&lt;&gt;"--",$W24&lt;&gt;"O3/CP",$W$14=E$18),IF(LEFT($W24,1)="P",VLOOKUP(CONCATENATE(LEFT($W24,2),"H"),$R$63:$T$91,3,FALSE),VLOOKUP($W24,$R$63:$T$91,3,FALSE)))+IF(AND($W24&lt;&gt;"",$W24&lt;&gt;"O3/CP",$W$15=E$18,MID($W24,4,1)="2",$W$15&lt;&gt;$W$14),VLOOKUP(CONCATENATE(LEFT($W24,2),"L"),$R$63:$T$91,3,FALSE),0)+IF(AND($W24="O3/CP",$W$14=E$18),VLOOKUP("O3",$R$63:$T$91,3,FALSE)+VLOOKUP("CP",$R$63:$T$91,3,FALSE),0)+IF(AND($X24&lt;&gt;"",$X24&lt;&gt;"--",$X24&lt;&gt;"O3/CP",$X$14=E$18),IF(LEFT($X24,1)="P",VLOOKUP(CONCATENATE(LEFT($X24,2),"H"),$R$63:$T$91,3,FALSE),VLOOKUP($X24,$R$63:$T$91,3,FALSE)))+IF(AND($X24&lt;&gt;"",$X24&lt;&gt;"O3/CP",$X$15=E$18,MID($X24,4,1)="2",$X$15&lt;&gt;$X$14),VLOOKUP(CONCATENATE(LEFT($X24,2),"L"),$R$63:$T$91,3,FALSE),0)+IF(AND($X24="O3/CP",$X$14=E$18),VLOOKUP("O3",$R$63:$T$91,3,FALSE)+VLOOKUP("CP",$R$63:$T$91,3,FALSE),0)+IF(AND($Y24&lt;&gt;"",$Y24&lt;&gt;"--",$Y24&lt;&gt;"O3/CP",$Y$14=E$18),IF(LEFT($Y24,1)="P",VLOOKUP(CONCATENATE(LEFT($Y24,2),"H"),$R$63:$T$91,3,FALSE),VLOOKUP($Y24,$R$63:$T$91,3,FALSE)))+IF(AND($Y24&lt;&gt;"",$Y24&lt;&gt;"O3/CP",$Y$15=E$18,MID($Y24,4,1)="2",$Y$15&lt;&gt;$Y$14),VLOOKUP(CONCATENATE(LEFT($Y24,2),"L"),$R$63:$T$91,3,FALSE),0)+IF(AND($Y24="O3/CP",$Y$14=E$18),VLOOKUP("O3",$R$63:$T$91,3,FALSE)+VLOOKUP("CP",$R$63:$T$91,3,FALSE),0)+IF(AND($K$6="CE",'[3]Supply Attribution'!$G$20=E$18),LEFT($S$90,2),0)+IF(AND($X$86&lt;&gt;"Not Set",$X$87=E$18),$X$86,0)</f>
        <v>0</v>
      </c>
      <c r="F24" s="268">
        <f>IF(AND($K24&lt;&gt;"",$K24&lt;&gt;"--",$K24&lt;&gt;"O3/CP",$K$14=F$18),IF(LEFT($K24,1)="P",VLOOKUP(CONCATENATE(LEFT($K24,2),"H"),$R$63:$T$91,3,FALSE),VLOOKUP($K24,$R$63:$T$91,3,FALSE)))+IF(AND($K24&lt;&gt;"",$K24&lt;&gt;"O3/CP",$K$15=F$18,MID($K24,4,1)="2",$K$15&lt;&gt;$K$14),VLOOKUP(CONCATENATE(LEFT($K24,2),"L"),$R$63:$T$91,3,FALSE),0)+IF(AND($K24="O3/CP",$K$14=F$18),VLOOKUP("O3",$R$63:$T$91,3,FALSE)+VLOOKUP("CP",$R$63:$T$91,3,FALSE),0)+IF(AND($L24&lt;&gt;"",$L24&lt;&gt;"--",$L24&lt;&gt;"O3/CP",$L$14=F$18),IF(LEFT($L24,1)="P",VLOOKUP(CONCATENATE(LEFT($L24,2),"H"),$R$63:$T$91,3,FALSE),VLOOKUP($L24,$R$63:$T$91,3,FALSE)))+IF(AND($L24&lt;&gt;"",$L24&lt;&gt;"O3/CP",$L$15=F$18,MID($L24,4,1)="2",$L$15&lt;&gt;$L$14),VLOOKUP(CONCATENATE(LEFT($L24,2),"L"),$R$63:$T$91,3,FALSE),0)+IF(AND($L24="O3/CP",$L$14=F$18),VLOOKUP("O3",$R$63:$T$91,3,FALSE)+VLOOKUP("CP",$R$63:$T$91,3,FALSE),0)+IF(AND($M24&lt;&gt;"",$M24&lt;&gt;"--",$M24&lt;&gt;"O3/CP",$M$14=F$18),IF(LEFT($M24,1)="P",VLOOKUP(CONCATENATE(LEFT($M24,2),"H"),$R$63:$T$91,3,FALSE),VLOOKUP($M24,$R$63:$T$91,3,FALSE)))+IF(AND($M24&lt;&gt;"",$M24&lt;&gt;"O3/CP",$M$15=F$18,MID($M24,4,1)="2",$M$15&lt;&gt;$M$14),VLOOKUP(CONCATENATE(LEFT($M24,2),"L"),$R$63:$T$91,3,FALSE),0)+IF(AND($M24="O3/CP",$M$14=F$18),VLOOKUP("O3",$R$63:$T$91,3,FALSE)+VLOOKUP("CP",$R$63:$T$91,3,FALSE),0)+IF(AND($N24&lt;&gt;"",$N24&lt;&gt;"--",$N24&lt;&gt;"O3/CP",$N$14=F$18),IF(LEFT($N24,1)="P",VLOOKUP(CONCATENATE(LEFT($N24,2),"H"),$R$63:$T$91,3,FALSE),VLOOKUP($N24,$R$63:$T$91,3,FALSE)))+IF(AND($N24&lt;&gt;"",$N24&lt;&gt;"O3/CP",$N$15=F$18,MID($N24,4,1)="2",$N$15&lt;&gt;$N$14),VLOOKUP(CONCATENATE(LEFT($N24,2),"L"),$R$63:$T$91,3,FALSE),0)+IF(AND($N24="O3/CP",$N$14=F$18),VLOOKUP("O3",$R$63:$T$91,3,FALSE)+VLOOKUP("CP",$R$63:$T$91,3,FALSE),0)+IF(AND($O24&lt;&gt;"",$O24&lt;&gt;"--",$O24&lt;&gt;"O3/CP",$O$14=F$18),IF(LEFT($O24,1)="P",VLOOKUP(CONCATENATE(LEFT($O24,2),"H"),$R$63:$T$91,3,FALSE),VLOOKUP($O24,$R$63:$T$91,3,FALSE)))+IF(AND($O24&lt;&gt;"",$O24&lt;&gt;"O3/CP",$O$15=F$18,MID($O24,4,1)="2",$O$15&lt;&gt;$O$14),VLOOKUP(CONCATENATE(LEFT($O24,2),"L"),$R$63:$T$91,3,FALSE),0)+IF(AND($O24="O3/CP",$O$14=F$18),VLOOKUP("O3",$R$63:$T$91,3,FALSE)+VLOOKUP("CP",$R$63:$T$91,3,FALSE),0)+IF(AND($P24&lt;&gt;"",$P24&lt;&gt;"--",$P24&lt;&gt;"O3/CP",$P$14=F$18),IF(LEFT($P24,1)="P",VLOOKUP(CONCATENATE(LEFT($P24,2),"H"),$R$63:$T$91,3,FALSE),VLOOKUP($P24,$R$63:$T$91,3,FALSE)))+IF(AND($P24&lt;&gt;"",$P24&lt;&gt;"O3/CP",$P$15=F$18,MID($P24,4,1)="2",$P$15&lt;&gt;$P$14),VLOOKUP(CONCATENATE(LEFT($P24,2),"L"),$R$63:$T$91,3,FALSE),0)+IF(AND($P24="O3/CP",$P$14=F$18),VLOOKUP("O3",$R$63:$T$91,3,FALSE)+VLOOKUP("CP",$R$63:$T$91,3,FALSE),0)+IF(AND($Q24&lt;&gt;"",$Q24&lt;&gt;"--",$Q24&lt;&gt;"O3/CP",$Q$14=F$18),IF(LEFT($Q24,1)="P",VLOOKUP(CONCATENATE(LEFT($Q24,2),"H"),$R$63:$T$91,3,FALSE),VLOOKUP($Q24,$R$63:$T$91,3,FALSE)))+IF(AND($Q24&lt;&gt;"",$Q24&lt;&gt;"O3/CP",$Q$15=F$18,MID($Q24,4,1)="2",$Q$15&lt;&gt;$Q$14),VLOOKUP(CONCATENATE(LEFT($Q24,2),"L"),$R$63:$T$91,3,FALSE),0)+IF(AND($Q24="O3/CP",$Q$14=F$18),VLOOKUP("O3",$R$63:$T$91,3,FALSE)+VLOOKUP("CP",$R$63:$T$91,3,FALSE),0)+IF(AND($R24&lt;&gt;"",$R24&lt;&gt;"--",$R24&lt;&gt;"O3/CP",$R$14=F$18),IF(LEFT($R24,1)="P",VLOOKUP(CONCATENATE(LEFT($R24,2),"H"),$R$63:$T$91,3,FALSE),VLOOKUP($R24,$R$63:$T$91,3,FALSE)))+IF(AND($R24&lt;&gt;"",$R24&lt;&gt;"O3/CP",$R$15=F$18,MID($R24,4,1)="2",$R$15&lt;&gt;$R$14),VLOOKUP(CONCATENATE(LEFT($R24,2),"L"),$R$63:$T$91,3,FALSE),0)+IF(AND($R24="O3/CP",$R$14=F$18),VLOOKUP("O3",$R$63:$T$91,3,FALSE)+VLOOKUP("CP",$R$63:$T$91,3,FALSE),0)+IF(AND($S24&lt;&gt;"",$S24&lt;&gt;"--",$S24&lt;&gt;"O3/CP",$S$14=F$18),IF(LEFT($S24,1)="P",VLOOKUP(CONCATENATE(LEFT($S24,2),"H"),$R$63:$T$91,3,FALSE),VLOOKUP($S24,$R$63:$T$91,3,FALSE)))+IF(AND($S24&lt;&gt;"",$S24&lt;&gt;"O3/CP",$S$15=F$18,MID($S24,4,1)="2",$S$15&lt;&gt;$S$14),VLOOKUP(CONCATENATE(LEFT($S24,2),"L"),$R$63:$T$91,3,FALSE),0)+IF(AND($S24="O3/CP",$S$14=F$18),VLOOKUP("O3",$R$63:$T$91,3,FALSE)+VLOOKUP("CP",$R$63:$T$91,3,FALSE),0)+IF(AND($T24&lt;&gt;"",$T24&lt;&gt;"--",$T24&lt;&gt;"O3/CP",$T$14=F$18),IF(LEFT($T24,1)="P",VLOOKUP(CONCATENATE(LEFT($T24,2),"H"),$R$63:$T$91,3,FALSE),VLOOKUP($T24,$R$63:$T$91,3,FALSE)))+IF(AND($T24&lt;&gt;"",$T24&lt;&gt;"O3/CP",$T$15=F$18,MID($T24,4,1)="2",$T$15&lt;&gt;$T$14),VLOOKUP(CONCATENATE(LEFT($T24,2),"L"),$R$63:$T$91,3,FALSE),0)+IF(AND($T24="O3/CP",$T$14=F$18),VLOOKUP("O3",$R$63:$T$91,3,FALSE)+VLOOKUP("CP",$R$63:$T$91,3,FALSE),0)+IF(AND($U24&lt;&gt;"",$U24&lt;&gt;"--",$U24&lt;&gt;"O3/CP",$U$14=F$18),IF(LEFT($U24,1)="P",VLOOKUP(CONCATENATE(LEFT($U24,2),"H"),$R$63:$T$91,3,FALSE),VLOOKUP($U24,$R$63:$T$91,3,FALSE)))+IF(AND($U24&lt;&gt;"",$U24&lt;&gt;"O3/CP",$U$15=F$18,MID($U24,4,1)="2",$U$15&lt;&gt;$U$14),VLOOKUP(CONCATENATE(LEFT($U24,2),"L"),$R$63:$T$91,3,FALSE),0)+IF(AND($U24="O3/CP",$T$14=F$18),VLOOKUP("O3",$R$63:$T$91,3,FALSE)+VLOOKUP("CP",$R$63:$T$91,3,FALSE),0)+IF(AND($V24&lt;&gt;"",$V24&lt;&gt;"--",$V24&lt;&gt;"O3/CP",$V$14=F$18),IF(LEFT($V24,1)="P",VLOOKUP(CONCATENATE(LEFT($V24,2),"H"),$R$63:$T$91,3,FALSE),VLOOKUP($V24,$R$63:$T$91,3,FALSE)))+IF(AND($V24&lt;&gt;"",$V24&lt;&gt;"O3/CP",$V$15=F$18,MID($V24,4,1)="2",$V$15&lt;&gt;$V$14),VLOOKUP(CONCATENATE(LEFT($V24,2),"L"),$R$63:$T$91,3,FALSE),0)+IF(AND($V24="O3/CP",$V$14=F$18),VLOOKUP("O3",$R$63:$T$91,3,FALSE)+VLOOKUP("CP",$R$63:$T$91,3,FALSE),0)+IF(AND($W24&lt;&gt;"",$W24&lt;&gt;"--",$W24&lt;&gt;"O3/CP",$W$14=F$18),IF(LEFT($W24,1)="P",VLOOKUP(CONCATENATE(LEFT($W24,2),"H"),$R$63:$T$91,3,FALSE),VLOOKUP($W24,$R$63:$T$91,3,FALSE)))+IF(AND($W24&lt;&gt;"",$W24&lt;&gt;"O3/CP",$W$15=F$18,MID($W24,4,1)="2",$W$15&lt;&gt;$W$14),VLOOKUP(CONCATENATE(LEFT($W24,2),"L"),$R$63:$T$91,3,FALSE),0)+IF(AND($W24="O3/CP",$W$14=F$18),VLOOKUP("O3",$R$63:$T$91,3,FALSE)+VLOOKUP("CP",$R$63:$T$91,3,FALSE),0)+IF(AND($X24&lt;&gt;"",$X24&lt;&gt;"--",$X24&lt;&gt;"O3/CP",$X$14=F$18),IF(LEFT($X24,1)="P",VLOOKUP(CONCATENATE(LEFT($X24,2),"H"),$R$63:$T$91,3,FALSE),VLOOKUP($X24,$R$63:$T$91,3,FALSE)))+IF(AND($X24&lt;&gt;"",$X24&lt;&gt;"O3/CP",$X$15=F$18,MID($X24,4,1)="2",$X$15&lt;&gt;$X$14),VLOOKUP(CONCATENATE(LEFT($X24,2),"L"),$R$63:$T$91,3,FALSE),0)+IF(AND($X24="O3/CP",$X$14=F$18),VLOOKUP("O3",$R$63:$T$91,3,FALSE)+VLOOKUP("CP",$R$63:$T$91,3,FALSE),0)+IF(AND($Y24&lt;&gt;"",$Y24&lt;&gt;"--",$Y24&lt;&gt;"O3/CP",$Y$14=F$18),IF(LEFT($Y24,1)="P",VLOOKUP(CONCATENATE(LEFT($Y24,2),"H"),$R$63:$T$91,3,FALSE),VLOOKUP($Y24,$R$63:$T$91,3,FALSE)))+IF(AND($Y24&lt;&gt;"",$Y24&lt;&gt;"O3/CP",$Y$15=F$18,MID($Y24,4,1)="2",$Y$15&lt;&gt;$Y$14),VLOOKUP(CONCATENATE(LEFT($Y24,2),"L"),$R$63:$T$91,3,FALSE),0)+IF(AND($Y24="O3/CP",$Y$14=F$18),VLOOKUP("O3",$R$63:$T$91,3,FALSE)+VLOOKUP("CP",$R$63:$T$91,3,FALSE),0)+IF(AND($K$6="CE",'[3]Supply Attribution'!$G$20=F$18),LEFT($S$90,2),0)+IF(AND($X$86&lt;&gt;"Not Set",$X$87=F$18),$X$86,0)</f>
        <v>0</v>
      </c>
      <c r="G24" s="269">
        <f>IF(AND($K$6="CE",$T$59="1 Phase"),SUM(A24:F24)-IF(AND($K$14&lt;&gt;$K$15,RIGHT($K24,3)="2SP"),VLOOKUP(CONCATENATE(LEFT($K24,2),"L"),$R$63:$T$90,3,FALSE),0)-IF(AND($L$14&lt;&gt;$L$15,RIGHT($L24,3)="2SP"),VLOOKUP(CONCATENATE(LEFT($L24,2),"L"),$R$63:$T$90,3,FALSE),0)-IF(AND($M$14&lt;&gt;$M$15,RIGHT($M24,3)="2SP"),VLOOKUP(CONCATENATE(LEFT($M24,2),"L"),$R$63:$T$90,3,FALSE),0)-IF(AND($N$14&lt;&gt;$N$15,RIGHT($N24,3)="2SP"),VLOOKUP(CONCATENATE(LEFT($N24,2),"L"),$R$63:$T$90,3,FALSE),0)-IF(AND($O$14&lt;&gt;$O$15,RIGHT($O24,3)="2SP"),VLOOKUP(CONCATENATE(LEFT($O24,2),"L"),$R$63:$T$90,3,FALSE),0)-IF(AND($P$14&lt;&gt;$P$15,RIGHT($P24,3)="2SP"),VLOOKUP(CONCATENATE(LEFT($P24,2),"L"),$R$63:$T$90,3,FALSE),0)-IF(AND($Q$14&lt;&gt;$Q$15,RIGHT($Q24,3)="2SP"),VLOOKUP(CONCATENATE(LEFT($Q24,2),"L"),$R$63:$T$90,3,FALSE),0)-IF(AND($R$14&lt;&gt;$R$15,RIGHT($T24,3)="2SP"),VLOOKUP(CONCATENATE(LEFT($R24,2),"L"),$R$63:$T$90,3,FALSE),0)-IF(AND($S$14&lt;&gt;$S$15,RIGHT($T24,3)="2SP"),VLOOKUP(CONCATENATE(LEFT($S24,2),"L"),$R$63:$T$90,3,FALSE),0)-IF(AND($T$14&lt;&gt;$T$15,RIGHT($T24,3)="2SP"),VLOOKUP(CONCATENATE(LEFT($T24,2),"L"),$R$63:$T$90,3,FALSE),0)-IF(AND($U$14&lt;&gt;$U$15,RIGHT($U24,3)="2SP"),VLOOKUP(CONCATENATE(LEFT($U24,2),"L"),$R$63:$T$90,3,FALSE),0)-IF(AND($V$14&lt;&gt;$V$15,RIGHT($V24,3)="2SP"),VLOOKUP(CONCATENATE(LEFT($V24,2),"L"),$R$63:$T$90,3,FALSE),0)-IF(AND($W$14&lt;&gt;$W$15,RIGHT($W24,3)="2SP"),VLOOKUP(CONCATENATE(LEFT($W24,2),"L"),$R$63:$T$90,3,FALSE),0)-IF(AND($X$14&lt;&gt;$X$15,RIGHT($X24,3)="2SP"),VLOOKUP(CONCATENATE(LEFT($X24,2),"L"),$R$63:$T$90,3,FALSE),0)-IF(AND($Y$14&lt;&gt;$Y$15,RIGHT($Y24,3)="2SP"),VLOOKUP(CONCATENATE(LEFT($Y24,2),"L"),$R$63:$T$90,3,FALSE),0),IF(VLOOKUP(CONCATENATE($A$18,"Line"),'[3]Supply Attribution'!$F$31:$G$37,2,FALSE)=G$18,$A24,0)+IF(VLOOKUP(CONCATENATE($B$18,"Line"),'[3]Supply Attribution'!$F$31:$G$37,2,FALSE)=G$18,$B24,0)+IF(VLOOKUP(CONCATENATE($C$18,"Line"),'[3]Supply Attribution'!$F$31:$G$37,2,FALSE)=G$18,$C24,0)+IF(VLOOKUP(CONCATENATE($D$18,"Line"),'[3]Supply Attribution'!$F$31:$G$37,2,FALSE)=G$18,$D24,0)+IF(VLOOKUP(CONCATENATE($E$18,"Line"),'[3]Supply Attribution'!$F$31:$G$37,2,FALSE)=G$18,$E24,0)+IF(VLOOKUP(CONCATENATE($F$18,"Line"),'[3]Supply Attribution'!$F$31:$G$37,2,FALSE)=G$18,$F24,0)+IF($K$6="UL",LEFT($S$90,2),0)-IF(AND($K$16=G$18,$K$14&lt;&gt;$K$15,$K$16=$K$17,RIGHT($K24,3)="2SP"),VLOOKUP(CONCATENATE(LEFT($K24,2),"L"),$R$63:$T$90,3,FALSE),0)-IF(AND($L$16=G$18,$L$14&lt;&gt;$L$15,$L$16=$L$17,RIGHT($L24,3)="2SP"),VLOOKUP(CONCATENATE(LEFT($L24,2),"L"),$R$63:$T$90,3,FALSE),0)-IF(AND($M$16=G$18,$M$14&lt;&gt;$M$15,$M$16=$M$17,RIGHT($M24,3)="2SP"),VLOOKUP(CONCATENATE(LEFT($M24,2),"L"),$R$63:$T$90,3,FALSE),0)-IF(AND($N$16=G$18,$N$14&lt;&gt;$N$15,$N$16=$N$17,RIGHT($N24,3)="2SP"),VLOOKUP(CONCATENATE(LEFT($N24,2),"L"),$R$63:$T$90,3,FALSE),0)-IF(AND($O$16=G$18,$O$14&lt;&gt;$O$15,$O$16=$O$17,RIGHT($O24,3)="2SP"),VLOOKUP(CONCATENATE(LEFT($O24,2),"L"),$R$63:$T$90,3,FALSE),0)-IF(AND($P$16=G$18,$P$14&lt;&gt;$P$15,$P$16=$P$17,RIGHT($P24,3)="2SP"),VLOOKUP(CONCATENATE(LEFT($P24,2),"L"),$R$63:$T$90,3,FALSE),0)-IF(AND($Q$16=G$18,$Q$14&lt;&gt;$Q$15,$Q$16=$Q$17,RIGHT($Q24,3)="2SP"),VLOOKUP(CONCATENATE(LEFT($Q24,2),"L"),$R$63:$T$90,3,FALSE),0)-IF(AND($R$16=G$18,$R$14&lt;&gt;$R$15,$R$16=$R$17,RIGHT($R24,3)="2SP"),VLOOKUP(CONCATENATE(LEFT($R24,2),"L"),$R$63:$T$90,3,FALSE),0)-IF(AND($S$16=G$18,$S$14&lt;&gt;$S$15,$S$16=$S$17,RIGHT($S24,3)="2SP"),VLOOKUP(CONCATENATE(LEFT($S24,2),"L"),$R$63:$T$90,3,FALSE),0)-IF(AND($T$16=G$18,$T$14&lt;&gt;$T$15,$T$16=$T$17,RIGHT($T24,3)="2SP"),VLOOKUP(CONCATENATE(LEFT($T24,2),"L"),$R$63:$T$90,3,FALSE),0)-IF(AND($U$16=G$18,$U$14&lt;&gt;$U$15,$U$16=$U$17,RIGHT($U24,3)="2SP"),VLOOKUP(CONCATENATE(LEFT($U24,2),"L"),$R$63:$T$90,3,FALSE),0)-IF(AND($V$16=G$18,$V$14&lt;&gt;$V$15,$V$16=$V$17,RIGHT($V24,3)="2SP"),VLOOKUP(CONCATENATE(LEFT($V24,2),"L"),$R$63:$T$90,3,FALSE),0)-IF(AND($W$16=G$18,$W$14&lt;&gt;$W$15,$W$16=$W$17,RIGHT($W24,3)="2SP"),VLOOKUP(CONCATENATE(LEFT($W24,2),"L"),$R$63:$T$90,3,FALSE),0)-IF(AND($X$16=G$18,$X$14&lt;&gt;$X$15,$X$16=$X$17,RIGHT($X24,3)="2SP"),VLOOKUP(CONCATENATE(LEFT($X24,2),"L"),$R$63:$T$90,3,FALSE),0)-IF(AND($Y$16=G$18,$Y$14&lt;&gt;$Y$15,$Y$16=$Y$17,RIGHT($Y24,3)="2SP"),VLOOKUP(CONCATENATE(LEFT($Y24,2),"L"),$R$63:$T$90,3,FALSE),0))</f>
        <v>30</v>
      </c>
      <c r="H24" s="269" t="str">
        <f>IF(H$18&lt;&gt;"",IF(VLOOKUP(CONCATENATE($A$18,"Line"),'Supply Attribution'!$F$31:$G$37,2,FALSE)=H$18,$A24,0)+IF(VLOOKUP(CONCATENATE($B$18,"Line"),'Supply Attribution'!$F$31:$G$37,2,FALSE)=H$18,$B24,0)+IF(VLOOKUP(CONCATENATE($C$18,"Line"),'Supply Attribution'!$F$31:$G$37,2,FALSE)=H$18,$C24,0)+IF(VLOOKUP(CONCATENATE($D$18,"Line"),'Supply Attribution'!$F$31:$G$37,2,FALSE)=H$18,$D24,0)+IF(VLOOKUP(CONCATENATE($E$18,"Line"),'Supply Attribution'!$F$31:$G$37,2,FALSE)=H$18,$E24,0)+IF(VLOOKUP(CONCATENATE($F$18,"Line"),'Supply Attribution'!$F$31:$G$37,2,FALSE)=H$18,$F24,0)+IF($K$6="UL",LEFT($S$90,2),0)-IF(AND($K$16=H$18,$K$14&lt;&gt;$K$15,$K$16=$K$17,RIGHT($K24,3)="2SP"),VLOOKUP(CONCATENATE(LEFT($K24,2),"L"),$R$63:$T$90,3,FALSE),0)-IF(AND($L$16=H$18,$L$14&lt;&gt;$L$15,$L$16=$L$17,RIGHT($L24,3)="2SP"),VLOOKUP(CONCATENATE(LEFT($L24,2),"L"),$R$63:$T$90,3,FALSE),0)-IF(AND($M$16=H$18,$M$14&lt;&gt;$M$15,$M$16=$M$17,RIGHT($M24,3)="2SP"),VLOOKUP(CONCATENATE(LEFT($M24,2),"L"),$R$63:$T$90,3,FALSE),0)-IF(AND($N$16=H$18,$N$14&lt;&gt;$N$15,$N$16=$N$17,RIGHT($N24,3)="2SP"),VLOOKUP(CONCATENATE(LEFT($N24,2),"L"),$R$63:$T$90,3,FALSE),0)-IF(AND($O$16=H$18,$O$14&lt;&gt;$O$15,$O$16=$O$17,RIGHT($O24,3)="2SP"),VLOOKUP(CONCATENATE(LEFT($O24,2),"L"),$R$63:$T$90,3,FALSE),0)-IF(AND($P$16=H$18,$P$14&lt;&gt;$P$15,$P$16=$P$17,RIGHT($P24,3)="2SP"),VLOOKUP(CONCATENATE(LEFT($P24,2),"L"),$R$63:$T$90,3,FALSE),0)-IF(AND($Q$16=H$18,$Q$14&lt;&gt;$Q$15,$Q$16=$Q$17,RIGHT($Q24,3)="2SP"),VLOOKUP(CONCATENATE(LEFT($Q24,2),"L"),$R$63:$T$90,3,FALSE),0)-IF(AND($T$16=H$18,$T$14&lt;&gt;$T$15,$T$16=$T$17,RIGHT($T24,3)="2SP"),VLOOKUP(CONCATENATE(LEFT($T24,2),"L"),$R$63:$T$90,3,FALSE),0)-IF(AND($U$16=H$18,$U$14&lt;&gt;$U$15,$U$16=$U$17,RIGHT($U24,3)="2SP"),VLOOKUP(CONCATENATE(LEFT($U24,2),"L"),$R$63:$T$90,3,FALSE),0)-IF(AND($V$16=H$18,$V$14&lt;&gt;$V$15,$V$16=$V$17,RIGHT($V24,3)="2SP"),VLOOKUP(CONCATENATE(LEFT($V24,2),"L"),$R$63:$T$90,3,FALSE),0)-IF(AND($W$16=H$18,$W$14&lt;&gt;$W$15,$W$16=$W$17,RIGHT($W24,3)="2SP"),VLOOKUP(CONCATENATE(LEFT($W24,2),"L"),$R$63:$T$90,3,FALSE),0)-IF(AND($X$16=H$18,$X$14&lt;&gt;$X$15,$X$16=$X$17,RIGHT($X24,3)="2SP"),VLOOKUP(CONCATENATE(LEFT($X24,2),"L"),$R$63:$T$90,3,FALSE),0)-IF(AND($Y$16=H$18,$Y$14&lt;&gt;$Y$15,$Y$16=$Y$17,RIGHT($Y24,3)="2SP"),VLOOKUP(CONCATENATE(LEFT($Y24,2),"L"),$R$63:$T$90,3,FALSE),0)+IF(AND($K$6="CE",$T$59="2 Phases",H$18&lt;&gt;""),IF(VLOOKUP(CONCATENATE($A$18,"Line"),'Supply Attribution'!$F$31:$G$37,2,FALSE)="Line3",$A24,0)+IF(VLOOKUP(CONCATENATE($B$18,"Line"),'Supply Attribution'!$F$31:$G$37,2,FALSE)="Line3",$B24,0)+IF(VLOOKUP(CONCATENATE($C$18,"Line"),'Supply Attribution'!$F$31:$G$37,2,FALSE)="Line3",$C24,0)+IF(VLOOKUP(CONCATENATE($D$18,"Line"),'Supply Attribution'!$F$31:$G$37,2,FALSE)="Line3",$D24,0)+IF(VLOOKUP(CONCATENATE($E$18,"Line"),'Supply Attribution'!$F$31:$G$37,2,FALSE)="Line3",$E24,0)+IF(VLOOKUP(CONCATENATE($F$18,"Line"),'Supply Attribution'!$F$31:$G$37,2,FALSE)="Line3",$F24,0)-IF(AND($K$16=I$18,$K$14&lt;&gt;$K$15,$K$16=$K$17,RIGHT($K24,3)="2SP"),VLOOKUP(CONCATENATE(LEFT($K24,2),"L"),$R$63:$T$90,3,FALSE),0)-IF(AND($L$16=I$18,$L$14&lt;&gt;$L$15,$L$16=$L$17,RIGHT($L24,3)="2SP"),VLOOKUP(CONCATENATE(LEFT($L24,2),"L"),$R$63:$T$90,3,FALSE),0)-IF(AND($M$16=I$18,$M$14&lt;&gt;$M$15,$M$16=$M$17,RIGHT($M24,3)="2SP"),VLOOKUP(CONCATENATE(LEFT($M24,2),"L"),$R$63:$T$90,3,FALSE),0)-IF(AND($N$16=I$18,$N$14&lt;&gt;$N$15,$N$16=$N$17,RIGHT($N24,3)="2SP"),VLOOKUP(CONCATENATE(LEFT($N24,2),"L"),$R$63:$T$90,3,FALSE),0)-IF(AND($O$16=I$18,$O$14&lt;&gt;$O$15,$O$16=$O$17,RIGHT($O24,3)="2SP"),VLOOKUP(CONCATENATE(LEFT($O24,2),"L"),$R$63:$T$90,3,FALSE),0)-IF(AND($P$16=I$18,$P$14&lt;&gt;$P$15,$P$16=$P$17,RIGHT($P24,3)="2SP"),VLOOKUP(CONCATENATE(LEFT($P24,2),"L"),$R$63:$T$90,3,FALSE),0)-IF(AND($Q$16=I$18,$Q$14&lt;&gt;$Q$15,$Q$16=$Q$17,RIGHT($Q24,3)="2SP"),VLOOKUP(CONCATENATE(LEFT($Q24,2),"L"),$R$63:$T$90,3,FALSE),0)-IF(AND($T$16=I$18,$T$14&lt;&gt;$T$15,$T$16=$T$17,RIGHT($T24,3)="2SP"),VLOOKUP(CONCATENATE(LEFT($T24,2),"L"),$R$63:$T$90,3,FALSE),0)-IF(AND($U$16=I$18,$U$14&lt;&gt;$U$15,$U$16=$U$17,RIGHT($U24,3)="2SP"),VLOOKUP(CONCATENATE(LEFT($U24,2),"L"),$R$63:$T$90,3,FALSE),0)-IF(AND($V$16=I$18,$V$14&lt;&gt;$V$15,$V$16=$V$17,RIGHT($V24,3)="2SP"),VLOOKUP(CONCATENATE(LEFT($V24,2),"L"),$R$63:$T$90,3,FALSE),0)-IF(AND($W$16=I$18,$W$14&lt;&gt;$W$15,$W$16=$W$17,RIGHT($W24,3)="2SP"),VLOOKUP(CONCATENATE(LEFT($W24,2),"L"),$R$63:$T$90,3,FALSE),0)-IF(AND($X$16=I$18,$X$14&lt;&gt;$X$15,$X$16=$X$17,RIGHT($X24,3)="2SP"),VLOOKUP(CONCATENATE(LEFT($X24,2),"L"),$R$63:$T$90,3,FALSE),0)-IF(AND($Y$16=I$18,$Y$14&lt;&gt;$Y$15,$Y$16=$Y$17,RIGHT($Y24,3)="2SP"),VLOOKUP(CONCATENATE(LEFT($Y24,2),"L"),$R$63:$T$90,3,FALSE),0),0),"")</f>
        <v/>
      </c>
      <c r="I24" s="269" t="str">
        <f>IF(I$18&lt;&gt;"",IF(VLOOKUP(CONCATENATE($A$18,"Line"),'Supply Attribution'!$F$31:$G$37,2,FALSE)=I$18,$A24,0)+IF(VLOOKUP(CONCATENATE($B$18,"Line"),'Supply Attribution'!$F$31:$G$37,2,FALSE)=I$18,$B24,0)+IF(VLOOKUP(CONCATENATE($C$18,"Line"),'Supply Attribution'!$F$31:$G$37,2,FALSE)=I$18,$C24,0)+IF(VLOOKUP(CONCATENATE($D$18,"Line"),'Supply Attribution'!$F$31:$G$37,2,FALSE)=I$18,$D24,0)+IF(VLOOKUP(CONCATENATE($E$18,"Line"),'Supply Attribution'!$F$31:$G$37,2,FALSE)=I$18,$E24,0)+IF(VLOOKUP(CONCATENATE($F$18,"Line"),'Supply Attribution'!$F$31:$G$37,2,FALSE)=I$18,$F24,0)+IF($K$6="UL",LEFT($S$90,2),0)-IF(AND($K$16=I$18,$K$14&lt;&gt;$K$15,$K$16=$K$17,RIGHT($K24,3)="2SP"),VLOOKUP(CONCATENATE(LEFT($K24,2),"L"),$R$63:$T$90,3,FALSE),0)-IF(AND($L$16=I$18,$L$14&lt;&gt;$L$15,$L$16=$L$17,RIGHT($L24,3)="2SP"),VLOOKUP(CONCATENATE(LEFT($L24,2),"L"),$R$63:$T$90,3,FALSE),0)-IF(AND($M$16=I$18,$M$14&lt;&gt;$M$15,$M$16=$M$17,RIGHT($M24,3)="2SP"),VLOOKUP(CONCATENATE(LEFT($M24,2),"L"),$R$63:$T$90,3,FALSE),0)-IF(AND($N$16=I$18,$N$14&lt;&gt;$N$15,$N$16=$N$17,RIGHT($N24,3)="2SP"),VLOOKUP(CONCATENATE(LEFT($N24,2),"L"),$R$63:$T$90,3,FALSE),0)-IF(AND($O$16=I$18,$O$14&lt;&gt;$O$15,$O$16=$O$17,RIGHT($O24,3)="2SP"),VLOOKUP(CONCATENATE(LEFT($O24,2),"L"),$R$63:$T$90,3,FALSE),0)-IF(AND($P$16=I$18,$P$14&lt;&gt;$P$15,$P$16=$P$17,RIGHT($P24,3)="2SP"),VLOOKUP(CONCATENATE(LEFT($P24,2),"L"),$R$63:$T$90,3,FALSE),0)-IF(AND($Q$16=I$18,$Q$14&lt;&gt;$Q$15,$Q$16=$Q$17,RIGHT($Q24,3)="2SP"),VLOOKUP(CONCATENATE(LEFT($Q24,2),"L"),$R$63:$T$90,3,FALSE),0)-IF(AND($T$16=I$18,$T$14&lt;&gt;$T$15,$T$16=$T$17,RIGHT($T24,3)="2SP"),VLOOKUP(CONCATENATE(LEFT($T24,2),"L"),$R$63:$T$90,3,FALSE),0)-IF(AND($U$16=I$18,$U$14&lt;&gt;$U$15,$U$16=$U$17,RIGHT($U24,3)="2SP"),VLOOKUP(CONCATENATE(LEFT($U24,2),"L"),$R$63:$T$90,3,FALSE),0)-IF(AND($V$16=I$18,$V$14&lt;&gt;$V$15,$V$16=$V$17,RIGHT($V24,3)="2SP"),VLOOKUP(CONCATENATE(LEFT($V24,2),"L"),$R$63:$T$90,3,FALSE),0)-IF(AND($W$16=I$18,$W$14&lt;&gt;$W$15,$W$16=$W$17,RIGHT($W24,3)="2SP"),VLOOKUP(CONCATENATE(LEFT($W24,2),"L"),$R$63:$T$90,3,FALSE),0)-IF(AND($X$16=I$18,$X$14&lt;&gt;$X$15,$X$16=$X$17,RIGHT($X24,3)="2SP"),VLOOKUP(CONCATENATE(LEFT($X24,2),"L"),$R$63:$T$90,3,FALSE),0)-IF(AND($Y$16=I$18,$Y$14&lt;&gt;$Y$15,$Y$16=$Y$17,RIGHT($Y24,3)="2SP"),VLOOKUP(CONCATENATE(LEFT($Y24,2),"L"),$R$63:$T$90,3,FALSE),0),"")</f>
        <v/>
      </c>
      <c r="J24" s="134">
        <v>141</v>
      </c>
      <c r="K24" s="135" t="s">
        <v>24</v>
      </c>
      <c r="L24" s="135" t="s">
        <v>24</v>
      </c>
      <c r="M24" s="135" t="s">
        <v>388</v>
      </c>
      <c r="N24" s="135" t="s">
        <v>24</v>
      </c>
      <c r="O24" s="135" t="s">
        <v>286</v>
      </c>
      <c r="P24" s="135"/>
      <c r="Q24" s="135"/>
      <c r="R24" s="135"/>
      <c r="S24" s="135"/>
      <c r="T24" s="135"/>
      <c r="U24" s="135"/>
      <c r="V24" s="135"/>
      <c r="W24" s="135"/>
      <c r="X24" s="135"/>
      <c r="Y24" s="135"/>
      <c r="Z24" s="136"/>
      <c r="AA24" s="136"/>
      <c r="AB24" s="137"/>
      <c r="AC24" s="137"/>
      <c r="AD24" s="137"/>
      <c r="AE24" s="138">
        <f t="shared" si="0"/>
        <v>141</v>
      </c>
      <c r="AF24" s="78"/>
    </row>
    <row r="25" spans="1:32" ht="13.15" customHeight="1">
      <c r="A25" s="264">
        <f>IF(AND($K25&lt;&gt;"",$K25&lt;&gt;"--",$K25&lt;&gt;"O3/CP",$K$14=A$18),IF(LEFT($K25,1)="P",VLOOKUP(CONCATENATE(LEFT($K25,2),"H"),$R$63:$T$91,3,FALSE),VLOOKUP($K25,$R$63:$T$91,3,FALSE)))+IF(AND($K25&lt;&gt;"",$K25&lt;&gt;"O3/CP",$K$15=A$18,MID($K25,4,1)="2",$K$15&lt;&gt;$K$14),VLOOKUP(CONCATENATE(LEFT($K25,2),"L"),$R$63:$T$91,3,FALSE),0)+IF(AND($K25="O3/CP",$K$14=A$18),VLOOKUP("O3",$R$63:$T$91,3,FALSE)+VLOOKUP("CP",$R$63:$T$91,3,FALSE),0)+IF(AND($L25&lt;&gt;"",$L25&lt;&gt;"--",$L25&lt;&gt;"O3/CP",$L$14=A$18),IF(LEFT($L25,1)="P",VLOOKUP(CONCATENATE(LEFT($L25,2),"H"),$R$63:$T$91,3,FALSE),VLOOKUP($L25,$R$63:$T$91,3,FALSE)))+IF(AND($L25&lt;&gt;"",$L25&lt;&gt;"O3/CP",$L$15=A$18,MID($L25,4,1)="2",$L$15&lt;&gt;$L$14),VLOOKUP(CONCATENATE(LEFT($L25,2),"L"),$R$63:$T$91,3,FALSE),0)+IF(AND($L25="O3/CP",$L$14=A$18),VLOOKUP("O3",$R$63:$T$91,3,FALSE)+VLOOKUP("CP",$R$63:$T$91,3,FALSE),0)+IF(AND($M25&lt;&gt;"",$M25&lt;&gt;"--",$M25&lt;&gt;"O3/CP",$M$14=A$18),IF(LEFT($M25,1)="P",VLOOKUP(CONCATENATE(LEFT($M25,2),"H"),$R$63:$T$91,3,FALSE),VLOOKUP($M25,$R$63:$T$91,3,FALSE)))+IF(AND($M25&lt;&gt;"",$M25&lt;&gt;"O3/CP",$M$15=A$18,MID($M25,4,1)="2",$M$15&lt;&gt;$M$14),VLOOKUP(CONCATENATE(LEFT($M25,2),"L"),$R$63:$T$91,3,FALSE),0)+IF(AND($M25="O3/CP",$M$14=A$18),VLOOKUP("O3",$R$63:$T$91,3,FALSE)+VLOOKUP("CP",$R$63:$T$91,3,FALSE),0)+IF(AND($N25&lt;&gt;"",$N25&lt;&gt;"--",$N25&lt;&gt;"O3/CP",$N$14=A$18),IF(LEFT($N25,1)="P",VLOOKUP(CONCATENATE(LEFT($N25,2),"H"),$R$63:$T$91,3,FALSE),VLOOKUP($N25,$R$63:$T$91,3,FALSE)))+IF(AND($N25&lt;&gt;"",$N25&lt;&gt;"O3/CP",$N$15=A$18,MID($N25,4,1)="2",$N$15&lt;&gt;$N$14),VLOOKUP(CONCATENATE(LEFT($N25,2),"L"),$R$63:$T$91,3,FALSE),0)+IF(AND($N25="O3/CP",$N$14=A$18),VLOOKUP("O3",$R$63:$T$91,3,FALSE)+VLOOKUP("CP",$R$63:$T$91,3,FALSE),0)+IF(AND($O25&lt;&gt;"",$O25&lt;&gt;"--",$O25&lt;&gt;"O3/CP",$O$14=A$18),IF(LEFT($O25,1)="P",VLOOKUP(CONCATENATE(LEFT($O25,2),"H"),$R$63:$T$91,3,FALSE),VLOOKUP($O25,$R$63:$T$91,3,FALSE)))+IF(AND($O25&lt;&gt;"",$O25&lt;&gt;"O3/CP",$O$15=A$18,MID($O25,4,1)="2",$O$15&lt;&gt;$O$14),VLOOKUP(CONCATENATE(LEFT($O25,2),"L"),$R$63:$T$91,3,FALSE),0)+IF(AND($O25="O3/CP",$O$14=A$18),VLOOKUP("O3",$R$63:$T$91,3,FALSE)+VLOOKUP("CP",$R$63:$T$91,3,FALSE),0)+IF(AND($P25&lt;&gt;"",$P25&lt;&gt;"--",$P25&lt;&gt;"O3/CP",$P$14=A$18),IF(LEFT($P25,1)="P",VLOOKUP(CONCATENATE(LEFT($P25,2),"H"),$R$63:$T$91,3,FALSE),VLOOKUP($P25,$R$63:$T$91,3,FALSE)))+IF(AND($P25&lt;&gt;"",$P25&lt;&gt;"O3/CP",$P$15=A$18,MID($P25,4,1)="2",$P$15&lt;&gt;$P$14),VLOOKUP(CONCATENATE(LEFT($P25,2),"L"),$R$63:$T$91,3,FALSE),0)+IF(AND($P25="O3/CP",$P$14=A$18),VLOOKUP("O3",$R$63:$T$91,3,FALSE)+VLOOKUP("CP",$R$63:$T$91,3,FALSE),0)+IF(AND($Q25&lt;&gt;"",$Q25&lt;&gt;"--",$Q25&lt;&gt;"O3/CP",$Q$14=A$18),IF(LEFT($Q25,1)="P",VLOOKUP(CONCATENATE(LEFT($Q25,2),"H"),$R$63:$T$91,3,FALSE),VLOOKUP($Q25,$R$63:$T$91,3,FALSE)))+IF(AND($Q25&lt;&gt;"",$Q25&lt;&gt;"O3/CP",$Q$15=A$18,MID($Q25,4,1)="2",$Q$15&lt;&gt;$Q$14),VLOOKUP(CONCATENATE(LEFT($Q25,2),"L"),$R$63:$T$91,3,FALSE),0)+IF(AND($Q25="O3/CP",$Q$14=A$18),VLOOKUP("O3",$R$63:$T$91,3,FALSE)+VLOOKUP("CP",$R$63:$T$91,3,FALSE),0)+IF(AND($R25&lt;&gt;"",$R25&lt;&gt;"--",$R25&lt;&gt;"O3/CP",$R$14=A$18),IF(LEFT($R25,1)="P",VLOOKUP(CONCATENATE(LEFT($R25,2),"H"),$R$63:$T$91,3,FALSE),VLOOKUP($R25,$R$63:$T$91,3,FALSE)))+IF(AND($R25&lt;&gt;"",$R25&lt;&gt;"O3/CP",$R$15=A$18,MID($R25,4,1)="2",$R$15&lt;&gt;$R$14),VLOOKUP(CONCATENATE(LEFT($R25,2),"L"),$R$63:$T$91,3,FALSE),0)+IF(AND($R25="O3/CP",$R$14=A$18),VLOOKUP("O3",$R$63:$T$91,3,FALSE)+VLOOKUP("CP",$R$63:$T$91,3,FALSE),0)+IF(AND($S25&lt;&gt;"",$S25&lt;&gt;"--",$S25&lt;&gt;"O3/CP",$S$14=A$18),IF(LEFT($S25,1)="P",VLOOKUP(CONCATENATE(LEFT($S25,2),"H"),$R$63:$T$91,3,FALSE),VLOOKUP($S25,$R$63:$T$91,3,FALSE)))+IF(AND($S25&lt;&gt;"",$S25&lt;&gt;"O3/CP",$S$15=A$18,MID($S25,4,1)="2",$S$15&lt;&gt;$S$14),VLOOKUP(CONCATENATE(LEFT($S25,2),"L"),$R$63:$T$91,3,FALSE),0)+IF(AND($S25="O3/CP",$S$14=A$18),VLOOKUP("O3",$R$63:$T$91,3,FALSE)+VLOOKUP("CP",$R$63:$T$91,3,FALSE),0)+IF(AND($T25&lt;&gt;"",$T25&lt;&gt;"--",$T25&lt;&gt;"O3/CP",$T$14=A$18),IF(LEFT($T25,1)="P",VLOOKUP(CONCATENATE(LEFT($T25,2),"H"),$R$63:$T$91,3,FALSE),VLOOKUP($T25,$R$63:$T$91,3,FALSE)))+IF(AND($T25&lt;&gt;"",$T25&lt;&gt;"O3/CP",$T$15=A$18,MID($T25,4,1)="2",$T$15&lt;&gt;$T$14),VLOOKUP(CONCATENATE(LEFT($T25,2),"L"),$R$63:$T$91,3,FALSE),0)+IF(AND($T25="O3/CP",$T$14=A$18),VLOOKUP("O3",$R$63:$T$91,3,FALSE)+VLOOKUP("CP",$R$63:$T$91,3,FALSE),0)+IF(AND($U25&lt;&gt;"",$U25&lt;&gt;"--",$U25&lt;&gt;"O3/CP",$U$14=A$18),IF(LEFT($U25,1)="P",VLOOKUP(CONCATENATE(LEFT($U25,2),"H"),$R$63:$T$91,3,FALSE),VLOOKUP($U25,$R$63:$T$91,3,FALSE)))+IF(AND($U25&lt;&gt;"",$U25&lt;&gt;"O3/CP",$U$15=A$18,MID($U25,4,1)="2",$U$15&lt;&gt;$U$14),VLOOKUP(CONCATENATE(LEFT($U25,2),"L"),$R$63:$T$91,3,FALSE),0)+IF(AND($U25="O3/CP",$T$14=A$18),VLOOKUP("O3",$R$63:$T$91,3,FALSE)+VLOOKUP("CP",$R$63:$T$91,3,FALSE),0)+IF(AND($V25&lt;&gt;"",$V25&lt;&gt;"--",$V25&lt;&gt;"O3/CP",$V$14=A$18),IF(LEFT($V25,1)="P",VLOOKUP(CONCATENATE(LEFT($V25,2),"H"),$R$63:$T$91,3,FALSE),VLOOKUP($V25,$R$63:$T$91,3,FALSE)))+IF(AND($V25&lt;&gt;"",$V25&lt;&gt;"O3/CP",$V$15=A$18,MID($V25,4,1)="2",$V$15&lt;&gt;$V$14),VLOOKUP(CONCATENATE(LEFT($V25,2),"L"),$R$63:$T$91,3,FALSE),0)+IF(AND($V25="O3/CP",$V$14=A$18),VLOOKUP("O3",$R$63:$T$91,3,FALSE)+VLOOKUP("CP",$R$63:$T$91,3,FALSE),0)+IF(AND($W25&lt;&gt;"",$W25&lt;&gt;"--",$W25&lt;&gt;"O3/CP",$W$14=A$18),IF(LEFT($W25,1)="P",VLOOKUP(CONCATENATE(LEFT($W25,2),"H"),$R$63:$T$91,3,FALSE),VLOOKUP($W25,$R$63:$T$91,3,FALSE)))+IF(AND($W25&lt;&gt;"",$W25&lt;&gt;"O3/CP",$W$15=A$18,MID($W25,4,1)="2",$W$15&lt;&gt;$W$14),VLOOKUP(CONCATENATE(LEFT($W25,2),"L"),$R$63:$T$91,3,FALSE),0)+IF(AND($W25="O3/CP",$W$14=A$18),VLOOKUP("O3",$R$63:$T$91,3,FALSE)+VLOOKUP("CP",$R$63:$T$91,3,FALSE),0)+IF(AND($X25&lt;&gt;"",$X25&lt;&gt;"--",$X25&lt;&gt;"O3/CP",$X$14=A$18),IF(LEFT($X25,1)="P",VLOOKUP(CONCATENATE(LEFT($X25,2),"H"),$R$63:$T$91,3,FALSE),VLOOKUP($X25,$R$63:$T$91,3,FALSE)))+IF(AND($X25&lt;&gt;"",$X25&lt;&gt;"O3/CP",$X$15=A$18,MID($X25,4,1)="2",$X$15&lt;&gt;$X$14),VLOOKUP(CONCATENATE(LEFT($X25,2),"L"),$R$63:$T$91,3,FALSE),0)+IF(AND($X25="O3/CP",$X$14=A$18),VLOOKUP("O3",$R$63:$T$91,3,FALSE)+VLOOKUP("CP",$R$63:$T$91,3,FALSE),0)+IF(AND($Y25&lt;&gt;"",$Y25&lt;&gt;"--",$Y25&lt;&gt;"O3/CP",$Y$14=A$18),IF(LEFT($Y25,1)="P",VLOOKUP(CONCATENATE(LEFT($Y25,2),"H"),$R$63:$T$91,3,FALSE),VLOOKUP($Y25,$R$63:$T$91,3,FALSE)))+IF(AND($Y25&lt;&gt;"",$Y25&lt;&gt;"O3/CP",$Y$15=A$18,MID($Y25,4,1)="2",$Y$15&lt;&gt;$Y$14),VLOOKUP(CONCATENATE(LEFT($Y25,2),"L"),$R$63:$T$91,3,FALSE),0)+IF(AND($Y25="O3/CP",$Y$14=A$18),VLOOKUP("O3",$R$63:$T$91,3,FALSE)+VLOOKUP("CP",$R$63:$T$91,3,FALSE),0)+IF(AND($K$6="CE",'[3]Supply Attribution'!$G$20=A$18),LEFT($S$90,2),0)+IF(AND($X$86&lt;&gt;"Not Set",$X$87=A$18),$X$86,0)</f>
        <v>13</v>
      </c>
      <c r="B25" s="271">
        <f>IF(AND($K25&lt;&gt;"",$K25&lt;&gt;"--",$K25&lt;&gt;"O3/CP",$K$14=B$18),IF(LEFT($K25,1)="P",VLOOKUP(CONCATENATE(LEFT($K25,2),"H"),$R$63:$T$91,3,FALSE),VLOOKUP($K25,$R$63:$T$91,3,FALSE)))+IF(AND($K25&lt;&gt;"",$K25&lt;&gt;"O3/CP",$K$15=B$18,MID($K25,4,1)="2",$K$15&lt;&gt;$K$14),VLOOKUP(CONCATENATE(LEFT($K25,2),"L"),$R$63:$T$91,3,FALSE),0)+IF(AND($K25="O3/CP",$K$14=B$18),VLOOKUP("O3",$R$63:$T$91,3,FALSE)+VLOOKUP("CP",$R$63:$T$91,3,FALSE),0)+IF(AND($L25&lt;&gt;"",$L25&lt;&gt;"--",$L25&lt;&gt;"O3/CP",$L$14=B$18),IF(LEFT($L25,1)="P",VLOOKUP(CONCATENATE(LEFT($L25,2),"H"),$R$63:$T$91,3,FALSE),VLOOKUP($L25,$R$63:$T$91,3,FALSE)))+IF(AND($L25&lt;&gt;"",$L25&lt;&gt;"O3/CP",$L$15=B$18,MID($L25,4,1)="2",$L$15&lt;&gt;$L$14),VLOOKUP(CONCATENATE(LEFT($L25,2),"L"),$R$63:$T$91,3,FALSE),0)+IF(AND($L25="O3/CP",$L$14=B$18),VLOOKUP("O3",$R$63:$T$91,3,FALSE)+VLOOKUP("CP",$R$63:$T$91,3,FALSE),0)+IF(AND($M25&lt;&gt;"",$M25&lt;&gt;"--",$M25&lt;&gt;"O3/CP",$M$14=B$18),IF(LEFT($M25,1)="P",VLOOKUP(CONCATENATE(LEFT($M25,2),"H"),$R$63:$T$91,3,FALSE),VLOOKUP($M25,$R$63:$T$91,3,FALSE)))+IF(AND($M25&lt;&gt;"",$M25&lt;&gt;"O3/CP",$M$15=B$18,MID($M25,4,1)="2",$M$15&lt;&gt;$M$14),VLOOKUP(CONCATENATE(LEFT($M25,2),"L"),$R$63:$T$91,3,FALSE),0)+IF(AND($M25="O3/CP",$M$14=B$18),VLOOKUP("O3",$R$63:$T$91,3,FALSE)+VLOOKUP("CP",$R$63:$T$91,3,FALSE),0)+IF(AND($N25&lt;&gt;"",$N25&lt;&gt;"--",$N25&lt;&gt;"O3/CP",$N$14=B$18),IF(LEFT($N25,1)="P",VLOOKUP(CONCATENATE(LEFT($N25,2),"H"),$R$63:$T$91,3,FALSE),VLOOKUP($N25,$R$63:$T$91,3,FALSE)))+IF(AND($N25&lt;&gt;"",$N25&lt;&gt;"O3/CP",$N$15=B$18,MID($N25,4,1)="2",$N$15&lt;&gt;$N$14),VLOOKUP(CONCATENATE(LEFT($N25,2),"L"),$R$63:$T$91,3,FALSE),0)+IF(AND($N25="O3/CP",$N$14=B$18),VLOOKUP("O3",$R$63:$T$91,3,FALSE)+VLOOKUP("CP",$R$63:$T$91,3,FALSE),0)+IF(AND($O25&lt;&gt;"",$O25&lt;&gt;"--",$O25&lt;&gt;"O3/CP",$O$14=B$18),IF(LEFT($O25,1)="P",VLOOKUP(CONCATENATE(LEFT($O25,2),"H"),$R$63:$T$91,3,FALSE),VLOOKUP($O25,$R$63:$T$91,3,FALSE)))+IF(AND($O25&lt;&gt;"",$O25&lt;&gt;"O3/CP",$O$15=B$18,MID($O25,4,1)="2",$O$15&lt;&gt;$O$14),VLOOKUP(CONCATENATE(LEFT($O25,2),"L"),$R$63:$T$91,3,FALSE),0)+IF(AND($O25="O3/CP",$O$14=B$18),VLOOKUP("O3",$R$63:$T$91,3,FALSE)+VLOOKUP("CP",$R$63:$T$91,3,FALSE),0)+IF(AND($P25&lt;&gt;"",$P25&lt;&gt;"--",$P25&lt;&gt;"O3/CP",$P$14=B$18),IF(LEFT($P25,1)="P",VLOOKUP(CONCATENATE(LEFT($P25,2),"H"),$R$63:$T$91,3,FALSE),VLOOKUP($P25,$R$63:$T$91,3,FALSE)))+IF(AND($P25&lt;&gt;"",$P25&lt;&gt;"O3/CP",$P$15=B$18,MID($P25,4,1)="2",$P$15&lt;&gt;$P$14),VLOOKUP(CONCATENATE(LEFT($P25,2),"L"),$R$63:$T$91,3,FALSE),0)+IF(AND($P25="O3/CP",$P$14=B$18),VLOOKUP("O3",$R$63:$T$91,3,FALSE)+VLOOKUP("CP",$R$63:$T$91,3,FALSE),0)+IF(AND($Q25&lt;&gt;"",$Q25&lt;&gt;"--",$Q25&lt;&gt;"O3/CP",$Q$14=B$18),IF(LEFT($Q25,1)="P",VLOOKUP(CONCATENATE(LEFT($Q25,2),"H"),$R$63:$T$91,3,FALSE),VLOOKUP($Q25,$R$63:$T$91,3,FALSE)))+IF(AND($Q25&lt;&gt;"",$Q25&lt;&gt;"O3/CP",$Q$15=B$18,MID($Q25,4,1)="2",$Q$15&lt;&gt;$Q$14),VLOOKUP(CONCATENATE(LEFT($Q25,2),"L"),$R$63:$T$91,3,FALSE),0)+IF(AND($Q25="O3/CP",$Q$14=B$18),VLOOKUP("O3",$R$63:$T$91,3,FALSE)+VLOOKUP("CP",$R$63:$T$91,3,FALSE),0)+IF(AND($R25&lt;&gt;"",$R25&lt;&gt;"--",$R25&lt;&gt;"O3/CP",$R$14=B$18),IF(LEFT($R25,1)="P",VLOOKUP(CONCATENATE(LEFT($R25,2),"H"),$R$63:$T$91,3,FALSE),VLOOKUP($R25,$R$63:$T$91,3,FALSE)))+IF(AND($R25&lt;&gt;"",$R25&lt;&gt;"O3/CP",$R$15=B$18,MID($R25,4,1)="2",$R$15&lt;&gt;$R$14),VLOOKUP(CONCATENATE(LEFT($R25,2),"L"),$R$63:$T$91,3,FALSE),0)+IF(AND($R25="O3/CP",$R$14=B$18),VLOOKUP("O3",$R$63:$T$91,3,FALSE)+VLOOKUP("CP",$R$63:$T$91,3,FALSE),0)+IF(AND($S25&lt;&gt;"",$S25&lt;&gt;"--",$S25&lt;&gt;"O3/CP",$S$14=B$18),IF(LEFT($S25,1)="P",VLOOKUP(CONCATENATE(LEFT($S25,2),"H"),$R$63:$T$91,3,FALSE),VLOOKUP($S25,$R$63:$T$91,3,FALSE)))+IF(AND($S25&lt;&gt;"",$S25&lt;&gt;"O3/CP",$S$15=B$18,MID($S25,4,1)="2",$S$15&lt;&gt;$S$14),VLOOKUP(CONCATENATE(LEFT($S25,2),"L"),$R$63:$T$91,3,FALSE),0)+IF(AND($S25="O3/CP",$S$14=B$18),VLOOKUP("O3",$R$63:$T$91,3,FALSE)+VLOOKUP("CP",$R$63:$T$91,3,FALSE),0)+IF(AND($T25&lt;&gt;"",$T25&lt;&gt;"--",$T25&lt;&gt;"O3/CP",$T$14=B$18),IF(LEFT($T25,1)="P",VLOOKUP(CONCATENATE(LEFT($T25,2),"H"),$R$63:$T$91,3,FALSE),VLOOKUP($T25,$R$63:$T$91,3,FALSE)))+IF(AND($T25&lt;&gt;"",$T25&lt;&gt;"O3/CP",$T$15=B$18,MID($T25,4,1)="2",$T$15&lt;&gt;$T$14),VLOOKUP(CONCATENATE(LEFT($T25,2),"L"),$R$63:$T$91,3,FALSE),0)+IF(AND($T25="O3/CP",$T$14=B$18),VLOOKUP("O3",$R$63:$T$91,3,FALSE)+VLOOKUP("CP",$R$63:$T$91,3,FALSE),0)+IF(AND($U25&lt;&gt;"",$U25&lt;&gt;"--",$U25&lt;&gt;"O3/CP",$U$14=B$18),IF(LEFT($U25,1)="P",VLOOKUP(CONCATENATE(LEFT($U25,2),"H"),$R$63:$T$91,3,FALSE),VLOOKUP($U25,$R$63:$T$91,3,FALSE)))+IF(AND($U25&lt;&gt;"",$U25&lt;&gt;"O3/CP",$U$15=B$18,MID($U25,4,1)="2",$U$15&lt;&gt;$U$14),VLOOKUP(CONCATENATE(LEFT($U25,2),"L"),$R$63:$T$91,3,FALSE),0)+IF(AND($U25="O3/CP",$T$14=B$18),VLOOKUP("O3",$R$63:$T$91,3,FALSE)+VLOOKUP("CP",$R$63:$T$91,3,FALSE),0)+IF(AND($V25&lt;&gt;"",$V25&lt;&gt;"--",$V25&lt;&gt;"O3/CP",$V$14=B$18),IF(LEFT($V25,1)="P",VLOOKUP(CONCATENATE(LEFT($V25,2),"H"),$R$63:$T$91,3,FALSE),VLOOKUP($V25,$R$63:$T$91,3,FALSE)))+IF(AND($V25&lt;&gt;"",$V25&lt;&gt;"O3/CP",$V$15=B$18,MID($V25,4,1)="2",$V$15&lt;&gt;$V$14),VLOOKUP(CONCATENATE(LEFT($V25,2),"L"),$R$63:$T$91,3,FALSE),0)+IF(AND($V25="O3/CP",$V$14=B$18),VLOOKUP("O3",$R$63:$T$91,3,FALSE)+VLOOKUP("CP",$R$63:$T$91,3,FALSE),0)+IF(AND($W25&lt;&gt;"",$W25&lt;&gt;"--",$W25&lt;&gt;"O3/CP",$W$14=B$18),IF(LEFT($W25,1)="P",VLOOKUP(CONCATENATE(LEFT($W25,2),"H"),$R$63:$T$91,3,FALSE),VLOOKUP($W25,$R$63:$T$91,3,FALSE)))+IF(AND($W25&lt;&gt;"",$W25&lt;&gt;"O3/CP",$W$15=B$18,MID($W25,4,1)="2",$W$15&lt;&gt;$W$14),VLOOKUP(CONCATENATE(LEFT($W25,2),"L"),$R$63:$T$91,3,FALSE),0)+IF(AND($W25="O3/CP",$W$14=B$18),VLOOKUP("O3",$R$63:$T$91,3,FALSE)+VLOOKUP("CP",$R$63:$T$91,3,FALSE),0)+IF(AND($X25&lt;&gt;"",$X25&lt;&gt;"--",$X25&lt;&gt;"O3/CP",$X$14=B$18),IF(LEFT($X25,1)="P",VLOOKUP(CONCATENATE(LEFT($X25,2),"H"),$R$63:$T$91,3,FALSE),VLOOKUP($X25,$R$63:$T$91,3,FALSE)))+IF(AND($X25&lt;&gt;"",$X25&lt;&gt;"O3/CP",$X$15=B$18,MID($X25,4,1)="2",$X$15&lt;&gt;$X$14),VLOOKUP(CONCATENATE(LEFT($X25,2),"L"),$R$63:$T$91,3,FALSE),0)+IF(AND($X25="O3/CP",$X$14=B$18),VLOOKUP("O3",$R$63:$T$91,3,FALSE)+VLOOKUP("CP",$R$63:$T$91,3,FALSE),0)+IF(AND($Y25&lt;&gt;"",$Y25&lt;&gt;"--",$Y25&lt;&gt;"O3/CP",$Y$14=B$18),IF(LEFT($Y25,1)="P",VLOOKUP(CONCATENATE(LEFT($Y25,2),"H"),$R$63:$T$91,3,FALSE),VLOOKUP($Y25,$R$63:$T$91,3,FALSE)))+IF(AND($Y25&lt;&gt;"",$Y25&lt;&gt;"O3/CP",$Y$15=B$18,MID($Y25,4,1)="2",$Y$15&lt;&gt;$Y$14),VLOOKUP(CONCATENATE(LEFT($Y25,2),"L"),$R$63:$T$91,3,FALSE),0)+IF(AND($Y25="O3/CP",$Y$14=B$18),VLOOKUP("O3",$R$63:$T$91,3,FALSE)+VLOOKUP("CP",$R$63:$T$91,3,FALSE),0)+IF(AND($K$6="CE",'[3]Supply Attribution'!$G$20=B$18),LEFT($S$90,2),0)+IF(AND($X$86&lt;&gt;"Not Set",$X$87=B$18),$X$86,0)</f>
        <v>6</v>
      </c>
      <c r="C25" s="271">
        <f>IF(AND($K25&lt;&gt;"",$K25&lt;&gt;"--",$K25&lt;&gt;"O3/CP",$K$14=C$18),IF(LEFT($K25,1)="P",VLOOKUP(CONCATENATE(LEFT($K25,2),"H"),$R$63:$T$91,3,FALSE),VLOOKUP($K25,$R$63:$T$91,3,FALSE)))+IF(AND($K25&lt;&gt;"",$K25&lt;&gt;"O3/CP",$K$15=C$18,MID($K25,4,1)="2",$K$15&lt;&gt;$K$14),VLOOKUP(CONCATENATE(LEFT($K25,2),"L"),$R$63:$T$91,3,FALSE),0)+IF(AND($K25="O3/CP",$K$14=C$18),VLOOKUP("O3",$R$63:$T$91,3,FALSE)+VLOOKUP("CP",$R$63:$T$91,3,FALSE),0)+IF(AND($L25&lt;&gt;"",$L25&lt;&gt;"--",$L25&lt;&gt;"O3/CP",$L$14=C$18),IF(LEFT($L25,1)="P",VLOOKUP(CONCATENATE(LEFT($L25,2),"H"),$R$63:$T$91,3,FALSE),VLOOKUP($L25,$R$63:$T$91,3,FALSE)))+IF(AND($L25&lt;&gt;"",$L25&lt;&gt;"O3/CP",$L$15=C$18,MID($L25,4,1)="2",$L$15&lt;&gt;$L$14),VLOOKUP(CONCATENATE(LEFT($L25,2),"L"),$R$63:$T$91,3,FALSE),0)+IF(AND($L25="O3/CP",$L$14=C$18),VLOOKUP("O3",$R$63:$T$91,3,FALSE)+VLOOKUP("CP",$R$63:$T$91,3,FALSE),0)+IF(AND($M25&lt;&gt;"",$M25&lt;&gt;"--",$M25&lt;&gt;"O3/CP",$M$14=C$18),IF(LEFT($M25,1)="P",VLOOKUP(CONCATENATE(LEFT($M25,2),"H"),$R$63:$T$91,3,FALSE),VLOOKUP($M25,$R$63:$T$91,3,FALSE)))+IF(AND($M25&lt;&gt;"",$M25&lt;&gt;"O3/CP",$M$15=C$18,MID($M25,4,1)="2",$M$15&lt;&gt;$M$14),VLOOKUP(CONCATENATE(LEFT($M25,2),"L"),$R$63:$T$91,3,FALSE),0)+IF(AND($M25="O3/CP",$M$14=C$18),VLOOKUP("O3",$R$63:$T$91,3,FALSE)+VLOOKUP("CP",$R$63:$T$91,3,FALSE),0)+IF(AND($N25&lt;&gt;"",$N25&lt;&gt;"--",$N25&lt;&gt;"O3/CP",$N$14=C$18),IF(LEFT($N25,1)="P",VLOOKUP(CONCATENATE(LEFT($N25,2),"H"),$R$63:$T$91,3,FALSE),VLOOKUP($N25,$R$63:$T$91,3,FALSE)))+IF(AND($N25&lt;&gt;"",$N25&lt;&gt;"O3/CP",$N$15=C$18,MID($N25,4,1)="2",$N$15&lt;&gt;$N$14),VLOOKUP(CONCATENATE(LEFT($N25,2),"L"),$R$63:$T$91,3,FALSE),0)+IF(AND($N25="O3/CP",$N$14=C$18),VLOOKUP("O3",$R$63:$T$91,3,FALSE)+VLOOKUP("CP",$R$63:$T$91,3,FALSE),0)+IF(AND($O25&lt;&gt;"",$O25&lt;&gt;"--",$O25&lt;&gt;"O3/CP",$O$14=C$18),IF(LEFT($O25,1)="P",VLOOKUP(CONCATENATE(LEFT($O25,2),"H"),$R$63:$T$91,3,FALSE),VLOOKUP($O25,$R$63:$T$91,3,FALSE)))+IF(AND($O25&lt;&gt;"",$O25&lt;&gt;"O3/CP",$O$15=C$18,MID($O25,4,1)="2",$O$15&lt;&gt;$O$14),VLOOKUP(CONCATENATE(LEFT($O25,2),"L"),$R$63:$T$91,3,FALSE),0)+IF(AND($O25="O3/CP",$O$14=C$18),VLOOKUP("O3",$R$63:$T$91,3,FALSE)+VLOOKUP("CP",$R$63:$T$91,3,FALSE),0)+IF(AND($P25&lt;&gt;"",$P25&lt;&gt;"--",$P25&lt;&gt;"O3/CP",$P$14=C$18),IF(LEFT($P25,1)="P",VLOOKUP(CONCATENATE(LEFT($P25,2),"H"),$R$63:$T$91,3,FALSE),VLOOKUP($P25,$R$63:$T$91,3,FALSE)))+IF(AND($P25&lt;&gt;"",$P25&lt;&gt;"O3/CP",$P$15=C$18,MID($P25,4,1)="2",$P$15&lt;&gt;$P$14),VLOOKUP(CONCATENATE(LEFT($P25,2),"L"),$R$63:$T$91,3,FALSE),0)+IF(AND($P25="O3/CP",$P$14=C$18),VLOOKUP("O3",$R$63:$T$91,3,FALSE)+VLOOKUP("CP",$R$63:$T$91,3,FALSE),0)+IF(AND($Q25&lt;&gt;"",$Q25&lt;&gt;"--",$Q25&lt;&gt;"O3/CP",$Q$14=C$18),IF(LEFT($Q25,1)="P",VLOOKUP(CONCATENATE(LEFT($Q25,2),"H"),$R$63:$T$91,3,FALSE),VLOOKUP($Q25,$R$63:$T$91,3,FALSE)))+IF(AND($Q25&lt;&gt;"",$Q25&lt;&gt;"O3/CP",$Q$15=C$18,MID($Q25,4,1)="2",$Q$15&lt;&gt;$Q$14),VLOOKUP(CONCATENATE(LEFT($Q25,2),"L"),$R$63:$T$91,3,FALSE),0)+IF(AND($Q25="O3/CP",$Q$14=C$18),VLOOKUP("O3",$R$63:$T$91,3,FALSE)+VLOOKUP("CP",$R$63:$T$91,3,FALSE),0)+IF(AND($R25&lt;&gt;"",$R25&lt;&gt;"--",$R25&lt;&gt;"O3/CP",$R$14=C$18),IF(LEFT($R25,1)="P",VLOOKUP(CONCATENATE(LEFT($R25,2),"H"),$R$63:$T$91,3,FALSE),VLOOKUP($R25,$R$63:$T$91,3,FALSE)))+IF(AND($R25&lt;&gt;"",$R25&lt;&gt;"O3/CP",$R$15=C$18,MID($R25,4,1)="2",$R$15&lt;&gt;$R$14),VLOOKUP(CONCATENATE(LEFT($R25,2),"L"),$R$63:$T$91,3,FALSE),0)+IF(AND($R25="O3/CP",$R$14=C$18),VLOOKUP("O3",$R$63:$T$91,3,FALSE)+VLOOKUP("CP",$R$63:$T$91,3,FALSE),0)+IF(AND($S25&lt;&gt;"",$S25&lt;&gt;"--",$S25&lt;&gt;"O3/CP",$S$14=C$18),IF(LEFT($S25,1)="P",VLOOKUP(CONCATENATE(LEFT($S25,2),"H"),$R$63:$T$91,3,FALSE),VLOOKUP($S25,$R$63:$T$91,3,FALSE)))+IF(AND($S25&lt;&gt;"",$S25&lt;&gt;"O3/CP",$S$15=C$18,MID($S25,4,1)="2",$S$15&lt;&gt;$S$14),VLOOKUP(CONCATENATE(LEFT($S25,2),"L"),$R$63:$T$91,3,FALSE),0)+IF(AND($S25="O3/CP",$S$14=C$18),VLOOKUP("O3",$R$63:$T$91,3,FALSE)+VLOOKUP("CP",$R$63:$T$91,3,FALSE),0)+IF(AND($T25&lt;&gt;"",$T25&lt;&gt;"--",$T25&lt;&gt;"O3/CP",$T$14=C$18),IF(LEFT($T25,1)="P",VLOOKUP(CONCATENATE(LEFT($T25,2),"H"),$R$63:$T$91,3,FALSE),VLOOKUP($T25,$R$63:$T$91,3,FALSE)))+IF(AND($T25&lt;&gt;"",$T25&lt;&gt;"O3/CP",$T$15=C$18,MID($T25,4,1)="2",$T$15&lt;&gt;$T$14),VLOOKUP(CONCATENATE(LEFT($T25,2),"L"),$R$63:$T$91,3,FALSE),0)+IF(AND($T25="O3/CP",$T$14=C$18),VLOOKUP("O3",$R$63:$T$91,3,FALSE)+VLOOKUP("CP",$R$63:$T$91,3,FALSE),0)+IF(AND($U25&lt;&gt;"",$U25&lt;&gt;"--",$U25&lt;&gt;"O3/CP",$U$14=C$18),IF(LEFT($U25,1)="P",VLOOKUP(CONCATENATE(LEFT($U25,2),"H"),$R$63:$T$91,3,FALSE),VLOOKUP($U25,$R$63:$T$91,3,FALSE)))+IF(AND($U25&lt;&gt;"",$U25&lt;&gt;"O3/CP",$U$15=C$18,MID($U25,4,1)="2",$U$15&lt;&gt;$U$14),VLOOKUP(CONCATENATE(LEFT($U25,2),"L"),$R$63:$T$91,3,FALSE),0)+IF(AND($U25="O3/CP",$T$14=C$18),VLOOKUP("O3",$R$63:$T$91,3,FALSE)+VLOOKUP("CP",$R$63:$T$91,3,FALSE),0)+IF(AND($V25&lt;&gt;"",$V25&lt;&gt;"--",$V25&lt;&gt;"O3/CP",$V$14=C$18),IF(LEFT($V25,1)="P",VLOOKUP(CONCATENATE(LEFT($V25,2),"H"),$R$63:$T$91,3,FALSE),VLOOKUP($V25,$R$63:$T$91,3,FALSE)))+IF(AND($V25&lt;&gt;"",$V25&lt;&gt;"O3/CP",$V$15=C$18,MID($V25,4,1)="2",$V$15&lt;&gt;$V$14),VLOOKUP(CONCATENATE(LEFT($V25,2),"L"),$R$63:$T$91,3,FALSE),0)+IF(AND($V25="O3/CP",$V$14=C$18),VLOOKUP("O3",$R$63:$T$91,3,FALSE)+VLOOKUP("CP",$R$63:$T$91,3,FALSE),0)+IF(AND($W25&lt;&gt;"",$W25&lt;&gt;"--",$W25&lt;&gt;"O3/CP",$W$14=C$18),IF(LEFT($W25,1)="P",VLOOKUP(CONCATENATE(LEFT($W25,2),"H"),$R$63:$T$91,3,FALSE),VLOOKUP($W25,$R$63:$T$91,3,FALSE)))+IF(AND($W25&lt;&gt;"",$W25&lt;&gt;"O3/CP",$W$15=C$18,MID($W25,4,1)="2",$W$15&lt;&gt;$W$14),VLOOKUP(CONCATENATE(LEFT($W25,2),"L"),$R$63:$T$91,3,FALSE),0)+IF(AND($W25="O3/CP",$W$14=C$18),VLOOKUP("O3",$R$63:$T$91,3,FALSE)+VLOOKUP("CP",$R$63:$T$91,3,FALSE),0)+IF(AND($X25&lt;&gt;"",$X25&lt;&gt;"--",$X25&lt;&gt;"O3/CP",$X$14=C$18),IF(LEFT($X25,1)="P",VLOOKUP(CONCATENATE(LEFT($X25,2),"H"),$R$63:$T$91,3,FALSE),VLOOKUP($X25,$R$63:$T$91,3,FALSE)))+IF(AND($X25&lt;&gt;"",$X25&lt;&gt;"O3/CP",$X$15=C$18,MID($X25,4,1)="2",$X$15&lt;&gt;$X$14),VLOOKUP(CONCATENATE(LEFT($X25,2),"L"),$R$63:$T$91,3,FALSE),0)+IF(AND($X25="O3/CP",$X$14=C$18),VLOOKUP("O3",$R$63:$T$91,3,FALSE)+VLOOKUP("CP",$R$63:$T$91,3,FALSE),0)+IF(AND($Y25&lt;&gt;"",$Y25&lt;&gt;"--",$Y25&lt;&gt;"O3/CP",$Y$14=C$18),IF(LEFT($Y25,1)="P",VLOOKUP(CONCATENATE(LEFT($Y25,2),"H"),$R$63:$T$91,3,FALSE),VLOOKUP($Y25,$R$63:$T$91,3,FALSE)))+IF(AND($Y25&lt;&gt;"",$Y25&lt;&gt;"O3/CP",$Y$15=C$18,MID($Y25,4,1)="2",$Y$15&lt;&gt;$Y$14),VLOOKUP(CONCATENATE(LEFT($Y25,2),"L"),$R$63:$T$91,3,FALSE),0)+IF(AND($Y25="O3/CP",$Y$14=C$18),VLOOKUP("O3",$R$63:$T$91,3,FALSE)+VLOOKUP("CP",$R$63:$T$91,3,FALSE),0)+IF(AND($K$6="CE",'[3]Supply Attribution'!$G$20=C$18),LEFT($S$90,2),0)+IF(AND($X$86&lt;&gt;"Not Set",$X$87=C$18),$X$86,0)</f>
        <v>12</v>
      </c>
      <c r="D25" s="271">
        <f>IF(AND($K25&lt;&gt;"",$K25&lt;&gt;"--",$K25&lt;&gt;"O3/CP",$K$14=D$18),IF(LEFT($K25,1)="P",VLOOKUP(CONCATENATE(LEFT($K25,2),"H"),$R$63:$T$91,3,FALSE),VLOOKUP($K25,$R$63:$T$91,3,FALSE)))+IF(AND($K25&lt;&gt;"",$K25&lt;&gt;"O3/CP",$K$15=D$18,MID($K25,4,1)="2",$K$15&lt;&gt;$K$14),VLOOKUP(CONCATENATE(LEFT($K25,2),"L"),$R$63:$T$91,3,FALSE),0)+IF(AND($K25="O3/CP",$K$14=D$18),VLOOKUP("O3",$R$63:$T$91,3,FALSE)+VLOOKUP("CP",$R$63:$T$91,3,FALSE),0)+IF(AND($L25&lt;&gt;"",$L25&lt;&gt;"--",$L25&lt;&gt;"O3/CP",$L$14=D$18),IF(LEFT($L25,1)="P",VLOOKUP(CONCATENATE(LEFT($L25,2),"H"),$R$63:$T$91,3,FALSE),VLOOKUP($L25,$R$63:$T$91,3,FALSE)))+IF(AND($L25&lt;&gt;"",$L25&lt;&gt;"O3/CP",$L$15=D$18,MID($L25,4,1)="2",$L$15&lt;&gt;$L$14),VLOOKUP(CONCATENATE(LEFT($L25,2),"L"),$R$63:$T$91,3,FALSE),0)+IF(AND($L25="O3/CP",$L$14=D$18),VLOOKUP("O3",$R$63:$T$91,3,FALSE)+VLOOKUP("CP",$R$63:$T$91,3,FALSE),0)+IF(AND($M25&lt;&gt;"",$M25&lt;&gt;"--",$M25&lt;&gt;"O3/CP",$M$14=D$18),IF(LEFT($M25,1)="P",VLOOKUP(CONCATENATE(LEFT($M25,2),"H"),$R$63:$T$91,3,FALSE),VLOOKUP($M25,$R$63:$T$91,3,FALSE)))+IF(AND($M25&lt;&gt;"",$M25&lt;&gt;"O3/CP",$M$15=D$18,MID($M25,4,1)="2",$M$15&lt;&gt;$M$14),VLOOKUP(CONCATENATE(LEFT($M25,2),"L"),$R$63:$T$91,3,FALSE),0)+IF(AND($M25="O3/CP",$M$14=D$18),VLOOKUP("O3",$R$63:$T$91,3,FALSE)+VLOOKUP("CP",$R$63:$T$91,3,FALSE),0)+IF(AND($N25&lt;&gt;"",$N25&lt;&gt;"--",$N25&lt;&gt;"O3/CP",$N$14=D$18),IF(LEFT($N25,1)="P",VLOOKUP(CONCATENATE(LEFT($N25,2),"H"),$R$63:$T$91,3,FALSE),VLOOKUP($N25,$R$63:$T$91,3,FALSE)))+IF(AND($N25&lt;&gt;"",$N25&lt;&gt;"O3/CP",$N$15=D$18,MID($N25,4,1)="2",$N$15&lt;&gt;$N$14),VLOOKUP(CONCATENATE(LEFT($N25,2),"L"),$R$63:$T$91,3,FALSE),0)+IF(AND($N25="O3/CP",$N$14=D$18),VLOOKUP("O3",$R$63:$T$91,3,FALSE)+VLOOKUP("CP",$R$63:$T$91,3,FALSE),0)+IF(AND($O25&lt;&gt;"",$O25&lt;&gt;"--",$O25&lt;&gt;"O3/CP",$O$14=D$18),IF(LEFT($O25,1)="P",VLOOKUP(CONCATENATE(LEFT($O25,2),"H"),$R$63:$T$91,3,FALSE),VLOOKUP($O25,$R$63:$T$91,3,FALSE)))+IF(AND($O25&lt;&gt;"",$O25&lt;&gt;"O3/CP",$O$15=D$18,MID($O25,4,1)="2",$O$15&lt;&gt;$O$14),VLOOKUP(CONCATENATE(LEFT($O25,2),"L"),$R$63:$T$91,3,FALSE),0)+IF(AND($O25="O3/CP",$O$14=D$18),VLOOKUP("O3",$R$63:$T$91,3,FALSE)+VLOOKUP("CP",$R$63:$T$91,3,FALSE),0)+IF(AND($P25&lt;&gt;"",$P25&lt;&gt;"--",$P25&lt;&gt;"O3/CP",$P$14=D$18),IF(LEFT($P25,1)="P",VLOOKUP(CONCATENATE(LEFT($P25,2),"H"),$R$63:$T$91,3,FALSE),VLOOKUP($P25,$R$63:$T$91,3,FALSE)))+IF(AND($P25&lt;&gt;"",$P25&lt;&gt;"O3/CP",$P$15=D$18,MID($P25,4,1)="2",$P$15&lt;&gt;$P$14),VLOOKUP(CONCATENATE(LEFT($P25,2),"L"),$R$63:$T$91,3,FALSE),0)+IF(AND($P25="O3/CP",$P$14=D$18),VLOOKUP("O3",$R$63:$T$91,3,FALSE)+VLOOKUP("CP",$R$63:$T$91,3,FALSE),0)+IF(AND($Q25&lt;&gt;"",$Q25&lt;&gt;"--",$Q25&lt;&gt;"O3/CP",$Q$14=D$18),IF(LEFT($Q25,1)="P",VLOOKUP(CONCATENATE(LEFT($Q25,2),"H"),$R$63:$T$91,3,FALSE),VLOOKUP($Q25,$R$63:$T$91,3,FALSE)))+IF(AND($Q25&lt;&gt;"",$Q25&lt;&gt;"O3/CP",$Q$15=D$18,MID($Q25,4,1)="2",$Q$15&lt;&gt;$Q$14),VLOOKUP(CONCATENATE(LEFT($Q25,2),"L"),$R$63:$T$91,3,FALSE),0)+IF(AND($Q25="O3/CP",$Q$14=D$18),VLOOKUP("O3",$R$63:$T$91,3,FALSE)+VLOOKUP("CP",$R$63:$T$91,3,FALSE),0)+IF(AND($R25&lt;&gt;"",$R25&lt;&gt;"--",$R25&lt;&gt;"O3/CP",$R$14=D$18),IF(LEFT($R25,1)="P",VLOOKUP(CONCATENATE(LEFT($R25,2),"H"),$R$63:$T$91,3,FALSE),VLOOKUP($R25,$R$63:$T$91,3,FALSE)))+IF(AND($R25&lt;&gt;"",$R25&lt;&gt;"O3/CP",$R$15=D$18,MID($R25,4,1)="2",$R$15&lt;&gt;$R$14),VLOOKUP(CONCATENATE(LEFT($R25,2),"L"),$R$63:$T$91,3,FALSE),0)+IF(AND($R25="O3/CP",$R$14=D$18),VLOOKUP("O3",$R$63:$T$91,3,FALSE)+VLOOKUP("CP",$R$63:$T$91,3,FALSE),0)+IF(AND($S25&lt;&gt;"",$S25&lt;&gt;"--",$S25&lt;&gt;"O3/CP",$S$14=D$18),IF(LEFT($S25,1)="P",VLOOKUP(CONCATENATE(LEFT($S25,2),"H"),$R$63:$T$91,3,FALSE),VLOOKUP($S25,$R$63:$T$91,3,FALSE)))+IF(AND($S25&lt;&gt;"",$S25&lt;&gt;"O3/CP",$S$15=D$18,MID($S25,4,1)="2",$S$15&lt;&gt;$S$14),VLOOKUP(CONCATENATE(LEFT($S25,2),"L"),$R$63:$T$91,3,FALSE),0)+IF(AND($S25="O3/CP",$S$14=D$18),VLOOKUP("O3",$R$63:$T$91,3,FALSE)+VLOOKUP("CP",$R$63:$T$91,3,FALSE),0)+IF(AND($T25&lt;&gt;"",$T25&lt;&gt;"--",$T25&lt;&gt;"O3/CP",$T$14=D$18),IF(LEFT($T25,1)="P",VLOOKUP(CONCATENATE(LEFT($T25,2),"H"),$R$63:$T$91,3,FALSE),VLOOKUP($T25,$R$63:$T$91,3,FALSE)))+IF(AND($T25&lt;&gt;"",$T25&lt;&gt;"O3/CP",$T$15=D$18,MID($T25,4,1)="2",$T$15&lt;&gt;$T$14),VLOOKUP(CONCATENATE(LEFT($T25,2),"L"),$R$63:$T$91,3,FALSE),0)+IF(AND($T25="O3/CP",$T$14=D$18),VLOOKUP("O3",$R$63:$T$91,3,FALSE)+VLOOKUP("CP",$R$63:$T$91,3,FALSE),0)+IF(AND($U25&lt;&gt;"",$U25&lt;&gt;"--",$U25&lt;&gt;"O3/CP",$U$14=D$18),IF(LEFT($U25,1)="P",VLOOKUP(CONCATENATE(LEFT($U25,2),"H"),$R$63:$T$91,3,FALSE),VLOOKUP($U25,$R$63:$T$91,3,FALSE)))+IF(AND($U25&lt;&gt;"",$U25&lt;&gt;"O3/CP",$U$15=D$18,MID($U25,4,1)="2",$U$15&lt;&gt;$U$14),VLOOKUP(CONCATENATE(LEFT($U25,2),"L"),$R$63:$T$91,3,FALSE),0)+IF(AND($U25="O3/CP",$T$14=D$18),VLOOKUP("O3",$R$63:$T$91,3,FALSE)+VLOOKUP("CP",$R$63:$T$91,3,FALSE),0)+IF(AND($V25&lt;&gt;"",$V25&lt;&gt;"--",$V25&lt;&gt;"O3/CP",$V$14=D$18),IF(LEFT($V25,1)="P",VLOOKUP(CONCATENATE(LEFT($V25,2),"H"),$R$63:$T$91,3,FALSE),VLOOKUP($V25,$R$63:$T$91,3,FALSE)))+IF(AND($V25&lt;&gt;"",$V25&lt;&gt;"O3/CP",$V$15=D$18,MID($V25,4,1)="2",$V$15&lt;&gt;$V$14),VLOOKUP(CONCATENATE(LEFT($V25,2),"L"),$R$63:$T$91,3,FALSE),0)+IF(AND($V25="O3/CP",$V$14=D$18),VLOOKUP("O3",$R$63:$T$91,3,FALSE)+VLOOKUP("CP",$R$63:$T$91,3,FALSE),0)+IF(AND($W25&lt;&gt;"",$W25&lt;&gt;"--",$W25&lt;&gt;"O3/CP",$W$14=D$18),IF(LEFT($W25,1)="P",VLOOKUP(CONCATENATE(LEFT($W25,2),"H"),$R$63:$T$91,3,FALSE),VLOOKUP($W25,$R$63:$T$91,3,FALSE)))+IF(AND($W25&lt;&gt;"",$W25&lt;&gt;"O3/CP",$W$15=D$18,MID($W25,4,1)="2",$W$15&lt;&gt;$W$14),VLOOKUP(CONCATENATE(LEFT($W25,2),"L"),$R$63:$T$91,3,FALSE),0)+IF(AND($W25="O3/CP",$W$14=D$18),VLOOKUP("O3",$R$63:$T$91,3,FALSE)+VLOOKUP("CP",$R$63:$T$91,3,FALSE),0)+IF(AND($X25&lt;&gt;"",$X25&lt;&gt;"--",$X25&lt;&gt;"O3/CP",$X$14=D$18),IF(LEFT($X25,1)="P",VLOOKUP(CONCATENATE(LEFT($X25,2),"H"),$R$63:$T$91,3,FALSE),VLOOKUP($X25,$R$63:$T$91,3,FALSE)))+IF(AND($X25&lt;&gt;"",$X25&lt;&gt;"O3/CP",$X$15=D$18,MID($X25,4,1)="2",$X$15&lt;&gt;$X$14),VLOOKUP(CONCATENATE(LEFT($X25,2),"L"),$R$63:$T$91,3,FALSE),0)+IF(AND($X25="O3/CP",$X$14=D$18),VLOOKUP("O3",$R$63:$T$91,3,FALSE)+VLOOKUP("CP",$R$63:$T$91,3,FALSE),0)+IF(AND($Y25&lt;&gt;"",$Y25&lt;&gt;"--",$Y25&lt;&gt;"O3/CP",$Y$14=D$18),IF(LEFT($Y25,1)="P",VLOOKUP(CONCATENATE(LEFT($Y25,2),"H"),$R$63:$T$91,3,FALSE),VLOOKUP($Y25,$R$63:$T$91,3,FALSE)))+IF(AND($Y25&lt;&gt;"",$Y25&lt;&gt;"O3/CP",$Y$15=D$18,MID($Y25,4,1)="2",$Y$15&lt;&gt;$Y$14),VLOOKUP(CONCATENATE(LEFT($Y25,2),"L"),$R$63:$T$91,3,FALSE),0)+IF(AND($Y25="O3/CP",$Y$14=D$18),VLOOKUP("O3",$R$63:$T$91,3,FALSE)+VLOOKUP("CP",$R$63:$T$91,3,FALSE),0)+IF(AND($K$6="CE",'[3]Supply Attribution'!$G$20=D$18),LEFT($S$90,2),0)+IF(AND($X$86&lt;&gt;"Not Set",$X$87=D$18),$X$86,0)</f>
        <v>0</v>
      </c>
      <c r="E25" s="271">
        <f>IF(AND($K25&lt;&gt;"",$K25&lt;&gt;"--",$K25&lt;&gt;"O3/CP",$K$14=E$18),IF(LEFT($K25,1)="P",VLOOKUP(CONCATENATE(LEFT($K25,2),"H"),$R$63:$T$91,3,FALSE),VLOOKUP($K25,$R$63:$T$91,3,FALSE)))+IF(AND($K25&lt;&gt;"",$K25&lt;&gt;"O3/CP",$K$15=E$18,MID($K25,4,1)="2",$K$15&lt;&gt;$K$14),VLOOKUP(CONCATENATE(LEFT($K25,2),"L"),$R$63:$T$91,3,FALSE),0)+IF(AND($K25="O3/CP",$K$14=E$18),VLOOKUP("O3",$R$63:$T$91,3,FALSE)+VLOOKUP("CP",$R$63:$T$91,3,FALSE),0)+IF(AND($L25&lt;&gt;"",$L25&lt;&gt;"--",$L25&lt;&gt;"O3/CP",$L$14=E$18),IF(LEFT($L25,1)="P",VLOOKUP(CONCATENATE(LEFT($L25,2),"H"),$R$63:$T$91,3,FALSE),VLOOKUP($L25,$R$63:$T$91,3,FALSE)))+IF(AND($L25&lt;&gt;"",$L25&lt;&gt;"O3/CP",$L$15=E$18,MID($L25,4,1)="2",$L$15&lt;&gt;$L$14),VLOOKUP(CONCATENATE(LEFT($L25,2),"L"),$R$63:$T$91,3,FALSE),0)+IF(AND($L25="O3/CP",$L$14=E$18),VLOOKUP("O3",$R$63:$T$91,3,FALSE)+VLOOKUP("CP",$R$63:$T$91,3,FALSE),0)+IF(AND($M25&lt;&gt;"",$M25&lt;&gt;"--",$M25&lt;&gt;"O3/CP",$M$14=E$18),IF(LEFT($M25,1)="P",VLOOKUP(CONCATENATE(LEFT($M25,2),"H"),$R$63:$T$91,3,FALSE),VLOOKUP($M25,$R$63:$T$91,3,FALSE)))+IF(AND($M25&lt;&gt;"",$M25&lt;&gt;"O3/CP",$M$15=E$18,MID($M25,4,1)="2",$M$15&lt;&gt;$M$14),VLOOKUP(CONCATENATE(LEFT($M25,2),"L"),$R$63:$T$91,3,FALSE),0)+IF(AND($M25="O3/CP",$M$14=E$18),VLOOKUP("O3",$R$63:$T$91,3,FALSE)+VLOOKUP("CP",$R$63:$T$91,3,FALSE),0)+IF(AND($N25&lt;&gt;"",$N25&lt;&gt;"--",$N25&lt;&gt;"O3/CP",$N$14=E$18),IF(LEFT($N25,1)="P",VLOOKUP(CONCATENATE(LEFT($N25,2),"H"),$R$63:$T$91,3,FALSE),VLOOKUP($N25,$R$63:$T$91,3,FALSE)))+IF(AND($N25&lt;&gt;"",$N25&lt;&gt;"O3/CP",$N$15=E$18,MID($N25,4,1)="2",$N$15&lt;&gt;$N$14),VLOOKUP(CONCATENATE(LEFT($N25,2),"L"),$R$63:$T$91,3,FALSE),0)+IF(AND($N25="O3/CP",$N$14=E$18),VLOOKUP("O3",$R$63:$T$91,3,FALSE)+VLOOKUP("CP",$R$63:$T$91,3,FALSE),0)+IF(AND($O25&lt;&gt;"",$O25&lt;&gt;"--",$O25&lt;&gt;"O3/CP",$O$14=E$18),IF(LEFT($O25,1)="P",VLOOKUP(CONCATENATE(LEFT($O25,2),"H"),$R$63:$T$91,3,FALSE),VLOOKUP($O25,$R$63:$T$91,3,FALSE)))+IF(AND($O25&lt;&gt;"",$O25&lt;&gt;"O3/CP",$O$15=E$18,MID($O25,4,1)="2",$O$15&lt;&gt;$O$14),VLOOKUP(CONCATENATE(LEFT($O25,2),"L"),$R$63:$T$91,3,FALSE),0)+IF(AND($O25="O3/CP",$O$14=E$18),VLOOKUP("O3",$R$63:$T$91,3,FALSE)+VLOOKUP("CP",$R$63:$T$91,3,FALSE),0)+IF(AND($P25&lt;&gt;"",$P25&lt;&gt;"--",$P25&lt;&gt;"O3/CP",$P$14=E$18),IF(LEFT($P25,1)="P",VLOOKUP(CONCATENATE(LEFT($P25,2),"H"),$R$63:$T$91,3,FALSE),VLOOKUP($P25,$R$63:$T$91,3,FALSE)))+IF(AND($P25&lt;&gt;"",$P25&lt;&gt;"O3/CP",$P$15=E$18,MID($P25,4,1)="2",$P$15&lt;&gt;$P$14),VLOOKUP(CONCATENATE(LEFT($P25,2),"L"),$R$63:$T$91,3,FALSE),0)+IF(AND($P25="O3/CP",$P$14=E$18),VLOOKUP("O3",$R$63:$T$91,3,FALSE)+VLOOKUP("CP",$R$63:$T$91,3,FALSE),0)+IF(AND($Q25&lt;&gt;"",$Q25&lt;&gt;"--",$Q25&lt;&gt;"O3/CP",$Q$14=E$18),IF(LEFT($Q25,1)="P",VLOOKUP(CONCATENATE(LEFT($Q25,2),"H"),$R$63:$T$91,3,FALSE),VLOOKUP($Q25,$R$63:$T$91,3,FALSE)))+IF(AND($Q25&lt;&gt;"",$Q25&lt;&gt;"O3/CP",$Q$15=E$18,MID($Q25,4,1)="2",$Q$15&lt;&gt;$Q$14),VLOOKUP(CONCATENATE(LEFT($Q25,2),"L"),$R$63:$T$91,3,FALSE),0)+IF(AND($Q25="O3/CP",$Q$14=E$18),VLOOKUP("O3",$R$63:$T$91,3,FALSE)+VLOOKUP("CP",$R$63:$T$91,3,FALSE),0)+IF(AND($R25&lt;&gt;"",$R25&lt;&gt;"--",$R25&lt;&gt;"O3/CP",$R$14=E$18),IF(LEFT($R25,1)="P",VLOOKUP(CONCATENATE(LEFT($R25,2),"H"),$R$63:$T$91,3,FALSE),VLOOKUP($R25,$R$63:$T$91,3,FALSE)))+IF(AND($R25&lt;&gt;"",$R25&lt;&gt;"O3/CP",$R$15=E$18,MID($R25,4,1)="2",$R$15&lt;&gt;$R$14),VLOOKUP(CONCATENATE(LEFT($R25,2),"L"),$R$63:$T$91,3,FALSE),0)+IF(AND($R25="O3/CP",$R$14=E$18),VLOOKUP("O3",$R$63:$T$91,3,FALSE)+VLOOKUP("CP",$R$63:$T$91,3,FALSE),0)+IF(AND($S25&lt;&gt;"",$S25&lt;&gt;"--",$S25&lt;&gt;"O3/CP",$S$14=E$18),IF(LEFT($S25,1)="P",VLOOKUP(CONCATENATE(LEFT($S25,2),"H"),$R$63:$T$91,3,FALSE),VLOOKUP($S25,$R$63:$T$91,3,FALSE)))+IF(AND($S25&lt;&gt;"",$S25&lt;&gt;"O3/CP",$S$15=E$18,MID($S25,4,1)="2",$S$15&lt;&gt;$S$14),VLOOKUP(CONCATENATE(LEFT($S25,2),"L"),$R$63:$T$91,3,FALSE),0)+IF(AND($S25="O3/CP",$S$14=E$18),VLOOKUP("O3",$R$63:$T$91,3,FALSE)+VLOOKUP("CP",$R$63:$T$91,3,FALSE),0)+IF(AND($T25&lt;&gt;"",$T25&lt;&gt;"--",$T25&lt;&gt;"O3/CP",$T$14=E$18),IF(LEFT($T25,1)="P",VLOOKUP(CONCATENATE(LEFT($T25,2),"H"),$R$63:$T$91,3,FALSE),VLOOKUP($T25,$R$63:$T$91,3,FALSE)))+IF(AND($T25&lt;&gt;"",$T25&lt;&gt;"O3/CP",$T$15=E$18,MID($T25,4,1)="2",$T$15&lt;&gt;$T$14),VLOOKUP(CONCATENATE(LEFT($T25,2),"L"),$R$63:$T$91,3,FALSE),0)+IF(AND($T25="O3/CP",$T$14=E$18),VLOOKUP("O3",$R$63:$T$91,3,FALSE)+VLOOKUP("CP",$R$63:$T$91,3,FALSE),0)+IF(AND($U25&lt;&gt;"",$U25&lt;&gt;"--",$U25&lt;&gt;"O3/CP",$U$14=E$18),IF(LEFT($U25,1)="P",VLOOKUP(CONCATENATE(LEFT($U25,2),"H"),$R$63:$T$91,3,FALSE),VLOOKUP($U25,$R$63:$T$91,3,FALSE)))+IF(AND($U25&lt;&gt;"",$U25&lt;&gt;"O3/CP",$U$15=E$18,MID($U25,4,1)="2",$U$15&lt;&gt;$U$14),VLOOKUP(CONCATENATE(LEFT($U25,2),"L"),$R$63:$T$91,3,FALSE),0)+IF(AND($U25="O3/CP",$T$14=E$18),VLOOKUP("O3",$R$63:$T$91,3,FALSE)+VLOOKUP("CP",$R$63:$T$91,3,FALSE),0)+IF(AND($V25&lt;&gt;"",$V25&lt;&gt;"--",$V25&lt;&gt;"O3/CP",$V$14=E$18),IF(LEFT($V25,1)="P",VLOOKUP(CONCATENATE(LEFT($V25,2),"H"),$R$63:$T$91,3,FALSE),VLOOKUP($V25,$R$63:$T$91,3,FALSE)))+IF(AND($V25&lt;&gt;"",$V25&lt;&gt;"O3/CP",$V$15=E$18,MID($V25,4,1)="2",$V$15&lt;&gt;$V$14),VLOOKUP(CONCATENATE(LEFT($V25,2),"L"),$R$63:$T$91,3,FALSE),0)+IF(AND($V25="O3/CP",$V$14=E$18),VLOOKUP("O3",$R$63:$T$91,3,FALSE)+VLOOKUP("CP",$R$63:$T$91,3,FALSE),0)+IF(AND($W25&lt;&gt;"",$W25&lt;&gt;"--",$W25&lt;&gt;"O3/CP",$W$14=E$18),IF(LEFT($W25,1)="P",VLOOKUP(CONCATENATE(LEFT($W25,2),"H"),$R$63:$T$91,3,FALSE),VLOOKUP($W25,$R$63:$T$91,3,FALSE)))+IF(AND($W25&lt;&gt;"",$W25&lt;&gt;"O3/CP",$W$15=E$18,MID($W25,4,1)="2",$W$15&lt;&gt;$W$14),VLOOKUP(CONCATENATE(LEFT($W25,2),"L"),$R$63:$T$91,3,FALSE),0)+IF(AND($W25="O3/CP",$W$14=E$18),VLOOKUP("O3",$R$63:$T$91,3,FALSE)+VLOOKUP("CP",$R$63:$T$91,3,FALSE),0)+IF(AND($X25&lt;&gt;"",$X25&lt;&gt;"--",$X25&lt;&gt;"O3/CP",$X$14=E$18),IF(LEFT($X25,1)="P",VLOOKUP(CONCATENATE(LEFT($X25,2),"H"),$R$63:$T$91,3,FALSE),VLOOKUP($X25,$R$63:$T$91,3,FALSE)))+IF(AND($X25&lt;&gt;"",$X25&lt;&gt;"O3/CP",$X$15=E$18,MID($X25,4,1)="2",$X$15&lt;&gt;$X$14),VLOOKUP(CONCATENATE(LEFT($X25,2),"L"),$R$63:$T$91,3,FALSE),0)+IF(AND($X25="O3/CP",$X$14=E$18),VLOOKUP("O3",$R$63:$T$91,3,FALSE)+VLOOKUP("CP",$R$63:$T$91,3,FALSE),0)+IF(AND($Y25&lt;&gt;"",$Y25&lt;&gt;"--",$Y25&lt;&gt;"O3/CP",$Y$14=E$18),IF(LEFT($Y25,1)="P",VLOOKUP(CONCATENATE(LEFT($Y25,2),"H"),$R$63:$T$91,3,FALSE),VLOOKUP($Y25,$R$63:$T$91,3,FALSE)))+IF(AND($Y25&lt;&gt;"",$Y25&lt;&gt;"O3/CP",$Y$15=E$18,MID($Y25,4,1)="2",$Y$15&lt;&gt;$Y$14),VLOOKUP(CONCATENATE(LEFT($Y25,2),"L"),$R$63:$T$91,3,FALSE),0)+IF(AND($Y25="O3/CP",$Y$14=E$18),VLOOKUP("O3",$R$63:$T$91,3,FALSE)+VLOOKUP("CP",$R$63:$T$91,3,FALSE),0)+IF(AND($K$6="CE",'[3]Supply Attribution'!$G$20=E$18),LEFT($S$90,2),0)+IF(AND($X$86&lt;&gt;"Not Set",$X$87=E$18),$X$86,0)</f>
        <v>0</v>
      </c>
      <c r="F25" s="272">
        <f>IF(AND($K25&lt;&gt;"",$K25&lt;&gt;"--",$K25&lt;&gt;"O3/CP",$K$14=F$18),IF(LEFT($K25,1)="P",VLOOKUP(CONCATENATE(LEFT($K25,2),"H"),$R$63:$T$91,3,FALSE),VLOOKUP($K25,$R$63:$T$91,3,FALSE)))+IF(AND($K25&lt;&gt;"",$K25&lt;&gt;"O3/CP",$K$15=F$18,MID($K25,4,1)="2",$K$15&lt;&gt;$K$14),VLOOKUP(CONCATENATE(LEFT($K25,2),"L"),$R$63:$T$91,3,FALSE),0)+IF(AND($K25="O3/CP",$K$14=F$18),VLOOKUP("O3",$R$63:$T$91,3,FALSE)+VLOOKUP("CP",$R$63:$T$91,3,FALSE),0)+IF(AND($L25&lt;&gt;"",$L25&lt;&gt;"--",$L25&lt;&gt;"O3/CP",$L$14=F$18),IF(LEFT($L25,1)="P",VLOOKUP(CONCATENATE(LEFT($L25,2),"H"),$R$63:$T$91,3,FALSE),VLOOKUP($L25,$R$63:$T$91,3,FALSE)))+IF(AND($L25&lt;&gt;"",$L25&lt;&gt;"O3/CP",$L$15=F$18,MID($L25,4,1)="2",$L$15&lt;&gt;$L$14),VLOOKUP(CONCATENATE(LEFT($L25,2),"L"),$R$63:$T$91,3,FALSE),0)+IF(AND($L25="O3/CP",$L$14=F$18),VLOOKUP("O3",$R$63:$T$91,3,FALSE)+VLOOKUP("CP",$R$63:$T$91,3,FALSE),0)+IF(AND($M25&lt;&gt;"",$M25&lt;&gt;"--",$M25&lt;&gt;"O3/CP",$M$14=F$18),IF(LEFT($M25,1)="P",VLOOKUP(CONCATENATE(LEFT($M25,2),"H"),$R$63:$T$91,3,FALSE),VLOOKUP($M25,$R$63:$T$91,3,FALSE)))+IF(AND($M25&lt;&gt;"",$M25&lt;&gt;"O3/CP",$M$15=F$18,MID($M25,4,1)="2",$M$15&lt;&gt;$M$14),VLOOKUP(CONCATENATE(LEFT($M25,2),"L"),$R$63:$T$91,3,FALSE),0)+IF(AND($M25="O3/CP",$M$14=F$18),VLOOKUP("O3",$R$63:$T$91,3,FALSE)+VLOOKUP("CP",$R$63:$T$91,3,FALSE),0)+IF(AND($N25&lt;&gt;"",$N25&lt;&gt;"--",$N25&lt;&gt;"O3/CP",$N$14=F$18),IF(LEFT($N25,1)="P",VLOOKUP(CONCATENATE(LEFT($N25,2),"H"),$R$63:$T$91,3,FALSE),VLOOKUP($N25,$R$63:$T$91,3,FALSE)))+IF(AND($N25&lt;&gt;"",$N25&lt;&gt;"O3/CP",$N$15=F$18,MID($N25,4,1)="2",$N$15&lt;&gt;$N$14),VLOOKUP(CONCATENATE(LEFT($N25,2),"L"),$R$63:$T$91,3,FALSE),0)+IF(AND($N25="O3/CP",$N$14=F$18),VLOOKUP("O3",$R$63:$T$91,3,FALSE)+VLOOKUP("CP",$R$63:$T$91,3,FALSE),0)+IF(AND($O25&lt;&gt;"",$O25&lt;&gt;"--",$O25&lt;&gt;"O3/CP",$O$14=F$18),IF(LEFT($O25,1)="P",VLOOKUP(CONCATENATE(LEFT($O25,2),"H"),$R$63:$T$91,3,FALSE),VLOOKUP($O25,$R$63:$T$91,3,FALSE)))+IF(AND($O25&lt;&gt;"",$O25&lt;&gt;"O3/CP",$O$15=F$18,MID($O25,4,1)="2",$O$15&lt;&gt;$O$14),VLOOKUP(CONCATENATE(LEFT($O25,2),"L"),$R$63:$T$91,3,FALSE),0)+IF(AND($O25="O3/CP",$O$14=F$18),VLOOKUP("O3",$R$63:$T$91,3,FALSE)+VLOOKUP("CP",$R$63:$T$91,3,FALSE),0)+IF(AND($P25&lt;&gt;"",$P25&lt;&gt;"--",$P25&lt;&gt;"O3/CP",$P$14=F$18),IF(LEFT($P25,1)="P",VLOOKUP(CONCATENATE(LEFT($P25,2),"H"),$R$63:$T$91,3,FALSE),VLOOKUP($P25,$R$63:$T$91,3,FALSE)))+IF(AND($P25&lt;&gt;"",$P25&lt;&gt;"O3/CP",$P$15=F$18,MID($P25,4,1)="2",$P$15&lt;&gt;$P$14),VLOOKUP(CONCATENATE(LEFT($P25,2),"L"),$R$63:$T$91,3,FALSE),0)+IF(AND($P25="O3/CP",$P$14=F$18),VLOOKUP("O3",$R$63:$T$91,3,FALSE)+VLOOKUP("CP",$R$63:$T$91,3,FALSE),0)+IF(AND($Q25&lt;&gt;"",$Q25&lt;&gt;"--",$Q25&lt;&gt;"O3/CP",$Q$14=F$18),IF(LEFT($Q25,1)="P",VLOOKUP(CONCATENATE(LEFT($Q25,2),"H"),$R$63:$T$91,3,FALSE),VLOOKUP($Q25,$R$63:$T$91,3,FALSE)))+IF(AND($Q25&lt;&gt;"",$Q25&lt;&gt;"O3/CP",$Q$15=F$18,MID($Q25,4,1)="2",$Q$15&lt;&gt;$Q$14),VLOOKUP(CONCATENATE(LEFT($Q25,2),"L"),$R$63:$T$91,3,FALSE),0)+IF(AND($Q25="O3/CP",$Q$14=F$18),VLOOKUP("O3",$R$63:$T$91,3,FALSE)+VLOOKUP("CP",$R$63:$T$91,3,FALSE),0)+IF(AND($R25&lt;&gt;"",$R25&lt;&gt;"--",$R25&lt;&gt;"O3/CP",$R$14=F$18),IF(LEFT($R25,1)="P",VLOOKUP(CONCATENATE(LEFT($R25,2),"H"),$R$63:$T$91,3,FALSE),VLOOKUP($R25,$R$63:$T$91,3,FALSE)))+IF(AND($R25&lt;&gt;"",$R25&lt;&gt;"O3/CP",$R$15=F$18,MID($R25,4,1)="2",$R$15&lt;&gt;$R$14),VLOOKUP(CONCATENATE(LEFT($R25,2),"L"),$R$63:$T$91,3,FALSE),0)+IF(AND($R25="O3/CP",$R$14=F$18),VLOOKUP("O3",$R$63:$T$91,3,FALSE)+VLOOKUP("CP",$R$63:$T$91,3,FALSE),0)+IF(AND($S25&lt;&gt;"",$S25&lt;&gt;"--",$S25&lt;&gt;"O3/CP",$S$14=F$18),IF(LEFT($S25,1)="P",VLOOKUP(CONCATENATE(LEFT($S25,2),"H"),$R$63:$T$91,3,FALSE),VLOOKUP($S25,$R$63:$T$91,3,FALSE)))+IF(AND($S25&lt;&gt;"",$S25&lt;&gt;"O3/CP",$S$15=F$18,MID($S25,4,1)="2",$S$15&lt;&gt;$S$14),VLOOKUP(CONCATENATE(LEFT($S25,2),"L"),$R$63:$T$91,3,FALSE),0)+IF(AND($S25="O3/CP",$S$14=F$18),VLOOKUP("O3",$R$63:$T$91,3,FALSE)+VLOOKUP("CP",$R$63:$T$91,3,FALSE),0)+IF(AND($T25&lt;&gt;"",$T25&lt;&gt;"--",$T25&lt;&gt;"O3/CP",$T$14=F$18),IF(LEFT($T25,1)="P",VLOOKUP(CONCATENATE(LEFT($T25,2),"H"),$R$63:$T$91,3,FALSE),VLOOKUP($T25,$R$63:$T$91,3,FALSE)))+IF(AND($T25&lt;&gt;"",$T25&lt;&gt;"O3/CP",$T$15=F$18,MID($T25,4,1)="2",$T$15&lt;&gt;$T$14),VLOOKUP(CONCATENATE(LEFT($T25,2),"L"),$R$63:$T$91,3,FALSE),0)+IF(AND($T25="O3/CP",$T$14=F$18),VLOOKUP("O3",$R$63:$T$91,3,FALSE)+VLOOKUP("CP",$R$63:$T$91,3,FALSE),0)+IF(AND($U25&lt;&gt;"",$U25&lt;&gt;"--",$U25&lt;&gt;"O3/CP",$U$14=F$18),IF(LEFT($U25,1)="P",VLOOKUP(CONCATENATE(LEFT($U25,2),"H"),$R$63:$T$91,3,FALSE),VLOOKUP($U25,$R$63:$T$91,3,FALSE)))+IF(AND($U25&lt;&gt;"",$U25&lt;&gt;"O3/CP",$U$15=F$18,MID($U25,4,1)="2",$U$15&lt;&gt;$U$14),VLOOKUP(CONCATENATE(LEFT($U25,2),"L"),$R$63:$T$91,3,FALSE),0)+IF(AND($U25="O3/CP",$T$14=F$18),VLOOKUP("O3",$R$63:$T$91,3,FALSE)+VLOOKUP("CP",$R$63:$T$91,3,FALSE),0)+IF(AND($V25&lt;&gt;"",$V25&lt;&gt;"--",$V25&lt;&gt;"O3/CP",$V$14=F$18),IF(LEFT($V25,1)="P",VLOOKUP(CONCATENATE(LEFT($V25,2),"H"),$R$63:$T$91,3,FALSE),VLOOKUP($V25,$R$63:$T$91,3,FALSE)))+IF(AND($V25&lt;&gt;"",$V25&lt;&gt;"O3/CP",$V$15=F$18,MID($V25,4,1)="2",$V$15&lt;&gt;$V$14),VLOOKUP(CONCATENATE(LEFT($V25,2),"L"),$R$63:$T$91,3,FALSE),0)+IF(AND($V25="O3/CP",$V$14=F$18),VLOOKUP("O3",$R$63:$T$91,3,FALSE)+VLOOKUP("CP",$R$63:$T$91,3,FALSE),0)+IF(AND($W25&lt;&gt;"",$W25&lt;&gt;"--",$W25&lt;&gt;"O3/CP",$W$14=F$18),IF(LEFT($W25,1)="P",VLOOKUP(CONCATENATE(LEFT($W25,2),"H"),$R$63:$T$91,3,FALSE),VLOOKUP($W25,$R$63:$T$91,3,FALSE)))+IF(AND($W25&lt;&gt;"",$W25&lt;&gt;"O3/CP",$W$15=F$18,MID($W25,4,1)="2",$W$15&lt;&gt;$W$14),VLOOKUP(CONCATENATE(LEFT($W25,2),"L"),$R$63:$T$91,3,FALSE),0)+IF(AND($W25="O3/CP",$W$14=F$18),VLOOKUP("O3",$R$63:$T$91,3,FALSE)+VLOOKUP("CP",$R$63:$T$91,3,FALSE),0)+IF(AND($X25&lt;&gt;"",$X25&lt;&gt;"--",$X25&lt;&gt;"O3/CP",$X$14=F$18),IF(LEFT($X25,1)="P",VLOOKUP(CONCATENATE(LEFT($X25,2),"H"),$R$63:$T$91,3,FALSE),VLOOKUP($X25,$R$63:$T$91,3,FALSE)))+IF(AND($X25&lt;&gt;"",$X25&lt;&gt;"O3/CP",$X$15=F$18,MID($X25,4,1)="2",$X$15&lt;&gt;$X$14),VLOOKUP(CONCATENATE(LEFT($X25,2),"L"),$R$63:$T$91,3,FALSE),0)+IF(AND($X25="O3/CP",$X$14=F$18),VLOOKUP("O3",$R$63:$T$91,3,FALSE)+VLOOKUP("CP",$R$63:$T$91,3,FALSE),0)+IF(AND($Y25&lt;&gt;"",$Y25&lt;&gt;"--",$Y25&lt;&gt;"O3/CP",$Y$14=F$18),IF(LEFT($Y25,1)="P",VLOOKUP(CONCATENATE(LEFT($Y25,2),"H"),$R$63:$T$91,3,FALSE),VLOOKUP($Y25,$R$63:$T$91,3,FALSE)))+IF(AND($Y25&lt;&gt;"",$Y25&lt;&gt;"O3/CP",$Y$15=F$18,MID($Y25,4,1)="2",$Y$15&lt;&gt;$Y$14),VLOOKUP(CONCATENATE(LEFT($Y25,2),"L"),$R$63:$T$91,3,FALSE),0)+IF(AND($Y25="O3/CP",$Y$14=F$18),VLOOKUP("O3",$R$63:$T$91,3,FALSE)+VLOOKUP("CP",$R$63:$T$91,3,FALSE),0)+IF(AND($K$6="CE",'[3]Supply Attribution'!$G$20=F$18),LEFT($S$90,2),0)+IF(AND($X$86&lt;&gt;"Not Set",$X$87=F$18),$X$86,0)</f>
        <v>0</v>
      </c>
      <c r="G25" s="271">
        <f>IF(AND($K$6="CE",$T$59="1 Phase"),SUM(A25:F25)-IF(AND($K$14&lt;&gt;$K$15,RIGHT($K25,3)="2SP"),VLOOKUP(CONCATENATE(LEFT($K25,2),"L"),$R$63:$T$90,3,FALSE),0)-IF(AND($L$14&lt;&gt;$L$15,RIGHT($L25,3)="2SP"),VLOOKUP(CONCATENATE(LEFT($L25,2),"L"),$R$63:$T$90,3,FALSE),0)-IF(AND($M$14&lt;&gt;$M$15,RIGHT($M25,3)="2SP"),VLOOKUP(CONCATENATE(LEFT($M25,2),"L"),$R$63:$T$90,3,FALSE),0)-IF(AND($N$14&lt;&gt;$N$15,RIGHT($N25,3)="2SP"),VLOOKUP(CONCATENATE(LEFT($N25,2),"L"),$R$63:$T$90,3,FALSE),0)-IF(AND($O$14&lt;&gt;$O$15,RIGHT($O25,3)="2SP"),VLOOKUP(CONCATENATE(LEFT($O25,2),"L"),$R$63:$T$90,3,FALSE),0)-IF(AND($P$14&lt;&gt;$P$15,RIGHT($P25,3)="2SP"),VLOOKUP(CONCATENATE(LEFT($P25,2),"L"),$R$63:$T$90,3,FALSE),0)-IF(AND($Q$14&lt;&gt;$Q$15,RIGHT($Q25,3)="2SP"),VLOOKUP(CONCATENATE(LEFT($Q25,2),"L"),$R$63:$T$90,3,FALSE),0)-IF(AND($R$14&lt;&gt;$R$15,RIGHT($T25,3)="2SP"),VLOOKUP(CONCATENATE(LEFT($R25,2),"L"),$R$63:$T$90,3,FALSE),0)-IF(AND($S$14&lt;&gt;$S$15,RIGHT($T25,3)="2SP"),VLOOKUP(CONCATENATE(LEFT($S25,2),"L"),$R$63:$T$90,3,FALSE),0)-IF(AND($T$14&lt;&gt;$T$15,RIGHT($T25,3)="2SP"),VLOOKUP(CONCATENATE(LEFT($T25,2),"L"),$R$63:$T$90,3,FALSE),0)-IF(AND($U$14&lt;&gt;$U$15,RIGHT($U25,3)="2SP"),VLOOKUP(CONCATENATE(LEFT($U25,2),"L"),$R$63:$T$90,3,FALSE),0)-IF(AND($V$14&lt;&gt;$V$15,RIGHT($V25,3)="2SP"),VLOOKUP(CONCATENATE(LEFT($V25,2),"L"),$R$63:$T$90,3,FALSE),0)-IF(AND($W$14&lt;&gt;$W$15,RIGHT($W25,3)="2SP"),VLOOKUP(CONCATENATE(LEFT($W25,2),"L"),$R$63:$T$90,3,FALSE),0)-IF(AND($X$14&lt;&gt;$X$15,RIGHT($X25,3)="2SP"),VLOOKUP(CONCATENATE(LEFT($X25,2),"L"),$R$63:$T$90,3,FALSE),0)-IF(AND($Y$14&lt;&gt;$Y$15,RIGHT($Y25,3)="2SP"),VLOOKUP(CONCATENATE(LEFT($Y25,2),"L"),$R$63:$T$90,3,FALSE),0),IF(VLOOKUP(CONCATENATE($A$18,"Line"),'[3]Supply Attribution'!$F$31:$G$37,2,FALSE)=G$18,$A25,0)+IF(VLOOKUP(CONCATENATE($B$18,"Line"),'[3]Supply Attribution'!$F$31:$G$37,2,FALSE)=G$18,$B25,0)+IF(VLOOKUP(CONCATENATE($C$18,"Line"),'[3]Supply Attribution'!$F$31:$G$37,2,FALSE)=G$18,$C25,0)+IF(VLOOKUP(CONCATENATE($D$18,"Line"),'[3]Supply Attribution'!$F$31:$G$37,2,FALSE)=G$18,$D25,0)+IF(VLOOKUP(CONCATENATE($E$18,"Line"),'[3]Supply Attribution'!$F$31:$G$37,2,FALSE)=G$18,$E25,0)+IF(VLOOKUP(CONCATENATE($F$18,"Line"),'[3]Supply Attribution'!$F$31:$G$37,2,FALSE)=G$18,$F25,0)+IF($K$6="UL",LEFT($S$90,2),0)-IF(AND($K$16=G$18,$K$14&lt;&gt;$K$15,$K$16=$K$17,RIGHT($K25,3)="2SP"),VLOOKUP(CONCATENATE(LEFT($K25,2),"L"),$R$63:$T$90,3,FALSE),0)-IF(AND($L$16=G$18,$L$14&lt;&gt;$L$15,$L$16=$L$17,RIGHT($L25,3)="2SP"),VLOOKUP(CONCATENATE(LEFT($L25,2),"L"),$R$63:$T$90,3,FALSE),0)-IF(AND($M$16=G$18,$M$14&lt;&gt;$M$15,$M$16=$M$17,RIGHT($M25,3)="2SP"),VLOOKUP(CONCATENATE(LEFT($M25,2),"L"),$R$63:$T$90,3,FALSE),0)-IF(AND($N$16=G$18,$N$14&lt;&gt;$N$15,$N$16=$N$17,RIGHT($N25,3)="2SP"),VLOOKUP(CONCATENATE(LEFT($N25,2),"L"),$R$63:$T$90,3,FALSE),0)-IF(AND($O$16=G$18,$O$14&lt;&gt;$O$15,$O$16=$O$17,RIGHT($O25,3)="2SP"),VLOOKUP(CONCATENATE(LEFT($O25,2),"L"),$R$63:$T$90,3,FALSE),0)-IF(AND($P$16=G$18,$P$14&lt;&gt;$P$15,$P$16=$P$17,RIGHT($P25,3)="2SP"),VLOOKUP(CONCATENATE(LEFT($P25,2),"L"),$R$63:$T$90,3,FALSE),0)-IF(AND($Q$16=G$18,$Q$14&lt;&gt;$Q$15,$Q$16=$Q$17,RIGHT($Q25,3)="2SP"),VLOOKUP(CONCATENATE(LEFT($Q25,2),"L"),$R$63:$T$90,3,FALSE),0)-IF(AND($R$16=G$18,$R$14&lt;&gt;$R$15,$R$16=$R$17,RIGHT($R25,3)="2SP"),VLOOKUP(CONCATENATE(LEFT($R25,2),"L"),$R$63:$T$90,3,FALSE),0)-IF(AND($S$16=G$18,$S$14&lt;&gt;$S$15,$S$16=$S$17,RIGHT($S25,3)="2SP"),VLOOKUP(CONCATENATE(LEFT($S25,2),"L"),$R$63:$T$90,3,FALSE),0)-IF(AND($T$16=G$18,$T$14&lt;&gt;$T$15,$T$16=$T$17,RIGHT($T25,3)="2SP"),VLOOKUP(CONCATENATE(LEFT($T25,2),"L"),$R$63:$T$90,3,FALSE),0)-IF(AND($U$16=G$18,$U$14&lt;&gt;$U$15,$U$16=$U$17,RIGHT($U25,3)="2SP"),VLOOKUP(CONCATENATE(LEFT($U25,2),"L"),$R$63:$T$90,3,FALSE),0)-IF(AND($V$16=G$18,$V$14&lt;&gt;$V$15,$V$16=$V$17,RIGHT($V25,3)="2SP"),VLOOKUP(CONCATENATE(LEFT($V25,2),"L"),$R$63:$T$90,3,FALSE),0)-IF(AND($W$16=G$18,$W$14&lt;&gt;$W$15,$W$16=$W$17,RIGHT($W25,3)="2SP"),VLOOKUP(CONCATENATE(LEFT($W25,2),"L"),$R$63:$T$90,3,FALSE),0)-IF(AND($X$16=G$18,$X$14&lt;&gt;$X$15,$X$16=$X$17,RIGHT($X25,3)="2SP"),VLOOKUP(CONCATENATE(LEFT($X25,2),"L"),$R$63:$T$90,3,FALSE),0)-IF(AND($Y$16=G$18,$Y$14&lt;&gt;$Y$15,$Y$16=$Y$17,RIGHT($Y25,3)="2SP"),VLOOKUP(CONCATENATE(LEFT($Y25,2),"L"),$R$63:$T$90,3,FALSE),0))</f>
        <v>44</v>
      </c>
      <c r="H25" s="271" t="str">
        <f>IF(H$18&lt;&gt;"",IF(VLOOKUP(CONCATENATE($A$18,"Line"),'Supply Attribution'!$F$31:$G$37,2,FALSE)=H$18,$A25,0)+IF(VLOOKUP(CONCATENATE($B$18,"Line"),'Supply Attribution'!$F$31:$G$37,2,FALSE)=H$18,$B25,0)+IF(VLOOKUP(CONCATENATE($C$18,"Line"),'Supply Attribution'!$F$31:$G$37,2,FALSE)=H$18,$C25,0)+IF(VLOOKUP(CONCATENATE($D$18,"Line"),'Supply Attribution'!$F$31:$G$37,2,FALSE)=H$18,$D25,0)+IF(VLOOKUP(CONCATENATE($E$18,"Line"),'Supply Attribution'!$F$31:$G$37,2,FALSE)=H$18,$E25,0)+IF(VLOOKUP(CONCATENATE($F$18,"Line"),'Supply Attribution'!$F$31:$G$37,2,FALSE)=H$18,$F25,0)+IF($K$6="UL",LEFT($S$90,2),0)-IF(AND($K$16=H$18,$K$14&lt;&gt;$K$15,$K$16=$K$17,RIGHT($K25,3)="2SP"),VLOOKUP(CONCATENATE(LEFT($K25,2),"L"),$R$63:$T$90,3,FALSE),0)-IF(AND($L$16=H$18,$L$14&lt;&gt;$L$15,$L$16=$L$17,RIGHT($L25,3)="2SP"),VLOOKUP(CONCATENATE(LEFT($L25,2),"L"),$R$63:$T$90,3,FALSE),0)-IF(AND($M$16=H$18,$M$14&lt;&gt;$M$15,$M$16=$M$17,RIGHT($M25,3)="2SP"),VLOOKUP(CONCATENATE(LEFT($M25,2),"L"),$R$63:$T$90,3,FALSE),0)-IF(AND($N$16=H$18,$N$14&lt;&gt;$N$15,$N$16=$N$17,RIGHT($N25,3)="2SP"),VLOOKUP(CONCATENATE(LEFT($N25,2),"L"),$R$63:$T$90,3,FALSE),0)-IF(AND($O$16=H$18,$O$14&lt;&gt;$O$15,$O$16=$O$17,RIGHT($O25,3)="2SP"),VLOOKUP(CONCATENATE(LEFT($O25,2),"L"),$R$63:$T$90,3,FALSE),0)-IF(AND($P$16=H$18,$P$14&lt;&gt;$P$15,$P$16=$P$17,RIGHT($P25,3)="2SP"),VLOOKUP(CONCATENATE(LEFT($P25,2),"L"),$R$63:$T$90,3,FALSE),0)-IF(AND($Q$16=H$18,$Q$14&lt;&gt;$Q$15,$Q$16=$Q$17,RIGHT($Q25,3)="2SP"),VLOOKUP(CONCATENATE(LEFT($Q25,2),"L"),$R$63:$T$90,3,FALSE),0)-IF(AND($T$16=H$18,$T$14&lt;&gt;$T$15,$T$16=$T$17,RIGHT($T25,3)="2SP"),VLOOKUP(CONCATENATE(LEFT($T25,2),"L"),$R$63:$T$90,3,FALSE),0)-IF(AND($U$16=H$18,$U$14&lt;&gt;$U$15,$U$16=$U$17,RIGHT($U25,3)="2SP"),VLOOKUP(CONCATENATE(LEFT($U25,2),"L"),$R$63:$T$90,3,FALSE),0)-IF(AND($V$16=H$18,$V$14&lt;&gt;$V$15,$V$16=$V$17,RIGHT($V25,3)="2SP"),VLOOKUP(CONCATENATE(LEFT($V25,2),"L"),$R$63:$T$90,3,FALSE),0)-IF(AND($W$16=H$18,$W$14&lt;&gt;$W$15,$W$16=$W$17,RIGHT($W25,3)="2SP"),VLOOKUP(CONCATENATE(LEFT($W25,2),"L"),$R$63:$T$90,3,FALSE),0)-IF(AND($X$16=H$18,$X$14&lt;&gt;$X$15,$X$16=$X$17,RIGHT($X25,3)="2SP"),VLOOKUP(CONCATENATE(LEFT($X25,2),"L"),$R$63:$T$90,3,FALSE),0)-IF(AND($Y$16=H$18,$Y$14&lt;&gt;$Y$15,$Y$16=$Y$17,RIGHT($Y25,3)="2SP"),VLOOKUP(CONCATENATE(LEFT($Y25,2),"L"),$R$63:$T$90,3,FALSE),0)+IF(AND($K$6="CE",$T$59="2 Phases",H$18&lt;&gt;""),IF(VLOOKUP(CONCATENATE($A$18,"Line"),'Supply Attribution'!$F$31:$G$37,2,FALSE)="Line3",$A25,0)+IF(VLOOKUP(CONCATENATE($B$18,"Line"),'Supply Attribution'!$F$31:$G$37,2,FALSE)="Line3",$B25,0)+IF(VLOOKUP(CONCATENATE($C$18,"Line"),'Supply Attribution'!$F$31:$G$37,2,FALSE)="Line3",$C25,0)+IF(VLOOKUP(CONCATENATE($D$18,"Line"),'Supply Attribution'!$F$31:$G$37,2,FALSE)="Line3",$D25,0)+IF(VLOOKUP(CONCATENATE($E$18,"Line"),'Supply Attribution'!$F$31:$G$37,2,FALSE)="Line3",$E25,0)+IF(VLOOKUP(CONCATENATE($F$18,"Line"),'Supply Attribution'!$F$31:$G$37,2,FALSE)="Line3",$F25,0)-IF(AND($K$16=I$18,$K$14&lt;&gt;$K$15,$K$16=$K$17,RIGHT($K25,3)="2SP"),VLOOKUP(CONCATENATE(LEFT($K25,2),"L"),$R$63:$T$90,3,FALSE),0)-IF(AND($L$16=I$18,$L$14&lt;&gt;$L$15,$L$16=$L$17,RIGHT($L25,3)="2SP"),VLOOKUP(CONCATENATE(LEFT($L25,2),"L"),$R$63:$T$90,3,FALSE),0)-IF(AND($M$16=I$18,$M$14&lt;&gt;$M$15,$M$16=$M$17,RIGHT($M25,3)="2SP"),VLOOKUP(CONCATENATE(LEFT($M25,2),"L"),$R$63:$T$90,3,FALSE),0)-IF(AND($N$16=I$18,$N$14&lt;&gt;$N$15,$N$16=$N$17,RIGHT($N25,3)="2SP"),VLOOKUP(CONCATENATE(LEFT($N25,2),"L"),$R$63:$T$90,3,FALSE),0)-IF(AND($O$16=I$18,$O$14&lt;&gt;$O$15,$O$16=$O$17,RIGHT($O25,3)="2SP"),VLOOKUP(CONCATENATE(LEFT($O25,2),"L"),$R$63:$T$90,3,FALSE),0)-IF(AND($P$16=I$18,$P$14&lt;&gt;$P$15,$P$16=$P$17,RIGHT($P25,3)="2SP"),VLOOKUP(CONCATENATE(LEFT($P25,2),"L"),$R$63:$T$90,3,FALSE),0)-IF(AND($Q$16=I$18,$Q$14&lt;&gt;$Q$15,$Q$16=$Q$17,RIGHT($Q25,3)="2SP"),VLOOKUP(CONCATENATE(LEFT($Q25,2),"L"),$R$63:$T$90,3,FALSE),0)-IF(AND($T$16=I$18,$T$14&lt;&gt;$T$15,$T$16=$T$17,RIGHT($T25,3)="2SP"),VLOOKUP(CONCATENATE(LEFT($T25,2),"L"),$R$63:$T$90,3,FALSE),0)-IF(AND($U$16=I$18,$U$14&lt;&gt;$U$15,$U$16=$U$17,RIGHT($U25,3)="2SP"),VLOOKUP(CONCATENATE(LEFT($U25,2),"L"),$R$63:$T$90,3,FALSE),0)-IF(AND($V$16=I$18,$V$14&lt;&gt;$V$15,$V$16=$V$17,RIGHT($V25,3)="2SP"),VLOOKUP(CONCATENATE(LEFT($V25,2),"L"),$R$63:$T$90,3,FALSE),0)-IF(AND($W$16=I$18,$W$14&lt;&gt;$W$15,$W$16=$W$17,RIGHT($W25,3)="2SP"),VLOOKUP(CONCATENATE(LEFT($W25,2),"L"),$R$63:$T$90,3,FALSE),0)-IF(AND($X$16=I$18,$X$14&lt;&gt;$X$15,$X$16=$X$17,RIGHT($X25,3)="2SP"),VLOOKUP(CONCATENATE(LEFT($X25,2),"L"),$R$63:$T$90,3,FALSE),0)-IF(AND($Y$16=I$18,$Y$14&lt;&gt;$Y$15,$Y$16=$Y$17,RIGHT($Y25,3)="2SP"),VLOOKUP(CONCATENATE(LEFT($Y25,2),"L"),$R$63:$T$90,3,FALSE),0),0),"")</f>
        <v/>
      </c>
      <c r="I25" s="271" t="str">
        <f>IF(I$18&lt;&gt;"",IF(VLOOKUP(CONCATENATE($A$18,"Line"),'Supply Attribution'!$F$31:$G$37,2,FALSE)=I$18,$A25,0)+IF(VLOOKUP(CONCATENATE($B$18,"Line"),'Supply Attribution'!$F$31:$G$37,2,FALSE)=I$18,$B25,0)+IF(VLOOKUP(CONCATENATE($C$18,"Line"),'Supply Attribution'!$F$31:$G$37,2,FALSE)=I$18,$C25,0)+IF(VLOOKUP(CONCATENATE($D$18,"Line"),'Supply Attribution'!$F$31:$G$37,2,FALSE)=I$18,$D25,0)+IF(VLOOKUP(CONCATENATE($E$18,"Line"),'Supply Attribution'!$F$31:$G$37,2,FALSE)=I$18,$E25,0)+IF(VLOOKUP(CONCATENATE($F$18,"Line"),'Supply Attribution'!$F$31:$G$37,2,FALSE)=I$18,$F25,0)+IF($K$6="UL",LEFT($S$90,2),0)-IF(AND($K$16=I$18,$K$14&lt;&gt;$K$15,$K$16=$K$17,RIGHT($K25,3)="2SP"),VLOOKUP(CONCATENATE(LEFT($K25,2),"L"),$R$63:$T$90,3,FALSE),0)-IF(AND($L$16=I$18,$L$14&lt;&gt;$L$15,$L$16=$L$17,RIGHT($L25,3)="2SP"),VLOOKUP(CONCATENATE(LEFT($L25,2),"L"),$R$63:$T$90,3,FALSE),0)-IF(AND($M$16=I$18,$M$14&lt;&gt;$M$15,$M$16=$M$17,RIGHT($M25,3)="2SP"),VLOOKUP(CONCATENATE(LEFT($M25,2),"L"),$R$63:$T$90,3,FALSE),0)-IF(AND($N$16=I$18,$N$14&lt;&gt;$N$15,$N$16=$N$17,RIGHT($N25,3)="2SP"),VLOOKUP(CONCATENATE(LEFT($N25,2),"L"),$R$63:$T$90,3,FALSE),0)-IF(AND($O$16=I$18,$O$14&lt;&gt;$O$15,$O$16=$O$17,RIGHT($O25,3)="2SP"),VLOOKUP(CONCATENATE(LEFT($O25,2),"L"),$R$63:$T$90,3,FALSE),0)-IF(AND($P$16=I$18,$P$14&lt;&gt;$P$15,$P$16=$P$17,RIGHT($P25,3)="2SP"),VLOOKUP(CONCATENATE(LEFT($P25,2),"L"),$R$63:$T$90,3,FALSE),0)-IF(AND($Q$16=I$18,$Q$14&lt;&gt;$Q$15,$Q$16=$Q$17,RIGHT($Q25,3)="2SP"),VLOOKUP(CONCATENATE(LEFT($Q25,2),"L"),$R$63:$T$90,3,FALSE),0)-IF(AND($T$16=I$18,$T$14&lt;&gt;$T$15,$T$16=$T$17,RIGHT($T25,3)="2SP"),VLOOKUP(CONCATENATE(LEFT($T25,2),"L"),$R$63:$T$90,3,FALSE),0)-IF(AND($U$16=I$18,$U$14&lt;&gt;$U$15,$U$16=$U$17,RIGHT($U25,3)="2SP"),VLOOKUP(CONCATENATE(LEFT($U25,2),"L"),$R$63:$T$90,3,FALSE),0)-IF(AND($V$16=I$18,$V$14&lt;&gt;$V$15,$V$16=$V$17,RIGHT($V25,3)="2SP"),VLOOKUP(CONCATENATE(LEFT($V25,2),"L"),$R$63:$T$90,3,FALSE),0)-IF(AND($W$16=I$18,$W$14&lt;&gt;$W$15,$W$16=$W$17,RIGHT($W25,3)="2SP"),VLOOKUP(CONCATENATE(LEFT($W25,2),"L"),$R$63:$T$90,3,FALSE),0)-IF(AND($X$16=I$18,$X$14&lt;&gt;$X$15,$X$16=$X$17,RIGHT($X25,3)="2SP"),VLOOKUP(CONCATENATE(LEFT($X25,2),"L"),$R$63:$T$90,3,FALSE),0)-IF(AND($Y$16=I$18,$Y$14&lt;&gt;$Y$15,$Y$16=$Y$17,RIGHT($Y25,3)="2SP"),VLOOKUP(CONCATENATE(LEFT($Y25,2),"L"),$R$63:$T$90,3,FALSE),0),"")</f>
        <v/>
      </c>
      <c r="J25" s="129">
        <v>42</v>
      </c>
      <c r="K25" s="130" t="s">
        <v>389</v>
      </c>
      <c r="L25" s="130" t="s">
        <v>390</v>
      </c>
      <c r="M25" s="130" t="s">
        <v>391</v>
      </c>
      <c r="N25" s="130" t="s">
        <v>24</v>
      </c>
      <c r="O25" s="130" t="s">
        <v>286</v>
      </c>
      <c r="P25" s="130"/>
      <c r="Q25" s="130"/>
      <c r="R25" s="130"/>
      <c r="S25" s="130"/>
      <c r="T25" s="130"/>
      <c r="U25" s="130"/>
      <c r="V25" s="130"/>
      <c r="W25" s="130"/>
      <c r="X25" s="130"/>
      <c r="Y25" s="130"/>
      <c r="Z25" s="131"/>
      <c r="AA25" s="131"/>
      <c r="AB25" s="132"/>
      <c r="AC25" s="132"/>
      <c r="AD25" s="132"/>
      <c r="AE25" s="133">
        <f t="shared" si="0"/>
        <v>42</v>
      </c>
      <c r="AF25" s="78"/>
    </row>
    <row r="26" spans="1:32" ht="13.15" customHeight="1">
      <c r="A26" s="270">
        <f>IF(AND($K26&lt;&gt;"",$K26&lt;&gt;"--",$K26&lt;&gt;"O3/CP",$K$14=A$18),IF(LEFT($K26,1)="P",VLOOKUP(CONCATENATE(LEFT($K26,2),"H"),$R$63:$T$91,3,FALSE),VLOOKUP($K26,$R$63:$T$91,3,FALSE)))+IF(AND($K26&lt;&gt;"",$K26&lt;&gt;"O3/CP",$K$15=A$18,MID($K26,4,1)="2",$K$15&lt;&gt;$K$14),VLOOKUP(CONCATENATE(LEFT($K26,2),"L"),$R$63:$T$91,3,FALSE),0)+IF(AND($K26="O3/CP",$K$14=A$18),VLOOKUP("O3",$R$63:$T$91,3,FALSE)+VLOOKUP("CP",$R$63:$T$91,3,FALSE),0)+IF(AND($L26&lt;&gt;"",$L26&lt;&gt;"--",$L26&lt;&gt;"O3/CP",$L$14=A$18),IF(LEFT($L26,1)="P",VLOOKUP(CONCATENATE(LEFT($L26,2),"H"),$R$63:$T$91,3,FALSE),VLOOKUP($L26,$R$63:$T$91,3,FALSE)))+IF(AND($L26&lt;&gt;"",$L26&lt;&gt;"O3/CP",$L$15=A$18,MID($L26,4,1)="2",$L$15&lt;&gt;$L$14),VLOOKUP(CONCATENATE(LEFT($L26,2),"L"),$R$63:$T$91,3,FALSE),0)+IF(AND($L26="O3/CP",$L$14=A$18),VLOOKUP("O3",$R$63:$T$91,3,FALSE)+VLOOKUP("CP",$R$63:$T$91,3,FALSE),0)+IF(AND($M26&lt;&gt;"",$M26&lt;&gt;"--",$M26&lt;&gt;"O3/CP",$M$14=A$18),IF(LEFT($M26,1)="P",VLOOKUP(CONCATENATE(LEFT($M26,2),"H"),$R$63:$T$91,3,FALSE),VLOOKUP($M26,$R$63:$T$91,3,FALSE)))+IF(AND($M26&lt;&gt;"",$M26&lt;&gt;"O3/CP",$M$15=A$18,MID($M26,4,1)="2",$M$15&lt;&gt;$M$14),VLOOKUP(CONCATENATE(LEFT($M26,2),"L"),$R$63:$T$91,3,FALSE),0)+IF(AND($M26="O3/CP",$M$14=A$18),VLOOKUP("O3",$R$63:$T$91,3,FALSE)+VLOOKUP("CP",$R$63:$T$91,3,FALSE),0)+IF(AND($N26&lt;&gt;"",$N26&lt;&gt;"--",$N26&lt;&gt;"O3/CP",$N$14=A$18),IF(LEFT($N26,1)="P",VLOOKUP(CONCATENATE(LEFT($N26,2),"H"),$R$63:$T$91,3,FALSE),VLOOKUP($N26,$R$63:$T$91,3,FALSE)))+IF(AND($N26&lt;&gt;"",$N26&lt;&gt;"O3/CP",$N$15=A$18,MID($N26,4,1)="2",$N$15&lt;&gt;$N$14),VLOOKUP(CONCATENATE(LEFT($N26,2),"L"),$R$63:$T$91,3,FALSE),0)+IF(AND($N26="O3/CP",$N$14=A$18),VLOOKUP("O3",$R$63:$T$91,3,FALSE)+VLOOKUP("CP",$R$63:$T$91,3,FALSE),0)+IF(AND($O26&lt;&gt;"",$O26&lt;&gt;"--",$O26&lt;&gt;"O3/CP",$O$14=A$18),IF(LEFT($O26,1)="P",VLOOKUP(CONCATENATE(LEFT($O26,2),"H"),$R$63:$T$91,3,FALSE),VLOOKUP($O26,$R$63:$T$91,3,FALSE)))+IF(AND($O26&lt;&gt;"",$O26&lt;&gt;"O3/CP",$O$15=A$18,MID($O26,4,1)="2",$O$15&lt;&gt;$O$14),VLOOKUP(CONCATENATE(LEFT($O26,2),"L"),$R$63:$T$91,3,FALSE),0)+IF(AND($O26="O3/CP",$O$14=A$18),VLOOKUP("O3",$R$63:$T$91,3,FALSE)+VLOOKUP("CP",$R$63:$T$91,3,FALSE),0)+IF(AND($P26&lt;&gt;"",$P26&lt;&gt;"--",$P26&lt;&gt;"O3/CP",$P$14=A$18),IF(LEFT($P26,1)="P",VLOOKUP(CONCATENATE(LEFT($P26,2),"H"),$R$63:$T$91,3,FALSE),VLOOKUP($P26,$R$63:$T$91,3,FALSE)))+IF(AND($P26&lt;&gt;"",$P26&lt;&gt;"O3/CP",$P$15=A$18,MID($P26,4,1)="2",$P$15&lt;&gt;$P$14),VLOOKUP(CONCATENATE(LEFT($P26,2),"L"),$R$63:$T$91,3,FALSE),0)+IF(AND($P26="O3/CP",$P$14=A$18),VLOOKUP("O3",$R$63:$T$91,3,FALSE)+VLOOKUP("CP",$R$63:$T$91,3,FALSE),0)+IF(AND($Q26&lt;&gt;"",$Q26&lt;&gt;"--",$Q26&lt;&gt;"O3/CP",$Q$14=A$18),IF(LEFT($Q26,1)="P",VLOOKUP(CONCATENATE(LEFT($Q26,2),"H"),$R$63:$T$91,3,FALSE),VLOOKUP($Q26,$R$63:$T$91,3,FALSE)))+IF(AND($Q26&lt;&gt;"",$Q26&lt;&gt;"O3/CP",$Q$15=A$18,MID($Q26,4,1)="2",$Q$15&lt;&gt;$Q$14),VLOOKUP(CONCATENATE(LEFT($Q26,2),"L"),$R$63:$T$91,3,FALSE),0)+IF(AND($Q26="O3/CP",$Q$14=A$18),VLOOKUP("O3",$R$63:$T$91,3,FALSE)+VLOOKUP("CP",$R$63:$T$91,3,FALSE),0)+IF(AND($R26&lt;&gt;"",$R26&lt;&gt;"--",$R26&lt;&gt;"O3/CP",$R$14=A$18),IF(LEFT($R26,1)="P",VLOOKUP(CONCATENATE(LEFT($R26,2),"H"),$R$63:$T$91,3,FALSE),VLOOKUP($R26,$R$63:$T$91,3,FALSE)))+IF(AND($R26&lt;&gt;"",$R26&lt;&gt;"O3/CP",$R$15=A$18,MID($R26,4,1)="2",$R$15&lt;&gt;$R$14),VLOOKUP(CONCATENATE(LEFT($R26,2),"L"),$R$63:$T$91,3,FALSE),0)+IF(AND($R26="O3/CP",$R$14=A$18),VLOOKUP("O3",$R$63:$T$91,3,FALSE)+VLOOKUP("CP",$R$63:$T$91,3,FALSE),0)+IF(AND($S26&lt;&gt;"",$S26&lt;&gt;"--",$S26&lt;&gt;"O3/CP",$S$14=A$18),IF(LEFT($S26,1)="P",VLOOKUP(CONCATENATE(LEFT($S26,2),"H"),$R$63:$T$91,3,FALSE),VLOOKUP($S26,$R$63:$T$91,3,FALSE)))+IF(AND($S26&lt;&gt;"",$S26&lt;&gt;"O3/CP",$S$15=A$18,MID($S26,4,1)="2",$S$15&lt;&gt;$S$14),VLOOKUP(CONCATENATE(LEFT($S26,2),"L"),$R$63:$T$91,3,FALSE),0)+IF(AND($S26="O3/CP",$S$14=A$18),VLOOKUP("O3",$R$63:$T$91,3,FALSE)+VLOOKUP("CP",$R$63:$T$91,3,FALSE),0)+IF(AND($T26&lt;&gt;"",$T26&lt;&gt;"--",$T26&lt;&gt;"O3/CP",$T$14=A$18),IF(LEFT($T26,1)="P",VLOOKUP(CONCATENATE(LEFT($T26,2),"H"),$R$63:$T$91,3,FALSE),VLOOKUP($T26,$R$63:$T$91,3,FALSE)))+IF(AND($T26&lt;&gt;"",$T26&lt;&gt;"O3/CP",$T$15=A$18,MID($T26,4,1)="2",$T$15&lt;&gt;$T$14),VLOOKUP(CONCATENATE(LEFT($T26,2),"L"),$R$63:$T$91,3,FALSE),0)+IF(AND($T26="O3/CP",$T$14=A$18),VLOOKUP("O3",$R$63:$T$91,3,FALSE)+VLOOKUP("CP",$R$63:$T$91,3,FALSE),0)+IF(AND($U26&lt;&gt;"",$U26&lt;&gt;"--",$U26&lt;&gt;"O3/CP",$U$14=A$18),IF(LEFT($U26,1)="P",VLOOKUP(CONCATENATE(LEFT($U26,2),"H"),$R$63:$T$91,3,FALSE),VLOOKUP($U26,$R$63:$T$91,3,FALSE)))+IF(AND($U26&lt;&gt;"",$U26&lt;&gt;"O3/CP",$U$15=A$18,MID($U26,4,1)="2",$U$15&lt;&gt;$U$14),VLOOKUP(CONCATENATE(LEFT($U26,2),"L"),$R$63:$T$91,3,FALSE),0)+IF(AND($U26="O3/CP",$T$14=A$18),VLOOKUP("O3",$R$63:$T$91,3,FALSE)+VLOOKUP("CP",$R$63:$T$91,3,FALSE),0)+IF(AND($V26&lt;&gt;"",$V26&lt;&gt;"--",$V26&lt;&gt;"O3/CP",$V$14=A$18),IF(LEFT($V26,1)="P",VLOOKUP(CONCATENATE(LEFT($V26,2),"H"),$R$63:$T$91,3,FALSE),VLOOKUP($V26,$R$63:$T$91,3,FALSE)))+IF(AND($V26&lt;&gt;"",$V26&lt;&gt;"O3/CP",$V$15=A$18,MID($V26,4,1)="2",$V$15&lt;&gt;$V$14),VLOOKUP(CONCATENATE(LEFT($V26,2),"L"),$R$63:$T$91,3,FALSE),0)+IF(AND($V26="O3/CP",$V$14=A$18),VLOOKUP("O3",$R$63:$T$91,3,FALSE)+VLOOKUP("CP",$R$63:$T$91,3,FALSE),0)+IF(AND($W26&lt;&gt;"",$W26&lt;&gt;"--",$W26&lt;&gt;"O3/CP",$W$14=A$18),IF(LEFT($W26,1)="P",VLOOKUP(CONCATENATE(LEFT($W26,2),"H"),$R$63:$T$91,3,FALSE),VLOOKUP($W26,$R$63:$T$91,3,FALSE)))+IF(AND($W26&lt;&gt;"",$W26&lt;&gt;"O3/CP",$W$15=A$18,MID($W26,4,1)="2",$W$15&lt;&gt;$W$14),VLOOKUP(CONCATENATE(LEFT($W26,2),"L"),$R$63:$T$91,3,FALSE),0)+IF(AND($W26="O3/CP",$W$14=A$18),VLOOKUP("O3",$R$63:$T$91,3,FALSE)+VLOOKUP("CP",$R$63:$T$91,3,FALSE),0)+IF(AND($X26&lt;&gt;"",$X26&lt;&gt;"--",$X26&lt;&gt;"O3/CP",$X$14=A$18),IF(LEFT($X26,1)="P",VLOOKUP(CONCATENATE(LEFT($X26,2),"H"),$R$63:$T$91,3,FALSE),VLOOKUP($X26,$R$63:$T$91,3,FALSE)))+IF(AND($X26&lt;&gt;"",$X26&lt;&gt;"O3/CP",$X$15=A$18,MID($X26,4,1)="2",$X$15&lt;&gt;$X$14),VLOOKUP(CONCATENATE(LEFT($X26,2),"L"),$R$63:$T$91,3,FALSE),0)+IF(AND($X26="O3/CP",$X$14=A$18),VLOOKUP("O3",$R$63:$T$91,3,FALSE)+VLOOKUP("CP",$R$63:$T$91,3,FALSE),0)+IF(AND($Y26&lt;&gt;"",$Y26&lt;&gt;"--",$Y26&lt;&gt;"O3/CP",$Y$14=A$18),IF(LEFT($Y26,1)="P",VLOOKUP(CONCATENATE(LEFT($Y26,2),"H"),$R$63:$T$91,3,FALSE),VLOOKUP($Y26,$R$63:$T$91,3,FALSE)))+IF(AND($Y26&lt;&gt;"",$Y26&lt;&gt;"O3/CP",$Y$15=A$18,MID($Y26,4,1)="2",$Y$15&lt;&gt;$Y$14),VLOOKUP(CONCATENATE(LEFT($Y26,2),"L"),$R$63:$T$91,3,FALSE),0)+IF(AND($Y26="O3/CP",$Y$14=A$18),VLOOKUP("O3",$R$63:$T$91,3,FALSE)+VLOOKUP("CP",$R$63:$T$91,3,FALSE),0)+IF(AND($K$6="CE",'[3]Supply Attribution'!$G$20=A$18),LEFT($S$90,2),0)+IF(AND($X$86&lt;&gt;"Not Set",$X$87=A$18),$X$86,0)</f>
        <v>13</v>
      </c>
      <c r="B26" s="269">
        <f>IF(AND($K26&lt;&gt;"",$K26&lt;&gt;"--",$K26&lt;&gt;"O3/CP",$K$14=B$18),IF(LEFT($K26,1)="P",VLOOKUP(CONCATENATE(LEFT($K26,2),"H"),$R$63:$T$91,3,FALSE),VLOOKUP($K26,$R$63:$T$91,3,FALSE)))+IF(AND($K26&lt;&gt;"",$K26&lt;&gt;"O3/CP",$K$15=B$18,MID($K26,4,1)="2",$K$15&lt;&gt;$K$14),VLOOKUP(CONCATENATE(LEFT($K26,2),"L"),$R$63:$T$91,3,FALSE),0)+IF(AND($K26="O3/CP",$K$14=B$18),VLOOKUP("O3",$R$63:$T$91,3,FALSE)+VLOOKUP("CP",$R$63:$T$91,3,FALSE),0)+IF(AND($L26&lt;&gt;"",$L26&lt;&gt;"--",$L26&lt;&gt;"O3/CP",$L$14=B$18),IF(LEFT($L26,1)="P",VLOOKUP(CONCATENATE(LEFT($L26,2),"H"),$R$63:$T$91,3,FALSE),VLOOKUP($L26,$R$63:$T$91,3,FALSE)))+IF(AND($L26&lt;&gt;"",$L26&lt;&gt;"O3/CP",$L$15=B$18,MID($L26,4,1)="2",$L$15&lt;&gt;$L$14),VLOOKUP(CONCATENATE(LEFT($L26,2),"L"),$R$63:$T$91,3,FALSE),0)+IF(AND($L26="O3/CP",$L$14=B$18),VLOOKUP("O3",$R$63:$T$91,3,FALSE)+VLOOKUP("CP",$R$63:$T$91,3,FALSE),0)+IF(AND($M26&lt;&gt;"",$M26&lt;&gt;"--",$M26&lt;&gt;"O3/CP",$M$14=B$18),IF(LEFT($M26,1)="P",VLOOKUP(CONCATENATE(LEFT($M26,2),"H"),$R$63:$T$91,3,FALSE),VLOOKUP($M26,$R$63:$T$91,3,FALSE)))+IF(AND($M26&lt;&gt;"",$M26&lt;&gt;"O3/CP",$M$15=B$18,MID($M26,4,1)="2",$M$15&lt;&gt;$M$14),VLOOKUP(CONCATENATE(LEFT($M26,2),"L"),$R$63:$T$91,3,FALSE),0)+IF(AND($M26="O3/CP",$M$14=B$18),VLOOKUP("O3",$R$63:$T$91,3,FALSE)+VLOOKUP("CP",$R$63:$T$91,3,FALSE),0)+IF(AND($N26&lt;&gt;"",$N26&lt;&gt;"--",$N26&lt;&gt;"O3/CP",$N$14=B$18),IF(LEFT($N26,1)="P",VLOOKUP(CONCATENATE(LEFT($N26,2),"H"),$R$63:$T$91,3,FALSE),VLOOKUP($N26,$R$63:$T$91,3,FALSE)))+IF(AND($N26&lt;&gt;"",$N26&lt;&gt;"O3/CP",$N$15=B$18,MID($N26,4,1)="2",$N$15&lt;&gt;$N$14),VLOOKUP(CONCATENATE(LEFT($N26,2),"L"),$R$63:$T$91,3,FALSE),0)+IF(AND($N26="O3/CP",$N$14=B$18),VLOOKUP("O3",$R$63:$T$91,3,FALSE)+VLOOKUP("CP",$R$63:$T$91,3,FALSE),0)+IF(AND($O26&lt;&gt;"",$O26&lt;&gt;"--",$O26&lt;&gt;"O3/CP",$O$14=B$18),IF(LEFT($O26,1)="P",VLOOKUP(CONCATENATE(LEFT($O26,2),"H"),$R$63:$T$91,3,FALSE),VLOOKUP($O26,$R$63:$T$91,3,FALSE)))+IF(AND($O26&lt;&gt;"",$O26&lt;&gt;"O3/CP",$O$15=B$18,MID($O26,4,1)="2",$O$15&lt;&gt;$O$14),VLOOKUP(CONCATENATE(LEFT($O26,2),"L"),$R$63:$T$91,3,FALSE),0)+IF(AND($O26="O3/CP",$O$14=B$18),VLOOKUP("O3",$R$63:$T$91,3,FALSE)+VLOOKUP("CP",$R$63:$T$91,3,FALSE),0)+IF(AND($P26&lt;&gt;"",$P26&lt;&gt;"--",$P26&lt;&gt;"O3/CP",$P$14=B$18),IF(LEFT($P26,1)="P",VLOOKUP(CONCATENATE(LEFT($P26,2),"H"),$R$63:$T$91,3,FALSE),VLOOKUP($P26,$R$63:$T$91,3,FALSE)))+IF(AND($P26&lt;&gt;"",$P26&lt;&gt;"O3/CP",$P$15=B$18,MID($P26,4,1)="2",$P$15&lt;&gt;$P$14),VLOOKUP(CONCATENATE(LEFT($P26,2),"L"),$R$63:$T$91,3,FALSE),0)+IF(AND($P26="O3/CP",$P$14=B$18),VLOOKUP("O3",$R$63:$T$91,3,FALSE)+VLOOKUP("CP",$R$63:$T$91,3,FALSE),0)+IF(AND($Q26&lt;&gt;"",$Q26&lt;&gt;"--",$Q26&lt;&gt;"O3/CP",$Q$14=B$18),IF(LEFT($Q26,1)="P",VLOOKUP(CONCATENATE(LEFT($Q26,2),"H"),$R$63:$T$91,3,FALSE),VLOOKUP($Q26,$R$63:$T$91,3,FALSE)))+IF(AND($Q26&lt;&gt;"",$Q26&lt;&gt;"O3/CP",$Q$15=B$18,MID($Q26,4,1)="2",$Q$15&lt;&gt;$Q$14),VLOOKUP(CONCATENATE(LEFT($Q26,2),"L"),$R$63:$T$91,3,FALSE),0)+IF(AND($Q26="O3/CP",$Q$14=B$18),VLOOKUP("O3",$R$63:$T$91,3,FALSE)+VLOOKUP("CP",$R$63:$T$91,3,FALSE),0)+IF(AND($R26&lt;&gt;"",$R26&lt;&gt;"--",$R26&lt;&gt;"O3/CP",$R$14=B$18),IF(LEFT($R26,1)="P",VLOOKUP(CONCATENATE(LEFT($R26,2),"H"),$R$63:$T$91,3,FALSE),VLOOKUP($R26,$R$63:$T$91,3,FALSE)))+IF(AND($R26&lt;&gt;"",$R26&lt;&gt;"O3/CP",$R$15=B$18,MID($R26,4,1)="2",$R$15&lt;&gt;$R$14),VLOOKUP(CONCATENATE(LEFT($R26,2),"L"),$R$63:$T$91,3,FALSE),0)+IF(AND($R26="O3/CP",$R$14=B$18),VLOOKUP("O3",$R$63:$T$91,3,FALSE)+VLOOKUP("CP",$R$63:$T$91,3,FALSE),0)+IF(AND($S26&lt;&gt;"",$S26&lt;&gt;"--",$S26&lt;&gt;"O3/CP",$S$14=B$18),IF(LEFT($S26,1)="P",VLOOKUP(CONCATENATE(LEFT($S26,2),"H"),$R$63:$T$91,3,FALSE),VLOOKUP($S26,$R$63:$T$91,3,FALSE)))+IF(AND($S26&lt;&gt;"",$S26&lt;&gt;"O3/CP",$S$15=B$18,MID($S26,4,1)="2",$S$15&lt;&gt;$S$14),VLOOKUP(CONCATENATE(LEFT($S26,2),"L"),$R$63:$T$91,3,FALSE),0)+IF(AND($S26="O3/CP",$S$14=B$18),VLOOKUP("O3",$R$63:$T$91,3,FALSE)+VLOOKUP("CP",$R$63:$T$91,3,FALSE),0)+IF(AND($T26&lt;&gt;"",$T26&lt;&gt;"--",$T26&lt;&gt;"O3/CP",$T$14=B$18),IF(LEFT($T26,1)="P",VLOOKUP(CONCATENATE(LEFT($T26,2),"H"),$R$63:$T$91,3,FALSE),VLOOKUP($T26,$R$63:$T$91,3,FALSE)))+IF(AND($T26&lt;&gt;"",$T26&lt;&gt;"O3/CP",$T$15=B$18,MID($T26,4,1)="2",$T$15&lt;&gt;$T$14),VLOOKUP(CONCATENATE(LEFT($T26,2),"L"),$R$63:$T$91,3,FALSE),0)+IF(AND($T26="O3/CP",$T$14=B$18),VLOOKUP("O3",$R$63:$T$91,3,FALSE)+VLOOKUP("CP",$R$63:$T$91,3,FALSE),0)+IF(AND($U26&lt;&gt;"",$U26&lt;&gt;"--",$U26&lt;&gt;"O3/CP",$U$14=B$18),IF(LEFT($U26,1)="P",VLOOKUP(CONCATENATE(LEFT($U26,2),"H"),$R$63:$T$91,3,FALSE),VLOOKUP($U26,$R$63:$T$91,3,FALSE)))+IF(AND($U26&lt;&gt;"",$U26&lt;&gt;"O3/CP",$U$15=B$18,MID($U26,4,1)="2",$U$15&lt;&gt;$U$14),VLOOKUP(CONCATENATE(LEFT($U26,2),"L"),$R$63:$T$91,3,FALSE),0)+IF(AND($U26="O3/CP",$T$14=B$18),VLOOKUP("O3",$R$63:$T$91,3,FALSE)+VLOOKUP("CP",$R$63:$T$91,3,FALSE),0)+IF(AND($V26&lt;&gt;"",$V26&lt;&gt;"--",$V26&lt;&gt;"O3/CP",$V$14=B$18),IF(LEFT($V26,1)="P",VLOOKUP(CONCATENATE(LEFT($V26,2),"H"),$R$63:$T$91,3,FALSE),VLOOKUP($V26,$R$63:$T$91,3,FALSE)))+IF(AND($V26&lt;&gt;"",$V26&lt;&gt;"O3/CP",$V$15=B$18,MID($V26,4,1)="2",$V$15&lt;&gt;$V$14),VLOOKUP(CONCATENATE(LEFT($V26,2),"L"),$R$63:$T$91,3,FALSE),0)+IF(AND($V26="O3/CP",$V$14=B$18),VLOOKUP("O3",$R$63:$T$91,3,FALSE)+VLOOKUP("CP",$R$63:$T$91,3,FALSE),0)+IF(AND($W26&lt;&gt;"",$W26&lt;&gt;"--",$W26&lt;&gt;"O3/CP",$W$14=B$18),IF(LEFT($W26,1)="P",VLOOKUP(CONCATENATE(LEFT($W26,2),"H"),$R$63:$T$91,3,FALSE),VLOOKUP($W26,$R$63:$T$91,3,FALSE)))+IF(AND($W26&lt;&gt;"",$W26&lt;&gt;"O3/CP",$W$15=B$18,MID($W26,4,1)="2",$W$15&lt;&gt;$W$14),VLOOKUP(CONCATENATE(LEFT($W26,2),"L"),$R$63:$T$91,3,FALSE),0)+IF(AND($W26="O3/CP",$W$14=B$18),VLOOKUP("O3",$R$63:$T$91,3,FALSE)+VLOOKUP("CP",$R$63:$T$91,3,FALSE),0)+IF(AND($X26&lt;&gt;"",$X26&lt;&gt;"--",$X26&lt;&gt;"O3/CP",$X$14=B$18),IF(LEFT($X26,1)="P",VLOOKUP(CONCATENATE(LEFT($X26,2),"H"),$R$63:$T$91,3,FALSE),VLOOKUP($X26,$R$63:$T$91,3,FALSE)))+IF(AND($X26&lt;&gt;"",$X26&lt;&gt;"O3/CP",$X$15=B$18,MID($X26,4,1)="2",$X$15&lt;&gt;$X$14),VLOOKUP(CONCATENATE(LEFT($X26,2),"L"),$R$63:$T$91,3,FALSE),0)+IF(AND($X26="O3/CP",$X$14=B$18),VLOOKUP("O3",$R$63:$T$91,3,FALSE)+VLOOKUP("CP",$R$63:$T$91,3,FALSE),0)+IF(AND($Y26&lt;&gt;"",$Y26&lt;&gt;"--",$Y26&lt;&gt;"O3/CP",$Y$14=B$18),IF(LEFT($Y26,1)="P",VLOOKUP(CONCATENATE(LEFT($Y26,2),"H"),$R$63:$T$91,3,FALSE),VLOOKUP($Y26,$R$63:$T$91,3,FALSE)))+IF(AND($Y26&lt;&gt;"",$Y26&lt;&gt;"O3/CP",$Y$15=B$18,MID($Y26,4,1)="2",$Y$15&lt;&gt;$Y$14),VLOOKUP(CONCATENATE(LEFT($Y26,2),"L"),$R$63:$T$91,3,FALSE),0)+IF(AND($Y26="O3/CP",$Y$14=B$18),VLOOKUP("O3",$R$63:$T$91,3,FALSE)+VLOOKUP("CP",$R$63:$T$91,3,FALSE),0)+IF(AND($K$6="CE",'[3]Supply Attribution'!$G$20=B$18),LEFT($S$90,2),0)+IF(AND($X$86&lt;&gt;"Not Set",$X$87=B$18),$X$86,0)</f>
        <v>0</v>
      </c>
      <c r="C26" s="269">
        <f>IF(AND($K26&lt;&gt;"",$K26&lt;&gt;"--",$K26&lt;&gt;"O3/CP",$K$14=C$18),IF(LEFT($K26,1)="P",VLOOKUP(CONCATENATE(LEFT($K26,2),"H"),$R$63:$T$91,3,FALSE),VLOOKUP($K26,$R$63:$T$91,3,FALSE)))+IF(AND($K26&lt;&gt;"",$K26&lt;&gt;"O3/CP",$K$15=C$18,MID($K26,4,1)="2",$K$15&lt;&gt;$K$14),VLOOKUP(CONCATENATE(LEFT($K26,2),"L"),$R$63:$T$91,3,FALSE),0)+IF(AND($K26="O3/CP",$K$14=C$18),VLOOKUP("O3",$R$63:$T$91,3,FALSE)+VLOOKUP("CP",$R$63:$T$91,3,FALSE),0)+IF(AND($L26&lt;&gt;"",$L26&lt;&gt;"--",$L26&lt;&gt;"O3/CP",$L$14=C$18),IF(LEFT($L26,1)="P",VLOOKUP(CONCATENATE(LEFT($L26,2),"H"),$R$63:$T$91,3,FALSE),VLOOKUP($L26,$R$63:$T$91,3,FALSE)))+IF(AND($L26&lt;&gt;"",$L26&lt;&gt;"O3/CP",$L$15=C$18,MID($L26,4,1)="2",$L$15&lt;&gt;$L$14),VLOOKUP(CONCATENATE(LEFT($L26,2),"L"),$R$63:$T$91,3,FALSE),0)+IF(AND($L26="O3/CP",$L$14=C$18),VLOOKUP("O3",$R$63:$T$91,3,FALSE)+VLOOKUP("CP",$R$63:$T$91,3,FALSE),0)+IF(AND($M26&lt;&gt;"",$M26&lt;&gt;"--",$M26&lt;&gt;"O3/CP",$M$14=C$18),IF(LEFT($M26,1)="P",VLOOKUP(CONCATENATE(LEFT($M26,2),"H"),$R$63:$T$91,3,FALSE),VLOOKUP($M26,$R$63:$T$91,3,FALSE)))+IF(AND($M26&lt;&gt;"",$M26&lt;&gt;"O3/CP",$M$15=C$18,MID($M26,4,1)="2",$M$15&lt;&gt;$M$14),VLOOKUP(CONCATENATE(LEFT($M26,2),"L"),$R$63:$T$91,3,FALSE),0)+IF(AND($M26="O3/CP",$M$14=C$18),VLOOKUP("O3",$R$63:$T$91,3,FALSE)+VLOOKUP("CP",$R$63:$T$91,3,FALSE),0)+IF(AND($N26&lt;&gt;"",$N26&lt;&gt;"--",$N26&lt;&gt;"O3/CP",$N$14=C$18),IF(LEFT($N26,1)="P",VLOOKUP(CONCATENATE(LEFT($N26,2),"H"),$R$63:$T$91,3,FALSE),VLOOKUP($N26,$R$63:$T$91,3,FALSE)))+IF(AND($N26&lt;&gt;"",$N26&lt;&gt;"O3/CP",$N$15=C$18,MID($N26,4,1)="2",$N$15&lt;&gt;$N$14),VLOOKUP(CONCATENATE(LEFT($N26,2),"L"),$R$63:$T$91,3,FALSE),0)+IF(AND($N26="O3/CP",$N$14=C$18),VLOOKUP("O3",$R$63:$T$91,3,FALSE)+VLOOKUP("CP",$R$63:$T$91,3,FALSE),0)+IF(AND($O26&lt;&gt;"",$O26&lt;&gt;"--",$O26&lt;&gt;"O3/CP",$O$14=C$18),IF(LEFT($O26,1)="P",VLOOKUP(CONCATENATE(LEFT($O26,2),"H"),$R$63:$T$91,3,FALSE),VLOOKUP($O26,$R$63:$T$91,3,FALSE)))+IF(AND($O26&lt;&gt;"",$O26&lt;&gt;"O3/CP",$O$15=C$18,MID($O26,4,1)="2",$O$15&lt;&gt;$O$14),VLOOKUP(CONCATENATE(LEFT($O26,2),"L"),$R$63:$T$91,3,FALSE),0)+IF(AND($O26="O3/CP",$O$14=C$18),VLOOKUP("O3",$R$63:$T$91,3,FALSE)+VLOOKUP("CP",$R$63:$T$91,3,FALSE),0)+IF(AND($P26&lt;&gt;"",$P26&lt;&gt;"--",$P26&lt;&gt;"O3/CP",$P$14=C$18),IF(LEFT($P26,1)="P",VLOOKUP(CONCATENATE(LEFT($P26,2),"H"),$R$63:$T$91,3,FALSE),VLOOKUP($P26,$R$63:$T$91,3,FALSE)))+IF(AND($P26&lt;&gt;"",$P26&lt;&gt;"O3/CP",$P$15=C$18,MID($P26,4,1)="2",$P$15&lt;&gt;$P$14),VLOOKUP(CONCATENATE(LEFT($P26,2),"L"),$R$63:$T$91,3,FALSE),0)+IF(AND($P26="O3/CP",$P$14=C$18),VLOOKUP("O3",$R$63:$T$91,3,FALSE)+VLOOKUP("CP",$R$63:$T$91,3,FALSE),0)+IF(AND($Q26&lt;&gt;"",$Q26&lt;&gt;"--",$Q26&lt;&gt;"O3/CP",$Q$14=C$18),IF(LEFT($Q26,1)="P",VLOOKUP(CONCATENATE(LEFT($Q26,2),"H"),$R$63:$T$91,3,FALSE),VLOOKUP($Q26,$R$63:$T$91,3,FALSE)))+IF(AND($Q26&lt;&gt;"",$Q26&lt;&gt;"O3/CP",$Q$15=C$18,MID($Q26,4,1)="2",$Q$15&lt;&gt;$Q$14),VLOOKUP(CONCATENATE(LEFT($Q26,2),"L"),$R$63:$T$91,3,FALSE),0)+IF(AND($Q26="O3/CP",$Q$14=C$18),VLOOKUP("O3",$R$63:$T$91,3,FALSE)+VLOOKUP("CP",$R$63:$T$91,3,FALSE),0)+IF(AND($R26&lt;&gt;"",$R26&lt;&gt;"--",$R26&lt;&gt;"O3/CP",$R$14=C$18),IF(LEFT($R26,1)="P",VLOOKUP(CONCATENATE(LEFT($R26,2),"H"),$R$63:$T$91,3,FALSE),VLOOKUP($R26,$R$63:$T$91,3,FALSE)))+IF(AND($R26&lt;&gt;"",$R26&lt;&gt;"O3/CP",$R$15=C$18,MID($R26,4,1)="2",$R$15&lt;&gt;$R$14),VLOOKUP(CONCATENATE(LEFT($R26,2),"L"),$R$63:$T$91,3,FALSE),0)+IF(AND($R26="O3/CP",$R$14=C$18),VLOOKUP("O3",$R$63:$T$91,3,FALSE)+VLOOKUP("CP",$R$63:$T$91,3,FALSE),0)+IF(AND($S26&lt;&gt;"",$S26&lt;&gt;"--",$S26&lt;&gt;"O3/CP",$S$14=C$18),IF(LEFT($S26,1)="P",VLOOKUP(CONCATENATE(LEFT($S26,2),"H"),$R$63:$T$91,3,FALSE),VLOOKUP($S26,$R$63:$T$91,3,FALSE)))+IF(AND($S26&lt;&gt;"",$S26&lt;&gt;"O3/CP",$S$15=C$18,MID($S26,4,1)="2",$S$15&lt;&gt;$S$14),VLOOKUP(CONCATENATE(LEFT($S26,2),"L"),$R$63:$T$91,3,FALSE),0)+IF(AND($S26="O3/CP",$S$14=C$18),VLOOKUP("O3",$R$63:$T$91,3,FALSE)+VLOOKUP("CP",$R$63:$T$91,3,FALSE),0)+IF(AND($T26&lt;&gt;"",$T26&lt;&gt;"--",$T26&lt;&gt;"O3/CP",$T$14=C$18),IF(LEFT($T26,1)="P",VLOOKUP(CONCATENATE(LEFT($T26,2),"H"),$R$63:$T$91,3,FALSE),VLOOKUP($T26,$R$63:$T$91,3,FALSE)))+IF(AND($T26&lt;&gt;"",$T26&lt;&gt;"O3/CP",$T$15=C$18,MID($T26,4,1)="2",$T$15&lt;&gt;$T$14),VLOOKUP(CONCATENATE(LEFT($T26,2),"L"),$R$63:$T$91,3,FALSE),0)+IF(AND($T26="O3/CP",$T$14=C$18),VLOOKUP("O3",$R$63:$T$91,3,FALSE)+VLOOKUP("CP",$R$63:$T$91,3,FALSE),0)+IF(AND($U26&lt;&gt;"",$U26&lt;&gt;"--",$U26&lt;&gt;"O3/CP",$U$14=C$18),IF(LEFT($U26,1)="P",VLOOKUP(CONCATENATE(LEFT($U26,2),"H"),$R$63:$T$91,3,FALSE),VLOOKUP($U26,$R$63:$T$91,3,FALSE)))+IF(AND($U26&lt;&gt;"",$U26&lt;&gt;"O3/CP",$U$15=C$18,MID($U26,4,1)="2",$U$15&lt;&gt;$U$14),VLOOKUP(CONCATENATE(LEFT($U26,2),"L"),$R$63:$T$91,3,FALSE),0)+IF(AND($U26="O3/CP",$T$14=C$18),VLOOKUP("O3",$R$63:$T$91,3,FALSE)+VLOOKUP("CP",$R$63:$T$91,3,FALSE),0)+IF(AND($V26&lt;&gt;"",$V26&lt;&gt;"--",$V26&lt;&gt;"O3/CP",$V$14=C$18),IF(LEFT($V26,1)="P",VLOOKUP(CONCATENATE(LEFT($V26,2),"H"),$R$63:$T$91,3,FALSE),VLOOKUP($V26,$R$63:$T$91,3,FALSE)))+IF(AND($V26&lt;&gt;"",$V26&lt;&gt;"O3/CP",$V$15=C$18,MID($V26,4,1)="2",$V$15&lt;&gt;$V$14),VLOOKUP(CONCATENATE(LEFT($V26,2),"L"),$R$63:$T$91,3,FALSE),0)+IF(AND($V26="O3/CP",$V$14=C$18),VLOOKUP("O3",$R$63:$T$91,3,FALSE)+VLOOKUP("CP",$R$63:$T$91,3,FALSE),0)+IF(AND($W26&lt;&gt;"",$W26&lt;&gt;"--",$W26&lt;&gt;"O3/CP",$W$14=C$18),IF(LEFT($W26,1)="P",VLOOKUP(CONCATENATE(LEFT($W26,2),"H"),$R$63:$T$91,3,FALSE),VLOOKUP($W26,$R$63:$T$91,3,FALSE)))+IF(AND($W26&lt;&gt;"",$W26&lt;&gt;"O3/CP",$W$15=C$18,MID($W26,4,1)="2",$W$15&lt;&gt;$W$14),VLOOKUP(CONCATENATE(LEFT($W26,2),"L"),$R$63:$T$91,3,FALSE),0)+IF(AND($W26="O3/CP",$W$14=C$18),VLOOKUP("O3",$R$63:$T$91,3,FALSE)+VLOOKUP("CP",$R$63:$T$91,3,FALSE),0)+IF(AND($X26&lt;&gt;"",$X26&lt;&gt;"--",$X26&lt;&gt;"O3/CP",$X$14=C$18),IF(LEFT($X26,1)="P",VLOOKUP(CONCATENATE(LEFT($X26,2),"H"),$R$63:$T$91,3,FALSE),VLOOKUP($X26,$R$63:$T$91,3,FALSE)))+IF(AND($X26&lt;&gt;"",$X26&lt;&gt;"O3/CP",$X$15=C$18,MID($X26,4,1)="2",$X$15&lt;&gt;$X$14),VLOOKUP(CONCATENATE(LEFT($X26,2),"L"),$R$63:$T$91,3,FALSE),0)+IF(AND($X26="O3/CP",$X$14=C$18),VLOOKUP("O3",$R$63:$T$91,3,FALSE)+VLOOKUP("CP",$R$63:$T$91,3,FALSE),0)+IF(AND($Y26&lt;&gt;"",$Y26&lt;&gt;"--",$Y26&lt;&gt;"O3/CP",$Y$14=C$18),IF(LEFT($Y26,1)="P",VLOOKUP(CONCATENATE(LEFT($Y26,2),"H"),$R$63:$T$91,3,FALSE),VLOOKUP($Y26,$R$63:$T$91,3,FALSE)))+IF(AND($Y26&lt;&gt;"",$Y26&lt;&gt;"O3/CP",$Y$15=C$18,MID($Y26,4,1)="2",$Y$15&lt;&gt;$Y$14),VLOOKUP(CONCATENATE(LEFT($Y26,2),"L"),$R$63:$T$91,3,FALSE),0)+IF(AND($Y26="O3/CP",$Y$14=C$18),VLOOKUP("O3",$R$63:$T$91,3,FALSE)+VLOOKUP("CP",$R$63:$T$91,3,FALSE),0)+IF(AND($K$6="CE",'[3]Supply Attribution'!$G$20=C$18),LEFT($S$90,2),0)+IF(AND($X$86&lt;&gt;"Not Set",$X$87=C$18),$X$86,0)</f>
        <v>12</v>
      </c>
      <c r="D26" s="269">
        <f>IF(AND($K26&lt;&gt;"",$K26&lt;&gt;"--",$K26&lt;&gt;"O3/CP",$K$14=D$18),IF(LEFT($K26,1)="P",VLOOKUP(CONCATENATE(LEFT($K26,2),"H"),$R$63:$T$91,3,FALSE),VLOOKUP($K26,$R$63:$T$91,3,FALSE)))+IF(AND($K26&lt;&gt;"",$K26&lt;&gt;"O3/CP",$K$15=D$18,MID($K26,4,1)="2",$K$15&lt;&gt;$K$14),VLOOKUP(CONCATENATE(LEFT($K26,2),"L"),$R$63:$T$91,3,FALSE),0)+IF(AND($K26="O3/CP",$K$14=D$18),VLOOKUP("O3",$R$63:$T$91,3,FALSE)+VLOOKUP("CP",$R$63:$T$91,3,FALSE),0)+IF(AND($L26&lt;&gt;"",$L26&lt;&gt;"--",$L26&lt;&gt;"O3/CP",$L$14=D$18),IF(LEFT($L26,1)="P",VLOOKUP(CONCATENATE(LEFT($L26,2),"H"),$R$63:$T$91,3,FALSE),VLOOKUP($L26,$R$63:$T$91,3,FALSE)))+IF(AND($L26&lt;&gt;"",$L26&lt;&gt;"O3/CP",$L$15=D$18,MID($L26,4,1)="2",$L$15&lt;&gt;$L$14),VLOOKUP(CONCATENATE(LEFT($L26,2),"L"),$R$63:$T$91,3,FALSE),0)+IF(AND($L26="O3/CP",$L$14=D$18),VLOOKUP("O3",$R$63:$T$91,3,FALSE)+VLOOKUP("CP",$R$63:$T$91,3,FALSE),0)+IF(AND($M26&lt;&gt;"",$M26&lt;&gt;"--",$M26&lt;&gt;"O3/CP",$M$14=D$18),IF(LEFT($M26,1)="P",VLOOKUP(CONCATENATE(LEFT($M26,2),"H"),$R$63:$T$91,3,FALSE),VLOOKUP($M26,$R$63:$T$91,3,FALSE)))+IF(AND($M26&lt;&gt;"",$M26&lt;&gt;"O3/CP",$M$15=D$18,MID($M26,4,1)="2",$M$15&lt;&gt;$M$14),VLOOKUP(CONCATENATE(LEFT($M26,2),"L"),$R$63:$T$91,3,FALSE),0)+IF(AND($M26="O3/CP",$M$14=D$18),VLOOKUP("O3",$R$63:$T$91,3,FALSE)+VLOOKUP("CP",$R$63:$T$91,3,FALSE),0)+IF(AND($N26&lt;&gt;"",$N26&lt;&gt;"--",$N26&lt;&gt;"O3/CP",$N$14=D$18),IF(LEFT($N26,1)="P",VLOOKUP(CONCATENATE(LEFT($N26,2),"H"),$R$63:$T$91,3,FALSE),VLOOKUP($N26,$R$63:$T$91,3,FALSE)))+IF(AND($N26&lt;&gt;"",$N26&lt;&gt;"O3/CP",$N$15=D$18,MID($N26,4,1)="2",$N$15&lt;&gt;$N$14),VLOOKUP(CONCATENATE(LEFT($N26,2),"L"),$R$63:$T$91,3,FALSE),0)+IF(AND($N26="O3/CP",$N$14=D$18),VLOOKUP("O3",$R$63:$T$91,3,FALSE)+VLOOKUP("CP",$R$63:$T$91,3,FALSE),0)+IF(AND($O26&lt;&gt;"",$O26&lt;&gt;"--",$O26&lt;&gt;"O3/CP",$O$14=D$18),IF(LEFT($O26,1)="P",VLOOKUP(CONCATENATE(LEFT($O26,2),"H"),$R$63:$T$91,3,FALSE),VLOOKUP($O26,$R$63:$T$91,3,FALSE)))+IF(AND($O26&lt;&gt;"",$O26&lt;&gt;"O3/CP",$O$15=D$18,MID($O26,4,1)="2",$O$15&lt;&gt;$O$14),VLOOKUP(CONCATENATE(LEFT($O26,2),"L"),$R$63:$T$91,3,FALSE),0)+IF(AND($O26="O3/CP",$O$14=D$18),VLOOKUP("O3",$R$63:$T$91,3,FALSE)+VLOOKUP("CP",$R$63:$T$91,3,FALSE),0)+IF(AND($P26&lt;&gt;"",$P26&lt;&gt;"--",$P26&lt;&gt;"O3/CP",$P$14=D$18),IF(LEFT($P26,1)="P",VLOOKUP(CONCATENATE(LEFT($P26,2),"H"),$R$63:$T$91,3,FALSE),VLOOKUP($P26,$R$63:$T$91,3,FALSE)))+IF(AND($P26&lt;&gt;"",$P26&lt;&gt;"O3/CP",$P$15=D$18,MID($P26,4,1)="2",$P$15&lt;&gt;$P$14),VLOOKUP(CONCATENATE(LEFT($P26,2),"L"),$R$63:$T$91,3,FALSE),0)+IF(AND($P26="O3/CP",$P$14=D$18),VLOOKUP("O3",$R$63:$T$91,3,FALSE)+VLOOKUP("CP",$R$63:$T$91,3,FALSE),0)+IF(AND($Q26&lt;&gt;"",$Q26&lt;&gt;"--",$Q26&lt;&gt;"O3/CP",$Q$14=D$18),IF(LEFT($Q26,1)="P",VLOOKUP(CONCATENATE(LEFT($Q26,2),"H"),$R$63:$T$91,3,FALSE),VLOOKUP($Q26,$R$63:$T$91,3,FALSE)))+IF(AND($Q26&lt;&gt;"",$Q26&lt;&gt;"O3/CP",$Q$15=D$18,MID($Q26,4,1)="2",$Q$15&lt;&gt;$Q$14),VLOOKUP(CONCATENATE(LEFT($Q26,2),"L"),$R$63:$T$91,3,FALSE),0)+IF(AND($Q26="O3/CP",$Q$14=D$18),VLOOKUP("O3",$R$63:$T$91,3,FALSE)+VLOOKUP("CP",$R$63:$T$91,3,FALSE),0)+IF(AND($R26&lt;&gt;"",$R26&lt;&gt;"--",$R26&lt;&gt;"O3/CP",$R$14=D$18),IF(LEFT($R26,1)="P",VLOOKUP(CONCATENATE(LEFT($R26,2),"H"),$R$63:$T$91,3,FALSE),VLOOKUP($R26,$R$63:$T$91,3,FALSE)))+IF(AND($R26&lt;&gt;"",$R26&lt;&gt;"O3/CP",$R$15=D$18,MID($R26,4,1)="2",$R$15&lt;&gt;$R$14),VLOOKUP(CONCATENATE(LEFT($R26,2),"L"),$R$63:$T$91,3,FALSE),0)+IF(AND($R26="O3/CP",$R$14=D$18),VLOOKUP("O3",$R$63:$T$91,3,FALSE)+VLOOKUP("CP",$R$63:$T$91,3,FALSE),0)+IF(AND($S26&lt;&gt;"",$S26&lt;&gt;"--",$S26&lt;&gt;"O3/CP",$S$14=D$18),IF(LEFT($S26,1)="P",VLOOKUP(CONCATENATE(LEFT($S26,2),"H"),$R$63:$T$91,3,FALSE),VLOOKUP($S26,$R$63:$T$91,3,FALSE)))+IF(AND($S26&lt;&gt;"",$S26&lt;&gt;"O3/CP",$S$15=D$18,MID($S26,4,1)="2",$S$15&lt;&gt;$S$14),VLOOKUP(CONCATENATE(LEFT($S26,2),"L"),$R$63:$T$91,3,FALSE),0)+IF(AND($S26="O3/CP",$S$14=D$18),VLOOKUP("O3",$R$63:$T$91,3,FALSE)+VLOOKUP("CP",$R$63:$T$91,3,FALSE),0)+IF(AND($T26&lt;&gt;"",$T26&lt;&gt;"--",$T26&lt;&gt;"O3/CP",$T$14=D$18),IF(LEFT($T26,1)="P",VLOOKUP(CONCATENATE(LEFT($T26,2),"H"),$R$63:$T$91,3,FALSE),VLOOKUP($T26,$R$63:$T$91,3,FALSE)))+IF(AND($T26&lt;&gt;"",$T26&lt;&gt;"O3/CP",$T$15=D$18,MID($T26,4,1)="2",$T$15&lt;&gt;$T$14),VLOOKUP(CONCATENATE(LEFT($T26,2),"L"),$R$63:$T$91,3,FALSE),0)+IF(AND($T26="O3/CP",$T$14=D$18),VLOOKUP("O3",$R$63:$T$91,3,FALSE)+VLOOKUP("CP",$R$63:$T$91,3,FALSE),0)+IF(AND($U26&lt;&gt;"",$U26&lt;&gt;"--",$U26&lt;&gt;"O3/CP",$U$14=D$18),IF(LEFT($U26,1)="P",VLOOKUP(CONCATENATE(LEFT($U26,2),"H"),$R$63:$T$91,3,FALSE),VLOOKUP($U26,$R$63:$T$91,3,FALSE)))+IF(AND($U26&lt;&gt;"",$U26&lt;&gt;"O3/CP",$U$15=D$18,MID($U26,4,1)="2",$U$15&lt;&gt;$U$14),VLOOKUP(CONCATENATE(LEFT($U26,2),"L"),$R$63:$T$91,3,FALSE),0)+IF(AND($U26="O3/CP",$T$14=D$18),VLOOKUP("O3",$R$63:$T$91,3,FALSE)+VLOOKUP("CP",$R$63:$T$91,3,FALSE),0)+IF(AND($V26&lt;&gt;"",$V26&lt;&gt;"--",$V26&lt;&gt;"O3/CP",$V$14=D$18),IF(LEFT($V26,1)="P",VLOOKUP(CONCATENATE(LEFT($V26,2),"H"),$R$63:$T$91,3,FALSE),VLOOKUP($V26,$R$63:$T$91,3,FALSE)))+IF(AND($V26&lt;&gt;"",$V26&lt;&gt;"O3/CP",$V$15=D$18,MID($V26,4,1)="2",$V$15&lt;&gt;$V$14),VLOOKUP(CONCATENATE(LEFT($V26,2),"L"),$R$63:$T$91,3,FALSE),0)+IF(AND($V26="O3/CP",$V$14=D$18),VLOOKUP("O3",$R$63:$T$91,3,FALSE)+VLOOKUP("CP",$R$63:$T$91,3,FALSE),0)+IF(AND($W26&lt;&gt;"",$W26&lt;&gt;"--",$W26&lt;&gt;"O3/CP",$W$14=D$18),IF(LEFT($W26,1)="P",VLOOKUP(CONCATENATE(LEFT($W26,2),"H"),$R$63:$T$91,3,FALSE),VLOOKUP($W26,$R$63:$T$91,3,FALSE)))+IF(AND($W26&lt;&gt;"",$W26&lt;&gt;"O3/CP",$W$15=D$18,MID($W26,4,1)="2",$W$15&lt;&gt;$W$14),VLOOKUP(CONCATENATE(LEFT($W26,2),"L"),$R$63:$T$91,3,FALSE),0)+IF(AND($W26="O3/CP",$W$14=D$18),VLOOKUP("O3",$R$63:$T$91,3,FALSE)+VLOOKUP("CP",$R$63:$T$91,3,FALSE),0)+IF(AND($X26&lt;&gt;"",$X26&lt;&gt;"--",$X26&lt;&gt;"O3/CP",$X$14=D$18),IF(LEFT($X26,1)="P",VLOOKUP(CONCATENATE(LEFT($X26,2),"H"),$R$63:$T$91,3,FALSE),VLOOKUP($X26,$R$63:$T$91,3,FALSE)))+IF(AND($X26&lt;&gt;"",$X26&lt;&gt;"O3/CP",$X$15=D$18,MID($X26,4,1)="2",$X$15&lt;&gt;$X$14),VLOOKUP(CONCATENATE(LEFT($X26,2),"L"),$R$63:$T$91,3,FALSE),0)+IF(AND($X26="O3/CP",$X$14=D$18),VLOOKUP("O3",$R$63:$T$91,3,FALSE)+VLOOKUP("CP",$R$63:$T$91,3,FALSE),0)+IF(AND($Y26&lt;&gt;"",$Y26&lt;&gt;"--",$Y26&lt;&gt;"O3/CP",$Y$14=D$18),IF(LEFT($Y26,1)="P",VLOOKUP(CONCATENATE(LEFT($Y26,2),"H"),$R$63:$T$91,3,FALSE),VLOOKUP($Y26,$R$63:$T$91,3,FALSE)))+IF(AND($Y26&lt;&gt;"",$Y26&lt;&gt;"O3/CP",$Y$15=D$18,MID($Y26,4,1)="2",$Y$15&lt;&gt;$Y$14),VLOOKUP(CONCATENATE(LEFT($Y26,2),"L"),$R$63:$T$91,3,FALSE),0)+IF(AND($Y26="O3/CP",$Y$14=D$18),VLOOKUP("O3",$R$63:$T$91,3,FALSE)+VLOOKUP("CP",$R$63:$T$91,3,FALSE),0)+IF(AND($K$6="CE",'[3]Supply Attribution'!$G$20=D$18),LEFT($S$90,2),0)+IF(AND($X$86&lt;&gt;"Not Set",$X$87=D$18),$X$86,0)</f>
        <v>0</v>
      </c>
      <c r="E26" s="269">
        <f>IF(AND($K26&lt;&gt;"",$K26&lt;&gt;"--",$K26&lt;&gt;"O3/CP",$K$14=E$18),IF(LEFT($K26,1)="P",VLOOKUP(CONCATENATE(LEFT($K26,2),"H"),$R$63:$T$91,3,FALSE),VLOOKUP($K26,$R$63:$T$91,3,FALSE)))+IF(AND($K26&lt;&gt;"",$K26&lt;&gt;"O3/CP",$K$15=E$18,MID($K26,4,1)="2",$K$15&lt;&gt;$K$14),VLOOKUP(CONCATENATE(LEFT($K26,2),"L"),$R$63:$T$91,3,FALSE),0)+IF(AND($K26="O3/CP",$K$14=E$18),VLOOKUP("O3",$R$63:$T$91,3,FALSE)+VLOOKUP("CP",$R$63:$T$91,3,FALSE),0)+IF(AND($L26&lt;&gt;"",$L26&lt;&gt;"--",$L26&lt;&gt;"O3/CP",$L$14=E$18),IF(LEFT($L26,1)="P",VLOOKUP(CONCATENATE(LEFT($L26,2),"H"),$R$63:$T$91,3,FALSE),VLOOKUP($L26,$R$63:$T$91,3,FALSE)))+IF(AND($L26&lt;&gt;"",$L26&lt;&gt;"O3/CP",$L$15=E$18,MID($L26,4,1)="2",$L$15&lt;&gt;$L$14),VLOOKUP(CONCATENATE(LEFT($L26,2),"L"),$R$63:$T$91,3,FALSE),0)+IF(AND($L26="O3/CP",$L$14=E$18),VLOOKUP("O3",$R$63:$T$91,3,FALSE)+VLOOKUP("CP",$R$63:$T$91,3,FALSE),0)+IF(AND($M26&lt;&gt;"",$M26&lt;&gt;"--",$M26&lt;&gt;"O3/CP",$M$14=E$18),IF(LEFT($M26,1)="P",VLOOKUP(CONCATENATE(LEFT($M26,2),"H"),$R$63:$T$91,3,FALSE),VLOOKUP($M26,$R$63:$T$91,3,FALSE)))+IF(AND($M26&lt;&gt;"",$M26&lt;&gt;"O3/CP",$M$15=E$18,MID($M26,4,1)="2",$M$15&lt;&gt;$M$14),VLOOKUP(CONCATENATE(LEFT($M26,2),"L"),$R$63:$T$91,3,FALSE),0)+IF(AND($M26="O3/CP",$M$14=E$18),VLOOKUP("O3",$R$63:$T$91,3,FALSE)+VLOOKUP("CP",$R$63:$T$91,3,FALSE),0)+IF(AND($N26&lt;&gt;"",$N26&lt;&gt;"--",$N26&lt;&gt;"O3/CP",$N$14=E$18),IF(LEFT($N26,1)="P",VLOOKUP(CONCATENATE(LEFT($N26,2),"H"),$R$63:$T$91,3,FALSE),VLOOKUP($N26,$R$63:$T$91,3,FALSE)))+IF(AND($N26&lt;&gt;"",$N26&lt;&gt;"O3/CP",$N$15=E$18,MID($N26,4,1)="2",$N$15&lt;&gt;$N$14),VLOOKUP(CONCATENATE(LEFT($N26,2),"L"),$R$63:$T$91,3,FALSE),0)+IF(AND($N26="O3/CP",$N$14=E$18),VLOOKUP("O3",$R$63:$T$91,3,FALSE)+VLOOKUP("CP",$R$63:$T$91,3,FALSE),0)+IF(AND($O26&lt;&gt;"",$O26&lt;&gt;"--",$O26&lt;&gt;"O3/CP",$O$14=E$18),IF(LEFT($O26,1)="P",VLOOKUP(CONCATENATE(LEFT($O26,2),"H"),$R$63:$T$91,3,FALSE),VLOOKUP($O26,$R$63:$T$91,3,FALSE)))+IF(AND($O26&lt;&gt;"",$O26&lt;&gt;"O3/CP",$O$15=E$18,MID($O26,4,1)="2",$O$15&lt;&gt;$O$14),VLOOKUP(CONCATENATE(LEFT($O26,2),"L"),$R$63:$T$91,3,FALSE),0)+IF(AND($O26="O3/CP",$O$14=E$18),VLOOKUP("O3",$R$63:$T$91,3,FALSE)+VLOOKUP("CP",$R$63:$T$91,3,FALSE),0)+IF(AND($P26&lt;&gt;"",$P26&lt;&gt;"--",$P26&lt;&gt;"O3/CP",$P$14=E$18),IF(LEFT($P26,1)="P",VLOOKUP(CONCATENATE(LEFT($P26,2),"H"),$R$63:$T$91,3,FALSE),VLOOKUP($P26,$R$63:$T$91,3,FALSE)))+IF(AND($P26&lt;&gt;"",$P26&lt;&gt;"O3/CP",$P$15=E$18,MID($P26,4,1)="2",$P$15&lt;&gt;$P$14),VLOOKUP(CONCATENATE(LEFT($P26,2),"L"),$R$63:$T$91,3,FALSE),0)+IF(AND($P26="O3/CP",$P$14=E$18),VLOOKUP("O3",$R$63:$T$91,3,FALSE)+VLOOKUP("CP",$R$63:$T$91,3,FALSE),0)+IF(AND($Q26&lt;&gt;"",$Q26&lt;&gt;"--",$Q26&lt;&gt;"O3/CP",$Q$14=E$18),IF(LEFT($Q26,1)="P",VLOOKUP(CONCATENATE(LEFT($Q26,2),"H"),$R$63:$T$91,3,FALSE),VLOOKUP($Q26,$R$63:$T$91,3,FALSE)))+IF(AND($Q26&lt;&gt;"",$Q26&lt;&gt;"O3/CP",$Q$15=E$18,MID($Q26,4,1)="2",$Q$15&lt;&gt;$Q$14),VLOOKUP(CONCATENATE(LEFT($Q26,2),"L"),$R$63:$T$91,3,FALSE),0)+IF(AND($Q26="O3/CP",$Q$14=E$18),VLOOKUP("O3",$R$63:$T$91,3,FALSE)+VLOOKUP("CP",$R$63:$T$91,3,FALSE),0)+IF(AND($R26&lt;&gt;"",$R26&lt;&gt;"--",$R26&lt;&gt;"O3/CP",$R$14=E$18),IF(LEFT($R26,1)="P",VLOOKUP(CONCATENATE(LEFT($R26,2),"H"),$R$63:$T$91,3,FALSE),VLOOKUP($R26,$R$63:$T$91,3,FALSE)))+IF(AND($R26&lt;&gt;"",$R26&lt;&gt;"O3/CP",$R$15=E$18,MID($R26,4,1)="2",$R$15&lt;&gt;$R$14),VLOOKUP(CONCATENATE(LEFT($R26,2),"L"),$R$63:$T$91,3,FALSE),0)+IF(AND($R26="O3/CP",$R$14=E$18),VLOOKUP("O3",$R$63:$T$91,3,FALSE)+VLOOKUP("CP",$R$63:$T$91,3,FALSE),0)+IF(AND($S26&lt;&gt;"",$S26&lt;&gt;"--",$S26&lt;&gt;"O3/CP",$S$14=E$18),IF(LEFT($S26,1)="P",VLOOKUP(CONCATENATE(LEFT($S26,2),"H"),$R$63:$T$91,3,FALSE),VLOOKUP($S26,$R$63:$T$91,3,FALSE)))+IF(AND($S26&lt;&gt;"",$S26&lt;&gt;"O3/CP",$S$15=E$18,MID($S26,4,1)="2",$S$15&lt;&gt;$S$14),VLOOKUP(CONCATENATE(LEFT($S26,2),"L"),$R$63:$T$91,3,FALSE),0)+IF(AND($S26="O3/CP",$S$14=E$18),VLOOKUP("O3",$R$63:$T$91,3,FALSE)+VLOOKUP("CP",$R$63:$T$91,3,FALSE),0)+IF(AND($T26&lt;&gt;"",$T26&lt;&gt;"--",$T26&lt;&gt;"O3/CP",$T$14=E$18),IF(LEFT($T26,1)="P",VLOOKUP(CONCATENATE(LEFT($T26,2),"H"),$R$63:$T$91,3,FALSE),VLOOKUP($T26,$R$63:$T$91,3,FALSE)))+IF(AND($T26&lt;&gt;"",$T26&lt;&gt;"O3/CP",$T$15=E$18,MID($T26,4,1)="2",$T$15&lt;&gt;$T$14),VLOOKUP(CONCATENATE(LEFT($T26,2),"L"),$R$63:$T$91,3,FALSE),0)+IF(AND($T26="O3/CP",$T$14=E$18),VLOOKUP("O3",$R$63:$T$91,3,FALSE)+VLOOKUP("CP",$R$63:$T$91,3,FALSE),0)+IF(AND($U26&lt;&gt;"",$U26&lt;&gt;"--",$U26&lt;&gt;"O3/CP",$U$14=E$18),IF(LEFT($U26,1)="P",VLOOKUP(CONCATENATE(LEFT($U26,2),"H"),$R$63:$T$91,3,FALSE),VLOOKUP($U26,$R$63:$T$91,3,FALSE)))+IF(AND($U26&lt;&gt;"",$U26&lt;&gt;"O3/CP",$U$15=E$18,MID($U26,4,1)="2",$U$15&lt;&gt;$U$14),VLOOKUP(CONCATENATE(LEFT($U26,2),"L"),$R$63:$T$91,3,FALSE),0)+IF(AND($U26="O3/CP",$T$14=E$18),VLOOKUP("O3",$R$63:$T$91,3,FALSE)+VLOOKUP("CP",$R$63:$T$91,3,FALSE),0)+IF(AND($V26&lt;&gt;"",$V26&lt;&gt;"--",$V26&lt;&gt;"O3/CP",$V$14=E$18),IF(LEFT($V26,1)="P",VLOOKUP(CONCATENATE(LEFT($V26,2),"H"),$R$63:$T$91,3,FALSE),VLOOKUP($V26,$R$63:$T$91,3,FALSE)))+IF(AND($V26&lt;&gt;"",$V26&lt;&gt;"O3/CP",$V$15=E$18,MID($V26,4,1)="2",$V$15&lt;&gt;$V$14),VLOOKUP(CONCATENATE(LEFT($V26,2),"L"),$R$63:$T$91,3,FALSE),0)+IF(AND($V26="O3/CP",$V$14=E$18),VLOOKUP("O3",$R$63:$T$91,3,FALSE)+VLOOKUP("CP",$R$63:$T$91,3,FALSE),0)+IF(AND($W26&lt;&gt;"",$W26&lt;&gt;"--",$W26&lt;&gt;"O3/CP",$W$14=E$18),IF(LEFT($W26,1)="P",VLOOKUP(CONCATENATE(LEFT($W26,2),"H"),$R$63:$T$91,3,FALSE),VLOOKUP($W26,$R$63:$T$91,3,FALSE)))+IF(AND($W26&lt;&gt;"",$W26&lt;&gt;"O3/CP",$W$15=E$18,MID($W26,4,1)="2",$W$15&lt;&gt;$W$14),VLOOKUP(CONCATENATE(LEFT($W26,2),"L"),$R$63:$T$91,3,FALSE),0)+IF(AND($W26="O3/CP",$W$14=E$18),VLOOKUP("O3",$R$63:$T$91,3,FALSE)+VLOOKUP("CP",$R$63:$T$91,3,FALSE),0)+IF(AND($X26&lt;&gt;"",$X26&lt;&gt;"--",$X26&lt;&gt;"O3/CP",$X$14=E$18),IF(LEFT($X26,1)="P",VLOOKUP(CONCATENATE(LEFT($X26,2),"H"),$R$63:$T$91,3,FALSE),VLOOKUP($X26,$R$63:$T$91,3,FALSE)))+IF(AND($X26&lt;&gt;"",$X26&lt;&gt;"O3/CP",$X$15=E$18,MID($X26,4,1)="2",$X$15&lt;&gt;$X$14),VLOOKUP(CONCATENATE(LEFT($X26,2),"L"),$R$63:$T$91,3,FALSE),0)+IF(AND($X26="O3/CP",$X$14=E$18),VLOOKUP("O3",$R$63:$T$91,3,FALSE)+VLOOKUP("CP",$R$63:$T$91,3,FALSE),0)+IF(AND($Y26&lt;&gt;"",$Y26&lt;&gt;"--",$Y26&lt;&gt;"O3/CP",$Y$14=E$18),IF(LEFT($Y26,1)="P",VLOOKUP(CONCATENATE(LEFT($Y26,2),"H"),$R$63:$T$91,3,FALSE),VLOOKUP($Y26,$R$63:$T$91,3,FALSE)))+IF(AND($Y26&lt;&gt;"",$Y26&lt;&gt;"O3/CP",$Y$15=E$18,MID($Y26,4,1)="2",$Y$15&lt;&gt;$Y$14),VLOOKUP(CONCATENATE(LEFT($Y26,2),"L"),$R$63:$T$91,3,FALSE),0)+IF(AND($Y26="O3/CP",$Y$14=E$18),VLOOKUP("O3",$R$63:$T$91,3,FALSE)+VLOOKUP("CP",$R$63:$T$91,3,FALSE),0)+IF(AND($K$6="CE",'[3]Supply Attribution'!$G$20=E$18),LEFT($S$90,2),0)+IF(AND($X$86&lt;&gt;"Not Set",$X$87=E$18),$X$86,0)</f>
        <v>0</v>
      </c>
      <c r="F26" s="268">
        <f>IF(AND($K26&lt;&gt;"",$K26&lt;&gt;"--",$K26&lt;&gt;"O3/CP",$K$14=F$18),IF(LEFT($K26,1)="P",VLOOKUP(CONCATENATE(LEFT($K26,2),"H"),$R$63:$T$91,3,FALSE),VLOOKUP($K26,$R$63:$T$91,3,FALSE)))+IF(AND($K26&lt;&gt;"",$K26&lt;&gt;"O3/CP",$K$15=F$18,MID($K26,4,1)="2",$K$15&lt;&gt;$K$14),VLOOKUP(CONCATENATE(LEFT($K26,2),"L"),$R$63:$T$91,3,FALSE),0)+IF(AND($K26="O3/CP",$K$14=F$18),VLOOKUP("O3",$R$63:$T$91,3,FALSE)+VLOOKUP("CP",$R$63:$T$91,3,FALSE),0)+IF(AND($L26&lt;&gt;"",$L26&lt;&gt;"--",$L26&lt;&gt;"O3/CP",$L$14=F$18),IF(LEFT($L26,1)="P",VLOOKUP(CONCATENATE(LEFT($L26,2),"H"),$R$63:$T$91,3,FALSE),VLOOKUP($L26,$R$63:$T$91,3,FALSE)))+IF(AND($L26&lt;&gt;"",$L26&lt;&gt;"O3/CP",$L$15=F$18,MID($L26,4,1)="2",$L$15&lt;&gt;$L$14),VLOOKUP(CONCATENATE(LEFT($L26,2),"L"),$R$63:$T$91,3,FALSE),0)+IF(AND($L26="O3/CP",$L$14=F$18),VLOOKUP("O3",$R$63:$T$91,3,FALSE)+VLOOKUP("CP",$R$63:$T$91,3,FALSE),0)+IF(AND($M26&lt;&gt;"",$M26&lt;&gt;"--",$M26&lt;&gt;"O3/CP",$M$14=F$18),IF(LEFT($M26,1)="P",VLOOKUP(CONCATENATE(LEFT($M26,2),"H"),$R$63:$T$91,3,FALSE),VLOOKUP($M26,$R$63:$T$91,3,FALSE)))+IF(AND($M26&lt;&gt;"",$M26&lt;&gt;"O3/CP",$M$15=F$18,MID($M26,4,1)="2",$M$15&lt;&gt;$M$14),VLOOKUP(CONCATENATE(LEFT($M26,2),"L"),$R$63:$T$91,3,FALSE),0)+IF(AND($M26="O3/CP",$M$14=F$18),VLOOKUP("O3",$R$63:$T$91,3,FALSE)+VLOOKUP("CP",$R$63:$T$91,3,FALSE),0)+IF(AND($N26&lt;&gt;"",$N26&lt;&gt;"--",$N26&lt;&gt;"O3/CP",$N$14=F$18),IF(LEFT($N26,1)="P",VLOOKUP(CONCATENATE(LEFT($N26,2),"H"),$R$63:$T$91,3,FALSE),VLOOKUP($N26,$R$63:$T$91,3,FALSE)))+IF(AND($N26&lt;&gt;"",$N26&lt;&gt;"O3/CP",$N$15=F$18,MID($N26,4,1)="2",$N$15&lt;&gt;$N$14),VLOOKUP(CONCATENATE(LEFT($N26,2),"L"),$R$63:$T$91,3,FALSE),0)+IF(AND($N26="O3/CP",$N$14=F$18),VLOOKUP("O3",$R$63:$T$91,3,FALSE)+VLOOKUP("CP",$R$63:$T$91,3,FALSE),0)+IF(AND($O26&lt;&gt;"",$O26&lt;&gt;"--",$O26&lt;&gt;"O3/CP",$O$14=F$18),IF(LEFT($O26,1)="P",VLOOKUP(CONCATENATE(LEFT($O26,2),"H"),$R$63:$T$91,3,FALSE),VLOOKUP($O26,$R$63:$T$91,3,FALSE)))+IF(AND($O26&lt;&gt;"",$O26&lt;&gt;"O3/CP",$O$15=F$18,MID($O26,4,1)="2",$O$15&lt;&gt;$O$14),VLOOKUP(CONCATENATE(LEFT($O26,2),"L"),$R$63:$T$91,3,FALSE),0)+IF(AND($O26="O3/CP",$O$14=F$18),VLOOKUP("O3",$R$63:$T$91,3,FALSE)+VLOOKUP("CP",$R$63:$T$91,3,FALSE),0)+IF(AND($P26&lt;&gt;"",$P26&lt;&gt;"--",$P26&lt;&gt;"O3/CP",$P$14=F$18),IF(LEFT($P26,1)="P",VLOOKUP(CONCATENATE(LEFT($P26,2),"H"),$R$63:$T$91,3,FALSE),VLOOKUP($P26,$R$63:$T$91,3,FALSE)))+IF(AND($P26&lt;&gt;"",$P26&lt;&gt;"O3/CP",$P$15=F$18,MID($P26,4,1)="2",$P$15&lt;&gt;$P$14),VLOOKUP(CONCATENATE(LEFT($P26,2),"L"),$R$63:$T$91,3,FALSE),0)+IF(AND($P26="O3/CP",$P$14=F$18),VLOOKUP("O3",$R$63:$T$91,3,FALSE)+VLOOKUP("CP",$R$63:$T$91,3,FALSE),0)+IF(AND($Q26&lt;&gt;"",$Q26&lt;&gt;"--",$Q26&lt;&gt;"O3/CP",$Q$14=F$18),IF(LEFT($Q26,1)="P",VLOOKUP(CONCATENATE(LEFT($Q26,2),"H"),$R$63:$T$91,3,FALSE),VLOOKUP($Q26,$R$63:$T$91,3,FALSE)))+IF(AND($Q26&lt;&gt;"",$Q26&lt;&gt;"O3/CP",$Q$15=F$18,MID($Q26,4,1)="2",$Q$15&lt;&gt;$Q$14),VLOOKUP(CONCATENATE(LEFT($Q26,2),"L"),$R$63:$T$91,3,FALSE),0)+IF(AND($Q26="O3/CP",$Q$14=F$18),VLOOKUP("O3",$R$63:$T$91,3,FALSE)+VLOOKUP("CP",$R$63:$T$91,3,FALSE),0)+IF(AND($R26&lt;&gt;"",$R26&lt;&gt;"--",$R26&lt;&gt;"O3/CP",$R$14=F$18),IF(LEFT($R26,1)="P",VLOOKUP(CONCATENATE(LEFT($R26,2),"H"),$R$63:$T$91,3,FALSE),VLOOKUP($R26,$R$63:$T$91,3,FALSE)))+IF(AND($R26&lt;&gt;"",$R26&lt;&gt;"O3/CP",$R$15=F$18,MID($R26,4,1)="2",$R$15&lt;&gt;$R$14),VLOOKUP(CONCATENATE(LEFT($R26,2),"L"),$R$63:$T$91,3,FALSE),0)+IF(AND($R26="O3/CP",$R$14=F$18),VLOOKUP("O3",$R$63:$T$91,3,FALSE)+VLOOKUP("CP",$R$63:$T$91,3,FALSE),0)+IF(AND($S26&lt;&gt;"",$S26&lt;&gt;"--",$S26&lt;&gt;"O3/CP",$S$14=F$18),IF(LEFT($S26,1)="P",VLOOKUP(CONCATENATE(LEFT($S26,2),"H"),$R$63:$T$91,3,FALSE),VLOOKUP($S26,$R$63:$T$91,3,FALSE)))+IF(AND($S26&lt;&gt;"",$S26&lt;&gt;"O3/CP",$S$15=F$18,MID($S26,4,1)="2",$S$15&lt;&gt;$S$14),VLOOKUP(CONCATENATE(LEFT($S26,2),"L"),$R$63:$T$91,3,FALSE),0)+IF(AND($S26="O3/CP",$S$14=F$18),VLOOKUP("O3",$R$63:$T$91,3,FALSE)+VLOOKUP("CP",$R$63:$T$91,3,FALSE),0)+IF(AND($T26&lt;&gt;"",$T26&lt;&gt;"--",$T26&lt;&gt;"O3/CP",$T$14=F$18),IF(LEFT($T26,1)="P",VLOOKUP(CONCATENATE(LEFT($T26,2),"H"),$R$63:$T$91,3,FALSE),VLOOKUP($T26,$R$63:$T$91,3,FALSE)))+IF(AND($T26&lt;&gt;"",$T26&lt;&gt;"O3/CP",$T$15=F$18,MID($T26,4,1)="2",$T$15&lt;&gt;$T$14),VLOOKUP(CONCATENATE(LEFT($T26,2),"L"),$R$63:$T$91,3,FALSE),0)+IF(AND($T26="O3/CP",$T$14=F$18),VLOOKUP("O3",$R$63:$T$91,3,FALSE)+VLOOKUP("CP",$R$63:$T$91,3,FALSE),0)+IF(AND($U26&lt;&gt;"",$U26&lt;&gt;"--",$U26&lt;&gt;"O3/CP",$U$14=F$18),IF(LEFT($U26,1)="P",VLOOKUP(CONCATENATE(LEFT($U26,2),"H"),$R$63:$T$91,3,FALSE),VLOOKUP($U26,$R$63:$T$91,3,FALSE)))+IF(AND($U26&lt;&gt;"",$U26&lt;&gt;"O3/CP",$U$15=F$18,MID($U26,4,1)="2",$U$15&lt;&gt;$U$14),VLOOKUP(CONCATENATE(LEFT($U26,2),"L"),$R$63:$T$91,3,FALSE),0)+IF(AND($U26="O3/CP",$T$14=F$18),VLOOKUP("O3",$R$63:$T$91,3,FALSE)+VLOOKUP("CP",$R$63:$T$91,3,FALSE),0)+IF(AND($V26&lt;&gt;"",$V26&lt;&gt;"--",$V26&lt;&gt;"O3/CP",$V$14=F$18),IF(LEFT($V26,1)="P",VLOOKUP(CONCATENATE(LEFT($V26,2),"H"),$R$63:$T$91,3,FALSE),VLOOKUP($V26,$R$63:$T$91,3,FALSE)))+IF(AND($V26&lt;&gt;"",$V26&lt;&gt;"O3/CP",$V$15=F$18,MID($V26,4,1)="2",$V$15&lt;&gt;$V$14),VLOOKUP(CONCATENATE(LEFT($V26,2),"L"),$R$63:$T$91,3,FALSE),0)+IF(AND($V26="O3/CP",$V$14=F$18),VLOOKUP("O3",$R$63:$T$91,3,FALSE)+VLOOKUP("CP",$R$63:$T$91,3,FALSE),0)+IF(AND($W26&lt;&gt;"",$W26&lt;&gt;"--",$W26&lt;&gt;"O3/CP",$W$14=F$18),IF(LEFT($W26,1)="P",VLOOKUP(CONCATENATE(LEFT($W26,2),"H"),$R$63:$T$91,3,FALSE),VLOOKUP($W26,$R$63:$T$91,3,FALSE)))+IF(AND($W26&lt;&gt;"",$W26&lt;&gt;"O3/CP",$W$15=F$18,MID($W26,4,1)="2",$W$15&lt;&gt;$W$14),VLOOKUP(CONCATENATE(LEFT($W26,2),"L"),$R$63:$T$91,3,FALSE),0)+IF(AND($W26="O3/CP",$W$14=F$18),VLOOKUP("O3",$R$63:$T$91,3,FALSE)+VLOOKUP("CP",$R$63:$T$91,3,FALSE),0)+IF(AND($X26&lt;&gt;"",$X26&lt;&gt;"--",$X26&lt;&gt;"O3/CP",$X$14=F$18),IF(LEFT($X26,1)="P",VLOOKUP(CONCATENATE(LEFT($X26,2),"H"),$R$63:$T$91,3,FALSE),VLOOKUP($X26,$R$63:$T$91,3,FALSE)))+IF(AND($X26&lt;&gt;"",$X26&lt;&gt;"O3/CP",$X$15=F$18,MID($X26,4,1)="2",$X$15&lt;&gt;$X$14),VLOOKUP(CONCATENATE(LEFT($X26,2),"L"),$R$63:$T$91,3,FALSE),0)+IF(AND($X26="O3/CP",$X$14=F$18),VLOOKUP("O3",$R$63:$T$91,3,FALSE)+VLOOKUP("CP",$R$63:$T$91,3,FALSE),0)+IF(AND($Y26&lt;&gt;"",$Y26&lt;&gt;"--",$Y26&lt;&gt;"O3/CP",$Y$14=F$18),IF(LEFT($Y26,1)="P",VLOOKUP(CONCATENATE(LEFT($Y26,2),"H"),$R$63:$T$91,3,FALSE),VLOOKUP($Y26,$R$63:$T$91,3,FALSE)))+IF(AND($Y26&lt;&gt;"",$Y26&lt;&gt;"O3/CP",$Y$15=F$18,MID($Y26,4,1)="2",$Y$15&lt;&gt;$Y$14),VLOOKUP(CONCATENATE(LEFT($Y26,2),"L"),$R$63:$T$91,3,FALSE),0)+IF(AND($Y26="O3/CP",$Y$14=F$18),VLOOKUP("O3",$R$63:$T$91,3,FALSE)+VLOOKUP("CP",$R$63:$T$91,3,FALSE),0)+IF(AND($K$6="CE",'[3]Supply Attribution'!$G$20=F$18),LEFT($S$90,2),0)+IF(AND($X$86&lt;&gt;"Not Set",$X$87=F$18),$X$86,0)</f>
        <v>0</v>
      </c>
      <c r="G26" s="269">
        <f>IF(AND($K$6="CE",$T$59="1 Phase"),SUM(A26:F26)-IF(AND($K$14&lt;&gt;$K$15,RIGHT($K26,3)="2SP"),VLOOKUP(CONCATENATE(LEFT($K26,2),"L"),$R$63:$T$90,3,FALSE),0)-IF(AND($L$14&lt;&gt;$L$15,RIGHT($L26,3)="2SP"),VLOOKUP(CONCATENATE(LEFT($L26,2),"L"),$R$63:$T$90,3,FALSE),0)-IF(AND($M$14&lt;&gt;$M$15,RIGHT($M26,3)="2SP"),VLOOKUP(CONCATENATE(LEFT($M26,2),"L"),$R$63:$T$90,3,FALSE),0)-IF(AND($N$14&lt;&gt;$N$15,RIGHT($N26,3)="2SP"),VLOOKUP(CONCATENATE(LEFT($N26,2),"L"),$R$63:$T$90,3,FALSE),0)-IF(AND($O$14&lt;&gt;$O$15,RIGHT($O26,3)="2SP"),VLOOKUP(CONCATENATE(LEFT($O26,2),"L"),$R$63:$T$90,3,FALSE),0)-IF(AND($P$14&lt;&gt;$P$15,RIGHT($P26,3)="2SP"),VLOOKUP(CONCATENATE(LEFT($P26,2),"L"),$R$63:$T$90,3,FALSE),0)-IF(AND($Q$14&lt;&gt;$Q$15,RIGHT($Q26,3)="2SP"),VLOOKUP(CONCATENATE(LEFT($Q26,2),"L"),$R$63:$T$90,3,FALSE),0)-IF(AND($R$14&lt;&gt;$R$15,RIGHT($T26,3)="2SP"),VLOOKUP(CONCATENATE(LEFT($R26,2),"L"),$R$63:$T$90,3,FALSE),0)-IF(AND($S$14&lt;&gt;$S$15,RIGHT($T26,3)="2SP"),VLOOKUP(CONCATENATE(LEFT($S26,2),"L"),$R$63:$T$90,3,FALSE),0)-IF(AND($T$14&lt;&gt;$T$15,RIGHT($T26,3)="2SP"),VLOOKUP(CONCATENATE(LEFT($T26,2),"L"),$R$63:$T$90,3,FALSE),0)-IF(AND($U$14&lt;&gt;$U$15,RIGHT($U26,3)="2SP"),VLOOKUP(CONCATENATE(LEFT($U26,2),"L"),$R$63:$T$90,3,FALSE),0)-IF(AND($V$14&lt;&gt;$V$15,RIGHT($V26,3)="2SP"),VLOOKUP(CONCATENATE(LEFT($V26,2),"L"),$R$63:$T$90,3,FALSE),0)-IF(AND($W$14&lt;&gt;$W$15,RIGHT($W26,3)="2SP"),VLOOKUP(CONCATENATE(LEFT($W26,2),"L"),$R$63:$T$90,3,FALSE),0)-IF(AND($X$14&lt;&gt;$X$15,RIGHT($X26,3)="2SP"),VLOOKUP(CONCATENATE(LEFT($X26,2),"L"),$R$63:$T$90,3,FALSE),0)-IF(AND($Y$14&lt;&gt;$Y$15,RIGHT($Y26,3)="2SP"),VLOOKUP(CONCATENATE(LEFT($Y26,2),"L"),$R$63:$T$90,3,FALSE),0),IF(VLOOKUP(CONCATENATE($A$18,"Line"),'[3]Supply Attribution'!$F$31:$G$37,2,FALSE)=G$18,$A26,0)+IF(VLOOKUP(CONCATENATE($B$18,"Line"),'[3]Supply Attribution'!$F$31:$G$37,2,FALSE)=G$18,$B26,0)+IF(VLOOKUP(CONCATENATE($C$18,"Line"),'[3]Supply Attribution'!$F$31:$G$37,2,FALSE)=G$18,$C26,0)+IF(VLOOKUP(CONCATENATE($D$18,"Line"),'[3]Supply Attribution'!$F$31:$G$37,2,FALSE)=G$18,$D26,0)+IF(VLOOKUP(CONCATENATE($E$18,"Line"),'[3]Supply Attribution'!$F$31:$G$37,2,FALSE)=G$18,$E26,0)+IF(VLOOKUP(CONCATENATE($F$18,"Line"),'[3]Supply Attribution'!$F$31:$G$37,2,FALSE)=G$18,$F26,0)+IF($K$6="UL",LEFT($S$90,2),0)-IF(AND($K$16=G$18,$K$14&lt;&gt;$K$15,$K$16=$K$17,RIGHT($K26,3)="2SP"),VLOOKUP(CONCATENATE(LEFT($K26,2),"L"),$R$63:$T$90,3,FALSE),0)-IF(AND($L$16=G$18,$L$14&lt;&gt;$L$15,$L$16=$L$17,RIGHT($L26,3)="2SP"),VLOOKUP(CONCATENATE(LEFT($L26,2),"L"),$R$63:$T$90,3,FALSE),0)-IF(AND($M$16=G$18,$M$14&lt;&gt;$M$15,$M$16=$M$17,RIGHT($M26,3)="2SP"),VLOOKUP(CONCATENATE(LEFT($M26,2),"L"),$R$63:$T$90,3,FALSE),0)-IF(AND($N$16=G$18,$N$14&lt;&gt;$N$15,$N$16=$N$17,RIGHT($N26,3)="2SP"),VLOOKUP(CONCATENATE(LEFT($N26,2),"L"),$R$63:$T$90,3,FALSE),0)-IF(AND($O$16=G$18,$O$14&lt;&gt;$O$15,$O$16=$O$17,RIGHT($O26,3)="2SP"),VLOOKUP(CONCATENATE(LEFT($O26,2),"L"),$R$63:$T$90,3,FALSE),0)-IF(AND($P$16=G$18,$P$14&lt;&gt;$P$15,$P$16=$P$17,RIGHT($P26,3)="2SP"),VLOOKUP(CONCATENATE(LEFT($P26,2),"L"),$R$63:$T$90,3,FALSE),0)-IF(AND($Q$16=G$18,$Q$14&lt;&gt;$Q$15,$Q$16=$Q$17,RIGHT($Q26,3)="2SP"),VLOOKUP(CONCATENATE(LEFT($Q26,2),"L"),$R$63:$T$90,3,FALSE),0)-IF(AND($R$16=G$18,$R$14&lt;&gt;$R$15,$R$16=$R$17,RIGHT($R26,3)="2SP"),VLOOKUP(CONCATENATE(LEFT($R26,2),"L"),$R$63:$T$90,3,FALSE),0)-IF(AND($S$16=G$18,$S$14&lt;&gt;$S$15,$S$16=$S$17,RIGHT($S26,3)="2SP"),VLOOKUP(CONCATENATE(LEFT($S26,2),"L"),$R$63:$T$90,3,FALSE),0)-IF(AND($T$16=G$18,$T$14&lt;&gt;$T$15,$T$16=$T$17,RIGHT($T26,3)="2SP"),VLOOKUP(CONCATENATE(LEFT($T26,2),"L"),$R$63:$T$90,3,FALSE),0)-IF(AND($U$16=G$18,$U$14&lt;&gt;$U$15,$U$16=$U$17,RIGHT($U26,3)="2SP"),VLOOKUP(CONCATENATE(LEFT($U26,2),"L"),$R$63:$T$90,3,FALSE),0)-IF(AND($V$16=G$18,$V$14&lt;&gt;$V$15,$V$16=$V$17,RIGHT($V26,3)="2SP"),VLOOKUP(CONCATENATE(LEFT($V26,2),"L"),$R$63:$T$90,3,FALSE),0)-IF(AND($W$16=G$18,$W$14&lt;&gt;$W$15,$W$16=$W$17,RIGHT($W26,3)="2SP"),VLOOKUP(CONCATENATE(LEFT($W26,2),"L"),$R$63:$T$90,3,FALSE),0)-IF(AND($X$16=G$18,$X$14&lt;&gt;$X$15,$X$16=$X$17,RIGHT($X26,3)="2SP"),VLOOKUP(CONCATENATE(LEFT($X26,2),"L"),$R$63:$T$90,3,FALSE),0)-IF(AND($Y$16=G$18,$Y$14&lt;&gt;$Y$15,$Y$16=$Y$17,RIGHT($Y26,3)="2SP"),VLOOKUP(CONCATENATE(LEFT($Y26,2),"L"),$R$63:$T$90,3,FALSE),0))</f>
        <v>42</v>
      </c>
      <c r="H26" s="269" t="str">
        <f>IF(H$18&lt;&gt;"",IF(VLOOKUP(CONCATENATE($A$18,"Line"),'Supply Attribution'!$F$31:$G$37,2,FALSE)=H$18,$A26,0)+IF(VLOOKUP(CONCATENATE($B$18,"Line"),'Supply Attribution'!$F$31:$G$37,2,FALSE)=H$18,$B26,0)+IF(VLOOKUP(CONCATENATE($C$18,"Line"),'Supply Attribution'!$F$31:$G$37,2,FALSE)=H$18,$C26,0)+IF(VLOOKUP(CONCATENATE($D$18,"Line"),'Supply Attribution'!$F$31:$G$37,2,FALSE)=H$18,$D26,0)+IF(VLOOKUP(CONCATENATE($E$18,"Line"),'Supply Attribution'!$F$31:$G$37,2,FALSE)=H$18,$E26,0)+IF(VLOOKUP(CONCATENATE($F$18,"Line"),'Supply Attribution'!$F$31:$G$37,2,FALSE)=H$18,$F26,0)+IF($K$6="UL",LEFT($S$90,2),0)-IF(AND($K$16=H$18,$K$14&lt;&gt;$K$15,$K$16=$K$17,RIGHT($K26,3)="2SP"),VLOOKUP(CONCATENATE(LEFT($K26,2),"L"),$R$63:$T$90,3,FALSE),0)-IF(AND($L$16=H$18,$L$14&lt;&gt;$L$15,$L$16=$L$17,RIGHT($L26,3)="2SP"),VLOOKUP(CONCATENATE(LEFT($L26,2),"L"),$R$63:$T$90,3,FALSE),0)-IF(AND($M$16=H$18,$M$14&lt;&gt;$M$15,$M$16=$M$17,RIGHT($M26,3)="2SP"),VLOOKUP(CONCATENATE(LEFT($M26,2),"L"),$R$63:$T$90,3,FALSE),0)-IF(AND($N$16=H$18,$N$14&lt;&gt;$N$15,$N$16=$N$17,RIGHT($N26,3)="2SP"),VLOOKUP(CONCATENATE(LEFT($N26,2),"L"),$R$63:$T$90,3,FALSE),0)-IF(AND($O$16=H$18,$O$14&lt;&gt;$O$15,$O$16=$O$17,RIGHT($O26,3)="2SP"),VLOOKUP(CONCATENATE(LEFT($O26,2),"L"),$R$63:$T$90,3,FALSE),0)-IF(AND($P$16=H$18,$P$14&lt;&gt;$P$15,$P$16=$P$17,RIGHT($P26,3)="2SP"),VLOOKUP(CONCATENATE(LEFT($P26,2),"L"),$R$63:$T$90,3,FALSE),0)-IF(AND($Q$16=H$18,$Q$14&lt;&gt;$Q$15,$Q$16=$Q$17,RIGHT($Q26,3)="2SP"),VLOOKUP(CONCATENATE(LEFT($Q26,2),"L"),$R$63:$T$90,3,FALSE),0)-IF(AND($T$16=H$18,$T$14&lt;&gt;$T$15,$T$16=$T$17,RIGHT($T26,3)="2SP"),VLOOKUP(CONCATENATE(LEFT($T26,2),"L"),$R$63:$T$90,3,FALSE),0)-IF(AND($U$16=H$18,$U$14&lt;&gt;$U$15,$U$16=$U$17,RIGHT($U26,3)="2SP"),VLOOKUP(CONCATENATE(LEFT($U26,2),"L"),$R$63:$T$90,3,FALSE),0)-IF(AND($V$16=H$18,$V$14&lt;&gt;$V$15,$V$16=$V$17,RIGHT($V26,3)="2SP"),VLOOKUP(CONCATENATE(LEFT($V26,2),"L"),$R$63:$T$90,3,FALSE),0)-IF(AND($W$16=H$18,$W$14&lt;&gt;$W$15,$W$16=$W$17,RIGHT($W26,3)="2SP"),VLOOKUP(CONCATENATE(LEFT($W26,2),"L"),$R$63:$T$90,3,FALSE),0)-IF(AND($X$16=H$18,$X$14&lt;&gt;$X$15,$X$16=$X$17,RIGHT($X26,3)="2SP"),VLOOKUP(CONCATENATE(LEFT($X26,2),"L"),$R$63:$T$90,3,FALSE),0)-IF(AND($Y$16=H$18,$Y$14&lt;&gt;$Y$15,$Y$16=$Y$17,RIGHT($Y26,3)="2SP"),VLOOKUP(CONCATENATE(LEFT($Y26,2),"L"),$R$63:$T$90,3,FALSE),0)+IF(AND($K$6="CE",$T$59="2 Phases",H$18&lt;&gt;""),IF(VLOOKUP(CONCATENATE($A$18,"Line"),'Supply Attribution'!$F$31:$G$37,2,FALSE)="Line3",$A26,0)+IF(VLOOKUP(CONCATENATE($B$18,"Line"),'Supply Attribution'!$F$31:$G$37,2,FALSE)="Line3",$B26,0)+IF(VLOOKUP(CONCATENATE($C$18,"Line"),'Supply Attribution'!$F$31:$G$37,2,FALSE)="Line3",$C26,0)+IF(VLOOKUP(CONCATENATE($D$18,"Line"),'Supply Attribution'!$F$31:$G$37,2,FALSE)="Line3",$D26,0)+IF(VLOOKUP(CONCATENATE($E$18,"Line"),'Supply Attribution'!$F$31:$G$37,2,FALSE)="Line3",$E26,0)+IF(VLOOKUP(CONCATENATE($F$18,"Line"),'Supply Attribution'!$F$31:$G$37,2,FALSE)="Line3",$F26,0)-IF(AND($K$16=I$18,$K$14&lt;&gt;$K$15,$K$16=$K$17,RIGHT($K26,3)="2SP"),VLOOKUP(CONCATENATE(LEFT($K26,2),"L"),$R$63:$T$90,3,FALSE),0)-IF(AND($L$16=I$18,$L$14&lt;&gt;$L$15,$L$16=$L$17,RIGHT($L26,3)="2SP"),VLOOKUP(CONCATENATE(LEFT($L26,2),"L"),$R$63:$T$90,3,FALSE),0)-IF(AND($M$16=I$18,$M$14&lt;&gt;$M$15,$M$16=$M$17,RIGHT($M26,3)="2SP"),VLOOKUP(CONCATENATE(LEFT($M26,2),"L"),$R$63:$T$90,3,FALSE),0)-IF(AND($N$16=I$18,$N$14&lt;&gt;$N$15,$N$16=$N$17,RIGHT($N26,3)="2SP"),VLOOKUP(CONCATENATE(LEFT($N26,2),"L"),$R$63:$T$90,3,FALSE),0)-IF(AND($O$16=I$18,$O$14&lt;&gt;$O$15,$O$16=$O$17,RIGHT($O26,3)="2SP"),VLOOKUP(CONCATENATE(LEFT($O26,2),"L"),$R$63:$T$90,3,FALSE),0)-IF(AND($P$16=I$18,$P$14&lt;&gt;$P$15,$P$16=$P$17,RIGHT($P26,3)="2SP"),VLOOKUP(CONCATENATE(LEFT($P26,2),"L"),$R$63:$T$90,3,FALSE),0)-IF(AND($Q$16=I$18,$Q$14&lt;&gt;$Q$15,$Q$16=$Q$17,RIGHT($Q26,3)="2SP"),VLOOKUP(CONCATENATE(LEFT($Q26,2),"L"),$R$63:$T$90,3,FALSE),0)-IF(AND($T$16=I$18,$T$14&lt;&gt;$T$15,$T$16=$T$17,RIGHT($T26,3)="2SP"),VLOOKUP(CONCATENATE(LEFT($T26,2),"L"),$R$63:$T$90,3,FALSE),0)-IF(AND($U$16=I$18,$U$14&lt;&gt;$U$15,$U$16=$U$17,RIGHT($U26,3)="2SP"),VLOOKUP(CONCATENATE(LEFT($U26,2),"L"),$R$63:$T$90,3,FALSE),0)-IF(AND($V$16=I$18,$V$14&lt;&gt;$V$15,$V$16=$V$17,RIGHT($V26,3)="2SP"),VLOOKUP(CONCATENATE(LEFT($V26,2),"L"),$R$63:$T$90,3,FALSE),0)-IF(AND($W$16=I$18,$W$14&lt;&gt;$W$15,$W$16=$W$17,RIGHT($W26,3)="2SP"),VLOOKUP(CONCATENATE(LEFT($W26,2),"L"),$R$63:$T$90,3,FALSE),0)-IF(AND($X$16=I$18,$X$14&lt;&gt;$X$15,$X$16=$X$17,RIGHT($X26,3)="2SP"),VLOOKUP(CONCATENATE(LEFT($X26,2),"L"),$R$63:$T$90,3,FALSE),0)-IF(AND($Y$16=I$18,$Y$14&lt;&gt;$Y$15,$Y$16=$Y$17,RIGHT($Y26,3)="2SP"),VLOOKUP(CONCATENATE(LEFT($Y26,2),"L"),$R$63:$T$90,3,FALSE),0),0),"")</f>
        <v/>
      </c>
      <c r="I26" s="269" t="str">
        <f>IF(I$18&lt;&gt;"",IF(VLOOKUP(CONCATENATE($A$18,"Line"),'Supply Attribution'!$F$31:$G$37,2,FALSE)=I$18,$A26,0)+IF(VLOOKUP(CONCATENATE($B$18,"Line"),'Supply Attribution'!$F$31:$G$37,2,FALSE)=I$18,$B26,0)+IF(VLOOKUP(CONCATENATE($C$18,"Line"),'Supply Attribution'!$F$31:$G$37,2,FALSE)=I$18,$C26,0)+IF(VLOOKUP(CONCATENATE($D$18,"Line"),'Supply Attribution'!$F$31:$G$37,2,FALSE)=I$18,$D26,0)+IF(VLOOKUP(CONCATENATE($E$18,"Line"),'Supply Attribution'!$F$31:$G$37,2,FALSE)=I$18,$E26,0)+IF(VLOOKUP(CONCATENATE($F$18,"Line"),'Supply Attribution'!$F$31:$G$37,2,FALSE)=I$18,$F26,0)+IF($K$6="UL",LEFT($S$90,2),0)-IF(AND($K$16=I$18,$K$14&lt;&gt;$K$15,$K$16=$K$17,RIGHT($K26,3)="2SP"),VLOOKUP(CONCATENATE(LEFT($K26,2),"L"),$R$63:$T$90,3,FALSE),0)-IF(AND($L$16=I$18,$L$14&lt;&gt;$L$15,$L$16=$L$17,RIGHT($L26,3)="2SP"),VLOOKUP(CONCATENATE(LEFT($L26,2),"L"),$R$63:$T$90,3,FALSE),0)-IF(AND($M$16=I$18,$M$14&lt;&gt;$M$15,$M$16=$M$17,RIGHT($M26,3)="2SP"),VLOOKUP(CONCATENATE(LEFT($M26,2),"L"),$R$63:$T$90,3,FALSE),0)-IF(AND($N$16=I$18,$N$14&lt;&gt;$N$15,$N$16=$N$17,RIGHT($N26,3)="2SP"),VLOOKUP(CONCATENATE(LEFT($N26,2),"L"),$R$63:$T$90,3,FALSE),0)-IF(AND($O$16=I$18,$O$14&lt;&gt;$O$15,$O$16=$O$17,RIGHT($O26,3)="2SP"),VLOOKUP(CONCATENATE(LEFT($O26,2),"L"),$R$63:$T$90,3,FALSE),0)-IF(AND($P$16=I$18,$P$14&lt;&gt;$P$15,$P$16=$P$17,RIGHT($P26,3)="2SP"),VLOOKUP(CONCATENATE(LEFT($P26,2),"L"),$R$63:$T$90,3,FALSE),0)-IF(AND($Q$16=I$18,$Q$14&lt;&gt;$Q$15,$Q$16=$Q$17,RIGHT($Q26,3)="2SP"),VLOOKUP(CONCATENATE(LEFT($Q26,2),"L"),$R$63:$T$90,3,FALSE),0)-IF(AND($T$16=I$18,$T$14&lt;&gt;$T$15,$T$16=$T$17,RIGHT($T26,3)="2SP"),VLOOKUP(CONCATENATE(LEFT($T26,2),"L"),$R$63:$T$90,3,FALSE),0)-IF(AND($U$16=I$18,$U$14&lt;&gt;$U$15,$U$16=$U$17,RIGHT($U26,3)="2SP"),VLOOKUP(CONCATENATE(LEFT($U26,2),"L"),$R$63:$T$90,3,FALSE),0)-IF(AND($V$16=I$18,$V$14&lt;&gt;$V$15,$V$16=$V$17,RIGHT($V26,3)="2SP"),VLOOKUP(CONCATENATE(LEFT($V26,2),"L"),$R$63:$T$90,3,FALSE),0)-IF(AND($W$16=I$18,$W$14&lt;&gt;$W$15,$W$16=$W$17,RIGHT($W26,3)="2SP"),VLOOKUP(CONCATENATE(LEFT($W26,2),"L"),$R$63:$T$90,3,FALSE),0)-IF(AND($X$16=I$18,$X$14&lt;&gt;$X$15,$X$16=$X$17,RIGHT($X26,3)="2SP"),VLOOKUP(CONCATENATE(LEFT($X26,2),"L"),$R$63:$T$90,3,FALSE),0)-IF(AND($Y$16=I$18,$Y$14&lt;&gt;$Y$15,$Y$16=$Y$17,RIGHT($Y26,3)="2SP"),VLOOKUP(CONCATENATE(LEFT($Y26,2),"L"),$R$63:$T$90,3,FALSE),0),"")</f>
        <v/>
      </c>
      <c r="J26" s="134">
        <v>142</v>
      </c>
      <c r="K26" s="135" t="s">
        <v>24</v>
      </c>
      <c r="L26" s="135" t="s">
        <v>578</v>
      </c>
      <c r="M26" s="135" t="s">
        <v>388</v>
      </c>
      <c r="N26" s="135" t="s">
        <v>24</v>
      </c>
      <c r="O26" s="135" t="s">
        <v>286</v>
      </c>
      <c r="P26" s="135"/>
      <c r="Q26" s="135"/>
      <c r="R26" s="135"/>
      <c r="S26" s="135"/>
      <c r="T26" s="135"/>
      <c r="U26" s="135"/>
      <c r="V26" s="135"/>
      <c r="W26" s="135"/>
      <c r="X26" s="135"/>
      <c r="Y26" s="135"/>
      <c r="Z26" s="136"/>
      <c r="AA26" s="136"/>
      <c r="AB26" s="137"/>
      <c r="AC26" s="137"/>
      <c r="AD26" s="137"/>
      <c r="AE26" s="138">
        <f t="shared" si="0"/>
        <v>142</v>
      </c>
      <c r="AF26" s="78"/>
    </row>
    <row r="27" spans="1:32" ht="13.15" customHeight="1">
      <c r="A27" s="264">
        <f>IF(AND($K27&lt;&gt;"",$K27&lt;&gt;"--",$K27&lt;&gt;"O3/CP",$K$14=A$18),IF(LEFT($K27,1)="P",VLOOKUP(CONCATENATE(LEFT($K27,2),"H"),$R$63:$T$91,3,FALSE),VLOOKUP($K27,$R$63:$T$91,3,FALSE)))+IF(AND($K27&lt;&gt;"",$K27&lt;&gt;"O3/CP",$K$15=A$18,MID($K27,4,1)="2",$K$15&lt;&gt;$K$14),VLOOKUP(CONCATENATE(LEFT($K27,2),"L"),$R$63:$T$91,3,FALSE),0)+IF(AND($K27="O3/CP",$K$14=A$18),VLOOKUP("O3",$R$63:$T$91,3,FALSE)+VLOOKUP("CP",$R$63:$T$91,3,FALSE),0)+IF(AND($L27&lt;&gt;"",$L27&lt;&gt;"--",$L27&lt;&gt;"O3/CP",$L$14=A$18),IF(LEFT($L27,1)="P",VLOOKUP(CONCATENATE(LEFT($L27,2),"H"),$R$63:$T$91,3,FALSE),VLOOKUP($L27,$R$63:$T$91,3,FALSE)))+IF(AND($L27&lt;&gt;"",$L27&lt;&gt;"O3/CP",$L$15=A$18,MID($L27,4,1)="2",$L$15&lt;&gt;$L$14),VLOOKUP(CONCATENATE(LEFT($L27,2),"L"),$R$63:$T$91,3,FALSE),0)+IF(AND($L27="O3/CP",$L$14=A$18),VLOOKUP("O3",$R$63:$T$91,3,FALSE)+VLOOKUP("CP",$R$63:$T$91,3,FALSE),0)+IF(AND($M27&lt;&gt;"",$M27&lt;&gt;"--",$M27&lt;&gt;"O3/CP",$M$14=A$18),IF(LEFT($M27,1)="P",VLOOKUP(CONCATENATE(LEFT($M27,2),"H"),$R$63:$T$91,3,FALSE),VLOOKUP($M27,$R$63:$T$91,3,FALSE)))+IF(AND($M27&lt;&gt;"",$M27&lt;&gt;"O3/CP",$M$15=A$18,MID($M27,4,1)="2",$M$15&lt;&gt;$M$14),VLOOKUP(CONCATENATE(LEFT($M27,2),"L"),$R$63:$T$91,3,FALSE),0)+IF(AND($M27="O3/CP",$M$14=A$18),VLOOKUP("O3",$R$63:$T$91,3,FALSE)+VLOOKUP("CP",$R$63:$T$91,3,FALSE),0)+IF(AND($N27&lt;&gt;"",$N27&lt;&gt;"--",$N27&lt;&gt;"O3/CP",$N$14=A$18),IF(LEFT($N27,1)="P",VLOOKUP(CONCATENATE(LEFT($N27,2),"H"),$R$63:$T$91,3,FALSE),VLOOKUP($N27,$R$63:$T$91,3,FALSE)))+IF(AND($N27&lt;&gt;"",$N27&lt;&gt;"O3/CP",$N$15=A$18,MID($N27,4,1)="2",$N$15&lt;&gt;$N$14),VLOOKUP(CONCATENATE(LEFT($N27,2),"L"),$R$63:$T$91,3,FALSE),0)+IF(AND($N27="O3/CP",$N$14=A$18),VLOOKUP("O3",$R$63:$T$91,3,FALSE)+VLOOKUP("CP",$R$63:$T$91,3,FALSE),0)+IF(AND($O27&lt;&gt;"",$O27&lt;&gt;"--",$O27&lt;&gt;"O3/CP",$O$14=A$18),IF(LEFT($O27,1)="P",VLOOKUP(CONCATENATE(LEFT($O27,2),"H"),$R$63:$T$91,3,FALSE),VLOOKUP($O27,$R$63:$T$91,3,FALSE)))+IF(AND($O27&lt;&gt;"",$O27&lt;&gt;"O3/CP",$O$15=A$18,MID($O27,4,1)="2",$O$15&lt;&gt;$O$14),VLOOKUP(CONCATENATE(LEFT($O27,2),"L"),$R$63:$T$91,3,FALSE),0)+IF(AND($O27="O3/CP",$O$14=A$18),VLOOKUP("O3",$R$63:$T$91,3,FALSE)+VLOOKUP("CP",$R$63:$T$91,3,FALSE),0)+IF(AND($P27&lt;&gt;"",$P27&lt;&gt;"--",$P27&lt;&gt;"O3/CP",$P$14=A$18),IF(LEFT($P27,1)="P",VLOOKUP(CONCATENATE(LEFT($P27,2),"H"),$R$63:$T$91,3,FALSE),VLOOKUP($P27,$R$63:$T$91,3,FALSE)))+IF(AND($P27&lt;&gt;"",$P27&lt;&gt;"O3/CP",$P$15=A$18,MID($P27,4,1)="2",$P$15&lt;&gt;$P$14),VLOOKUP(CONCATENATE(LEFT($P27,2),"L"),$R$63:$T$91,3,FALSE),0)+IF(AND($P27="O3/CP",$P$14=A$18),VLOOKUP("O3",$R$63:$T$91,3,FALSE)+VLOOKUP("CP",$R$63:$T$91,3,FALSE),0)+IF(AND($Q27&lt;&gt;"",$Q27&lt;&gt;"--",$Q27&lt;&gt;"O3/CP",$Q$14=A$18),IF(LEFT($Q27,1)="P",VLOOKUP(CONCATENATE(LEFT($Q27,2),"H"),$R$63:$T$91,3,FALSE),VLOOKUP($Q27,$R$63:$T$91,3,FALSE)))+IF(AND($Q27&lt;&gt;"",$Q27&lt;&gt;"O3/CP",$Q$15=A$18,MID($Q27,4,1)="2",$Q$15&lt;&gt;$Q$14),VLOOKUP(CONCATENATE(LEFT($Q27,2),"L"),$R$63:$T$91,3,FALSE),0)+IF(AND($Q27="O3/CP",$Q$14=A$18),VLOOKUP("O3",$R$63:$T$91,3,FALSE)+VLOOKUP("CP",$R$63:$T$91,3,FALSE),0)+IF(AND($R27&lt;&gt;"",$R27&lt;&gt;"--",$R27&lt;&gt;"O3/CP",$R$14=A$18),IF(LEFT($R27,1)="P",VLOOKUP(CONCATENATE(LEFT($R27,2),"H"),$R$63:$T$91,3,FALSE),VLOOKUP($R27,$R$63:$T$91,3,FALSE)))+IF(AND($R27&lt;&gt;"",$R27&lt;&gt;"O3/CP",$R$15=A$18,MID($R27,4,1)="2",$R$15&lt;&gt;$R$14),VLOOKUP(CONCATENATE(LEFT($R27,2),"L"),$R$63:$T$91,3,FALSE),0)+IF(AND($R27="O3/CP",$R$14=A$18),VLOOKUP("O3",$R$63:$T$91,3,FALSE)+VLOOKUP("CP",$R$63:$T$91,3,FALSE),0)+IF(AND($S27&lt;&gt;"",$S27&lt;&gt;"--",$S27&lt;&gt;"O3/CP",$S$14=A$18),IF(LEFT($S27,1)="P",VLOOKUP(CONCATENATE(LEFT($S27,2),"H"),$R$63:$T$91,3,FALSE),VLOOKUP($S27,$R$63:$T$91,3,FALSE)))+IF(AND($S27&lt;&gt;"",$S27&lt;&gt;"O3/CP",$S$15=A$18,MID($S27,4,1)="2",$S$15&lt;&gt;$S$14),VLOOKUP(CONCATENATE(LEFT($S27,2),"L"),$R$63:$T$91,3,FALSE),0)+IF(AND($S27="O3/CP",$S$14=A$18),VLOOKUP("O3",$R$63:$T$91,3,FALSE)+VLOOKUP("CP",$R$63:$T$91,3,FALSE),0)+IF(AND($T27&lt;&gt;"",$T27&lt;&gt;"--",$T27&lt;&gt;"O3/CP",$T$14=A$18),IF(LEFT($T27,1)="P",VLOOKUP(CONCATENATE(LEFT($T27,2),"H"),$R$63:$T$91,3,FALSE),VLOOKUP($T27,$R$63:$T$91,3,FALSE)))+IF(AND($T27&lt;&gt;"",$T27&lt;&gt;"O3/CP",$T$15=A$18,MID($T27,4,1)="2",$T$15&lt;&gt;$T$14),VLOOKUP(CONCATENATE(LEFT($T27,2),"L"),$R$63:$T$91,3,FALSE),0)+IF(AND($T27="O3/CP",$T$14=A$18),VLOOKUP("O3",$R$63:$T$91,3,FALSE)+VLOOKUP("CP",$R$63:$T$91,3,FALSE),0)+IF(AND($U27&lt;&gt;"",$U27&lt;&gt;"--",$U27&lt;&gt;"O3/CP",$U$14=A$18),IF(LEFT($U27,1)="P",VLOOKUP(CONCATENATE(LEFT($U27,2),"H"),$R$63:$T$91,3,FALSE),VLOOKUP($U27,$R$63:$T$91,3,FALSE)))+IF(AND($U27&lt;&gt;"",$U27&lt;&gt;"O3/CP",$U$15=A$18,MID($U27,4,1)="2",$U$15&lt;&gt;$U$14),VLOOKUP(CONCATENATE(LEFT($U27,2),"L"),$R$63:$T$91,3,FALSE),0)+IF(AND($U27="O3/CP",$T$14=A$18),VLOOKUP("O3",$R$63:$T$91,3,FALSE)+VLOOKUP("CP",$R$63:$T$91,3,FALSE),0)+IF(AND($V27&lt;&gt;"",$V27&lt;&gt;"--",$V27&lt;&gt;"O3/CP",$V$14=A$18),IF(LEFT($V27,1)="P",VLOOKUP(CONCATENATE(LEFT($V27,2),"H"),$R$63:$T$91,3,FALSE),VLOOKUP($V27,$R$63:$T$91,3,FALSE)))+IF(AND($V27&lt;&gt;"",$V27&lt;&gt;"O3/CP",$V$15=A$18,MID($V27,4,1)="2",$V$15&lt;&gt;$V$14),VLOOKUP(CONCATENATE(LEFT($V27,2),"L"),$R$63:$T$91,3,FALSE),0)+IF(AND($V27="O3/CP",$V$14=A$18),VLOOKUP("O3",$R$63:$T$91,3,FALSE)+VLOOKUP("CP",$R$63:$T$91,3,FALSE),0)+IF(AND($W27&lt;&gt;"",$W27&lt;&gt;"--",$W27&lt;&gt;"O3/CP",$W$14=A$18),IF(LEFT($W27,1)="P",VLOOKUP(CONCATENATE(LEFT($W27,2),"H"),$R$63:$T$91,3,FALSE),VLOOKUP($W27,$R$63:$T$91,3,FALSE)))+IF(AND($W27&lt;&gt;"",$W27&lt;&gt;"O3/CP",$W$15=A$18,MID($W27,4,1)="2",$W$15&lt;&gt;$W$14),VLOOKUP(CONCATENATE(LEFT($W27,2),"L"),$R$63:$T$91,3,FALSE),0)+IF(AND($W27="O3/CP",$W$14=A$18),VLOOKUP("O3",$R$63:$T$91,3,FALSE)+VLOOKUP("CP",$R$63:$T$91,3,FALSE),0)+IF(AND($X27&lt;&gt;"",$X27&lt;&gt;"--",$X27&lt;&gt;"O3/CP",$X$14=A$18),IF(LEFT($X27,1)="P",VLOOKUP(CONCATENATE(LEFT($X27,2),"H"),$R$63:$T$91,3,FALSE),VLOOKUP($X27,$R$63:$T$91,3,FALSE)))+IF(AND($X27&lt;&gt;"",$X27&lt;&gt;"O3/CP",$X$15=A$18,MID($X27,4,1)="2",$X$15&lt;&gt;$X$14),VLOOKUP(CONCATENATE(LEFT($X27,2),"L"),$R$63:$T$91,3,FALSE),0)+IF(AND($X27="O3/CP",$X$14=A$18),VLOOKUP("O3",$R$63:$T$91,3,FALSE)+VLOOKUP("CP",$R$63:$T$91,3,FALSE),0)+IF(AND($Y27&lt;&gt;"",$Y27&lt;&gt;"--",$Y27&lt;&gt;"O3/CP",$Y$14=A$18),IF(LEFT($Y27,1)="P",VLOOKUP(CONCATENATE(LEFT($Y27,2),"H"),$R$63:$T$91,3,FALSE),VLOOKUP($Y27,$R$63:$T$91,3,FALSE)))+IF(AND($Y27&lt;&gt;"",$Y27&lt;&gt;"O3/CP",$Y$15=A$18,MID($Y27,4,1)="2",$Y$15&lt;&gt;$Y$14),VLOOKUP(CONCATENATE(LEFT($Y27,2),"L"),$R$63:$T$91,3,FALSE),0)+IF(AND($Y27="O3/CP",$Y$14=A$18),VLOOKUP("O3",$R$63:$T$91,3,FALSE)+VLOOKUP("CP",$R$63:$T$91,3,FALSE),0)+IF(AND($K$6="CE",'[3]Supply Attribution'!$G$20=A$18),LEFT($S$90,2),0)+IF(AND($X$86&lt;&gt;"Not Set",$X$87=A$18),$X$86,0)</f>
        <v>13</v>
      </c>
      <c r="B27" s="271">
        <f>IF(AND($K27&lt;&gt;"",$K27&lt;&gt;"--",$K27&lt;&gt;"O3/CP",$K$14=B$18),IF(LEFT($K27,1)="P",VLOOKUP(CONCATENATE(LEFT($K27,2),"H"),$R$63:$T$91,3,FALSE),VLOOKUP($K27,$R$63:$T$91,3,FALSE)))+IF(AND($K27&lt;&gt;"",$K27&lt;&gt;"O3/CP",$K$15=B$18,MID($K27,4,1)="2",$K$15&lt;&gt;$K$14),VLOOKUP(CONCATENATE(LEFT($K27,2),"L"),$R$63:$T$91,3,FALSE),0)+IF(AND($K27="O3/CP",$K$14=B$18),VLOOKUP("O3",$R$63:$T$91,3,FALSE)+VLOOKUP("CP",$R$63:$T$91,3,FALSE),0)+IF(AND($L27&lt;&gt;"",$L27&lt;&gt;"--",$L27&lt;&gt;"O3/CP",$L$14=B$18),IF(LEFT($L27,1)="P",VLOOKUP(CONCATENATE(LEFT($L27,2),"H"),$R$63:$T$91,3,FALSE),VLOOKUP($L27,$R$63:$T$91,3,FALSE)))+IF(AND($L27&lt;&gt;"",$L27&lt;&gt;"O3/CP",$L$15=B$18,MID($L27,4,1)="2",$L$15&lt;&gt;$L$14),VLOOKUP(CONCATENATE(LEFT($L27,2),"L"),$R$63:$T$91,3,FALSE),0)+IF(AND($L27="O3/CP",$L$14=B$18),VLOOKUP("O3",$R$63:$T$91,3,FALSE)+VLOOKUP("CP",$R$63:$T$91,3,FALSE),0)+IF(AND($M27&lt;&gt;"",$M27&lt;&gt;"--",$M27&lt;&gt;"O3/CP",$M$14=B$18),IF(LEFT($M27,1)="P",VLOOKUP(CONCATENATE(LEFT($M27,2),"H"),$R$63:$T$91,3,FALSE),VLOOKUP($M27,$R$63:$T$91,3,FALSE)))+IF(AND($M27&lt;&gt;"",$M27&lt;&gt;"O3/CP",$M$15=B$18,MID($M27,4,1)="2",$M$15&lt;&gt;$M$14),VLOOKUP(CONCATENATE(LEFT($M27,2),"L"),$R$63:$T$91,3,FALSE),0)+IF(AND($M27="O3/CP",$M$14=B$18),VLOOKUP("O3",$R$63:$T$91,3,FALSE)+VLOOKUP("CP",$R$63:$T$91,3,FALSE),0)+IF(AND($N27&lt;&gt;"",$N27&lt;&gt;"--",$N27&lt;&gt;"O3/CP",$N$14=B$18),IF(LEFT($N27,1)="P",VLOOKUP(CONCATENATE(LEFT($N27,2),"H"),$R$63:$T$91,3,FALSE),VLOOKUP($N27,$R$63:$T$91,3,FALSE)))+IF(AND($N27&lt;&gt;"",$N27&lt;&gt;"O3/CP",$N$15=B$18,MID($N27,4,1)="2",$N$15&lt;&gt;$N$14),VLOOKUP(CONCATENATE(LEFT($N27,2),"L"),$R$63:$T$91,3,FALSE),0)+IF(AND($N27="O3/CP",$N$14=B$18),VLOOKUP("O3",$R$63:$T$91,3,FALSE)+VLOOKUP("CP",$R$63:$T$91,3,FALSE),0)+IF(AND($O27&lt;&gt;"",$O27&lt;&gt;"--",$O27&lt;&gt;"O3/CP",$O$14=B$18),IF(LEFT($O27,1)="P",VLOOKUP(CONCATENATE(LEFT($O27,2),"H"),$R$63:$T$91,3,FALSE),VLOOKUP($O27,$R$63:$T$91,3,FALSE)))+IF(AND($O27&lt;&gt;"",$O27&lt;&gt;"O3/CP",$O$15=B$18,MID($O27,4,1)="2",$O$15&lt;&gt;$O$14),VLOOKUP(CONCATENATE(LEFT($O27,2),"L"),$R$63:$T$91,3,FALSE),0)+IF(AND($O27="O3/CP",$O$14=B$18),VLOOKUP("O3",$R$63:$T$91,3,FALSE)+VLOOKUP("CP",$R$63:$T$91,3,FALSE),0)+IF(AND($P27&lt;&gt;"",$P27&lt;&gt;"--",$P27&lt;&gt;"O3/CP",$P$14=B$18),IF(LEFT($P27,1)="P",VLOOKUP(CONCATENATE(LEFT($P27,2),"H"),$R$63:$T$91,3,FALSE),VLOOKUP($P27,$R$63:$T$91,3,FALSE)))+IF(AND($P27&lt;&gt;"",$P27&lt;&gt;"O3/CP",$P$15=B$18,MID($P27,4,1)="2",$P$15&lt;&gt;$P$14),VLOOKUP(CONCATENATE(LEFT($P27,2),"L"),$R$63:$T$91,3,FALSE),0)+IF(AND($P27="O3/CP",$P$14=B$18),VLOOKUP("O3",$R$63:$T$91,3,FALSE)+VLOOKUP("CP",$R$63:$T$91,3,FALSE),0)+IF(AND($Q27&lt;&gt;"",$Q27&lt;&gt;"--",$Q27&lt;&gt;"O3/CP",$Q$14=B$18),IF(LEFT($Q27,1)="P",VLOOKUP(CONCATENATE(LEFT($Q27,2),"H"),$R$63:$T$91,3,FALSE),VLOOKUP($Q27,$R$63:$T$91,3,FALSE)))+IF(AND($Q27&lt;&gt;"",$Q27&lt;&gt;"O3/CP",$Q$15=B$18,MID($Q27,4,1)="2",$Q$15&lt;&gt;$Q$14),VLOOKUP(CONCATENATE(LEFT($Q27,2),"L"),$R$63:$T$91,3,FALSE),0)+IF(AND($Q27="O3/CP",$Q$14=B$18),VLOOKUP("O3",$R$63:$T$91,3,FALSE)+VLOOKUP("CP",$R$63:$T$91,3,FALSE),0)+IF(AND($R27&lt;&gt;"",$R27&lt;&gt;"--",$R27&lt;&gt;"O3/CP",$R$14=B$18),IF(LEFT($R27,1)="P",VLOOKUP(CONCATENATE(LEFT($R27,2),"H"),$R$63:$T$91,3,FALSE),VLOOKUP($R27,$R$63:$T$91,3,FALSE)))+IF(AND($R27&lt;&gt;"",$R27&lt;&gt;"O3/CP",$R$15=B$18,MID($R27,4,1)="2",$R$15&lt;&gt;$R$14),VLOOKUP(CONCATENATE(LEFT($R27,2),"L"),$R$63:$T$91,3,FALSE),0)+IF(AND($R27="O3/CP",$R$14=B$18),VLOOKUP("O3",$R$63:$T$91,3,FALSE)+VLOOKUP("CP",$R$63:$T$91,3,FALSE),0)+IF(AND($S27&lt;&gt;"",$S27&lt;&gt;"--",$S27&lt;&gt;"O3/CP",$S$14=B$18),IF(LEFT($S27,1)="P",VLOOKUP(CONCATENATE(LEFT($S27,2),"H"),$R$63:$T$91,3,FALSE),VLOOKUP($S27,$R$63:$T$91,3,FALSE)))+IF(AND($S27&lt;&gt;"",$S27&lt;&gt;"O3/CP",$S$15=B$18,MID($S27,4,1)="2",$S$15&lt;&gt;$S$14),VLOOKUP(CONCATENATE(LEFT($S27,2),"L"),$R$63:$T$91,3,FALSE),0)+IF(AND($S27="O3/CP",$S$14=B$18),VLOOKUP("O3",$R$63:$T$91,3,FALSE)+VLOOKUP("CP",$R$63:$T$91,3,FALSE),0)+IF(AND($T27&lt;&gt;"",$T27&lt;&gt;"--",$T27&lt;&gt;"O3/CP",$T$14=B$18),IF(LEFT($T27,1)="P",VLOOKUP(CONCATENATE(LEFT($T27,2),"H"),$R$63:$T$91,3,FALSE),VLOOKUP($T27,$R$63:$T$91,3,FALSE)))+IF(AND($T27&lt;&gt;"",$T27&lt;&gt;"O3/CP",$T$15=B$18,MID($T27,4,1)="2",$T$15&lt;&gt;$T$14),VLOOKUP(CONCATENATE(LEFT($T27,2),"L"),$R$63:$T$91,3,FALSE),0)+IF(AND($T27="O3/CP",$T$14=B$18),VLOOKUP("O3",$R$63:$T$91,3,FALSE)+VLOOKUP("CP",$R$63:$T$91,3,FALSE),0)+IF(AND($U27&lt;&gt;"",$U27&lt;&gt;"--",$U27&lt;&gt;"O3/CP",$U$14=B$18),IF(LEFT($U27,1)="P",VLOOKUP(CONCATENATE(LEFT($U27,2),"H"),$R$63:$T$91,3,FALSE),VLOOKUP($U27,$R$63:$T$91,3,FALSE)))+IF(AND($U27&lt;&gt;"",$U27&lt;&gt;"O3/CP",$U$15=B$18,MID($U27,4,1)="2",$U$15&lt;&gt;$U$14),VLOOKUP(CONCATENATE(LEFT($U27,2),"L"),$R$63:$T$91,3,FALSE),0)+IF(AND($U27="O3/CP",$T$14=B$18),VLOOKUP("O3",$R$63:$T$91,3,FALSE)+VLOOKUP("CP",$R$63:$T$91,3,FALSE),0)+IF(AND($V27&lt;&gt;"",$V27&lt;&gt;"--",$V27&lt;&gt;"O3/CP",$V$14=B$18),IF(LEFT($V27,1)="P",VLOOKUP(CONCATENATE(LEFT($V27,2),"H"),$R$63:$T$91,3,FALSE),VLOOKUP($V27,$R$63:$T$91,3,FALSE)))+IF(AND($V27&lt;&gt;"",$V27&lt;&gt;"O3/CP",$V$15=B$18,MID($V27,4,1)="2",$V$15&lt;&gt;$V$14),VLOOKUP(CONCATENATE(LEFT($V27,2),"L"),$R$63:$T$91,3,FALSE),0)+IF(AND($V27="O3/CP",$V$14=B$18),VLOOKUP("O3",$R$63:$T$91,3,FALSE)+VLOOKUP("CP",$R$63:$T$91,3,FALSE),0)+IF(AND($W27&lt;&gt;"",$W27&lt;&gt;"--",$W27&lt;&gt;"O3/CP",$W$14=B$18),IF(LEFT($W27,1)="P",VLOOKUP(CONCATENATE(LEFT($W27,2),"H"),$R$63:$T$91,3,FALSE),VLOOKUP($W27,$R$63:$T$91,3,FALSE)))+IF(AND($W27&lt;&gt;"",$W27&lt;&gt;"O3/CP",$W$15=B$18,MID($W27,4,1)="2",$W$15&lt;&gt;$W$14),VLOOKUP(CONCATENATE(LEFT($W27,2),"L"),$R$63:$T$91,3,FALSE),0)+IF(AND($W27="O3/CP",$W$14=B$18),VLOOKUP("O3",$R$63:$T$91,3,FALSE)+VLOOKUP("CP",$R$63:$T$91,3,FALSE),0)+IF(AND($X27&lt;&gt;"",$X27&lt;&gt;"--",$X27&lt;&gt;"O3/CP",$X$14=B$18),IF(LEFT($X27,1)="P",VLOOKUP(CONCATENATE(LEFT($X27,2),"H"),$R$63:$T$91,3,FALSE),VLOOKUP($X27,$R$63:$T$91,3,FALSE)))+IF(AND($X27&lt;&gt;"",$X27&lt;&gt;"O3/CP",$X$15=B$18,MID($X27,4,1)="2",$X$15&lt;&gt;$X$14),VLOOKUP(CONCATENATE(LEFT($X27,2),"L"),$R$63:$T$91,3,FALSE),0)+IF(AND($X27="O3/CP",$X$14=B$18),VLOOKUP("O3",$R$63:$T$91,3,FALSE)+VLOOKUP("CP",$R$63:$T$91,3,FALSE),0)+IF(AND($Y27&lt;&gt;"",$Y27&lt;&gt;"--",$Y27&lt;&gt;"O3/CP",$Y$14=B$18),IF(LEFT($Y27,1)="P",VLOOKUP(CONCATENATE(LEFT($Y27,2),"H"),$R$63:$T$91,3,FALSE),VLOOKUP($Y27,$R$63:$T$91,3,FALSE)))+IF(AND($Y27&lt;&gt;"",$Y27&lt;&gt;"O3/CP",$Y$15=B$18,MID($Y27,4,1)="2",$Y$15&lt;&gt;$Y$14),VLOOKUP(CONCATENATE(LEFT($Y27,2),"L"),$R$63:$T$91,3,FALSE),0)+IF(AND($Y27="O3/CP",$Y$14=B$18),VLOOKUP("O3",$R$63:$T$91,3,FALSE)+VLOOKUP("CP",$R$63:$T$91,3,FALSE),0)+IF(AND($K$6="CE",'[3]Supply Attribution'!$G$20=B$18),LEFT($S$90,2),0)+IF(AND($X$86&lt;&gt;"Not Set",$X$87=B$18),$X$86,0)</f>
        <v>6</v>
      </c>
      <c r="C27" s="271">
        <f>IF(AND($K27&lt;&gt;"",$K27&lt;&gt;"--",$K27&lt;&gt;"O3/CP",$K$14=C$18),IF(LEFT($K27,1)="P",VLOOKUP(CONCATENATE(LEFT($K27,2),"H"),$R$63:$T$91,3,FALSE),VLOOKUP($K27,$R$63:$T$91,3,FALSE)))+IF(AND($K27&lt;&gt;"",$K27&lt;&gt;"O3/CP",$K$15=C$18,MID($K27,4,1)="2",$K$15&lt;&gt;$K$14),VLOOKUP(CONCATENATE(LEFT($K27,2),"L"),$R$63:$T$91,3,FALSE),0)+IF(AND($K27="O3/CP",$K$14=C$18),VLOOKUP("O3",$R$63:$T$91,3,FALSE)+VLOOKUP("CP",$R$63:$T$91,3,FALSE),0)+IF(AND($L27&lt;&gt;"",$L27&lt;&gt;"--",$L27&lt;&gt;"O3/CP",$L$14=C$18),IF(LEFT($L27,1)="P",VLOOKUP(CONCATENATE(LEFT($L27,2),"H"),$R$63:$T$91,3,FALSE),VLOOKUP($L27,$R$63:$T$91,3,FALSE)))+IF(AND($L27&lt;&gt;"",$L27&lt;&gt;"O3/CP",$L$15=C$18,MID($L27,4,1)="2",$L$15&lt;&gt;$L$14),VLOOKUP(CONCATENATE(LEFT($L27,2),"L"),$R$63:$T$91,3,FALSE),0)+IF(AND($L27="O3/CP",$L$14=C$18),VLOOKUP("O3",$R$63:$T$91,3,FALSE)+VLOOKUP("CP",$R$63:$T$91,3,FALSE),0)+IF(AND($M27&lt;&gt;"",$M27&lt;&gt;"--",$M27&lt;&gt;"O3/CP",$M$14=C$18),IF(LEFT($M27,1)="P",VLOOKUP(CONCATENATE(LEFT($M27,2),"H"),$R$63:$T$91,3,FALSE),VLOOKUP($M27,$R$63:$T$91,3,FALSE)))+IF(AND($M27&lt;&gt;"",$M27&lt;&gt;"O3/CP",$M$15=C$18,MID($M27,4,1)="2",$M$15&lt;&gt;$M$14),VLOOKUP(CONCATENATE(LEFT($M27,2),"L"),$R$63:$T$91,3,FALSE),0)+IF(AND($M27="O3/CP",$M$14=C$18),VLOOKUP("O3",$R$63:$T$91,3,FALSE)+VLOOKUP("CP",$R$63:$T$91,3,FALSE),0)+IF(AND($N27&lt;&gt;"",$N27&lt;&gt;"--",$N27&lt;&gt;"O3/CP",$N$14=C$18),IF(LEFT($N27,1)="P",VLOOKUP(CONCATENATE(LEFT($N27,2),"H"),$R$63:$T$91,3,FALSE),VLOOKUP($N27,$R$63:$T$91,3,FALSE)))+IF(AND($N27&lt;&gt;"",$N27&lt;&gt;"O3/CP",$N$15=C$18,MID($N27,4,1)="2",$N$15&lt;&gt;$N$14),VLOOKUP(CONCATENATE(LEFT($N27,2),"L"),$R$63:$T$91,3,FALSE),0)+IF(AND($N27="O3/CP",$N$14=C$18),VLOOKUP("O3",$R$63:$T$91,3,FALSE)+VLOOKUP("CP",$R$63:$T$91,3,FALSE),0)+IF(AND($O27&lt;&gt;"",$O27&lt;&gt;"--",$O27&lt;&gt;"O3/CP",$O$14=C$18),IF(LEFT($O27,1)="P",VLOOKUP(CONCATENATE(LEFT($O27,2),"H"),$R$63:$T$91,3,FALSE),VLOOKUP($O27,$R$63:$T$91,3,FALSE)))+IF(AND($O27&lt;&gt;"",$O27&lt;&gt;"O3/CP",$O$15=C$18,MID($O27,4,1)="2",$O$15&lt;&gt;$O$14),VLOOKUP(CONCATENATE(LEFT($O27,2),"L"),$R$63:$T$91,3,FALSE),0)+IF(AND($O27="O3/CP",$O$14=C$18),VLOOKUP("O3",$R$63:$T$91,3,FALSE)+VLOOKUP("CP",$R$63:$T$91,3,FALSE),0)+IF(AND($P27&lt;&gt;"",$P27&lt;&gt;"--",$P27&lt;&gt;"O3/CP",$P$14=C$18),IF(LEFT($P27,1)="P",VLOOKUP(CONCATENATE(LEFT($P27,2),"H"),$R$63:$T$91,3,FALSE),VLOOKUP($P27,$R$63:$T$91,3,FALSE)))+IF(AND($P27&lt;&gt;"",$P27&lt;&gt;"O3/CP",$P$15=C$18,MID($P27,4,1)="2",$P$15&lt;&gt;$P$14),VLOOKUP(CONCATENATE(LEFT($P27,2),"L"),$R$63:$T$91,3,FALSE),0)+IF(AND($P27="O3/CP",$P$14=C$18),VLOOKUP("O3",$R$63:$T$91,3,FALSE)+VLOOKUP("CP",$R$63:$T$91,3,FALSE),0)+IF(AND($Q27&lt;&gt;"",$Q27&lt;&gt;"--",$Q27&lt;&gt;"O3/CP",$Q$14=C$18),IF(LEFT($Q27,1)="P",VLOOKUP(CONCATENATE(LEFT($Q27,2),"H"),$R$63:$T$91,3,FALSE),VLOOKUP($Q27,$R$63:$T$91,3,FALSE)))+IF(AND($Q27&lt;&gt;"",$Q27&lt;&gt;"O3/CP",$Q$15=C$18,MID($Q27,4,1)="2",$Q$15&lt;&gt;$Q$14),VLOOKUP(CONCATENATE(LEFT($Q27,2),"L"),$R$63:$T$91,3,FALSE),0)+IF(AND($Q27="O3/CP",$Q$14=C$18),VLOOKUP("O3",$R$63:$T$91,3,FALSE)+VLOOKUP("CP",$R$63:$T$91,3,FALSE),0)+IF(AND($R27&lt;&gt;"",$R27&lt;&gt;"--",$R27&lt;&gt;"O3/CP",$R$14=C$18),IF(LEFT($R27,1)="P",VLOOKUP(CONCATENATE(LEFT($R27,2),"H"),$R$63:$T$91,3,FALSE),VLOOKUP($R27,$R$63:$T$91,3,FALSE)))+IF(AND($R27&lt;&gt;"",$R27&lt;&gt;"O3/CP",$R$15=C$18,MID($R27,4,1)="2",$R$15&lt;&gt;$R$14),VLOOKUP(CONCATENATE(LEFT($R27,2),"L"),$R$63:$T$91,3,FALSE),0)+IF(AND($R27="O3/CP",$R$14=C$18),VLOOKUP("O3",$R$63:$T$91,3,FALSE)+VLOOKUP("CP",$R$63:$T$91,3,FALSE),0)+IF(AND($S27&lt;&gt;"",$S27&lt;&gt;"--",$S27&lt;&gt;"O3/CP",$S$14=C$18),IF(LEFT($S27,1)="P",VLOOKUP(CONCATENATE(LEFT($S27,2),"H"),$R$63:$T$91,3,FALSE),VLOOKUP($S27,$R$63:$T$91,3,FALSE)))+IF(AND($S27&lt;&gt;"",$S27&lt;&gt;"O3/CP",$S$15=C$18,MID($S27,4,1)="2",$S$15&lt;&gt;$S$14),VLOOKUP(CONCATENATE(LEFT($S27,2),"L"),$R$63:$T$91,3,FALSE),0)+IF(AND($S27="O3/CP",$S$14=C$18),VLOOKUP("O3",$R$63:$T$91,3,FALSE)+VLOOKUP("CP",$R$63:$T$91,3,FALSE),0)+IF(AND($T27&lt;&gt;"",$T27&lt;&gt;"--",$T27&lt;&gt;"O3/CP",$T$14=C$18),IF(LEFT($T27,1)="P",VLOOKUP(CONCATENATE(LEFT($T27,2),"H"),$R$63:$T$91,3,FALSE),VLOOKUP($T27,$R$63:$T$91,3,FALSE)))+IF(AND($T27&lt;&gt;"",$T27&lt;&gt;"O3/CP",$T$15=C$18,MID($T27,4,1)="2",$T$15&lt;&gt;$T$14),VLOOKUP(CONCATENATE(LEFT($T27,2),"L"),$R$63:$T$91,3,FALSE),0)+IF(AND($T27="O3/CP",$T$14=C$18),VLOOKUP("O3",$R$63:$T$91,3,FALSE)+VLOOKUP("CP",$R$63:$T$91,3,FALSE),0)+IF(AND($U27&lt;&gt;"",$U27&lt;&gt;"--",$U27&lt;&gt;"O3/CP",$U$14=C$18),IF(LEFT($U27,1)="P",VLOOKUP(CONCATENATE(LEFT($U27,2),"H"),$R$63:$T$91,3,FALSE),VLOOKUP($U27,$R$63:$T$91,3,FALSE)))+IF(AND($U27&lt;&gt;"",$U27&lt;&gt;"O3/CP",$U$15=C$18,MID($U27,4,1)="2",$U$15&lt;&gt;$U$14),VLOOKUP(CONCATENATE(LEFT($U27,2),"L"),$R$63:$T$91,3,FALSE),0)+IF(AND($U27="O3/CP",$T$14=C$18),VLOOKUP("O3",$R$63:$T$91,3,FALSE)+VLOOKUP("CP",$R$63:$T$91,3,FALSE),0)+IF(AND($V27&lt;&gt;"",$V27&lt;&gt;"--",$V27&lt;&gt;"O3/CP",$V$14=C$18),IF(LEFT($V27,1)="P",VLOOKUP(CONCATENATE(LEFT($V27,2),"H"),$R$63:$T$91,3,FALSE),VLOOKUP($V27,$R$63:$T$91,3,FALSE)))+IF(AND($V27&lt;&gt;"",$V27&lt;&gt;"O3/CP",$V$15=C$18,MID($V27,4,1)="2",$V$15&lt;&gt;$V$14),VLOOKUP(CONCATENATE(LEFT($V27,2),"L"),$R$63:$T$91,3,FALSE),0)+IF(AND($V27="O3/CP",$V$14=C$18),VLOOKUP("O3",$R$63:$T$91,3,FALSE)+VLOOKUP("CP",$R$63:$T$91,3,FALSE),0)+IF(AND($W27&lt;&gt;"",$W27&lt;&gt;"--",$W27&lt;&gt;"O3/CP",$W$14=C$18),IF(LEFT($W27,1)="P",VLOOKUP(CONCATENATE(LEFT($W27,2),"H"),$R$63:$T$91,3,FALSE),VLOOKUP($W27,$R$63:$T$91,3,FALSE)))+IF(AND($W27&lt;&gt;"",$W27&lt;&gt;"O3/CP",$W$15=C$18,MID($W27,4,1)="2",$W$15&lt;&gt;$W$14),VLOOKUP(CONCATENATE(LEFT($W27,2),"L"),$R$63:$T$91,3,FALSE),0)+IF(AND($W27="O3/CP",$W$14=C$18),VLOOKUP("O3",$R$63:$T$91,3,FALSE)+VLOOKUP("CP",$R$63:$T$91,3,FALSE),0)+IF(AND($X27&lt;&gt;"",$X27&lt;&gt;"--",$X27&lt;&gt;"O3/CP",$X$14=C$18),IF(LEFT($X27,1)="P",VLOOKUP(CONCATENATE(LEFT($X27,2),"H"),$R$63:$T$91,3,FALSE),VLOOKUP($X27,$R$63:$T$91,3,FALSE)))+IF(AND($X27&lt;&gt;"",$X27&lt;&gt;"O3/CP",$X$15=C$18,MID($X27,4,1)="2",$X$15&lt;&gt;$X$14),VLOOKUP(CONCATENATE(LEFT($X27,2),"L"),$R$63:$T$91,3,FALSE),0)+IF(AND($X27="O3/CP",$X$14=C$18),VLOOKUP("O3",$R$63:$T$91,3,FALSE)+VLOOKUP("CP",$R$63:$T$91,3,FALSE),0)+IF(AND($Y27&lt;&gt;"",$Y27&lt;&gt;"--",$Y27&lt;&gt;"O3/CP",$Y$14=C$18),IF(LEFT($Y27,1)="P",VLOOKUP(CONCATENATE(LEFT($Y27,2),"H"),$R$63:$T$91,3,FALSE),VLOOKUP($Y27,$R$63:$T$91,3,FALSE)))+IF(AND($Y27&lt;&gt;"",$Y27&lt;&gt;"O3/CP",$Y$15=C$18,MID($Y27,4,1)="2",$Y$15&lt;&gt;$Y$14),VLOOKUP(CONCATENATE(LEFT($Y27,2),"L"),$R$63:$T$91,3,FALSE),0)+IF(AND($Y27="O3/CP",$Y$14=C$18),VLOOKUP("O3",$R$63:$T$91,3,FALSE)+VLOOKUP("CP",$R$63:$T$91,3,FALSE),0)+IF(AND($K$6="CE",'[3]Supply Attribution'!$G$20=C$18),LEFT($S$90,2),0)+IF(AND($X$86&lt;&gt;"Not Set",$X$87=C$18),$X$86,0)</f>
        <v>12</v>
      </c>
      <c r="D27" s="271">
        <f>IF(AND($K27&lt;&gt;"",$K27&lt;&gt;"--",$K27&lt;&gt;"O3/CP",$K$14=D$18),IF(LEFT($K27,1)="P",VLOOKUP(CONCATENATE(LEFT($K27,2),"H"),$R$63:$T$91,3,FALSE),VLOOKUP($K27,$R$63:$T$91,3,FALSE)))+IF(AND($K27&lt;&gt;"",$K27&lt;&gt;"O3/CP",$K$15=D$18,MID($K27,4,1)="2",$K$15&lt;&gt;$K$14),VLOOKUP(CONCATENATE(LEFT($K27,2),"L"),$R$63:$T$91,3,FALSE),0)+IF(AND($K27="O3/CP",$K$14=D$18),VLOOKUP("O3",$R$63:$T$91,3,FALSE)+VLOOKUP("CP",$R$63:$T$91,3,FALSE),0)+IF(AND($L27&lt;&gt;"",$L27&lt;&gt;"--",$L27&lt;&gt;"O3/CP",$L$14=D$18),IF(LEFT($L27,1)="P",VLOOKUP(CONCATENATE(LEFT($L27,2),"H"),$R$63:$T$91,3,FALSE),VLOOKUP($L27,$R$63:$T$91,3,FALSE)))+IF(AND($L27&lt;&gt;"",$L27&lt;&gt;"O3/CP",$L$15=D$18,MID($L27,4,1)="2",$L$15&lt;&gt;$L$14),VLOOKUP(CONCATENATE(LEFT($L27,2),"L"),$R$63:$T$91,3,FALSE),0)+IF(AND($L27="O3/CP",$L$14=D$18),VLOOKUP("O3",$R$63:$T$91,3,FALSE)+VLOOKUP("CP",$R$63:$T$91,3,FALSE),0)+IF(AND($M27&lt;&gt;"",$M27&lt;&gt;"--",$M27&lt;&gt;"O3/CP",$M$14=D$18),IF(LEFT($M27,1)="P",VLOOKUP(CONCATENATE(LEFT($M27,2),"H"),$R$63:$T$91,3,FALSE),VLOOKUP($M27,$R$63:$T$91,3,FALSE)))+IF(AND($M27&lt;&gt;"",$M27&lt;&gt;"O3/CP",$M$15=D$18,MID($M27,4,1)="2",$M$15&lt;&gt;$M$14),VLOOKUP(CONCATENATE(LEFT($M27,2),"L"),$R$63:$T$91,3,FALSE),0)+IF(AND($M27="O3/CP",$M$14=D$18),VLOOKUP("O3",$R$63:$T$91,3,FALSE)+VLOOKUP("CP",$R$63:$T$91,3,FALSE),0)+IF(AND($N27&lt;&gt;"",$N27&lt;&gt;"--",$N27&lt;&gt;"O3/CP",$N$14=D$18),IF(LEFT($N27,1)="P",VLOOKUP(CONCATENATE(LEFT($N27,2),"H"),$R$63:$T$91,3,FALSE),VLOOKUP($N27,$R$63:$T$91,3,FALSE)))+IF(AND($N27&lt;&gt;"",$N27&lt;&gt;"O3/CP",$N$15=D$18,MID($N27,4,1)="2",$N$15&lt;&gt;$N$14),VLOOKUP(CONCATENATE(LEFT($N27,2),"L"),$R$63:$T$91,3,FALSE),0)+IF(AND($N27="O3/CP",$N$14=D$18),VLOOKUP("O3",$R$63:$T$91,3,FALSE)+VLOOKUP("CP",$R$63:$T$91,3,FALSE),0)+IF(AND($O27&lt;&gt;"",$O27&lt;&gt;"--",$O27&lt;&gt;"O3/CP",$O$14=D$18),IF(LEFT($O27,1)="P",VLOOKUP(CONCATENATE(LEFT($O27,2),"H"),$R$63:$T$91,3,FALSE),VLOOKUP($O27,$R$63:$T$91,3,FALSE)))+IF(AND($O27&lt;&gt;"",$O27&lt;&gt;"O3/CP",$O$15=D$18,MID($O27,4,1)="2",$O$15&lt;&gt;$O$14),VLOOKUP(CONCATENATE(LEFT($O27,2),"L"),$R$63:$T$91,3,FALSE),0)+IF(AND($O27="O3/CP",$O$14=D$18),VLOOKUP("O3",$R$63:$T$91,3,FALSE)+VLOOKUP("CP",$R$63:$T$91,3,FALSE),0)+IF(AND($P27&lt;&gt;"",$P27&lt;&gt;"--",$P27&lt;&gt;"O3/CP",$P$14=D$18),IF(LEFT($P27,1)="P",VLOOKUP(CONCATENATE(LEFT($P27,2),"H"),$R$63:$T$91,3,FALSE),VLOOKUP($P27,$R$63:$T$91,3,FALSE)))+IF(AND($P27&lt;&gt;"",$P27&lt;&gt;"O3/CP",$P$15=D$18,MID($P27,4,1)="2",$P$15&lt;&gt;$P$14),VLOOKUP(CONCATENATE(LEFT($P27,2),"L"),$R$63:$T$91,3,FALSE),0)+IF(AND($P27="O3/CP",$P$14=D$18),VLOOKUP("O3",$R$63:$T$91,3,FALSE)+VLOOKUP("CP",$R$63:$T$91,3,FALSE),0)+IF(AND($Q27&lt;&gt;"",$Q27&lt;&gt;"--",$Q27&lt;&gt;"O3/CP",$Q$14=D$18),IF(LEFT($Q27,1)="P",VLOOKUP(CONCATENATE(LEFT($Q27,2),"H"),$R$63:$T$91,3,FALSE),VLOOKUP($Q27,$R$63:$T$91,3,FALSE)))+IF(AND($Q27&lt;&gt;"",$Q27&lt;&gt;"O3/CP",$Q$15=D$18,MID($Q27,4,1)="2",$Q$15&lt;&gt;$Q$14),VLOOKUP(CONCATENATE(LEFT($Q27,2),"L"),$R$63:$T$91,3,FALSE),0)+IF(AND($Q27="O3/CP",$Q$14=D$18),VLOOKUP("O3",$R$63:$T$91,3,FALSE)+VLOOKUP("CP",$R$63:$T$91,3,FALSE),0)+IF(AND($R27&lt;&gt;"",$R27&lt;&gt;"--",$R27&lt;&gt;"O3/CP",$R$14=D$18),IF(LEFT($R27,1)="P",VLOOKUP(CONCATENATE(LEFT($R27,2),"H"),$R$63:$T$91,3,FALSE),VLOOKUP($R27,$R$63:$T$91,3,FALSE)))+IF(AND($R27&lt;&gt;"",$R27&lt;&gt;"O3/CP",$R$15=D$18,MID($R27,4,1)="2",$R$15&lt;&gt;$R$14),VLOOKUP(CONCATENATE(LEFT($R27,2),"L"),$R$63:$T$91,3,FALSE),0)+IF(AND($R27="O3/CP",$R$14=D$18),VLOOKUP("O3",$R$63:$T$91,3,FALSE)+VLOOKUP("CP",$R$63:$T$91,3,FALSE),0)+IF(AND($S27&lt;&gt;"",$S27&lt;&gt;"--",$S27&lt;&gt;"O3/CP",$S$14=D$18),IF(LEFT($S27,1)="P",VLOOKUP(CONCATENATE(LEFT($S27,2),"H"),$R$63:$T$91,3,FALSE),VLOOKUP($S27,$R$63:$T$91,3,FALSE)))+IF(AND($S27&lt;&gt;"",$S27&lt;&gt;"O3/CP",$S$15=D$18,MID($S27,4,1)="2",$S$15&lt;&gt;$S$14),VLOOKUP(CONCATENATE(LEFT($S27,2),"L"),$R$63:$T$91,3,FALSE),0)+IF(AND($S27="O3/CP",$S$14=D$18),VLOOKUP("O3",$R$63:$T$91,3,FALSE)+VLOOKUP("CP",$R$63:$T$91,3,FALSE),0)+IF(AND($T27&lt;&gt;"",$T27&lt;&gt;"--",$T27&lt;&gt;"O3/CP",$T$14=D$18),IF(LEFT($T27,1)="P",VLOOKUP(CONCATENATE(LEFT($T27,2),"H"),$R$63:$T$91,3,FALSE),VLOOKUP($T27,$R$63:$T$91,3,FALSE)))+IF(AND($T27&lt;&gt;"",$T27&lt;&gt;"O3/CP",$T$15=D$18,MID($T27,4,1)="2",$T$15&lt;&gt;$T$14),VLOOKUP(CONCATENATE(LEFT($T27,2),"L"),$R$63:$T$91,3,FALSE),0)+IF(AND($T27="O3/CP",$T$14=D$18),VLOOKUP("O3",$R$63:$T$91,3,FALSE)+VLOOKUP("CP",$R$63:$T$91,3,FALSE),0)+IF(AND($U27&lt;&gt;"",$U27&lt;&gt;"--",$U27&lt;&gt;"O3/CP",$U$14=D$18),IF(LEFT($U27,1)="P",VLOOKUP(CONCATENATE(LEFT($U27,2),"H"),$R$63:$T$91,3,FALSE),VLOOKUP($U27,$R$63:$T$91,3,FALSE)))+IF(AND($U27&lt;&gt;"",$U27&lt;&gt;"O3/CP",$U$15=D$18,MID($U27,4,1)="2",$U$15&lt;&gt;$U$14),VLOOKUP(CONCATENATE(LEFT($U27,2),"L"),$R$63:$T$91,3,FALSE),0)+IF(AND($U27="O3/CP",$T$14=D$18),VLOOKUP("O3",$R$63:$T$91,3,FALSE)+VLOOKUP("CP",$R$63:$T$91,3,FALSE),0)+IF(AND($V27&lt;&gt;"",$V27&lt;&gt;"--",$V27&lt;&gt;"O3/CP",$V$14=D$18),IF(LEFT($V27,1)="P",VLOOKUP(CONCATENATE(LEFT($V27,2),"H"),$R$63:$T$91,3,FALSE),VLOOKUP($V27,$R$63:$T$91,3,FALSE)))+IF(AND($V27&lt;&gt;"",$V27&lt;&gt;"O3/CP",$V$15=D$18,MID($V27,4,1)="2",$V$15&lt;&gt;$V$14),VLOOKUP(CONCATENATE(LEFT($V27,2),"L"),$R$63:$T$91,3,FALSE),0)+IF(AND($V27="O3/CP",$V$14=D$18),VLOOKUP("O3",$R$63:$T$91,3,FALSE)+VLOOKUP("CP",$R$63:$T$91,3,FALSE),0)+IF(AND($W27&lt;&gt;"",$W27&lt;&gt;"--",$W27&lt;&gt;"O3/CP",$W$14=D$18),IF(LEFT($W27,1)="P",VLOOKUP(CONCATENATE(LEFT($W27,2),"H"),$R$63:$T$91,3,FALSE),VLOOKUP($W27,$R$63:$T$91,3,FALSE)))+IF(AND($W27&lt;&gt;"",$W27&lt;&gt;"O3/CP",$W$15=D$18,MID($W27,4,1)="2",$W$15&lt;&gt;$W$14),VLOOKUP(CONCATENATE(LEFT($W27,2),"L"),$R$63:$T$91,3,FALSE),0)+IF(AND($W27="O3/CP",$W$14=D$18),VLOOKUP("O3",$R$63:$T$91,3,FALSE)+VLOOKUP("CP",$R$63:$T$91,3,FALSE),0)+IF(AND($X27&lt;&gt;"",$X27&lt;&gt;"--",$X27&lt;&gt;"O3/CP",$X$14=D$18),IF(LEFT($X27,1)="P",VLOOKUP(CONCATENATE(LEFT($X27,2),"H"),$R$63:$T$91,3,FALSE),VLOOKUP($X27,$R$63:$T$91,3,FALSE)))+IF(AND($X27&lt;&gt;"",$X27&lt;&gt;"O3/CP",$X$15=D$18,MID($X27,4,1)="2",$X$15&lt;&gt;$X$14),VLOOKUP(CONCATENATE(LEFT($X27,2),"L"),$R$63:$T$91,3,FALSE),0)+IF(AND($X27="O3/CP",$X$14=D$18),VLOOKUP("O3",$R$63:$T$91,3,FALSE)+VLOOKUP("CP",$R$63:$T$91,3,FALSE),0)+IF(AND($Y27&lt;&gt;"",$Y27&lt;&gt;"--",$Y27&lt;&gt;"O3/CP",$Y$14=D$18),IF(LEFT($Y27,1)="P",VLOOKUP(CONCATENATE(LEFT($Y27,2),"H"),$R$63:$T$91,3,FALSE),VLOOKUP($Y27,$R$63:$T$91,3,FALSE)))+IF(AND($Y27&lt;&gt;"",$Y27&lt;&gt;"O3/CP",$Y$15=D$18,MID($Y27,4,1)="2",$Y$15&lt;&gt;$Y$14),VLOOKUP(CONCATENATE(LEFT($Y27,2),"L"),$R$63:$T$91,3,FALSE),0)+IF(AND($Y27="O3/CP",$Y$14=D$18),VLOOKUP("O3",$R$63:$T$91,3,FALSE)+VLOOKUP("CP",$R$63:$T$91,3,FALSE),0)+IF(AND($K$6="CE",'[3]Supply Attribution'!$G$20=D$18),LEFT($S$90,2),0)+IF(AND($X$86&lt;&gt;"Not Set",$X$87=D$18),$X$86,0)</f>
        <v>0</v>
      </c>
      <c r="E27" s="271">
        <f>IF(AND($K27&lt;&gt;"",$K27&lt;&gt;"--",$K27&lt;&gt;"O3/CP",$K$14=E$18),IF(LEFT($K27,1)="P",VLOOKUP(CONCATENATE(LEFT($K27,2),"H"),$R$63:$T$91,3,FALSE),VLOOKUP($K27,$R$63:$T$91,3,FALSE)))+IF(AND($K27&lt;&gt;"",$K27&lt;&gt;"O3/CP",$K$15=E$18,MID($K27,4,1)="2",$K$15&lt;&gt;$K$14),VLOOKUP(CONCATENATE(LEFT($K27,2),"L"),$R$63:$T$91,3,FALSE),0)+IF(AND($K27="O3/CP",$K$14=E$18),VLOOKUP("O3",$R$63:$T$91,3,FALSE)+VLOOKUP("CP",$R$63:$T$91,3,FALSE),0)+IF(AND($L27&lt;&gt;"",$L27&lt;&gt;"--",$L27&lt;&gt;"O3/CP",$L$14=E$18),IF(LEFT($L27,1)="P",VLOOKUP(CONCATENATE(LEFT($L27,2),"H"),$R$63:$T$91,3,FALSE),VLOOKUP($L27,$R$63:$T$91,3,FALSE)))+IF(AND($L27&lt;&gt;"",$L27&lt;&gt;"O3/CP",$L$15=E$18,MID($L27,4,1)="2",$L$15&lt;&gt;$L$14),VLOOKUP(CONCATENATE(LEFT($L27,2),"L"),$R$63:$T$91,3,FALSE),0)+IF(AND($L27="O3/CP",$L$14=E$18),VLOOKUP("O3",$R$63:$T$91,3,FALSE)+VLOOKUP("CP",$R$63:$T$91,3,FALSE),0)+IF(AND($M27&lt;&gt;"",$M27&lt;&gt;"--",$M27&lt;&gt;"O3/CP",$M$14=E$18),IF(LEFT($M27,1)="P",VLOOKUP(CONCATENATE(LEFT($M27,2),"H"),$R$63:$T$91,3,FALSE),VLOOKUP($M27,$R$63:$T$91,3,FALSE)))+IF(AND($M27&lt;&gt;"",$M27&lt;&gt;"O3/CP",$M$15=E$18,MID($M27,4,1)="2",$M$15&lt;&gt;$M$14),VLOOKUP(CONCATENATE(LEFT($M27,2),"L"),$R$63:$T$91,3,FALSE),0)+IF(AND($M27="O3/CP",$M$14=E$18),VLOOKUP("O3",$R$63:$T$91,3,FALSE)+VLOOKUP("CP",$R$63:$T$91,3,FALSE),0)+IF(AND($N27&lt;&gt;"",$N27&lt;&gt;"--",$N27&lt;&gt;"O3/CP",$N$14=E$18),IF(LEFT($N27,1)="P",VLOOKUP(CONCATENATE(LEFT($N27,2),"H"),$R$63:$T$91,3,FALSE),VLOOKUP($N27,$R$63:$T$91,3,FALSE)))+IF(AND($N27&lt;&gt;"",$N27&lt;&gt;"O3/CP",$N$15=E$18,MID($N27,4,1)="2",$N$15&lt;&gt;$N$14),VLOOKUP(CONCATENATE(LEFT($N27,2),"L"),$R$63:$T$91,3,FALSE),0)+IF(AND($N27="O3/CP",$N$14=E$18),VLOOKUP("O3",$R$63:$T$91,3,FALSE)+VLOOKUP("CP",$R$63:$T$91,3,FALSE),0)+IF(AND($O27&lt;&gt;"",$O27&lt;&gt;"--",$O27&lt;&gt;"O3/CP",$O$14=E$18),IF(LEFT($O27,1)="P",VLOOKUP(CONCATENATE(LEFT($O27,2),"H"),$R$63:$T$91,3,FALSE),VLOOKUP($O27,$R$63:$T$91,3,FALSE)))+IF(AND($O27&lt;&gt;"",$O27&lt;&gt;"O3/CP",$O$15=E$18,MID($O27,4,1)="2",$O$15&lt;&gt;$O$14),VLOOKUP(CONCATENATE(LEFT($O27,2),"L"),$R$63:$T$91,3,FALSE),0)+IF(AND($O27="O3/CP",$O$14=E$18),VLOOKUP("O3",$R$63:$T$91,3,FALSE)+VLOOKUP("CP",$R$63:$T$91,3,FALSE),0)+IF(AND($P27&lt;&gt;"",$P27&lt;&gt;"--",$P27&lt;&gt;"O3/CP",$P$14=E$18),IF(LEFT($P27,1)="P",VLOOKUP(CONCATENATE(LEFT($P27,2),"H"),$R$63:$T$91,3,FALSE),VLOOKUP($P27,$R$63:$T$91,3,FALSE)))+IF(AND($P27&lt;&gt;"",$P27&lt;&gt;"O3/CP",$P$15=E$18,MID($P27,4,1)="2",$P$15&lt;&gt;$P$14),VLOOKUP(CONCATENATE(LEFT($P27,2),"L"),$R$63:$T$91,3,FALSE),0)+IF(AND($P27="O3/CP",$P$14=E$18),VLOOKUP("O3",$R$63:$T$91,3,FALSE)+VLOOKUP("CP",$R$63:$T$91,3,FALSE),0)+IF(AND($Q27&lt;&gt;"",$Q27&lt;&gt;"--",$Q27&lt;&gt;"O3/CP",$Q$14=E$18),IF(LEFT($Q27,1)="P",VLOOKUP(CONCATENATE(LEFT($Q27,2),"H"),$R$63:$T$91,3,FALSE),VLOOKUP($Q27,$R$63:$T$91,3,FALSE)))+IF(AND($Q27&lt;&gt;"",$Q27&lt;&gt;"O3/CP",$Q$15=E$18,MID($Q27,4,1)="2",$Q$15&lt;&gt;$Q$14),VLOOKUP(CONCATENATE(LEFT($Q27,2),"L"),$R$63:$T$91,3,FALSE),0)+IF(AND($Q27="O3/CP",$Q$14=E$18),VLOOKUP("O3",$R$63:$T$91,3,FALSE)+VLOOKUP("CP",$R$63:$T$91,3,FALSE),0)+IF(AND($R27&lt;&gt;"",$R27&lt;&gt;"--",$R27&lt;&gt;"O3/CP",$R$14=E$18),IF(LEFT($R27,1)="P",VLOOKUP(CONCATENATE(LEFT($R27,2),"H"),$R$63:$T$91,3,FALSE),VLOOKUP($R27,$R$63:$T$91,3,FALSE)))+IF(AND($R27&lt;&gt;"",$R27&lt;&gt;"O3/CP",$R$15=E$18,MID($R27,4,1)="2",$R$15&lt;&gt;$R$14),VLOOKUP(CONCATENATE(LEFT($R27,2),"L"),$R$63:$T$91,3,FALSE),0)+IF(AND($R27="O3/CP",$R$14=E$18),VLOOKUP("O3",$R$63:$T$91,3,FALSE)+VLOOKUP("CP",$R$63:$T$91,3,FALSE),0)+IF(AND($S27&lt;&gt;"",$S27&lt;&gt;"--",$S27&lt;&gt;"O3/CP",$S$14=E$18),IF(LEFT($S27,1)="P",VLOOKUP(CONCATENATE(LEFT($S27,2),"H"),$R$63:$T$91,3,FALSE),VLOOKUP($S27,$R$63:$T$91,3,FALSE)))+IF(AND($S27&lt;&gt;"",$S27&lt;&gt;"O3/CP",$S$15=E$18,MID($S27,4,1)="2",$S$15&lt;&gt;$S$14),VLOOKUP(CONCATENATE(LEFT($S27,2),"L"),$R$63:$T$91,3,FALSE),0)+IF(AND($S27="O3/CP",$S$14=E$18),VLOOKUP("O3",$R$63:$T$91,3,FALSE)+VLOOKUP("CP",$R$63:$T$91,3,FALSE),0)+IF(AND($T27&lt;&gt;"",$T27&lt;&gt;"--",$T27&lt;&gt;"O3/CP",$T$14=E$18),IF(LEFT($T27,1)="P",VLOOKUP(CONCATENATE(LEFT($T27,2),"H"),$R$63:$T$91,3,FALSE),VLOOKUP($T27,$R$63:$T$91,3,FALSE)))+IF(AND($T27&lt;&gt;"",$T27&lt;&gt;"O3/CP",$T$15=E$18,MID($T27,4,1)="2",$T$15&lt;&gt;$T$14),VLOOKUP(CONCATENATE(LEFT($T27,2),"L"),$R$63:$T$91,3,FALSE),0)+IF(AND($T27="O3/CP",$T$14=E$18),VLOOKUP("O3",$R$63:$T$91,3,FALSE)+VLOOKUP("CP",$R$63:$T$91,3,FALSE),0)+IF(AND($U27&lt;&gt;"",$U27&lt;&gt;"--",$U27&lt;&gt;"O3/CP",$U$14=E$18),IF(LEFT($U27,1)="P",VLOOKUP(CONCATENATE(LEFT($U27,2),"H"),$R$63:$T$91,3,FALSE),VLOOKUP($U27,$R$63:$T$91,3,FALSE)))+IF(AND($U27&lt;&gt;"",$U27&lt;&gt;"O3/CP",$U$15=E$18,MID($U27,4,1)="2",$U$15&lt;&gt;$U$14),VLOOKUP(CONCATENATE(LEFT($U27,2),"L"),$R$63:$T$91,3,FALSE),0)+IF(AND($U27="O3/CP",$T$14=E$18),VLOOKUP("O3",$R$63:$T$91,3,FALSE)+VLOOKUP("CP",$R$63:$T$91,3,FALSE),0)+IF(AND($V27&lt;&gt;"",$V27&lt;&gt;"--",$V27&lt;&gt;"O3/CP",$V$14=E$18),IF(LEFT($V27,1)="P",VLOOKUP(CONCATENATE(LEFT($V27,2),"H"),$R$63:$T$91,3,FALSE),VLOOKUP($V27,$R$63:$T$91,3,FALSE)))+IF(AND($V27&lt;&gt;"",$V27&lt;&gt;"O3/CP",$V$15=E$18,MID($V27,4,1)="2",$V$15&lt;&gt;$V$14),VLOOKUP(CONCATENATE(LEFT($V27,2),"L"),$R$63:$T$91,3,FALSE),0)+IF(AND($V27="O3/CP",$V$14=E$18),VLOOKUP("O3",$R$63:$T$91,3,FALSE)+VLOOKUP("CP",$R$63:$T$91,3,FALSE),0)+IF(AND($W27&lt;&gt;"",$W27&lt;&gt;"--",$W27&lt;&gt;"O3/CP",$W$14=E$18),IF(LEFT($W27,1)="P",VLOOKUP(CONCATENATE(LEFT($W27,2),"H"),$R$63:$T$91,3,FALSE),VLOOKUP($W27,$R$63:$T$91,3,FALSE)))+IF(AND($W27&lt;&gt;"",$W27&lt;&gt;"O3/CP",$W$15=E$18,MID($W27,4,1)="2",$W$15&lt;&gt;$W$14),VLOOKUP(CONCATENATE(LEFT($W27,2),"L"),$R$63:$T$91,3,FALSE),0)+IF(AND($W27="O3/CP",$W$14=E$18),VLOOKUP("O3",$R$63:$T$91,3,FALSE)+VLOOKUP("CP",$R$63:$T$91,3,FALSE),0)+IF(AND($X27&lt;&gt;"",$X27&lt;&gt;"--",$X27&lt;&gt;"O3/CP",$X$14=E$18),IF(LEFT($X27,1)="P",VLOOKUP(CONCATENATE(LEFT($X27,2),"H"),$R$63:$T$91,3,FALSE),VLOOKUP($X27,$R$63:$T$91,3,FALSE)))+IF(AND($X27&lt;&gt;"",$X27&lt;&gt;"O3/CP",$X$15=E$18,MID($X27,4,1)="2",$X$15&lt;&gt;$X$14),VLOOKUP(CONCATENATE(LEFT($X27,2),"L"),$R$63:$T$91,3,FALSE),0)+IF(AND($X27="O3/CP",$X$14=E$18),VLOOKUP("O3",$R$63:$T$91,3,FALSE)+VLOOKUP("CP",$R$63:$T$91,3,FALSE),0)+IF(AND($Y27&lt;&gt;"",$Y27&lt;&gt;"--",$Y27&lt;&gt;"O3/CP",$Y$14=E$18),IF(LEFT($Y27,1)="P",VLOOKUP(CONCATENATE(LEFT($Y27,2),"H"),$R$63:$T$91,3,FALSE),VLOOKUP($Y27,$R$63:$T$91,3,FALSE)))+IF(AND($Y27&lt;&gt;"",$Y27&lt;&gt;"O3/CP",$Y$15=E$18,MID($Y27,4,1)="2",$Y$15&lt;&gt;$Y$14),VLOOKUP(CONCATENATE(LEFT($Y27,2),"L"),$R$63:$T$91,3,FALSE),0)+IF(AND($Y27="O3/CP",$Y$14=E$18),VLOOKUP("O3",$R$63:$T$91,3,FALSE)+VLOOKUP("CP",$R$63:$T$91,3,FALSE),0)+IF(AND($K$6="CE",'[3]Supply Attribution'!$G$20=E$18),LEFT($S$90,2),0)+IF(AND($X$86&lt;&gt;"Not Set",$X$87=E$18),$X$86,0)</f>
        <v>0</v>
      </c>
      <c r="F27" s="272">
        <f>IF(AND($K27&lt;&gt;"",$K27&lt;&gt;"--",$K27&lt;&gt;"O3/CP",$K$14=F$18),IF(LEFT($K27,1)="P",VLOOKUP(CONCATENATE(LEFT($K27,2),"H"),$R$63:$T$91,3,FALSE),VLOOKUP($K27,$R$63:$T$91,3,FALSE)))+IF(AND($K27&lt;&gt;"",$K27&lt;&gt;"O3/CP",$K$15=F$18,MID($K27,4,1)="2",$K$15&lt;&gt;$K$14),VLOOKUP(CONCATENATE(LEFT($K27,2),"L"),$R$63:$T$91,3,FALSE),0)+IF(AND($K27="O3/CP",$K$14=F$18),VLOOKUP("O3",$R$63:$T$91,3,FALSE)+VLOOKUP("CP",$R$63:$T$91,3,FALSE),0)+IF(AND($L27&lt;&gt;"",$L27&lt;&gt;"--",$L27&lt;&gt;"O3/CP",$L$14=F$18),IF(LEFT($L27,1)="P",VLOOKUP(CONCATENATE(LEFT($L27,2),"H"),$R$63:$T$91,3,FALSE),VLOOKUP($L27,$R$63:$T$91,3,FALSE)))+IF(AND($L27&lt;&gt;"",$L27&lt;&gt;"O3/CP",$L$15=F$18,MID($L27,4,1)="2",$L$15&lt;&gt;$L$14),VLOOKUP(CONCATENATE(LEFT($L27,2),"L"),$R$63:$T$91,3,FALSE),0)+IF(AND($L27="O3/CP",$L$14=F$18),VLOOKUP("O3",$R$63:$T$91,3,FALSE)+VLOOKUP("CP",$R$63:$T$91,3,FALSE),0)+IF(AND($M27&lt;&gt;"",$M27&lt;&gt;"--",$M27&lt;&gt;"O3/CP",$M$14=F$18),IF(LEFT($M27,1)="P",VLOOKUP(CONCATENATE(LEFT($M27,2),"H"),$R$63:$T$91,3,FALSE),VLOOKUP($M27,$R$63:$T$91,3,FALSE)))+IF(AND($M27&lt;&gt;"",$M27&lt;&gt;"O3/CP",$M$15=F$18,MID($M27,4,1)="2",$M$15&lt;&gt;$M$14),VLOOKUP(CONCATENATE(LEFT($M27,2),"L"),$R$63:$T$91,3,FALSE),0)+IF(AND($M27="O3/CP",$M$14=F$18),VLOOKUP("O3",$R$63:$T$91,3,FALSE)+VLOOKUP("CP",$R$63:$T$91,3,FALSE),0)+IF(AND($N27&lt;&gt;"",$N27&lt;&gt;"--",$N27&lt;&gt;"O3/CP",$N$14=F$18),IF(LEFT($N27,1)="P",VLOOKUP(CONCATENATE(LEFT($N27,2),"H"),$R$63:$T$91,3,FALSE),VLOOKUP($N27,$R$63:$T$91,3,FALSE)))+IF(AND($N27&lt;&gt;"",$N27&lt;&gt;"O3/CP",$N$15=F$18,MID($N27,4,1)="2",$N$15&lt;&gt;$N$14),VLOOKUP(CONCATENATE(LEFT($N27,2),"L"),$R$63:$T$91,3,FALSE),0)+IF(AND($N27="O3/CP",$N$14=F$18),VLOOKUP("O3",$R$63:$T$91,3,FALSE)+VLOOKUP("CP",$R$63:$T$91,3,FALSE),0)+IF(AND($O27&lt;&gt;"",$O27&lt;&gt;"--",$O27&lt;&gt;"O3/CP",$O$14=F$18),IF(LEFT($O27,1)="P",VLOOKUP(CONCATENATE(LEFT($O27,2),"H"),$R$63:$T$91,3,FALSE),VLOOKUP($O27,$R$63:$T$91,3,FALSE)))+IF(AND($O27&lt;&gt;"",$O27&lt;&gt;"O3/CP",$O$15=F$18,MID($O27,4,1)="2",$O$15&lt;&gt;$O$14),VLOOKUP(CONCATENATE(LEFT($O27,2),"L"),$R$63:$T$91,3,FALSE),0)+IF(AND($O27="O3/CP",$O$14=F$18),VLOOKUP("O3",$R$63:$T$91,3,FALSE)+VLOOKUP("CP",$R$63:$T$91,3,FALSE),0)+IF(AND($P27&lt;&gt;"",$P27&lt;&gt;"--",$P27&lt;&gt;"O3/CP",$P$14=F$18),IF(LEFT($P27,1)="P",VLOOKUP(CONCATENATE(LEFT($P27,2),"H"),$R$63:$T$91,3,FALSE),VLOOKUP($P27,$R$63:$T$91,3,FALSE)))+IF(AND($P27&lt;&gt;"",$P27&lt;&gt;"O3/CP",$P$15=F$18,MID($P27,4,1)="2",$P$15&lt;&gt;$P$14),VLOOKUP(CONCATENATE(LEFT($P27,2),"L"),$R$63:$T$91,3,FALSE),0)+IF(AND($P27="O3/CP",$P$14=F$18),VLOOKUP("O3",$R$63:$T$91,3,FALSE)+VLOOKUP("CP",$R$63:$T$91,3,FALSE),0)+IF(AND($Q27&lt;&gt;"",$Q27&lt;&gt;"--",$Q27&lt;&gt;"O3/CP",$Q$14=F$18),IF(LEFT($Q27,1)="P",VLOOKUP(CONCATENATE(LEFT($Q27,2),"H"),$R$63:$T$91,3,FALSE),VLOOKUP($Q27,$R$63:$T$91,3,FALSE)))+IF(AND($Q27&lt;&gt;"",$Q27&lt;&gt;"O3/CP",$Q$15=F$18,MID($Q27,4,1)="2",$Q$15&lt;&gt;$Q$14),VLOOKUP(CONCATENATE(LEFT($Q27,2),"L"),$R$63:$T$91,3,FALSE),0)+IF(AND($Q27="O3/CP",$Q$14=F$18),VLOOKUP("O3",$R$63:$T$91,3,FALSE)+VLOOKUP("CP",$R$63:$T$91,3,FALSE),0)+IF(AND($R27&lt;&gt;"",$R27&lt;&gt;"--",$R27&lt;&gt;"O3/CP",$R$14=F$18),IF(LEFT($R27,1)="P",VLOOKUP(CONCATENATE(LEFT($R27,2),"H"),$R$63:$T$91,3,FALSE),VLOOKUP($R27,$R$63:$T$91,3,FALSE)))+IF(AND($R27&lt;&gt;"",$R27&lt;&gt;"O3/CP",$R$15=F$18,MID($R27,4,1)="2",$R$15&lt;&gt;$R$14),VLOOKUP(CONCATENATE(LEFT($R27,2),"L"),$R$63:$T$91,3,FALSE),0)+IF(AND($R27="O3/CP",$R$14=F$18),VLOOKUP("O3",$R$63:$T$91,3,FALSE)+VLOOKUP("CP",$R$63:$T$91,3,FALSE),0)+IF(AND($S27&lt;&gt;"",$S27&lt;&gt;"--",$S27&lt;&gt;"O3/CP",$S$14=F$18),IF(LEFT($S27,1)="P",VLOOKUP(CONCATENATE(LEFT($S27,2),"H"),$R$63:$T$91,3,FALSE),VLOOKUP($S27,$R$63:$T$91,3,FALSE)))+IF(AND($S27&lt;&gt;"",$S27&lt;&gt;"O3/CP",$S$15=F$18,MID($S27,4,1)="2",$S$15&lt;&gt;$S$14),VLOOKUP(CONCATENATE(LEFT($S27,2),"L"),$R$63:$T$91,3,FALSE),0)+IF(AND($S27="O3/CP",$S$14=F$18),VLOOKUP("O3",$R$63:$T$91,3,FALSE)+VLOOKUP("CP",$R$63:$T$91,3,FALSE),0)+IF(AND($T27&lt;&gt;"",$T27&lt;&gt;"--",$T27&lt;&gt;"O3/CP",$T$14=F$18),IF(LEFT($T27,1)="P",VLOOKUP(CONCATENATE(LEFT($T27,2),"H"),$R$63:$T$91,3,FALSE),VLOOKUP($T27,$R$63:$T$91,3,FALSE)))+IF(AND($T27&lt;&gt;"",$T27&lt;&gt;"O3/CP",$T$15=F$18,MID($T27,4,1)="2",$T$15&lt;&gt;$T$14),VLOOKUP(CONCATENATE(LEFT($T27,2),"L"),$R$63:$T$91,3,FALSE),0)+IF(AND($T27="O3/CP",$T$14=F$18),VLOOKUP("O3",$R$63:$T$91,3,FALSE)+VLOOKUP("CP",$R$63:$T$91,3,FALSE),0)+IF(AND($U27&lt;&gt;"",$U27&lt;&gt;"--",$U27&lt;&gt;"O3/CP",$U$14=F$18),IF(LEFT($U27,1)="P",VLOOKUP(CONCATENATE(LEFT($U27,2),"H"),$R$63:$T$91,3,FALSE),VLOOKUP($U27,$R$63:$T$91,3,FALSE)))+IF(AND($U27&lt;&gt;"",$U27&lt;&gt;"O3/CP",$U$15=F$18,MID($U27,4,1)="2",$U$15&lt;&gt;$U$14),VLOOKUP(CONCATENATE(LEFT($U27,2),"L"),$R$63:$T$91,3,FALSE),0)+IF(AND($U27="O3/CP",$T$14=F$18),VLOOKUP("O3",$R$63:$T$91,3,FALSE)+VLOOKUP("CP",$R$63:$T$91,3,FALSE),0)+IF(AND($V27&lt;&gt;"",$V27&lt;&gt;"--",$V27&lt;&gt;"O3/CP",$V$14=F$18),IF(LEFT($V27,1)="P",VLOOKUP(CONCATENATE(LEFT($V27,2),"H"),$R$63:$T$91,3,FALSE),VLOOKUP($V27,$R$63:$T$91,3,FALSE)))+IF(AND($V27&lt;&gt;"",$V27&lt;&gt;"O3/CP",$V$15=F$18,MID($V27,4,1)="2",$V$15&lt;&gt;$V$14),VLOOKUP(CONCATENATE(LEFT($V27,2),"L"),$R$63:$T$91,3,FALSE),0)+IF(AND($V27="O3/CP",$V$14=F$18),VLOOKUP("O3",$R$63:$T$91,3,FALSE)+VLOOKUP("CP",$R$63:$T$91,3,FALSE),0)+IF(AND($W27&lt;&gt;"",$W27&lt;&gt;"--",$W27&lt;&gt;"O3/CP",$W$14=F$18),IF(LEFT($W27,1)="P",VLOOKUP(CONCATENATE(LEFT($W27,2),"H"),$R$63:$T$91,3,FALSE),VLOOKUP($W27,$R$63:$T$91,3,FALSE)))+IF(AND($W27&lt;&gt;"",$W27&lt;&gt;"O3/CP",$W$15=F$18,MID($W27,4,1)="2",$W$15&lt;&gt;$W$14),VLOOKUP(CONCATENATE(LEFT($W27,2),"L"),$R$63:$T$91,3,FALSE),0)+IF(AND($W27="O3/CP",$W$14=F$18),VLOOKUP("O3",$R$63:$T$91,3,FALSE)+VLOOKUP("CP",$R$63:$T$91,3,FALSE),0)+IF(AND($X27&lt;&gt;"",$X27&lt;&gt;"--",$X27&lt;&gt;"O3/CP",$X$14=F$18),IF(LEFT($X27,1)="P",VLOOKUP(CONCATENATE(LEFT($X27,2),"H"),$R$63:$T$91,3,FALSE),VLOOKUP($X27,$R$63:$T$91,3,FALSE)))+IF(AND($X27&lt;&gt;"",$X27&lt;&gt;"O3/CP",$X$15=F$18,MID($X27,4,1)="2",$X$15&lt;&gt;$X$14),VLOOKUP(CONCATENATE(LEFT($X27,2),"L"),$R$63:$T$91,3,FALSE),0)+IF(AND($X27="O3/CP",$X$14=F$18),VLOOKUP("O3",$R$63:$T$91,3,FALSE)+VLOOKUP("CP",$R$63:$T$91,3,FALSE),0)+IF(AND($Y27&lt;&gt;"",$Y27&lt;&gt;"--",$Y27&lt;&gt;"O3/CP",$Y$14=F$18),IF(LEFT($Y27,1)="P",VLOOKUP(CONCATENATE(LEFT($Y27,2),"H"),$R$63:$T$91,3,FALSE),VLOOKUP($Y27,$R$63:$T$91,3,FALSE)))+IF(AND($Y27&lt;&gt;"",$Y27&lt;&gt;"O3/CP",$Y$15=F$18,MID($Y27,4,1)="2",$Y$15&lt;&gt;$Y$14),VLOOKUP(CONCATENATE(LEFT($Y27,2),"L"),$R$63:$T$91,3,FALSE),0)+IF(AND($Y27="O3/CP",$Y$14=F$18),VLOOKUP("O3",$R$63:$T$91,3,FALSE)+VLOOKUP("CP",$R$63:$T$91,3,FALSE),0)+IF(AND($K$6="CE",'[3]Supply Attribution'!$G$20=F$18),LEFT($S$90,2),0)+IF(AND($X$86&lt;&gt;"Not Set",$X$87=F$18),$X$86,0)</f>
        <v>0</v>
      </c>
      <c r="G27" s="271">
        <f>IF(AND($K$6="CE",$T$59="1 Phase"),SUM(A27:F27)-IF(AND($K$14&lt;&gt;$K$15,RIGHT($K27,3)="2SP"),VLOOKUP(CONCATENATE(LEFT($K27,2),"L"),$R$63:$T$90,3,FALSE),0)-IF(AND($L$14&lt;&gt;$L$15,RIGHT($L27,3)="2SP"),VLOOKUP(CONCATENATE(LEFT($L27,2),"L"),$R$63:$T$90,3,FALSE),0)-IF(AND($M$14&lt;&gt;$M$15,RIGHT($M27,3)="2SP"),VLOOKUP(CONCATENATE(LEFT($M27,2),"L"),$R$63:$T$90,3,FALSE),0)-IF(AND($N$14&lt;&gt;$N$15,RIGHT($N27,3)="2SP"),VLOOKUP(CONCATENATE(LEFT($N27,2),"L"),$R$63:$T$90,3,FALSE),0)-IF(AND($O$14&lt;&gt;$O$15,RIGHT($O27,3)="2SP"),VLOOKUP(CONCATENATE(LEFT($O27,2),"L"),$R$63:$T$90,3,FALSE),0)-IF(AND($P$14&lt;&gt;$P$15,RIGHT($P27,3)="2SP"),VLOOKUP(CONCATENATE(LEFT($P27,2),"L"),$R$63:$T$90,3,FALSE),0)-IF(AND($Q$14&lt;&gt;$Q$15,RIGHT($Q27,3)="2SP"),VLOOKUP(CONCATENATE(LEFT($Q27,2),"L"),$R$63:$T$90,3,FALSE),0)-IF(AND($R$14&lt;&gt;$R$15,RIGHT($T27,3)="2SP"),VLOOKUP(CONCATENATE(LEFT($R27,2),"L"),$R$63:$T$90,3,FALSE),0)-IF(AND($S$14&lt;&gt;$S$15,RIGHT($T27,3)="2SP"),VLOOKUP(CONCATENATE(LEFT($S27,2),"L"),$R$63:$T$90,3,FALSE),0)-IF(AND($T$14&lt;&gt;$T$15,RIGHT($T27,3)="2SP"),VLOOKUP(CONCATENATE(LEFT($T27,2),"L"),$R$63:$T$90,3,FALSE),0)-IF(AND($U$14&lt;&gt;$U$15,RIGHT($U27,3)="2SP"),VLOOKUP(CONCATENATE(LEFT($U27,2),"L"),$R$63:$T$90,3,FALSE),0)-IF(AND($V$14&lt;&gt;$V$15,RIGHT($V27,3)="2SP"),VLOOKUP(CONCATENATE(LEFT($V27,2),"L"),$R$63:$T$90,3,FALSE),0)-IF(AND($W$14&lt;&gt;$W$15,RIGHT($W27,3)="2SP"),VLOOKUP(CONCATENATE(LEFT($W27,2),"L"),$R$63:$T$90,3,FALSE),0)-IF(AND($X$14&lt;&gt;$X$15,RIGHT($X27,3)="2SP"),VLOOKUP(CONCATENATE(LEFT($X27,2),"L"),$R$63:$T$90,3,FALSE),0)-IF(AND($Y$14&lt;&gt;$Y$15,RIGHT($Y27,3)="2SP"),VLOOKUP(CONCATENATE(LEFT($Y27,2),"L"),$R$63:$T$90,3,FALSE),0),IF(VLOOKUP(CONCATENATE($A$18,"Line"),'[3]Supply Attribution'!$F$31:$G$37,2,FALSE)=G$18,$A27,0)+IF(VLOOKUP(CONCATENATE($B$18,"Line"),'[3]Supply Attribution'!$F$31:$G$37,2,FALSE)=G$18,$B27,0)+IF(VLOOKUP(CONCATENATE($C$18,"Line"),'[3]Supply Attribution'!$F$31:$G$37,2,FALSE)=G$18,$C27,0)+IF(VLOOKUP(CONCATENATE($D$18,"Line"),'[3]Supply Attribution'!$F$31:$G$37,2,FALSE)=G$18,$D27,0)+IF(VLOOKUP(CONCATENATE($E$18,"Line"),'[3]Supply Attribution'!$F$31:$G$37,2,FALSE)=G$18,$E27,0)+IF(VLOOKUP(CONCATENATE($F$18,"Line"),'[3]Supply Attribution'!$F$31:$G$37,2,FALSE)=G$18,$F27,0)+IF($K$6="UL",LEFT($S$90,2),0)-IF(AND($K$16=G$18,$K$14&lt;&gt;$K$15,$K$16=$K$17,RIGHT($K27,3)="2SP"),VLOOKUP(CONCATENATE(LEFT($K27,2),"L"),$R$63:$T$90,3,FALSE),0)-IF(AND($L$16=G$18,$L$14&lt;&gt;$L$15,$L$16=$L$17,RIGHT($L27,3)="2SP"),VLOOKUP(CONCATENATE(LEFT($L27,2),"L"),$R$63:$T$90,3,FALSE),0)-IF(AND($M$16=G$18,$M$14&lt;&gt;$M$15,$M$16=$M$17,RIGHT($M27,3)="2SP"),VLOOKUP(CONCATENATE(LEFT($M27,2),"L"),$R$63:$T$90,3,FALSE),0)-IF(AND($N$16=G$18,$N$14&lt;&gt;$N$15,$N$16=$N$17,RIGHT($N27,3)="2SP"),VLOOKUP(CONCATENATE(LEFT($N27,2),"L"),$R$63:$T$90,3,FALSE),0)-IF(AND($O$16=G$18,$O$14&lt;&gt;$O$15,$O$16=$O$17,RIGHT($O27,3)="2SP"),VLOOKUP(CONCATENATE(LEFT($O27,2),"L"),$R$63:$T$90,3,FALSE),0)-IF(AND($P$16=G$18,$P$14&lt;&gt;$P$15,$P$16=$P$17,RIGHT($P27,3)="2SP"),VLOOKUP(CONCATENATE(LEFT($P27,2),"L"),$R$63:$T$90,3,FALSE),0)-IF(AND($Q$16=G$18,$Q$14&lt;&gt;$Q$15,$Q$16=$Q$17,RIGHT($Q27,3)="2SP"),VLOOKUP(CONCATENATE(LEFT($Q27,2),"L"),$R$63:$T$90,3,FALSE),0)-IF(AND($R$16=G$18,$R$14&lt;&gt;$R$15,$R$16=$R$17,RIGHT($R27,3)="2SP"),VLOOKUP(CONCATENATE(LEFT($R27,2),"L"),$R$63:$T$90,3,FALSE),0)-IF(AND($S$16=G$18,$S$14&lt;&gt;$S$15,$S$16=$S$17,RIGHT($S27,3)="2SP"),VLOOKUP(CONCATENATE(LEFT($S27,2),"L"),$R$63:$T$90,3,FALSE),0)-IF(AND($T$16=G$18,$T$14&lt;&gt;$T$15,$T$16=$T$17,RIGHT($T27,3)="2SP"),VLOOKUP(CONCATENATE(LEFT($T27,2),"L"),$R$63:$T$90,3,FALSE),0)-IF(AND($U$16=G$18,$U$14&lt;&gt;$U$15,$U$16=$U$17,RIGHT($U27,3)="2SP"),VLOOKUP(CONCATENATE(LEFT($U27,2),"L"),$R$63:$T$90,3,FALSE),0)-IF(AND($V$16=G$18,$V$14&lt;&gt;$V$15,$V$16=$V$17,RIGHT($V27,3)="2SP"),VLOOKUP(CONCATENATE(LEFT($V27,2),"L"),$R$63:$T$90,3,FALSE),0)-IF(AND($W$16=G$18,$W$14&lt;&gt;$W$15,$W$16=$W$17,RIGHT($W27,3)="2SP"),VLOOKUP(CONCATENATE(LEFT($W27,2),"L"),$R$63:$T$90,3,FALSE),0)-IF(AND($X$16=G$18,$X$14&lt;&gt;$X$15,$X$16=$X$17,RIGHT($X27,3)="2SP"),VLOOKUP(CONCATENATE(LEFT($X27,2),"L"),$R$63:$T$90,3,FALSE),0)-IF(AND($Y$16=G$18,$Y$14&lt;&gt;$Y$15,$Y$16=$Y$17,RIGHT($Y27,3)="2SP"),VLOOKUP(CONCATENATE(LEFT($Y27,2),"L"),$R$63:$T$90,3,FALSE),0))</f>
        <v>44</v>
      </c>
      <c r="H27" s="271" t="str">
        <f>IF(H$18&lt;&gt;"",IF(VLOOKUP(CONCATENATE($A$18,"Line"),'Supply Attribution'!$F$31:$G$37,2,FALSE)=H$18,$A27,0)+IF(VLOOKUP(CONCATENATE($B$18,"Line"),'Supply Attribution'!$F$31:$G$37,2,FALSE)=H$18,$B27,0)+IF(VLOOKUP(CONCATENATE($C$18,"Line"),'Supply Attribution'!$F$31:$G$37,2,FALSE)=H$18,$C27,0)+IF(VLOOKUP(CONCATENATE($D$18,"Line"),'Supply Attribution'!$F$31:$G$37,2,FALSE)=H$18,$D27,0)+IF(VLOOKUP(CONCATENATE($E$18,"Line"),'Supply Attribution'!$F$31:$G$37,2,FALSE)=H$18,$E27,0)+IF(VLOOKUP(CONCATENATE($F$18,"Line"),'Supply Attribution'!$F$31:$G$37,2,FALSE)=H$18,$F27,0)+IF($K$6="UL",LEFT($S$90,2),0)-IF(AND($K$16=H$18,$K$14&lt;&gt;$K$15,$K$16=$K$17,RIGHT($K27,3)="2SP"),VLOOKUP(CONCATENATE(LEFT($K27,2),"L"),$R$63:$T$90,3,FALSE),0)-IF(AND($L$16=H$18,$L$14&lt;&gt;$L$15,$L$16=$L$17,RIGHT($L27,3)="2SP"),VLOOKUP(CONCATENATE(LEFT($L27,2),"L"),$R$63:$T$90,3,FALSE),0)-IF(AND($M$16=H$18,$M$14&lt;&gt;$M$15,$M$16=$M$17,RIGHT($M27,3)="2SP"),VLOOKUP(CONCATENATE(LEFT($M27,2),"L"),$R$63:$T$90,3,FALSE),0)-IF(AND($N$16=H$18,$N$14&lt;&gt;$N$15,$N$16=$N$17,RIGHT($N27,3)="2SP"),VLOOKUP(CONCATENATE(LEFT($N27,2),"L"),$R$63:$T$90,3,FALSE),0)-IF(AND($O$16=H$18,$O$14&lt;&gt;$O$15,$O$16=$O$17,RIGHT($O27,3)="2SP"),VLOOKUP(CONCATENATE(LEFT($O27,2),"L"),$R$63:$T$90,3,FALSE),0)-IF(AND($P$16=H$18,$P$14&lt;&gt;$P$15,$P$16=$P$17,RIGHT($P27,3)="2SP"),VLOOKUP(CONCATENATE(LEFT($P27,2),"L"),$R$63:$T$90,3,FALSE),0)-IF(AND($Q$16=H$18,$Q$14&lt;&gt;$Q$15,$Q$16=$Q$17,RIGHT($Q27,3)="2SP"),VLOOKUP(CONCATENATE(LEFT($Q27,2),"L"),$R$63:$T$90,3,FALSE),0)-IF(AND($T$16=H$18,$T$14&lt;&gt;$T$15,$T$16=$T$17,RIGHT($T27,3)="2SP"),VLOOKUP(CONCATENATE(LEFT($T27,2),"L"),$R$63:$T$90,3,FALSE),0)-IF(AND($U$16=H$18,$U$14&lt;&gt;$U$15,$U$16=$U$17,RIGHT($U27,3)="2SP"),VLOOKUP(CONCATENATE(LEFT($U27,2),"L"),$R$63:$T$90,3,FALSE),0)-IF(AND($V$16=H$18,$V$14&lt;&gt;$V$15,$V$16=$V$17,RIGHT($V27,3)="2SP"),VLOOKUP(CONCATENATE(LEFT($V27,2),"L"),$R$63:$T$90,3,FALSE),0)-IF(AND($W$16=H$18,$W$14&lt;&gt;$W$15,$W$16=$W$17,RIGHT($W27,3)="2SP"),VLOOKUP(CONCATENATE(LEFT($W27,2),"L"),$R$63:$T$90,3,FALSE),0)-IF(AND($X$16=H$18,$X$14&lt;&gt;$X$15,$X$16=$X$17,RIGHT($X27,3)="2SP"),VLOOKUP(CONCATENATE(LEFT($X27,2),"L"),$R$63:$T$90,3,FALSE),0)-IF(AND($Y$16=H$18,$Y$14&lt;&gt;$Y$15,$Y$16=$Y$17,RIGHT($Y27,3)="2SP"),VLOOKUP(CONCATENATE(LEFT($Y27,2),"L"),$R$63:$T$90,3,FALSE),0)+IF(AND($K$6="CE",$T$59="2 Phases",H$18&lt;&gt;""),IF(VLOOKUP(CONCATENATE($A$18,"Line"),'Supply Attribution'!$F$31:$G$37,2,FALSE)="Line3",$A27,0)+IF(VLOOKUP(CONCATENATE($B$18,"Line"),'Supply Attribution'!$F$31:$G$37,2,FALSE)="Line3",$B27,0)+IF(VLOOKUP(CONCATENATE($C$18,"Line"),'Supply Attribution'!$F$31:$G$37,2,FALSE)="Line3",$C27,0)+IF(VLOOKUP(CONCATENATE($D$18,"Line"),'Supply Attribution'!$F$31:$G$37,2,FALSE)="Line3",$D27,0)+IF(VLOOKUP(CONCATENATE($E$18,"Line"),'Supply Attribution'!$F$31:$G$37,2,FALSE)="Line3",$E27,0)+IF(VLOOKUP(CONCATENATE($F$18,"Line"),'Supply Attribution'!$F$31:$G$37,2,FALSE)="Line3",$F27,0)-IF(AND($K$16=I$18,$K$14&lt;&gt;$K$15,$K$16=$K$17,RIGHT($K27,3)="2SP"),VLOOKUP(CONCATENATE(LEFT($K27,2),"L"),$R$63:$T$90,3,FALSE),0)-IF(AND($L$16=I$18,$L$14&lt;&gt;$L$15,$L$16=$L$17,RIGHT($L27,3)="2SP"),VLOOKUP(CONCATENATE(LEFT($L27,2),"L"),$R$63:$T$90,3,FALSE),0)-IF(AND($M$16=I$18,$M$14&lt;&gt;$M$15,$M$16=$M$17,RIGHT($M27,3)="2SP"),VLOOKUP(CONCATENATE(LEFT($M27,2),"L"),$R$63:$T$90,3,FALSE),0)-IF(AND($N$16=I$18,$N$14&lt;&gt;$N$15,$N$16=$N$17,RIGHT($N27,3)="2SP"),VLOOKUP(CONCATENATE(LEFT($N27,2),"L"),$R$63:$T$90,3,FALSE),0)-IF(AND($O$16=I$18,$O$14&lt;&gt;$O$15,$O$16=$O$17,RIGHT($O27,3)="2SP"),VLOOKUP(CONCATENATE(LEFT($O27,2),"L"),$R$63:$T$90,3,FALSE),0)-IF(AND($P$16=I$18,$P$14&lt;&gt;$P$15,$P$16=$P$17,RIGHT($P27,3)="2SP"),VLOOKUP(CONCATENATE(LEFT($P27,2),"L"),$R$63:$T$90,3,FALSE),0)-IF(AND($Q$16=I$18,$Q$14&lt;&gt;$Q$15,$Q$16=$Q$17,RIGHT($Q27,3)="2SP"),VLOOKUP(CONCATENATE(LEFT($Q27,2),"L"),$R$63:$T$90,3,FALSE),0)-IF(AND($T$16=I$18,$T$14&lt;&gt;$T$15,$T$16=$T$17,RIGHT($T27,3)="2SP"),VLOOKUP(CONCATENATE(LEFT($T27,2),"L"),$R$63:$T$90,3,FALSE),0)-IF(AND($U$16=I$18,$U$14&lt;&gt;$U$15,$U$16=$U$17,RIGHT($U27,3)="2SP"),VLOOKUP(CONCATENATE(LEFT($U27,2),"L"),$R$63:$T$90,3,FALSE),0)-IF(AND($V$16=I$18,$V$14&lt;&gt;$V$15,$V$16=$V$17,RIGHT($V27,3)="2SP"),VLOOKUP(CONCATENATE(LEFT($V27,2),"L"),$R$63:$T$90,3,FALSE),0)-IF(AND($W$16=I$18,$W$14&lt;&gt;$W$15,$W$16=$W$17,RIGHT($W27,3)="2SP"),VLOOKUP(CONCATENATE(LEFT($W27,2),"L"),$R$63:$T$90,3,FALSE),0)-IF(AND($X$16=I$18,$X$14&lt;&gt;$X$15,$X$16=$X$17,RIGHT($X27,3)="2SP"),VLOOKUP(CONCATENATE(LEFT($X27,2),"L"),$R$63:$T$90,3,FALSE),0)-IF(AND($Y$16=I$18,$Y$14&lt;&gt;$Y$15,$Y$16=$Y$17,RIGHT($Y27,3)="2SP"),VLOOKUP(CONCATENATE(LEFT($Y27,2),"L"),$R$63:$T$90,3,FALSE),0),0),"")</f>
        <v/>
      </c>
      <c r="I27" s="271" t="str">
        <f>IF(I$18&lt;&gt;"",IF(VLOOKUP(CONCATENATE($A$18,"Line"),'Supply Attribution'!$F$31:$G$37,2,FALSE)=I$18,$A27,0)+IF(VLOOKUP(CONCATENATE($B$18,"Line"),'Supply Attribution'!$F$31:$G$37,2,FALSE)=I$18,$B27,0)+IF(VLOOKUP(CONCATENATE($C$18,"Line"),'Supply Attribution'!$F$31:$G$37,2,FALSE)=I$18,$C27,0)+IF(VLOOKUP(CONCATENATE($D$18,"Line"),'Supply Attribution'!$F$31:$G$37,2,FALSE)=I$18,$D27,0)+IF(VLOOKUP(CONCATENATE($E$18,"Line"),'Supply Attribution'!$F$31:$G$37,2,FALSE)=I$18,$E27,0)+IF(VLOOKUP(CONCATENATE($F$18,"Line"),'Supply Attribution'!$F$31:$G$37,2,FALSE)=I$18,$F27,0)+IF($K$6="UL",LEFT($S$90,2),0)-IF(AND($K$16=I$18,$K$14&lt;&gt;$K$15,$K$16=$K$17,RIGHT($K27,3)="2SP"),VLOOKUP(CONCATENATE(LEFT($K27,2),"L"),$R$63:$T$90,3,FALSE),0)-IF(AND($L$16=I$18,$L$14&lt;&gt;$L$15,$L$16=$L$17,RIGHT($L27,3)="2SP"),VLOOKUP(CONCATENATE(LEFT($L27,2),"L"),$R$63:$T$90,3,FALSE),0)-IF(AND($M$16=I$18,$M$14&lt;&gt;$M$15,$M$16=$M$17,RIGHT($M27,3)="2SP"),VLOOKUP(CONCATENATE(LEFT($M27,2),"L"),$R$63:$T$90,3,FALSE),0)-IF(AND($N$16=I$18,$N$14&lt;&gt;$N$15,$N$16=$N$17,RIGHT($N27,3)="2SP"),VLOOKUP(CONCATENATE(LEFT($N27,2),"L"),$R$63:$T$90,3,FALSE),0)-IF(AND($O$16=I$18,$O$14&lt;&gt;$O$15,$O$16=$O$17,RIGHT($O27,3)="2SP"),VLOOKUP(CONCATENATE(LEFT($O27,2),"L"),$R$63:$T$90,3,FALSE),0)-IF(AND($P$16=I$18,$P$14&lt;&gt;$P$15,$P$16=$P$17,RIGHT($P27,3)="2SP"),VLOOKUP(CONCATENATE(LEFT($P27,2),"L"),$R$63:$T$90,3,FALSE),0)-IF(AND($Q$16=I$18,$Q$14&lt;&gt;$Q$15,$Q$16=$Q$17,RIGHT($Q27,3)="2SP"),VLOOKUP(CONCATENATE(LEFT($Q27,2),"L"),$R$63:$T$90,3,FALSE),0)-IF(AND($T$16=I$18,$T$14&lt;&gt;$T$15,$T$16=$T$17,RIGHT($T27,3)="2SP"),VLOOKUP(CONCATENATE(LEFT($T27,2),"L"),$R$63:$T$90,3,FALSE),0)-IF(AND($U$16=I$18,$U$14&lt;&gt;$U$15,$U$16=$U$17,RIGHT($U27,3)="2SP"),VLOOKUP(CONCATENATE(LEFT($U27,2),"L"),$R$63:$T$90,3,FALSE),0)-IF(AND($V$16=I$18,$V$14&lt;&gt;$V$15,$V$16=$V$17,RIGHT($V27,3)="2SP"),VLOOKUP(CONCATENATE(LEFT($V27,2),"L"),$R$63:$T$90,3,FALSE),0)-IF(AND($W$16=I$18,$W$14&lt;&gt;$W$15,$W$16=$W$17,RIGHT($W27,3)="2SP"),VLOOKUP(CONCATENATE(LEFT($W27,2),"L"),$R$63:$T$90,3,FALSE),0)-IF(AND($X$16=I$18,$X$14&lt;&gt;$X$15,$X$16=$X$17,RIGHT($X27,3)="2SP"),VLOOKUP(CONCATENATE(LEFT($X27,2),"L"),$R$63:$T$90,3,FALSE),0)-IF(AND($Y$16=I$18,$Y$14&lt;&gt;$Y$15,$Y$16=$Y$17,RIGHT($Y27,3)="2SP"),VLOOKUP(CONCATENATE(LEFT($Y27,2),"L"),$R$63:$T$90,3,FALSE),0),"")</f>
        <v/>
      </c>
      <c r="J27" s="129">
        <v>43</v>
      </c>
      <c r="K27" s="130" t="s">
        <v>389</v>
      </c>
      <c r="L27" s="130" t="s">
        <v>390</v>
      </c>
      <c r="M27" s="130" t="s">
        <v>391</v>
      </c>
      <c r="N27" s="130" t="s">
        <v>24</v>
      </c>
      <c r="O27" s="130" t="s">
        <v>286</v>
      </c>
      <c r="P27" s="130"/>
      <c r="Q27" s="130"/>
      <c r="R27" s="130"/>
      <c r="S27" s="130"/>
      <c r="T27" s="130"/>
      <c r="U27" s="130"/>
      <c r="V27" s="130"/>
      <c r="W27" s="130"/>
      <c r="X27" s="130"/>
      <c r="Y27" s="130"/>
      <c r="Z27" s="131"/>
      <c r="AA27" s="131"/>
      <c r="AB27" s="132"/>
      <c r="AC27" s="132"/>
      <c r="AD27" s="132"/>
      <c r="AE27" s="133">
        <f t="shared" si="0"/>
        <v>43</v>
      </c>
      <c r="AF27" s="78"/>
    </row>
    <row r="28" spans="1:32" ht="13.15" customHeight="1">
      <c r="A28" s="270">
        <f>IF(AND($K28&lt;&gt;"",$K28&lt;&gt;"--",$K28&lt;&gt;"O3/CP",$K$14=A$18),IF(LEFT($K28,1)="P",VLOOKUP(CONCATENATE(LEFT($K28,2),"H"),$R$63:$T$91,3,FALSE),VLOOKUP($K28,$R$63:$T$91,3,FALSE)))+IF(AND($K28&lt;&gt;"",$K28&lt;&gt;"O3/CP",$K$15=A$18,MID($K28,4,1)="2",$K$15&lt;&gt;$K$14),VLOOKUP(CONCATENATE(LEFT($K28,2),"L"),$R$63:$T$91,3,FALSE),0)+IF(AND($K28="O3/CP",$K$14=A$18),VLOOKUP("O3",$R$63:$T$91,3,FALSE)+VLOOKUP("CP",$R$63:$T$91,3,FALSE),0)+IF(AND($L28&lt;&gt;"",$L28&lt;&gt;"--",$L28&lt;&gt;"O3/CP",$L$14=A$18),IF(LEFT($L28,1)="P",VLOOKUP(CONCATENATE(LEFT($L28,2),"H"),$R$63:$T$91,3,FALSE),VLOOKUP($L28,$R$63:$T$91,3,FALSE)))+IF(AND($L28&lt;&gt;"",$L28&lt;&gt;"O3/CP",$L$15=A$18,MID($L28,4,1)="2",$L$15&lt;&gt;$L$14),VLOOKUP(CONCATENATE(LEFT($L28,2),"L"),$R$63:$T$91,3,FALSE),0)+IF(AND($L28="O3/CP",$L$14=A$18),VLOOKUP("O3",$R$63:$T$91,3,FALSE)+VLOOKUP("CP",$R$63:$T$91,3,FALSE),0)+IF(AND($M28&lt;&gt;"",$M28&lt;&gt;"--",$M28&lt;&gt;"O3/CP",$M$14=A$18),IF(LEFT($M28,1)="P",VLOOKUP(CONCATENATE(LEFT($M28,2),"H"),$R$63:$T$91,3,FALSE),VLOOKUP($M28,$R$63:$T$91,3,FALSE)))+IF(AND($M28&lt;&gt;"",$M28&lt;&gt;"O3/CP",$M$15=A$18,MID($M28,4,1)="2",$M$15&lt;&gt;$M$14),VLOOKUP(CONCATENATE(LEFT($M28,2),"L"),$R$63:$T$91,3,FALSE),0)+IF(AND($M28="O3/CP",$M$14=A$18),VLOOKUP("O3",$R$63:$T$91,3,FALSE)+VLOOKUP("CP",$R$63:$T$91,3,FALSE),0)+IF(AND($N28&lt;&gt;"",$N28&lt;&gt;"--",$N28&lt;&gt;"O3/CP",$N$14=A$18),IF(LEFT($N28,1)="P",VLOOKUP(CONCATENATE(LEFT($N28,2),"H"),$R$63:$T$91,3,FALSE),VLOOKUP($N28,$R$63:$T$91,3,FALSE)))+IF(AND($N28&lt;&gt;"",$N28&lt;&gt;"O3/CP",$N$15=A$18,MID($N28,4,1)="2",$N$15&lt;&gt;$N$14),VLOOKUP(CONCATENATE(LEFT($N28,2),"L"),$R$63:$T$91,3,FALSE),0)+IF(AND($N28="O3/CP",$N$14=A$18),VLOOKUP("O3",$R$63:$T$91,3,FALSE)+VLOOKUP("CP",$R$63:$T$91,3,FALSE),0)+IF(AND($O28&lt;&gt;"",$O28&lt;&gt;"--",$O28&lt;&gt;"O3/CP",$O$14=A$18),IF(LEFT($O28,1)="P",VLOOKUP(CONCATENATE(LEFT($O28,2),"H"),$R$63:$T$91,3,FALSE),VLOOKUP($O28,$R$63:$T$91,3,FALSE)))+IF(AND($O28&lt;&gt;"",$O28&lt;&gt;"O3/CP",$O$15=A$18,MID($O28,4,1)="2",$O$15&lt;&gt;$O$14),VLOOKUP(CONCATENATE(LEFT($O28,2),"L"),$R$63:$T$91,3,FALSE),0)+IF(AND($O28="O3/CP",$O$14=A$18),VLOOKUP("O3",$R$63:$T$91,3,FALSE)+VLOOKUP("CP",$R$63:$T$91,3,FALSE),0)+IF(AND($P28&lt;&gt;"",$P28&lt;&gt;"--",$P28&lt;&gt;"O3/CP",$P$14=A$18),IF(LEFT($P28,1)="P",VLOOKUP(CONCATENATE(LEFT($P28,2),"H"),$R$63:$T$91,3,FALSE),VLOOKUP($P28,$R$63:$T$91,3,FALSE)))+IF(AND($P28&lt;&gt;"",$P28&lt;&gt;"O3/CP",$P$15=A$18,MID($P28,4,1)="2",$P$15&lt;&gt;$P$14),VLOOKUP(CONCATENATE(LEFT($P28,2),"L"),$R$63:$T$91,3,FALSE),0)+IF(AND($P28="O3/CP",$P$14=A$18),VLOOKUP("O3",$R$63:$T$91,3,FALSE)+VLOOKUP("CP",$R$63:$T$91,3,FALSE),0)+IF(AND($Q28&lt;&gt;"",$Q28&lt;&gt;"--",$Q28&lt;&gt;"O3/CP",$Q$14=A$18),IF(LEFT($Q28,1)="P",VLOOKUP(CONCATENATE(LEFT($Q28,2),"H"),$R$63:$T$91,3,FALSE),VLOOKUP($Q28,$R$63:$T$91,3,FALSE)))+IF(AND($Q28&lt;&gt;"",$Q28&lt;&gt;"O3/CP",$Q$15=A$18,MID($Q28,4,1)="2",$Q$15&lt;&gt;$Q$14),VLOOKUP(CONCATENATE(LEFT($Q28,2),"L"),$R$63:$T$91,3,FALSE),0)+IF(AND($Q28="O3/CP",$Q$14=A$18),VLOOKUP("O3",$R$63:$T$91,3,FALSE)+VLOOKUP("CP",$R$63:$T$91,3,FALSE),0)+IF(AND($R28&lt;&gt;"",$R28&lt;&gt;"--",$R28&lt;&gt;"O3/CP",$R$14=A$18),IF(LEFT($R28,1)="P",VLOOKUP(CONCATENATE(LEFT($R28,2),"H"),$R$63:$T$91,3,FALSE),VLOOKUP($R28,$R$63:$T$91,3,FALSE)))+IF(AND($R28&lt;&gt;"",$R28&lt;&gt;"O3/CP",$R$15=A$18,MID($R28,4,1)="2",$R$15&lt;&gt;$R$14),VLOOKUP(CONCATENATE(LEFT($R28,2),"L"),$R$63:$T$91,3,FALSE),0)+IF(AND($R28="O3/CP",$R$14=A$18),VLOOKUP("O3",$R$63:$T$91,3,FALSE)+VLOOKUP("CP",$R$63:$T$91,3,FALSE),0)+IF(AND($S28&lt;&gt;"",$S28&lt;&gt;"--",$S28&lt;&gt;"O3/CP",$S$14=A$18),IF(LEFT($S28,1)="P",VLOOKUP(CONCATENATE(LEFT($S28,2),"H"),$R$63:$T$91,3,FALSE),VLOOKUP($S28,$R$63:$T$91,3,FALSE)))+IF(AND($S28&lt;&gt;"",$S28&lt;&gt;"O3/CP",$S$15=A$18,MID($S28,4,1)="2",$S$15&lt;&gt;$S$14),VLOOKUP(CONCATENATE(LEFT($S28,2),"L"),$R$63:$T$91,3,FALSE),0)+IF(AND($S28="O3/CP",$S$14=A$18),VLOOKUP("O3",$R$63:$T$91,3,FALSE)+VLOOKUP("CP",$R$63:$T$91,3,FALSE),0)+IF(AND($T28&lt;&gt;"",$T28&lt;&gt;"--",$T28&lt;&gt;"O3/CP",$T$14=A$18),IF(LEFT($T28,1)="P",VLOOKUP(CONCATENATE(LEFT($T28,2),"H"),$R$63:$T$91,3,FALSE),VLOOKUP($T28,$R$63:$T$91,3,FALSE)))+IF(AND($T28&lt;&gt;"",$T28&lt;&gt;"O3/CP",$T$15=A$18,MID($T28,4,1)="2",$T$15&lt;&gt;$T$14),VLOOKUP(CONCATENATE(LEFT($T28,2),"L"),$R$63:$T$91,3,FALSE),0)+IF(AND($T28="O3/CP",$T$14=A$18),VLOOKUP("O3",$R$63:$T$91,3,FALSE)+VLOOKUP("CP",$R$63:$T$91,3,FALSE),0)+IF(AND($U28&lt;&gt;"",$U28&lt;&gt;"--",$U28&lt;&gt;"O3/CP",$U$14=A$18),IF(LEFT($U28,1)="P",VLOOKUP(CONCATENATE(LEFT($U28,2),"H"),$R$63:$T$91,3,FALSE),VLOOKUP($U28,$R$63:$T$91,3,FALSE)))+IF(AND($U28&lt;&gt;"",$U28&lt;&gt;"O3/CP",$U$15=A$18,MID($U28,4,1)="2",$U$15&lt;&gt;$U$14),VLOOKUP(CONCATENATE(LEFT($U28,2),"L"),$R$63:$T$91,3,FALSE),0)+IF(AND($U28="O3/CP",$T$14=A$18),VLOOKUP("O3",$R$63:$T$91,3,FALSE)+VLOOKUP("CP",$R$63:$T$91,3,FALSE),0)+IF(AND($V28&lt;&gt;"",$V28&lt;&gt;"--",$V28&lt;&gt;"O3/CP",$V$14=A$18),IF(LEFT($V28,1)="P",VLOOKUP(CONCATENATE(LEFT($V28,2),"H"),$R$63:$T$91,3,FALSE),VLOOKUP($V28,$R$63:$T$91,3,FALSE)))+IF(AND($V28&lt;&gt;"",$V28&lt;&gt;"O3/CP",$V$15=A$18,MID($V28,4,1)="2",$V$15&lt;&gt;$V$14),VLOOKUP(CONCATENATE(LEFT($V28,2),"L"),$R$63:$T$91,3,FALSE),0)+IF(AND($V28="O3/CP",$V$14=A$18),VLOOKUP("O3",$R$63:$T$91,3,FALSE)+VLOOKUP("CP",$R$63:$T$91,3,FALSE),0)+IF(AND($W28&lt;&gt;"",$W28&lt;&gt;"--",$W28&lt;&gt;"O3/CP",$W$14=A$18),IF(LEFT($W28,1)="P",VLOOKUP(CONCATENATE(LEFT($W28,2),"H"),$R$63:$T$91,3,FALSE),VLOOKUP($W28,$R$63:$T$91,3,FALSE)))+IF(AND($W28&lt;&gt;"",$W28&lt;&gt;"O3/CP",$W$15=A$18,MID($W28,4,1)="2",$W$15&lt;&gt;$W$14),VLOOKUP(CONCATENATE(LEFT($W28,2),"L"),$R$63:$T$91,3,FALSE),0)+IF(AND($W28="O3/CP",$W$14=A$18),VLOOKUP("O3",$R$63:$T$91,3,FALSE)+VLOOKUP("CP",$R$63:$T$91,3,FALSE),0)+IF(AND($X28&lt;&gt;"",$X28&lt;&gt;"--",$X28&lt;&gt;"O3/CP",$X$14=A$18),IF(LEFT($X28,1)="P",VLOOKUP(CONCATENATE(LEFT($X28,2),"H"),$R$63:$T$91,3,FALSE),VLOOKUP($X28,$R$63:$T$91,3,FALSE)))+IF(AND($X28&lt;&gt;"",$X28&lt;&gt;"O3/CP",$X$15=A$18,MID($X28,4,1)="2",$X$15&lt;&gt;$X$14),VLOOKUP(CONCATENATE(LEFT($X28,2),"L"),$R$63:$T$91,3,FALSE),0)+IF(AND($X28="O3/CP",$X$14=A$18),VLOOKUP("O3",$R$63:$T$91,3,FALSE)+VLOOKUP("CP",$R$63:$T$91,3,FALSE),0)+IF(AND($Y28&lt;&gt;"",$Y28&lt;&gt;"--",$Y28&lt;&gt;"O3/CP",$Y$14=A$18),IF(LEFT($Y28,1)="P",VLOOKUP(CONCATENATE(LEFT($Y28,2),"H"),$R$63:$T$91,3,FALSE),VLOOKUP($Y28,$R$63:$T$91,3,FALSE)))+IF(AND($Y28&lt;&gt;"",$Y28&lt;&gt;"O3/CP",$Y$15=A$18,MID($Y28,4,1)="2",$Y$15&lt;&gt;$Y$14),VLOOKUP(CONCATENATE(LEFT($Y28,2),"L"),$R$63:$T$91,3,FALSE),0)+IF(AND($Y28="O3/CP",$Y$14=A$18),VLOOKUP("O3",$R$63:$T$91,3,FALSE)+VLOOKUP("CP",$R$63:$T$91,3,FALSE),0)+IF(AND($K$6="CE",'[3]Supply Attribution'!$G$20=A$18),LEFT($S$90,2),0)+IF(AND($X$86&lt;&gt;"Not Set",$X$87=A$18),$X$86,0)</f>
        <v>13</v>
      </c>
      <c r="B28" s="269">
        <f>IF(AND($K28&lt;&gt;"",$K28&lt;&gt;"--",$K28&lt;&gt;"O3/CP",$K$14=B$18),IF(LEFT($K28,1)="P",VLOOKUP(CONCATENATE(LEFT($K28,2),"H"),$R$63:$T$91,3,FALSE),VLOOKUP($K28,$R$63:$T$91,3,FALSE)))+IF(AND($K28&lt;&gt;"",$K28&lt;&gt;"O3/CP",$K$15=B$18,MID($K28,4,1)="2",$K$15&lt;&gt;$K$14),VLOOKUP(CONCATENATE(LEFT($K28,2),"L"),$R$63:$T$91,3,FALSE),0)+IF(AND($K28="O3/CP",$K$14=B$18),VLOOKUP("O3",$R$63:$T$91,3,FALSE)+VLOOKUP("CP",$R$63:$T$91,3,FALSE),0)+IF(AND($L28&lt;&gt;"",$L28&lt;&gt;"--",$L28&lt;&gt;"O3/CP",$L$14=B$18),IF(LEFT($L28,1)="P",VLOOKUP(CONCATENATE(LEFT($L28,2),"H"),$R$63:$T$91,3,FALSE),VLOOKUP($L28,$R$63:$T$91,3,FALSE)))+IF(AND($L28&lt;&gt;"",$L28&lt;&gt;"O3/CP",$L$15=B$18,MID($L28,4,1)="2",$L$15&lt;&gt;$L$14),VLOOKUP(CONCATENATE(LEFT($L28,2),"L"),$R$63:$T$91,3,FALSE),0)+IF(AND($L28="O3/CP",$L$14=B$18),VLOOKUP("O3",$R$63:$T$91,3,FALSE)+VLOOKUP("CP",$R$63:$T$91,3,FALSE),0)+IF(AND($M28&lt;&gt;"",$M28&lt;&gt;"--",$M28&lt;&gt;"O3/CP",$M$14=B$18),IF(LEFT($M28,1)="P",VLOOKUP(CONCATENATE(LEFT($M28,2),"H"),$R$63:$T$91,3,FALSE),VLOOKUP($M28,$R$63:$T$91,3,FALSE)))+IF(AND($M28&lt;&gt;"",$M28&lt;&gt;"O3/CP",$M$15=B$18,MID($M28,4,1)="2",$M$15&lt;&gt;$M$14),VLOOKUP(CONCATENATE(LEFT($M28,2),"L"),$R$63:$T$91,3,FALSE),0)+IF(AND($M28="O3/CP",$M$14=B$18),VLOOKUP("O3",$R$63:$T$91,3,FALSE)+VLOOKUP("CP",$R$63:$T$91,3,FALSE),0)+IF(AND($N28&lt;&gt;"",$N28&lt;&gt;"--",$N28&lt;&gt;"O3/CP",$N$14=B$18),IF(LEFT($N28,1)="P",VLOOKUP(CONCATENATE(LEFT($N28,2),"H"),$R$63:$T$91,3,FALSE),VLOOKUP($N28,$R$63:$T$91,3,FALSE)))+IF(AND($N28&lt;&gt;"",$N28&lt;&gt;"O3/CP",$N$15=B$18,MID($N28,4,1)="2",$N$15&lt;&gt;$N$14),VLOOKUP(CONCATENATE(LEFT($N28,2),"L"),$R$63:$T$91,3,FALSE),0)+IF(AND($N28="O3/CP",$N$14=B$18),VLOOKUP("O3",$R$63:$T$91,3,FALSE)+VLOOKUP("CP",$R$63:$T$91,3,FALSE),0)+IF(AND($O28&lt;&gt;"",$O28&lt;&gt;"--",$O28&lt;&gt;"O3/CP",$O$14=B$18),IF(LEFT($O28,1)="P",VLOOKUP(CONCATENATE(LEFT($O28,2),"H"),$R$63:$T$91,3,FALSE),VLOOKUP($O28,$R$63:$T$91,3,FALSE)))+IF(AND($O28&lt;&gt;"",$O28&lt;&gt;"O3/CP",$O$15=B$18,MID($O28,4,1)="2",$O$15&lt;&gt;$O$14),VLOOKUP(CONCATENATE(LEFT($O28,2),"L"),$R$63:$T$91,3,FALSE),0)+IF(AND($O28="O3/CP",$O$14=B$18),VLOOKUP("O3",$R$63:$T$91,3,FALSE)+VLOOKUP("CP",$R$63:$T$91,3,FALSE),0)+IF(AND($P28&lt;&gt;"",$P28&lt;&gt;"--",$P28&lt;&gt;"O3/CP",$P$14=B$18),IF(LEFT($P28,1)="P",VLOOKUP(CONCATENATE(LEFT($P28,2),"H"),$R$63:$T$91,3,FALSE),VLOOKUP($P28,$R$63:$T$91,3,FALSE)))+IF(AND($P28&lt;&gt;"",$P28&lt;&gt;"O3/CP",$P$15=B$18,MID($P28,4,1)="2",$P$15&lt;&gt;$P$14),VLOOKUP(CONCATENATE(LEFT($P28,2),"L"),$R$63:$T$91,3,FALSE),0)+IF(AND($P28="O3/CP",$P$14=B$18),VLOOKUP("O3",$R$63:$T$91,3,FALSE)+VLOOKUP("CP",$R$63:$T$91,3,FALSE),0)+IF(AND($Q28&lt;&gt;"",$Q28&lt;&gt;"--",$Q28&lt;&gt;"O3/CP",$Q$14=B$18),IF(LEFT($Q28,1)="P",VLOOKUP(CONCATENATE(LEFT($Q28,2),"H"),$R$63:$T$91,3,FALSE),VLOOKUP($Q28,$R$63:$T$91,3,FALSE)))+IF(AND($Q28&lt;&gt;"",$Q28&lt;&gt;"O3/CP",$Q$15=B$18,MID($Q28,4,1)="2",$Q$15&lt;&gt;$Q$14),VLOOKUP(CONCATENATE(LEFT($Q28,2),"L"),$R$63:$T$91,3,FALSE),0)+IF(AND($Q28="O3/CP",$Q$14=B$18),VLOOKUP("O3",$R$63:$T$91,3,FALSE)+VLOOKUP("CP",$R$63:$T$91,3,FALSE),0)+IF(AND($R28&lt;&gt;"",$R28&lt;&gt;"--",$R28&lt;&gt;"O3/CP",$R$14=B$18),IF(LEFT($R28,1)="P",VLOOKUP(CONCATENATE(LEFT($R28,2),"H"),$R$63:$T$91,3,FALSE),VLOOKUP($R28,$R$63:$T$91,3,FALSE)))+IF(AND($R28&lt;&gt;"",$R28&lt;&gt;"O3/CP",$R$15=B$18,MID($R28,4,1)="2",$R$15&lt;&gt;$R$14),VLOOKUP(CONCATENATE(LEFT($R28,2),"L"),$R$63:$T$91,3,FALSE),0)+IF(AND($R28="O3/CP",$R$14=B$18),VLOOKUP("O3",$R$63:$T$91,3,FALSE)+VLOOKUP("CP",$R$63:$T$91,3,FALSE),0)+IF(AND($S28&lt;&gt;"",$S28&lt;&gt;"--",$S28&lt;&gt;"O3/CP",$S$14=B$18),IF(LEFT($S28,1)="P",VLOOKUP(CONCATENATE(LEFT($S28,2),"H"),$R$63:$T$91,3,FALSE),VLOOKUP($S28,$R$63:$T$91,3,FALSE)))+IF(AND($S28&lt;&gt;"",$S28&lt;&gt;"O3/CP",$S$15=B$18,MID($S28,4,1)="2",$S$15&lt;&gt;$S$14),VLOOKUP(CONCATENATE(LEFT($S28,2),"L"),$R$63:$T$91,3,FALSE),0)+IF(AND($S28="O3/CP",$S$14=B$18),VLOOKUP("O3",$R$63:$T$91,3,FALSE)+VLOOKUP("CP",$R$63:$T$91,3,FALSE),0)+IF(AND($T28&lt;&gt;"",$T28&lt;&gt;"--",$T28&lt;&gt;"O3/CP",$T$14=B$18),IF(LEFT($T28,1)="P",VLOOKUP(CONCATENATE(LEFT($T28,2),"H"),$R$63:$T$91,3,FALSE),VLOOKUP($T28,$R$63:$T$91,3,FALSE)))+IF(AND($T28&lt;&gt;"",$T28&lt;&gt;"O3/CP",$T$15=B$18,MID($T28,4,1)="2",$T$15&lt;&gt;$T$14),VLOOKUP(CONCATENATE(LEFT($T28,2),"L"),$R$63:$T$91,3,FALSE),0)+IF(AND($T28="O3/CP",$T$14=B$18),VLOOKUP("O3",$R$63:$T$91,3,FALSE)+VLOOKUP("CP",$R$63:$T$91,3,FALSE),0)+IF(AND($U28&lt;&gt;"",$U28&lt;&gt;"--",$U28&lt;&gt;"O3/CP",$U$14=B$18),IF(LEFT($U28,1)="P",VLOOKUP(CONCATENATE(LEFT($U28,2),"H"),$R$63:$T$91,3,FALSE),VLOOKUP($U28,$R$63:$T$91,3,FALSE)))+IF(AND($U28&lt;&gt;"",$U28&lt;&gt;"O3/CP",$U$15=B$18,MID($U28,4,1)="2",$U$15&lt;&gt;$U$14),VLOOKUP(CONCATENATE(LEFT($U28,2),"L"),$R$63:$T$91,3,FALSE),0)+IF(AND($U28="O3/CP",$T$14=B$18),VLOOKUP("O3",$R$63:$T$91,3,FALSE)+VLOOKUP("CP",$R$63:$T$91,3,FALSE),0)+IF(AND($V28&lt;&gt;"",$V28&lt;&gt;"--",$V28&lt;&gt;"O3/CP",$V$14=B$18),IF(LEFT($V28,1)="P",VLOOKUP(CONCATENATE(LEFT($V28,2),"H"),$R$63:$T$91,3,FALSE),VLOOKUP($V28,$R$63:$T$91,3,FALSE)))+IF(AND($V28&lt;&gt;"",$V28&lt;&gt;"O3/CP",$V$15=B$18,MID($V28,4,1)="2",$V$15&lt;&gt;$V$14),VLOOKUP(CONCATENATE(LEFT($V28,2),"L"),$R$63:$T$91,3,FALSE),0)+IF(AND($V28="O3/CP",$V$14=B$18),VLOOKUP("O3",$R$63:$T$91,3,FALSE)+VLOOKUP("CP",$R$63:$T$91,3,FALSE),0)+IF(AND($W28&lt;&gt;"",$W28&lt;&gt;"--",$W28&lt;&gt;"O3/CP",$W$14=B$18),IF(LEFT($W28,1)="P",VLOOKUP(CONCATENATE(LEFT($W28,2),"H"),$R$63:$T$91,3,FALSE),VLOOKUP($W28,$R$63:$T$91,3,FALSE)))+IF(AND($W28&lt;&gt;"",$W28&lt;&gt;"O3/CP",$W$15=B$18,MID($W28,4,1)="2",$W$15&lt;&gt;$W$14),VLOOKUP(CONCATENATE(LEFT($W28,2),"L"),$R$63:$T$91,3,FALSE),0)+IF(AND($W28="O3/CP",$W$14=B$18),VLOOKUP("O3",$R$63:$T$91,3,FALSE)+VLOOKUP("CP",$R$63:$T$91,3,FALSE),0)+IF(AND($X28&lt;&gt;"",$X28&lt;&gt;"--",$X28&lt;&gt;"O3/CP",$X$14=B$18),IF(LEFT($X28,1)="P",VLOOKUP(CONCATENATE(LEFT($X28,2),"H"),$R$63:$T$91,3,FALSE),VLOOKUP($X28,$R$63:$T$91,3,FALSE)))+IF(AND($X28&lt;&gt;"",$X28&lt;&gt;"O3/CP",$X$15=B$18,MID($X28,4,1)="2",$X$15&lt;&gt;$X$14),VLOOKUP(CONCATENATE(LEFT($X28,2),"L"),$R$63:$T$91,3,FALSE),0)+IF(AND($X28="O3/CP",$X$14=B$18),VLOOKUP("O3",$R$63:$T$91,3,FALSE)+VLOOKUP("CP",$R$63:$T$91,3,FALSE),0)+IF(AND($Y28&lt;&gt;"",$Y28&lt;&gt;"--",$Y28&lt;&gt;"O3/CP",$Y$14=B$18),IF(LEFT($Y28,1)="P",VLOOKUP(CONCATENATE(LEFT($Y28,2),"H"),$R$63:$T$91,3,FALSE),VLOOKUP($Y28,$R$63:$T$91,3,FALSE)))+IF(AND($Y28&lt;&gt;"",$Y28&lt;&gt;"O3/CP",$Y$15=B$18,MID($Y28,4,1)="2",$Y$15&lt;&gt;$Y$14),VLOOKUP(CONCATENATE(LEFT($Y28,2),"L"),$R$63:$T$91,3,FALSE),0)+IF(AND($Y28="O3/CP",$Y$14=B$18),VLOOKUP("O3",$R$63:$T$91,3,FALSE)+VLOOKUP("CP",$R$63:$T$91,3,FALSE),0)+IF(AND($K$6="CE",'[3]Supply Attribution'!$G$20=B$18),LEFT($S$90,2),0)+IF(AND($X$86&lt;&gt;"Not Set",$X$87=B$18),$X$86,0)</f>
        <v>0</v>
      </c>
      <c r="C28" s="269">
        <f>IF(AND($K28&lt;&gt;"",$K28&lt;&gt;"--",$K28&lt;&gt;"O3/CP",$K$14=C$18),IF(LEFT($K28,1)="P",VLOOKUP(CONCATENATE(LEFT($K28,2),"H"),$R$63:$T$91,3,FALSE),VLOOKUP($K28,$R$63:$T$91,3,FALSE)))+IF(AND($K28&lt;&gt;"",$K28&lt;&gt;"O3/CP",$K$15=C$18,MID($K28,4,1)="2",$K$15&lt;&gt;$K$14),VLOOKUP(CONCATENATE(LEFT($K28,2),"L"),$R$63:$T$91,3,FALSE),0)+IF(AND($K28="O3/CP",$K$14=C$18),VLOOKUP("O3",$R$63:$T$91,3,FALSE)+VLOOKUP("CP",$R$63:$T$91,3,FALSE),0)+IF(AND($L28&lt;&gt;"",$L28&lt;&gt;"--",$L28&lt;&gt;"O3/CP",$L$14=C$18),IF(LEFT($L28,1)="P",VLOOKUP(CONCATENATE(LEFT($L28,2),"H"),$R$63:$T$91,3,FALSE),VLOOKUP($L28,$R$63:$T$91,3,FALSE)))+IF(AND($L28&lt;&gt;"",$L28&lt;&gt;"O3/CP",$L$15=C$18,MID($L28,4,1)="2",$L$15&lt;&gt;$L$14),VLOOKUP(CONCATENATE(LEFT($L28,2),"L"),$R$63:$T$91,3,FALSE),0)+IF(AND($L28="O3/CP",$L$14=C$18),VLOOKUP("O3",$R$63:$T$91,3,FALSE)+VLOOKUP("CP",$R$63:$T$91,3,FALSE),0)+IF(AND($M28&lt;&gt;"",$M28&lt;&gt;"--",$M28&lt;&gt;"O3/CP",$M$14=C$18),IF(LEFT($M28,1)="P",VLOOKUP(CONCATENATE(LEFT($M28,2),"H"),$R$63:$T$91,3,FALSE),VLOOKUP($M28,$R$63:$T$91,3,FALSE)))+IF(AND($M28&lt;&gt;"",$M28&lt;&gt;"O3/CP",$M$15=C$18,MID($M28,4,1)="2",$M$15&lt;&gt;$M$14),VLOOKUP(CONCATENATE(LEFT($M28,2),"L"),$R$63:$T$91,3,FALSE),0)+IF(AND($M28="O3/CP",$M$14=C$18),VLOOKUP("O3",$R$63:$T$91,3,FALSE)+VLOOKUP("CP",$R$63:$T$91,3,FALSE),0)+IF(AND($N28&lt;&gt;"",$N28&lt;&gt;"--",$N28&lt;&gt;"O3/CP",$N$14=C$18),IF(LEFT($N28,1)="P",VLOOKUP(CONCATENATE(LEFT($N28,2),"H"),$R$63:$T$91,3,FALSE),VLOOKUP($N28,$R$63:$T$91,3,FALSE)))+IF(AND($N28&lt;&gt;"",$N28&lt;&gt;"O3/CP",$N$15=C$18,MID($N28,4,1)="2",$N$15&lt;&gt;$N$14),VLOOKUP(CONCATENATE(LEFT($N28,2),"L"),$R$63:$T$91,3,FALSE),0)+IF(AND($N28="O3/CP",$N$14=C$18),VLOOKUP("O3",$R$63:$T$91,3,FALSE)+VLOOKUP("CP",$R$63:$T$91,3,FALSE),0)+IF(AND($O28&lt;&gt;"",$O28&lt;&gt;"--",$O28&lt;&gt;"O3/CP",$O$14=C$18),IF(LEFT($O28,1)="P",VLOOKUP(CONCATENATE(LEFT($O28,2),"H"),$R$63:$T$91,3,FALSE),VLOOKUP($O28,$R$63:$T$91,3,FALSE)))+IF(AND($O28&lt;&gt;"",$O28&lt;&gt;"O3/CP",$O$15=C$18,MID($O28,4,1)="2",$O$15&lt;&gt;$O$14),VLOOKUP(CONCATENATE(LEFT($O28,2),"L"),$R$63:$T$91,3,FALSE),0)+IF(AND($O28="O3/CP",$O$14=C$18),VLOOKUP("O3",$R$63:$T$91,3,FALSE)+VLOOKUP("CP",$R$63:$T$91,3,FALSE),0)+IF(AND($P28&lt;&gt;"",$P28&lt;&gt;"--",$P28&lt;&gt;"O3/CP",$P$14=C$18),IF(LEFT($P28,1)="P",VLOOKUP(CONCATENATE(LEFT($P28,2),"H"),$R$63:$T$91,3,FALSE),VLOOKUP($P28,$R$63:$T$91,3,FALSE)))+IF(AND($P28&lt;&gt;"",$P28&lt;&gt;"O3/CP",$P$15=C$18,MID($P28,4,1)="2",$P$15&lt;&gt;$P$14),VLOOKUP(CONCATENATE(LEFT($P28,2),"L"),$R$63:$T$91,3,FALSE),0)+IF(AND($P28="O3/CP",$P$14=C$18),VLOOKUP("O3",$R$63:$T$91,3,FALSE)+VLOOKUP("CP",$R$63:$T$91,3,FALSE),0)+IF(AND($Q28&lt;&gt;"",$Q28&lt;&gt;"--",$Q28&lt;&gt;"O3/CP",$Q$14=C$18),IF(LEFT($Q28,1)="P",VLOOKUP(CONCATENATE(LEFT($Q28,2),"H"),$R$63:$T$91,3,FALSE),VLOOKUP($Q28,$R$63:$T$91,3,FALSE)))+IF(AND($Q28&lt;&gt;"",$Q28&lt;&gt;"O3/CP",$Q$15=C$18,MID($Q28,4,1)="2",$Q$15&lt;&gt;$Q$14),VLOOKUP(CONCATENATE(LEFT($Q28,2),"L"),$R$63:$T$91,3,FALSE),0)+IF(AND($Q28="O3/CP",$Q$14=C$18),VLOOKUP("O3",$R$63:$T$91,3,FALSE)+VLOOKUP("CP",$R$63:$T$91,3,FALSE),0)+IF(AND($R28&lt;&gt;"",$R28&lt;&gt;"--",$R28&lt;&gt;"O3/CP",$R$14=C$18),IF(LEFT($R28,1)="P",VLOOKUP(CONCATENATE(LEFT($R28,2),"H"),$R$63:$T$91,3,FALSE),VLOOKUP($R28,$R$63:$T$91,3,FALSE)))+IF(AND($R28&lt;&gt;"",$R28&lt;&gt;"O3/CP",$R$15=C$18,MID($R28,4,1)="2",$R$15&lt;&gt;$R$14),VLOOKUP(CONCATENATE(LEFT($R28,2),"L"),$R$63:$T$91,3,FALSE),0)+IF(AND($R28="O3/CP",$R$14=C$18),VLOOKUP("O3",$R$63:$T$91,3,FALSE)+VLOOKUP("CP",$R$63:$T$91,3,FALSE),0)+IF(AND($S28&lt;&gt;"",$S28&lt;&gt;"--",$S28&lt;&gt;"O3/CP",$S$14=C$18),IF(LEFT($S28,1)="P",VLOOKUP(CONCATENATE(LEFT($S28,2),"H"),$R$63:$T$91,3,FALSE),VLOOKUP($S28,$R$63:$T$91,3,FALSE)))+IF(AND($S28&lt;&gt;"",$S28&lt;&gt;"O3/CP",$S$15=C$18,MID($S28,4,1)="2",$S$15&lt;&gt;$S$14),VLOOKUP(CONCATENATE(LEFT($S28,2),"L"),$R$63:$T$91,3,FALSE),0)+IF(AND($S28="O3/CP",$S$14=C$18),VLOOKUP("O3",$R$63:$T$91,3,FALSE)+VLOOKUP("CP",$R$63:$T$91,3,FALSE),0)+IF(AND($T28&lt;&gt;"",$T28&lt;&gt;"--",$T28&lt;&gt;"O3/CP",$T$14=C$18),IF(LEFT($T28,1)="P",VLOOKUP(CONCATENATE(LEFT($T28,2),"H"),$R$63:$T$91,3,FALSE),VLOOKUP($T28,$R$63:$T$91,3,FALSE)))+IF(AND($T28&lt;&gt;"",$T28&lt;&gt;"O3/CP",$T$15=C$18,MID($T28,4,1)="2",$T$15&lt;&gt;$T$14),VLOOKUP(CONCATENATE(LEFT($T28,2),"L"),$R$63:$T$91,3,FALSE),0)+IF(AND($T28="O3/CP",$T$14=C$18),VLOOKUP("O3",$R$63:$T$91,3,FALSE)+VLOOKUP("CP",$R$63:$T$91,3,FALSE),0)+IF(AND($U28&lt;&gt;"",$U28&lt;&gt;"--",$U28&lt;&gt;"O3/CP",$U$14=C$18),IF(LEFT($U28,1)="P",VLOOKUP(CONCATENATE(LEFT($U28,2),"H"),$R$63:$T$91,3,FALSE),VLOOKUP($U28,$R$63:$T$91,3,FALSE)))+IF(AND($U28&lt;&gt;"",$U28&lt;&gt;"O3/CP",$U$15=C$18,MID($U28,4,1)="2",$U$15&lt;&gt;$U$14),VLOOKUP(CONCATENATE(LEFT($U28,2),"L"),$R$63:$T$91,3,FALSE),0)+IF(AND($U28="O3/CP",$T$14=C$18),VLOOKUP("O3",$R$63:$T$91,3,FALSE)+VLOOKUP("CP",$R$63:$T$91,3,FALSE),0)+IF(AND($V28&lt;&gt;"",$V28&lt;&gt;"--",$V28&lt;&gt;"O3/CP",$V$14=C$18),IF(LEFT($V28,1)="P",VLOOKUP(CONCATENATE(LEFT($V28,2),"H"),$R$63:$T$91,3,FALSE),VLOOKUP($V28,$R$63:$T$91,3,FALSE)))+IF(AND($V28&lt;&gt;"",$V28&lt;&gt;"O3/CP",$V$15=C$18,MID($V28,4,1)="2",$V$15&lt;&gt;$V$14),VLOOKUP(CONCATENATE(LEFT($V28,2),"L"),$R$63:$T$91,3,FALSE),0)+IF(AND($V28="O3/CP",$V$14=C$18),VLOOKUP("O3",$R$63:$T$91,3,FALSE)+VLOOKUP("CP",$R$63:$T$91,3,FALSE),0)+IF(AND($W28&lt;&gt;"",$W28&lt;&gt;"--",$W28&lt;&gt;"O3/CP",$W$14=C$18),IF(LEFT($W28,1)="P",VLOOKUP(CONCATENATE(LEFT($W28,2),"H"),$R$63:$T$91,3,FALSE),VLOOKUP($W28,$R$63:$T$91,3,FALSE)))+IF(AND($W28&lt;&gt;"",$W28&lt;&gt;"O3/CP",$W$15=C$18,MID($W28,4,1)="2",$W$15&lt;&gt;$W$14),VLOOKUP(CONCATENATE(LEFT($W28,2),"L"),$R$63:$T$91,3,FALSE),0)+IF(AND($W28="O3/CP",$W$14=C$18),VLOOKUP("O3",$R$63:$T$91,3,FALSE)+VLOOKUP("CP",$R$63:$T$91,3,FALSE),0)+IF(AND($X28&lt;&gt;"",$X28&lt;&gt;"--",$X28&lt;&gt;"O3/CP",$X$14=C$18),IF(LEFT($X28,1)="P",VLOOKUP(CONCATENATE(LEFT($X28,2),"H"),$R$63:$T$91,3,FALSE),VLOOKUP($X28,$R$63:$T$91,3,FALSE)))+IF(AND($X28&lt;&gt;"",$X28&lt;&gt;"O3/CP",$X$15=C$18,MID($X28,4,1)="2",$X$15&lt;&gt;$X$14),VLOOKUP(CONCATENATE(LEFT($X28,2),"L"),$R$63:$T$91,3,FALSE),0)+IF(AND($X28="O3/CP",$X$14=C$18),VLOOKUP("O3",$R$63:$T$91,3,FALSE)+VLOOKUP("CP",$R$63:$T$91,3,FALSE),0)+IF(AND($Y28&lt;&gt;"",$Y28&lt;&gt;"--",$Y28&lt;&gt;"O3/CP",$Y$14=C$18),IF(LEFT($Y28,1)="P",VLOOKUP(CONCATENATE(LEFT($Y28,2),"H"),$R$63:$T$91,3,FALSE),VLOOKUP($Y28,$R$63:$T$91,3,FALSE)))+IF(AND($Y28&lt;&gt;"",$Y28&lt;&gt;"O3/CP",$Y$15=C$18,MID($Y28,4,1)="2",$Y$15&lt;&gt;$Y$14),VLOOKUP(CONCATENATE(LEFT($Y28,2),"L"),$R$63:$T$91,3,FALSE),0)+IF(AND($Y28="O3/CP",$Y$14=C$18),VLOOKUP("O3",$R$63:$T$91,3,FALSE)+VLOOKUP("CP",$R$63:$T$91,3,FALSE),0)+IF(AND($K$6="CE",'[3]Supply Attribution'!$G$20=C$18),LEFT($S$90,2),0)+IF(AND($X$86&lt;&gt;"Not Set",$X$87=C$18),$X$86,0)</f>
        <v>0</v>
      </c>
      <c r="D28" s="269">
        <f>IF(AND($K28&lt;&gt;"",$K28&lt;&gt;"--",$K28&lt;&gt;"O3/CP",$K$14=D$18),IF(LEFT($K28,1)="P",VLOOKUP(CONCATENATE(LEFT($K28,2),"H"),$R$63:$T$91,3,FALSE),VLOOKUP($K28,$R$63:$T$91,3,FALSE)))+IF(AND($K28&lt;&gt;"",$K28&lt;&gt;"O3/CP",$K$15=D$18,MID($K28,4,1)="2",$K$15&lt;&gt;$K$14),VLOOKUP(CONCATENATE(LEFT($K28,2),"L"),$R$63:$T$91,3,FALSE),0)+IF(AND($K28="O3/CP",$K$14=D$18),VLOOKUP("O3",$R$63:$T$91,3,FALSE)+VLOOKUP("CP",$R$63:$T$91,3,FALSE),0)+IF(AND($L28&lt;&gt;"",$L28&lt;&gt;"--",$L28&lt;&gt;"O3/CP",$L$14=D$18),IF(LEFT($L28,1)="P",VLOOKUP(CONCATENATE(LEFT($L28,2),"H"),$R$63:$T$91,3,FALSE),VLOOKUP($L28,$R$63:$T$91,3,FALSE)))+IF(AND($L28&lt;&gt;"",$L28&lt;&gt;"O3/CP",$L$15=D$18,MID($L28,4,1)="2",$L$15&lt;&gt;$L$14),VLOOKUP(CONCATENATE(LEFT($L28,2),"L"),$R$63:$T$91,3,FALSE),0)+IF(AND($L28="O3/CP",$L$14=D$18),VLOOKUP("O3",$R$63:$T$91,3,FALSE)+VLOOKUP("CP",$R$63:$T$91,3,FALSE),0)+IF(AND($M28&lt;&gt;"",$M28&lt;&gt;"--",$M28&lt;&gt;"O3/CP",$M$14=D$18),IF(LEFT($M28,1)="P",VLOOKUP(CONCATENATE(LEFT($M28,2),"H"),$R$63:$T$91,3,FALSE),VLOOKUP($M28,$R$63:$T$91,3,FALSE)))+IF(AND($M28&lt;&gt;"",$M28&lt;&gt;"O3/CP",$M$15=D$18,MID($M28,4,1)="2",$M$15&lt;&gt;$M$14),VLOOKUP(CONCATENATE(LEFT($M28,2),"L"),$R$63:$T$91,3,FALSE),0)+IF(AND($M28="O3/CP",$M$14=D$18),VLOOKUP("O3",$R$63:$T$91,3,FALSE)+VLOOKUP("CP",$R$63:$T$91,3,FALSE),0)+IF(AND($N28&lt;&gt;"",$N28&lt;&gt;"--",$N28&lt;&gt;"O3/CP",$N$14=D$18),IF(LEFT($N28,1)="P",VLOOKUP(CONCATENATE(LEFT($N28,2),"H"),$R$63:$T$91,3,FALSE),VLOOKUP($N28,$R$63:$T$91,3,FALSE)))+IF(AND($N28&lt;&gt;"",$N28&lt;&gt;"O3/CP",$N$15=D$18,MID($N28,4,1)="2",$N$15&lt;&gt;$N$14),VLOOKUP(CONCATENATE(LEFT($N28,2),"L"),$R$63:$T$91,3,FALSE),0)+IF(AND($N28="O3/CP",$N$14=D$18),VLOOKUP("O3",$R$63:$T$91,3,FALSE)+VLOOKUP("CP",$R$63:$T$91,3,FALSE),0)+IF(AND($O28&lt;&gt;"",$O28&lt;&gt;"--",$O28&lt;&gt;"O3/CP",$O$14=D$18),IF(LEFT($O28,1)="P",VLOOKUP(CONCATENATE(LEFT($O28,2),"H"),$R$63:$T$91,3,FALSE),VLOOKUP($O28,$R$63:$T$91,3,FALSE)))+IF(AND($O28&lt;&gt;"",$O28&lt;&gt;"O3/CP",$O$15=D$18,MID($O28,4,1)="2",$O$15&lt;&gt;$O$14),VLOOKUP(CONCATENATE(LEFT($O28,2),"L"),$R$63:$T$91,3,FALSE),0)+IF(AND($O28="O3/CP",$O$14=D$18),VLOOKUP("O3",$R$63:$T$91,3,FALSE)+VLOOKUP("CP",$R$63:$T$91,3,FALSE),0)+IF(AND($P28&lt;&gt;"",$P28&lt;&gt;"--",$P28&lt;&gt;"O3/CP",$P$14=D$18),IF(LEFT($P28,1)="P",VLOOKUP(CONCATENATE(LEFT($P28,2),"H"),$R$63:$T$91,3,FALSE),VLOOKUP($P28,$R$63:$T$91,3,FALSE)))+IF(AND($P28&lt;&gt;"",$P28&lt;&gt;"O3/CP",$P$15=D$18,MID($P28,4,1)="2",$P$15&lt;&gt;$P$14),VLOOKUP(CONCATENATE(LEFT($P28,2),"L"),$R$63:$T$91,3,FALSE),0)+IF(AND($P28="O3/CP",$P$14=D$18),VLOOKUP("O3",$R$63:$T$91,3,FALSE)+VLOOKUP("CP",$R$63:$T$91,3,FALSE),0)+IF(AND($Q28&lt;&gt;"",$Q28&lt;&gt;"--",$Q28&lt;&gt;"O3/CP",$Q$14=D$18),IF(LEFT($Q28,1)="P",VLOOKUP(CONCATENATE(LEFT($Q28,2),"H"),$R$63:$T$91,3,FALSE),VLOOKUP($Q28,$R$63:$T$91,3,FALSE)))+IF(AND($Q28&lt;&gt;"",$Q28&lt;&gt;"O3/CP",$Q$15=D$18,MID($Q28,4,1)="2",$Q$15&lt;&gt;$Q$14),VLOOKUP(CONCATENATE(LEFT($Q28,2),"L"),$R$63:$T$91,3,FALSE),0)+IF(AND($Q28="O3/CP",$Q$14=D$18),VLOOKUP("O3",$R$63:$T$91,3,FALSE)+VLOOKUP("CP",$R$63:$T$91,3,FALSE),0)+IF(AND($R28&lt;&gt;"",$R28&lt;&gt;"--",$R28&lt;&gt;"O3/CP",$R$14=D$18),IF(LEFT($R28,1)="P",VLOOKUP(CONCATENATE(LEFT($R28,2),"H"),$R$63:$T$91,3,FALSE),VLOOKUP($R28,$R$63:$T$91,3,FALSE)))+IF(AND($R28&lt;&gt;"",$R28&lt;&gt;"O3/CP",$R$15=D$18,MID($R28,4,1)="2",$R$15&lt;&gt;$R$14),VLOOKUP(CONCATENATE(LEFT($R28,2),"L"),$R$63:$T$91,3,FALSE),0)+IF(AND($R28="O3/CP",$R$14=D$18),VLOOKUP("O3",$R$63:$T$91,3,FALSE)+VLOOKUP("CP",$R$63:$T$91,3,FALSE),0)+IF(AND($S28&lt;&gt;"",$S28&lt;&gt;"--",$S28&lt;&gt;"O3/CP",$S$14=D$18),IF(LEFT($S28,1)="P",VLOOKUP(CONCATENATE(LEFT($S28,2),"H"),$R$63:$T$91,3,FALSE),VLOOKUP($S28,$R$63:$T$91,3,FALSE)))+IF(AND($S28&lt;&gt;"",$S28&lt;&gt;"O3/CP",$S$15=D$18,MID($S28,4,1)="2",$S$15&lt;&gt;$S$14),VLOOKUP(CONCATENATE(LEFT($S28,2),"L"),$R$63:$T$91,3,FALSE),0)+IF(AND($S28="O3/CP",$S$14=D$18),VLOOKUP("O3",$R$63:$T$91,3,FALSE)+VLOOKUP("CP",$R$63:$T$91,3,FALSE),0)+IF(AND($T28&lt;&gt;"",$T28&lt;&gt;"--",$T28&lt;&gt;"O3/CP",$T$14=D$18),IF(LEFT($T28,1)="P",VLOOKUP(CONCATENATE(LEFT($T28,2),"H"),$R$63:$T$91,3,FALSE),VLOOKUP($T28,$R$63:$T$91,3,FALSE)))+IF(AND($T28&lt;&gt;"",$T28&lt;&gt;"O3/CP",$T$15=D$18,MID($T28,4,1)="2",$T$15&lt;&gt;$T$14),VLOOKUP(CONCATENATE(LEFT($T28,2),"L"),$R$63:$T$91,3,FALSE),0)+IF(AND($T28="O3/CP",$T$14=D$18),VLOOKUP("O3",$R$63:$T$91,3,FALSE)+VLOOKUP("CP",$R$63:$T$91,3,FALSE),0)+IF(AND($U28&lt;&gt;"",$U28&lt;&gt;"--",$U28&lt;&gt;"O3/CP",$U$14=D$18),IF(LEFT($U28,1)="P",VLOOKUP(CONCATENATE(LEFT($U28,2),"H"),$R$63:$T$91,3,FALSE),VLOOKUP($U28,$R$63:$T$91,3,FALSE)))+IF(AND($U28&lt;&gt;"",$U28&lt;&gt;"O3/CP",$U$15=D$18,MID($U28,4,1)="2",$U$15&lt;&gt;$U$14),VLOOKUP(CONCATENATE(LEFT($U28,2),"L"),$R$63:$T$91,3,FALSE),0)+IF(AND($U28="O3/CP",$T$14=D$18),VLOOKUP("O3",$R$63:$T$91,3,FALSE)+VLOOKUP("CP",$R$63:$T$91,3,FALSE),0)+IF(AND($V28&lt;&gt;"",$V28&lt;&gt;"--",$V28&lt;&gt;"O3/CP",$V$14=D$18),IF(LEFT($V28,1)="P",VLOOKUP(CONCATENATE(LEFT($V28,2),"H"),$R$63:$T$91,3,FALSE),VLOOKUP($V28,$R$63:$T$91,3,FALSE)))+IF(AND($V28&lt;&gt;"",$V28&lt;&gt;"O3/CP",$V$15=D$18,MID($V28,4,1)="2",$V$15&lt;&gt;$V$14),VLOOKUP(CONCATENATE(LEFT($V28,2),"L"),$R$63:$T$91,3,FALSE),0)+IF(AND($V28="O3/CP",$V$14=D$18),VLOOKUP("O3",$R$63:$T$91,3,FALSE)+VLOOKUP("CP",$R$63:$T$91,3,FALSE),0)+IF(AND($W28&lt;&gt;"",$W28&lt;&gt;"--",$W28&lt;&gt;"O3/CP",$W$14=D$18),IF(LEFT($W28,1)="P",VLOOKUP(CONCATENATE(LEFT($W28,2),"H"),$R$63:$T$91,3,FALSE),VLOOKUP($W28,$R$63:$T$91,3,FALSE)))+IF(AND($W28&lt;&gt;"",$W28&lt;&gt;"O3/CP",$W$15=D$18,MID($W28,4,1)="2",$W$15&lt;&gt;$W$14),VLOOKUP(CONCATENATE(LEFT($W28,2),"L"),$R$63:$T$91,3,FALSE),0)+IF(AND($W28="O3/CP",$W$14=D$18),VLOOKUP("O3",$R$63:$T$91,3,FALSE)+VLOOKUP("CP",$R$63:$T$91,3,FALSE),0)+IF(AND($X28&lt;&gt;"",$X28&lt;&gt;"--",$X28&lt;&gt;"O3/CP",$X$14=D$18),IF(LEFT($X28,1)="P",VLOOKUP(CONCATENATE(LEFT($X28,2),"H"),$R$63:$T$91,3,FALSE),VLOOKUP($X28,$R$63:$T$91,3,FALSE)))+IF(AND($X28&lt;&gt;"",$X28&lt;&gt;"O3/CP",$X$15=D$18,MID($X28,4,1)="2",$X$15&lt;&gt;$X$14),VLOOKUP(CONCATENATE(LEFT($X28,2),"L"),$R$63:$T$91,3,FALSE),0)+IF(AND($X28="O3/CP",$X$14=D$18),VLOOKUP("O3",$R$63:$T$91,3,FALSE)+VLOOKUP("CP",$R$63:$T$91,3,FALSE),0)+IF(AND($Y28&lt;&gt;"",$Y28&lt;&gt;"--",$Y28&lt;&gt;"O3/CP",$Y$14=D$18),IF(LEFT($Y28,1)="P",VLOOKUP(CONCATENATE(LEFT($Y28,2),"H"),$R$63:$T$91,3,FALSE),VLOOKUP($Y28,$R$63:$T$91,3,FALSE)))+IF(AND($Y28&lt;&gt;"",$Y28&lt;&gt;"O3/CP",$Y$15=D$18,MID($Y28,4,1)="2",$Y$15&lt;&gt;$Y$14),VLOOKUP(CONCATENATE(LEFT($Y28,2),"L"),$R$63:$T$91,3,FALSE),0)+IF(AND($Y28="O3/CP",$Y$14=D$18),VLOOKUP("O3",$R$63:$T$91,3,FALSE)+VLOOKUP("CP",$R$63:$T$91,3,FALSE),0)+IF(AND($K$6="CE",'[3]Supply Attribution'!$G$20=D$18),LEFT($S$90,2),0)+IF(AND($X$86&lt;&gt;"Not Set",$X$87=D$18),$X$86,0)</f>
        <v>0</v>
      </c>
      <c r="E28" s="269">
        <f>IF(AND($K28&lt;&gt;"",$K28&lt;&gt;"--",$K28&lt;&gt;"O3/CP",$K$14=E$18),IF(LEFT($K28,1)="P",VLOOKUP(CONCATENATE(LEFT($K28,2),"H"),$R$63:$T$91,3,FALSE),VLOOKUP($K28,$R$63:$T$91,3,FALSE)))+IF(AND($K28&lt;&gt;"",$K28&lt;&gt;"O3/CP",$K$15=E$18,MID($K28,4,1)="2",$K$15&lt;&gt;$K$14),VLOOKUP(CONCATENATE(LEFT($K28,2),"L"),$R$63:$T$91,3,FALSE),0)+IF(AND($K28="O3/CP",$K$14=E$18),VLOOKUP("O3",$R$63:$T$91,3,FALSE)+VLOOKUP("CP",$R$63:$T$91,3,FALSE),0)+IF(AND($L28&lt;&gt;"",$L28&lt;&gt;"--",$L28&lt;&gt;"O3/CP",$L$14=E$18),IF(LEFT($L28,1)="P",VLOOKUP(CONCATENATE(LEFT($L28,2),"H"),$R$63:$T$91,3,FALSE),VLOOKUP($L28,$R$63:$T$91,3,FALSE)))+IF(AND($L28&lt;&gt;"",$L28&lt;&gt;"O3/CP",$L$15=E$18,MID($L28,4,1)="2",$L$15&lt;&gt;$L$14),VLOOKUP(CONCATENATE(LEFT($L28,2),"L"),$R$63:$T$91,3,FALSE),0)+IF(AND($L28="O3/CP",$L$14=E$18),VLOOKUP("O3",$R$63:$T$91,3,FALSE)+VLOOKUP("CP",$R$63:$T$91,3,FALSE),0)+IF(AND($M28&lt;&gt;"",$M28&lt;&gt;"--",$M28&lt;&gt;"O3/CP",$M$14=E$18),IF(LEFT($M28,1)="P",VLOOKUP(CONCATENATE(LEFT($M28,2),"H"),$R$63:$T$91,3,FALSE),VLOOKUP($M28,$R$63:$T$91,3,FALSE)))+IF(AND($M28&lt;&gt;"",$M28&lt;&gt;"O3/CP",$M$15=E$18,MID($M28,4,1)="2",$M$15&lt;&gt;$M$14),VLOOKUP(CONCATENATE(LEFT($M28,2),"L"),$R$63:$T$91,3,FALSE),0)+IF(AND($M28="O3/CP",$M$14=E$18),VLOOKUP("O3",$R$63:$T$91,3,FALSE)+VLOOKUP("CP",$R$63:$T$91,3,FALSE),0)+IF(AND($N28&lt;&gt;"",$N28&lt;&gt;"--",$N28&lt;&gt;"O3/CP",$N$14=E$18),IF(LEFT($N28,1)="P",VLOOKUP(CONCATENATE(LEFT($N28,2),"H"),$R$63:$T$91,3,FALSE),VLOOKUP($N28,$R$63:$T$91,3,FALSE)))+IF(AND($N28&lt;&gt;"",$N28&lt;&gt;"O3/CP",$N$15=E$18,MID($N28,4,1)="2",$N$15&lt;&gt;$N$14),VLOOKUP(CONCATENATE(LEFT($N28,2),"L"),$R$63:$T$91,3,FALSE),0)+IF(AND($N28="O3/CP",$N$14=E$18),VLOOKUP("O3",$R$63:$T$91,3,FALSE)+VLOOKUP("CP",$R$63:$T$91,3,FALSE),0)+IF(AND($O28&lt;&gt;"",$O28&lt;&gt;"--",$O28&lt;&gt;"O3/CP",$O$14=E$18),IF(LEFT($O28,1)="P",VLOOKUP(CONCATENATE(LEFT($O28,2),"H"),$R$63:$T$91,3,FALSE),VLOOKUP($O28,$R$63:$T$91,3,FALSE)))+IF(AND($O28&lt;&gt;"",$O28&lt;&gt;"O3/CP",$O$15=E$18,MID($O28,4,1)="2",$O$15&lt;&gt;$O$14),VLOOKUP(CONCATENATE(LEFT($O28,2),"L"),$R$63:$T$91,3,FALSE),0)+IF(AND($O28="O3/CP",$O$14=E$18),VLOOKUP("O3",$R$63:$T$91,3,FALSE)+VLOOKUP("CP",$R$63:$T$91,3,FALSE),0)+IF(AND($P28&lt;&gt;"",$P28&lt;&gt;"--",$P28&lt;&gt;"O3/CP",$P$14=E$18),IF(LEFT($P28,1)="P",VLOOKUP(CONCATENATE(LEFT($P28,2),"H"),$R$63:$T$91,3,FALSE),VLOOKUP($P28,$R$63:$T$91,3,FALSE)))+IF(AND($P28&lt;&gt;"",$P28&lt;&gt;"O3/CP",$P$15=E$18,MID($P28,4,1)="2",$P$15&lt;&gt;$P$14),VLOOKUP(CONCATENATE(LEFT($P28,2),"L"),$R$63:$T$91,3,FALSE),0)+IF(AND($P28="O3/CP",$P$14=E$18),VLOOKUP("O3",$R$63:$T$91,3,FALSE)+VLOOKUP("CP",$R$63:$T$91,3,FALSE),0)+IF(AND($Q28&lt;&gt;"",$Q28&lt;&gt;"--",$Q28&lt;&gt;"O3/CP",$Q$14=E$18),IF(LEFT($Q28,1)="P",VLOOKUP(CONCATENATE(LEFT($Q28,2),"H"),$R$63:$T$91,3,FALSE),VLOOKUP($Q28,$R$63:$T$91,3,FALSE)))+IF(AND($Q28&lt;&gt;"",$Q28&lt;&gt;"O3/CP",$Q$15=E$18,MID($Q28,4,1)="2",$Q$15&lt;&gt;$Q$14),VLOOKUP(CONCATENATE(LEFT($Q28,2),"L"),$R$63:$T$91,3,FALSE),0)+IF(AND($Q28="O3/CP",$Q$14=E$18),VLOOKUP("O3",$R$63:$T$91,3,FALSE)+VLOOKUP("CP",$R$63:$T$91,3,FALSE),0)+IF(AND($R28&lt;&gt;"",$R28&lt;&gt;"--",$R28&lt;&gt;"O3/CP",$R$14=E$18),IF(LEFT($R28,1)="P",VLOOKUP(CONCATENATE(LEFT($R28,2),"H"),$R$63:$T$91,3,FALSE),VLOOKUP($R28,$R$63:$T$91,3,FALSE)))+IF(AND($R28&lt;&gt;"",$R28&lt;&gt;"O3/CP",$R$15=E$18,MID($R28,4,1)="2",$R$15&lt;&gt;$R$14),VLOOKUP(CONCATENATE(LEFT($R28,2),"L"),$R$63:$T$91,3,FALSE),0)+IF(AND($R28="O3/CP",$R$14=E$18),VLOOKUP("O3",$R$63:$T$91,3,FALSE)+VLOOKUP("CP",$R$63:$T$91,3,FALSE),0)+IF(AND($S28&lt;&gt;"",$S28&lt;&gt;"--",$S28&lt;&gt;"O3/CP",$S$14=E$18),IF(LEFT($S28,1)="P",VLOOKUP(CONCATENATE(LEFT($S28,2),"H"),$R$63:$T$91,3,FALSE),VLOOKUP($S28,$R$63:$T$91,3,FALSE)))+IF(AND($S28&lt;&gt;"",$S28&lt;&gt;"O3/CP",$S$15=E$18,MID($S28,4,1)="2",$S$15&lt;&gt;$S$14),VLOOKUP(CONCATENATE(LEFT($S28,2),"L"),$R$63:$T$91,3,FALSE),0)+IF(AND($S28="O3/CP",$S$14=E$18),VLOOKUP("O3",$R$63:$T$91,3,FALSE)+VLOOKUP("CP",$R$63:$T$91,3,FALSE),0)+IF(AND($T28&lt;&gt;"",$T28&lt;&gt;"--",$T28&lt;&gt;"O3/CP",$T$14=E$18),IF(LEFT($T28,1)="P",VLOOKUP(CONCATENATE(LEFT($T28,2),"H"),$R$63:$T$91,3,FALSE),VLOOKUP($T28,$R$63:$T$91,3,FALSE)))+IF(AND($T28&lt;&gt;"",$T28&lt;&gt;"O3/CP",$T$15=E$18,MID($T28,4,1)="2",$T$15&lt;&gt;$T$14),VLOOKUP(CONCATENATE(LEFT($T28,2),"L"),$R$63:$T$91,3,FALSE),0)+IF(AND($T28="O3/CP",$T$14=E$18),VLOOKUP("O3",$R$63:$T$91,3,FALSE)+VLOOKUP("CP",$R$63:$T$91,3,FALSE),0)+IF(AND($U28&lt;&gt;"",$U28&lt;&gt;"--",$U28&lt;&gt;"O3/CP",$U$14=E$18),IF(LEFT($U28,1)="P",VLOOKUP(CONCATENATE(LEFT($U28,2),"H"),$R$63:$T$91,3,FALSE),VLOOKUP($U28,$R$63:$T$91,3,FALSE)))+IF(AND($U28&lt;&gt;"",$U28&lt;&gt;"O3/CP",$U$15=E$18,MID($U28,4,1)="2",$U$15&lt;&gt;$U$14),VLOOKUP(CONCATENATE(LEFT($U28,2),"L"),$R$63:$T$91,3,FALSE),0)+IF(AND($U28="O3/CP",$T$14=E$18),VLOOKUP("O3",$R$63:$T$91,3,FALSE)+VLOOKUP("CP",$R$63:$T$91,3,FALSE),0)+IF(AND($V28&lt;&gt;"",$V28&lt;&gt;"--",$V28&lt;&gt;"O3/CP",$V$14=E$18),IF(LEFT($V28,1)="P",VLOOKUP(CONCATENATE(LEFT($V28,2),"H"),$R$63:$T$91,3,FALSE),VLOOKUP($V28,$R$63:$T$91,3,FALSE)))+IF(AND($V28&lt;&gt;"",$V28&lt;&gt;"O3/CP",$V$15=E$18,MID($V28,4,1)="2",$V$15&lt;&gt;$V$14),VLOOKUP(CONCATENATE(LEFT($V28,2),"L"),$R$63:$T$91,3,FALSE),0)+IF(AND($V28="O3/CP",$V$14=E$18),VLOOKUP("O3",$R$63:$T$91,3,FALSE)+VLOOKUP("CP",$R$63:$T$91,3,FALSE),0)+IF(AND($W28&lt;&gt;"",$W28&lt;&gt;"--",$W28&lt;&gt;"O3/CP",$W$14=E$18),IF(LEFT($W28,1)="P",VLOOKUP(CONCATENATE(LEFT($W28,2),"H"),$R$63:$T$91,3,FALSE),VLOOKUP($W28,$R$63:$T$91,3,FALSE)))+IF(AND($W28&lt;&gt;"",$W28&lt;&gt;"O3/CP",$W$15=E$18,MID($W28,4,1)="2",$W$15&lt;&gt;$W$14),VLOOKUP(CONCATENATE(LEFT($W28,2),"L"),$R$63:$T$91,3,FALSE),0)+IF(AND($W28="O3/CP",$W$14=E$18),VLOOKUP("O3",$R$63:$T$91,3,FALSE)+VLOOKUP("CP",$R$63:$T$91,3,FALSE),0)+IF(AND($X28&lt;&gt;"",$X28&lt;&gt;"--",$X28&lt;&gt;"O3/CP",$X$14=E$18),IF(LEFT($X28,1)="P",VLOOKUP(CONCATENATE(LEFT($X28,2),"H"),$R$63:$T$91,3,FALSE),VLOOKUP($X28,$R$63:$T$91,3,FALSE)))+IF(AND($X28&lt;&gt;"",$X28&lt;&gt;"O3/CP",$X$15=E$18,MID($X28,4,1)="2",$X$15&lt;&gt;$X$14),VLOOKUP(CONCATENATE(LEFT($X28,2),"L"),$R$63:$T$91,3,FALSE),0)+IF(AND($X28="O3/CP",$X$14=E$18),VLOOKUP("O3",$R$63:$T$91,3,FALSE)+VLOOKUP("CP",$R$63:$T$91,3,FALSE),0)+IF(AND($Y28&lt;&gt;"",$Y28&lt;&gt;"--",$Y28&lt;&gt;"O3/CP",$Y$14=E$18),IF(LEFT($Y28,1)="P",VLOOKUP(CONCATENATE(LEFT($Y28,2),"H"),$R$63:$T$91,3,FALSE),VLOOKUP($Y28,$R$63:$T$91,3,FALSE)))+IF(AND($Y28&lt;&gt;"",$Y28&lt;&gt;"O3/CP",$Y$15=E$18,MID($Y28,4,1)="2",$Y$15&lt;&gt;$Y$14),VLOOKUP(CONCATENATE(LEFT($Y28,2),"L"),$R$63:$T$91,3,FALSE),0)+IF(AND($Y28="O3/CP",$Y$14=E$18),VLOOKUP("O3",$R$63:$T$91,3,FALSE)+VLOOKUP("CP",$R$63:$T$91,3,FALSE),0)+IF(AND($K$6="CE",'[3]Supply Attribution'!$G$20=E$18),LEFT($S$90,2),0)+IF(AND($X$86&lt;&gt;"Not Set",$X$87=E$18),$X$86,0)</f>
        <v>0</v>
      </c>
      <c r="F28" s="268">
        <f>IF(AND($K28&lt;&gt;"",$K28&lt;&gt;"--",$K28&lt;&gt;"O3/CP",$K$14=F$18),IF(LEFT($K28,1)="P",VLOOKUP(CONCATENATE(LEFT($K28,2),"H"),$R$63:$T$91,3,FALSE),VLOOKUP($K28,$R$63:$T$91,3,FALSE)))+IF(AND($K28&lt;&gt;"",$K28&lt;&gt;"O3/CP",$K$15=F$18,MID($K28,4,1)="2",$K$15&lt;&gt;$K$14),VLOOKUP(CONCATENATE(LEFT($K28,2),"L"),$R$63:$T$91,3,FALSE),0)+IF(AND($K28="O3/CP",$K$14=F$18),VLOOKUP("O3",$R$63:$T$91,3,FALSE)+VLOOKUP("CP",$R$63:$T$91,3,FALSE),0)+IF(AND($L28&lt;&gt;"",$L28&lt;&gt;"--",$L28&lt;&gt;"O3/CP",$L$14=F$18),IF(LEFT($L28,1)="P",VLOOKUP(CONCATENATE(LEFT($L28,2),"H"),$R$63:$T$91,3,FALSE),VLOOKUP($L28,$R$63:$T$91,3,FALSE)))+IF(AND($L28&lt;&gt;"",$L28&lt;&gt;"O3/CP",$L$15=F$18,MID($L28,4,1)="2",$L$15&lt;&gt;$L$14),VLOOKUP(CONCATENATE(LEFT($L28,2),"L"),$R$63:$T$91,3,FALSE),0)+IF(AND($L28="O3/CP",$L$14=F$18),VLOOKUP("O3",$R$63:$T$91,3,FALSE)+VLOOKUP("CP",$R$63:$T$91,3,FALSE),0)+IF(AND($M28&lt;&gt;"",$M28&lt;&gt;"--",$M28&lt;&gt;"O3/CP",$M$14=F$18),IF(LEFT($M28,1)="P",VLOOKUP(CONCATENATE(LEFT($M28,2),"H"),$R$63:$T$91,3,FALSE),VLOOKUP($M28,$R$63:$T$91,3,FALSE)))+IF(AND($M28&lt;&gt;"",$M28&lt;&gt;"O3/CP",$M$15=F$18,MID($M28,4,1)="2",$M$15&lt;&gt;$M$14),VLOOKUP(CONCATENATE(LEFT($M28,2),"L"),$R$63:$T$91,3,FALSE),0)+IF(AND($M28="O3/CP",$M$14=F$18),VLOOKUP("O3",$R$63:$T$91,3,FALSE)+VLOOKUP("CP",$R$63:$T$91,3,FALSE),0)+IF(AND($N28&lt;&gt;"",$N28&lt;&gt;"--",$N28&lt;&gt;"O3/CP",$N$14=F$18),IF(LEFT($N28,1)="P",VLOOKUP(CONCATENATE(LEFT($N28,2),"H"),$R$63:$T$91,3,FALSE),VLOOKUP($N28,$R$63:$T$91,3,FALSE)))+IF(AND($N28&lt;&gt;"",$N28&lt;&gt;"O3/CP",$N$15=F$18,MID($N28,4,1)="2",$N$15&lt;&gt;$N$14),VLOOKUP(CONCATENATE(LEFT($N28,2),"L"),$R$63:$T$91,3,FALSE),0)+IF(AND($N28="O3/CP",$N$14=F$18),VLOOKUP("O3",$R$63:$T$91,3,FALSE)+VLOOKUP("CP",$R$63:$T$91,3,FALSE),0)+IF(AND($O28&lt;&gt;"",$O28&lt;&gt;"--",$O28&lt;&gt;"O3/CP",$O$14=F$18),IF(LEFT($O28,1)="P",VLOOKUP(CONCATENATE(LEFT($O28,2),"H"),$R$63:$T$91,3,FALSE),VLOOKUP($O28,$R$63:$T$91,3,FALSE)))+IF(AND($O28&lt;&gt;"",$O28&lt;&gt;"O3/CP",$O$15=F$18,MID($O28,4,1)="2",$O$15&lt;&gt;$O$14),VLOOKUP(CONCATENATE(LEFT($O28,2),"L"),$R$63:$T$91,3,FALSE),0)+IF(AND($O28="O3/CP",$O$14=F$18),VLOOKUP("O3",$R$63:$T$91,3,FALSE)+VLOOKUP("CP",$R$63:$T$91,3,FALSE),0)+IF(AND($P28&lt;&gt;"",$P28&lt;&gt;"--",$P28&lt;&gt;"O3/CP",$P$14=F$18),IF(LEFT($P28,1)="P",VLOOKUP(CONCATENATE(LEFT($P28,2),"H"),$R$63:$T$91,3,FALSE),VLOOKUP($P28,$R$63:$T$91,3,FALSE)))+IF(AND($P28&lt;&gt;"",$P28&lt;&gt;"O3/CP",$P$15=F$18,MID($P28,4,1)="2",$P$15&lt;&gt;$P$14),VLOOKUP(CONCATENATE(LEFT($P28,2),"L"),$R$63:$T$91,3,FALSE),0)+IF(AND($P28="O3/CP",$P$14=F$18),VLOOKUP("O3",$R$63:$T$91,3,FALSE)+VLOOKUP("CP",$R$63:$T$91,3,FALSE),0)+IF(AND($Q28&lt;&gt;"",$Q28&lt;&gt;"--",$Q28&lt;&gt;"O3/CP",$Q$14=F$18),IF(LEFT($Q28,1)="P",VLOOKUP(CONCATENATE(LEFT($Q28,2),"H"),$R$63:$T$91,3,FALSE),VLOOKUP($Q28,$R$63:$T$91,3,FALSE)))+IF(AND($Q28&lt;&gt;"",$Q28&lt;&gt;"O3/CP",$Q$15=F$18,MID($Q28,4,1)="2",$Q$15&lt;&gt;$Q$14),VLOOKUP(CONCATENATE(LEFT($Q28,2),"L"),$R$63:$T$91,3,FALSE),0)+IF(AND($Q28="O3/CP",$Q$14=F$18),VLOOKUP("O3",$R$63:$T$91,3,FALSE)+VLOOKUP("CP",$R$63:$T$91,3,FALSE),0)+IF(AND($R28&lt;&gt;"",$R28&lt;&gt;"--",$R28&lt;&gt;"O3/CP",$R$14=F$18),IF(LEFT($R28,1)="P",VLOOKUP(CONCATENATE(LEFT($R28,2),"H"),$R$63:$T$91,3,FALSE),VLOOKUP($R28,$R$63:$T$91,3,FALSE)))+IF(AND($R28&lt;&gt;"",$R28&lt;&gt;"O3/CP",$R$15=F$18,MID($R28,4,1)="2",$R$15&lt;&gt;$R$14),VLOOKUP(CONCATENATE(LEFT($R28,2),"L"),$R$63:$T$91,3,FALSE),0)+IF(AND($R28="O3/CP",$R$14=F$18),VLOOKUP("O3",$R$63:$T$91,3,FALSE)+VLOOKUP("CP",$R$63:$T$91,3,FALSE),0)+IF(AND($S28&lt;&gt;"",$S28&lt;&gt;"--",$S28&lt;&gt;"O3/CP",$S$14=F$18),IF(LEFT($S28,1)="P",VLOOKUP(CONCATENATE(LEFT($S28,2),"H"),$R$63:$T$91,3,FALSE),VLOOKUP($S28,$R$63:$T$91,3,FALSE)))+IF(AND($S28&lt;&gt;"",$S28&lt;&gt;"O3/CP",$S$15=F$18,MID($S28,4,1)="2",$S$15&lt;&gt;$S$14),VLOOKUP(CONCATENATE(LEFT($S28,2),"L"),$R$63:$T$91,3,FALSE),0)+IF(AND($S28="O3/CP",$S$14=F$18),VLOOKUP("O3",$R$63:$T$91,3,FALSE)+VLOOKUP("CP",$R$63:$T$91,3,FALSE),0)+IF(AND($T28&lt;&gt;"",$T28&lt;&gt;"--",$T28&lt;&gt;"O3/CP",$T$14=F$18),IF(LEFT($T28,1)="P",VLOOKUP(CONCATENATE(LEFT($T28,2),"H"),$R$63:$T$91,3,FALSE),VLOOKUP($T28,$R$63:$T$91,3,FALSE)))+IF(AND($T28&lt;&gt;"",$T28&lt;&gt;"O3/CP",$T$15=F$18,MID($T28,4,1)="2",$T$15&lt;&gt;$T$14),VLOOKUP(CONCATENATE(LEFT($T28,2),"L"),$R$63:$T$91,3,FALSE),0)+IF(AND($T28="O3/CP",$T$14=F$18),VLOOKUP("O3",$R$63:$T$91,3,FALSE)+VLOOKUP("CP",$R$63:$T$91,3,FALSE),0)+IF(AND($U28&lt;&gt;"",$U28&lt;&gt;"--",$U28&lt;&gt;"O3/CP",$U$14=F$18),IF(LEFT($U28,1)="P",VLOOKUP(CONCATENATE(LEFT($U28,2),"H"),$R$63:$T$91,3,FALSE),VLOOKUP($U28,$R$63:$T$91,3,FALSE)))+IF(AND($U28&lt;&gt;"",$U28&lt;&gt;"O3/CP",$U$15=F$18,MID($U28,4,1)="2",$U$15&lt;&gt;$U$14),VLOOKUP(CONCATENATE(LEFT($U28,2),"L"),$R$63:$T$91,3,FALSE),0)+IF(AND($U28="O3/CP",$T$14=F$18),VLOOKUP("O3",$R$63:$T$91,3,FALSE)+VLOOKUP("CP",$R$63:$T$91,3,FALSE),0)+IF(AND($V28&lt;&gt;"",$V28&lt;&gt;"--",$V28&lt;&gt;"O3/CP",$V$14=F$18),IF(LEFT($V28,1)="P",VLOOKUP(CONCATENATE(LEFT($V28,2),"H"),$R$63:$T$91,3,FALSE),VLOOKUP($V28,$R$63:$T$91,3,FALSE)))+IF(AND($V28&lt;&gt;"",$V28&lt;&gt;"O3/CP",$V$15=F$18,MID($V28,4,1)="2",$V$15&lt;&gt;$V$14),VLOOKUP(CONCATENATE(LEFT($V28,2),"L"),$R$63:$T$91,3,FALSE),0)+IF(AND($V28="O3/CP",$V$14=F$18),VLOOKUP("O3",$R$63:$T$91,3,FALSE)+VLOOKUP("CP",$R$63:$T$91,3,FALSE),0)+IF(AND($W28&lt;&gt;"",$W28&lt;&gt;"--",$W28&lt;&gt;"O3/CP",$W$14=F$18),IF(LEFT($W28,1)="P",VLOOKUP(CONCATENATE(LEFT($W28,2),"H"),$R$63:$T$91,3,FALSE),VLOOKUP($W28,$R$63:$T$91,3,FALSE)))+IF(AND($W28&lt;&gt;"",$W28&lt;&gt;"O3/CP",$W$15=F$18,MID($W28,4,1)="2",$W$15&lt;&gt;$W$14),VLOOKUP(CONCATENATE(LEFT($W28,2),"L"),$R$63:$T$91,3,FALSE),0)+IF(AND($W28="O3/CP",$W$14=F$18),VLOOKUP("O3",$R$63:$T$91,3,FALSE)+VLOOKUP("CP",$R$63:$T$91,3,FALSE),0)+IF(AND($X28&lt;&gt;"",$X28&lt;&gt;"--",$X28&lt;&gt;"O3/CP",$X$14=F$18),IF(LEFT($X28,1)="P",VLOOKUP(CONCATENATE(LEFT($X28,2),"H"),$R$63:$T$91,3,FALSE),VLOOKUP($X28,$R$63:$T$91,3,FALSE)))+IF(AND($X28&lt;&gt;"",$X28&lt;&gt;"O3/CP",$X$15=F$18,MID($X28,4,1)="2",$X$15&lt;&gt;$X$14),VLOOKUP(CONCATENATE(LEFT($X28,2),"L"),$R$63:$T$91,3,FALSE),0)+IF(AND($X28="O3/CP",$X$14=F$18),VLOOKUP("O3",$R$63:$T$91,3,FALSE)+VLOOKUP("CP",$R$63:$T$91,3,FALSE),0)+IF(AND($Y28&lt;&gt;"",$Y28&lt;&gt;"--",$Y28&lt;&gt;"O3/CP",$Y$14=F$18),IF(LEFT($Y28,1)="P",VLOOKUP(CONCATENATE(LEFT($Y28,2),"H"),$R$63:$T$91,3,FALSE),VLOOKUP($Y28,$R$63:$T$91,3,FALSE)))+IF(AND($Y28&lt;&gt;"",$Y28&lt;&gt;"O3/CP",$Y$15=F$18,MID($Y28,4,1)="2",$Y$15&lt;&gt;$Y$14),VLOOKUP(CONCATENATE(LEFT($Y28,2),"L"),$R$63:$T$91,3,FALSE),0)+IF(AND($Y28="O3/CP",$Y$14=F$18),VLOOKUP("O3",$R$63:$T$91,3,FALSE)+VLOOKUP("CP",$R$63:$T$91,3,FALSE),0)+IF(AND($K$6="CE",'[3]Supply Attribution'!$G$20=F$18),LEFT($S$90,2),0)+IF(AND($X$86&lt;&gt;"Not Set",$X$87=F$18),$X$86,0)</f>
        <v>0</v>
      </c>
      <c r="G28" s="269">
        <f>IF(AND($K$6="CE",$T$59="1 Phase"),SUM(A28:F28)-IF(AND($K$14&lt;&gt;$K$15,RIGHT($K28,3)="2SP"),VLOOKUP(CONCATENATE(LEFT($K28,2),"L"),$R$63:$T$90,3,FALSE),0)-IF(AND($L$14&lt;&gt;$L$15,RIGHT($L28,3)="2SP"),VLOOKUP(CONCATENATE(LEFT($L28,2),"L"),$R$63:$T$90,3,FALSE),0)-IF(AND($M$14&lt;&gt;$M$15,RIGHT($M28,3)="2SP"),VLOOKUP(CONCATENATE(LEFT($M28,2),"L"),$R$63:$T$90,3,FALSE),0)-IF(AND($N$14&lt;&gt;$N$15,RIGHT($N28,3)="2SP"),VLOOKUP(CONCATENATE(LEFT($N28,2),"L"),$R$63:$T$90,3,FALSE),0)-IF(AND($O$14&lt;&gt;$O$15,RIGHT($O28,3)="2SP"),VLOOKUP(CONCATENATE(LEFT($O28,2),"L"),$R$63:$T$90,3,FALSE),0)-IF(AND($P$14&lt;&gt;$P$15,RIGHT($P28,3)="2SP"),VLOOKUP(CONCATENATE(LEFT($P28,2),"L"),$R$63:$T$90,3,FALSE),0)-IF(AND($Q$14&lt;&gt;$Q$15,RIGHT($Q28,3)="2SP"),VLOOKUP(CONCATENATE(LEFT($Q28,2),"L"),$R$63:$T$90,3,FALSE),0)-IF(AND($R$14&lt;&gt;$R$15,RIGHT($T28,3)="2SP"),VLOOKUP(CONCATENATE(LEFT($R28,2),"L"),$R$63:$T$90,3,FALSE),0)-IF(AND($S$14&lt;&gt;$S$15,RIGHT($T28,3)="2SP"),VLOOKUP(CONCATENATE(LEFT($S28,2),"L"),$R$63:$T$90,3,FALSE),0)-IF(AND($T$14&lt;&gt;$T$15,RIGHT($T28,3)="2SP"),VLOOKUP(CONCATENATE(LEFT($T28,2),"L"),$R$63:$T$90,3,FALSE),0)-IF(AND($U$14&lt;&gt;$U$15,RIGHT($U28,3)="2SP"),VLOOKUP(CONCATENATE(LEFT($U28,2),"L"),$R$63:$T$90,3,FALSE),0)-IF(AND($V$14&lt;&gt;$V$15,RIGHT($V28,3)="2SP"),VLOOKUP(CONCATENATE(LEFT($V28,2),"L"),$R$63:$T$90,3,FALSE),0)-IF(AND($W$14&lt;&gt;$W$15,RIGHT($W28,3)="2SP"),VLOOKUP(CONCATENATE(LEFT($W28,2),"L"),$R$63:$T$90,3,FALSE),0)-IF(AND($X$14&lt;&gt;$X$15,RIGHT($X28,3)="2SP"),VLOOKUP(CONCATENATE(LEFT($X28,2),"L"),$R$63:$T$90,3,FALSE),0)-IF(AND($Y$14&lt;&gt;$Y$15,RIGHT($Y28,3)="2SP"),VLOOKUP(CONCATENATE(LEFT($Y28,2),"L"),$R$63:$T$90,3,FALSE),0),IF(VLOOKUP(CONCATENATE($A$18,"Line"),'[3]Supply Attribution'!$F$31:$G$37,2,FALSE)=G$18,$A28,0)+IF(VLOOKUP(CONCATENATE($B$18,"Line"),'[3]Supply Attribution'!$F$31:$G$37,2,FALSE)=G$18,$B28,0)+IF(VLOOKUP(CONCATENATE($C$18,"Line"),'[3]Supply Attribution'!$F$31:$G$37,2,FALSE)=G$18,$C28,0)+IF(VLOOKUP(CONCATENATE($D$18,"Line"),'[3]Supply Attribution'!$F$31:$G$37,2,FALSE)=G$18,$D28,0)+IF(VLOOKUP(CONCATENATE($E$18,"Line"),'[3]Supply Attribution'!$F$31:$G$37,2,FALSE)=G$18,$E28,0)+IF(VLOOKUP(CONCATENATE($F$18,"Line"),'[3]Supply Attribution'!$F$31:$G$37,2,FALSE)=G$18,$F28,0)+IF($K$6="UL",LEFT($S$90,2),0)-IF(AND($K$16=G$18,$K$14&lt;&gt;$K$15,$K$16=$K$17,RIGHT($K28,3)="2SP"),VLOOKUP(CONCATENATE(LEFT($K28,2),"L"),$R$63:$T$90,3,FALSE),0)-IF(AND($L$16=G$18,$L$14&lt;&gt;$L$15,$L$16=$L$17,RIGHT($L28,3)="2SP"),VLOOKUP(CONCATENATE(LEFT($L28,2),"L"),$R$63:$T$90,3,FALSE),0)-IF(AND($M$16=G$18,$M$14&lt;&gt;$M$15,$M$16=$M$17,RIGHT($M28,3)="2SP"),VLOOKUP(CONCATENATE(LEFT($M28,2),"L"),$R$63:$T$90,3,FALSE),0)-IF(AND($N$16=G$18,$N$14&lt;&gt;$N$15,$N$16=$N$17,RIGHT($N28,3)="2SP"),VLOOKUP(CONCATENATE(LEFT($N28,2),"L"),$R$63:$T$90,3,FALSE),0)-IF(AND($O$16=G$18,$O$14&lt;&gt;$O$15,$O$16=$O$17,RIGHT($O28,3)="2SP"),VLOOKUP(CONCATENATE(LEFT($O28,2),"L"),$R$63:$T$90,3,FALSE),0)-IF(AND($P$16=G$18,$P$14&lt;&gt;$P$15,$P$16=$P$17,RIGHT($P28,3)="2SP"),VLOOKUP(CONCATENATE(LEFT($P28,2),"L"),$R$63:$T$90,3,FALSE),0)-IF(AND($Q$16=G$18,$Q$14&lt;&gt;$Q$15,$Q$16=$Q$17,RIGHT($Q28,3)="2SP"),VLOOKUP(CONCATENATE(LEFT($Q28,2),"L"),$R$63:$T$90,3,FALSE),0)-IF(AND($R$16=G$18,$R$14&lt;&gt;$R$15,$R$16=$R$17,RIGHT($R28,3)="2SP"),VLOOKUP(CONCATENATE(LEFT($R28,2),"L"),$R$63:$T$90,3,FALSE),0)-IF(AND($S$16=G$18,$S$14&lt;&gt;$S$15,$S$16=$S$17,RIGHT($S28,3)="2SP"),VLOOKUP(CONCATENATE(LEFT($S28,2),"L"),$R$63:$T$90,3,FALSE),0)-IF(AND($T$16=G$18,$T$14&lt;&gt;$T$15,$T$16=$T$17,RIGHT($T28,3)="2SP"),VLOOKUP(CONCATENATE(LEFT($T28,2),"L"),$R$63:$T$90,3,FALSE),0)-IF(AND($U$16=G$18,$U$14&lt;&gt;$U$15,$U$16=$U$17,RIGHT($U28,3)="2SP"),VLOOKUP(CONCATENATE(LEFT($U28,2),"L"),$R$63:$T$90,3,FALSE),0)-IF(AND($V$16=G$18,$V$14&lt;&gt;$V$15,$V$16=$V$17,RIGHT($V28,3)="2SP"),VLOOKUP(CONCATENATE(LEFT($V28,2),"L"),$R$63:$T$90,3,FALSE),0)-IF(AND($W$16=G$18,$W$14&lt;&gt;$W$15,$W$16=$W$17,RIGHT($W28,3)="2SP"),VLOOKUP(CONCATENATE(LEFT($W28,2),"L"),$R$63:$T$90,3,FALSE),0)-IF(AND($X$16=G$18,$X$14&lt;&gt;$X$15,$X$16=$X$17,RIGHT($X28,3)="2SP"),VLOOKUP(CONCATENATE(LEFT($X28,2),"L"),$R$63:$T$90,3,FALSE),0)-IF(AND($Y$16=G$18,$Y$14&lt;&gt;$Y$15,$Y$16=$Y$17,RIGHT($Y28,3)="2SP"),VLOOKUP(CONCATENATE(LEFT($Y28,2),"L"),$R$63:$T$90,3,FALSE),0))</f>
        <v>30</v>
      </c>
      <c r="H28" s="269" t="str">
        <f>IF(H$18&lt;&gt;"",IF(VLOOKUP(CONCATENATE($A$18,"Line"),'Supply Attribution'!$F$31:$G$37,2,FALSE)=H$18,$A28,0)+IF(VLOOKUP(CONCATENATE($B$18,"Line"),'Supply Attribution'!$F$31:$G$37,2,FALSE)=H$18,$B28,0)+IF(VLOOKUP(CONCATENATE($C$18,"Line"),'Supply Attribution'!$F$31:$G$37,2,FALSE)=H$18,$C28,0)+IF(VLOOKUP(CONCATENATE($D$18,"Line"),'Supply Attribution'!$F$31:$G$37,2,FALSE)=H$18,$D28,0)+IF(VLOOKUP(CONCATENATE($E$18,"Line"),'Supply Attribution'!$F$31:$G$37,2,FALSE)=H$18,$E28,0)+IF(VLOOKUP(CONCATENATE($F$18,"Line"),'Supply Attribution'!$F$31:$G$37,2,FALSE)=H$18,$F28,0)+IF($K$6="UL",LEFT($S$90,2),0)-IF(AND($K$16=H$18,$K$14&lt;&gt;$K$15,$K$16=$K$17,RIGHT($K28,3)="2SP"),VLOOKUP(CONCATENATE(LEFT($K28,2),"L"),$R$63:$T$90,3,FALSE),0)-IF(AND($L$16=H$18,$L$14&lt;&gt;$L$15,$L$16=$L$17,RIGHT($L28,3)="2SP"),VLOOKUP(CONCATENATE(LEFT($L28,2),"L"),$R$63:$T$90,3,FALSE),0)-IF(AND($M$16=H$18,$M$14&lt;&gt;$M$15,$M$16=$M$17,RIGHT($M28,3)="2SP"),VLOOKUP(CONCATENATE(LEFT($M28,2),"L"),$R$63:$T$90,3,FALSE),0)-IF(AND($N$16=H$18,$N$14&lt;&gt;$N$15,$N$16=$N$17,RIGHT($N28,3)="2SP"),VLOOKUP(CONCATENATE(LEFT($N28,2),"L"),$R$63:$T$90,3,FALSE),0)-IF(AND($O$16=H$18,$O$14&lt;&gt;$O$15,$O$16=$O$17,RIGHT($O28,3)="2SP"),VLOOKUP(CONCATENATE(LEFT($O28,2),"L"),$R$63:$T$90,3,FALSE),0)-IF(AND($P$16=H$18,$P$14&lt;&gt;$P$15,$P$16=$P$17,RIGHT($P28,3)="2SP"),VLOOKUP(CONCATENATE(LEFT($P28,2),"L"),$R$63:$T$90,3,FALSE),0)-IF(AND($Q$16=H$18,$Q$14&lt;&gt;$Q$15,$Q$16=$Q$17,RIGHT($Q28,3)="2SP"),VLOOKUP(CONCATENATE(LEFT($Q28,2),"L"),$R$63:$T$90,3,FALSE),0)-IF(AND($T$16=H$18,$T$14&lt;&gt;$T$15,$T$16=$T$17,RIGHT($T28,3)="2SP"),VLOOKUP(CONCATENATE(LEFT($T28,2),"L"),$R$63:$T$90,3,FALSE),0)-IF(AND($U$16=H$18,$U$14&lt;&gt;$U$15,$U$16=$U$17,RIGHT($U28,3)="2SP"),VLOOKUP(CONCATENATE(LEFT($U28,2),"L"),$R$63:$T$90,3,FALSE),0)-IF(AND($V$16=H$18,$V$14&lt;&gt;$V$15,$V$16=$V$17,RIGHT($V28,3)="2SP"),VLOOKUP(CONCATENATE(LEFT($V28,2),"L"),$R$63:$T$90,3,FALSE),0)-IF(AND($W$16=H$18,$W$14&lt;&gt;$W$15,$W$16=$W$17,RIGHT($W28,3)="2SP"),VLOOKUP(CONCATENATE(LEFT($W28,2),"L"),$R$63:$T$90,3,FALSE),0)-IF(AND($X$16=H$18,$X$14&lt;&gt;$X$15,$X$16=$X$17,RIGHT($X28,3)="2SP"),VLOOKUP(CONCATENATE(LEFT($X28,2),"L"),$R$63:$T$90,3,FALSE),0)-IF(AND($Y$16=H$18,$Y$14&lt;&gt;$Y$15,$Y$16=$Y$17,RIGHT($Y28,3)="2SP"),VLOOKUP(CONCATENATE(LEFT($Y28,2),"L"),$R$63:$T$90,3,FALSE),0)+IF(AND($K$6="CE",$T$59="2 Phases",H$18&lt;&gt;""),IF(VLOOKUP(CONCATENATE($A$18,"Line"),'Supply Attribution'!$F$31:$G$37,2,FALSE)="Line3",$A28,0)+IF(VLOOKUP(CONCATENATE($B$18,"Line"),'Supply Attribution'!$F$31:$G$37,2,FALSE)="Line3",$B28,0)+IF(VLOOKUP(CONCATENATE($C$18,"Line"),'Supply Attribution'!$F$31:$G$37,2,FALSE)="Line3",$C28,0)+IF(VLOOKUP(CONCATENATE($D$18,"Line"),'Supply Attribution'!$F$31:$G$37,2,FALSE)="Line3",$D28,0)+IF(VLOOKUP(CONCATENATE($E$18,"Line"),'Supply Attribution'!$F$31:$G$37,2,FALSE)="Line3",$E28,0)+IF(VLOOKUP(CONCATENATE($F$18,"Line"),'Supply Attribution'!$F$31:$G$37,2,FALSE)="Line3",$F28,0)-IF(AND($K$16=I$18,$K$14&lt;&gt;$K$15,$K$16=$K$17,RIGHT($K28,3)="2SP"),VLOOKUP(CONCATENATE(LEFT($K28,2),"L"),$R$63:$T$90,3,FALSE),0)-IF(AND($L$16=I$18,$L$14&lt;&gt;$L$15,$L$16=$L$17,RIGHT($L28,3)="2SP"),VLOOKUP(CONCATENATE(LEFT($L28,2),"L"),$R$63:$T$90,3,FALSE),0)-IF(AND($M$16=I$18,$M$14&lt;&gt;$M$15,$M$16=$M$17,RIGHT($M28,3)="2SP"),VLOOKUP(CONCATENATE(LEFT($M28,2),"L"),$R$63:$T$90,3,FALSE),0)-IF(AND($N$16=I$18,$N$14&lt;&gt;$N$15,$N$16=$N$17,RIGHT($N28,3)="2SP"),VLOOKUP(CONCATENATE(LEFT($N28,2),"L"),$R$63:$T$90,3,FALSE),0)-IF(AND($O$16=I$18,$O$14&lt;&gt;$O$15,$O$16=$O$17,RIGHT($O28,3)="2SP"),VLOOKUP(CONCATENATE(LEFT($O28,2),"L"),$R$63:$T$90,3,FALSE),0)-IF(AND($P$16=I$18,$P$14&lt;&gt;$P$15,$P$16=$P$17,RIGHT($P28,3)="2SP"),VLOOKUP(CONCATENATE(LEFT($P28,2),"L"),$R$63:$T$90,3,FALSE),0)-IF(AND($Q$16=I$18,$Q$14&lt;&gt;$Q$15,$Q$16=$Q$17,RIGHT($Q28,3)="2SP"),VLOOKUP(CONCATENATE(LEFT($Q28,2),"L"),$R$63:$T$90,3,FALSE),0)-IF(AND($T$16=I$18,$T$14&lt;&gt;$T$15,$T$16=$T$17,RIGHT($T28,3)="2SP"),VLOOKUP(CONCATENATE(LEFT($T28,2),"L"),$R$63:$T$90,3,FALSE),0)-IF(AND($U$16=I$18,$U$14&lt;&gt;$U$15,$U$16=$U$17,RIGHT($U28,3)="2SP"),VLOOKUP(CONCATENATE(LEFT($U28,2),"L"),$R$63:$T$90,3,FALSE),0)-IF(AND($V$16=I$18,$V$14&lt;&gt;$V$15,$V$16=$V$17,RIGHT($V28,3)="2SP"),VLOOKUP(CONCATENATE(LEFT($V28,2),"L"),$R$63:$T$90,3,FALSE),0)-IF(AND($W$16=I$18,$W$14&lt;&gt;$W$15,$W$16=$W$17,RIGHT($W28,3)="2SP"),VLOOKUP(CONCATENATE(LEFT($W28,2),"L"),$R$63:$T$90,3,FALSE),0)-IF(AND($X$16=I$18,$X$14&lt;&gt;$X$15,$X$16=$X$17,RIGHT($X28,3)="2SP"),VLOOKUP(CONCATENATE(LEFT($X28,2),"L"),$R$63:$T$90,3,FALSE),0)-IF(AND($Y$16=I$18,$Y$14&lt;&gt;$Y$15,$Y$16=$Y$17,RIGHT($Y28,3)="2SP"),VLOOKUP(CONCATENATE(LEFT($Y28,2),"L"),$R$63:$T$90,3,FALSE),0),0),"")</f>
        <v/>
      </c>
      <c r="I28" s="269" t="str">
        <f>IF(I$18&lt;&gt;"",IF(VLOOKUP(CONCATENATE($A$18,"Line"),'Supply Attribution'!$F$31:$G$37,2,FALSE)=I$18,$A28,0)+IF(VLOOKUP(CONCATENATE($B$18,"Line"),'Supply Attribution'!$F$31:$G$37,2,FALSE)=I$18,$B28,0)+IF(VLOOKUP(CONCATENATE($C$18,"Line"),'Supply Attribution'!$F$31:$G$37,2,FALSE)=I$18,$C28,0)+IF(VLOOKUP(CONCATENATE($D$18,"Line"),'Supply Attribution'!$F$31:$G$37,2,FALSE)=I$18,$D28,0)+IF(VLOOKUP(CONCATENATE($E$18,"Line"),'Supply Attribution'!$F$31:$G$37,2,FALSE)=I$18,$E28,0)+IF(VLOOKUP(CONCATENATE($F$18,"Line"),'Supply Attribution'!$F$31:$G$37,2,FALSE)=I$18,$F28,0)+IF($K$6="UL",LEFT($S$90,2),0)-IF(AND($K$16=I$18,$K$14&lt;&gt;$K$15,$K$16=$K$17,RIGHT($K28,3)="2SP"),VLOOKUP(CONCATENATE(LEFT($K28,2),"L"),$R$63:$T$90,3,FALSE),0)-IF(AND($L$16=I$18,$L$14&lt;&gt;$L$15,$L$16=$L$17,RIGHT($L28,3)="2SP"),VLOOKUP(CONCATENATE(LEFT($L28,2),"L"),$R$63:$T$90,3,FALSE),0)-IF(AND($M$16=I$18,$M$14&lt;&gt;$M$15,$M$16=$M$17,RIGHT($M28,3)="2SP"),VLOOKUP(CONCATENATE(LEFT($M28,2),"L"),$R$63:$T$90,3,FALSE),0)-IF(AND($N$16=I$18,$N$14&lt;&gt;$N$15,$N$16=$N$17,RIGHT($N28,3)="2SP"),VLOOKUP(CONCATENATE(LEFT($N28,2),"L"),$R$63:$T$90,3,FALSE),0)-IF(AND($O$16=I$18,$O$14&lt;&gt;$O$15,$O$16=$O$17,RIGHT($O28,3)="2SP"),VLOOKUP(CONCATENATE(LEFT($O28,2),"L"),$R$63:$T$90,3,FALSE),0)-IF(AND($P$16=I$18,$P$14&lt;&gt;$P$15,$P$16=$P$17,RIGHT($P28,3)="2SP"),VLOOKUP(CONCATENATE(LEFT($P28,2),"L"),$R$63:$T$90,3,FALSE),0)-IF(AND($Q$16=I$18,$Q$14&lt;&gt;$Q$15,$Q$16=$Q$17,RIGHT($Q28,3)="2SP"),VLOOKUP(CONCATENATE(LEFT($Q28,2),"L"),$R$63:$T$90,3,FALSE),0)-IF(AND($T$16=I$18,$T$14&lt;&gt;$T$15,$T$16=$T$17,RIGHT($T28,3)="2SP"),VLOOKUP(CONCATENATE(LEFT($T28,2),"L"),$R$63:$T$90,3,FALSE),0)-IF(AND($U$16=I$18,$U$14&lt;&gt;$U$15,$U$16=$U$17,RIGHT($U28,3)="2SP"),VLOOKUP(CONCATENATE(LEFT($U28,2),"L"),$R$63:$T$90,3,FALSE),0)-IF(AND($V$16=I$18,$V$14&lt;&gt;$V$15,$V$16=$V$17,RIGHT($V28,3)="2SP"),VLOOKUP(CONCATENATE(LEFT($V28,2),"L"),$R$63:$T$90,3,FALSE),0)-IF(AND($W$16=I$18,$W$14&lt;&gt;$W$15,$W$16=$W$17,RIGHT($W28,3)="2SP"),VLOOKUP(CONCATENATE(LEFT($W28,2),"L"),$R$63:$T$90,3,FALSE),0)-IF(AND($X$16=I$18,$X$14&lt;&gt;$X$15,$X$16=$X$17,RIGHT($X28,3)="2SP"),VLOOKUP(CONCATENATE(LEFT($X28,2),"L"),$R$63:$T$90,3,FALSE),0)-IF(AND($Y$16=I$18,$Y$14&lt;&gt;$Y$15,$Y$16=$Y$17,RIGHT($Y28,3)="2SP"),VLOOKUP(CONCATENATE(LEFT($Y28,2),"L"),$R$63:$T$90,3,FALSE),0),"")</f>
        <v/>
      </c>
      <c r="J28" s="134">
        <v>143</v>
      </c>
      <c r="K28" s="135" t="s">
        <v>24</v>
      </c>
      <c r="L28" s="135" t="s">
        <v>24</v>
      </c>
      <c r="M28" s="135" t="s">
        <v>388</v>
      </c>
      <c r="N28" s="135" t="s">
        <v>24</v>
      </c>
      <c r="O28" s="135" t="s">
        <v>286</v>
      </c>
      <c r="P28" s="135"/>
      <c r="Q28" s="135"/>
      <c r="R28" s="135"/>
      <c r="S28" s="135"/>
      <c r="T28" s="135"/>
      <c r="U28" s="135"/>
      <c r="V28" s="135"/>
      <c r="W28" s="135"/>
      <c r="X28" s="135"/>
      <c r="Y28" s="135"/>
      <c r="Z28" s="136"/>
      <c r="AA28" s="136"/>
      <c r="AB28" s="137"/>
      <c r="AC28" s="137"/>
      <c r="AD28" s="137"/>
      <c r="AE28" s="138">
        <f t="shared" si="0"/>
        <v>143</v>
      </c>
      <c r="AF28" s="78"/>
    </row>
    <row r="29" spans="1:32" ht="13.15" customHeight="1">
      <c r="A29" s="264">
        <f>IF(AND($K29&lt;&gt;"",$K29&lt;&gt;"--",$K29&lt;&gt;"O3/CP",$K$14=A$18),IF(LEFT($K29,1)="P",VLOOKUP(CONCATENATE(LEFT($K29,2),"H"),$R$63:$T$91,3,FALSE),VLOOKUP($K29,$R$63:$T$91,3,FALSE)))+IF(AND($K29&lt;&gt;"",$K29&lt;&gt;"O3/CP",$K$15=A$18,MID($K29,4,1)="2",$K$15&lt;&gt;$K$14),VLOOKUP(CONCATENATE(LEFT($K29,2),"L"),$R$63:$T$91,3,FALSE),0)+IF(AND($K29="O3/CP",$K$14=A$18),VLOOKUP("O3",$R$63:$T$91,3,FALSE)+VLOOKUP("CP",$R$63:$T$91,3,FALSE),0)+IF(AND($L29&lt;&gt;"",$L29&lt;&gt;"--",$L29&lt;&gt;"O3/CP",$L$14=A$18),IF(LEFT($L29,1)="P",VLOOKUP(CONCATENATE(LEFT($L29,2),"H"),$R$63:$T$91,3,FALSE),VLOOKUP($L29,$R$63:$T$91,3,FALSE)))+IF(AND($L29&lt;&gt;"",$L29&lt;&gt;"O3/CP",$L$15=A$18,MID($L29,4,1)="2",$L$15&lt;&gt;$L$14),VLOOKUP(CONCATENATE(LEFT($L29,2),"L"),$R$63:$T$91,3,FALSE),0)+IF(AND($L29="O3/CP",$L$14=A$18),VLOOKUP("O3",$R$63:$T$91,3,FALSE)+VLOOKUP("CP",$R$63:$T$91,3,FALSE),0)+IF(AND($M29&lt;&gt;"",$M29&lt;&gt;"--",$M29&lt;&gt;"O3/CP",$M$14=A$18),IF(LEFT($M29,1)="P",VLOOKUP(CONCATENATE(LEFT($M29,2),"H"),$R$63:$T$91,3,FALSE),VLOOKUP($M29,$R$63:$T$91,3,FALSE)))+IF(AND($M29&lt;&gt;"",$M29&lt;&gt;"O3/CP",$M$15=A$18,MID($M29,4,1)="2",$M$15&lt;&gt;$M$14),VLOOKUP(CONCATENATE(LEFT($M29,2),"L"),$R$63:$T$91,3,FALSE),0)+IF(AND($M29="O3/CP",$M$14=A$18),VLOOKUP("O3",$R$63:$T$91,3,FALSE)+VLOOKUP("CP",$R$63:$T$91,3,FALSE),0)+IF(AND($N29&lt;&gt;"",$N29&lt;&gt;"--",$N29&lt;&gt;"O3/CP",$N$14=A$18),IF(LEFT($N29,1)="P",VLOOKUP(CONCATENATE(LEFT($N29,2),"H"),$R$63:$T$91,3,FALSE),VLOOKUP($N29,$R$63:$T$91,3,FALSE)))+IF(AND($N29&lt;&gt;"",$N29&lt;&gt;"O3/CP",$N$15=A$18,MID($N29,4,1)="2",$N$15&lt;&gt;$N$14),VLOOKUP(CONCATENATE(LEFT($N29,2),"L"),$R$63:$T$91,3,FALSE),0)+IF(AND($N29="O3/CP",$N$14=A$18),VLOOKUP("O3",$R$63:$T$91,3,FALSE)+VLOOKUP("CP",$R$63:$T$91,3,FALSE),0)+IF(AND($O29&lt;&gt;"",$O29&lt;&gt;"--",$O29&lt;&gt;"O3/CP",$O$14=A$18),IF(LEFT($O29,1)="P",VLOOKUP(CONCATENATE(LEFT($O29,2),"H"),$R$63:$T$91,3,FALSE),VLOOKUP($O29,$R$63:$T$91,3,FALSE)))+IF(AND($O29&lt;&gt;"",$O29&lt;&gt;"O3/CP",$O$15=A$18,MID($O29,4,1)="2",$O$15&lt;&gt;$O$14),VLOOKUP(CONCATENATE(LEFT($O29,2),"L"),$R$63:$T$91,3,FALSE),0)+IF(AND($O29="O3/CP",$O$14=A$18),VLOOKUP("O3",$R$63:$T$91,3,FALSE)+VLOOKUP("CP",$R$63:$T$91,3,FALSE),0)+IF(AND($P29&lt;&gt;"",$P29&lt;&gt;"--",$P29&lt;&gt;"O3/CP",$P$14=A$18),IF(LEFT($P29,1)="P",VLOOKUP(CONCATENATE(LEFT($P29,2),"H"),$R$63:$T$91,3,FALSE),VLOOKUP($P29,$R$63:$T$91,3,FALSE)))+IF(AND($P29&lt;&gt;"",$P29&lt;&gt;"O3/CP",$P$15=A$18,MID($P29,4,1)="2",$P$15&lt;&gt;$P$14),VLOOKUP(CONCATENATE(LEFT($P29,2),"L"),$R$63:$T$91,3,FALSE),0)+IF(AND($P29="O3/CP",$P$14=A$18),VLOOKUP("O3",$R$63:$T$91,3,FALSE)+VLOOKUP("CP",$R$63:$T$91,3,FALSE),0)+IF(AND($Q29&lt;&gt;"",$Q29&lt;&gt;"--",$Q29&lt;&gt;"O3/CP",$Q$14=A$18),IF(LEFT($Q29,1)="P",VLOOKUP(CONCATENATE(LEFT($Q29,2),"H"),$R$63:$T$91,3,FALSE),VLOOKUP($Q29,$R$63:$T$91,3,FALSE)))+IF(AND($Q29&lt;&gt;"",$Q29&lt;&gt;"O3/CP",$Q$15=A$18,MID($Q29,4,1)="2",$Q$15&lt;&gt;$Q$14),VLOOKUP(CONCATENATE(LEFT($Q29,2),"L"),$R$63:$T$91,3,FALSE),0)+IF(AND($Q29="O3/CP",$Q$14=A$18),VLOOKUP("O3",$R$63:$T$91,3,FALSE)+VLOOKUP("CP",$R$63:$T$91,3,FALSE),0)+IF(AND($R29&lt;&gt;"",$R29&lt;&gt;"--",$R29&lt;&gt;"O3/CP",$R$14=A$18),IF(LEFT($R29,1)="P",VLOOKUP(CONCATENATE(LEFT($R29,2),"H"),$R$63:$T$91,3,FALSE),VLOOKUP($R29,$R$63:$T$91,3,FALSE)))+IF(AND($R29&lt;&gt;"",$R29&lt;&gt;"O3/CP",$R$15=A$18,MID($R29,4,1)="2",$R$15&lt;&gt;$R$14),VLOOKUP(CONCATENATE(LEFT($R29,2),"L"),$R$63:$T$91,3,FALSE),0)+IF(AND($R29="O3/CP",$R$14=A$18),VLOOKUP("O3",$R$63:$T$91,3,FALSE)+VLOOKUP("CP",$R$63:$T$91,3,FALSE),0)+IF(AND($S29&lt;&gt;"",$S29&lt;&gt;"--",$S29&lt;&gt;"O3/CP",$S$14=A$18),IF(LEFT($S29,1)="P",VLOOKUP(CONCATENATE(LEFT($S29,2),"H"),$R$63:$T$91,3,FALSE),VLOOKUP($S29,$R$63:$T$91,3,FALSE)))+IF(AND($S29&lt;&gt;"",$S29&lt;&gt;"O3/CP",$S$15=A$18,MID($S29,4,1)="2",$S$15&lt;&gt;$S$14),VLOOKUP(CONCATENATE(LEFT($S29,2),"L"),$R$63:$T$91,3,FALSE),0)+IF(AND($S29="O3/CP",$S$14=A$18),VLOOKUP("O3",$R$63:$T$91,3,FALSE)+VLOOKUP("CP",$R$63:$T$91,3,FALSE),0)+IF(AND($T29&lt;&gt;"",$T29&lt;&gt;"--",$T29&lt;&gt;"O3/CP",$T$14=A$18),IF(LEFT($T29,1)="P",VLOOKUP(CONCATENATE(LEFT($T29,2),"H"),$R$63:$T$91,3,FALSE),VLOOKUP($T29,$R$63:$T$91,3,FALSE)))+IF(AND($T29&lt;&gt;"",$T29&lt;&gt;"O3/CP",$T$15=A$18,MID($T29,4,1)="2",$T$15&lt;&gt;$T$14),VLOOKUP(CONCATENATE(LEFT($T29,2),"L"),$R$63:$T$91,3,FALSE),0)+IF(AND($T29="O3/CP",$T$14=A$18),VLOOKUP("O3",$R$63:$T$91,3,FALSE)+VLOOKUP("CP",$R$63:$T$91,3,FALSE),0)+IF(AND($U29&lt;&gt;"",$U29&lt;&gt;"--",$U29&lt;&gt;"O3/CP",$U$14=A$18),IF(LEFT($U29,1)="P",VLOOKUP(CONCATENATE(LEFT($U29,2),"H"),$R$63:$T$91,3,FALSE),VLOOKUP($U29,$R$63:$T$91,3,FALSE)))+IF(AND($U29&lt;&gt;"",$U29&lt;&gt;"O3/CP",$U$15=A$18,MID($U29,4,1)="2",$U$15&lt;&gt;$U$14),VLOOKUP(CONCATENATE(LEFT($U29,2),"L"),$R$63:$T$91,3,FALSE),0)+IF(AND($U29="O3/CP",$T$14=A$18),VLOOKUP("O3",$R$63:$T$91,3,FALSE)+VLOOKUP("CP",$R$63:$T$91,3,FALSE),0)+IF(AND($V29&lt;&gt;"",$V29&lt;&gt;"--",$V29&lt;&gt;"O3/CP",$V$14=A$18),IF(LEFT($V29,1)="P",VLOOKUP(CONCATENATE(LEFT($V29,2),"H"),$R$63:$T$91,3,FALSE),VLOOKUP($V29,$R$63:$T$91,3,FALSE)))+IF(AND($V29&lt;&gt;"",$V29&lt;&gt;"O3/CP",$V$15=A$18,MID($V29,4,1)="2",$V$15&lt;&gt;$V$14),VLOOKUP(CONCATENATE(LEFT($V29,2),"L"),$R$63:$T$91,3,FALSE),0)+IF(AND($V29="O3/CP",$V$14=A$18),VLOOKUP("O3",$R$63:$T$91,3,FALSE)+VLOOKUP("CP",$R$63:$T$91,3,FALSE),0)+IF(AND($W29&lt;&gt;"",$W29&lt;&gt;"--",$W29&lt;&gt;"O3/CP",$W$14=A$18),IF(LEFT($W29,1)="P",VLOOKUP(CONCATENATE(LEFT($W29,2),"H"),$R$63:$T$91,3,FALSE),VLOOKUP($W29,$R$63:$T$91,3,FALSE)))+IF(AND($W29&lt;&gt;"",$W29&lt;&gt;"O3/CP",$W$15=A$18,MID($W29,4,1)="2",$W$15&lt;&gt;$W$14),VLOOKUP(CONCATENATE(LEFT($W29,2),"L"),$R$63:$T$91,3,FALSE),0)+IF(AND($W29="O3/CP",$W$14=A$18),VLOOKUP("O3",$R$63:$T$91,3,FALSE)+VLOOKUP("CP",$R$63:$T$91,3,FALSE),0)+IF(AND($X29&lt;&gt;"",$X29&lt;&gt;"--",$X29&lt;&gt;"O3/CP",$X$14=A$18),IF(LEFT($X29,1)="P",VLOOKUP(CONCATENATE(LEFT($X29,2),"H"),$R$63:$T$91,3,FALSE),VLOOKUP($X29,$R$63:$T$91,3,FALSE)))+IF(AND($X29&lt;&gt;"",$X29&lt;&gt;"O3/CP",$X$15=A$18,MID($X29,4,1)="2",$X$15&lt;&gt;$X$14),VLOOKUP(CONCATENATE(LEFT($X29,2),"L"),$R$63:$T$91,3,FALSE),0)+IF(AND($X29="O3/CP",$X$14=A$18),VLOOKUP("O3",$R$63:$T$91,3,FALSE)+VLOOKUP("CP",$R$63:$T$91,3,FALSE),0)+IF(AND($Y29&lt;&gt;"",$Y29&lt;&gt;"--",$Y29&lt;&gt;"O3/CP",$Y$14=A$18),IF(LEFT($Y29,1)="P",VLOOKUP(CONCATENATE(LEFT($Y29,2),"H"),$R$63:$T$91,3,FALSE),VLOOKUP($Y29,$R$63:$T$91,3,FALSE)))+IF(AND($Y29&lt;&gt;"",$Y29&lt;&gt;"O3/CP",$Y$15=A$18,MID($Y29,4,1)="2",$Y$15&lt;&gt;$Y$14),VLOOKUP(CONCATENATE(LEFT($Y29,2),"L"),$R$63:$T$91,3,FALSE),0)+IF(AND($Y29="O3/CP",$Y$14=A$18),VLOOKUP("O3",$R$63:$T$91,3,FALSE)+VLOOKUP("CP",$R$63:$T$91,3,FALSE),0)+IF(AND($K$6="CE",'[3]Supply Attribution'!$G$20=A$18),LEFT($S$90,2),0)+IF(AND($X$86&lt;&gt;"Not Set",$X$87=A$18),$X$86,0)</f>
        <v>0</v>
      </c>
      <c r="B29" s="271">
        <f>IF(AND($K29&lt;&gt;"",$K29&lt;&gt;"--",$K29&lt;&gt;"O3/CP",$K$14=B$18),IF(LEFT($K29,1)="P",VLOOKUP(CONCATENATE(LEFT($K29,2),"H"),$R$63:$T$91,3,FALSE),VLOOKUP($K29,$R$63:$T$91,3,FALSE)))+IF(AND($K29&lt;&gt;"",$K29&lt;&gt;"O3/CP",$K$15=B$18,MID($K29,4,1)="2",$K$15&lt;&gt;$K$14),VLOOKUP(CONCATENATE(LEFT($K29,2),"L"),$R$63:$T$91,3,FALSE),0)+IF(AND($K29="O3/CP",$K$14=B$18),VLOOKUP("O3",$R$63:$T$91,3,FALSE)+VLOOKUP("CP",$R$63:$T$91,3,FALSE),0)+IF(AND($L29&lt;&gt;"",$L29&lt;&gt;"--",$L29&lt;&gt;"O3/CP",$L$14=B$18),IF(LEFT($L29,1)="P",VLOOKUP(CONCATENATE(LEFT($L29,2),"H"),$R$63:$T$91,3,FALSE),VLOOKUP($L29,$R$63:$T$91,3,FALSE)))+IF(AND($L29&lt;&gt;"",$L29&lt;&gt;"O3/CP",$L$15=B$18,MID($L29,4,1)="2",$L$15&lt;&gt;$L$14),VLOOKUP(CONCATENATE(LEFT($L29,2),"L"),$R$63:$T$91,3,FALSE),0)+IF(AND($L29="O3/CP",$L$14=B$18),VLOOKUP("O3",$R$63:$T$91,3,FALSE)+VLOOKUP("CP",$R$63:$T$91,3,FALSE),0)+IF(AND($M29&lt;&gt;"",$M29&lt;&gt;"--",$M29&lt;&gt;"O3/CP",$M$14=B$18),IF(LEFT($M29,1)="P",VLOOKUP(CONCATENATE(LEFT($M29,2),"H"),$R$63:$T$91,3,FALSE),VLOOKUP($M29,$R$63:$T$91,3,FALSE)))+IF(AND($M29&lt;&gt;"",$M29&lt;&gt;"O3/CP",$M$15=B$18,MID($M29,4,1)="2",$M$15&lt;&gt;$M$14),VLOOKUP(CONCATENATE(LEFT($M29,2),"L"),$R$63:$T$91,3,FALSE),0)+IF(AND($M29="O3/CP",$M$14=B$18),VLOOKUP("O3",$R$63:$T$91,3,FALSE)+VLOOKUP("CP",$R$63:$T$91,3,FALSE),0)+IF(AND($N29&lt;&gt;"",$N29&lt;&gt;"--",$N29&lt;&gt;"O3/CP",$N$14=B$18),IF(LEFT($N29,1)="P",VLOOKUP(CONCATENATE(LEFT($N29,2),"H"),$R$63:$T$91,3,FALSE),VLOOKUP($N29,$R$63:$T$91,3,FALSE)))+IF(AND($N29&lt;&gt;"",$N29&lt;&gt;"O3/CP",$N$15=B$18,MID($N29,4,1)="2",$N$15&lt;&gt;$N$14),VLOOKUP(CONCATENATE(LEFT($N29,2),"L"),$R$63:$T$91,3,FALSE),0)+IF(AND($N29="O3/CP",$N$14=B$18),VLOOKUP("O3",$R$63:$T$91,3,FALSE)+VLOOKUP("CP",$R$63:$T$91,3,FALSE),0)+IF(AND($O29&lt;&gt;"",$O29&lt;&gt;"--",$O29&lt;&gt;"O3/CP",$O$14=B$18),IF(LEFT($O29,1)="P",VLOOKUP(CONCATENATE(LEFT($O29,2),"H"),$R$63:$T$91,3,FALSE),VLOOKUP($O29,$R$63:$T$91,3,FALSE)))+IF(AND($O29&lt;&gt;"",$O29&lt;&gt;"O3/CP",$O$15=B$18,MID($O29,4,1)="2",$O$15&lt;&gt;$O$14),VLOOKUP(CONCATENATE(LEFT($O29,2),"L"),$R$63:$T$91,3,FALSE),0)+IF(AND($O29="O3/CP",$O$14=B$18),VLOOKUP("O3",$R$63:$T$91,3,FALSE)+VLOOKUP("CP",$R$63:$T$91,3,FALSE),0)+IF(AND($P29&lt;&gt;"",$P29&lt;&gt;"--",$P29&lt;&gt;"O3/CP",$P$14=B$18),IF(LEFT($P29,1)="P",VLOOKUP(CONCATENATE(LEFT($P29,2),"H"),$R$63:$T$91,3,FALSE),VLOOKUP($P29,$R$63:$T$91,3,FALSE)))+IF(AND($P29&lt;&gt;"",$P29&lt;&gt;"O3/CP",$P$15=B$18,MID($P29,4,1)="2",$P$15&lt;&gt;$P$14),VLOOKUP(CONCATENATE(LEFT($P29,2),"L"),$R$63:$T$91,3,FALSE),0)+IF(AND($P29="O3/CP",$P$14=B$18),VLOOKUP("O3",$R$63:$T$91,3,FALSE)+VLOOKUP("CP",$R$63:$T$91,3,FALSE),0)+IF(AND($Q29&lt;&gt;"",$Q29&lt;&gt;"--",$Q29&lt;&gt;"O3/CP",$Q$14=B$18),IF(LEFT($Q29,1)="P",VLOOKUP(CONCATENATE(LEFT($Q29,2),"H"),$R$63:$T$91,3,FALSE),VLOOKUP($Q29,$R$63:$T$91,3,FALSE)))+IF(AND($Q29&lt;&gt;"",$Q29&lt;&gt;"O3/CP",$Q$15=B$18,MID($Q29,4,1)="2",$Q$15&lt;&gt;$Q$14),VLOOKUP(CONCATENATE(LEFT($Q29,2),"L"),$R$63:$T$91,3,FALSE),0)+IF(AND($Q29="O3/CP",$Q$14=B$18),VLOOKUP("O3",$R$63:$T$91,3,FALSE)+VLOOKUP("CP",$R$63:$T$91,3,FALSE),0)+IF(AND($R29&lt;&gt;"",$R29&lt;&gt;"--",$R29&lt;&gt;"O3/CP",$R$14=B$18),IF(LEFT($R29,1)="P",VLOOKUP(CONCATENATE(LEFT($R29,2),"H"),$R$63:$T$91,3,FALSE),VLOOKUP($R29,$R$63:$T$91,3,FALSE)))+IF(AND($R29&lt;&gt;"",$R29&lt;&gt;"O3/CP",$R$15=B$18,MID($R29,4,1)="2",$R$15&lt;&gt;$R$14),VLOOKUP(CONCATENATE(LEFT($R29,2),"L"),$R$63:$T$91,3,FALSE),0)+IF(AND($R29="O3/CP",$R$14=B$18),VLOOKUP("O3",$R$63:$T$91,3,FALSE)+VLOOKUP("CP",$R$63:$T$91,3,FALSE),0)+IF(AND($S29&lt;&gt;"",$S29&lt;&gt;"--",$S29&lt;&gt;"O3/CP",$S$14=B$18),IF(LEFT($S29,1)="P",VLOOKUP(CONCATENATE(LEFT($S29,2),"H"),$R$63:$T$91,3,FALSE),VLOOKUP($S29,$R$63:$T$91,3,FALSE)))+IF(AND($S29&lt;&gt;"",$S29&lt;&gt;"O3/CP",$S$15=B$18,MID($S29,4,1)="2",$S$15&lt;&gt;$S$14),VLOOKUP(CONCATENATE(LEFT($S29,2),"L"),$R$63:$T$91,3,FALSE),0)+IF(AND($S29="O3/CP",$S$14=B$18),VLOOKUP("O3",$R$63:$T$91,3,FALSE)+VLOOKUP("CP",$R$63:$T$91,3,FALSE),0)+IF(AND($T29&lt;&gt;"",$T29&lt;&gt;"--",$T29&lt;&gt;"O3/CP",$T$14=B$18),IF(LEFT($T29,1)="P",VLOOKUP(CONCATENATE(LEFT($T29,2),"H"),$R$63:$T$91,3,FALSE),VLOOKUP($T29,$R$63:$T$91,3,FALSE)))+IF(AND($T29&lt;&gt;"",$T29&lt;&gt;"O3/CP",$T$15=B$18,MID($T29,4,1)="2",$T$15&lt;&gt;$T$14),VLOOKUP(CONCATENATE(LEFT($T29,2),"L"),$R$63:$T$91,3,FALSE),0)+IF(AND($T29="O3/CP",$T$14=B$18),VLOOKUP("O3",$R$63:$T$91,3,FALSE)+VLOOKUP("CP",$R$63:$T$91,3,FALSE),0)+IF(AND($U29&lt;&gt;"",$U29&lt;&gt;"--",$U29&lt;&gt;"O3/CP",$U$14=B$18),IF(LEFT($U29,1)="P",VLOOKUP(CONCATENATE(LEFT($U29,2),"H"),$R$63:$T$91,3,FALSE),VLOOKUP($U29,$R$63:$T$91,3,FALSE)))+IF(AND($U29&lt;&gt;"",$U29&lt;&gt;"O3/CP",$U$15=B$18,MID($U29,4,1)="2",$U$15&lt;&gt;$U$14),VLOOKUP(CONCATENATE(LEFT($U29,2),"L"),$R$63:$T$91,3,FALSE),0)+IF(AND($U29="O3/CP",$T$14=B$18),VLOOKUP("O3",$R$63:$T$91,3,FALSE)+VLOOKUP("CP",$R$63:$T$91,3,FALSE),0)+IF(AND($V29&lt;&gt;"",$V29&lt;&gt;"--",$V29&lt;&gt;"O3/CP",$V$14=B$18),IF(LEFT($V29,1)="P",VLOOKUP(CONCATENATE(LEFT($V29,2),"H"),$R$63:$T$91,3,FALSE),VLOOKUP($V29,$R$63:$T$91,3,FALSE)))+IF(AND($V29&lt;&gt;"",$V29&lt;&gt;"O3/CP",$V$15=B$18,MID($V29,4,1)="2",$V$15&lt;&gt;$V$14),VLOOKUP(CONCATENATE(LEFT($V29,2),"L"),$R$63:$T$91,3,FALSE),0)+IF(AND($V29="O3/CP",$V$14=B$18),VLOOKUP("O3",$R$63:$T$91,3,FALSE)+VLOOKUP("CP",$R$63:$T$91,3,FALSE),0)+IF(AND($W29&lt;&gt;"",$W29&lt;&gt;"--",$W29&lt;&gt;"O3/CP",$W$14=B$18),IF(LEFT($W29,1)="P",VLOOKUP(CONCATENATE(LEFT($W29,2),"H"),$R$63:$T$91,3,FALSE),VLOOKUP($W29,$R$63:$T$91,3,FALSE)))+IF(AND($W29&lt;&gt;"",$W29&lt;&gt;"O3/CP",$W$15=B$18,MID($W29,4,1)="2",$W$15&lt;&gt;$W$14),VLOOKUP(CONCATENATE(LEFT($W29,2),"L"),$R$63:$T$91,3,FALSE),0)+IF(AND($W29="O3/CP",$W$14=B$18),VLOOKUP("O3",$R$63:$T$91,3,FALSE)+VLOOKUP("CP",$R$63:$T$91,3,FALSE),0)+IF(AND($X29&lt;&gt;"",$X29&lt;&gt;"--",$X29&lt;&gt;"O3/CP",$X$14=B$18),IF(LEFT($X29,1)="P",VLOOKUP(CONCATENATE(LEFT($X29,2),"H"),$R$63:$T$91,3,FALSE),VLOOKUP($X29,$R$63:$T$91,3,FALSE)))+IF(AND($X29&lt;&gt;"",$X29&lt;&gt;"O3/CP",$X$15=B$18,MID($X29,4,1)="2",$X$15&lt;&gt;$X$14),VLOOKUP(CONCATENATE(LEFT($X29,2),"L"),$R$63:$T$91,3,FALSE),0)+IF(AND($X29="O3/CP",$X$14=B$18),VLOOKUP("O3",$R$63:$T$91,3,FALSE)+VLOOKUP("CP",$R$63:$T$91,3,FALSE),0)+IF(AND($Y29&lt;&gt;"",$Y29&lt;&gt;"--",$Y29&lt;&gt;"O3/CP",$Y$14=B$18),IF(LEFT($Y29,1)="P",VLOOKUP(CONCATENATE(LEFT($Y29,2),"H"),$R$63:$T$91,3,FALSE),VLOOKUP($Y29,$R$63:$T$91,3,FALSE)))+IF(AND($Y29&lt;&gt;"",$Y29&lt;&gt;"O3/CP",$Y$15=B$18,MID($Y29,4,1)="2",$Y$15&lt;&gt;$Y$14),VLOOKUP(CONCATENATE(LEFT($Y29,2),"L"),$R$63:$T$91,3,FALSE),0)+IF(AND($Y29="O3/CP",$Y$14=B$18),VLOOKUP("O3",$R$63:$T$91,3,FALSE)+VLOOKUP("CP",$R$63:$T$91,3,FALSE),0)+IF(AND($K$6="CE",'[3]Supply Attribution'!$G$20=B$18),LEFT($S$90,2),0)+IF(AND($X$86&lt;&gt;"Not Set",$X$87=B$18),$X$86,0)</f>
        <v>0</v>
      </c>
      <c r="C29" s="271">
        <f>IF(AND($K29&lt;&gt;"",$K29&lt;&gt;"--",$K29&lt;&gt;"O3/CP",$K$14=C$18),IF(LEFT($K29,1)="P",VLOOKUP(CONCATENATE(LEFT($K29,2),"H"),$R$63:$T$91,3,FALSE),VLOOKUP($K29,$R$63:$T$91,3,FALSE)))+IF(AND($K29&lt;&gt;"",$K29&lt;&gt;"O3/CP",$K$15=C$18,MID($K29,4,1)="2",$K$15&lt;&gt;$K$14),VLOOKUP(CONCATENATE(LEFT($K29,2),"L"),$R$63:$T$91,3,FALSE),0)+IF(AND($K29="O3/CP",$K$14=C$18),VLOOKUP("O3",$R$63:$T$91,3,FALSE)+VLOOKUP("CP",$R$63:$T$91,3,FALSE),0)+IF(AND($L29&lt;&gt;"",$L29&lt;&gt;"--",$L29&lt;&gt;"O3/CP",$L$14=C$18),IF(LEFT($L29,1)="P",VLOOKUP(CONCATENATE(LEFT($L29,2),"H"),$R$63:$T$91,3,FALSE),VLOOKUP($L29,$R$63:$T$91,3,FALSE)))+IF(AND($L29&lt;&gt;"",$L29&lt;&gt;"O3/CP",$L$15=C$18,MID($L29,4,1)="2",$L$15&lt;&gt;$L$14),VLOOKUP(CONCATENATE(LEFT($L29,2),"L"),$R$63:$T$91,3,FALSE),0)+IF(AND($L29="O3/CP",$L$14=C$18),VLOOKUP("O3",$R$63:$T$91,3,FALSE)+VLOOKUP("CP",$R$63:$T$91,3,FALSE),0)+IF(AND($M29&lt;&gt;"",$M29&lt;&gt;"--",$M29&lt;&gt;"O3/CP",$M$14=C$18),IF(LEFT($M29,1)="P",VLOOKUP(CONCATENATE(LEFT($M29,2),"H"),$R$63:$T$91,3,FALSE),VLOOKUP($M29,$R$63:$T$91,3,FALSE)))+IF(AND($M29&lt;&gt;"",$M29&lt;&gt;"O3/CP",$M$15=C$18,MID($M29,4,1)="2",$M$15&lt;&gt;$M$14),VLOOKUP(CONCATENATE(LEFT($M29,2),"L"),$R$63:$T$91,3,FALSE),0)+IF(AND($M29="O3/CP",$M$14=C$18),VLOOKUP("O3",$R$63:$T$91,3,FALSE)+VLOOKUP("CP",$R$63:$T$91,3,FALSE),0)+IF(AND($N29&lt;&gt;"",$N29&lt;&gt;"--",$N29&lt;&gt;"O3/CP",$N$14=C$18),IF(LEFT($N29,1)="P",VLOOKUP(CONCATENATE(LEFT($N29,2),"H"),$R$63:$T$91,3,FALSE),VLOOKUP($N29,$R$63:$T$91,3,FALSE)))+IF(AND($N29&lt;&gt;"",$N29&lt;&gt;"O3/CP",$N$15=C$18,MID($N29,4,1)="2",$N$15&lt;&gt;$N$14),VLOOKUP(CONCATENATE(LEFT($N29,2),"L"),$R$63:$T$91,3,FALSE),0)+IF(AND($N29="O3/CP",$N$14=C$18),VLOOKUP("O3",$R$63:$T$91,3,FALSE)+VLOOKUP("CP",$R$63:$T$91,3,FALSE),0)+IF(AND($O29&lt;&gt;"",$O29&lt;&gt;"--",$O29&lt;&gt;"O3/CP",$O$14=C$18),IF(LEFT($O29,1)="P",VLOOKUP(CONCATENATE(LEFT($O29,2),"H"),$R$63:$T$91,3,FALSE),VLOOKUP($O29,$R$63:$T$91,3,FALSE)))+IF(AND($O29&lt;&gt;"",$O29&lt;&gt;"O3/CP",$O$15=C$18,MID($O29,4,1)="2",$O$15&lt;&gt;$O$14),VLOOKUP(CONCATENATE(LEFT($O29,2),"L"),$R$63:$T$91,3,FALSE),0)+IF(AND($O29="O3/CP",$O$14=C$18),VLOOKUP("O3",$R$63:$T$91,3,FALSE)+VLOOKUP("CP",$R$63:$T$91,3,FALSE),0)+IF(AND($P29&lt;&gt;"",$P29&lt;&gt;"--",$P29&lt;&gt;"O3/CP",$P$14=C$18),IF(LEFT($P29,1)="P",VLOOKUP(CONCATENATE(LEFT($P29,2),"H"),$R$63:$T$91,3,FALSE),VLOOKUP($P29,$R$63:$T$91,3,FALSE)))+IF(AND($P29&lt;&gt;"",$P29&lt;&gt;"O3/CP",$P$15=C$18,MID($P29,4,1)="2",$P$15&lt;&gt;$P$14),VLOOKUP(CONCATENATE(LEFT($P29,2),"L"),$R$63:$T$91,3,FALSE),0)+IF(AND($P29="O3/CP",$P$14=C$18),VLOOKUP("O3",$R$63:$T$91,3,FALSE)+VLOOKUP("CP",$R$63:$T$91,3,FALSE),0)+IF(AND($Q29&lt;&gt;"",$Q29&lt;&gt;"--",$Q29&lt;&gt;"O3/CP",$Q$14=C$18),IF(LEFT($Q29,1)="P",VLOOKUP(CONCATENATE(LEFT($Q29,2),"H"),$R$63:$T$91,3,FALSE),VLOOKUP($Q29,$R$63:$T$91,3,FALSE)))+IF(AND($Q29&lt;&gt;"",$Q29&lt;&gt;"O3/CP",$Q$15=C$18,MID($Q29,4,1)="2",$Q$15&lt;&gt;$Q$14),VLOOKUP(CONCATENATE(LEFT($Q29,2),"L"),$R$63:$T$91,3,FALSE),0)+IF(AND($Q29="O3/CP",$Q$14=C$18),VLOOKUP("O3",$R$63:$T$91,3,FALSE)+VLOOKUP("CP",$R$63:$T$91,3,FALSE),0)+IF(AND($R29&lt;&gt;"",$R29&lt;&gt;"--",$R29&lt;&gt;"O3/CP",$R$14=C$18),IF(LEFT($R29,1)="P",VLOOKUP(CONCATENATE(LEFT($R29,2),"H"),$R$63:$T$91,3,FALSE),VLOOKUP($R29,$R$63:$T$91,3,FALSE)))+IF(AND($R29&lt;&gt;"",$R29&lt;&gt;"O3/CP",$R$15=C$18,MID($R29,4,1)="2",$R$15&lt;&gt;$R$14),VLOOKUP(CONCATENATE(LEFT($R29,2),"L"),$R$63:$T$91,3,FALSE),0)+IF(AND($R29="O3/CP",$R$14=C$18),VLOOKUP("O3",$R$63:$T$91,3,FALSE)+VLOOKUP("CP",$R$63:$T$91,3,FALSE),0)+IF(AND($S29&lt;&gt;"",$S29&lt;&gt;"--",$S29&lt;&gt;"O3/CP",$S$14=C$18),IF(LEFT($S29,1)="P",VLOOKUP(CONCATENATE(LEFT($S29,2),"H"),$R$63:$T$91,3,FALSE),VLOOKUP($S29,$R$63:$T$91,3,FALSE)))+IF(AND($S29&lt;&gt;"",$S29&lt;&gt;"O3/CP",$S$15=C$18,MID($S29,4,1)="2",$S$15&lt;&gt;$S$14),VLOOKUP(CONCATENATE(LEFT($S29,2),"L"),$R$63:$T$91,3,FALSE),0)+IF(AND($S29="O3/CP",$S$14=C$18),VLOOKUP("O3",$R$63:$T$91,3,FALSE)+VLOOKUP("CP",$R$63:$T$91,3,FALSE),0)+IF(AND($T29&lt;&gt;"",$T29&lt;&gt;"--",$T29&lt;&gt;"O3/CP",$T$14=C$18),IF(LEFT($T29,1)="P",VLOOKUP(CONCATENATE(LEFT($T29,2),"H"),$R$63:$T$91,3,FALSE),VLOOKUP($T29,$R$63:$T$91,3,FALSE)))+IF(AND($T29&lt;&gt;"",$T29&lt;&gt;"O3/CP",$T$15=C$18,MID($T29,4,1)="2",$T$15&lt;&gt;$T$14),VLOOKUP(CONCATENATE(LEFT($T29,2),"L"),$R$63:$T$91,3,FALSE),0)+IF(AND($T29="O3/CP",$T$14=C$18),VLOOKUP("O3",$R$63:$T$91,3,FALSE)+VLOOKUP("CP",$R$63:$T$91,3,FALSE),0)+IF(AND($U29&lt;&gt;"",$U29&lt;&gt;"--",$U29&lt;&gt;"O3/CP",$U$14=C$18),IF(LEFT($U29,1)="P",VLOOKUP(CONCATENATE(LEFT($U29,2),"H"),$R$63:$T$91,3,FALSE),VLOOKUP($U29,$R$63:$T$91,3,FALSE)))+IF(AND($U29&lt;&gt;"",$U29&lt;&gt;"O3/CP",$U$15=C$18,MID($U29,4,1)="2",$U$15&lt;&gt;$U$14),VLOOKUP(CONCATENATE(LEFT($U29,2),"L"),$R$63:$T$91,3,FALSE),0)+IF(AND($U29="O3/CP",$T$14=C$18),VLOOKUP("O3",$R$63:$T$91,3,FALSE)+VLOOKUP("CP",$R$63:$T$91,3,FALSE),0)+IF(AND($V29&lt;&gt;"",$V29&lt;&gt;"--",$V29&lt;&gt;"O3/CP",$V$14=C$18),IF(LEFT($V29,1)="P",VLOOKUP(CONCATENATE(LEFT($V29,2),"H"),$R$63:$T$91,3,FALSE),VLOOKUP($V29,$R$63:$T$91,3,FALSE)))+IF(AND($V29&lt;&gt;"",$V29&lt;&gt;"O3/CP",$V$15=C$18,MID($V29,4,1)="2",$V$15&lt;&gt;$V$14),VLOOKUP(CONCATENATE(LEFT($V29,2),"L"),$R$63:$T$91,3,FALSE),0)+IF(AND($V29="O3/CP",$V$14=C$18),VLOOKUP("O3",$R$63:$T$91,3,FALSE)+VLOOKUP("CP",$R$63:$T$91,3,FALSE),0)+IF(AND($W29&lt;&gt;"",$W29&lt;&gt;"--",$W29&lt;&gt;"O3/CP",$W$14=C$18),IF(LEFT($W29,1)="P",VLOOKUP(CONCATENATE(LEFT($W29,2),"H"),$R$63:$T$91,3,FALSE),VLOOKUP($W29,$R$63:$T$91,3,FALSE)))+IF(AND($W29&lt;&gt;"",$W29&lt;&gt;"O3/CP",$W$15=C$18,MID($W29,4,1)="2",$W$15&lt;&gt;$W$14),VLOOKUP(CONCATENATE(LEFT($W29,2),"L"),$R$63:$T$91,3,FALSE),0)+IF(AND($W29="O3/CP",$W$14=C$18),VLOOKUP("O3",$R$63:$T$91,3,FALSE)+VLOOKUP("CP",$R$63:$T$91,3,FALSE),0)+IF(AND($X29&lt;&gt;"",$X29&lt;&gt;"--",$X29&lt;&gt;"O3/CP",$X$14=C$18),IF(LEFT($X29,1)="P",VLOOKUP(CONCATENATE(LEFT($X29,2),"H"),$R$63:$T$91,3,FALSE),VLOOKUP($X29,$R$63:$T$91,3,FALSE)))+IF(AND($X29&lt;&gt;"",$X29&lt;&gt;"O3/CP",$X$15=C$18,MID($X29,4,1)="2",$X$15&lt;&gt;$X$14),VLOOKUP(CONCATENATE(LEFT($X29,2),"L"),$R$63:$T$91,3,FALSE),0)+IF(AND($X29="O3/CP",$X$14=C$18),VLOOKUP("O3",$R$63:$T$91,3,FALSE)+VLOOKUP("CP",$R$63:$T$91,3,FALSE),0)+IF(AND($Y29&lt;&gt;"",$Y29&lt;&gt;"--",$Y29&lt;&gt;"O3/CP",$Y$14=C$18),IF(LEFT($Y29,1)="P",VLOOKUP(CONCATENATE(LEFT($Y29,2),"H"),$R$63:$T$91,3,FALSE),VLOOKUP($Y29,$R$63:$T$91,3,FALSE)))+IF(AND($Y29&lt;&gt;"",$Y29&lt;&gt;"O3/CP",$Y$15=C$18,MID($Y29,4,1)="2",$Y$15&lt;&gt;$Y$14),VLOOKUP(CONCATENATE(LEFT($Y29,2),"L"),$R$63:$T$91,3,FALSE),0)+IF(AND($Y29="O3/CP",$Y$14=C$18),VLOOKUP("O3",$R$63:$T$91,3,FALSE)+VLOOKUP("CP",$R$63:$T$91,3,FALSE),0)+IF(AND($K$6="CE",'[3]Supply Attribution'!$G$20=C$18),LEFT($S$90,2),0)+IF(AND($X$86&lt;&gt;"Not Set",$X$87=C$18),$X$86,0)</f>
        <v>0</v>
      </c>
      <c r="D29" s="271">
        <f>IF(AND($K29&lt;&gt;"",$K29&lt;&gt;"--",$K29&lt;&gt;"O3/CP",$K$14=D$18),IF(LEFT($K29,1)="P",VLOOKUP(CONCATENATE(LEFT($K29,2),"H"),$R$63:$T$91,3,FALSE),VLOOKUP($K29,$R$63:$T$91,3,FALSE)))+IF(AND($K29&lt;&gt;"",$K29&lt;&gt;"O3/CP",$K$15=D$18,MID($K29,4,1)="2",$K$15&lt;&gt;$K$14),VLOOKUP(CONCATENATE(LEFT($K29,2),"L"),$R$63:$T$91,3,FALSE),0)+IF(AND($K29="O3/CP",$K$14=D$18),VLOOKUP("O3",$R$63:$T$91,3,FALSE)+VLOOKUP("CP",$R$63:$T$91,3,FALSE),0)+IF(AND($L29&lt;&gt;"",$L29&lt;&gt;"--",$L29&lt;&gt;"O3/CP",$L$14=D$18),IF(LEFT($L29,1)="P",VLOOKUP(CONCATENATE(LEFT($L29,2),"H"),$R$63:$T$91,3,FALSE),VLOOKUP($L29,$R$63:$T$91,3,FALSE)))+IF(AND($L29&lt;&gt;"",$L29&lt;&gt;"O3/CP",$L$15=D$18,MID($L29,4,1)="2",$L$15&lt;&gt;$L$14),VLOOKUP(CONCATENATE(LEFT($L29,2),"L"),$R$63:$T$91,3,FALSE),0)+IF(AND($L29="O3/CP",$L$14=D$18),VLOOKUP("O3",$R$63:$T$91,3,FALSE)+VLOOKUP("CP",$R$63:$T$91,3,FALSE),0)+IF(AND($M29&lt;&gt;"",$M29&lt;&gt;"--",$M29&lt;&gt;"O3/CP",$M$14=D$18),IF(LEFT($M29,1)="P",VLOOKUP(CONCATENATE(LEFT($M29,2),"H"),$R$63:$T$91,3,FALSE),VLOOKUP($M29,$R$63:$T$91,3,FALSE)))+IF(AND($M29&lt;&gt;"",$M29&lt;&gt;"O3/CP",$M$15=D$18,MID($M29,4,1)="2",$M$15&lt;&gt;$M$14),VLOOKUP(CONCATENATE(LEFT($M29,2),"L"),$R$63:$T$91,3,FALSE),0)+IF(AND($M29="O3/CP",$M$14=D$18),VLOOKUP("O3",$R$63:$T$91,3,FALSE)+VLOOKUP("CP",$R$63:$T$91,3,FALSE),0)+IF(AND($N29&lt;&gt;"",$N29&lt;&gt;"--",$N29&lt;&gt;"O3/CP",$N$14=D$18),IF(LEFT($N29,1)="P",VLOOKUP(CONCATENATE(LEFT($N29,2),"H"),$R$63:$T$91,3,FALSE),VLOOKUP($N29,$R$63:$T$91,3,FALSE)))+IF(AND($N29&lt;&gt;"",$N29&lt;&gt;"O3/CP",$N$15=D$18,MID($N29,4,1)="2",$N$15&lt;&gt;$N$14),VLOOKUP(CONCATENATE(LEFT($N29,2),"L"),$R$63:$T$91,3,FALSE),0)+IF(AND($N29="O3/CP",$N$14=D$18),VLOOKUP("O3",$R$63:$T$91,3,FALSE)+VLOOKUP("CP",$R$63:$T$91,3,FALSE),0)+IF(AND($O29&lt;&gt;"",$O29&lt;&gt;"--",$O29&lt;&gt;"O3/CP",$O$14=D$18),IF(LEFT($O29,1)="P",VLOOKUP(CONCATENATE(LEFT($O29,2),"H"),$R$63:$T$91,3,FALSE),VLOOKUP($O29,$R$63:$T$91,3,FALSE)))+IF(AND($O29&lt;&gt;"",$O29&lt;&gt;"O3/CP",$O$15=D$18,MID($O29,4,1)="2",$O$15&lt;&gt;$O$14),VLOOKUP(CONCATENATE(LEFT($O29,2),"L"),$R$63:$T$91,3,FALSE),0)+IF(AND($O29="O3/CP",$O$14=D$18),VLOOKUP("O3",$R$63:$T$91,3,FALSE)+VLOOKUP("CP",$R$63:$T$91,3,FALSE),0)+IF(AND($P29&lt;&gt;"",$P29&lt;&gt;"--",$P29&lt;&gt;"O3/CP",$P$14=D$18),IF(LEFT($P29,1)="P",VLOOKUP(CONCATENATE(LEFT($P29,2),"H"),$R$63:$T$91,3,FALSE),VLOOKUP($P29,$R$63:$T$91,3,FALSE)))+IF(AND($P29&lt;&gt;"",$P29&lt;&gt;"O3/CP",$P$15=D$18,MID($P29,4,1)="2",$P$15&lt;&gt;$P$14),VLOOKUP(CONCATENATE(LEFT($P29,2),"L"),$R$63:$T$91,3,FALSE),0)+IF(AND($P29="O3/CP",$P$14=D$18),VLOOKUP("O3",$R$63:$T$91,3,FALSE)+VLOOKUP("CP",$R$63:$T$91,3,FALSE),0)+IF(AND($Q29&lt;&gt;"",$Q29&lt;&gt;"--",$Q29&lt;&gt;"O3/CP",$Q$14=D$18),IF(LEFT($Q29,1)="P",VLOOKUP(CONCATENATE(LEFT($Q29,2),"H"),$R$63:$T$91,3,FALSE),VLOOKUP($Q29,$R$63:$T$91,3,FALSE)))+IF(AND($Q29&lt;&gt;"",$Q29&lt;&gt;"O3/CP",$Q$15=D$18,MID($Q29,4,1)="2",$Q$15&lt;&gt;$Q$14),VLOOKUP(CONCATENATE(LEFT($Q29,2),"L"),$R$63:$T$91,3,FALSE),0)+IF(AND($Q29="O3/CP",$Q$14=D$18),VLOOKUP("O3",$R$63:$T$91,3,FALSE)+VLOOKUP("CP",$R$63:$T$91,3,FALSE),0)+IF(AND($R29&lt;&gt;"",$R29&lt;&gt;"--",$R29&lt;&gt;"O3/CP",$R$14=D$18),IF(LEFT($R29,1)="P",VLOOKUP(CONCATENATE(LEFT($R29,2),"H"),$R$63:$T$91,3,FALSE),VLOOKUP($R29,$R$63:$T$91,3,FALSE)))+IF(AND($R29&lt;&gt;"",$R29&lt;&gt;"O3/CP",$R$15=D$18,MID($R29,4,1)="2",$R$15&lt;&gt;$R$14),VLOOKUP(CONCATENATE(LEFT($R29,2),"L"),$R$63:$T$91,3,FALSE),0)+IF(AND($R29="O3/CP",$R$14=D$18),VLOOKUP("O3",$R$63:$T$91,3,FALSE)+VLOOKUP("CP",$R$63:$T$91,3,FALSE),0)+IF(AND($S29&lt;&gt;"",$S29&lt;&gt;"--",$S29&lt;&gt;"O3/CP",$S$14=D$18),IF(LEFT($S29,1)="P",VLOOKUP(CONCATENATE(LEFT($S29,2),"H"),$R$63:$T$91,3,FALSE),VLOOKUP($S29,$R$63:$T$91,3,FALSE)))+IF(AND($S29&lt;&gt;"",$S29&lt;&gt;"O3/CP",$S$15=D$18,MID($S29,4,1)="2",$S$15&lt;&gt;$S$14),VLOOKUP(CONCATENATE(LEFT($S29,2),"L"),$R$63:$T$91,3,FALSE),0)+IF(AND($S29="O3/CP",$S$14=D$18),VLOOKUP("O3",$R$63:$T$91,3,FALSE)+VLOOKUP("CP",$R$63:$T$91,3,FALSE),0)+IF(AND($T29&lt;&gt;"",$T29&lt;&gt;"--",$T29&lt;&gt;"O3/CP",$T$14=D$18),IF(LEFT($T29,1)="P",VLOOKUP(CONCATENATE(LEFT($T29,2),"H"),$R$63:$T$91,3,FALSE),VLOOKUP($T29,$R$63:$T$91,3,FALSE)))+IF(AND($T29&lt;&gt;"",$T29&lt;&gt;"O3/CP",$T$15=D$18,MID($T29,4,1)="2",$T$15&lt;&gt;$T$14),VLOOKUP(CONCATENATE(LEFT($T29,2),"L"),$R$63:$T$91,3,FALSE),0)+IF(AND($T29="O3/CP",$T$14=D$18),VLOOKUP("O3",$R$63:$T$91,3,FALSE)+VLOOKUP("CP",$R$63:$T$91,3,FALSE),0)+IF(AND($U29&lt;&gt;"",$U29&lt;&gt;"--",$U29&lt;&gt;"O3/CP",$U$14=D$18),IF(LEFT($U29,1)="P",VLOOKUP(CONCATENATE(LEFT($U29,2),"H"),$R$63:$T$91,3,FALSE),VLOOKUP($U29,$R$63:$T$91,3,FALSE)))+IF(AND($U29&lt;&gt;"",$U29&lt;&gt;"O3/CP",$U$15=D$18,MID($U29,4,1)="2",$U$15&lt;&gt;$U$14),VLOOKUP(CONCATENATE(LEFT($U29,2),"L"),$R$63:$T$91,3,FALSE),0)+IF(AND($U29="O3/CP",$T$14=D$18),VLOOKUP("O3",$R$63:$T$91,3,FALSE)+VLOOKUP("CP",$R$63:$T$91,3,FALSE),0)+IF(AND($V29&lt;&gt;"",$V29&lt;&gt;"--",$V29&lt;&gt;"O3/CP",$V$14=D$18),IF(LEFT($V29,1)="P",VLOOKUP(CONCATENATE(LEFT($V29,2),"H"),$R$63:$T$91,3,FALSE),VLOOKUP($V29,$R$63:$T$91,3,FALSE)))+IF(AND($V29&lt;&gt;"",$V29&lt;&gt;"O3/CP",$V$15=D$18,MID($V29,4,1)="2",$V$15&lt;&gt;$V$14),VLOOKUP(CONCATENATE(LEFT($V29,2),"L"),$R$63:$T$91,3,FALSE),0)+IF(AND($V29="O3/CP",$V$14=D$18),VLOOKUP("O3",$R$63:$T$91,3,FALSE)+VLOOKUP("CP",$R$63:$T$91,3,FALSE),0)+IF(AND($W29&lt;&gt;"",$W29&lt;&gt;"--",$W29&lt;&gt;"O3/CP",$W$14=D$18),IF(LEFT($W29,1)="P",VLOOKUP(CONCATENATE(LEFT($W29,2),"H"),$R$63:$T$91,3,FALSE),VLOOKUP($W29,$R$63:$T$91,3,FALSE)))+IF(AND($W29&lt;&gt;"",$W29&lt;&gt;"O3/CP",$W$15=D$18,MID($W29,4,1)="2",$W$15&lt;&gt;$W$14),VLOOKUP(CONCATENATE(LEFT($W29,2),"L"),$R$63:$T$91,3,FALSE),0)+IF(AND($W29="O3/CP",$W$14=D$18),VLOOKUP("O3",$R$63:$T$91,3,FALSE)+VLOOKUP("CP",$R$63:$T$91,3,FALSE),0)+IF(AND($X29&lt;&gt;"",$X29&lt;&gt;"--",$X29&lt;&gt;"O3/CP",$X$14=D$18),IF(LEFT($X29,1)="P",VLOOKUP(CONCATENATE(LEFT($X29,2),"H"),$R$63:$T$91,3,FALSE),VLOOKUP($X29,$R$63:$T$91,3,FALSE)))+IF(AND($X29&lt;&gt;"",$X29&lt;&gt;"O3/CP",$X$15=D$18,MID($X29,4,1)="2",$X$15&lt;&gt;$X$14),VLOOKUP(CONCATENATE(LEFT($X29,2),"L"),$R$63:$T$91,3,FALSE),0)+IF(AND($X29="O3/CP",$X$14=D$18),VLOOKUP("O3",$R$63:$T$91,3,FALSE)+VLOOKUP("CP",$R$63:$T$91,3,FALSE),0)+IF(AND($Y29&lt;&gt;"",$Y29&lt;&gt;"--",$Y29&lt;&gt;"O3/CP",$Y$14=D$18),IF(LEFT($Y29,1)="P",VLOOKUP(CONCATENATE(LEFT($Y29,2),"H"),$R$63:$T$91,3,FALSE),VLOOKUP($Y29,$R$63:$T$91,3,FALSE)))+IF(AND($Y29&lt;&gt;"",$Y29&lt;&gt;"O3/CP",$Y$15=D$18,MID($Y29,4,1)="2",$Y$15&lt;&gt;$Y$14),VLOOKUP(CONCATENATE(LEFT($Y29,2),"L"),$R$63:$T$91,3,FALSE),0)+IF(AND($Y29="O3/CP",$Y$14=D$18),VLOOKUP("O3",$R$63:$T$91,3,FALSE)+VLOOKUP("CP",$R$63:$T$91,3,FALSE),0)+IF(AND($K$6="CE",'[3]Supply Attribution'!$G$20=D$18),LEFT($S$90,2),0)+IF(AND($X$86&lt;&gt;"Not Set",$X$87=D$18),$X$86,0)</f>
        <v>0</v>
      </c>
      <c r="E29" s="271">
        <f>IF(AND($K29&lt;&gt;"",$K29&lt;&gt;"--",$K29&lt;&gt;"O3/CP",$K$14=E$18),IF(LEFT($K29,1)="P",VLOOKUP(CONCATENATE(LEFT($K29,2),"H"),$R$63:$T$91,3,FALSE),VLOOKUP($K29,$R$63:$T$91,3,FALSE)))+IF(AND($K29&lt;&gt;"",$K29&lt;&gt;"O3/CP",$K$15=E$18,MID($K29,4,1)="2",$K$15&lt;&gt;$K$14),VLOOKUP(CONCATENATE(LEFT($K29,2),"L"),$R$63:$T$91,3,FALSE),0)+IF(AND($K29="O3/CP",$K$14=E$18),VLOOKUP("O3",$R$63:$T$91,3,FALSE)+VLOOKUP("CP",$R$63:$T$91,3,FALSE),0)+IF(AND($L29&lt;&gt;"",$L29&lt;&gt;"--",$L29&lt;&gt;"O3/CP",$L$14=E$18),IF(LEFT($L29,1)="P",VLOOKUP(CONCATENATE(LEFT($L29,2),"H"),$R$63:$T$91,3,FALSE),VLOOKUP($L29,$R$63:$T$91,3,FALSE)))+IF(AND($L29&lt;&gt;"",$L29&lt;&gt;"O3/CP",$L$15=E$18,MID($L29,4,1)="2",$L$15&lt;&gt;$L$14),VLOOKUP(CONCATENATE(LEFT($L29,2),"L"),$R$63:$T$91,3,FALSE),0)+IF(AND($L29="O3/CP",$L$14=E$18),VLOOKUP("O3",$R$63:$T$91,3,FALSE)+VLOOKUP("CP",$R$63:$T$91,3,FALSE),0)+IF(AND($M29&lt;&gt;"",$M29&lt;&gt;"--",$M29&lt;&gt;"O3/CP",$M$14=E$18),IF(LEFT($M29,1)="P",VLOOKUP(CONCATENATE(LEFT($M29,2),"H"),$R$63:$T$91,3,FALSE),VLOOKUP($M29,$R$63:$T$91,3,FALSE)))+IF(AND($M29&lt;&gt;"",$M29&lt;&gt;"O3/CP",$M$15=E$18,MID($M29,4,1)="2",$M$15&lt;&gt;$M$14),VLOOKUP(CONCATENATE(LEFT($M29,2),"L"),$R$63:$T$91,3,FALSE),0)+IF(AND($M29="O3/CP",$M$14=E$18),VLOOKUP("O3",$R$63:$T$91,3,FALSE)+VLOOKUP("CP",$R$63:$T$91,3,FALSE),0)+IF(AND($N29&lt;&gt;"",$N29&lt;&gt;"--",$N29&lt;&gt;"O3/CP",$N$14=E$18),IF(LEFT($N29,1)="P",VLOOKUP(CONCATENATE(LEFT($N29,2),"H"),$R$63:$T$91,3,FALSE),VLOOKUP($N29,$R$63:$T$91,3,FALSE)))+IF(AND($N29&lt;&gt;"",$N29&lt;&gt;"O3/CP",$N$15=E$18,MID($N29,4,1)="2",$N$15&lt;&gt;$N$14),VLOOKUP(CONCATENATE(LEFT($N29,2),"L"),$R$63:$T$91,3,FALSE),0)+IF(AND($N29="O3/CP",$N$14=E$18),VLOOKUP("O3",$R$63:$T$91,3,FALSE)+VLOOKUP("CP",$R$63:$T$91,3,FALSE),0)+IF(AND($O29&lt;&gt;"",$O29&lt;&gt;"--",$O29&lt;&gt;"O3/CP",$O$14=E$18),IF(LEFT($O29,1)="P",VLOOKUP(CONCATENATE(LEFT($O29,2),"H"),$R$63:$T$91,3,FALSE),VLOOKUP($O29,$R$63:$T$91,3,FALSE)))+IF(AND($O29&lt;&gt;"",$O29&lt;&gt;"O3/CP",$O$15=E$18,MID($O29,4,1)="2",$O$15&lt;&gt;$O$14),VLOOKUP(CONCATENATE(LEFT($O29,2),"L"),$R$63:$T$91,3,FALSE),0)+IF(AND($O29="O3/CP",$O$14=E$18),VLOOKUP("O3",$R$63:$T$91,3,FALSE)+VLOOKUP("CP",$R$63:$T$91,3,FALSE),0)+IF(AND($P29&lt;&gt;"",$P29&lt;&gt;"--",$P29&lt;&gt;"O3/CP",$P$14=E$18),IF(LEFT($P29,1)="P",VLOOKUP(CONCATENATE(LEFT($P29,2),"H"),$R$63:$T$91,3,FALSE),VLOOKUP($P29,$R$63:$T$91,3,FALSE)))+IF(AND($P29&lt;&gt;"",$P29&lt;&gt;"O3/CP",$P$15=E$18,MID($P29,4,1)="2",$P$15&lt;&gt;$P$14),VLOOKUP(CONCATENATE(LEFT($P29,2),"L"),$R$63:$T$91,3,FALSE),0)+IF(AND($P29="O3/CP",$P$14=E$18),VLOOKUP("O3",$R$63:$T$91,3,FALSE)+VLOOKUP("CP",$R$63:$T$91,3,FALSE),0)+IF(AND($Q29&lt;&gt;"",$Q29&lt;&gt;"--",$Q29&lt;&gt;"O3/CP",$Q$14=E$18),IF(LEFT($Q29,1)="P",VLOOKUP(CONCATENATE(LEFT($Q29,2),"H"),$R$63:$T$91,3,FALSE),VLOOKUP($Q29,$R$63:$T$91,3,FALSE)))+IF(AND($Q29&lt;&gt;"",$Q29&lt;&gt;"O3/CP",$Q$15=E$18,MID($Q29,4,1)="2",$Q$15&lt;&gt;$Q$14),VLOOKUP(CONCATENATE(LEFT($Q29,2),"L"),$R$63:$T$91,3,FALSE),0)+IF(AND($Q29="O3/CP",$Q$14=E$18),VLOOKUP("O3",$R$63:$T$91,3,FALSE)+VLOOKUP("CP",$R$63:$T$91,3,FALSE),0)+IF(AND($R29&lt;&gt;"",$R29&lt;&gt;"--",$R29&lt;&gt;"O3/CP",$R$14=E$18),IF(LEFT($R29,1)="P",VLOOKUP(CONCATENATE(LEFT($R29,2),"H"),$R$63:$T$91,3,FALSE),VLOOKUP($R29,$R$63:$T$91,3,FALSE)))+IF(AND($R29&lt;&gt;"",$R29&lt;&gt;"O3/CP",$R$15=E$18,MID($R29,4,1)="2",$R$15&lt;&gt;$R$14),VLOOKUP(CONCATENATE(LEFT($R29,2),"L"),$R$63:$T$91,3,FALSE),0)+IF(AND($R29="O3/CP",$R$14=E$18),VLOOKUP("O3",$R$63:$T$91,3,FALSE)+VLOOKUP("CP",$R$63:$T$91,3,FALSE),0)+IF(AND($S29&lt;&gt;"",$S29&lt;&gt;"--",$S29&lt;&gt;"O3/CP",$S$14=E$18),IF(LEFT($S29,1)="P",VLOOKUP(CONCATENATE(LEFT($S29,2),"H"),$R$63:$T$91,3,FALSE),VLOOKUP($S29,$R$63:$T$91,3,FALSE)))+IF(AND($S29&lt;&gt;"",$S29&lt;&gt;"O3/CP",$S$15=E$18,MID($S29,4,1)="2",$S$15&lt;&gt;$S$14),VLOOKUP(CONCATENATE(LEFT($S29,2),"L"),$R$63:$T$91,3,FALSE),0)+IF(AND($S29="O3/CP",$S$14=E$18),VLOOKUP("O3",$R$63:$T$91,3,FALSE)+VLOOKUP("CP",$R$63:$T$91,3,FALSE),0)+IF(AND($T29&lt;&gt;"",$T29&lt;&gt;"--",$T29&lt;&gt;"O3/CP",$T$14=E$18),IF(LEFT($T29,1)="P",VLOOKUP(CONCATENATE(LEFT($T29,2),"H"),$R$63:$T$91,3,FALSE),VLOOKUP($T29,$R$63:$T$91,3,FALSE)))+IF(AND($T29&lt;&gt;"",$T29&lt;&gt;"O3/CP",$T$15=E$18,MID($T29,4,1)="2",$T$15&lt;&gt;$T$14),VLOOKUP(CONCATENATE(LEFT($T29,2),"L"),$R$63:$T$91,3,FALSE),0)+IF(AND($T29="O3/CP",$T$14=E$18),VLOOKUP("O3",$R$63:$T$91,3,FALSE)+VLOOKUP("CP",$R$63:$T$91,3,FALSE),0)+IF(AND($U29&lt;&gt;"",$U29&lt;&gt;"--",$U29&lt;&gt;"O3/CP",$U$14=E$18),IF(LEFT($U29,1)="P",VLOOKUP(CONCATENATE(LEFT($U29,2),"H"),$R$63:$T$91,3,FALSE),VLOOKUP($U29,$R$63:$T$91,3,FALSE)))+IF(AND($U29&lt;&gt;"",$U29&lt;&gt;"O3/CP",$U$15=E$18,MID($U29,4,1)="2",$U$15&lt;&gt;$U$14),VLOOKUP(CONCATENATE(LEFT($U29,2),"L"),$R$63:$T$91,3,FALSE),0)+IF(AND($U29="O3/CP",$T$14=E$18),VLOOKUP("O3",$R$63:$T$91,3,FALSE)+VLOOKUP("CP",$R$63:$T$91,3,FALSE),0)+IF(AND($V29&lt;&gt;"",$V29&lt;&gt;"--",$V29&lt;&gt;"O3/CP",$V$14=E$18),IF(LEFT($V29,1)="P",VLOOKUP(CONCATENATE(LEFT($V29,2),"H"),$R$63:$T$91,3,FALSE),VLOOKUP($V29,$R$63:$T$91,3,FALSE)))+IF(AND($V29&lt;&gt;"",$V29&lt;&gt;"O3/CP",$V$15=E$18,MID($V29,4,1)="2",$V$15&lt;&gt;$V$14),VLOOKUP(CONCATENATE(LEFT($V29,2),"L"),$R$63:$T$91,3,FALSE),0)+IF(AND($V29="O3/CP",$V$14=E$18),VLOOKUP("O3",$R$63:$T$91,3,FALSE)+VLOOKUP("CP",$R$63:$T$91,3,FALSE),0)+IF(AND($W29&lt;&gt;"",$W29&lt;&gt;"--",$W29&lt;&gt;"O3/CP",$W$14=E$18),IF(LEFT($W29,1)="P",VLOOKUP(CONCATENATE(LEFT($W29,2),"H"),$R$63:$T$91,3,FALSE),VLOOKUP($W29,$R$63:$T$91,3,FALSE)))+IF(AND($W29&lt;&gt;"",$W29&lt;&gt;"O3/CP",$W$15=E$18,MID($W29,4,1)="2",$W$15&lt;&gt;$W$14),VLOOKUP(CONCATENATE(LEFT($W29,2),"L"),$R$63:$T$91,3,FALSE),0)+IF(AND($W29="O3/CP",$W$14=E$18),VLOOKUP("O3",$R$63:$T$91,3,FALSE)+VLOOKUP("CP",$R$63:$T$91,3,FALSE),0)+IF(AND($X29&lt;&gt;"",$X29&lt;&gt;"--",$X29&lt;&gt;"O3/CP",$X$14=E$18),IF(LEFT($X29,1)="P",VLOOKUP(CONCATENATE(LEFT($X29,2),"H"),$R$63:$T$91,3,FALSE),VLOOKUP($X29,$R$63:$T$91,3,FALSE)))+IF(AND($X29&lt;&gt;"",$X29&lt;&gt;"O3/CP",$X$15=E$18,MID($X29,4,1)="2",$X$15&lt;&gt;$X$14),VLOOKUP(CONCATENATE(LEFT($X29,2),"L"),$R$63:$T$91,3,FALSE),0)+IF(AND($X29="O3/CP",$X$14=E$18),VLOOKUP("O3",$R$63:$T$91,3,FALSE)+VLOOKUP("CP",$R$63:$T$91,3,FALSE),0)+IF(AND($Y29&lt;&gt;"",$Y29&lt;&gt;"--",$Y29&lt;&gt;"O3/CP",$Y$14=E$18),IF(LEFT($Y29,1)="P",VLOOKUP(CONCATENATE(LEFT($Y29,2),"H"),$R$63:$T$91,3,FALSE),VLOOKUP($Y29,$R$63:$T$91,3,FALSE)))+IF(AND($Y29&lt;&gt;"",$Y29&lt;&gt;"O3/CP",$Y$15=E$18,MID($Y29,4,1)="2",$Y$15&lt;&gt;$Y$14),VLOOKUP(CONCATENATE(LEFT($Y29,2),"L"),$R$63:$T$91,3,FALSE),0)+IF(AND($Y29="O3/CP",$Y$14=E$18),VLOOKUP("O3",$R$63:$T$91,3,FALSE)+VLOOKUP("CP",$R$63:$T$91,3,FALSE),0)+IF(AND($K$6="CE",'[3]Supply Attribution'!$G$20=E$18),LEFT($S$90,2),0)+IF(AND($X$86&lt;&gt;"Not Set",$X$87=E$18),$X$86,0)</f>
        <v>0</v>
      </c>
      <c r="F29" s="272">
        <f>IF(AND($K29&lt;&gt;"",$K29&lt;&gt;"--",$K29&lt;&gt;"O3/CP",$K$14=F$18),IF(LEFT($K29,1)="P",VLOOKUP(CONCATENATE(LEFT($K29,2),"H"),$R$63:$T$91,3,FALSE),VLOOKUP($K29,$R$63:$T$91,3,FALSE)))+IF(AND($K29&lt;&gt;"",$K29&lt;&gt;"O3/CP",$K$15=F$18,MID($K29,4,1)="2",$K$15&lt;&gt;$K$14),VLOOKUP(CONCATENATE(LEFT($K29,2),"L"),$R$63:$T$91,3,FALSE),0)+IF(AND($K29="O3/CP",$K$14=F$18),VLOOKUP("O3",$R$63:$T$91,3,FALSE)+VLOOKUP("CP",$R$63:$T$91,3,FALSE),0)+IF(AND($L29&lt;&gt;"",$L29&lt;&gt;"--",$L29&lt;&gt;"O3/CP",$L$14=F$18),IF(LEFT($L29,1)="P",VLOOKUP(CONCATENATE(LEFT($L29,2),"H"),$R$63:$T$91,3,FALSE),VLOOKUP($L29,$R$63:$T$91,3,FALSE)))+IF(AND($L29&lt;&gt;"",$L29&lt;&gt;"O3/CP",$L$15=F$18,MID($L29,4,1)="2",$L$15&lt;&gt;$L$14),VLOOKUP(CONCATENATE(LEFT($L29,2),"L"),$R$63:$T$91,3,FALSE),0)+IF(AND($L29="O3/CP",$L$14=F$18),VLOOKUP("O3",$R$63:$T$91,3,FALSE)+VLOOKUP("CP",$R$63:$T$91,3,FALSE),0)+IF(AND($M29&lt;&gt;"",$M29&lt;&gt;"--",$M29&lt;&gt;"O3/CP",$M$14=F$18),IF(LEFT($M29,1)="P",VLOOKUP(CONCATENATE(LEFT($M29,2),"H"),$R$63:$T$91,3,FALSE),VLOOKUP($M29,$R$63:$T$91,3,FALSE)))+IF(AND($M29&lt;&gt;"",$M29&lt;&gt;"O3/CP",$M$15=F$18,MID($M29,4,1)="2",$M$15&lt;&gt;$M$14),VLOOKUP(CONCATENATE(LEFT($M29,2),"L"),$R$63:$T$91,3,FALSE),0)+IF(AND($M29="O3/CP",$M$14=F$18),VLOOKUP("O3",$R$63:$T$91,3,FALSE)+VLOOKUP("CP",$R$63:$T$91,3,FALSE),0)+IF(AND($N29&lt;&gt;"",$N29&lt;&gt;"--",$N29&lt;&gt;"O3/CP",$N$14=F$18),IF(LEFT($N29,1)="P",VLOOKUP(CONCATENATE(LEFT($N29,2),"H"),$R$63:$T$91,3,FALSE),VLOOKUP($N29,$R$63:$T$91,3,FALSE)))+IF(AND($N29&lt;&gt;"",$N29&lt;&gt;"O3/CP",$N$15=F$18,MID($N29,4,1)="2",$N$15&lt;&gt;$N$14),VLOOKUP(CONCATENATE(LEFT($N29,2),"L"),$R$63:$T$91,3,FALSE),0)+IF(AND($N29="O3/CP",$N$14=F$18),VLOOKUP("O3",$R$63:$T$91,3,FALSE)+VLOOKUP("CP",$R$63:$T$91,3,FALSE),0)+IF(AND($O29&lt;&gt;"",$O29&lt;&gt;"--",$O29&lt;&gt;"O3/CP",$O$14=F$18),IF(LEFT($O29,1)="P",VLOOKUP(CONCATENATE(LEFT($O29,2),"H"),$R$63:$T$91,3,FALSE),VLOOKUP($O29,$R$63:$T$91,3,FALSE)))+IF(AND($O29&lt;&gt;"",$O29&lt;&gt;"O3/CP",$O$15=F$18,MID($O29,4,1)="2",$O$15&lt;&gt;$O$14),VLOOKUP(CONCATENATE(LEFT($O29,2),"L"),$R$63:$T$91,3,FALSE),0)+IF(AND($O29="O3/CP",$O$14=F$18),VLOOKUP("O3",$R$63:$T$91,3,FALSE)+VLOOKUP("CP",$R$63:$T$91,3,FALSE),0)+IF(AND($P29&lt;&gt;"",$P29&lt;&gt;"--",$P29&lt;&gt;"O3/CP",$P$14=F$18),IF(LEFT($P29,1)="P",VLOOKUP(CONCATENATE(LEFT($P29,2),"H"),$R$63:$T$91,3,FALSE),VLOOKUP($P29,$R$63:$T$91,3,FALSE)))+IF(AND($P29&lt;&gt;"",$P29&lt;&gt;"O3/CP",$P$15=F$18,MID($P29,4,1)="2",$P$15&lt;&gt;$P$14),VLOOKUP(CONCATENATE(LEFT($P29,2),"L"),$R$63:$T$91,3,FALSE),0)+IF(AND($P29="O3/CP",$P$14=F$18),VLOOKUP("O3",$R$63:$T$91,3,FALSE)+VLOOKUP("CP",$R$63:$T$91,3,FALSE),0)+IF(AND($Q29&lt;&gt;"",$Q29&lt;&gt;"--",$Q29&lt;&gt;"O3/CP",$Q$14=F$18),IF(LEFT($Q29,1)="P",VLOOKUP(CONCATENATE(LEFT($Q29,2),"H"),$R$63:$T$91,3,FALSE),VLOOKUP($Q29,$R$63:$T$91,3,FALSE)))+IF(AND($Q29&lt;&gt;"",$Q29&lt;&gt;"O3/CP",$Q$15=F$18,MID($Q29,4,1)="2",$Q$15&lt;&gt;$Q$14),VLOOKUP(CONCATENATE(LEFT($Q29,2),"L"),$R$63:$T$91,3,FALSE),0)+IF(AND($Q29="O3/CP",$Q$14=F$18),VLOOKUP("O3",$R$63:$T$91,3,FALSE)+VLOOKUP("CP",$R$63:$T$91,3,FALSE),0)+IF(AND($R29&lt;&gt;"",$R29&lt;&gt;"--",$R29&lt;&gt;"O3/CP",$R$14=F$18),IF(LEFT($R29,1)="P",VLOOKUP(CONCATENATE(LEFT($R29,2),"H"),$R$63:$T$91,3,FALSE),VLOOKUP($R29,$R$63:$T$91,3,FALSE)))+IF(AND($R29&lt;&gt;"",$R29&lt;&gt;"O3/CP",$R$15=F$18,MID($R29,4,1)="2",$R$15&lt;&gt;$R$14),VLOOKUP(CONCATENATE(LEFT($R29,2),"L"),$R$63:$T$91,3,FALSE),0)+IF(AND($R29="O3/CP",$R$14=F$18),VLOOKUP("O3",$R$63:$T$91,3,FALSE)+VLOOKUP("CP",$R$63:$T$91,3,FALSE),0)+IF(AND($S29&lt;&gt;"",$S29&lt;&gt;"--",$S29&lt;&gt;"O3/CP",$S$14=F$18),IF(LEFT($S29,1)="P",VLOOKUP(CONCATENATE(LEFT($S29,2),"H"),$R$63:$T$91,3,FALSE),VLOOKUP($S29,$R$63:$T$91,3,FALSE)))+IF(AND($S29&lt;&gt;"",$S29&lt;&gt;"O3/CP",$S$15=F$18,MID($S29,4,1)="2",$S$15&lt;&gt;$S$14),VLOOKUP(CONCATENATE(LEFT($S29,2),"L"),$R$63:$T$91,3,FALSE),0)+IF(AND($S29="O3/CP",$S$14=F$18),VLOOKUP("O3",$R$63:$T$91,3,FALSE)+VLOOKUP("CP",$R$63:$T$91,3,FALSE),0)+IF(AND($T29&lt;&gt;"",$T29&lt;&gt;"--",$T29&lt;&gt;"O3/CP",$T$14=F$18),IF(LEFT($T29,1)="P",VLOOKUP(CONCATENATE(LEFT($T29,2),"H"),$R$63:$T$91,3,FALSE),VLOOKUP($T29,$R$63:$T$91,3,FALSE)))+IF(AND($T29&lt;&gt;"",$T29&lt;&gt;"O3/CP",$T$15=F$18,MID($T29,4,1)="2",$T$15&lt;&gt;$T$14),VLOOKUP(CONCATENATE(LEFT($T29,2),"L"),$R$63:$T$91,3,FALSE),0)+IF(AND($T29="O3/CP",$T$14=F$18),VLOOKUP("O3",$R$63:$T$91,3,FALSE)+VLOOKUP("CP",$R$63:$T$91,3,FALSE),0)+IF(AND($U29&lt;&gt;"",$U29&lt;&gt;"--",$U29&lt;&gt;"O3/CP",$U$14=F$18),IF(LEFT($U29,1)="P",VLOOKUP(CONCATENATE(LEFT($U29,2),"H"),$R$63:$T$91,3,FALSE),VLOOKUP($U29,$R$63:$T$91,3,FALSE)))+IF(AND($U29&lt;&gt;"",$U29&lt;&gt;"O3/CP",$U$15=F$18,MID($U29,4,1)="2",$U$15&lt;&gt;$U$14),VLOOKUP(CONCATENATE(LEFT($U29,2),"L"),$R$63:$T$91,3,FALSE),0)+IF(AND($U29="O3/CP",$T$14=F$18),VLOOKUP("O3",$R$63:$T$91,3,FALSE)+VLOOKUP("CP",$R$63:$T$91,3,FALSE),0)+IF(AND($V29&lt;&gt;"",$V29&lt;&gt;"--",$V29&lt;&gt;"O3/CP",$V$14=F$18),IF(LEFT($V29,1)="P",VLOOKUP(CONCATENATE(LEFT($V29,2),"H"),$R$63:$T$91,3,FALSE),VLOOKUP($V29,$R$63:$T$91,3,FALSE)))+IF(AND($V29&lt;&gt;"",$V29&lt;&gt;"O3/CP",$V$15=F$18,MID($V29,4,1)="2",$V$15&lt;&gt;$V$14),VLOOKUP(CONCATENATE(LEFT($V29,2),"L"),$R$63:$T$91,3,FALSE),0)+IF(AND($V29="O3/CP",$V$14=F$18),VLOOKUP("O3",$R$63:$T$91,3,FALSE)+VLOOKUP("CP",$R$63:$T$91,3,FALSE),0)+IF(AND($W29&lt;&gt;"",$W29&lt;&gt;"--",$W29&lt;&gt;"O3/CP",$W$14=F$18),IF(LEFT($W29,1)="P",VLOOKUP(CONCATENATE(LEFT($W29,2),"H"),$R$63:$T$91,3,FALSE),VLOOKUP($W29,$R$63:$T$91,3,FALSE)))+IF(AND($W29&lt;&gt;"",$W29&lt;&gt;"O3/CP",$W$15=F$18,MID($W29,4,1)="2",$W$15&lt;&gt;$W$14),VLOOKUP(CONCATENATE(LEFT($W29,2),"L"),$R$63:$T$91,3,FALSE),0)+IF(AND($W29="O3/CP",$W$14=F$18),VLOOKUP("O3",$R$63:$T$91,3,FALSE)+VLOOKUP("CP",$R$63:$T$91,3,FALSE),0)+IF(AND($X29&lt;&gt;"",$X29&lt;&gt;"--",$X29&lt;&gt;"O3/CP",$X$14=F$18),IF(LEFT($X29,1)="P",VLOOKUP(CONCATENATE(LEFT($X29,2),"H"),$R$63:$T$91,3,FALSE),VLOOKUP($X29,$R$63:$T$91,3,FALSE)))+IF(AND($X29&lt;&gt;"",$X29&lt;&gt;"O3/CP",$X$15=F$18,MID($X29,4,1)="2",$X$15&lt;&gt;$X$14),VLOOKUP(CONCATENATE(LEFT($X29,2),"L"),$R$63:$T$91,3,FALSE),0)+IF(AND($X29="O3/CP",$X$14=F$18),VLOOKUP("O3",$R$63:$T$91,3,FALSE)+VLOOKUP("CP",$R$63:$T$91,3,FALSE),0)+IF(AND($Y29&lt;&gt;"",$Y29&lt;&gt;"--",$Y29&lt;&gt;"O3/CP",$Y$14=F$18),IF(LEFT($Y29,1)="P",VLOOKUP(CONCATENATE(LEFT($Y29,2),"H"),$R$63:$T$91,3,FALSE),VLOOKUP($Y29,$R$63:$T$91,3,FALSE)))+IF(AND($Y29&lt;&gt;"",$Y29&lt;&gt;"O3/CP",$Y$15=F$18,MID($Y29,4,1)="2",$Y$15&lt;&gt;$Y$14),VLOOKUP(CONCATENATE(LEFT($Y29,2),"L"),$R$63:$T$91,3,FALSE),0)+IF(AND($Y29="O3/CP",$Y$14=F$18),VLOOKUP("O3",$R$63:$T$91,3,FALSE)+VLOOKUP("CP",$R$63:$T$91,3,FALSE),0)+IF(AND($K$6="CE",'[3]Supply Attribution'!$G$20=F$18),LEFT($S$90,2),0)+IF(AND($X$86&lt;&gt;"Not Set",$X$87=F$18),$X$86,0)</f>
        <v>0</v>
      </c>
      <c r="G29" s="271">
        <f>IF(AND($K$6="CE",$T$59="1 Phase"),SUM(A29:F29)-IF(AND($K$14&lt;&gt;$K$15,RIGHT($K29,3)="2SP"),VLOOKUP(CONCATENATE(LEFT($K29,2),"L"),$R$63:$T$90,3,FALSE),0)-IF(AND($L$14&lt;&gt;$L$15,RIGHT($L29,3)="2SP"),VLOOKUP(CONCATENATE(LEFT($L29,2),"L"),$R$63:$T$90,3,FALSE),0)-IF(AND($M$14&lt;&gt;$M$15,RIGHT($M29,3)="2SP"),VLOOKUP(CONCATENATE(LEFT($M29,2),"L"),$R$63:$T$90,3,FALSE),0)-IF(AND($N$14&lt;&gt;$N$15,RIGHT($N29,3)="2SP"),VLOOKUP(CONCATENATE(LEFT($N29,2),"L"),$R$63:$T$90,3,FALSE),0)-IF(AND($O$14&lt;&gt;$O$15,RIGHT($O29,3)="2SP"),VLOOKUP(CONCATENATE(LEFT($O29,2),"L"),$R$63:$T$90,3,FALSE),0)-IF(AND($P$14&lt;&gt;$P$15,RIGHT($P29,3)="2SP"),VLOOKUP(CONCATENATE(LEFT($P29,2),"L"),$R$63:$T$90,3,FALSE),0)-IF(AND($Q$14&lt;&gt;$Q$15,RIGHT($Q29,3)="2SP"),VLOOKUP(CONCATENATE(LEFT($Q29,2),"L"),$R$63:$T$90,3,FALSE),0)-IF(AND($R$14&lt;&gt;$R$15,RIGHT($T29,3)="2SP"),VLOOKUP(CONCATENATE(LEFT($R29,2),"L"),$R$63:$T$90,3,FALSE),0)-IF(AND($S$14&lt;&gt;$S$15,RIGHT($T29,3)="2SP"),VLOOKUP(CONCATENATE(LEFT($S29,2),"L"),$R$63:$T$90,3,FALSE),0)-IF(AND($T$14&lt;&gt;$T$15,RIGHT($T29,3)="2SP"),VLOOKUP(CONCATENATE(LEFT($T29,2),"L"),$R$63:$T$90,3,FALSE),0)-IF(AND($U$14&lt;&gt;$U$15,RIGHT($U29,3)="2SP"),VLOOKUP(CONCATENATE(LEFT($U29,2),"L"),$R$63:$T$90,3,FALSE),0)-IF(AND($V$14&lt;&gt;$V$15,RIGHT($V29,3)="2SP"),VLOOKUP(CONCATENATE(LEFT($V29,2),"L"),$R$63:$T$90,3,FALSE),0)-IF(AND($W$14&lt;&gt;$W$15,RIGHT($W29,3)="2SP"),VLOOKUP(CONCATENATE(LEFT($W29,2),"L"),$R$63:$T$90,3,FALSE),0)-IF(AND($X$14&lt;&gt;$X$15,RIGHT($X29,3)="2SP"),VLOOKUP(CONCATENATE(LEFT($X29,2),"L"),$R$63:$T$90,3,FALSE),0)-IF(AND($Y$14&lt;&gt;$Y$15,RIGHT($Y29,3)="2SP"),VLOOKUP(CONCATENATE(LEFT($Y29,2),"L"),$R$63:$T$90,3,FALSE),0),IF(VLOOKUP(CONCATENATE($A$18,"Line"),'[3]Supply Attribution'!$F$31:$G$37,2,FALSE)=G$18,$A29,0)+IF(VLOOKUP(CONCATENATE($B$18,"Line"),'[3]Supply Attribution'!$F$31:$G$37,2,FALSE)=G$18,$B29,0)+IF(VLOOKUP(CONCATENATE($C$18,"Line"),'[3]Supply Attribution'!$F$31:$G$37,2,FALSE)=G$18,$C29,0)+IF(VLOOKUP(CONCATENATE($D$18,"Line"),'[3]Supply Attribution'!$F$31:$G$37,2,FALSE)=G$18,$D29,0)+IF(VLOOKUP(CONCATENATE($E$18,"Line"),'[3]Supply Attribution'!$F$31:$G$37,2,FALSE)=G$18,$E29,0)+IF(VLOOKUP(CONCATENATE($F$18,"Line"),'[3]Supply Attribution'!$F$31:$G$37,2,FALSE)=G$18,$F29,0)+IF($K$6="UL",LEFT($S$90,2),0)-IF(AND($K$16=G$18,$K$14&lt;&gt;$K$15,$K$16=$K$17,RIGHT($K29,3)="2SP"),VLOOKUP(CONCATENATE(LEFT($K29,2),"L"),$R$63:$T$90,3,FALSE),0)-IF(AND($L$16=G$18,$L$14&lt;&gt;$L$15,$L$16=$L$17,RIGHT($L29,3)="2SP"),VLOOKUP(CONCATENATE(LEFT($L29,2),"L"),$R$63:$T$90,3,FALSE),0)-IF(AND($M$16=G$18,$M$14&lt;&gt;$M$15,$M$16=$M$17,RIGHT($M29,3)="2SP"),VLOOKUP(CONCATENATE(LEFT($M29,2),"L"),$R$63:$T$90,3,FALSE),0)-IF(AND($N$16=G$18,$N$14&lt;&gt;$N$15,$N$16=$N$17,RIGHT($N29,3)="2SP"),VLOOKUP(CONCATENATE(LEFT($N29,2),"L"),$R$63:$T$90,3,FALSE),0)-IF(AND($O$16=G$18,$O$14&lt;&gt;$O$15,$O$16=$O$17,RIGHT($O29,3)="2SP"),VLOOKUP(CONCATENATE(LEFT($O29,2),"L"),$R$63:$T$90,3,FALSE),0)-IF(AND($P$16=G$18,$P$14&lt;&gt;$P$15,$P$16=$P$17,RIGHT($P29,3)="2SP"),VLOOKUP(CONCATENATE(LEFT($P29,2),"L"),$R$63:$T$90,3,FALSE),0)-IF(AND($Q$16=G$18,$Q$14&lt;&gt;$Q$15,$Q$16=$Q$17,RIGHT($Q29,3)="2SP"),VLOOKUP(CONCATENATE(LEFT($Q29,2),"L"),$R$63:$T$90,3,FALSE),0)-IF(AND($R$16=G$18,$R$14&lt;&gt;$R$15,$R$16=$R$17,RIGHT($R29,3)="2SP"),VLOOKUP(CONCATENATE(LEFT($R29,2),"L"),$R$63:$T$90,3,FALSE),0)-IF(AND($S$16=G$18,$S$14&lt;&gt;$S$15,$S$16=$S$17,RIGHT($S29,3)="2SP"),VLOOKUP(CONCATENATE(LEFT($S29,2),"L"),$R$63:$T$90,3,FALSE),0)-IF(AND($T$16=G$18,$T$14&lt;&gt;$T$15,$T$16=$T$17,RIGHT($T29,3)="2SP"),VLOOKUP(CONCATENATE(LEFT($T29,2),"L"),$R$63:$T$90,3,FALSE),0)-IF(AND($U$16=G$18,$U$14&lt;&gt;$U$15,$U$16=$U$17,RIGHT($U29,3)="2SP"),VLOOKUP(CONCATENATE(LEFT($U29,2),"L"),$R$63:$T$90,3,FALSE),0)-IF(AND($V$16=G$18,$V$14&lt;&gt;$V$15,$V$16=$V$17,RIGHT($V29,3)="2SP"),VLOOKUP(CONCATENATE(LEFT($V29,2),"L"),$R$63:$T$90,3,FALSE),0)-IF(AND($W$16=G$18,$W$14&lt;&gt;$W$15,$W$16=$W$17,RIGHT($W29,3)="2SP"),VLOOKUP(CONCATENATE(LEFT($W29,2),"L"),$R$63:$T$90,3,FALSE),0)-IF(AND($X$16=G$18,$X$14&lt;&gt;$X$15,$X$16=$X$17,RIGHT($X29,3)="2SP"),VLOOKUP(CONCATENATE(LEFT($X29,2),"L"),$R$63:$T$90,3,FALSE),0)-IF(AND($Y$16=G$18,$Y$14&lt;&gt;$Y$15,$Y$16=$Y$17,RIGHT($Y29,3)="2SP"),VLOOKUP(CONCATENATE(LEFT($Y29,2),"L"),$R$63:$T$90,3,FALSE),0))</f>
        <v>17</v>
      </c>
      <c r="H29" s="271" t="str">
        <f>IF(H$18&lt;&gt;"",IF(VLOOKUP(CONCATENATE($A$18,"Line"),'Supply Attribution'!$F$31:$G$37,2,FALSE)=H$18,$A29,0)+IF(VLOOKUP(CONCATENATE($B$18,"Line"),'Supply Attribution'!$F$31:$G$37,2,FALSE)=H$18,$B29,0)+IF(VLOOKUP(CONCATENATE($C$18,"Line"),'Supply Attribution'!$F$31:$G$37,2,FALSE)=H$18,$C29,0)+IF(VLOOKUP(CONCATENATE($D$18,"Line"),'Supply Attribution'!$F$31:$G$37,2,FALSE)=H$18,$D29,0)+IF(VLOOKUP(CONCATENATE($E$18,"Line"),'Supply Attribution'!$F$31:$G$37,2,FALSE)=H$18,$E29,0)+IF(VLOOKUP(CONCATENATE($F$18,"Line"),'Supply Attribution'!$F$31:$G$37,2,FALSE)=H$18,$F29,0)+IF($K$6="UL",LEFT($S$90,2),0)-IF(AND($K$16=H$18,$K$14&lt;&gt;$K$15,$K$16=$K$17,RIGHT($K29,3)="2SP"),VLOOKUP(CONCATENATE(LEFT($K29,2),"L"),$R$63:$T$90,3,FALSE),0)-IF(AND($L$16=H$18,$L$14&lt;&gt;$L$15,$L$16=$L$17,RIGHT($L29,3)="2SP"),VLOOKUP(CONCATENATE(LEFT($L29,2),"L"),$R$63:$T$90,3,FALSE),0)-IF(AND($M$16=H$18,$M$14&lt;&gt;$M$15,$M$16=$M$17,RIGHT($M29,3)="2SP"),VLOOKUP(CONCATENATE(LEFT($M29,2),"L"),$R$63:$T$90,3,FALSE),0)-IF(AND($N$16=H$18,$N$14&lt;&gt;$N$15,$N$16=$N$17,RIGHT($N29,3)="2SP"),VLOOKUP(CONCATENATE(LEFT($N29,2),"L"),$R$63:$T$90,3,FALSE),0)-IF(AND($O$16=H$18,$O$14&lt;&gt;$O$15,$O$16=$O$17,RIGHT($O29,3)="2SP"),VLOOKUP(CONCATENATE(LEFT($O29,2),"L"),$R$63:$T$90,3,FALSE),0)-IF(AND($P$16=H$18,$P$14&lt;&gt;$P$15,$P$16=$P$17,RIGHT($P29,3)="2SP"),VLOOKUP(CONCATENATE(LEFT($P29,2),"L"),$R$63:$T$90,3,FALSE),0)-IF(AND($Q$16=H$18,$Q$14&lt;&gt;$Q$15,$Q$16=$Q$17,RIGHT($Q29,3)="2SP"),VLOOKUP(CONCATENATE(LEFT($Q29,2),"L"),$R$63:$T$90,3,FALSE),0)-IF(AND($T$16=H$18,$T$14&lt;&gt;$T$15,$T$16=$T$17,RIGHT($T29,3)="2SP"),VLOOKUP(CONCATENATE(LEFT($T29,2),"L"),$R$63:$T$90,3,FALSE),0)-IF(AND($U$16=H$18,$U$14&lt;&gt;$U$15,$U$16=$U$17,RIGHT($U29,3)="2SP"),VLOOKUP(CONCATENATE(LEFT($U29,2),"L"),$R$63:$T$90,3,FALSE),0)-IF(AND($V$16=H$18,$V$14&lt;&gt;$V$15,$V$16=$V$17,RIGHT($V29,3)="2SP"),VLOOKUP(CONCATENATE(LEFT($V29,2),"L"),$R$63:$T$90,3,FALSE),0)-IF(AND($W$16=H$18,$W$14&lt;&gt;$W$15,$W$16=$W$17,RIGHT($W29,3)="2SP"),VLOOKUP(CONCATENATE(LEFT($W29,2),"L"),$R$63:$T$90,3,FALSE),0)-IF(AND($X$16=H$18,$X$14&lt;&gt;$X$15,$X$16=$X$17,RIGHT($X29,3)="2SP"),VLOOKUP(CONCATENATE(LEFT($X29,2),"L"),$R$63:$T$90,3,FALSE),0)-IF(AND($Y$16=H$18,$Y$14&lt;&gt;$Y$15,$Y$16=$Y$17,RIGHT($Y29,3)="2SP"),VLOOKUP(CONCATENATE(LEFT($Y29,2),"L"),$R$63:$T$90,3,FALSE),0)+IF(AND($K$6="CE",$T$59="2 Phases",H$18&lt;&gt;""),IF(VLOOKUP(CONCATENATE($A$18,"Line"),'Supply Attribution'!$F$31:$G$37,2,FALSE)="Line3",$A29,0)+IF(VLOOKUP(CONCATENATE($B$18,"Line"),'Supply Attribution'!$F$31:$G$37,2,FALSE)="Line3",$B29,0)+IF(VLOOKUP(CONCATENATE($C$18,"Line"),'Supply Attribution'!$F$31:$G$37,2,FALSE)="Line3",$C29,0)+IF(VLOOKUP(CONCATENATE($D$18,"Line"),'Supply Attribution'!$F$31:$G$37,2,FALSE)="Line3",$D29,0)+IF(VLOOKUP(CONCATENATE($E$18,"Line"),'Supply Attribution'!$F$31:$G$37,2,FALSE)="Line3",$E29,0)+IF(VLOOKUP(CONCATENATE($F$18,"Line"),'Supply Attribution'!$F$31:$G$37,2,FALSE)="Line3",$F29,0)-IF(AND($K$16=I$18,$K$14&lt;&gt;$K$15,$K$16=$K$17,RIGHT($K29,3)="2SP"),VLOOKUP(CONCATENATE(LEFT($K29,2),"L"),$R$63:$T$90,3,FALSE),0)-IF(AND($L$16=I$18,$L$14&lt;&gt;$L$15,$L$16=$L$17,RIGHT($L29,3)="2SP"),VLOOKUP(CONCATENATE(LEFT($L29,2),"L"),$R$63:$T$90,3,FALSE),0)-IF(AND($M$16=I$18,$M$14&lt;&gt;$M$15,$M$16=$M$17,RIGHT($M29,3)="2SP"),VLOOKUP(CONCATENATE(LEFT($M29,2),"L"),$R$63:$T$90,3,FALSE),0)-IF(AND($N$16=I$18,$N$14&lt;&gt;$N$15,$N$16=$N$17,RIGHT($N29,3)="2SP"),VLOOKUP(CONCATENATE(LEFT($N29,2),"L"),$R$63:$T$90,3,FALSE),0)-IF(AND($O$16=I$18,$O$14&lt;&gt;$O$15,$O$16=$O$17,RIGHT($O29,3)="2SP"),VLOOKUP(CONCATENATE(LEFT($O29,2),"L"),$R$63:$T$90,3,FALSE),0)-IF(AND($P$16=I$18,$P$14&lt;&gt;$P$15,$P$16=$P$17,RIGHT($P29,3)="2SP"),VLOOKUP(CONCATENATE(LEFT($P29,2),"L"),$R$63:$T$90,3,FALSE),0)-IF(AND($Q$16=I$18,$Q$14&lt;&gt;$Q$15,$Q$16=$Q$17,RIGHT($Q29,3)="2SP"),VLOOKUP(CONCATENATE(LEFT($Q29,2),"L"),$R$63:$T$90,3,FALSE),0)-IF(AND($T$16=I$18,$T$14&lt;&gt;$T$15,$T$16=$T$17,RIGHT($T29,3)="2SP"),VLOOKUP(CONCATENATE(LEFT($T29,2),"L"),$R$63:$T$90,3,FALSE),0)-IF(AND($U$16=I$18,$U$14&lt;&gt;$U$15,$U$16=$U$17,RIGHT($U29,3)="2SP"),VLOOKUP(CONCATENATE(LEFT($U29,2),"L"),$R$63:$T$90,3,FALSE),0)-IF(AND($V$16=I$18,$V$14&lt;&gt;$V$15,$V$16=$V$17,RIGHT($V29,3)="2SP"),VLOOKUP(CONCATENATE(LEFT($V29,2),"L"),$R$63:$T$90,3,FALSE),0)-IF(AND($W$16=I$18,$W$14&lt;&gt;$W$15,$W$16=$W$17,RIGHT($W29,3)="2SP"),VLOOKUP(CONCATENATE(LEFT($W29,2),"L"),$R$63:$T$90,3,FALSE),0)-IF(AND($X$16=I$18,$X$14&lt;&gt;$X$15,$X$16=$X$17,RIGHT($X29,3)="2SP"),VLOOKUP(CONCATENATE(LEFT($X29,2),"L"),$R$63:$T$90,3,FALSE),0)-IF(AND($Y$16=I$18,$Y$14&lt;&gt;$Y$15,$Y$16=$Y$17,RIGHT($Y29,3)="2SP"),VLOOKUP(CONCATENATE(LEFT($Y29,2),"L"),$R$63:$T$90,3,FALSE),0),0),"")</f>
        <v/>
      </c>
      <c r="I29" s="271" t="str">
        <f>IF(I$18&lt;&gt;"",IF(VLOOKUP(CONCATENATE($A$18,"Line"),'Supply Attribution'!$F$31:$G$37,2,FALSE)=I$18,$A29,0)+IF(VLOOKUP(CONCATENATE($B$18,"Line"),'Supply Attribution'!$F$31:$G$37,2,FALSE)=I$18,$B29,0)+IF(VLOOKUP(CONCATENATE($C$18,"Line"),'Supply Attribution'!$F$31:$G$37,2,FALSE)=I$18,$C29,0)+IF(VLOOKUP(CONCATENATE($D$18,"Line"),'Supply Attribution'!$F$31:$G$37,2,FALSE)=I$18,$D29,0)+IF(VLOOKUP(CONCATENATE($E$18,"Line"),'Supply Attribution'!$F$31:$G$37,2,FALSE)=I$18,$E29,0)+IF(VLOOKUP(CONCATENATE($F$18,"Line"),'Supply Attribution'!$F$31:$G$37,2,FALSE)=I$18,$F29,0)+IF($K$6="UL",LEFT($S$90,2),0)-IF(AND($K$16=I$18,$K$14&lt;&gt;$K$15,$K$16=$K$17,RIGHT($K29,3)="2SP"),VLOOKUP(CONCATENATE(LEFT($K29,2),"L"),$R$63:$T$90,3,FALSE),0)-IF(AND($L$16=I$18,$L$14&lt;&gt;$L$15,$L$16=$L$17,RIGHT($L29,3)="2SP"),VLOOKUP(CONCATENATE(LEFT($L29,2),"L"),$R$63:$T$90,3,FALSE),0)-IF(AND($M$16=I$18,$M$14&lt;&gt;$M$15,$M$16=$M$17,RIGHT($M29,3)="2SP"),VLOOKUP(CONCATENATE(LEFT($M29,2),"L"),$R$63:$T$90,3,FALSE),0)-IF(AND($N$16=I$18,$N$14&lt;&gt;$N$15,$N$16=$N$17,RIGHT($N29,3)="2SP"),VLOOKUP(CONCATENATE(LEFT($N29,2),"L"),$R$63:$T$90,3,FALSE),0)-IF(AND($O$16=I$18,$O$14&lt;&gt;$O$15,$O$16=$O$17,RIGHT($O29,3)="2SP"),VLOOKUP(CONCATENATE(LEFT($O29,2),"L"),$R$63:$T$90,3,FALSE),0)-IF(AND($P$16=I$18,$P$14&lt;&gt;$P$15,$P$16=$P$17,RIGHT($P29,3)="2SP"),VLOOKUP(CONCATENATE(LEFT($P29,2),"L"),$R$63:$T$90,3,FALSE),0)-IF(AND($Q$16=I$18,$Q$14&lt;&gt;$Q$15,$Q$16=$Q$17,RIGHT($Q29,3)="2SP"),VLOOKUP(CONCATENATE(LEFT($Q29,2),"L"),$R$63:$T$90,3,FALSE),0)-IF(AND($T$16=I$18,$T$14&lt;&gt;$T$15,$T$16=$T$17,RIGHT($T29,3)="2SP"),VLOOKUP(CONCATENATE(LEFT($T29,2),"L"),$R$63:$T$90,3,FALSE),0)-IF(AND($U$16=I$18,$U$14&lt;&gt;$U$15,$U$16=$U$17,RIGHT($U29,3)="2SP"),VLOOKUP(CONCATENATE(LEFT($U29,2),"L"),$R$63:$T$90,3,FALSE),0)-IF(AND($V$16=I$18,$V$14&lt;&gt;$V$15,$V$16=$V$17,RIGHT($V29,3)="2SP"),VLOOKUP(CONCATENATE(LEFT($V29,2),"L"),$R$63:$T$90,3,FALSE),0)-IF(AND($W$16=I$18,$W$14&lt;&gt;$W$15,$W$16=$W$17,RIGHT($W29,3)="2SP"),VLOOKUP(CONCATENATE(LEFT($W29,2),"L"),$R$63:$T$90,3,FALSE),0)-IF(AND($X$16=I$18,$X$14&lt;&gt;$X$15,$X$16=$X$17,RIGHT($X29,3)="2SP"),VLOOKUP(CONCATENATE(LEFT($X29,2),"L"),$R$63:$T$90,3,FALSE),0)-IF(AND($Y$16=I$18,$Y$14&lt;&gt;$Y$15,$Y$16=$Y$17,RIGHT($Y29,3)="2SP"),VLOOKUP(CONCATENATE(LEFT($Y29,2),"L"),$R$63:$T$90,3,FALSE),0),"")</f>
        <v/>
      </c>
      <c r="J29" s="129"/>
      <c r="K29" s="130"/>
      <c r="L29" s="130"/>
      <c r="M29" s="130"/>
      <c r="N29" s="130"/>
      <c r="O29" s="130"/>
      <c r="P29" s="130"/>
      <c r="Q29" s="130"/>
      <c r="R29" s="130"/>
      <c r="S29" s="130"/>
      <c r="T29" s="130"/>
      <c r="U29" s="130"/>
      <c r="V29" s="130"/>
      <c r="W29" s="130"/>
      <c r="X29" s="130"/>
      <c r="Y29" s="130"/>
      <c r="Z29" s="131"/>
      <c r="AA29" s="131"/>
      <c r="AB29" s="132"/>
      <c r="AC29" s="132"/>
      <c r="AD29" s="132"/>
      <c r="AE29" s="133">
        <f t="shared" si="0"/>
        <v>0</v>
      </c>
      <c r="AF29" s="78"/>
    </row>
    <row r="30" spans="1:32" ht="13.15" customHeight="1">
      <c r="A30" s="270">
        <f>IF(AND($K30&lt;&gt;"",$K30&lt;&gt;"--",$K30&lt;&gt;"O3/CP",$K$14=A$18),IF(LEFT($K30,1)="P",VLOOKUP(CONCATENATE(LEFT($K30,2),"H"),$R$63:$T$91,3,FALSE),VLOOKUP($K30,$R$63:$T$91,3,FALSE)))+IF(AND($K30&lt;&gt;"",$K30&lt;&gt;"O3/CP",$K$15=A$18,MID($K30,4,1)="2",$K$15&lt;&gt;$K$14),VLOOKUP(CONCATENATE(LEFT($K30,2),"L"),$R$63:$T$91,3,FALSE),0)+IF(AND($K30="O3/CP",$K$14=A$18),VLOOKUP("O3",$R$63:$T$91,3,FALSE)+VLOOKUP("CP",$R$63:$T$91,3,FALSE),0)+IF(AND($L30&lt;&gt;"",$L30&lt;&gt;"--",$L30&lt;&gt;"O3/CP",$L$14=A$18),IF(LEFT($L30,1)="P",VLOOKUP(CONCATENATE(LEFT($L30,2),"H"),$R$63:$T$91,3,FALSE),VLOOKUP($L30,$R$63:$T$91,3,FALSE)))+IF(AND($L30&lt;&gt;"",$L30&lt;&gt;"O3/CP",$L$15=A$18,MID($L30,4,1)="2",$L$15&lt;&gt;$L$14),VLOOKUP(CONCATENATE(LEFT($L30,2),"L"),$R$63:$T$91,3,FALSE),0)+IF(AND($L30="O3/CP",$L$14=A$18),VLOOKUP("O3",$R$63:$T$91,3,FALSE)+VLOOKUP("CP",$R$63:$T$91,3,FALSE),0)+IF(AND($M30&lt;&gt;"",$M30&lt;&gt;"--",$M30&lt;&gt;"O3/CP",$M$14=A$18),IF(LEFT($M30,1)="P",VLOOKUP(CONCATENATE(LEFT($M30,2),"H"),$R$63:$T$91,3,FALSE),VLOOKUP($M30,$R$63:$T$91,3,FALSE)))+IF(AND($M30&lt;&gt;"",$M30&lt;&gt;"O3/CP",$M$15=A$18,MID($M30,4,1)="2",$M$15&lt;&gt;$M$14),VLOOKUP(CONCATENATE(LEFT($M30,2),"L"),$R$63:$T$91,3,FALSE),0)+IF(AND($M30="O3/CP",$M$14=A$18),VLOOKUP("O3",$R$63:$T$91,3,FALSE)+VLOOKUP("CP",$R$63:$T$91,3,FALSE),0)+IF(AND($N30&lt;&gt;"",$N30&lt;&gt;"--",$N30&lt;&gt;"O3/CP",$N$14=A$18),IF(LEFT($N30,1)="P",VLOOKUP(CONCATENATE(LEFT($N30,2),"H"),$R$63:$T$91,3,FALSE),VLOOKUP($N30,$R$63:$T$91,3,FALSE)))+IF(AND($N30&lt;&gt;"",$N30&lt;&gt;"O3/CP",$N$15=A$18,MID($N30,4,1)="2",$N$15&lt;&gt;$N$14),VLOOKUP(CONCATENATE(LEFT($N30,2),"L"),$R$63:$T$91,3,FALSE),0)+IF(AND($N30="O3/CP",$N$14=A$18),VLOOKUP("O3",$R$63:$T$91,3,FALSE)+VLOOKUP("CP",$R$63:$T$91,3,FALSE),0)+IF(AND($O30&lt;&gt;"",$O30&lt;&gt;"--",$O30&lt;&gt;"O3/CP",$O$14=A$18),IF(LEFT($O30,1)="P",VLOOKUP(CONCATENATE(LEFT($O30,2),"H"),$R$63:$T$91,3,FALSE),VLOOKUP($O30,$R$63:$T$91,3,FALSE)))+IF(AND($O30&lt;&gt;"",$O30&lt;&gt;"O3/CP",$O$15=A$18,MID($O30,4,1)="2",$O$15&lt;&gt;$O$14),VLOOKUP(CONCATENATE(LEFT($O30,2),"L"),$R$63:$T$91,3,FALSE),0)+IF(AND($O30="O3/CP",$O$14=A$18),VLOOKUP("O3",$R$63:$T$91,3,FALSE)+VLOOKUP("CP",$R$63:$T$91,3,FALSE),0)+IF(AND($P30&lt;&gt;"",$P30&lt;&gt;"--",$P30&lt;&gt;"O3/CP",$P$14=A$18),IF(LEFT($P30,1)="P",VLOOKUP(CONCATENATE(LEFT($P30,2),"H"),$R$63:$T$91,3,FALSE),VLOOKUP($P30,$R$63:$T$91,3,FALSE)))+IF(AND($P30&lt;&gt;"",$P30&lt;&gt;"O3/CP",$P$15=A$18,MID($P30,4,1)="2",$P$15&lt;&gt;$P$14),VLOOKUP(CONCATENATE(LEFT($P30,2),"L"),$R$63:$T$91,3,FALSE),0)+IF(AND($P30="O3/CP",$P$14=A$18),VLOOKUP("O3",$R$63:$T$91,3,FALSE)+VLOOKUP("CP",$R$63:$T$91,3,FALSE),0)+IF(AND($Q30&lt;&gt;"",$Q30&lt;&gt;"--",$Q30&lt;&gt;"O3/CP",$Q$14=A$18),IF(LEFT($Q30,1)="P",VLOOKUP(CONCATENATE(LEFT($Q30,2),"H"),$R$63:$T$91,3,FALSE),VLOOKUP($Q30,$R$63:$T$91,3,FALSE)))+IF(AND($Q30&lt;&gt;"",$Q30&lt;&gt;"O3/CP",$Q$15=A$18,MID($Q30,4,1)="2",$Q$15&lt;&gt;$Q$14),VLOOKUP(CONCATENATE(LEFT($Q30,2),"L"),$R$63:$T$91,3,FALSE),0)+IF(AND($Q30="O3/CP",$Q$14=A$18),VLOOKUP("O3",$R$63:$T$91,3,FALSE)+VLOOKUP("CP",$R$63:$T$91,3,FALSE),0)+IF(AND($R30&lt;&gt;"",$R30&lt;&gt;"--",$R30&lt;&gt;"O3/CP",$R$14=A$18),IF(LEFT($R30,1)="P",VLOOKUP(CONCATENATE(LEFT($R30,2),"H"),$R$63:$T$91,3,FALSE),VLOOKUP($R30,$R$63:$T$91,3,FALSE)))+IF(AND($R30&lt;&gt;"",$R30&lt;&gt;"O3/CP",$R$15=A$18,MID($R30,4,1)="2",$R$15&lt;&gt;$R$14),VLOOKUP(CONCATENATE(LEFT($R30,2),"L"),$R$63:$T$91,3,FALSE),0)+IF(AND($R30="O3/CP",$R$14=A$18),VLOOKUP("O3",$R$63:$T$91,3,FALSE)+VLOOKUP("CP",$R$63:$T$91,3,FALSE),0)+IF(AND($S30&lt;&gt;"",$S30&lt;&gt;"--",$S30&lt;&gt;"O3/CP",$S$14=A$18),IF(LEFT($S30,1)="P",VLOOKUP(CONCATENATE(LEFT($S30,2),"H"),$R$63:$T$91,3,FALSE),VLOOKUP($S30,$R$63:$T$91,3,FALSE)))+IF(AND($S30&lt;&gt;"",$S30&lt;&gt;"O3/CP",$S$15=A$18,MID($S30,4,1)="2",$S$15&lt;&gt;$S$14),VLOOKUP(CONCATENATE(LEFT($S30,2),"L"),$R$63:$T$91,3,FALSE),0)+IF(AND($S30="O3/CP",$S$14=A$18),VLOOKUP("O3",$R$63:$T$91,3,FALSE)+VLOOKUP("CP",$R$63:$T$91,3,FALSE),0)+IF(AND($T30&lt;&gt;"",$T30&lt;&gt;"--",$T30&lt;&gt;"O3/CP",$T$14=A$18),IF(LEFT($T30,1)="P",VLOOKUP(CONCATENATE(LEFT($T30,2),"H"),$R$63:$T$91,3,FALSE),VLOOKUP($T30,$R$63:$T$91,3,FALSE)))+IF(AND($T30&lt;&gt;"",$T30&lt;&gt;"O3/CP",$T$15=A$18,MID($T30,4,1)="2",$T$15&lt;&gt;$T$14),VLOOKUP(CONCATENATE(LEFT($T30,2),"L"),$R$63:$T$91,3,FALSE),0)+IF(AND($T30="O3/CP",$T$14=A$18),VLOOKUP("O3",$R$63:$T$91,3,FALSE)+VLOOKUP("CP",$R$63:$T$91,3,FALSE),0)+IF(AND($U30&lt;&gt;"",$U30&lt;&gt;"--",$U30&lt;&gt;"O3/CP",$U$14=A$18),IF(LEFT($U30,1)="P",VLOOKUP(CONCATENATE(LEFT($U30,2),"H"),$R$63:$T$91,3,FALSE),VLOOKUP($U30,$R$63:$T$91,3,FALSE)))+IF(AND($U30&lt;&gt;"",$U30&lt;&gt;"O3/CP",$U$15=A$18,MID($U30,4,1)="2",$U$15&lt;&gt;$U$14),VLOOKUP(CONCATENATE(LEFT($U30,2),"L"),$R$63:$T$91,3,FALSE),0)+IF(AND($U30="O3/CP",$T$14=A$18),VLOOKUP("O3",$R$63:$T$91,3,FALSE)+VLOOKUP("CP",$R$63:$T$91,3,FALSE),0)+IF(AND($V30&lt;&gt;"",$V30&lt;&gt;"--",$V30&lt;&gt;"O3/CP",$V$14=A$18),IF(LEFT($V30,1)="P",VLOOKUP(CONCATENATE(LEFT($V30,2),"H"),$R$63:$T$91,3,FALSE),VLOOKUP($V30,$R$63:$T$91,3,FALSE)))+IF(AND($V30&lt;&gt;"",$V30&lt;&gt;"O3/CP",$V$15=A$18,MID($V30,4,1)="2",$V$15&lt;&gt;$V$14),VLOOKUP(CONCATENATE(LEFT($V30,2),"L"),$R$63:$T$91,3,FALSE),0)+IF(AND($V30="O3/CP",$V$14=A$18),VLOOKUP("O3",$R$63:$T$91,3,FALSE)+VLOOKUP("CP",$R$63:$T$91,3,FALSE),0)+IF(AND($W30&lt;&gt;"",$W30&lt;&gt;"--",$W30&lt;&gt;"O3/CP",$W$14=A$18),IF(LEFT($W30,1)="P",VLOOKUP(CONCATENATE(LEFT($W30,2),"H"),$R$63:$T$91,3,FALSE),VLOOKUP($W30,$R$63:$T$91,3,FALSE)))+IF(AND($W30&lt;&gt;"",$W30&lt;&gt;"O3/CP",$W$15=A$18,MID($W30,4,1)="2",$W$15&lt;&gt;$W$14),VLOOKUP(CONCATENATE(LEFT($W30,2),"L"),$R$63:$T$91,3,FALSE),0)+IF(AND($W30="O3/CP",$W$14=A$18),VLOOKUP("O3",$R$63:$T$91,3,FALSE)+VLOOKUP("CP",$R$63:$T$91,3,FALSE),0)+IF(AND($X30&lt;&gt;"",$X30&lt;&gt;"--",$X30&lt;&gt;"O3/CP",$X$14=A$18),IF(LEFT($X30,1)="P",VLOOKUP(CONCATENATE(LEFT($X30,2),"H"),$R$63:$T$91,3,FALSE),VLOOKUP($X30,$R$63:$T$91,3,FALSE)))+IF(AND($X30&lt;&gt;"",$X30&lt;&gt;"O3/CP",$X$15=A$18,MID($X30,4,1)="2",$X$15&lt;&gt;$X$14),VLOOKUP(CONCATENATE(LEFT($X30,2),"L"),$R$63:$T$91,3,FALSE),0)+IF(AND($X30="O3/CP",$X$14=A$18),VLOOKUP("O3",$R$63:$T$91,3,FALSE)+VLOOKUP("CP",$R$63:$T$91,3,FALSE),0)+IF(AND($Y30&lt;&gt;"",$Y30&lt;&gt;"--",$Y30&lt;&gt;"O3/CP",$Y$14=A$18),IF(LEFT($Y30,1)="P",VLOOKUP(CONCATENATE(LEFT($Y30,2),"H"),$R$63:$T$91,3,FALSE),VLOOKUP($Y30,$R$63:$T$91,3,FALSE)))+IF(AND($Y30&lt;&gt;"",$Y30&lt;&gt;"O3/CP",$Y$15=A$18,MID($Y30,4,1)="2",$Y$15&lt;&gt;$Y$14),VLOOKUP(CONCATENATE(LEFT($Y30,2),"L"),$R$63:$T$91,3,FALSE),0)+IF(AND($Y30="O3/CP",$Y$14=A$18),VLOOKUP("O3",$R$63:$T$91,3,FALSE)+VLOOKUP("CP",$R$63:$T$91,3,FALSE),0)+IF(AND($K$6="CE",'[3]Supply Attribution'!$G$20=A$18),LEFT($S$90,2),0)+IF(AND($X$86&lt;&gt;"Not Set",$X$87=A$18),$X$86,0)</f>
        <v>0</v>
      </c>
      <c r="B30" s="269">
        <f>IF(AND($K30&lt;&gt;"",$K30&lt;&gt;"--",$K30&lt;&gt;"O3/CP",$K$14=B$18),IF(LEFT($K30,1)="P",VLOOKUP(CONCATENATE(LEFT($K30,2),"H"),$R$63:$T$91,3,FALSE),VLOOKUP($K30,$R$63:$T$91,3,FALSE)))+IF(AND($K30&lt;&gt;"",$K30&lt;&gt;"O3/CP",$K$15=B$18,MID($K30,4,1)="2",$K$15&lt;&gt;$K$14),VLOOKUP(CONCATENATE(LEFT($K30,2),"L"),$R$63:$T$91,3,FALSE),0)+IF(AND($K30="O3/CP",$K$14=B$18),VLOOKUP("O3",$R$63:$T$91,3,FALSE)+VLOOKUP("CP",$R$63:$T$91,3,FALSE),0)+IF(AND($L30&lt;&gt;"",$L30&lt;&gt;"--",$L30&lt;&gt;"O3/CP",$L$14=B$18),IF(LEFT($L30,1)="P",VLOOKUP(CONCATENATE(LEFT($L30,2),"H"),$R$63:$T$91,3,FALSE),VLOOKUP($L30,$R$63:$T$91,3,FALSE)))+IF(AND($L30&lt;&gt;"",$L30&lt;&gt;"O3/CP",$L$15=B$18,MID($L30,4,1)="2",$L$15&lt;&gt;$L$14),VLOOKUP(CONCATENATE(LEFT($L30,2),"L"),$R$63:$T$91,3,FALSE),0)+IF(AND($L30="O3/CP",$L$14=B$18),VLOOKUP("O3",$R$63:$T$91,3,FALSE)+VLOOKUP("CP",$R$63:$T$91,3,FALSE),0)+IF(AND($M30&lt;&gt;"",$M30&lt;&gt;"--",$M30&lt;&gt;"O3/CP",$M$14=B$18),IF(LEFT($M30,1)="P",VLOOKUP(CONCATENATE(LEFT($M30,2),"H"),$R$63:$T$91,3,FALSE),VLOOKUP($M30,$R$63:$T$91,3,FALSE)))+IF(AND($M30&lt;&gt;"",$M30&lt;&gt;"O3/CP",$M$15=B$18,MID($M30,4,1)="2",$M$15&lt;&gt;$M$14),VLOOKUP(CONCATENATE(LEFT($M30,2),"L"),$R$63:$T$91,3,FALSE),0)+IF(AND($M30="O3/CP",$M$14=B$18),VLOOKUP("O3",$R$63:$T$91,3,FALSE)+VLOOKUP("CP",$R$63:$T$91,3,FALSE),0)+IF(AND($N30&lt;&gt;"",$N30&lt;&gt;"--",$N30&lt;&gt;"O3/CP",$N$14=B$18),IF(LEFT($N30,1)="P",VLOOKUP(CONCATENATE(LEFT($N30,2),"H"),$R$63:$T$91,3,FALSE),VLOOKUP($N30,$R$63:$T$91,3,FALSE)))+IF(AND($N30&lt;&gt;"",$N30&lt;&gt;"O3/CP",$N$15=B$18,MID($N30,4,1)="2",$N$15&lt;&gt;$N$14),VLOOKUP(CONCATENATE(LEFT($N30,2),"L"),$R$63:$T$91,3,FALSE),0)+IF(AND($N30="O3/CP",$N$14=B$18),VLOOKUP("O3",$R$63:$T$91,3,FALSE)+VLOOKUP("CP",$R$63:$T$91,3,FALSE),0)+IF(AND($O30&lt;&gt;"",$O30&lt;&gt;"--",$O30&lt;&gt;"O3/CP",$O$14=B$18),IF(LEFT($O30,1)="P",VLOOKUP(CONCATENATE(LEFT($O30,2),"H"),$R$63:$T$91,3,FALSE),VLOOKUP($O30,$R$63:$T$91,3,FALSE)))+IF(AND($O30&lt;&gt;"",$O30&lt;&gt;"O3/CP",$O$15=B$18,MID($O30,4,1)="2",$O$15&lt;&gt;$O$14),VLOOKUP(CONCATENATE(LEFT($O30,2),"L"),$R$63:$T$91,3,FALSE),0)+IF(AND($O30="O3/CP",$O$14=B$18),VLOOKUP("O3",$R$63:$T$91,3,FALSE)+VLOOKUP("CP",$R$63:$T$91,3,FALSE),0)+IF(AND($P30&lt;&gt;"",$P30&lt;&gt;"--",$P30&lt;&gt;"O3/CP",$P$14=B$18),IF(LEFT($P30,1)="P",VLOOKUP(CONCATENATE(LEFT($P30,2),"H"),$R$63:$T$91,3,FALSE),VLOOKUP($P30,$R$63:$T$91,3,FALSE)))+IF(AND($P30&lt;&gt;"",$P30&lt;&gt;"O3/CP",$P$15=B$18,MID($P30,4,1)="2",$P$15&lt;&gt;$P$14),VLOOKUP(CONCATENATE(LEFT($P30,2),"L"),$R$63:$T$91,3,FALSE),0)+IF(AND($P30="O3/CP",$P$14=B$18),VLOOKUP("O3",$R$63:$T$91,3,FALSE)+VLOOKUP("CP",$R$63:$T$91,3,FALSE),0)+IF(AND($Q30&lt;&gt;"",$Q30&lt;&gt;"--",$Q30&lt;&gt;"O3/CP",$Q$14=B$18),IF(LEFT($Q30,1)="P",VLOOKUP(CONCATENATE(LEFT($Q30,2),"H"),$R$63:$T$91,3,FALSE),VLOOKUP($Q30,$R$63:$T$91,3,FALSE)))+IF(AND($Q30&lt;&gt;"",$Q30&lt;&gt;"O3/CP",$Q$15=B$18,MID($Q30,4,1)="2",$Q$15&lt;&gt;$Q$14),VLOOKUP(CONCATENATE(LEFT($Q30,2),"L"),$R$63:$T$91,3,FALSE),0)+IF(AND($Q30="O3/CP",$Q$14=B$18),VLOOKUP("O3",$R$63:$T$91,3,FALSE)+VLOOKUP("CP",$R$63:$T$91,3,FALSE),0)+IF(AND($R30&lt;&gt;"",$R30&lt;&gt;"--",$R30&lt;&gt;"O3/CP",$R$14=B$18),IF(LEFT($R30,1)="P",VLOOKUP(CONCATENATE(LEFT($R30,2),"H"),$R$63:$T$91,3,FALSE),VLOOKUP($R30,$R$63:$T$91,3,FALSE)))+IF(AND($R30&lt;&gt;"",$R30&lt;&gt;"O3/CP",$R$15=B$18,MID($R30,4,1)="2",$R$15&lt;&gt;$R$14),VLOOKUP(CONCATENATE(LEFT($R30,2),"L"),$R$63:$T$91,3,FALSE),0)+IF(AND($R30="O3/CP",$R$14=B$18),VLOOKUP("O3",$R$63:$T$91,3,FALSE)+VLOOKUP("CP",$R$63:$T$91,3,FALSE),0)+IF(AND($S30&lt;&gt;"",$S30&lt;&gt;"--",$S30&lt;&gt;"O3/CP",$S$14=B$18),IF(LEFT($S30,1)="P",VLOOKUP(CONCATENATE(LEFT($S30,2),"H"),$R$63:$T$91,3,FALSE),VLOOKUP($S30,$R$63:$T$91,3,FALSE)))+IF(AND($S30&lt;&gt;"",$S30&lt;&gt;"O3/CP",$S$15=B$18,MID($S30,4,1)="2",$S$15&lt;&gt;$S$14),VLOOKUP(CONCATENATE(LEFT($S30,2),"L"),$R$63:$T$91,3,FALSE),0)+IF(AND($S30="O3/CP",$S$14=B$18),VLOOKUP("O3",$R$63:$T$91,3,FALSE)+VLOOKUP("CP",$R$63:$T$91,3,FALSE),0)+IF(AND($T30&lt;&gt;"",$T30&lt;&gt;"--",$T30&lt;&gt;"O3/CP",$T$14=B$18),IF(LEFT($T30,1)="P",VLOOKUP(CONCATENATE(LEFT($T30,2),"H"),$R$63:$T$91,3,FALSE),VLOOKUP($T30,$R$63:$T$91,3,FALSE)))+IF(AND($T30&lt;&gt;"",$T30&lt;&gt;"O3/CP",$T$15=B$18,MID($T30,4,1)="2",$T$15&lt;&gt;$T$14),VLOOKUP(CONCATENATE(LEFT($T30,2),"L"),$R$63:$T$91,3,FALSE),0)+IF(AND($T30="O3/CP",$T$14=B$18),VLOOKUP("O3",$R$63:$T$91,3,FALSE)+VLOOKUP("CP",$R$63:$T$91,3,FALSE),0)+IF(AND($U30&lt;&gt;"",$U30&lt;&gt;"--",$U30&lt;&gt;"O3/CP",$U$14=B$18),IF(LEFT($U30,1)="P",VLOOKUP(CONCATENATE(LEFT($U30,2),"H"),$R$63:$T$91,3,FALSE),VLOOKUP($U30,$R$63:$T$91,3,FALSE)))+IF(AND($U30&lt;&gt;"",$U30&lt;&gt;"O3/CP",$U$15=B$18,MID($U30,4,1)="2",$U$15&lt;&gt;$U$14),VLOOKUP(CONCATENATE(LEFT($U30,2),"L"),$R$63:$T$91,3,FALSE),0)+IF(AND($U30="O3/CP",$T$14=B$18),VLOOKUP("O3",$R$63:$T$91,3,FALSE)+VLOOKUP("CP",$R$63:$T$91,3,FALSE),0)+IF(AND($V30&lt;&gt;"",$V30&lt;&gt;"--",$V30&lt;&gt;"O3/CP",$V$14=B$18),IF(LEFT($V30,1)="P",VLOOKUP(CONCATENATE(LEFT($V30,2),"H"),$R$63:$T$91,3,FALSE),VLOOKUP($V30,$R$63:$T$91,3,FALSE)))+IF(AND($V30&lt;&gt;"",$V30&lt;&gt;"O3/CP",$V$15=B$18,MID($V30,4,1)="2",$V$15&lt;&gt;$V$14),VLOOKUP(CONCATENATE(LEFT($V30,2),"L"),$R$63:$T$91,3,FALSE),0)+IF(AND($V30="O3/CP",$V$14=B$18),VLOOKUP("O3",$R$63:$T$91,3,FALSE)+VLOOKUP("CP",$R$63:$T$91,3,FALSE),0)+IF(AND($W30&lt;&gt;"",$W30&lt;&gt;"--",$W30&lt;&gt;"O3/CP",$W$14=B$18),IF(LEFT($W30,1)="P",VLOOKUP(CONCATENATE(LEFT($W30,2),"H"),$R$63:$T$91,3,FALSE),VLOOKUP($W30,$R$63:$T$91,3,FALSE)))+IF(AND($W30&lt;&gt;"",$W30&lt;&gt;"O3/CP",$W$15=B$18,MID($W30,4,1)="2",$W$15&lt;&gt;$W$14),VLOOKUP(CONCATENATE(LEFT($W30,2),"L"),$R$63:$T$91,3,FALSE),0)+IF(AND($W30="O3/CP",$W$14=B$18),VLOOKUP("O3",$R$63:$T$91,3,FALSE)+VLOOKUP("CP",$R$63:$T$91,3,FALSE),0)+IF(AND($X30&lt;&gt;"",$X30&lt;&gt;"--",$X30&lt;&gt;"O3/CP",$X$14=B$18),IF(LEFT($X30,1)="P",VLOOKUP(CONCATENATE(LEFT($X30,2),"H"),$R$63:$T$91,3,FALSE),VLOOKUP($X30,$R$63:$T$91,3,FALSE)))+IF(AND($X30&lt;&gt;"",$X30&lt;&gt;"O3/CP",$X$15=B$18,MID($X30,4,1)="2",$X$15&lt;&gt;$X$14),VLOOKUP(CONCATENATE(LEFT($X30,2),"L"),$R$63:$T$91,3,FALSE),0)+IF(AND($X30="O3/CP",$X$14=B$18),VLOOKUP("O3",$R$63:$T$91,3,FALSE)+VLOOKUP("CP",$R$63:$T$91,3,FALSE),0)+IF(AND($Y30&lt;&gt;"",$Y30&lt;&gt;"--",$Y30&lt;&gt;"O3/CP",$Y$14=B$18),IF(LEFT($Y30,1)="P",VLOOKUP(CONCATENATE(LEFT($Y30,2),"H"),$R$63:$T$91,3,FALSE),VLOOKUP($Y30,$R$63:$T$91,3,FALSE)))+IF(AND($Y30&lt;&gt;"",$Y30&lt;&gt;"O3/CP",$Y$15=B$18,MID($Y30,4,1)="2",$Y$15&lt;&gt;$Y$14),VLOOKUP(CONCATENATE(LEFT($Y30,2),"L"),$R$63:$T$91,3,FALSE),0)+IF(AND($Y30="O3/CP",$Y$14=B$18),VLOOKUP("O3",$R$63:$T$91,3,FALSE)+VLOOKUP("CP",$R$63:$T$91,3,FALSE),0)+IF(AND($K$6="CE",'[3]Supply Attribution'!$G$20=B$18),LEFT($S$90,2),0)+IF(AND($X$86&lt;&gt;"Not Set",$X$87=B$18),$X$86,0)</f>
        <v>0</v>
      </c>
      <c r="C30" s="269">
        <f>IF(AND($K30&lt;&gt;"",$K30&lt;&gt;"--",$K30&lt;&gt;"O3/CP",$K$14=C$18),IF(LEFT($K30,1)="P",VLOOKUP(CONCATENATE(LEFT($K30,2),"H"),$R$63:$T$91,3,FALSE),VLOOKUP($K30,$R$63:$T$91,3,FALSE)))+IF(AND($K30&lt;&gt;"",$K30&lt;&gt;"O3/CP",$K$15=C$18,MID($K30,4,1)="2",$K$15&lt;&gt;$K$14),VLOOKUP(CONCATENATE(LEFT($K30,2),"L"),$R$63:$T$91,3,FALSE),0)+IF(AND($K30="O3/CP",$K$14=C$18),VLOOKUP("O3",$R$63:$T$91,3,FALSE)+VLOOKUP("CP",$R$63:$T$91,3,FALSE),0)+IF(AND($L30&lt;&gt;"",$L30&lt;&gt;"--",$L30&lt;&gt;"O3/CP",$L$14=C$18),IF(LEFT($L30,1)="P",VLOOKUP(CONCATENATE(LEFT($L30,2),"H"),$R$63:$T$91,3,FALSE),VLOOKUP($L30,$R$63:$T$91,3,FALSE)))+IF(AND($L30&lt;&gt;"",$L30&lt;&gt;"O3/CP",$L$15=C$18,MID($L30,4,1)="2",$L$15&lt;&gt;$L$14),VLOOKUP(CONCATENATE(LEFT($L30,2),"L"),$R$63:$T$91,3,FALSE),0)+IF(AND($L30="O3/CP",$L$14=C$18),VLOOKUP("O3",$R$63:$T$91,3,FALSE)+VLOOKUP("CP",$R$63:$T$91,3,FALSE),0)+IF(AND($M30&lt;&gt;"",$M30&lt;&gt;"--",$M30&lt;&gt;"O3/CP",$M$14=C$18),IF(LEFT($M30,1)="P",VLOOKUP(CONCATENATE(LEFT($M30,2),"H"),$R$63:$T$91,3,FALSE),VLOOKUP($M30,$R$63:$T$91,3,FALSE)))+IF(AND($M30&lt;&gt;"",$M30&lt;&gt;"O3/CP",$M$15=C$18,MID($M30,4,1)="2",$M$15&lt;&gt;$M$14),VLOOKUP(CONCATENATE(LEFT($M30,2),"L"),$R$63:$T$91,3,FALSE),0)+IF(AND($M30="O3/CP",$M$14=C$18),VLOOKUP("O3",$R$63:$T$91,3,FALSE)+VLOOKUP("CP",$R$63:$T$91,3,FALSE),0)+IF(AND($N30&lt;&gt;"",$N30&lt;&gt;"--",$N30&lt;&gt;"O3/CP",$N$14=C$18),IF(LEFT($N30,1)="P",VLOOKUP(CONCATENATE(LEFT($N30,2),"H"),$R$63:$T$91,3,FALSE),VLOOKUP($N30,$R$63:$T$91,3,FALSE)))+IF(AND($N30&lt;&gt;"",$N30&lt;&gt;"O3/CP",$N$15=C$18,MID($N30,4,1)="2",$N$15&lt;&gt;$N$14),VLOOKUP(CONCATENATE(LEFT($N30,2),"L"),$R$63:$T$91,3,FALSE),0)+IF(AND($N30="O3/CP",$N$14=C$18),VLOOKUP("O3",$R$63:$T$91,3,FALSE)+VLOOKUP("CP",$R$63:$T$91,3,FALSE),0)+IF(AND($O30&lt;&gt;"",$O30&lt;&gt;"--",$O30&lt;&gt;"O3/CP",$O$14=C$18),IF(LEFT($O30,1)="P",VLOOKUP(CONCATENATE(LEFT($O30,2),"H"),$R$63:$T$91,3,FALSE),VLOOKUP($O30,$R$63:$T$91,3,FALSE)))+IF(AND($O30&lt;&gt;"",$O30&lt;&gt;"O3/CP",$O$15=C$18,MID($O30,4,1)="2",$O$15&lt;&gt;$O$14),VLOOKUP(CONCATENATE(LEFT($O30,2),"L"),$R$63:$T$91,3,FALSE),0)+IF(AND($O30="O3/CP",$O$14=C$18),VLOOKUP("O3",$R$63:$T$91,3,FALSE)+VLOOKUP("CP",$R$63:$T$91,3,FALSE),0)+IF(AND($P30&lt;&gt;"",$P30&lt;&gt;"--",$P30&lt;&gt;"O3/CP",$P$14=C$18),IF(LEFT($P30,1)="P",VLOOKUP(CONCATENATE(LEFT($P30,2),"H"),$R$63:$T$91,3,FALSE),VLOOKUP($P30,$R$63:$T$91,3,FALSE)))+IF(AND($P30&lt;&gt;"",$P30&lt;&gt;"O3/CP",$P$15=C$18,MID($P30,4,1)="2",$P$15&lt;&gt;$P$14),VLOOKUP(CONCATENATE(LEFT($P30,2),"L"),$R$63:$T$91,3,FALSE),0)+IF(AND($P30="O3/CP",$P$14=C$18),VLOOKUP("O3",$R$63:$T$91,3,FALSE)+VLOOKUP("CP",$R$63:$T$91,3,FALSE),0)+IF(AND($Q30&lt;&gt;"",$Q30&lt;&gt;"--",$Q30&lt;&gt;"O3/CP",$Q$14=C$18),IF(LEFT($Q30,1)="P",VLOOKUP(CONCATENATE(LEFT($Q30,2),"H"),$R$63:$T$91,3,FALSE),VLOOKUP($Q30,$R$63:$T$91,3,FALSE)))+IF(AND($Q30&lt;&gt;"",$Q30&lt;&gt;"O3/CP",$Q$15=C$18,MID($Q30,4,1)="2",$Q$15&lt;&gt;$Q$14),VLOOKUP(CONCATENATE(LEFT($Q30,2),"L"),$R$63:$T$91,3,FALSE),0)+IF(AND($Q30="O3/CP",$Q$14=C$18),VLOOKUP("O3",$R$63:$T$91,3,FALSE)+VLOOKUP("CP",$R$63:$T$91,3,FALSE),0)+IF(AND($R30&lt;&gt;"",$R30&lt;&gt;"--",$R30&lt;&gt;"O3/CP",$R$14=C$18),IF(LEFT($R30,1)="P",VLOOKUP(CONCATENATE(LEFT($R30,2),"H"),$R$63:$T$91,3,FALSE),VLOOKUP($R30,$R$63:$T$91,3,FALSE)))+IF(AND($R30&lt;&gt;"",$R30&lt;&gt;"O3/CP",$R$15=C$18,MID($R30,4,1)="2",$R$15&lt;&gt;$R$14),VLOOKUP(CONCATENATE(LEFT($R30,2),"L"),$R$63:$T$91,3,FALSE),0)+IF(AND($R30="O3/CP",$R$14=C$18),VLOOKUP("O3",$R$63:$T$91,3,FALSE)+VLOOKUP("CP",$R$63:$T$91,3,FALSE),0)+IF(AND($S30&lt;&gt;"",$S30&lt;&gt;"--",$S30&lt;&gt;"O3/CP",$S$14=C$18),IF(LEFT($S30,1)="P",VLOOKUP(CONCATENATE(LEFT($S30,2),"H"),$R$63:$T$91,3,FALSE),VLOOKUP($S30,$R$63:$T$91,3,FALSE)))+IF(AND($S30&lt;&gt;"",$S30&lt;&gt;"O3/CP",$S$15=C$18,MID($S30,4,1)="2",$S$15&lt;&gt;$S$14),VLOOKUP(CONCATENATE(LEFT($S30,2),"L"),$R$63:$T$91,3,FALSE),0)+IF(AND($S30="O3/CP",$S$14=C$18),VLOOKUP("O3",$R$63:$T$91,3,FALSE)+VLOOKUP("CP",$R$63:$T$91,3,FALSE),0)+IF(AND($T30&lt;&gt;"",$T30&lt;&gt;"--",$T30&lt;&gt;"O3/CP",$T$14=C$18),IF(LEFT($T30,1)="P",VLOOKUP(CONCATENATE(LEFT($T30,2),"H"),$R$63:$T$91,3,FALSE),VLOOKUP($T30,$R$63:$T$91,3,FALSE)))+IF(AND($T30&lt;&gt;"",$T30&lt;&gt;"O3/CP",$T$15=C$18,MID($T30,4,1)="2",$T$15&lt;&gt;$T$14),VLOOKUP(CONCATENATE(LEFT($T30,2),"L"),$R$63:$T$91,3,FALSE),0)+IF(AND($T30="O3/CP",$T$14=C$18),VLOOKUP("O3",$R$63:$T$91,3,FALSE)+VLOOKUP("CP",$R$63:$T$91,3,FALSE),0)+IF(AND($U30&lt;&gt;"",$U30&lt;&gt;"--",$U30&lt;&gt;"O3/CP",$U$14=C$18),IF(LEFT($U30,1)="P",VLOOKUP(CONCATENATE(LEFT($U30,2),"H"),$R$63:$T$91,3,FALSE),VLOOKUP($U30,$R$63:$T$91,3,FALSE)))+IF(AND($U30&lt;&gt;"",$U30&lt;&gt;"O3/CP",$U$15=C$18,MID($U30,4,1)="2",$U$15&lt;&gt;$U$14),VLOOKUP(CONCATENATE(LEFT($U30,2),"L"),$R$63:$T$91,3,FALSE),0)+IF(AND($U30="O3/CP",$T$14=C$18),VLOOKUP("O3",$R$63:$T$91,3,FALSE)+VLOOKUP("CP",$R$63:$T$91,3,FALSE),0)+IF(AND($V30&lt;&gt;"",$V30&lt;&gt;"--",$V30&lt;&gt;"O3/CP",$V$14=C$18),IF(LEFT($V30,1)="P",VLOOKUP(CONCATENATE(LEFT($V30,2),"H"),$R$63:$T$91,3,FALSE),VLOOKUP($V30,$R$63:$T$91,3,FALSE)))+IF(AND($V30&lt;&gt;"",$V30&lt;&gt;"O3/CP",$V$15=C$18,MID($V30,4,1)="2",$V$15&lt;&gt;$V$14),VLOOKUP(CONCATENATE(LEFT($V30,2),"L"),$R$63:$T$91,3,FALSE),0)+IF(AND($V30="O3/CP",$V$14=C$18),VLOOKUP("O3",$R$63:$T$91,3,FALSE)+VLOOKUP("CP",$R$63:$T$91,3,FALSE),0)+IF(AND($W30&lt;&gt;"",$W30&lt;&gt;"--",$W30&lt;&gt;"O3/CP",$W$14=C$18),IF(LEFT($W30,1)="P",VLOOKUP(CONCATENATE(LEFT($W30,2),"H"),$R$63:$T$91,3,FALSE),VLOOKUP($W30,$R$63:$T$91,3,FALSE)))+IF(AND($W30&lt;&gt;"",$W30&lt;&gt;"O3/CP",$W$15=C$18,MID($W30,4,1)="2",$W$15&lt;&gt;$W$14),VLOOKUP(CONCATENATE(LEFT($W30,2),"L"),$R$63:$T$91,3,FALSE),0)+IF(AND($W30="O3/CP",$W$14=C$18),VLOOKUP("O3",$R$63:$T$91,3,FALSE)+VLOOKUP("CP",$R$63:$T$91,3,FALSE),0)+IF(AND($X30&lt;&gt;"",$X30&lt;&gt;"--",$X30&lt;&gt;"O3/CP",$X$14=C$18),IF(LEFT($X30,1)="P",VLOOKUP(CONCATENATE(LEFT($X30,2),"H"),$R$63:$T$91,3,FALSE),VLOOKUP($X30,$R$63:$T$91,3,FALSE)))+IF(AND($X30&lt;&gt;"",$X30&lt;&gt;"O3/CP",$X$15=C$18,MID($X30,4,1)="2",$X$15&lt;&gt;$X$14),VLOOKUP(CONCATENATE(LEFT($X30,2),"L"),$R$63:$T$91,3,FALSE),0)+IF(AND($X30="O3/CP",$X$14=C$18),VLOOKUP("O3",$R$63:$T$91,3,FALSE)+VLOOKUP("CP",$R$63:$T$91,3,FALSE),0)+IF(AND($Y30&lt;&gt;"",$Y30&lt;&gt;"--",$Y30&lt;&gt;"O3/CP",$Y$14=C$18),IF(LEFT($Y30,1)="P",VLOOKUP(CONCATENATE(LEFT($Y30,2),"H"),$R$63:$T$91,3,FALSE),VLOOKUP($Y30,$R$63:$T$91,3,FALSE)))+IF(AND($Y30&lt;&gt;"",$Y30&lt;&gt;"O3/CP",$Y$15=C$18,MID($Y30,4,1)="2",$Y$15&lt;&gt;$Y$14),VLOOKUP(CONCATENATE(LEFT($Y30,2),"L"),$R$63:$T$91,3,FALSE),0)+IF(AND($Y30="O3/CP",$Y$14=C$18),VLOOKUP("O3",$R$63:$T$91,3,FALSE)+VLOOKUP("CP",$R$63:$T$91,3,FALSE),0)+IF(AND($K$6="CE",'[3]Supply Attribution'!$G$20=C$18),LEFT($S$90,2),0)+IF(AND($X$86&lt;&gt;"Not Set",$X$87=C$18),$X$86,0)</f>
        <v>0</v>
      </c>
      <c r="D30" s="269">
        <f>IF(AND($K30&lt;&gt;"",$K30&lt;&gt;"--",$K30&lt;&gt;"O3/CP",$K$14=D$18),IF(LEFT($K30,1)="P",VLOOKUP(CONCATENATE(LEFT($K30,2),"H"),$R$63:$T$91,3,FALSE),VLOOKUP($K30,$R$63:$T$91,3,FALSE)))+IF(AND($K30&lt;&gt;"",$K30&lt;&gt;"O3/CP",$K$15=D$18,MID($K30,4,1)="2",$K$15&lt;&gt;$K$14),VLOOKUP(CONCATENATE(LEFT($K30,2),"L"),$R$63:$T$91,3,FALSE),0)+IF(AND($K30="O3/CP",$K$14=D$18),VLOOKUP("O3",$R$63:$T$91,3,FALSE)+VLOOKUP("CP",$R$63:$T$91,3,FALSE),0)+IF(AND($L30&lt;&gt;"",$L30&lt;&gt;"--",$L30&lt;&gt;"O3/CP",$L$14=D$18),IF(LEFT($L30,1)="P",VLOOKUP(CONCATENATE(LEFT($L30,2),"H"),$R$63:$T$91,3,FALSE),VLOOKUP($L30,$R$63:$T$91,3,FALSE)))+IF(AND($L30&lt;&gt;"",$L30&lt;&gt;"O3/CP",$L$15=D$18,MID($L30,4,1)="2",$L$15&lt;&gt;$L$14),VLOOKUP(CONCATENATE(LEFT($L30,2),"L"),$R$63:$T$91,3,FALSE),0)+IF(AND($L30="O3/CP",$L$14=D$18),VLOOKUP("O3",$R$63:$T$91,3,FALSE)+VLOOKUP("CP",$R$63:$T$91,3,FALSE),0)+IF(AND($M30&lt;&gt;"",$M30&lt;&gt;"--",$M30&lt;&gt;"O3/CP",$M$14=D$18),IF(LEFT($M30,1)="P",VLOOKUP(CONCATENATE(LEFT($M30,2),"H"),$R$63:$T$91,3,FALSE),VLOOKUP($M30,$R$63:$T$91,3,FALSE)))+IF(AND($M30&lt;&gt;"",$M30&lt;&gt;"O3/CP",$M$15=D$18,MID($M30,4,1)="2",$M$15&lt;&gt;$M$14),VLOOKUP(CONCATENATE(LEFT($M30,2),"L"),$R$63:$T$91,3,FALSE),0)+IF(AND($M30="O3/CP",$M$14=D$18),VLOOKUP("O3",$R$63:$T$91,3,FALSE)+VLOOKUP("CP",$R$63:$T$91,3,FALSE),0)+IF(AND($N30&lt;&gt;"",$N30&lt;&gt;"--",$N30&lt;&gt;"O3/CP",$N$14=D$18),IF(LEFT($N30,1)="P",VLOOKUP(CONCATENATE(LEFT($N30,2),"H"),$R$63:$T$91,3,FALSE),VLOOKUP($N30,$R$63:$T$91,3,FALSE)))+IF(AND($N30&lt;&gt;"",$N30&lt;&gt;"O3/CP",$N$15=D$18,MID($N30,4,1)="2",$N$15&lt;&gt;$N$14),VLOOKUP(CONCATENATE(LEFT($N30,2),"L"),$R$63:$T$91,3,FALSE),0)+IF(AND($N30="O3/CP",$N$14=D$18),VLOOKUP("O3",$R$63:$T$91,3,FALSE)+VLOOKUP("CP",$R$63:$T$91,3,FALSE),0)+IF(AND($O30&lt;&gt;"",$O30&lt;&gt;"--",$O30&lt;&gt;"O3/CP",$O$14=D$18),IF(LEFT($O30,1)="P",VLOOKUP(CONCATENATE(LEFT($O30,2),"H"),$R$63:$T$91,3,FALSE),VLOOKUP($O30,$R$63:$T$91,3,FALSE)))+IF(AND($O30&lt;&gt;"",$O30&lt;&gt;"O3/CP",$O$15=D$18,MID($O30,4,1)="2",$O$15&lt;&gt;$O$14),VLOOKUP(CONCATENATE(LEFT($O30,2),"L"),$R$63:$T$91,3,FALSE),0)+IF(AND($O30="O3/CP",$O$14=D$18),VLOOKUP("O3",$R$63:$T$91,3,FALSE)+VLOOKUP("CP",$R$63:$T$91,3,FALSE),0)+IF(AND($P30&lt;&gt;"",$P30&lt;&gt;"--",$P30&lt;&gt;"O3/CP",$P$14=D$18),IF(LEFT($P30,1)="P",VLOOKUP(CONCATENATE(LEFT($P30,2),"H"),$R$63:$T$91,3,FALSE),VLOOKUP($P30,$R$63:$T$91,3,FALSE)))+IF(AND($P30&lt;&gt;"",$P30&lt;&gt;"O3/CP",$P$15=D$18,MID($P30,4,1)="2",$P$15&lt;&gt;$P$14),VLOOKUP(CONCATENATE(LEFT($P30,2),"L"),$R$63:$T$91,3,FALSE),0)+IF(AND($P30="O3/CP",$P$14=D$18),VLOOKUP("O3",$R$63:$T$91,3,FALSE)+VLOOKUP("CP",$R$63:$T$91,3,FALSE),0)+IF(AND($Q30&lt;&gt;"",$Q30&lt;&gt;"--",$Q30&lt;&gt;"O3/CP",$Q$14=D$18),IF(LEFT($Q30,1)="P",VLOOKUP(CONCATENATE(LEFT($Q30,2),"H"),$R$63:$T$91,3,FALSE),VLOOKUP($Q30,$R$63:$T$91,3,FALSE)))+IF(AND($Q30&lt;&gt;"",$Q30&lt;&gt;"O3/CP",$Q$15=D$18,MID($Q30,4,1)="2",$Q$15&lt;&gt;$Q$14),VLOOKUP(CONCATENATE(LEFT($Q30,2),"L"),$R$63:$T$91,3,FALSE),0)+IF(AND($Q30="O3/CP",$Q$14=D$18),VLOOKUP("O3",$R$63:$T$91,3,FALSE)+VLOOKUP("CP",$R$63:$T$91,3,FALSE),0)+IF(AND($R30&lt;&gt;"",$R30&lt;&gt;"--",$R30&lt;&gt;"O3/CP",$R$14=D$18),IF(LEFT($R30,1)="P",VLOOKUP(CONCATENATE(LEFT($R30,2),"H"),$R$63:$T$91,3,FALSE),VLOOKUP($R30,$R$63:$T$91,3,FALSE)))+IF(AND($R30&lt;&gt;"",$R30&lt;&gt;"O3/CP",$R$15=D$18,MID($R30,4,1)="2",$R$15&lt;&gt;$R$14),VLOOKUP(CONCATENATE(LEFT($R30,2),"L"),$R$63:$T$91,3,FALSE),0)+IF(AND($R30="O3/CP",$R$14=D$18),VLOOKUP("O3",$R$63:$T$91,3,FALSE)+VLOOKUP("CP",$R$63:$T$91,3,FALSE),0)+IF(AND($S30&lt;&gt;"",$S30&lt;&gt;"--",$S30&lt;&gt;"O3/CP",$S$14=D$18),IF(LEFT($S30,1)="P",VLOOKUP(CONCATENATE(LEFT($S30,2),"H"),$R$63:$T$91,3,FALSE),VLOOKUP($S30,$R$63:$T$91,3,FALSE)))+IF(AND($S30&lt;&gt;"",$S30&lt;&gt;"O3/CP",$S$15=D$18,MID($S30,4,1)="2",$S$15&lt;&gt;$S$14),VLOOKUP(CONCATENATE(LEFT($S30,2),"L"),$R$63:$T$91,3,FALSE),0)+IF(AND($S30="O3/CP",$S$14=D$18),VLOOKUP("O3",$R$63:$T$91,3,FALSE)+VLOOKUP("CP",$R$63:$T$91,3,FALSE),0)+IF(AND($T30&lt;&gt;"",$T30&lt;&gt;"--",$T30&lt;&gt;"O3/CP",$T$14=D$18),IF(LEFT($T30,1)="P",VLOOKUP(CONCATENATE(LEFT($T30,2),"H"),$R$63:$T$91,3,FALSE),VLOOKUP($T30,$R$63:$T$91,3,FALSE)))+IF(AND($T30&lt;&gt;"",$T30&lt;&gt;"O3/CP",$T$15=D$18,MID($T30,4,1)="2",$T$15&lt;&gt;$T$14),VLOOKUP(CONCATENATE(LEFT($T30,2),"L"),$R$63:$T$91,3,FALSE),0)+IF(AND($T30="O3/CP",$T$14=D$18),VLOOKUP("O3",$R$63:$T$91,3,FALSE)+VLOOKUP("CP",$R$63:$T$91,3,FALSE),0)+IF(AND($U30&lt;&gt;"",$U30&lt;&gt;"--",$U30&lt;&gt;"O3/CP",$U$14=D$18),IF(LEFT($U30,1)="P",VLOOKUP(CONCATENATE(LEFT($U30,2),"H"),$R$63:$T$91,3,FALSE),VLOOKUP($U30,$R$63:$T$91,3,FALSE)))+IF(AND($U30&lt;&gt;"",$U30&lt;&gt;"O3/CP",$U$15=D$18,MID($U30,4,1)="2",$U$15&lt;&gt;$U$14),VLOOKUP(CONCATENATE(LEFT($U30,2),"L"),$R$63:$T$91,3,FALSE),0)+IF(AND($U30="O3/CP",$T$14=D$18),VLOOKUP("O3",$R$63:$T$91,3,FALSE)+VLOOKUP("CP",$R$63:$T$91,3,FALSE),0)+IF(AND($V30&lt;&gt;"",$V30&lt;&gt;"--",$V30&lt;&gt;"O3/CP",$V$14=D$18),IF(LEFT($V30,1)="P",VLOOKUP(CONCATENATE(LEFT($V30,2),"H"),$R$63:$T$91,3,FALSE),VLOOKUP($V30,$R$63:$T$91,3,FALSE)))+IF(AND($V30&lt;&gt;"",$V30&lt;&gt;"O3/CP",$V$15=D$18,MID($V30,4,1)="2",$V$15&lt;&gt;$V$14),VLOOKUP(CONCATENATE(LEFT($V30,2),"L"),$R$63:$T$91,3,FALSE),0)+IF(AND($V30="O3/CP",$V$14=D$18),VLOOKUP("O3",$R$63:$T$91,3,FALSE)+VLOOKUP("CP",$R$63:$T$91,3,FALSE),0)+IF(AND($W30&lt;&gt;"",$W30&lt;&gt;"--",$W30&lt;&gt;"O3/CP",$W$14=D$18),IF(LEFT($W30,1)="P",VLOOKUP(CONCATENATE(LEFT($W30,2),"H"),$R$63:$T$91,3,FALSE),VLOOKUP($W30,$R$63:$T$91,3,FALSE)))+IF(AND($W30&lt;&gt;"",$W30&lt;&gt;"O3/CP",$W$15=D$18,MID($W30,4,1)="2",$W$15&lt;&gt;$W$14),VLOOKUP(CONCATENATE(LEFT($W30,2),"L"),$R$63:$T$91,3,FALSE),0)+IF(AND($W30="O3/CP",$W$14=D$18),VLOOKUP("O3",$R$63:$T$91,3,FALSE)+VLOOKUP("CP",$R$63:$T$91,3,FALSE),0)+IF(AND($X30&lt;&gt;"",$X30&lt;&gt;"--",$X30&lt;&gt;"O3/CP",$X$14=D$18),IF(LEFT($X30,1)="P",VLOOKUP(CONCATENATE(LEFT($X30,2),"H"),$R$63:$T$91,3,FALSE),VLOOKUP($X30,$R$63:$T$91,3,FALSE)))+IF(AND($X30&lt;&gt;"",$X30&lt;&gt;"O3/CP",$X$15=D$18,MID($X30,4,1)="2",$X$15&lt;&gt;$X$14),VLOOKUP(CONCATENATE(LEFT($X30,2),"L"),$R$63:$T$91,3,FALSE),0)+IF(AND($X30="O3/CP",$X$14=D$18),VLOOKUP("O3",$R$63:$T$91,3,FALSE)+VLOOKUP("CP",$R$63:$T$91,3,FALSE),0)+IF(AND($Y30&lt;&gt;"",$Y30&lt;&gt;"--",$Y30&lt;&gt;"O3/CP",$Y$14=D$18),IF(LEFT($Y30,1)="P",VLOOKUP(CONCATENATE(LEFT($Y30,2),"H"),$R$63:$T$91,3,FALSE),VLOOKUP($Y30,$R$63:$T$91,3,FALSE)))+IF(AND($Y30&lt;&gt;"",$Y30&lt;&gt;"O3/CP",$Y$15=D$18,MID($Y30,4,1)="2",$Y$15&lt;&gt;$Y$14),VLOOKUP(CONCATENATE(LEFT($Y30,2),"L"),$R$63:$T$91,3,FALSE),0)+IF(AND($Y30="O3/CP",$Y$14=D$18),VLOOKUP("O3",$R$63:$T$91,3,FALSE)+VLOOKUP("CP",$R$63:$T$91,3,FALSE),0)+IF(AND($K$6="CE",'[3]Supply Attribution'!$G$20=D$18),LEFT($S$90,2),0)+IF(AND($X$86&lt;&gt;"Not Set",$X$87=D$18),$X$86,0)</f>
        <v>0</v>
      </c>
      <c r="E30" s="269">
        <f>IF(AND($K30&lt;&gt;"",$K30&lt;&gt;"--",$K30&lt;&gt;"O3/CP",$K$14=E$18),IF(LEFT($K30,1)="P",VLOOKUP(CONCATENATE(LEFT($K30,2),"H"),$R$63:$T$91,3,FALSE),VLOOKUP($K30,$R$63:$T$91,3,FALSE)))+IF(AND($K30&lt;&gt;"",$K30&lt;&gt;"O3/CP",$K$15=E$18,MID($K30,4,1)="2",$K$15&lt;&gt;$K$14),VLOOKUP(CONCATENATE(LEFT($K30,2),"L"),$R$63:$T$91,3,FALSE),0)+IF(AND($K30="O3/CP",$K$14=E$18),VLOOKUP("O3",$R$63:$T$91,3,FALSE)+VLOOKUP("CP",$R$63:$T$91,3,FALSE),0)+IF(AND($L30&lt;&gt;"",$L30&lt;&gt;"--",$L30&lt;&gt;"O3/CP",$L$14=E$18),IF(LEFT($L30,1)="P",VLOOKUP(CONCATENATE(LEFT($L30,2),"H"),$R$63:$T$91,3,FALSE),VLOOKUP($L30,$R$63:$T$91,3,FALSE)))+IF(AND($L30&lt;&gt;"",$L30&lt;&gt;"O3/CP",$L$15=E$18,MID($L30,4,1)="2",$L$15&lt;&gt;$L$14),VLOOKUP(CONCATENATE(LEFT($L30,2),"L"),$R$63:$T$91,3,FALSE),0)+IF(AND($L30="O3/CP",$L$14=E$18),VLOOKUP("O3",$R$63:$T$91,3,FALSE)+VLOOKUP("CP",$R$63:$T$91,3,FALSE),0)+IF(AND($M30&lt;&gt;"",$M30&lt;&gt;"--",$M30&lt;&gt;"O3/CP",$M$14=E$18),IF(LEFT($M30,1)="P",VLOOKUP(CONCATENATE(LEFT($M30,2),"H"),$R$63:$T$91,3,FALSE),VLOOKUP($M30,$R$63:$T$91,3,FALSE)))+IF(AND($M30&lt;&gt;"",$M30&lt;&gt;"O3/CP",$M$15=E$18,MID($M30,4,1)="2",$M$15&lt;&gt;$M$14),VLOOKUP(CONCATENATE(LEFT($M30,2),"L"),$R$63:$T$91,3,FALSE),0)+IF(AND($M30="O3/CP",$M$14=E$18),VLOOKUP("O3",$R$63:$T$91,3,FALSE)+VLOOKUP("CP",$R$63:$T$91,3,FALSE),0)+IF(AND($N30&lt;&gt;"",$N30&lt;&gt;"--",$N30&lt;&gt;"O3/CP",$N$14=E$18),IF(LEFT($N30,1)="P",VLOOKUP(CONCATENATE(LEFT($N30,2),"H"),$R$63:$T$91,3,FALSE),VLOOKUP($N30,$R$63:$T$91,3,FALSE)))+IF(AND($N30&lt;&gt;"",$N30&lt;&gt;"O3/CP",$N$15=E$18,MID($N30,4,1)="2",$N$15&lt;&gt;$N$14),VLOOKUP(CONCATENATE(LEFT($N30,2),"L"),$R$63:$T$91,3,FALSE),0)+IF(AND($N30="O3/CP",$N$14=E$18),VLOOKUP("O3",$R$63:$T$91,3,FALSE)+VLOOKUP("CP",$R$63:$T$91,3,FALSE),0)+IF(AND($O30&lt;&gt;"",$O30&lt;&gt;"--",$O30&lt;&gt;"O3/CP",$O$14=E$18),IF(LEFT($O30,1)="P",VLOOKUP(CONCATENATE(LEFT($O30,2),"H"),$R$63:$T$91,3,FALSE),VLOOKUP($O30,$R$63:$T$91,3,FALSE)))+IF(AND($O30&lt;&gt;"",$O30&lt;&gt;"O3/CP",$O$15=E$18,MID($O30,4,1)="2",$O$15&lt;&gt;$O$14),VLOOKUP(CONCATENATE(LEFT($O30,2),"L"),$R$63:$T$91,3,FALSE),0)+IF(AND($O30="O3/CP",$O$14=E$18),VLOOKUP("O3",$R$63:$T$91,3,FALSE)+VLOOKUP("CP",$R$63:$T$91,3,FALSE),0)+IF(AND($P30&lt;&gt;"",$P30&lt;&gt;"--",$P30&lt;&gt;"O3/CP",$P$14=E$18),IF(LEFT($P30,1)="P",VLOOKUP(CONCATENATE(LEFT($P30,2),"H"),$R$63:$T$91,3,FALSE),VLOOKUP($P30,$R$63:$T$91,3,FALSE)))+IF(AND($P30&lt;&gt;"",$P30&lt;&gt;"O3/CP",$P$15=E$18,MID($P30,4,1)="2",$P$15&lt;&gt;$P$14),VLOOKUP(CONCATENATE(LEFT($P30,2),"L"),$R$63:$T$91,3,FALSE),0)+IF(AND($P30="O3/CP",$P$14=E$18),VLOOKUP("O3",$R$63:$T$91,3,FALSE)+VLOOKUP("CP",$R$63:$T$91,3,FALSE),0)+IF(AND($Q30&lt;&gt;"",$Q30&lt;&gt;"--",$Q30&lt;&gt;"O3/CP",$Q$14=E$18),IF(LEFT($Q30,1)="P",VLOOKUP(CONCATENATE(LEFT($Q30,2),"H"),$R$63:$T$91,3,FALSE),VLOOKUP($Q30,$R$63:$T$91,3,FALSE)))+IF(AND($Q30&lt;&gt;"",$Q30&lt;&gt;"O3/CP",$Q$15=E$18,MID($Q30,4,1)="2",$Q$15&lt;&gt;$Q$14),VLOOKUP(CONCATENATE(LEFT($Q30,2),"L"),$R$63:$T$91,3,FALSE),0)+IF(AND($Q30="O3/CP",$Q$14=E$18),VLOOKUP("O3",$R$63:$T$91,3,FALSE)+VLOOKUP("CP",$R$63:$T$91,3,FALSE),0)+IF(AND($R30&lt;&gt;"",$R30&lt;&gt;"--",$R30&lt;&gt;"O3/CP",$R$14=E$18),IF(LEFT($R30,1)="P",VLOOKUP(CONCATENATE(LEFT($R30,2),"H"),$R$63:$T$91,3,FALSE),VLOOKUP($R30,$R$63:$T$91,3,FALSE)))+IF(AND($R30&lt;&gt;"",$R30&lt;&gt;"O3/CP",$R$15=E$18,MID($R30,4,1)="2",$R$15&lt;&gt;$R$14),VLOOKUP(CONCATENATE(LEFT($R30,2),"L"),$R$63:$T$91,3,FALSE),0)+IF(AND($R30="O3/CP",$R$14=E$18),VLOOKUP("O3",$R$63:$T$91,3,FALSE)+VLOOKUP("CP",$R$63:$T$91,3,FALSE),0)+IF(AND($S30&lt;&gt;"",$S30&lt;&gt;"--",$S30&lt;&gt;"O3/CP",$S$14=E$18),IF(LEFT($S30,1)="P",VLOOKUP(CONCATENATE(LEFT($S30,2),"H"),$R$63:$T$91,3,FALSE),VLOOKUP($S30,$R$63:$T$91,3,FALSE)))+IF(AND($S30&lt;&gt;"",$S30&lt;&gt;"O3/CP",$S$15=E$18,MID($S30,4,1)="2",$S$15&lt;&gt;$S$14),VLOOKUP(CONCATENATE(LEFT($S30,2),"L"),$R$63:$T$91,3,FALSE),0)+IF(AND($S30="O3/CP",$S$14=E$18),VLOOKUP("O3",$R$63:$T$91,3,FALSE)+VLOOKUP("CP",$R$63:$T$91,3,FALSE),0)+IF(AND($T30&lt;&gt;"",$T30&lt;&gt;"--",$T30&lt;&gt;"O3/CP",$T$14=E$18),IF(LEFT($T30,1)="P",VLOOKUP(CONCATENATE(LEFT($T30,2),"H"),$R$63:$T$91,3,FALSE),VLOOKUP($T30,$R$63:$T$91,3,FALSE)))+IF(AND($T30&lt;&gt;"",$T30&lt;&gt;"O3/CP",$T$15=E$18,MID($T30,4,1)="2",$T$15&lt;&gt;$T$14),VLOOKUP(CONCATENATE(LEFT($T30,2),"L"),$R$63:$T$91,3,FALSE),0)+IF(AND($T30="O3/CP",$T$14=E$18),VLOOKUP("O3",$R$63:$T$91,3,FALSE)+VLOOKUP("CP",$R$63:$T$91,3,FALSE),0)+IF(AND($U30&lt;&gt;"",$U30&lt;&gt;"--",$U30&lt;&gt;"O3/CP",$U$14=E$18),IF(LEFT($U30,1)="P",VLOOKUP(CONCATENATE(LEFT($U30,2),"H"),$R$63:$T$91,3,FALSE),VLOOKUP($U30,$R$63:$T$91,3,FALSE)))+IF(AND($U30&lt;&gt;"",$U30&lt;&gt;"O3/CP",$U$15=E$18,MID($U30,4,1)="2",$U$15&lt;&gt;$U$14),VLOOKUP(CONCATENATE(LEFT($U30,2),"L"),$R$63:$T$91,3,FALSE),0)+IF(AND($U30="O3/CP",$T$14=E$18),VLOOKUP("O3",$R$63:$T$91,3,FALSE)+VLOOKUP("CP",$R$63:$T$91,3,FALSE),0)+IF(AND($V30&lt;&gt;"",$V30&lt;&gt;"--",$V30&lt;&gt;"O3/CP",$V$14=E$18),IF(LEFT($V30,1)="P",VLOOKUP(CONCATENATE(LEFT($V30,2),"H"),$R$63:$T$91,3,FALSE),VLOOKUP($V30,$R$63:$T$91,3,FALSE)))+IF(AND($V30&lt;&gt;"",$V30&lt;&gt;"O3/CP",$V$15=E$18,MID($V30,4,1)="2",$V$15&lt;&gt;$V$14),VLOOKUP(CONCATENATE(LEFT($V30,2),"L"),$R$63:$T$91,3,FALSE),0)+IF(AND($V30="O3/CP",$V$14=E$18),VLOOKUP("O3",$R$63:$T$91,3,FALSE)+VLOOKUP("CP",$R$63:$T$91,3,FALSE),0)+IF(AND($W30&lt;&gt;"",$W30&lt;&gt;"--",$W30&lt;&gt;"O3/CP",$W$14=E$18),IF(LEFT($W30,1)="P",VLOOKUP(CONCATENATE(LEFT($W30,2),"H"),$R$63:$T$91,3,FALSE),VLOOKUP($W30,$R$63:$T$91,3,FALSE)))+IF(AND($W30&lt;&gt;"",$W30&lt;&gt;"O3/CP",$W$15=E$18,MID($W30,4,1)="2",$W$15&lt;&gt;$W$14),VLOOKUP(CONCATENATE(LEFT($W30,2),"L"),$R$63:$T$91,3,FALSE),0)+IF(AND($W30="O3/CP",$W$14=E$18),VLOOKUP("O3",$R$63:$T$91,3,FALSE)+VLOOKUP("CP",$R$63:$T$91,3,FALSE),0)+IF(AND($X30&lt;&gt;"",$X30&lt;&gt;"--",$X30&lt;&gt;"O3/CP",$X$14=E$18),IF(LEFT($X30,1)="P",VLOOKUP(CONCATENATE(LEFT($X30,2),"H"),$R$63:$T$91,3,FALSE),VLOOKUP($X30,$R$63:$T$91,3,FALSE)))+IF(AND($X30&lt;&gt;"",$X30&lt;&gt;"O3/CP",$X$15=E$18,MID($X30,4,1)="2",$X$15&lt;&gt;$X$14),VLOOKUP(CONCATENATE(LEFT($X30,2),"L"),$R$63:$T$91,3,FALSE),0)+IF(AND($X30="O3/CP",$X$14=E$18),VLOOKUP("O3",$R$63:$T$91,3,FALSE)+VLOOKUP("CP",$R$63:$T$91,3,FALSE),0)+IF(AND($Y30&lt;&gt;"",$Y30&lt;&gt;"--",$Y30&lt;&gt;"O3/CP",$Y$14=E$18),IF(LEFT($Y30,1)="P",VLOOKUP(CONCATENATE(LEFT($Y30,2),"H"),$R$63:$T$91,3,FALSE),VLOOKUP($Y30,$R$63:$T$91,3,FALSE)))+IF(AND($Y30&lt;&gt;"",$Y30&lt;&gt;"O3/CP",$Y$15=E$18,MID($Y30,4,1)="2",$Y$15&lt;&gt;$Y$14),VLOOKUP(CONCATENATE(LEFT($Y30,2),"L"),$R$63:$T$91,3,FALSE),0)+IF(AND($Y30="O3/CP",$Y$14=E$18),VLOOKUP("O3",$R$63:$T$91,3,FALSE)+VLOOKUP("CP",$R$63:$T$91,3,FALSE),0)+IF(AND($K$6="CE",'[3]Supply Attribution'!$G$20=E$18),LEFT($S$90,2),0)+IF(AND($X$86&lt;&gt;"Not Set",$X$87=E$18),$X$86,0)</f>
        <v>0</v>
      </c>
      <c r="F30" s="268">
        <f>IF(AND($K30&lt;&gt;"",$K30&lt;&gt;"--",$K30&lt;&gt;"O3/CP",$K$14=F$18),IF(LEFT($K30,1)="P",VLOOKUP(CONCATENATE(LEFT($K30,2),"H"),$R$63:$T$91,3,FALSE),VLOOKUP($K30,$R$63:$T$91,3,FALSE)))+IF(AND($K30&lt;&gt;"",$K30&lt;&gt;"O3/CP",$K$15=F$18,MID($K30,4,1)="2",$K$15&lt;&gt;$K$14),VLOOKUP(CONCATENATE(LEFT($K30,2),"L"),$R$63:$T$91,3,FALSE),0)+IF(AND($K30="O3/CP",$K$14=F$18),VLOOKUP("O3",$R$63:$T$91,3,FALSE)+VLOOKUP("CP",$R$63:$T$91,3,FALSE),0)+IF(AND($L30&lt;&gt;"",$L30&lt;&gt;"--",$L30&lt;&gt;"O3/CP",$L$14=F$18),IF(LEFT($L30,1)="P",VLOOKUP(CONCATENATE(LEFT($L30,2),"H"),$R$63:$T$91,3,FALSE),VLOOKUP($L30,$R$63:$T$91,3,FALSE)))+IF(AND($L30&lt;&gt;"",$L30&lt;&gt;"O3/CP",$L$15=F$18,MID($L30,4,1)="2",$L$15&lt;&gt;$L$14),VLOOKUP(CONCATENATE(LEFT($L30,2),"L"),$R$63:$T$91,3,FALSE),0)+IF(AND($L30="O3/CP",$L$14=F$18),VLOOKUP("O3",$R$63:$T$91,3,FALSE)+VLOOKUP("CP",$R$63:$T$91,3,FALSE),0)+IF(AND($M30&lt;&gt;"",$M30&lt;&gt;"--",$M30&lt;&gt;"O3/CP",$M$14=F$18),IF(LEFT($M30,1)="P",VLOOKUP(CONCATENATE(LEFT($M30,2),"H"),$R$63:$T$91,3,FALSE),VLOOKUP($M30,$R$63:$T$91,3,FALSE)))+IF(AND($M30&lt;&gt;"",$M30&lt;&gt;"O3/CP",$M$15=F$18,MID($M30,4,1)="2",$M$15&lt;&gt;$M$14),VLOOKUP(CONCATENATE(LEFT($M30,2),"L"),$R$63:$T$91,3,FALSE),0)+IF(AND($M30="O3/CP",$M$14=F$18),VLOOKUP("O3",$R$63:$T$91,3,FALSE)+VLOOKUP("CP",$R$63:$T$91,3,FALSE),0)+IF(AND($N30&lt;&gt;"",$N30&lt;&gt;"--",$N30&lt;&gt;"O3/CP",$N$14=F$18),IF(LEFT($N30,1)="P",VLOOKUP(CONCATENATE(LEFT($N30,2),"H"),$R$63:$T$91,3,FALSE),VLOOKUP($N30,$R$63:$T$91,3,FALSE)))+IF(AND($N30&lt;&gt;"",$N30&lt;&gt;"O3/CP",$N$15=F$18,MID($N30,4,1)="2",$N$15&lt;&gt;$N$14),VLOOKUP(CONCATENATE(LEFT($N30,2),"L"),$R$63:$T$91,3,FALSE),0)+IF(AND($N30="O3/CP",$N$14=F$18),VLOOKUP("O3",$R$63:$T$91,3,FALSE)+VLOOKUP("CP",$R$63:$T$91,3,FALSE),0)+IF(AND($O30&lt;&gt;"",$O30&lt;&gt;"--",$O30&lt;&gt;"O3/CP",$O$14=F$18),IF(LEFT($O30,1)="P",VLOOKUP(CONCATENATE(LEFT($O30,2),"H"),$R$63:$T$91,3,FALSE),VLOOKUP($O30,$R$63:$T$91,3,FALSE)))+IF(AND($O30&lt;&gt;"",$O30&lt;&gt;"O3/CP",$O$15=F$18,MID($O30,4,1)="2",$O$15&lt;&gt;$O$14),VLOOKUP(CONCATENATE(LEFT($O30,2),"L"),$R$63:$T$91,3,FALSE),0)+IF(AND($O30="O3/CP",$O$14=F$18),VLOOKUP("O3",$R$63:$T$91,3,FALSE)+VLOOKUP("CP",$R$63:$T$91,3,FALSE),0)+IF(AND($P30&lt;&gt;"",$P30&lt;&gt;"--",$P30&lt;&gt;"O3/CP",$P$14=F$18),IF(LEFT($P30,1)="P",VLOOKUP(CONCATENATE(LEFT($P30,2),"H"),$R$63:$T$91,3,FALSE),VLOOKUP($P30,$R$63:$T$91,3,FALSE)))+IF(AND($P30&lt;&gt;"",$P30&lt;&gt;"O3/CP",$P$15=F$18,MID($P30,4,1)="2",$P$15&lt;&gt;$P$14),VLOOKUP(CONCATENATE(LEFT($P30,2),"L"),$R$63:$T$91,3,FALSE),0)+IF(AND($P30="O3/CP",$P$14=F$18),VLOOKUP("O3",$R$63:$T$91,3,FALSE)+VLOOKUP("CP",$R$63:$T$91,3,FALSE),0)+IF(AND($Q30&lt;&gt;"",$Q30&lt;&gt;"--",$Q30&lt;&gt;"O3/CP",$Q$14=F$18),IF(LEFT($Q30,1)="P",VLOOKUP(CONCATENATE(LEFT($Q30,2),"H"),$R$63:$T$91,3,FALSE),VLOOKUP($Q30,$R$63:$T$91,3,FALSE)))+IF(AND($Q30&lt;&gt;"",$Q30&lt;&gt;"O3/CP",$Q$15=F$18,MID($Q30,4,1)="2",$Q$15&lt;&gt;$Q$14),VLOOKUP(CONCATENATE(LEFT($Q30,2),"L"),$R$63:$T$91,3,FALSE),0)+IF(AND($Q30="O3/CP",$Q$14=F$18),VLOOKUP("O3",$R$63:$T$91,3,FALSE)+VLOOKUP("CP",$R$63:$T$91,3,FALSE),0)+IF(AND($R30&lt;&gt;"",$R30&lt;&gt;"--",$R30&lt;&gt;"O3/CP",$R$14=F$18),IF(LEFT($R30,1)="P",VLOOKUP(CONCATENATE(LEFT($R30,2),"H"),$R$63:$T$91,3,FALSE),VLOOKUP($R30,$R$63:$T$91,3,FALSE)))+IF(AND($R30&lt;&gt;"",$R30&lt;&gt;"O3/CP",$R$15=F$18,MID($R30,4,1)="2",$R$15&lt;&gt;$R$14),VLOOKUP(CONCATENATE(LEFT($R30,2),"L"),$R$63:$T$91,3,FALSE),0)+IF(AND($R30="O3/CP",$R$14=F$18),VLOOKUP("O3",$R$63:$T$91,3,FALSE)+VLOOKUP("CP",$R$63:$T$91,3,FALSE),0)+IF(AND($S30&lt;&gt;"",$S30&lt;&gt;"--",$S30&lt;&gt;"O3/CP",$S$14=F$18),IF(LEFT($S30,1)="P",VLOOKUP(CONCATENATE(LEFT($S30,2),"H"),$R$63:$T$91,3,FALSE),VLOOKUP($S30,$R$63:$T$91,3,FALSE)))+IF(AND($S30&lt;&gt;"",$S30&lt;&gt;"O3/CP",$S$15=F$18,MID($S30,4,1)="2",$S$15&lt;&gt;$S$14),VLOOKUP(CONCATENATE(LEFT($S30,2),"L"),$R$63:$T$91,3,FALSE),0)+IF(AND($S30="O3/CP",$S$14=F$18),VLOOKUP("O3",$R$63:$T$91,3,FALSE)+VLOOKUP("CP",$R$63:$T$91,3,FALSE),0)+IF(AND($T30&lt;&gt;"",$T30&lt;&gt;"--",$T30&lt;&gt;"O3/CP",$T$14=F$18),IF(LEFT($T30,1)="P",VLOOKUP(CONCATENATE(LEFT($T30,2),"H"),$R$63:$T$91,3,FALSE),VLOOKUP($T30,$R$63:$T$91,3,FALSE)))+IF(AND($T30&lt;&gt;"",$T30&lt;&gt;"O3/CP",$T$15=F$18,MID($T30,4,1)="2",$T$15&lt;&gt;$T$14),VLOOKUP(CONCATENATE(LEFT($T30,2),"L"),$R$63:$T$91,3,FALSE),0)+IF(AND($T30="O3/CP",$T$14=F$18),VLOOKUP("O3",$R$63:$T$91,3,FALSE)+VLOOKUP("CP",$R$63:$T$91,3,FALSE),0)+IF(AND($U30&lt;&gt;"",$U30&lt;&gt;"--",$U30&lt;&gt;"O3/CP",$U$14=F$18),IF(LEFT($U30,1)="P",VLOOKUP(CONCATENATE(LEFT($U30,2),"H"),$R$63:$T$91,3,FALSE),VLOOKUP($U30,$R$63:$T$91,3,FALSE)))+IF(AND($U30&lt;&gt;"",$U30&lt;&gt;"O3/CP",$U$15=F$18,MID($U30,4,1)="2",$U$15&lt;&gt;$U$14),VLOOKUP(CONCATENATE(LEFT($U30,2),"L"),$R$63:$T$91,3,FALSE),0)+IF(AND($U30="O3/CP",$T$14=F$18),VLOOKUP("O3",$R$63:$T$91,3,FALSE)+VLOOKUP("CP",$R$63:$T$91,3,FALSE),0)+IF(AND($V30&lt;&gt;"",$V30&lt;&gt;"--",$V30&lt;&gt;"O3/CP",$V$14=F$18),IF(LEFT($V30,1)="P",VLOOKUP(CONCATENATE(LEFT($V30,2),"H"),$R$63:$T$91,3,FALSE),VLOOKUP($V30,$R$63:$T$91,3,FALSE)))+IF(AND($V30&lt;&gt;"",$V30&lt;&gt;"O3/CP",$V$15=F$18,MID($V30,4,1)="2",$V$15&lt;&gt;$V$14),VLOOKUP(CONCATENATE(LEFT($V30,2),"L"),$R$63:$T$91,3,FALSE),0)+IF(AND($V30="O3/CP",$V$14=F$18),VLOOKUP("O3",$R$63:$T$91,3,FALSE)+VLOOKUP("CP",$R$63:$T$91,3,FALSE),0)+IF(AND($W30&lt;&gt;"",$W30&lt;&gt;"--",$W30&lt;&gt;"O3/CP",$W$14=F$18),IF(LEFT($W30,1)="P",VLOOKUP(CONCATENATE(LEFT($W30,2),"H"),$R$63:$T$91,3,FALSE),VLOOKUP($W30,$R$63:$T$91,3,FALSE)))+IF(AND($W30&lt;&gt;"",$W30&lt;&gt;"O3/CP",$W$15=F$18,MID($W30,4,1)="2",$W$15&lt;&gt;$W$14),VLOOKUP(CONCATENATE(LEFT($W30,2),"L"),$R$63:$T$91,3,FALSE),0)+IF(AND($W30="O3/CP",$W$14=F$18),VLOOKUP("O3",$R$63:$T$91,3,FALSE)+VLOOKUP("CP",$R$63:$T$91,3,FALSE),0)+IF(AND($X30&lt;&gt;"",$X30&lt;&gt;"--",$X30&lt;&gt;"O3/CP",$X$14=F$18),IF(LEFT($X30,1)="P",VLOOKUP(CONCATENATE(LEFT($X30,2),"H"),$R$63:$T$91,3,FALSE),VLOOKUP($X30,$R$63:$T$91,3,FALSE)))+IF(AND($X30&lt;&gt;"",$X30&lt;&gt;"O3/CP",$X$15=F$18,MID($X30,4,1)="2",$X$15&lt;&gt;$X$14),VLOOKUP(CONCATENATE(LEFT($X30,2),"L"),$R$63:$T$91,3,FALSE),0)+IF(AND($X30="O3/CP",$X$14=F$18),VLOOKUP("O3",$R$63:$T$91,3,FALSE)+VLOOKUP("CP",$R$63:$T$91,3,FALSE),0)+IF(AND($Y30&lt;&gt;"",$Y30&lt;&gt;"--",$Y30&lt;&gt;"O3/CP",$Y$14=F$18),IF(LEFT($Y30,1)="P",VLOOKUP(CONCATENATE(LEFT($Y30,2),"H"),$R$63:$T$91,3,FALSE),VLOOKUP($Y30,$R$63:$T$91,3,FALSE)))+IF(AND($Y30&lt;&gt;"",$Y30&lt;&gt;"O3/CP",$Y$15=F$18,MID($Y30,4,1)="2",$Y$15&lt;&gt;$Y$14),VLOOKUP(CONCATENATE(LEFT($Y30,2),"L"),$R$63:$T$91,3,FALSE),0)+IF(AND($Y30="O3/CP",$Y$14=F$18),VLOOKUP("O3",$R$63:$T$91,3,FALSE)+VLOOKUP("CP",$R$63:$T$91,3,FALSE),0)+IF(AND($K$6="CE",'[3]Supply Attribution'!$G$20=F$18),LEFT($S$90,2),0)+IF(AND($X$86&lt;&gt;"Not Set",$X$87=F$18),$X$86,0)</f>
        <v>0</v>
      </c>
      <c r="G30" s="269">
        <f>IF(AND($K$6="CE",$T$59="1 Phase"),SUM(A30:F30)-IF(AND($K$14&lt;&gt;$K$15,RIGHT($K30,3)="2SP"),VLOOKUP(CONCATENATE(LEFT($K30,2),"L"),$R$63:$T$90,3,FALSE),0)-IF(AND($L$14&lt;&gt;$L$15,RIGHT($L30,3)="2SP"),VLOOKUP(CONCATENATE(LEFT($L30,2),"L"),$R$63:$T$90,3,FALSE),0)-IF(AND($M$14&lt;&gt;$M$15,RIGHT($M30,3)="2SP"),VLOOKUP(CONCATENATE(LEFT($M30,2),"L"),$R$63:$T$90,3,FALSE),0)-IF(AND($N$14&lt;&gt;$N$15,RIGHT($N30,3)="2SP"),VLOOKUP(CONCATENATE(LEFT($N30,2),"L"),$R$63:$T$90,3,FALSE),0)-IF(AND($O$14&lt;&gt;$O$15,RIGHT($O30,3)="2SP"),VLOOKUP(CONCATENATE(LEFT($O30,2),"L"),$R$63:$T$90,3,FALSE),0)-IF(AND($P$14&lt;&gt;$P$15,RIGHT($P30,3)="2SP"),VLOOKUP(CONCATENATE(LEFT($P30,2),"L"),$R$63:$T$90,3,FALSE),0)-IF(AND($Q$14&lt;&gt;$Q$15,RIGHT($Q30,3)="2SP"),VLOOKUP(CONCATENATE(LEFT($Q30,2),"L"),$R$63:$T$90,3,FALSE),0)-IF(AND($R$14&lt;&gt;$R$15,RIGHT($T30,3)="2SP"),VLOOKUP(CONCATENATE(LEFT($R30,2),"L"),$R$63:$T$90,3,FALSE),0)-IF(AND($S$14&lt;&gt;$S$15,RIGHT($T30,3)="2SP"),VLOOKUP(CONCATENATE(LEFT($S30,2),"L"),$R$63:$T$90,3,FALSE),0)-IF(AND($T$14&lt;&gt;$T$15,RIGHT($T30,3)="2SP"),VLOOKUP(CONCATENATE(LEFT($T30,2),"L"),$R$63:$T$90,3,FALSE),0)-IF(AND($U$14&lt;&gt;$U$15,RIGHT($U30,3)="2SP"),VLOOKUP(CONCATENATE(LEFT($U30,2),"L"),$R$63:$T$90,3,FALSE),0)-IF(AND($V$14&lt;&gt;$V$15,RIGHT($V30,3)="2SP"),VLOOKUP(CONCATENATE(LEFT($V30,2),"L"),$R$63:$T$90,3,FALSE),0)-IF(AND($W$14&lt;&gt;$W$15,RIGHT($W30,3)="2SP"),VLOOKUP(CONCATENATE(LEFT($W30,2),"L"),$R$63:$T$90,3,FALSE),0)-IF(AND($X$14&lt;&gt;$X$15,RIGHT($X30,3)="2SP"),VLOOKUP(CONCATENATE(LEFT($X30,2),"L"),$R$63:$T$90,3,FALSE),0)-IF(AND($Y$14&lt;&gt;$Y$15,RIGHT($Y30,3)="2SP"),VLOOKUP(CONCATENATE(LEFT($Y30,2),"L"),$R$63:$T$90,3,FALSE),0),IF(VLOOKUP(CONCATENATE($A$18,"Line"),'[3]Supply Attribution'!$F$31:$G$37,2,FALSE)=G$18,$A30,0)+IF(VLOOKUP(CONCATENATE($B$18,"Line"),'[3]Supply Attribution'!$F$31:$G$37,2,FALSE)=G$18,$B30,0)+IF(VLOOKUP(CONCATENATE($C$18,"Line"),'[3]Supply Attribution'!$F$31:$G$37,2,FALSE)=G$18,$C30,0)+IF(VLOOKUP(CONCATENATE($D$18,"Line"),'[3]Supply Attribution'!$F$31:$G$37,2,FALSE)=G$18,$D30,0)+IF(VLOOKUP(CONCATENATE($E$18,"Line"),'[3]Supply Attribution'!$F$31:$G$37,2,FALSE)=G$18,$E30,0)+IF(VLOOKUP(CONCATENATE($F$18,"Line"),'[3]Supply Attribution'!$F$31:$G$37,2,FALSE)=G$18,$F30,0)+IF($K$6="UL",LEFT($S$90,2),0)-IF(AND($K$16=G$18,$K$14&lt;&gt;$K$15,$K$16=$K$17,RIGHT($K30,3)="2SP"),VLOOKUP(CONCATENATE(LEFT($K30,2),"L"),$R$63:$T$90,3,FALSE),0)-IF(AND($L$16=G$18,$L$14&lt;&gt;$L$15,$L$16=$L$17,RIGHT($L30,3)="2SP"),VLOOKUP(CONCATENATE(LEFT($L30,2),"L"),$R$63:$T$90,3,FALSE),0)-IF(AND($M$16=G$18,$M$14&lt;&gt;$M$15,$M$16=$M$17,RIGHT($M30,3)="2SP"),VLOOKUP(CONCATENATE(LEFT($M30,2),"L"),$R$63:$T$90,3,FALSE),0)-IF(AND($N$16=G$18,$N$14&lt;&gt;$N$15,$N$16=$N$17,RIGHT($N30,3)="2SP"),VLOOKUP(CONCATENATE(LEFT($N30,2),"L"),$R$63:$T$90,3,FALSE),0)-IF(AND($O$16=G$18,$O$14&lt;&gt;$O$15,$O$16=$O$17,RIGHT($O30,3)="2SP"),VLOOKUP(CONCATENATE(LEFT($O30,2),"L"),$R$63:$T$90,3,FALSE),0)-IF(AND($P$16=G$18,$P$14&lt;&gt;$P$15,$P$16=$P$17,RIGHT($P30,3)="2SP"),VLOOKUP(CONCATENATE(LEFT($P30,2),"L"),$R$63:$T$90,3,FALSE),0)-IF(AND($Q$16=G$18,$Q$14&lt;&gt;$Q$15,$Q$16=$Q$17,RIGHT($Q30,3)="2SP"),VLOOKUP(CONCATENATE(LEFT($Q30,2),"L"),$R$63:$T$90,3,FALSE),0)-IF(AND($R$16=G$18,$R$14&lt;&gt;$R$15,$R$16=$R$17,RIGHT($R30,3)="2SP"),VLOOKUP(CONCATENATE(LEFT($R30,2),"L"),$R$63:$T$90,3,FALSE),0)-IF(AND($S$16=G$18,$S$14&lt;&gt;$S$15,$S$16=$S$17,RIGHT($S30,3)="2SP"),VLOOKUP(CONCATENATE(LEFT($S30,2),"L"),$R$63:$T$90,3,FALSE),0)-IF(AND($T$16=G$18,$T$14&lt;&gt;$T$15,$T$16=$T$17,RIGHT($T30,3)="2SP"),VLOOKUP(CONCATENATE(LEFT($T30,2),"L"),$R$63:$T$90,3,FALSE),0)-IF(AND($U$16=G$18,$U$14&lt;&gt;$U$15,$U$16=$U$17,RIGHT($U30,3)="2SP"),VLOOKUP(CONCATENATE(LEFT($U30,2),"L"),$R$63:$T$90,3,FALSE),0)-IF(AND($V$16=G$18,$V$14&lt;&gt;$V$15,$V$16=$V$17,RIGHT($V30,3)="2SP"),VLOOKUP(CONCATENATE(LEFT($V30,2),"L"),$R$63:$T$90,3,FALSE),0)-IF(AND($W$16=G$18,$W$14&lt;&gt;$W$15,$W$16=$W$17,RIGHT($W30,3)="2SP"),VLOOKUP(CONCATENATE(LEFT($W30,2),"L"),$R$63:$T$90,3,FALSE),0)-IF(AND($X$16=G$18,$X$14&lt;&gt;$X$15,$X$16=$X$17,RIGHT($X30,3)="2SP"),VLOOKUP(CONCATENATE(LEFT($X30,2),"L"),$R$63:$T$90,3,FALSE),0)-IF(AND($Y$16=G$18,$Y$14&lt;&gt;$Y$15,$Y$16=$Y$17,RIGHT($Y30,3)="2SP"),VLOOKUP(CONCATENATE(LEFT($Y30,2),"L"),$R$63:$T$90,3,FALSE),0))</f>
        <v>17</v>
      </c>
      <c r="H30" s="269" t="str">
        <f>IF(H$18&lt;&gt;"",IF(VLOOKUP(CONCATENATE($A$18,"Line"),'Supply Attribution'!$F$31:$G$37,2,FALSE)=H$18,$A30,0)+IF(VLOOKUP(CONCATENATE($B$18,"Line"),'Supply Attribution'!$F$31:$G$37,2,FALSE)=H$18,$B30,0)+IF(VLOOKUP(CONCATENATE($C$18,"Line"),'Supply Attribution'!$F$31:$G$37,2,FALSE)=H$18,$C30,0)+IF(VLOOKUP(CONCATENATE($D$18,"Line"),'Supply Attribution'!$F$31:$G$37,2,FALSE)=H$18,$D30,0)+IF(VLOOKUP(CONCATENATE($E$18,"Line"),'Supply Attribution'!$F$31:$G$37,2,FALSE)=H$18,$E30,0)+IF(VLOOKUP(CONCATENATE($F$18,"Line"),'Supply Attribution'!$F$31:$G$37,2,FALSE)=H$18,$F30,0)+IF($K$6="UL",LEFT($S$90,2),0)-IF(AND($K$16=H$18,$K$14&lt;&gt;$K$15,$K$16=$K$17,RIGHT($K30,3)="2SP"),VLOOKUP(CONCATENATE(LEFT($K30,2),"L"),$R$63:$T$90,3,FALSE),0)-IF(AND($L$16=H$18,$L$14&lt;&gt;$L$15,$L$16=$L$17,RIGHT($L30,3)="2SP"),VLOOKUP(CONCATENATE(LEFT($L30,2),"L"),$R$63:$T$90,3,FALSE),0)-IF(AND($M$16=H$18,$M$14&lt;&gt;$M$15,$M$16=$M$17,RIGHT($M30,3)="2SP"),VLOOKUP(CONCATENATE(LEFT($M30,2),"L"),$R$63:$T$90,3,FALSE),0)-IF(AND($N$16=H$18,$N$14&lt;&gt;$N$15,$N$16=$N$17,RIGHT($N30,3)="2SP"),VLOOKUP(CONCATENATE(LEFT($N30,2),"L"),$R$63:$T$90,3,FALSE),0)-IF(AND($O$16=H$18,$O$14&lt;&gt;$O$15,$O$16=$O$17,RIGHT($O30,3)="2SP"),VLOOKUP(CONCATENATE(LEFT($O30,2),"L"),$R$63:$T$90,3,FALSE),0)-IF(AND($P$16=H$18,$P$14&lt;&gt;$P$15,$P$16=$P$17,RIGHT($P30,3)="2SP"),VLOOKUP(CONCATENATE(LEFT($P30,2),"L"),$R$63:$T$90,3,FALSE),0)-IF(AND($Q$16=H$18,$Q$14&lt;&gt;$Q$15,$Q$16=$Q$17,RIGHT($Q30,3)="2SP"),VLOOKUP(CONCATENATE(LEFT($Q30,2),"L"),$R$63:$T$90,3,FALSE),0)-IF(AND($T$16=H$18,$T$14&lt;&gt;$T$15,$T$16=$T$17,RIGHT($T30,3)="2SP"),VLOOKUP(CONCATENATE(LEFT($T30,2),"L"),$R$63:$T$90,3,FALSE),0)-IF(AND($U$16=H$18,$U$14&lt;&gt;$U$15,$U$16=$U$17,RIGHT($U30,3)="2SP"),VLOOKUP(CONCATENATE(LEFT($U30,2),"L"),$R$63:$T$90,3,FALSE),0)-IF(AND($V$16=H$18,$V$14&lt;&gt;$V$15,$V$16=$V$17,RIGHT($V30,3)="2SP"),VLOOKUP(CONCATENATE(LEFT($V30,2),"L"),$R$63:$T$90,3,FALSE),0)-IF(AND($W$16=H$18,$W$14&lt;&gt;$W$15,$W$16=$W$17,RIGHT($W30,3)="2SP"),VLOOKUP(CONCATENATE(LEFT($W30,2),"L"),$R$63:$T$90,3,FALSE),0)-IF(AND($X$16=H$18,$X$14&lt;&gt;$X$15,$X$16=$X$17,RIGHT($X30,3)="2SP"),VLOOKUP(CONCATENATE(LEFT($X30,2),"L"),$R$63:$T$90,3,FALSE),0)-IF(AND($Y$16=H$18,$Y$14&lt;&gt;$Y$15,$Y$16=$Y$17,RIGHT($Y30,3)="2SP"),VLOOKUP(CONCATENATE(LEFT($Y30,2),"L"),$R$63:$T$90,3,FALSE),0)+IF(AND($K$6="CE",$T$59="2 Phases",H$18&lt;&gt;""),IF(VLOOKUP(CONCATENATE($A$18,"Line"),'Supply Attribution'!$F$31:$G$37,2,FALSE)="Line3",$A30,0)+IF(VLOOKUP(CONCATENATE($B$18,"Line"),'Supply Attribution'!$F$31:$G$37,2,FALSE)="Line3",$B30,0)+IF(VLOOKUP(CONCATENATE($C$18,"Line"),'Supply Attribution'!$F$31:$G$37,2,FALSE)="Line3",$C30,0)+IF(VLOOKUP(CONCATENATE($D$18,"Line"),'Supply Attribution'!$F$31:$G$37,2,FALSE)="Line3",$D30,0)+IF(VLOOKUP(CONCATENATE($E$18,"Line"),'Supply Attribution'!$F$31:$G$37,2,FALSE)="Line3",$E30,0)+IF(VLOOKUP(CONCATENATE($F$18,"Line"),'Supply Attribution'!$F$31:$G$37,2,FALSE)="Line3",$F30,0)-IF(AND($K$16=I$18,$K$14&lt;&gt;$K$15,$K$16=$K$17,RIGHT($K30,3)="2SP"),VLOOKUP(CONCATENATE(LEFT($K30,2),"L"),$R$63:$T$90,3,FALSE),0)-IF(AND($L$16=I$18,$L$14&lt;&gt;$L$15,$L$16=$L$17,RIGHT($L30,3)="2SP"),VLOOKUP(CONCATENATE(LEFT($L30,2),"L"),$R$63:$T$90,3,FALSE),0)-IF(AND($M$16=I$18,$M$14&lt;&gt;$M$15,$M$16=$M$17,RIGHT($M30,3)="2SP"),VLOOKUP(CONCATENATE(LEFT($M30,2),"L"),$R$63:$T$90,3,FALSE),0)-IF(AND($N$16=I$18,$N$14&lt;&gt;$N$15,$N$16=$N$17,RIGHT($N30,3)="2SP"),VLOOKUP(CONCATENATE(LEFT($N30,2),"L"),$R$63:$T$90,3,FALSE),0)-IF(AND($O$16=I$18,$O$14&lt;&gt;$O$15,$O$16=$O$17,RIGHT($O30,3)="2SP"),VLOOKUP(CONCATENATE(LEFT($O30,2),"L"),$R$63:$T$90,3,FALSE),0)-IF(AND($P$16=I$18,$P$14&lt;&gt;$P$15,$P$16=$P$17,RIGHT($P30,3)="2SP"),VLOOKUP(CONCATENATE(LEFT($P30,2),"L"),$R$63:$T$90,3,FALSE),0)-IF(AND($Q$16=I$18,$Q$14&lt;&gt;$Q$15,$Q$16=$Q$17,RIGHT($Q30,3)="2SP"),VLOOKUP(CONCATENATE(LEFT($Q30,2),"L"),$R$63:$T$90,3,FALSE),0)-IF(AND($T$16=I$18,$T$14&lt;&gt;$T$15,$T$16=$T$17,RIGHT($T30,3)="2SP"),VLOOKUP(CONCATENATE(LEFT($T30,2),"L"),$R$63:$T$90,3,FALSE),0)-IF(AND($U$16=I$18,$U$14&lt;&gt;$U$15,$U$16=$U$17,RIGHT($U30,3)="2SP"),VLOOKUP(CONCATENATE(LEFT($U30,2),"L"),$R$63:$T$90,3,FALSE),0)-IF(AND($V$16=I$18,$V$14&lt;&gt;$V$15,$V$16=$V$17,RIGHT($V30,3)="2SP"),VLOOKUP(CONCATENATE(LEFT($V30,2),"L"),$R$63:$T$90,3,FALSE),0)-IF(AND($W$16=I$18,$W$14&lt;&gt;$W$15,$W$16=$W$17,RIGHT($W30,3)="2SP"),VLOOKUP(CONCATENATE(LEFT($W30,2),"L"),$R$63:$T$90,3,FALSE),0)-IF(AND($X$16=I$18,$X$14&lt;&gt;$X$15,$X$16=$X$17,RIGHT($X30,3)="2SP"),VLOOKUP(CONCATENATE(LEFT($X30,2),"L"),$R$63:$T$90,3,FALSE),0)-IF(AND($Y$16=I$18,$Y$14&lt;&gt;$Y$15,$Y$16=$Y$17,RIGHT($Y30,3)="2SP"),VLOOKUP(CONCATENATE(LEFT($Y30,2),"L"),$R$63:$T$90,3,FALSE),0),0),"")</f>
        <v/>
      </c>
      <c r="I30" s="269" t="str">
        <f>IF(I$18&lt;&gt;"",IF(VLOOKUP(CONCATENATE($A$18,"Line"),'Supply Attribution'!$F$31:$G$37,2,FALSE)=I$18,$A30,0)+IF(VLOOKUP(CONCATENATE($B$18,"Line"),'Supply Attribution'!$F$31:$G$37,2,FALSE)=I$18,$B30,0)+IF(VLOOKUP(CONCATENATE($C$18,"Line"),'Supply Attribution'!$F$31:$G$37,2,FALSE)=I$18,$C30,0)+IF(VLOOKUP(CONCATENATE($D$18,"Line"),'Supply Attribution'!$F$31:$G$37,2,FALSE)=I$18,$D30,0)+IF(VLOOKUP(CONCATENATE($E$18,"Line"),'Supply Attribution'!$F$31:$G$37,2,FALSE)=I$18,$E30,0)+IF(VLOOKUP(CONCATENATE($F$18,"Line"),'Supply Attribution'!$F$31:$G$37,2,FALSE)=I$18,$F30,0)+IF($K$6="UL",LEFT($S$90,2),0)-IF(AND($K$16=I$18,$K$14&lt;&gt;$K$15,$K$16=$K$17,RIGHT($K30,3)="2SP"),VLOOKUP(CONCATENATE(LEFT($K30,2),"L"),$R$63:$T$90,3,FALSE),0)-IF(AND($L$16=I$18,$L$14&lt;&gt;$L$15,$L$16=$L$17,RIGHT($L30,3)="2SP"),VLOOKUP(CONCATENATE(LEFT($L30,2),"L"),$R$63:$T$90,3,FALSE),0)-IF(AND($M$16=I$18,$M$14&lt;&gt;$M$15,$M$16=$M$17,RIGHT($M30,3)="2SP"),VLOOKUP(CONCATENATE(LEFT($M30,2),"L"),$R$63:$T$90,3,FALSE),0)-IF(AND($N$16=I$18,$N$14&lt;&gt;$N$15,$N$16=$N$17,RIGHT($N30,3)="2SP"),VLOOKUP(CONCATENATE(LEFT($N30,2),"L"),$R$63:$T$90,3,FALSE),0)-IF(AND($O$16=I$18,$O$14&lt;&gt;$O$15,$O$16=$O$17,RIGHT($O30,3)="2SP"),VLOOKUP(CONCATENATE(LEFT($O30,2),"L"),$R$63:$T$90,3,FALSE),0)-IF(AND($P$16=I$18,$P$14&lt;&gt;$P$15,$P$16=$P$17,RIGHT($P30,3)="2SP"),VLOOKUP(CONCATENATE(LEFT($P30,2),"L"),$R$63:$T$90,3,FALSE),0)-IF(AND($Q$16=I$18,$Q$14&lt;&gt;$Q$15,$Q$16=$Q$17,RIGHT($Q30,3)="2SP"),VLOOKUP(CONCATENATE(LEFT($Q30,2),"L"),$R$63:$T$90,3,FALSE),0)-IF(AND($T$16=I$18,$T$14&lt;&gt;$T$15,$T$16=$T$17,RIGHT($T30,3)="2SP"),VLOOKUP(CONCATENATE(LEFT($T30,2),"L"),$R$63:$T$90,3,FALSE),0)-IF(AND($U$16=I$18,$U$14&lt;&gt;$U$15,$U$16=$U$17,RIGHT($U30,3)="2SP"),VLOOKUP(CONCATENATE(LEFT($U30,2),"L"),$R$63:$T$90,3,FALSE),0)-IF(AND($V$16=I$18,$V$14&lt;&gt;$V$15,$V$16=$V$17,RIGHT($V30,3)="2SP"),VLOOKUP(CONCATENATE(LEFT($V30,2),"L"),$R$63:$T$90,3,FALSE),0)-IF(AND($W$16=I$18,$W$14&lt;&gt;$W$15,$W$16=$W$17,RIGHT($W30,3)="2SP"),VLOOKUP(CONCATENATE(LEFT($W30,2),"L"),$R$63:$T$90,3,FALSE),0)-IF(AND($X$16=I$18,$X$14&lt;&gt;$X$15,$X$16=$X$17,RIGHT($X30,3)="2SP"),VLOOKUP(CONCATENATE(LEFT($X30,2),"L"),$R$63:$T$90,3,FALSE),0)-IF(AND($Y$16=I$18,$Y$14&lt;&gt;$Y$15,$Y$16=$Y$17,RIGHT($Y30,3)="2SP"),VLOOKUP(CONCATENATE(LEFT($Y30,2),"L"),$R$63:$T$90,3,FALSE),0),"")</f>
        <v/>
      </c>
      <c r="J30" s="134"/>
      <c r="K30" s="135"/>
      <c r="L30" s="135"/>
      <c r="M30" s="135"/>
      <c r="N30" s="135"/>
      <c r="O30" s="135"/>
      <c r="P30" s="135"/>
      <c r="Q30" s="135"/>
      <c r="R30" s="135"/>
      <c r="S30" s="135"/>
      <c r="T30" s="135"/>
      <c r="U30" s="135"/>
      <c r="V30" s="135"/>
      <c r="W30" s="135"/>
      <c r="X30" s="135"/>
      <c r="Y30" s="135"/>
      <c r="Z30" s="136"/>
      <c r="AA30" s="136"/>
      <c r="AB30" s="137"/>
      <c r="AC30" s="137"/>
      <c r="AD30" s="137"/>
      <c r="AE30" s="138">
        <f t="shared" si="0"/>
        <v>0</v>
      </c>
      <c r="AF30" s="78"/>
    </row>
    <row r="31" spans="1:32" ht="13.15" customHeight="1">
      <c r="A31" s="264">
        <f>IF(AND($K31&lt;&gt;"",$K31&lt;&gt;"--",$K31&lt;&gt;"O3/CP",$K$14=A$18),IF(LEFT($K31,1)="P",VLOOKUP(CONCATENATE(LEFT($K31,2),"H"),$R$63:$T$91,3,FALSE),VLOOKUP($K31,$R$63:$T$91,3,FALSE)))+IF(AND($K31&lt;&gt;"",$K31&lt;&gt;"O3/CP",$K$15=A$18,MID($K31,4,1)="2",$K$15&lt;&gt;$K$14),VLOOKUP(CONCATENATE(LEFT($K31,2),"L"),$R$63:$T$91,3,FALSE),0)+IF(AND($K31="O3/CP",$K$14=A$18),VLOOKUP("O3",$R$63:$T$91,3,FALSE)+VLOOKUP("CP",$R$63:$T$91,3,FALSE),0)+IF(AND($L31&lt;&gt;"",$L31&lt;&gt;"--",$L31&lt;&gt;"O3/CP",$L$14=A$18),IF(LEFT($L31,1)="P",VLOOKUP(CONCATENATE(LEFT($L31,2),"H"),$R$63:$T$91,3,FALSE),VLOOKUP($L31,$R$63:$T$91,3,FALSE)))+IF(AND($L31&lt;&gt;"",$L31&lt;&gt;"O3/CP",$L$15=A$18,MID($L31,4,1)="2",$L$15&lt;&gt;$L$14),VLOOKUP(CONCATENATE(LEFT($L31,2),"L"),$R$63:$T$91,3,FALSE),0)+IF(AND($L31="O3/CP",$L$14=A$18),VLOOKUP("O3",$R$63:$T$91,3,FALSE)+VLOOKUP("CP",$R$63:$T$91,3,FALSE),0)+IF(AND($M31&lt;&gt;"",$M31&lt;&gt;"--",$M31&lt;&gt;"O3/CP",$M$14=A$18),IF(LEFT($M31,1)="P",VLOOKUP(CONCATENATE(LEFT($M31,2),"H"),$R$63:$T$91,3,FALSE),VLOOKUP($M31,$R$63:$T$91,3,FALSE)))+IF(AND($M31&lt;&gt;"",$M31&lt;&gt;"O3/CP",$M$15=A$18,MID($M31,4,1)="2",$M$15&lt;&gt;$M$14),VLOOKUP(CONCATENATE(LEFT($M31,2),"L"),$R$63:$T$91,3,FALSE),0)+IF(AND($M31="O3/CP",$M$14=A$18),VLOOKUP("O3",$R$63:$T$91,3,FALSE)+VLOOKUP("CP",$R$63:$T$91,3,FALSE),0)+IF(AND($N31&lt;&gt;"",$N31&lt;&gt;"--",$N31&lt;&gt;"O3/CP",$N$14=A$18),IF(LEFT($N31,1)="P",VLOOKUP(CONCATENATE(LEFT($N31,2),"H"),$R$63:$T$91,3,FALSE),VLOOKUP($N31,$R$63:$T$91,3,FALSE)))+IF(AND($N31&lt;&gt;"",$N31&lt;&gt;"O3/CP",$N$15=A$18,MID($N31,4,1)="2",$N$15&lt;&gt;$N$14),VLOOKUP(CONCATENATE(LEFT($N31,2),"L"),$R$63:$T$91,3,FALSE),0)+IF(AND($N31="O3/CP",$N$14=A$18),VLOOKUP("O3",$R$63:$T$91,3,FALSE)+VLOOKUP("CP",$R$63:$T$91,3,FALSE),0)+IF(AND($O31&lt;&gt;"",$O31&lt;&gt;"--",$O31&lt;&gt;"O3/CP",$O$14=A$18),IF(LEFT($O31,1)="P",VLOOKUP(CONCATENATE(LEFT($O31,2),"H"),$R$63:$T$91,3,FALSE),VLOOKUP($O31,$R$63:$T$91,3,FALSE)))+IF(AND($O31&lt;&gt;"",$O31&lt;&gt;"O3/CP",$O$15=A$18,MID($O31,4,1)="2",$O$15&lt;&gt;$O$14),VLOOKUP(CONCATENATE(LEFT($O31,2),"L"),$R$63:$T$91,3,FALSE),0)+IF(AND($O31="O3/CP",$O$14=A$18),VLOOKUP("O3",$R$63:$T$91,3,FALSE)+VLOOKUP("CP",$R$63:$T$91,3,FALSE),0)+IF(AND($P31&lt;&gt;"",$P31&lt;&gt;"--",$P31&lt;&gt;"O3/CP",$P$14=A$18),IF(LEFT($P31,1)="P",VLOOKUP(CONCATENATE(LEFT($P31,2),"H"),$R$63:$T$91,3,FALSE),VLOOKUP($P31,$R$63:$T$91,3,FALSE)))+IF(AND($P31&lt;&gt;"",$P31&lt;&gt;"O3/CP",$P$15=A$18,MID($P31,4,1)="2",$P$15&lt;&gt;$P$14),VLOOKUP(CONCATENATE(LEFT($P31,2),"L"),$R$63:$T$91,3,FALSE),0)+IF(AND($P31="O3/CP",$P$14=A$18),VLOOKUP("O3",$R$63:$T$91,3,FALSE)+VLOOKUP("CP",$R$63:$T$91,3,FALSE),0)+IF(AND($Q31&lt;&gt;"",$Q31&lt;&gt;"--",$Q31&lt;&gt;"O3/CP",$Q$14=A$18),IF(LEFT($Q31,1)="P",VLOOKUP(CONCATENATE(LEFT($Q31,2),"H"),$R$63:$T$91,3,FALSE),VLOOKUP($Q31,$R$63:$T$91,3,FALSE)))+IF(AND($Q31&lt;&gt;"",$Q31&lt;&gt;"O3/CP",$Q$15=A$18,MID($Q31,4,1)="2",$Q$15&lt;&gt;$Q$14),VLOOKUP(CONCATENATE(LEFT($Q31,2),"L"),$R$63:$T$91,3,FALSE),0)+IF(AND($Q31="O3/CP",$Q$14=A$18),VLOOKUP("O3",$R$63:$T$91,3,FALSE)+VLOOKUP("CP",$R$63:$T$91,3,FALSE),0)+IF(AND($R31&lt;&gt;"",$R31&lt;&gt;"--",$R31&lt;&gt;"O3/CP",$R$14=A$18),IF(LEFT($R31,1)="P",VLOOKUP(CONCATENATE(LEFT($R31,2),"H"),$R$63:$T$91,3,FALSE),VLOOKUP($R31,$R$63:$T$91,3,FALSE)))+IF(AND($R31&lt;&gt;"",$R31&lt;&gt;"O3/CP",$R$15=A$18,MID($R31,4,1)="2",$R$15&lt;&gt;$R$14),VLOOKUP(CONCATENATE(LEFT($R31,2),"L"),$R$63:$T$91,3,FALSE),0)+IF(AND($R31="O3/CP",$R$14=A$18),VLOOKUP("O3",$R$63:$T$91,3,FALSE)+VLOOKUP("CP",$R$63:$T$91,3,FALSE),0)+IF(AND($S31&lt;&gt;"",$S31&lt;&gt;"--",$S31&lt;&gt;"O3/CP",$S$14=A$18),IF(LEFT($S31,1)="P",VLOOKUP(CONCATENATE(LEFT($S31,2),"H"),$R$63:$T$91,3,FALSE),VLOOKUP($S31,$R$63:$T$91,3,FALSE)))+IF(AND($S31&lt;&gt;"",$S31&lt;&gt;"O3/CP",$S$15=A$18,MID($S31,4,1)="2",$S$15&lt;&gt;$S$14),VLOOKUP(CONCATENATE(LEFT($S31,2),"L"),$R$63:$T$91,3,FALSE),0)+IF(AND($S31="O3/CP",$S$14=A$18),VLOOKUP("O3",$R$63:$T$91,3,FALSE)+VLOOKUP("CP",$R$63:$T$91,3,FALSE),0)+IF(AND($T31&lt;&gt;"",$T31&lt;&gt;"--",$T31&lt;&gt;"O3/CP",$T$14=A$18),IF(LEFT($T31,1)="P",VLOOKUP(CONCATENATE(LEFT($T31,2),"H"),$R$63:$T$91,3,FALSE),VLOOKUP($T31,$R$63:$T$91,3,FALSE)))+IF(AND($T31&lt;&gt;"",$T31&lt;&gt;"O3/CP",$T$15=A$18,MID($T31,4,1)="2",$T$15&lt;&gt;$T$14),VLOOKUP(CONCATENATE(LEFT($T31,2),"L"),$R$63:$T$91,3,FALSE),0)+IF(AND($T31="O3/CP",$T$14=A$18),VLOOKUP("O3",$R$63:$T$91,3,FALSE)+VLOOKUP("CP",$R$63:$T$91,3,FALSE),0)+IF(AND($U31&lt;&gt;"",$U31&lt;&gt;"--",$U31&lt;&gt;"O3/CP",$U$14=A$18),IF(LEFT($U31,1)="P",VLOOKUP(CONCATENATE(LEFT($U31,2),"H"),$R$63:$T$91,3,FALSE),VLOOKUP($U31,$R$63:$T$91,3,FALSE)))+IF(AND($U31&lt;&gt;"",$U31&lt;&gt;"O3/CP",$U$15=A$18,MID($U31,4,1)="2",$U$15&lt;&gt;$U$14),VLOOKUP(CONCATENATE(LEFT($U31,2),"L"),$R$63:$T$91,3,FALSE),0)+IF(AND($U31="O3/CP",$T$14=A$18),VLOOKUP("O3",$R$63:$T$91,3,FALSE)+VLOOKUP("CP",$R$63:$T$91,3,FALSE),0)+IF(AND($V31&lt;&gt;"",$V31&lt;&gt;"--",$V31&lt;&gt;"O3/CP",$V$14=A$18),IF(LEFT($V31,1)="P",VLOOKUP(CONCATENATE(LEFT($V31,2),"H"),$R$63:$T$91,3,FALSE),VLOOKUP($V31,$R$63:$T$91,3,FALSE)))+IF(AND($V31&lt;&gt;"",$V31&lt;&gt;"O3/CP",$V$15=A$18,MID($V31,4,1)="2",$V$15&lt;&gt;$V$14),VLOOKUP(CONCATENATE(LEFT($V31,2),"L"),$R$63:$T$91,3,FALSE),0)+IF(AND($V31="O3/CP",$V$14=A$18),VLOOKUP("O3",$R$63:$T$91,3,FALSE)+VLOOKUP("CP",$R$63:$T$91,3,FALSE),0)+IF(AND($W31&lt;&gt;"",$W31&lt;&gt;"--",$W31&lt;&gt;"O3/CP",$W$14=A$18),IF(LEFT($W31,1)="P",VLOOKUP(CONCATENATE(LEFT($W31,2),"H"),$R$63:$T$91,3,FALSE),VLOOKUP($W31,$R$63:$T$91,3,FALSE)))+IF(AND($W31&lt;&gt;"",$W31&lt;&gt;"O3/CP",$W$15=A$18,MID($W31,4,1)="2",$W$15&lt;&gt;$W$14),VLOOKUP(CONCATENATE(LEFT($W31,2),"L"),$R$63:$T$91,3,FALSE),0)+IF(AND($W31="O3/CP",$W$14=A$18),VLOOKUP("O3",$R$63:$T$91,3,FALSE)+VLOOKUP("CP",$R$63:$T$91,3,FALSE),0)+IF(AND($X31&lt;&gt;"",$X31&lt;&gt;"--",$X31&lt;&gt;"O3/CP",$X$14=A$18),IF(LEFT($X31,1)="P",VLOOKUP(CONCATENATE(LEFT($X31,2),"H"),$R$63:$T$91,3,FALSE),VLOOKUP($X31,$R$63:$T$91,3,FALSE)))+IF(AND($X31&lt;&gt;"",$X31&lt;&gt;"O3/CP",$X$15=A$18,MID($X31,4,1)="2",$X$15&lt;&gt;$X$14),VLOOKUP(CONCATENATE(LEFT($X31,2),"L"),$R$63:$T$91,3,FALSE),0)+IF(AND($X31="O3/CP",$X$14=A$18),VLOOKUP("O3",$R$63:$T$91,3,FALSE)+VLOOKUP("CP",$R$63:$T$91,3,FALSE),0)+IF(AND($Y31&lt;&gt;"",$Y31&lt;&gt;"--",$Y31&lt;&gt;"O3/CP",$Y$14=A$18),IF(LEFT($Y31,1)="P",VLOOKUP(CONCATENATE(LEFT($Y31,2),"H"),$R$63:$T$91,3,FALSE),VLOOKUP($Y31,$R$63:$T$91,3,FALSE)))+IF(AND($Y31&lt;&gt;"",$Y31&lt;&gt;"O3/CP",$Y$15=A$18,MID($Y31,4,1)="2",$Y$15&lt;&gt;$Y$14),VLOOKUP(CONCATENATE(LEFT($Y31,2),"L"),$R$63:$T$91,3,FALSE),0)+IF(AND($Y31="O3/CP",$Y$14=A$18),VLOOKUP("O3",$R$63:$T$91,3,FALSE)+VLOOKUP("CP",$R$63:$T$91,3,FALSE),0)+IF(AND($K$6="CE",'[3]Supply Attribution'!$G$20=A$18),LEFT($S$90,2),0)+IF(AND($X$86&lt;&gt;"Not Set",$X$87=A$18),$X$86,0)</f>
        <v>0</v>
      </c>
      <c r="B31" s="271">
        <f>IF(AND($K31&lt;&gt;"",$K31&lt;&gt;"--",$K31&lt;&gt;"O3/CP",$K$14=B$18),IF(LEFT($K31,1)="P",VLOOKUP(CONCATENATE(LEFT($K31,2),"H"),$R$63:$T$91,3,FALSE),VLOOKUP($K31,$R$63:$T$91,3,FALSE)))+IF(AND($K31&lt;&gt;"",$K31&lt;&gt;"O3/CP",$K$15=B$18,MID($K31,4,1)="2",$K$15&lt;&gt;$K$14),VLOOKUP(CONCATENATE(LEFT($K31,2),"L"),$R$63:$T$91,3,FALSE),0)+IF(AND($K31="O3/CP",$K$14=B$18),VLOOKUP("O3",$R$63:$T$91,3,FALSE)+VLOOKUP("CP",$R$63:$T$91,3,FALSE),0)+IF(AND($L31&lt;&gt;"",$L31&lt;&gt;"--",$L31&lt;&gt;"O3/CP",$L$14=B$18),IF(LEFT($L31,1)="P",VLOOKUP(CONCATENATE(LEFT($L31,2),"H"),$R$63:$T$91,3,FALSE),VLOOKUP($L31,$R$63:$T$91,3,FALSE)))+IF(AND($L31&lt;&gt;"",$L31&lt;&gt;"O3/CP",$L$15=B$18,MID($L31,4,1)="2",$L$15&lt;&gt;$L$14),VLOOKUP(CONCATENATE(LEFT($L31,2),"L"),$R$63:$T$91,3,FALSE),0)+IF(AND($L31="O3/CP",$L$14=B$18),VLOOKUP("O3",$R$63:$T$91,3,FALSE)+VLOOKUP("CP",$R$63:$T$91,3,FALSE),0)+IF(AND($M31&lt;&gt;"",$M31&lt;&gt;"--",$M31&lt;&gt;"O3/CP",$M$14=B$18),IF(LEFT($M31,1)="P",VLOOKUP(CONCATENATE(LEFT($M31,2),"H"),$R$63:$T$91,3,FALSE),VLOOKUP($M31,$R$63:$T$91,3,FALSE)))+IF(AND($M31&lt;&gt;"",$M31&lt;&gt;"O3/CP",$M$15=B$18,MID($M31,4,1)="2",$M$15&lt;&gt;$M$14),VLOOKUP(CONCATENATE(LEFT($M31,2),"L"),$R$63:$T$91,3,FALSE),0)+IF(AND($M31="O3/CP",$M$14=B$18),VLOOKUP("O3",$R$63:$T$91,3,FALSE)+VLOOKUP("CP",$R$63:$T$91,3,FALSE),0)+IF(AND($N31&lt;&gt;"",$N31&lt;&gt;"--",$N31&lt;&gt;"O3/CP",$N$14=B$18),IF(LEFT($N31,1)="P",VLOOKUP(CONCATENATE(LEFT($N31,2),"H"),$R$63:$T$91,3,FALSE),VLOOKUP($N31,$R$63:$T$91,3,FALSE)))+IF(AND($N31&lt;&gt;"",$N31&lt;&gt;"O3/CP",$N$15=B$18,MID($N31,4,1)="2",$N$15&lt;&gt;$N$14),VLOOKUP(CONCATENATE(LEFT($N31,2),"L"),$R$63:$T$91,3,FALSE),0)+IF(AND($N31="O3/CP",$N$14=B$18),VLOOKUP("O3",$R$63:$T$91,3,FALSE)+VLOOKUP("CP",$R$63:$T$91,3,FALSE),0)+IF(AND($O31&lt;&gt;"",$O31&lt;&gt;"--",$O31&lt;&gt;"O3/CP",$O$14=B$18),IF(LEFT($O31,1)="P",VLOOKUP(CONCATENATE(LEFT($O31,2),"H"),$R$63:$T$91,3,FALSE),VLOOKUP($O31,$R$63:$T$91,3,FALSE)))+IF(AND($O31&lt;&gt;"",$O31&lt;&gt;"O3/CP",$O$15=B$18,MID($O31,4,1)="2",$O$15&lt;&gt;$O$14),VLOOKUP(CONCATENATE(LEFT($O31,2),"L"),$R$63:$T$91,3,FALSE),0)+IF(AND($O31="O3/CP",$O$14=B$18),VLOOKUP("O3",$R$63:$T$91,3,FALSE)+VLOOKUP("CP",$R$63:$T$91,3,FALSE),0)+IF(AND($P31&lt;&gt;"",$P31&lt;&gt;"--",$P31&lt;&gt;"O3/CP",$P$14=B$18),IF(LEFT($P31,1)="P",VLOOKUP(CONCATENATE(LEFT($P31,2),"H"),$R$63:$T$91,3,FALSE),VLOOKUP($P31,$R$63:$T$91,3,FALSE)))+IF(AND($P31&lt;&gt;"",$P31&lt;&gt;"O3/CP",$P$15=B$18,MID($P31,4,1)="2",$P$15&lt;&gt;$P$14),VLOOKUP(CONCATENATE(LEFT($P31,2),"L"),$R$63:$T$91,3,FALSE),0)+IF(AND($P31="O3/CP",$P$14=B$18),VLOOKUP("O3",$R$63:$T$91,3,FALSE)+VLOOKUP("CP",$R$63:$T$91,3,FALSE),0)+IF(AND($Q31&lt;&gt;"",$Q31&lt;&gt;"--",$Q31&lt;&gt;"O3/CP",$Q$14=B$18),IF(LEFT($Q31,1)="P",VLOOKUP(CONCATENATE(LEFT($Q31,2),"H"),$R$63:$T$91,3,FALSE),VLOOKUP($Q31,$R$63:$T$91,3,FALSE)))+IF(AND($Q31&lt;&gt;"",$Q31&lt;&gt;"O3/CP",$Q$15=B$18,MID($Q31,4,1)="2",$Q$15&lt;&gt;$Q$14),VLOOKUP(CONCATENATE(LEFT($Q31,2),"L"),$R$63:$T$91,3,FALSE),0)+IF(AND($Q31="O3/CP",$Q$14=B$18),VLOOKUP("O3",$R$63:$T$91,3,FALSE)+VLOOKUP("CP",$R$63:$T$91,3,FALSE),0)+IF(AND($R31&lt;&gt;"",$R31&lt;&gt;"--",$R31&lt;&gt;"O3/CP",$R$14=B$18),IF(LEFT($R31,1)="P",VLOOKUP(CONCATENATE(LEFT($R31,2),"H"),$R$63:$T$91,3,FALSE),VLOOKUP($R31,$R$63:$T$91,3,FALSE)))+IF(AND($R31&lt;&gt;"",$R31&lt;&gt;"O3/CP",$R$15=B$18,MID($R31,4,1)="2",$R$15&lt;&gt;$R$14),VLOOKUP(CONCATENATE(LEFT($R31,2),"L"),$R$63:$T$91,3,FALSE),0)+IF(AND($R31="O3/CP",$R$14=B$18),VLOOKUP("O3",$R$63:$T$91,3,FALSE)+VLOOKUP("CP",$R$63:$T$91,3,FALSE),0)+IF(AND($S31&lt;&gt;"",$S31&lt;&gt;"--",$S31&lt;&gt;"O3/CP",$S$14=B$18),IF(LEFT($S31,1)="P",VLOOKUP(CONCATENATE(LEFT($S31,2),"H"),$R$63:$T$91,3,FALSE),VLOOKUP($S31,$R$63:$T$91,3,FALSE)))+IF(AND($S31&lt;&gt;"",$S31&lt;&gt;"O3/CP",$S$15=B$18,MID($S31,4,1)="2",$S$15&lt;&gt;$S$14),VLOOKUP(CONCATENATE(LEFT($S31,2),"L"),$R$63:$T$91,3,FALSE),0)+IF(AND($S31="O3/CP",$S$14=B$18),VLOOKUP("O3",$R$63:$T$91,3,FALSE)+VLOOKUP("CP",$R$63:$T$91,3,FALSE),0)+IF(AND($T31&lt;&gt;"",$T31&lt;&gt;"--",$T31&lt;&gt;"O3/CP",$T$14=B$18),IF(LEFT($T31,1)="P",VLOOKUP(CONCATENATE(LEFT($T31,2),"H"),$R$63:$T$91,3,FALSE),VLOOKUP($T31,$R$63:$T$91,3,FALSE)))+IF(AND($T31&lt;&gt;"",$T31&lt;&gt;"O3/CP",$T$15=B$18,MID($T31,4,1)="2",$T$15&lt;&gt;$T$14),VLOOKUP(CONCATENATE(LEFT($T31,2),"L"),$R$63:$T$91,3,FALSE),0)+IF(AND($T31="O3/CP",$T$14=B$18),VLOOKUP("O3",$R$63:$T$91,3,FALSE)+VLOOKUP("CP",$R$63:$T$91,3,FALSE),0)+IF(AND($U31&lt;&gt;"",$U31&lt;&gt;"--",$U31&lt;&gt;"O3/CP",$U$14=B$18),IF(LEFT($U31,1)="P",VLOOKUP(CONCATENATE(LEFT($U31,2),"H"),$R$63:$T$91,3,FALSE),VLOOKUP($U31,$R$63:$T$91,3,FALSE)))+IF(AND($U31&lt;&gt;"",$U31&lt;&gt;"O3/CP",$U$15=B$18,MID($U31,4,1)="2",$U$15&lt;&gt;$U$14),VLOOKUP(CONCATENATE(LEFT($U31,2),"L"),$R$63:$T$91,3,FALSE),0)+IF(AND($U31="O3/CP",$T$14=B$18),VLOOKUP("O3",$R$63:$T$91,3,FALSE)+VLOOKUP("CP",$R$63:$T$91,3,FALSE),0)+IF(AND($V31&lt;&gt;"",$V31&lt;&gt;"--",$V31&lt;&gt;"O3/CP",$V$14=B$18),IF(LEFT($V31,1)="P",VLOOKUP(CONCATENATE(LEFT($V31,2),"H"),$R$63:$T$91,3,FALSE),VLOOKUP($V31,$R$63:$T$91,3,FALSE)))+IF(AND($V31&lt;&gt;"",$V31&lt;&gt;"O3/CP",$V$15=B$18,MID($V31,4,1)="2",$V$15&lt;&gt;$V$14),VLOOKUP(CONCATENATE(LEFT($V31,2),"L"),$R$63:$T$91,3,FALSE),0)+IF(AND($V31="O3/CP",$V$14=B$18),VLOOKUP("O3",$R$63:$T$91,3,FALSE)+VLOOKUP("CP",$R$63:$T$91,3,FALSE),0)+IF(AND($W31&lt;&gt;"",$W31&lt;&gt;"--",$W31&lt;&gt;"O3/CP",$W$14=B$18),IF(LEFT($W31,1)="P",VLOOKUP(CONCATENATE(LEFT($W31,2),"H"),$R$63:$T$91,3,FALSE),VLOOKUP($W31,$R$63:$T$91,3,FALSE)))+IF(AND($W31&lt;&gt;"",$W31&lt;&gt;"O3/CP",$W$15=B$18,MID($W31,4,1)="2",$W$15&lt;&gt;$W$14),VLOOKUP(CONCATENATE(LEFT($W31,2),"L"),$R$63:$T$91,3,FALSE),0)+IF(AND($W31="O3/CP",$W$14=B$18),VLOOKUP("O3",$R$63:$T$91,3,FALSE)+VLOOKUP("CP",$R$63:$T$91,3,FALSE),0)+IF(AND($X31&lt;&gt;"",$X31&lt;&gt;"--",$X31&lt;&gt;"O3/CP",$X$14=B$18),IF(LEFT($X31,1)="P",VLOOKUP(CONCATENATE(LEFT($X31,2),"H"),$R$63:$T$91,3,FALSE),VLOOKUP($X31,$R$63:$T$91,3,FALSE)))+IF(AND($X31&lt;&gt;"",$X31&lt;&gt;"O3/CP",$X$15=B$18,MID($X31,4,1)="2",$X$15&lt;&gt;$X$14),VLOOKUP(CONCATENATE(LEFT($X31,2),"L"),$R$63:$T$91,3,FALSE),0)+IF(AND($X31="O3/CP",$X$14=B$18),VLOOKUP("O3",$R$63:$T$91,3,FALSE)+VLOOKUP("CP",$R$63:$T$91,3,FALSE),0)+IF(AND($Y31&lt;&gt;"",$Y31&lt;&gt;"--",$Y31&lt;&gt;"O3/CP",$Y$14=B$18),IF(LEFT($Y31,1)="P",VLOOKUP(CONCATENATE(LEFT($Y31,2),"H"),$R$63:$T$91,3,FALSE),VLOOKUP($Y31,$R$63:$T$91,3,FALSE)))+IF(AND($Y31&lt;&gt;"",$Y31&lt;&gt;"O3/CP",$Y$15=B$18,MID($Y31,4,1)="2",$Y$15&lt;&gt;$Y$14),VLOOKUP(CONCATENATE(LEFT($Y31,2),"L"),$R$63:$T$91,3,FALSE),0)+IF(AND($Y31="O3/CP",$Y$14=B$18),VLOOKUP("O3",$R$63:$T$91,3,FALSE)+VLOOKUP("CP",$R$63:$T$91,3,FALSE),0)+IF(AND($K$6="CE",'[3]Supply Attribution'!$G$20=B$18),LEFT($S$90,2),0)+IF(AND($X$86&lt;&gt;"Not Set",$X$87=B$18),$X$86,0)</f>
        <v>0</v>
      </c>
      <c r="C31" s="271">
        <f>IF(AND($K31&lt;&gt;"",$K31&lt;&gt;"--",$K31&lt;&gt;"O3/CP",$K$14=C$18),IF(LEFT($K31,1)="P",VLOOKUP(CONCATENATE(LEFT($K31,2),"H"),$R$63:$T$91,3,FALSE),VLOOKUP($K31,$R$63:$T$91,3,FALSE)))+IF(AND($K31&lt;&gt;"",$K31&lt;&gt;"O3/CP",$K$15=C$18,MID($K31,4,1)="2",$K$15&lt;&gt;$K$14),VLOOKUP(CONCATENATE(LEFT($K31,2),"L"),$R$63:$T$91,3,FALSE),0)+IF(AND($K31="O3/CP",$K$14=C$18),VLOOKUP("O3",$R$63:$T$91,3,FALSE)+VLOOKUP("CP",$R$63:$T$91,3,FALSE),0)+IF(AND($L31&lt;&gt;"",$L31&lt;&gt;"--",$L31&lt;&gt;"O3/CP",$L$14=C$18),IF(LEFT($L31,1)="P",VLOOKUP(CONCATENATE(LEFT($L31,2),"H"),$R$63:$T$91,3,FALSE),VLOOKUP($L31,$R$63:$T$91,3,FALSE)))+IF(AND($L31&lt;&gt;"",$L31&lt;&gt;"O3/CP",$L$15=C$18,MID($L31,4,1)="2",$L$15&lt;&gt;$L$14),VLOOKUP(CONCATENATE(LEFT($L31,2),"L"),$R$63:$T$91,3,FALSE),0)+IF(AND($L31="O3/CP",$L$14=C$18),VLOOKUP("O3",$R$63:$T$91,3,FALSE)+VLOOKUP("CP",$R$63:$T$91,3,FALSE),0)+IF(AND($M31&lt;&gt;"",$M31&lt;&gt;"--",$M31&lt;&gt;"O3/CP",$M$14=C$18),IF(LEFT($M31,1)="P",VLOOKUP(CONCATENATE(LEFT($M31,2),"H"),$R$63:$T$91,3,FALSE),VLOOKUP($M31,$R$63:$T$91,3,FALSE)))+IF(AND($M31&lt;&gt;"",$M31&lt;&gt;"O3/CP",$M$15=C$18,MID($M31,4,1)="2",$M$15&lt;&gt;$M$14),VLOOKUP(CONCATENATE(LEFT($M31,2),"L"),$R$63:$T$91,3,FALSE),0)+IF(AND($M31="O3/CP",$M$14=C$18),VLOOKUP("O3",$R$63:$T$91,3,FALSE)+VLOOKUP("CP",$R$63:$T$91,3,FALSE),0)+IF(AND($N31&lt;&gt;"",$N31&lt;&gt;"--",$N31&lt;&gt;"O3/CP",$N$14=C$18),IF(LEFT($N31,1)="P",VLOOKUP(CONCATENATE(LEFT($N31,2),"H"),$R$63:$T$91,3,FALSE),VLOOKUP($N31,$R$63:$T$91,3,FALSE)))+IF(AND($N31&lt;&gt;"",$N31&lt;&gt;"O3/CP",$N$15=C$18,MID($N31,4,1)="2",$N$15&lt;&gt;$N$14),VLOOKUP(CONCATENATE(LEFT($N31,2),"L"),$R$63:$T$91,3,FALSE),0)+IF(AND($N31="O3/CP",$N$14=C$18),VLOOKUP("O3",$R$63:$T$91,3,FALSE)+VLOOKUP("CP",$R$63:$T$91,3,FALSE),0)+IF(AND($O31&lt;&gt;"",$O31&lt;&gt;"--",$O31&lt;&gt;"O3/CP",$O$14=C$18),IF(LEFT($O31,1)="P",VLOOKUP(CONCATENATE(LEFT($O31,2),"H"),$R$63:$T$91,3,FALSE),VLOOKUP($O31,$R$63:$T$91,3,FALSE)))+IF(AND($O31&lt;&gt;"",$O31&lt;&gt;"O3/CP",$O$15=C$18,MID($O31,4,1)="2",$O$15&lt;&gt;$O$14),VLOOKUP(CONCATENATE(LEFT($O31,2),"L"),$R$63:$T$91,3,FALSE),0)+IF(AND($O31="O3/CP",$O$14=C$18),VLOOKUP("O3",$R$63:$T$91,3,FALSE)+VLOOKUP("CP",$R$63:$T$91,3,FALSE),0)+IF(AND($P31&lt;&gt;"",$P31&lt;&gt;"--",$P31&lt;&gt;"O3/CP",$P$14=C$18),IF(LEFT($P31,1)="P",VLOOKUP(CONCATENATE(LEFT($P31,2),"H"),$R$63:$T$91,3,FALSE),VLOOKUP($P31,$R$63:$T$91,3,FALSE)))+IF(AND($P31&lt;&gt;"",$P31&lt;&gt;"O3/CP",$P$15=C$18,MID($P31,4,1)="2",$P$15&lt;&gt;$P$14),VLOOKUP(CONCATENATE(LEFT($P31,2),"L"),$R$63:$T$91,3,FALSE),0)+IF(AND($P31="O3/CP",$P$14=C$18),VLOOKUP("O3",$R$63:$T$91,3,FALSE)+VLOOKUP("CP",$R$63:$T$91,3,FALSE),0)+IF(AND($Q31&lt;&gt;"",$Q31&lt;&gt;"--",$Q31&lt;&gt;"O3/CP",$Q$14=C$18),IF(LEFT($Q31,1)="P",VLOOKUP(CONCATENATE(LEFT($Q31,2),"H"),$R$63:$T$91,3,FALSE),VLOOKUP($Q31,$R$63:$T$91,3,FALSE)))+IF(AND($Q31&lt;&gt;"",$Q31&lt;&gt;"O3/CP",$Q$15=C$18,MID($Q31,4,1)="2",$Q$15&lt;&gt;$Q$14),VLOOKUP(CONCATENATE(LEFT($Q31,2),"L"),$R$63:$T$91,3,FALSE),0)+IF(AND($Q31="O3/CP",$Q$14=C$18),VLOOKUP("O3",$R$63:$T$91,3,FALSE)+VLOOKUP("CP",$R$63:$T$91,3,FALSE),0)+IF(AND($R31&lt;&gt;"",$R31&lt;&gt;"--",$R31&lt;&gt;"O3/CP",$R$14=C$18),IF(LEFT($R31,1)="P",VLOOKUP(CONCATENATE(LEFT($R31,2),"H"),$R$63:$T$91,3,FALSE),VLOOKUP($R31,$R$63:$T$91,3,FALSE)))+IF(AND($R31&lt;&gt;"",$R31&lt;&gt;"O3/CP",$R$15=C$18,MID($R31,4,1)="2",$R$15&lt;&gt;$R$14),VLOOKUP(CONCATENATE(LEFT($R31,2),"L"),$R$63:$T$91,3,FALSE),0)+IF(AND($R31="O3/CP",$R$14=C$18),VLOOKUP("O3",$R$63:$T$91,3,FALSE)+VLOOKUP("CP",$R$63:$T$91,3,FALSE),0)+IF(AND($S31&lt;&gt;"",$S31&lt;&gt;"--",$S31&lt;&gt;"O3/CP",$S$14=C$18),IF(LEFT($S31,1)="P",VLOOKUP(CONCATENATE(LEFT($S31,2),"H"),$R$63:$T$91,3,FALSE),VLOOKUP($S31,$R$63:$T$91,3,FALSE)))+IF(AND($S31&lt;&gt;"",$S31&lt;&gt;"O3/CP",$S$15=C$18,MID($S31,4,1)="2",$S$15&lt;&gt;$S$14),VLOOKUP(CONCATENATE(LEFT($S31,2),"L"),$R$63:$T$91,3,FALSE),0)+IF(AND($S31="O3/CP",$S$14=C$18),VLOOKUP("O3",$R$63:$T$91,3,FALSE)+VLOOKUP("CP",$R$63:$T$91,3,FALSE),0)+IF(AND($T31&lt;&gt;"",$T31&lt;&gt;"--",$T31&lt;&gt;"O3/CP",$T$14=C$18),IF(LEFT($T31,1)="P",VLOOKUP(CONCATENATE(LEFT($T31,2),"H"),$R$63:$T$91,3,FALSE),VLOOKUP($T31,$R$63:$T$91,3,FALSE)))+IF(AND($T31&lt;&gt;"",$T31&lt;&gt;"O3/CP",$T$15=C$18,MID($T31,4,1)="2",$T$15&lt;&gt;$T$14),VLOOKUP(CONCATENATE(LEFT($T31,2),"L"),$R$63:$T$91,3,FALSE),0)+IF(AND($T31="O3/CP",$T$14=C$18),VLOOKUP("O3",$R$63:$T$91,3,FALSE)+VLOOKUP("CP",$R$63:$T$91,3,FALSE),0)+IF(AND($U31&lt;&gt;"",$U31&lt;&gt;"--",$U31&lt;&gt;"O3/CP",$U$14=C$18),IF(LEFT($U31,1)="P",VLOOKUP(CONCATENATE(LEFT($U31,2),"H"),$R$63:$T$91,3,FALSE),VLOOKUP($U31,$R$63:$T$91,3,FALSE)))+IF(AND($U31&lt;&gt;"",$U31&lt;&gt;"O3/CP",$U$15=C$18,MID($U31,4,1)="2",$U$15&lt;&gt;$U$14),VLOOKUP(CONCATENATE(LEFT($U31,2),"L"),$R$63:$T$91,3,FALSE),0)+IF(AND($U31="O3/CP",$T$14=C$18),VLOOKUP("O3",$R$63:$T$91,3,FALSE)+VLOOKUP("CP",$R$63:$T$91,3,FALSE),0)+IF(AND($V31&lt;&gt;"",$V31&lt;&gt;"--",$V31&lt;&gt;"O3/CP",$V$14=C$18),IF(LEFT($V31,1)="P",VLOOKUP(CONCATENATE(LEFT($V31,2),"H"),$R$63:$T$91,3,FALSE),VLOOKUP($V31,$R$63:$T$91,3,FALSE)))+IF(AND($V31&lt;&gt;"",$V31&lt;&gt;"O3/CP",$V$15=C$18,MID($V31,4,1)="2",$V$15&lt;&gt;$V$14),VLOOKUP(CONCATENATE(LEFT($V31,2),"L"),$R$63:$T$91,3,FALSE),0)+IF(AND($V31="O3/CP",$V$14=C$18),VLOOKUP("O3",$R$63:$T$91,3,FALSE)+VLOOKUP("CP",$R$63:$T$91,3,FALSE),0)+IF(AND($W31&lt;&gt;"",$W31&lt;&gt;"--",$W31&lt;&gt;"O3/CP",$W$14=C$18),IF(LEFT($W31,1)="P",VLOOKUP(CONCATENATE(LEFT($W31,2),"H"),$R$63:$T$91,3,FALSE),VLOOKUP($W31,$R$63:$T$91,3,FALSE)))+IF(AND($W31&lt;&gt;"",$W31&lt;&gt;"O3/CP",$W$15=C$18,MID($W31,4,1)="2",$W$15&lt;&gt;$W$14),VLOOKUP(CONCATENATE(LEFT($W31,2),"L"),$R$63:$T$91,3,FALSE),0)+IF(AND($W31="O3/CP",$W$14=C$18),VLOOKUP("O3",$R$63:$T$91,3,FALSE)+VLOOKUP("CP",$R$63:$T$91,3,FALSE),0)+IF(AND($X31&lt;&gt;"",$X31&lt;&gt;"--",$X31&lt;&gt;"O3/CP",$X$14=C$18),IF(LEFT($X31,1)="P",VLOOKUP(CONCATENATE(LEFT($X31,2),"H"),$R$63:$T$91,3,FALSE),VLOOKUP($X31,$R$63:$T$91,3,FALSE)))+IF(AND($X31&lt;&gt;"",$X31&lt;&gt;"O3/CP",$X$15=C$18,MID($X31,4,1)="2",$X$15&lt;&gt;$X$14),VLOOKUP(CONCATENATE(LEFT($X31,2),"L"),$R$63:$T$91,3,FALSE),0)+IF(AND($X31="O3/CP",$X$14=C$18),VLOOKUP("O3",$R$63:$T$91,3,FALSE)+VLOOKUP("CP",$R$63:$T$91,3,FALSE),0)+IF(AND($Y31&lt;&gt;"",$Y31&lt;&gt;"--",$Y31&lt;&gt;"O3/CP",$Y$14=C$18),IF(LEFT($Y31,1)="P",VLOOKUP(CONCATENATE(LEFT($Y31,2),"H"),$R$63:$T$91,3,FALSE),VLOOKUP($Y31,$R$63:$T$91,3,FALSE)))+IF(AND($Y31&lt;&gt;"",$Y31&lt;&gt;"O3/CP",$Y$15=C$18,MID($Y31,4,1)="2",$Y$15&lt;&gt;$Y$14),VLOOKUP(CONCATENATE(LEFT($Y31,2),"L"),$R$63:$T$91,3,FALSE),0)+IF(AND($Y31="O3/CP",$Y$14=C$18),VLOOKUP("O3",$R$63:$T$91,3,FALSE)+VLOOKUP("CP",$R$63:$T$91,3,FALSE),0)+IF(AND($K$6="CE",'[3]Supply Attribution'!$G$20=C$18),LEFT($S$90,2),0)+IF(AND($X$86&lt;&gt;"Not Set",$X$87=C$18),$X$86,0)</f>
        <v>0</v>
      </c>
      <c r="D31" s="271">
        <f>IF(AND($K31&lt;&gt;"",$K31&lt;&gt;"--",$K31&lt;&gt;"O3/CP",$K$14=D$18),IF(LEFT($K31,1)="P",VLOOKUP(CONCATENATE(LEFT($K31,2),"H"),$R$63:$T$91,3,FALSE),VLOOKUP($K31,$R$63:$T$91,3,FALSE)))+IF(AND($K31&lt;&gt;"",$K31&lt;&gt;"O3/CP",$K$15=D$18,MID($K31,4,1)="2",$K$15&lt;&gt;$K$14),VLOOKUP(CONCATENATE(LEFT($K31,2),"L"),$R$63:$T$91,3,FALSE),0)+IF(AND($K31="O3/CP",$K$14=D$18),VLOOKUP("O3",$R$63:$T$91,3,FALSE)+VLOOKUP("CP",$R$63:$T$91,3,FALSE),0)+IF(AND($L31&lt;&gt;"",$L31&lt;&gt;"--",$L31&lt;&gt;"O3/CP",$L$14=D$18),IF(LEFT($L31,1)="P",VLOOKUP(CONCATENATE(LEFT($L31,2),"H"),$R$63:$T$91,3,FALSE),VLOOKUP($L31,$R$63:$T$91,3,FALSE)))+IF(AND($L31&lt;&gt;"",$L31&lt;&gt;"O3/CP",$L$15=D$18,MID($L31,4,1)="2",$L$15&lt;&gt;$L$14),VLOOKUP(CONCATENATE(LEFT($L31,2),"L"),$R$63:$T$91,3,FALSE),0)+IF(AND($L31="O3/CP",$L$14=D$18),VLOOKUP("O3",$R$63:$T$91,3,FALSE)+VLOOKUP("CP",$R$63:$T$91,3,FALSE),0)+IF(AND($M31&lt;&gt;"",$M31&lt;&gt;"--",$M31&lt;&gt;"O3/CP",$M$14=D$18),IF(LEFT($M31,1)="P",VLOOKUP(CONCATENATE(LEFT($M31,2),"H"),$R$63:$T$91,3,FALSE),VLOOKUP($M31,$R$63:$T$91,3,FALSE)))+IF(AND($M31&lt;&gt;"",$M31&lt;&gt;"O3/CP",$M$15=D$18,MID($M31,4,1)="2",$M$15&lt;&gt;$M$14),VLOOKUP(CONCATENATE(LEFT($M31,2),"L"),$R$63:$T$91,3,FALSE),0)+IF(AND($M31="O3/CP",$M$14=D$18),VLOOKUP("O3",$R$63:$T$91,3,FALSE)+VLOOKUP("CP",$R$63:$T$91,3,FALSE),0)+IF(AND($N31&lt;&gt;"",$N31&lt;&gt;"--",$N31&lt;&gt;"O3/CP",$N$14=D$18),IF(LEFT($N31,1)="P",VLOOKUP(CONCATENATE(LEFT($N31,2),"H"),$R$63:$T$91,3,FALSE),VLOOKUP($N31,$R$63:$T$91,3,FALSE)))+IF(AND($N31&lt;&gt;"",$N31&lt;&gt;"O3/CP",$N$15=D$18,MID($N31,4,1)="2",$N$15&lt;&gt;$N$14),VLOOKUP(CONCATENATE(LEFT($N31,2),"L"),$R$63:$T$91,3,FALSE),0)+IF(AND($N31="O3/CP",$N$14=D$18),VLOOKUP("O3",$R$63:$T$91,3,FALSE)+VLOOKUP("CP",$R$63:$T$91,3,FALSE),0)+IF(AND($O31&lt;&gt;"",$O31&lt;&gt;"--",$O31&lt;&gt;"O3/CP",$O$14=D$18),IF(LEFT($O31,1)="P",VLOOKUP(CONCATENATE(LEFT($O31,2),"H"),$R$63:$T$91,3,FALSE),VLOOKUP($O31,$R$63:$T$91,3,FALSE)))+IF(AND($O31&lt;&gt;"",$O31&lt;&gt;"O3/CP",$O$15=D$18,MID($O31,4,1)="2",$O$15&lt;&gt;$O$14),VLOOKUP(CONCATENATE(LEFT($O31,2),"L"),$R$63:$T$91,3,FALSE),0)+IF(AND($O31="O3/CP",$O$14=D$18),VLOOKUP("O3",$R$63:$T$91,3,FALSE)+VLOOKUP("CP",$R$63:$T$91,3,FALSE),0)+IF(AND($P31&lt;&gt;"",$P31&lt;&gt;"--",$P31&lt;&gt;"O3/CP",$P$14=D$18),IF(LEFT($P31,1)="P",VLOOKUP(CONCATENATE(LEFT($P31,2),"H"),$R$63:$T$91,3,FALSE),VLOOKUP($P31,$R$63:$T$91,3,FALSE)))+IF(AND($P31&lt;&gt;"",$P31&lt;&gt;"O3/CP",$P$15=D$18,MID($P31,4,1)="2",$P$15&lt;&gt;$P$14),VLOOKUP(CONCATENATE(LEFT($P31,2),"L"),$R$63:$T$91,3,FALSE),0)+IF(AND($P31="O3/CP",$P$14=D$18),VLOOKUP("O3",$R$63:$T$91,3,FALSE)+VLOOKUP("CP",$R$63:$T$91,3,FALSE),0)+IF(AND($Q31&lt;&gt;"",$Q31&lt;&gt;"--",$Q31&lt;&gt;"O3/CP",$Q$14=D$18),IF(LEFT($Q31,1)="P",VLOOKUP(CONCATENATE(LEFT($Q31,2),"H"),$R$63:$T$91,3,FALSE),VLOOKUP($Q31,$R$63:$T$91,3,FALSE)))+IF(AND($Q31&lt;&gt;"",$Q31&lt;&gt;"O3/CP",$Q$15=D$18,MID($Q31,4,1)="2",$Q$15&lt;&gt;$Q$14),VLOOKUP(CONCATENATE(LEFT($Q31,2),"L"),$R$63:$T$91,3,FALSE),0)+IF(AND($Q31="O3/CP",$Q$14=D$18),VLOOKUP("O3",$R$63:$T$91,3,FALSE)+VLOOKUP("CP",$R$63:$T$91,3,FALSE),0)+IF(AND($R31&lt;&gt;"",$R31&lt;&gt;"--",$R31&lt;&gt;"O3/CP",$R$14=D$18),IF(LEFT($R31,1)="P",VLOOKUP(CONCATENATE(LEFT($R31,2),"H"),$R$63:$T$91,3,FALSE),VLOOKUP($R31,$R$63:$T$91,3,FALSE)))+IF(AND($R31&lt;&gt;"",$R31&lt;&gt;"O3/CP",$R$15=D$18,MID($R31,4,1)="2",$R$15&lt;&gt;$R$14),VLOOKUP(CONCATENATE(LEFT($R31,2),"L"),$R$63:$T$91,3,FALSE),0)+IF(AND($R31="O3/CP",$R$14=D$18),VLOOKUP("O3",$R$63:$T$91,3,FALSE)+VLOOKUP("CP",$R$63:$T$91,3,FALSE),0)+IF(AND($S31&lt;&gt;"",$S31&lt;&gt;"--",$S31&lt;&gt;"O3/CP",$S$14=D$18),IF(LEFT($S31,1)="P",VLOOKUP(CONCATENATE(LEFT($S31,2),"H"),$R$63:$T$91,3,FALSE),VLOOKUP($S31,$R$63:$T$91,3,FALSE)))+IF(AND($S31&lt;&gt;"",$S31&lt;&gt;"O3/CP",$S$15=D$18,MID($S31,4,1)="2",$S$15&lt;&gt;$S$14),VLOOKUP(CONCATENATE(LEFT($S31,2),"L"),$R$63:$T$91,3,FALSE),0)+IF(AND($S31="O3/CP",$S$14=D$18),VLOOKUP("O3",$R$63:$T$91,3,FALSE)+VLOOKUP("CP",$R$63:$T$91,3,FALSE),0)+IF(AND($T31&lt;&gt;"",$T31&lt;&gt;"--",$T31&lt;&gt;"O3/CP",$T$14=D$18),IF(LEFT($T31,1)="P",VLOOKUP(CONCATENATE(LEFT($T31,2),"H"),$R$63:$T$91,3,FALSE),VLOOKUP($T31,$R$63:$T$91,3,FALSE)))+IF(AND($T31&lt;&gt;"",$T31&lt;&gt;"O3/CP",$T$15=D$18,MID($T31,4,1)="2",$T$15&lt;&gt;$T$14),VLOOKUP(CONCATENATE(LEFT($T31,2),"L"),$R$63:$T$91,3,FALSE),0)+IF(AND($T31="O3/CP",$T$14=D$18),VLOOKUP("O3",$R$63:$T$91,3,FALSE)+VLOOKUP("CP",$R$63:$T$91,3,FALSE),0)+IF(AND($U31&lt;&gt;"",$U31&lt;&gt;"--",$U31&lt;&gt;"O3/CP",$U$14=D$18),IF(LEFT($U31,1)="P",VLOOKUP(CONCATENATE(LEFT($U31,2),"H"),$R$63:$T$91,3,FALSE),VLOOKUP($U31,$R$63:$T$91,3,FALSE)))+IF(AND($U31&lt;&gt;"",$U31&lt;&gt;"O3/CP",$U$15=D$18,MID($U31,4,1)="2",$U$15&lt;&gt;$U$14),VLOOKUP(CONCATENATE(LEFT($U31,2),"L"),$R$63:$T$91,3,FALSE),0)+IF(AND($U31="O3/CP",$T$14=D$18),VLOOKUP("O3",$R$63:$T$91,3,FALSE)+VLOOKUP("CP",$R$63:$T$91,3,FALSE),0)+IF(AND($V31&lt;&gt;"",$V31&lt;&gt;"--",$V31&lt;&gt;"O3/CP",$V$14=D$18),IF(LEFT($V31,1)="P",VLOOKUP(CONCATENATE(LEFT($V31,2),"H"),$R$63:$T$91,3,FALSE),VLOOKUP($V31,$R$63:$T$91,3,FALSE)))+IF(AND($V31&lt;&gt;"",$V31&lt;&gt;"O3/CP",$V$15=D$18,MID($V31,4,1)="2",$V$15&lt;&gt;$V$14),VLOOKUP(CONCATENATE(LEFT($V31,2),"L"),$R$63:$T$91,3,FALSE),0)+IF(AND($V31="O3/CP",$V$14=D$18),VLOOKUP("O3",$R$63:$T$91,3,FALSE)+VLOOKUP("CP",$R$63:$T$91,3,FALSE),0)+IF(AND($W31&lt;&gt;"",$W31&lt;&gt;"--",$W31&lt;&gt;"O3/CP",$W$14=D$18),IF(LEFT($W31,1)="P",VLOOKUP(CONCATENATE(LEFT($W31,2),"H"),$R$63:$T$91,3,FALSE),VLOOKUP($W31,$R$63:$T$91,3,FALSE)))+IF(AND($W31&lt;&gt;"",$W31&lt;&gt;"O3/CP",$W$15=D$18,MID($W31,4,1)="2",$W$15&lt;&gt;$W$14),VLOOKUP(CONCATENATE(LEFT($W31,2),"L"),$R$63:$T$91,3,FALSE),0)+IF(AND($W31="O3/CP",$W$14=D$18),VLOOKUP("O3",$R$63:$T$91,3,FALSE)+VLOOKUP("CP",$R$63:$T$91,3,FALSE),0)+IF(AND($X31&lt;&gt;"",$X31&lt;&gt;"--",$X31&lt;&gt;"O3/CP",$X$14=D$18),IF(LEFT($X31,1)="P",VLOOKUP(CONCATENATE(LEFT($X31,2),"H"),$R$63:$T$91,3,FALSE),VLOOKUP($X31,$R$63:$T$91,3,FALSE)))+IF(AND($X31&lt;&gt;"",$X31&lt;&gt;"O3/CP",$X$15=D$18,MID($X31,4,1)="2",$X$15&lt;&gt;$X$14),VLOOKUP(CONCATENATE(LEFT($X31,2),"L"),$R$63:$T$91,3,FALSE),0)+IF(AND($X31="O3/CP",$X$14=D$18),VLOOKUP("O3",$R$63:$T$91,3,FALSE)+VLOOKUP("CP",$R$63:$T$91,3,FALSE),0)+IF(AND($Y31&lt;&gt;"",$Y31&lt;&gt;"--",$Y31&lt;&gt;"O3/CP",$Y$14=D$18),IF(LEFT($Y31,1)="P",VLOOKUP(CONCATENATE(LEFT($Y31,2),"H"),$R$63:$T$91,3,FALSE),VLOOKUP($Y31,$R$63:$T$91,3,FALSE)))+IF(AND($Y31&lt;&gt;"",$Y31&lt;&gt;"O3/CP",$Y$15=D$18,MID($Y31,4,1)="2",$Y$15&lt;&gt;$Y$14),VLOOKUP(CONCATENATE(LEFT($Y31,2),"L"),$R$63:$T$91,3,FALSE),0)+IF(AND($Y31="O3/CP",$Y$14=D$18),VLOOKUP("O3",$R$63:$T$91,3,FALSE)+VLOOKUP("CP",$R$63:$T$91,3,FALSE),0)+IF(AND($K$6="CE",'[3]Supply Attribution'!$G$20=D$18),LEFT($S$90,2),0)+IF(AND($X$86&lt;&gt;"Not Set",$X$87=D$18),$X$86,0)</f>
        <v>0</v>
      </c>
      <c r="E31" s="271">
        <f>IF(AND($K31&lt;&gt;"",$K31&lt;&gt;"--",$K31&lt;&gt;"O3/CP",$K$14=E$18),IF(LEFT($K31,1)="P",VLOOKUP(CONCATENATE(LEFT($K31,2),"H"),$R$63:$T$91,3,FALSE),VLOOKUP($K31,$R$63:$T$91,3,FALSE)))+IF(AND($K31&lt;&gt;"",$K31&lt;&gt;"O3/CP",$K$15=E$18,MID($K31,4,1)="2",$K$15&lt;&gt;$K$14),VLOOKUP(CONCATENATE(LEFT($K31,2),"L"),$R$63:$T$91,3,FALSE),0)+IF(AND($K31="O3/CP",$K$14=E$18),VLOOKUP("O3",$R$63:$T$91,3,FALSE)+VLOOKUP("CP",$R$63:$T$91,3,FALSE),0)+IF(AND($L31&lt;&gt;"",$L31&lt;&gt;"--",$L31&lt;&gt;"O3/CP",$L$14=E$18),IF(LEFT($L31,1)="P",VLOOKUP(CONCATENATE(LEFT($L31,2),"H"),$R$63:$T$91,3,FALSE),VLOOKUP($L31,$R$63:$T$91,3,FALSE)))+IF(AND($L31&lt;&gt;"",$L31&lt;&gt;"O3/CP",$L$15=E$18,MID($L31,4,1)="2",$L$15&lt;&gt;$L$14),VLOOKUP(CONCATENATE(LEFT($L31,2),"L"),$R$63:$T$91,3,FALSE),0)+IF(AND($L31="O3/CP",$L$14=E$18),VLOOKUP("O3",$R$63:$T$91,3,FALSE)+VLOOKUP("CP",$R$63:$T$91,3,FALSE),0)+IF(AND($M31&lt;&gt;"",$M31&lt;&gt;"--",$M31&lt;&gt;"O3/CP",$M$14=E$18),IF(LEFT($M31,1)="P",VLOOKUP(CONCATENATE(LEFT($M31,2),"H"),$R$63:$T$91,3,FALSE),VLOOKUP($M31,$R$63:$T$91,3,FALSE)))+IF(AND($M31&lt;&gt;"",$M31&lt;&gt;"O3/CP",$M$15=E$18,MID($M31,4,1)="2",$M$15&lt;&gt;$M$14),VLOOKUP(CONCATENATE(LEFT($M31,2),"L"),$R$63:$T$91,3,FALSE),0)+IF(AND($M31="O3/CP",$M$14=E$18),VLOOKUP("O3",$R$63:$T$91,3,FALSE)+VLOOKUP("CP",$R$63:$T$91,3,FALSE),0)+IF(AND($N31&lt;&gt;"",$N31&lt;&gt;"--",$N31&lt;&gt;"O3/CP",$N$14=E$18),IF(LEFT($N31,1)="P",VLOOKUP(CONCATENATE(LEFT($N31,2),"H"),$R$63:$T$91,3,FALSE),VLOOKUP($N31,$R$63:$T$91,3,FALSE)))+IF(AND($N31&lt;&gt;"",$N31&lt;&gt;"O3/CP",$N$15=E$18,MID($N31,4,1)="2",$N$15&lt;&gt;$N$14),VLOOKUP(CONCATENATE(LEFT($N31,2),"L"),$R$63:$T$91,3,FALSE),0)+IF(AND($N31="O3/CP",$N$14=E$18),VLOOKUP("O3",$R$63:$T$91,3,FALSE)+VLOOKUP("CP",$R$63:$T$91,3,FALSE),0)+IF(AND($O31&lt;&gt;"",$O31&lt;&gt;"--",$O31&lt;&gt;"O3/CP",$O$14=E$18),IF(LEFT($O31,1)="P",VLOOKUP(CONCATENATE(LEFT($O31,2),"H"),$R$63:$T$91,3,FALSE),VLOOKUP($O31,$R$63:$T$91,3,FALSE)))+IF(AND($O31&lt;&gt;"",$O31&lt;&gt;"O3/CP",$O$15=E$18,MID($O31,4,1)="2",$O$15&lt;&gt;$O$14),VLOOKUP(CONCATENATE(LEFT($O31,2),"L"),$R$63:$T$91,3,FALSE),0)+IF(AND($O31="O3/CP",$O$14=E$18),VLOOKUP("O3",$R$63:$T$91,3,FALSE)+VLOOKUP("CP",$R$63:$T$91,3,FALSE),0)+IF(AND($P31&lt;&gt;"",$P31&lt;&gt;"--",$P31&lt;&gt;"O3/CP",$P$14=E$18),IF(LEFT($P31,1)="P",VLOOKUP(CONCATENATE(LEFT($P31,2),"H"),$R$63:$T$91,3,FALSE),VLOOKUP($P31,$R$63:$T$91,3,FALSE)))+IF(AND($P31&lt;&gt;"",$P31&lt;&gt;"O3/CP",$P$15=E$18,MID($P31,4,1)="2",$P$15&lt;&gt;$P$14),VLOOKUP(CONCATENATE(LEFT($P31,2),"L"),$R$63:$T$91,3,FALSE),0)+IF(AND($P31="O3/CP",$P$14=E$18),VLOOKUP("O3",$R$63:$T$91,3,FALSE)+VLOOKUP("CP",$R$63:$T$91,3,FALSE),0)+IF(AND($Q31&lt;&gt;"",$Q31&lt;&gt;"--",$Q31&lt;&gt;"O3/CP",$Q$14=E$18),IF(LEFT($Q31,1)="P",VLOOKUP(CONCATENATE(LEFT($Q31,2),"H"),$R$63:$T$91,3,FALSE),VLOOKUP($Q31,$R$63:$T$91,3,FALSE)))+IF(AND($Q31&lt;&gt;"",$Q31&lt;&gt;"O3/CP",$Q$15=E$18,MID($Q31,4,1)="2",$Q$15&lt;&gt;$Q$14),VLOOKUP(CONCATENATE(LEFT($Q31,2),"L"),$R$63:$T$91,3,FALSE),0)+IF(AND($Q31="O3/CP",$Q$14=E$18),VLOOKUP("O3",$R$63:$T$91,3,FALSE)+VLOOKUP("CP",$R$63:$T$91,3,FALSE),0)+IF(AND($R31&lt;&gt;"",$R31&lt;&gt;"--",$R31&lt;&gt;"O3/CP",$R$14=E$18),IF(LEFT($R31,1)="P",VLOOKUP(CONCATENATE(LEFT($R31,2),"H"),$R$63:$T$91,3,FALSE),VLOOKUP($R31,$R$63:$T$91,3,FALSE)))+IF(AND($R31&lt;&gt;"",$R31&lt;&gt;"O3/CP",$R$15=E$18,MID($R31,4,1)="2",$R$15&lt;&gt;$R$14),VLOOKUP(CONCATENATE(LEFT($R31,2),"L"),$R$63:$T$91,3,FALSE),0)+IF(AND($R31="O3/CP",$R$14=E$18),VLOOKUP("O3",$R$63:$T$91,3,FALSE)+VLOOKUP("CP",$R$63:$T$91,3,FALSE),0)+IF(AND($S31&lt;&gt;"",$S31&lt;&gt;"--",$S31&lt;&gt;"O3/CP",$S$14=E$18),IF(LEFT($S31,1)="P",VLOOKUP(CONCATENATE(LEFT($S31,2),"H"),$R$63:$T$91,3,FALSE),VLOOKUP($S31,$R$63:$T$91,3,FALSE)))+IF(AND($S31&lt;&gt;"",$S31&lt;&gt;"O3/CP",$S$15=E$18,MID($S31,4,1)="2",$S$15&lt;&gt;$S$14),VLOOKUP(CONCATENATE(LEFT($S31,2),"L"),$R$63:$T$91,3,FALSE),0)+IF(AND($S31="O3/CP",$S$14=E$18),VLOOKUP("O3",$R$63:$T$91,3,FALSE)+VLOOKUP("CP",$R$63:$T$91,3,FALSE),0)+IF(AND($T31&lt;&gt;"",$T31&lt;&gt;"--",$T31&lt;&gt;"O3/CP",$T$14=E$18),IF(LEFT($T31,1)="P",VLOOKUP(CONCATENATE(LEFT($T31,2),"H"),$R$63:$T$91,3,FALSE),VLOOKUP($T31,$R$63:$T$91,3,FALSE)))+IF(AND($T31&lt;&gt;"",$T31&lt;&gt;"O3/CP",$T$15=E$18,MID($T31,4,1)="2",$T$15&lt;&gt;$T$14),VLOOKUP(CONCATENATE(LEFT($T31,2),"L"),$R$63:$T$91,3,FALSE),0)+IF(AND($T31="O3/CP",$T$14=E$18),VLOOKUP("O3",$R$63:$T$91,3,FALSE)+VLOOKUP("CP",$R$63:$T$91,3,FALSE),0)+IF(AND($U31&lt;&gt;"",$U31&lt;&gt;"--",$U31&lt;&gt;"O3/CP",$U$14=E$18),IF(LEFT($U31,1)="P",VLOOKUP(CONCATENATE(LEFT($U31,2),"H"),$R$63:$T$91,3,FALSE),VLOOKUP($U31,$R$63:$T$91,3,FALSE)))+IF(AND($U31&lt;&gt;"",$U31&lt;&gt;"O3/CP",$U$15=E$18,MID($U31,4,1)="2",$U$15&lt;&gt;$U$14),VLOOKUP(CONCATENATE(LEFT($U31,2),"L"),$R$63:$T$91,3,FALSE),0)+IF(AND($U31="O3/CP",$T$14=E$18),VLOOKUP("O3",$R$63:$T$91,3,FALSE)+VLOOKUP("CP",$R$63:$T$91,3,FALSE),0)+IF(AND($V31&lt;&gt;"",$V31&lt;&gt;"--",$V31&lt;&gt;"O3/CP",$V$14=E$18),IF(LEFT($V31,1)="P",VLOOKUP(CONCATENATE(LEFT($V31,2),"H"),$R$63:$T$91,3,FALSE),VLOOKUP($V31,$R$63:$T$91,3,FALSE)))+IF(AND($V31&lt;&gt;"",$V31&lt;&gt;"O3/CP",$V$15=E$18,MID($V31,4,1)="2",$V$15&lt;&gt;$V$14),VLOOKUP(CONCATENATE(LEFT($V31,2),"L"),$R$63:$T$91,3,FALSE),0)+IF(AND($V31="O3/CP",$V$14=E$18),VLOOKUP("O3",$R$63:$T$91,3,FALSE)+VLOOKUP("CP",$R$63:$T$91,3,FALSE),0)+IF(AND($W31&lt;&gt;"",$W31&lt;&gt;"--",$W31&lt;&gt;"O3/CP",$W$14=E$18),IF(LEFT($W31,1)="P",VLOOKUP(CONCATENATE(LEFT($W31,2),"H"),$R$63:$T$91,3,FALSE),VLOOKUP($W31,$R$63:$T$91,3,FALSE)))+IF(AND($W31&lt;&gt;"",$W31&lt;&gt;"O3/CP",$W$15=E$18,MID($W31,4,1)="2",$W$15&lt;&gt;$W$14),VLOOKUP(CONCATENATE(LEFT($W31,2),"L"),$R$63:$T$91,3,FALSE),0)+IF(AND($W31="O3/CP",$W$14=E$18),VLOOKUP("O3",$R$63:$T$91,3,FALSE)+VLOOKUP("CP",$R$63:$T$91,3,FALSE),0)+IF(AND($X31&lt;&gt;"",$X31&lt;&gt;"--",$X31&lt;&gt;"O3/CP",$X$14=E$18),IF(LEFT($X31,1)="P",VLOOKUP(CONCATENATE(LEFT($X31,2),"H"),$R$63:$T$91,3,FALSE),VLOOKUP($X31,$R$63:$T$91,3,FALSE)))+IF(AND($X31&lt;&gt;"",$X31&lt;&gt;"O3/CP",$X$15=E$18,MID($X31,4,1)="2",$X$15&lt;&gt;$X$14),VLOOKUP(CONCATENATE(LEFT($X31,2),"L"),$R$63:$T$91,3,FALSE),0)+IF(AND($X31="O3/CP",$X$14=E$18),VLOOKUP("O3",$R$63:$T$91,3,FALSE)+VLOOKUP("CP",$R$63:$T$91,3,FALSE),0)+IF(AND($Y31&lt;&gt;"",$Y31&lt;&gt;"--",$Y31&lt;&gt;"O3/CP",$Y$14=E$18),IF(LEFT($Y31,1)="P",VLOOKUP(CONCATENATE(LEFT($Y31,2),"H"),$R$63:$T$91,3,FALSE),VLOOKUP($Y31,$R$63:$T$91,3,FALSE)))+IF(AND($Y31&lt;&gt;"",$Y31&lt;&gt;"O3/CP",$Y$15=E$18,MID($Y31,4,1)="2",$Y$15&lt;&gt;$Y$14),VLOOKUP(CONCATENATE(LEFT($Y31,2),"L"),$R$63:$T$91,3,FALSE),0)+IF(AND($Y31="O3/CP",$Y$14=E$18),VLOOKUP("O3",$R$63:$T$91,3,FALSE)+VLOOKUP("CP",$R$63:$T$91,3,FALSE),0)+IF(AND($K$6="CE",'[3]Supply Attribution'!$G$20=E$18),LEFT($S$90,2),0)+IF(AND($X$86&lt;&gt;"Not Set",$X$87=E$18),$X$86,0)</f>
        <v>0</v>
      </c>
      <c r="F31" s="272">
        <f>IF(AND($K31&lt;&gt;"",$K31&lt;&gt;"--",$K31&lt;&gt;"O3/CP",$K$14=F$18),IF(LEFT($K31,1)="P",VLOOKUP(CONCATENATE(LEFT($K31,2),"H"),$R$63:$T$91,3,FALSE),VLOOKUP($K31,$R$63:$T$91,3,FALSE)))+IF(AND($K31&lt;&gt;"",$K31&lt;&gt;"O3/CP",$K$15=F$18,MID($K31,4,1)="2",$K$15&lt;&gt;$K$14),VLOOKUP(CONCATENATE(LEFT($K31,2),"L"),$R$63:$T$91,3,FALSE),0)+IF(AND($K31="O3/CP",$K$14=F$18),VLOOKUP("O3",$R$63:$T$91,3,FALSE)+VLOOKUP("CP",$R$63:$T$91,3,FALSE),0)+IF(AND($L31&lt;&gt;"",$L31&lt;&gt;"--",$L31&lt;&gt;"O3/CP",$L$14=F$18),IF(LEFT($L31,1)="P",VLOOKUP(CONCATENATE(LEFT($L31,2),"H"),$R$63:$T$91,3,FALSE),VLOOKUP($L31,$R$63:$T$91,3,FALSE)))+IF(AND($L31&lt;&gt;"",$L31&lt;&gt;"O3/CP",$L$15=F$18,MID($L31,4,1)="2",$L$15&lt;&gt;$L$14),VLOOKUP(CONCATENATE(LEFT($L31,2),"L"),$R$63:$T$91,3,FALSE),0)+IF(AND($L31="O3/CP",$L$14=F$18),VLOOKUP("O3",$R$63:$T$91,3,FALSE)+VLOOKUP("CP",$R$63:$T$91,3,FALSE),0)+IF(AND($M31&lt;&gt;"",$M31&lt;&gt;"--",$M31&lt;&gt;"O3/CP",$M$14=F$18),IF(LEFT($M31,1)="P",VLOOKUP(CONCATENATE(LEFT($M31,2),"H"),$R$63:$T$91,3,FALSE),VLOOKUP($M31,$R$63:$T$91,3,FALSE)))+IF(AND($M31&lt;&gt;"",$M31&lt;&gt;"O3/CP",$M$15=F$18,MID($M31,4,1)="2",$M$15&lt;&gt;$M$14),VLOOKUP(CONCATENATE(LEFT($M31,2),"L"),$R$63:$T$91,3,FALSE),0)+IF(AND($M31="O3/CP",$M$14=F$18),VLOOKUP("O3",$R$63:$T$91,3,FALSE)+VLOOKUP("CP",$R$63:$T$91,3,FALSE),0)+IF(AND($N31&lt;&gt;"",$N31&lt;&gt;"--",$N31&lt;&gt;"O3/CP",$N$14=F$18),IF(LEFT($N31,1)="P",VLOOKUP(CONCATENATE(LEFT($N31,2),"H"),$R$63:$T$91,3,FALSE),VLOOKUP($N31,$R$63:$T$91,3,FALSE)))+IF(AND($N31&lt;&gt;"",$N31&lt;&gt;"O3/CP",$N$15=F$18,MID($N31,4,1)="2",$N$15&lt;&gt;$N$14),VLOOKUP(CONCATENATE(LEFT($N31,2),"L"),$R$63:$T$91,3,FALSE),0)+IF(AND($N31="O3/CP",$N$14=F$18),VLOOKUP("O3",$R$63:$T$91,3,FALSE)+VLOOKUP("CP",$R$63:$T$91,3,FALSE),0)+IF(AND($O31&lt;&gt;"",$O31&lt;&gt;"--",$O31&lt;&gt;"O3/CP",$O$14=F$18),IF(LEFT($O31,1)="P",VLOOKUP(CONCATENATE(LEFT($O31,2),"H"),$R$63:$T$91,3,FALSE),VLOOKUP($O31,$R$63:$T$91,3,FALSE)))+IF(AND($O31&lt;&gt;"",$O31&lt;&gt;"O3/CP",$O$15=F$18,MID($O31,4,1)="2",$O$15&lt;&gt;$O$14),VLOOKUP(CONCATENATE(LEFT($O31,2),"L"),$R$63:$T$91,3,FALSE),0)+IF(AND($O31="O3/CP",$O$14=F$18),VLOOKUP("O3",$R$63:$T$91,3,FALSE)+VLOOKUP("CP",$R$63:$T$91,3,FALSE),0)+IF(AND($P31&lt;&gt;"",$P31&lt;&gt;"--",$P31&lt;&gt;"O3/CP",$P$14=F$18),IF(LEFT($P31,1)="P",VLOOKUP(CONCATENATE(LEFT($P31,2),"H"),$R$63:$T$91,3,FALSE),VLOOKUP($P31,$R$63:$T$91,3,FALSE)))+IF(AND($P31&lt;&gt;"",$P31&lt;&gt;"O3/CP",$P$15=F$18,MID($P31,4,1)="2",$P$15&lt;&gt;$P$14),VLOOKUP(CONCATENATE(LEFT($P31,2),"L"),$R$63:$T$91,3,FALSE),0)+IF(AND($P31="O3/CP",$P$14=F$18),VLOOKUP("O3",$R$63:$T$91,3,FALSE)+VLOOKUP("CP",$R$63:$T$91,3,FALSE),0)+IF(AND($Q31&lt;&gt;"",$Q31&lt;&gt;"--",$Q31&lt;&gt;"O3/CP",$Q$14=F$18),IF(LEFT($Q31,1)="P",VLOOKUP(CONCATENATE(LEFT($Q31,2),"H"),$R$63:$T$91,3,FALSE),VLOOKUP($Q31,$R$63:$T$91,3,FALSE)))+IF(AND($Q31&lt;&gt;"",$Q31&lt;&gt;"O3/CP",$Q$15=F$18,MID($Q31,4,1)="2",$Q$15&lt;&gt;$Q$14),VLOOKUP(CONCATENATE(LEFT($Q31,2),"L"),$R$63:$T$91,3,FALSE),0)+IF(AND($Q31="O3/CP",$Q$14=F$18),VLOOKUP("O3",$R$63:$T$91,3,FALSE)+VLOOKUP("CP",$R$63:$T$91,3,FALSE),0)+IF(AND($R31&lt;&gt;"",$R31&lt;&gt;"--",$R31&lt;&gt;"O3/CP",$R$14=F$18),IF(LEFT($R31,1)="P",VLOOKUP(CONCATENATE(LEFT($R31,2),"H"),$R$63:$T$91,3,FALSE),VLOOKUP($R31,$R$63:$T$91,3,FALSE)))+IF(AND($R31&lt;&gt;"",$R31&lt;&gt;"O3/CP",$R$15=F$18,MID($R31,4,1)="2",$R$15&lt;&gt;$R$14),VLOOKUP(CONCATENATE(LEFT($R31,2),"L"),$R$63:$T$91,3,FALSE),0)+IF(AND($R31="O3/CP",$R$14=F$18),VLOOKUP("O3",$R$63:$T$91,3,FALSE)+VLOOKUP("CP",$R$63:$T$91,3,FALSE),0)+IF(AND($S31&lt;&gt;"",$S31&lt;&gt;"--",$S31&lt;&gt;"O3/CP",$S$14=F$18),IF(LEFT($S31,1)="P",VLOOKUP(CONCATENATE(LEFT($S31,2),"H"),$R$63:$T$91,3,FALSE),VLOOKUP($S31,$R$63:$T$91,3,FALSE)))+IF(AND($S31&lt;&gt;"",$S31&lt;&gt;"O3/CP",$S$15=F$18,MID($S31,4,1)="2",$S$15&lt;&gt;$S$14),VLOOKUP(CONCATENATE(LEFT($S31,2),"L"),$R$63:$T$91,3,FALSE),0)+IF(AND($S31="O3/CP",$S$14=F$18),VLOOKUP("O3",$R$63:$T$91,3,FALSE)+VLOOKUP("CP",$R$63:$T$91,3,FALSE),0)+IF(AND($T31&lt;&gt;"",$T31&lt;&gt;"--",$T31&lt;&gt;"O3/CP",$T$14=F$18),IF(LEFT($T31,1)="P",VLOOKUP(CONCATENATE(LEFT($T31,2),"H"),$R$63:$T$91,3,FALSE),VLOOKUP($T31,$R$63:$T$91,3,FALSE)))+IF(AND($T31&lt;&gt;"",$T31&lt;&gt;"O3/CP",$T$15=F$18,MID($T31,4,1)="2",$T$15&lt;&gt;$T$14),VLOOKUP(CONCATENATE(LEFT($T31,2),"L"),$R$63:$T$91,3,FALSE),0)+IF(AND($T31="O3/CP",$T$14=F$18),VLOOKUP("O3",$R$63:$T$91,3,FALSE)+VLOOKUP("CP",$R$63:$T$91,3,FALSE),0)+IF(AND($U31&lt;&gt;"",$U31&lt;&gt;"--",$U31&lt;&gt;"O3/CP",$U$14=F$18),IF(LEFT($U31,1)="P",VLOOKUP(CONCATENATE(LEFT($U31,2),"H"),$R$63:$T$91,3,FALSE),VLOOKUP($U31,$R$63:$T$91,3,FALSE)))+IF(AND($U31&lt;&gt;"",$U31&lt;&gt;"O3/CP",$U$15=F$18,MID($U31,4,1)="2",$U$15&lt;&gt;$U$14),VLOOKUP(CONCATENATE(LEFT($U31,2),"L"),$R$63:$T$91,3,FALSE),0)+IF(AND($U31="O3/CP",$T$14=F$18),VLOOKUP("O3",$R$63:$T$91,3,FALSE)+VLOOKUP("CP",$R$63:$T$91,3,FALSE),0)+IF(AND($V31&lt;&gt;"",$V31&lt;&gt;"--",$V31&lt;&gt;"O3/CP",$V$14=F$18),IF(LEFT($V31,1)="P",VLOOKUP(CONCATENATE(LEFT($V31,2),"H"),$R$63:$T$91,3,FALSE),VLOOKUP($V31,$R$63:$T$91,3,FALSE)))+IF(AND($V31&lt;&gt;"",$V31&lt;&gt;"O3/CP",$V$15=F$18,MID($V31,4,1)="2",$V$15&lt;&gt;$V$14),VLOOKUP(CONCATENATE(LEFT($V31,2),"L"),$R$63:$T$91,3,FALSE),0)+IF(AND($V31="O3/CP",$V$14=F$18),VLOOKUP("O3",$R$63:$T$91,3,FALSE)+VLOOKUP("CP",$R$63:$T$91,3,FALSE),0)+IF(AND($W31&lt;&gt;"",$W31&lt;&gt;"--",$W31&lt;&gt;"O3/CP",$W$14=F$18),IF(LEFT($W31,1)="P",VLOOKUP(CONCATENATE(LEFT($W31,2),"H"),$R$63:$T$91,3,FALSE),VLOOKUP($W31,$R$63:$T$91,3,FALSE)))+IF(AND($W31&lt;&gt;"",$W31&lt;&gt;"O3/CP",$W$15=F$18,MID($W31,4,1)="2",$W$15&lt;&gt;$W$14),VLOOKUP(CONCATENATE(LEFT($W31,2),"L"),$R$63:$T$91,3,FALSE),0)+IF(AND($W31="O3/CP",$W$14=F$18),VLOOKUP("O3",$R$63:$T$91,3,FALSE)+VLOOKUP("CP",$R$63:$T$91,3,FALSE),0)+IF(AND($X31&lt;&gt;"",$X31&lt;&gt;"--",$X31&lt;&gt;"O3/CP",$X$14=F$18),IF(LEFT($X31,1)="P",VLOOKUP(CONCATENATE(LEFT($X31,2),"H"),$R$63:$T$91,3,FALSE),VLOOKUP($X31,$R$63:$T$91,3,FALSE)))+IF(AND($X31&lt;&gt;"",$X31&lt;&gt;"O3/CP",$X$15=F$18,MID($X31,4,1)="2",$X$15&lt;&gt;$X$14),VLOOKUP(CONCATENATE(LEFT($X31,2),"L"),$R$63:$T$91,3,FALSE),0)+IF(AND($X31="O3/CP",$X$14=F$18),VLOOKUP("O3",$R$63:$T$91,3,FALSE)+VLOOKUP("CP",$R$63:$T$91,3,FALSE),0)+IF(AND($Y31&lt;&gt;"",$Y31&lt;&gt;"--",$Y31&lt;&gt;"O3/CP",$Y$14=F$18),IF(LEFT($Y31,1)="P",VLOOKUP(CONCATENATE(LEFT($Y31,2),"H"),$R$63:$T$91,3,FALSE),VLOOKUP($Y31,$R$63:$T$91,3,FALSE)))+IF(AND($Y31&lt;&gt;"",$Y31&lt;&gt;"O3/CP",$Y$15=F$18,MID($Y31,4,1)="2",$Y$15&lt;&gt;$Y$14),VLOOKUP(CONCATENATE(LEFT($Y31,2),"L"),$R$63:$T$91,3,FALSE),0)+IF(AND($Y31="O3/CP",$Y$14=F$18),VLOOKUP("O3",$R$63:$T$91,3,FALSE)+VLOOKUP("CP",$R$63:$T$91,3,FALSE),0)+IF(AND($K$6="CE",'[3]Supply Attribution'!$G$20=F$18),LEFT($S$90,2),0)+IF(AND($X$86&lt;&gt;"Not Set",$X$87=F$18),$X$86,0)</f>
        <v>0</v>
      </c>
      <c r="G31" s="271">
        <f>IF(AND($K$6="CE",$T$59="1 Phase"),SUM(A31:F31)-IF(AND($K$14&lt;&gt;$K$15,RIGHT($K31,3)="2SP"),VLOOKUP(CONCATENATE(LEFT($K31,2),"L"),$R$63:$T$90,3,FALSE),0)-IF(AND($L$14&lt;&gt;$L$15,RIGHT($L31,3)="2SP"),VLOOKUP(CONCATENATE(LEFT($L31,2),"L"),$R$63:$T$90,3,FALSE),0)-IF(AND($M$14&lt;&gt;$M$15,RIGHT($M31,3)="2SP"),VLOOKUP(CONCATENATE(LEFT($M31,2),"L"),$R$63:$T$90,3,FALSE),0)-IF(AND($N$14&lt;&gt;$N$15,RIGHT($N31,3)="2SP"),VLOOKUP(CONCATENATE(LEFT($N31,2),"L"),$R$63:$T$90,3,FALSE),0)-IF(AND($O$14&lt;&gt;$O$15,RIGHT($O31,3)="2SP"),VLOOKUP(CONCATENATE(LEFT($O31,2),"L"),$R$63:$T$90,3,FALSE),0)-IF(AND($P$14&lt;&gt;$P$15,RIGHT($P31,3)="2SP"),VLOOKUP(CONCATENATE(LEFT($P31,2),"L"),$R$63:$T$90,3,FALSE),0)-IF(AND($Q$14&lt;&gt;$Q$15,RIGHT($Q31,3)="2SP"),VLOOKUP(CONCATENATE(LEFT($Q31,2),"L"),$R$63:$T$90,3,FALSE),0)-IF(AND($R$14&lt;&gt;$R$15,RIGHT($T31,3)="2SP"),VLOOKUP(CONCATENATE(LEFT($R31,2),"L"),$R$63:$T$90,3,FALSE),0)-IF(AND($S$14&lt;&gt;$S$15,RIGHT($T31,3)="2SP"),VLOOKUP(CONCATENATE(LEFT($S31,2),"L"),$R$63:$T$90,3,FALSE),0)-IF(AND($T$14&lt;&gt;$T$15,RIGHT($T31,3)="2SP"),VLOOKUP(CONCATENATE(LEFT($T31,2),"L"),$R$63:$T$90,3,FALSE),0)-IF(AND($U$14&lt;&gt;$U$15,RIGHT($U31,3)="2SP"),VLOOKUP(CONCATENATE(LEFT($U31,2),"L"),$R$63:$T$90,3,FALSE),0)-IF(AND($V$14&lt;&gt;$V$15,RIGHT($V31,3)="2SP"),VLOOKUP(CONCATENATE(LEFT($V31,2),"L"),$R$63:$T$90,3,FALSE),0)-IF(AND($W$14&lt;&gt;$W$15,RIGHT($W31,3)="2SP"),VLOOKUP(CONCATENATE(LEFT($W31,2),"L"),$R$63:$T$90,3,FALSE),0)-IF(AND($X$14&lt;&gt;$X$15,RIGHT($X31,3)="2SP"),VLOOKUP(CONCATENATE(LEFT($X31,2),"L"),$R$63:$T$90,3,FALSE),0)-IF(AND($Y$14&lt;&gt;$Y$15,RIGHT($Y31,3)="2SP"),VLOOKUP(CONCATENATE(LEFT($Y31,2),"L"),$R$63:$T$90,3,FALSE),0),IF(VLOOKUP(CONCATENATE($A$18,"Line"),'[3]Supply Attribution'!$F$31:$G$37,2,FALSE)=G$18,$A31,0)+IF(VLOOKUP(CONCATENATE($B$18,"Line"),'[3]Supply Attribution'!$F$31:$G$37,2,FALSE)=G$18,$B31,0)+IF(VLOOKUP(CONCATENATE($C$18,"Line"),'[3]Supply Attribution'!$F$31:$G$37,2,FALSE)=G$18,$C31,0)+IF(VLOOKUP(CONCATENATE($D$18,"Line"),'[3]Supply Attribution'!$F$31:$G$37,2,FALSE)=G$18,$D31,0)+IF(VLOOKUP(CONCATENATE($E$18,"Line"),'[3]Supply Attribution'!$F$31:$G$37,2,FALSE)=G$18,$E31,0)+IF(VLOOKUP(CONCATENATE($F$18,"Line"),'[3]Supply Attribution'!$F$31:$G$37,2,FALSE)=G$18,$F31,0)+IF($K$6="UL",LEFT($S$90,2),0)-IF(AND($K$16=G$18,$K$14&lt;&gt;$K$15,$K$16=$K$17,RIGHT($K31,3)="2SP"),VLOOKUP(CONCATENATE(LEFT($K31,2),"L"),$R$63:$T$90,3,FALSE),0)-IF(AND($L$16=G$18,$L$14&lt;&gt;$L$15,$L$16=$L$17,RIGHT($L31,3)="2SP"),VLOOKUP(CONCATENATE(LEFT($L31,2),"L"),$R$63:$T$90,3,FALSE),0)-IF(AND($M$16=G$18,$M$14&lt;&gt;$M$15,$M$16=$M$17,RIGHT($M31,3)="2SP"),VLOOKUP(CONCATENATE(LEFT($M31,2),"L"),$R$63:$T$90,3,FALSE),0)-IF(AND($N$16=G$18,$N$14&lt;&gt;$N$15,$N$16=$N$17,RIGHT($N31,3)="2SP"),VLOOKUP(CONCATENATE(LEFT($N31,2),"L"),$R$63:$T$90,3,FALSE),0)-IF(AND($O$16=G$18,$O$14&lt;&gt;$O$15,$O$16=$O$17,RIGHT($O31,3)="2SP"),VLOOKUP(CONCATENATE(LEFT($O31,2),"L"),$R$63:$T$90,3,FALSE),0)-IF(AND($P$16=G$18,$P$14&lt;&gt;$P$15,$P$16=$P$17,RIGHT($P31,3)="2SP"),VLOOKUP(CONCATENATE(LEFT($P31,2),"L"),$R$63:$T$90,3,FALSE),0)-IF(AND($Q$16=G$18,$Q$14&lt;&gt;$Q$15,$Q$16=$Q$17,RIGHT($Q31,3)="2SP"),VLOOKUP(CONCATENATE(LEFT($Q31,2),"L"),$R$63:$T$90,3,FALSE),0)-IF(AND($R$16=G$18,$R$14&lt;&gt;$R$15,$R$16=$R$17,RIGHT($R31,3)="2SP"),VLOOKUP(CONCATENATE(LEFT($R31,2),"L"),$R$63:$T$90,3,FALSE),0)-IF(AND($S$16=G$18,$S$14&lt;&gt;$S$15,$S$16=$S$17,RIGHT($S31,3)="2SP"),VLOOKUP(CONCATENATE(LEFT($S31,2),"L"),$R$63:$T$90,3,FALSE),0)-IF(AND($T$16=G$18,$T$14&lt;&gt;$T$15,$T$16=$T$17,RIGHT($T31,3)="2SP"),VLOOKUP(CONCATENATE(LEFT($T31,2),"L"),$R$63:$T$90,3,FALSE),0)-IF(AND($U$16=G$18,$U$14&lt;&gt;$U$15,$U$16=$U$17,RIGHT($U31,3)="2SP"),VLOOKUP(CONCATENATE(LEFT($U31,2),"L"),$R$63:$T$90,3,FALSE),0)-IF(AND($V$16=G$18,$V$14&lt;&gt;$V$15,$V$16=$V$17,RIGHT($V31,3)="2SP"),VLOOKUP(CONCATENATE(LEFT($V31,2),"L"),$R$63:$T$90,3,FALSE),0)-IF(AND($W$16=G$18,$W$14&lt;&gt;$W$15,$W$16=$W$17,RIGHT($W31,3)="2SP"),VLOOKUP(CONCATENATE(LEFT($W31,2),"L"),$R$63:$T$90,3,FALSE),0)-IF(AND($X$16=G$18,$X$14&lt;&gt;$X$15,$X$16=$X$17,RIGHT($X31,3)="2SP"),VLOOKUP(CONCATENATE(LEFT($X31,2),"L"),$R$63:$T$90,3,FALSE),0)-IF(AND($Y$16=G$18,$Y$14&lt;&gt;$Y$15,$Y$16=$Y$17,RIGHT($Y31,3)="2SP"),VLOOKUP(CONCATENATE(LEFT($Y31,2),"L"),$R$63:$T$90,3,FALSE),0))</f>
        <v>17</v>
      </c>
      <c r="H31" s="271" t="str">
        <f>IF(H$18&lt;&gt;"",IF(VLOOKUP(CONCATENATE($A$18,"Line"),'Supply Attribution'!$F$31:$G$37,2,FALSE)=H$18,$A31,0)+IF(VLOOKUP(CONCATENATE($B$18,"Line"),'Supply Attribution'!$F$31:$G$37,2,FALSE)=H$18,$B31,0)+IF(VLOOKUP(CONCATENATE($C$18,"Line"),'Supply Attribution'!$F$31:$G$37,2,FALSE)=H$18,$C31,0)+IF(VLOOKUP(CONCATENATE($D$18,"Line"),'Supply Attribution'!$F$31:$G$37,2,FALSE)=H$18,$D31,0)+IF(VLOOKUP(CONCATENATE($E$18,"Line"),'Supply Attribution'!$F$31:$G$37,2,FALSE)=H$18,$E31,0)+IF(VLOOKUP(CONCATENATE($F$18,"Line"),'Supply Attribution'!$F$31:$G$37,2,FALSE)=H$18,$F31,0)+IF($K$6="UL",LEFT($S$90,2),0)-IF(AND($K$16=H$18,$K$14&lt;&gt;$K$15,$K$16=$K$17,RIGHT($K31,3)="2SP"),VLOOKUP(CONCATENATE(LEFT($K31,2),"L"),$R$63:$T$90,3,FALSE),0)-IF(AND($L$16=H$18,$L$14&lt;&gt;$L$15,$L$16=$L$17,RIGHT($L31,3)="2SP"),VLOOKUP(CONCATENATE(LEFT($L31,2),"L"),$R$63:$T$90,3,FALSE),0)-IF(AND($M$16=H$18,$M$14&lt;&gt;$M$15,$M$16=$M$17,RIGHT($M31,3)="2SP"),VLOOKUP(CONCATENATE(LEFT($M31,2),"L"),$R$63:$T$90,3,FALSE),0)-IF(AND($N$16=H$18,$N$14&lt;&gt;$N$15,$N$16=$N$17,RIGHT($N31,3)="2SP"),VLOOKUP(CONCATENATE(LEFT($N31,2),"L"),$R$63:$T$90,3,FALSE),0)-IF(AND($O$16=H$18,$O$14&lt;&gt;$O$15,$O$16=$O$17,RIGHT($O31,3)="2SP"),VLOOKUP(CONCATENATE(LEFT($O31,2),"L"),$R$63:$T$90,3,FALSE),0)-IF(AND($P$16=H$18,$P$14&lt;&gt;$P$15,$P$16=$P$17,RIGHT($P31,3)="2SP"),VLOOKUP(CONCATENATE(LEFT($P31,2),"L"),$R$63:$T$90,3,FALSE),0)-IF(AND($Q$16=H$18,$Q$14&lt;&gt;$Q$15,$Q$16=$Q$17,RIGHT($Q31,3)="2SP"),VLOOKUP(CONCATENATE(LEFT($Q31,2),"L"),$R$63:$T$90,3,FALSE),0)-IF(AND($T$16=H$18,$T$14&lt;&gt;$T$15,$T$16=$T$17,RIGHT($T31,3)="2SP"),VLOOKUP(CONCATENATE(LEFT($T31,2),"L"),$R$63:$T$90,3,FALSE),0)-IF(AND($U$16=H$18,$U$14&lt;&gt;$U$15,$U$16=$U$17,RIGHT($U31,3)="2SP"),VLOOKUP(CONCATENATE(LEFT($U31,2),"L"),$R$63:$T$90,3,FALSE),0)-IF(AND($V$16=H$18,$V$14&lt;&gt;$V$15,$V$16=$V$17,RIGHT($V31,3)="2SP"),VLOOKUP(CONCATENATE(LEFT($V31,2),"L"),$R$63:$T$90,3,FALSE),0)-IF(AND($W$16=H$18,$W$14&lt;&gt;$W$15,$W$16=$W$17,RIGHT($W31,3)="2SP"),VLOOKUP(CONCATENATE(LEFT($W31,2),"L"),$R$63:$T$90,3,FALSE),0)-IF(AND($X$16=H$18,$X$14&lt;&gt;$X$15,$X$16=$X$17,RIGHT($X31,3)="2SP"),VLOOKUP(CONCATENATE(LEFT($X31,2),"L"),$R$63:$T$90,3,FALSE),0)-IF(AND($Y$16=H$18,$Y$14&lt;&gt;$Y$15,$Y$16=$Y$17,RIGHT($Y31,3)="2SP"),VLOOKUP(CONCATENATE(LEFT($Y31,2),"L"),$R$63:$T$90,3,FALSE),0)+IF(AND($K$6="CE",$T$59="2 Phases",H$18&lt;&gt;""),IF(VLOOKUP(CONCATENATE($A$18,"Line"),'Supply Attribution'!$F$31:$G$37,2,FALSE)="Line3",$A31,0)+IF(VLOOKUP(CONCATENATE($B$18,"Line"),'Supply Attribution'!$F$31:$G$37,2,FALSE)="Line3",$B31,0)+IF(VLOOKUP(CONCATENATE($C$18,"Line"),'Supply Attribution'!$F$31:$G$37,2,FALSE)="Line3",$C31,0)+IF(VLOOKUP(CONCATENATE($D$18,"Line"),'Supply Attribution'!$F$31:$G$37,2,FALSE)="Line3",$D31,0)+IF(VLOOKUP(CONCATENATE($E$18,"Line"),'Supply Attribution'!$F$31:$G$37,2,FALSE)="Line3",$E31,0)+IF(VLOOKUP(CONCATENATE($F$18,"Line"),'Supply Attribution'!$F$31:$G$37,2,FALSE)="Line3",$F31,0)-IF(AND($K$16=I$18,$K$14&lt;&gt;$K$15,$K$16=$K$17,RIGHT($K31,3)="2SP"),VLOOKUP(CONCATENATE(LEFT($K31,2),"L"),$R$63:$T$90,3,FALSE),0)-IF(AND($L$16=I$18,$L$14&lt;&gt;$L$15,$L$16=$L$17,RIGHT($L31,3)="2SP"),VLOOKUP(CONCATENATE(LEFT($L31,2),"L"),$R$63:$T$90,3,FALSE),0)-IF(AND($M$16=I$18,$M$14&lt;&gt;$M$15,$M$16=$M$17,RIGHT($M31,3)="2SP"),VLOOKUP(CONCATENATE(LEFT($M31,2),"L"),$R$63:$T$90,3,FALSE),0)-IF(AND($N$16=I$18,$N$14&lt;&gt;$N$15,$N$16=$N$17,RIGHT($N31,3)="2SP"),VLOOKUP(CONCATENATE(LEFT($N31,2),"L"),$R$63:$T$90,3,FALSE),0)-IF(AND($O$16=I$18,$O$14&lt;&gt;$O$15,$O$16=$O$17,RIGHT($O31,3)="2SP"),VLOOKUP(CONCATENATE(LEFT($O31,2),"L"),$R$63:$T$90,3,FALSE),0)-IF(AND($P$16=I$18,$P$14&lt;&gt;$P$15,$P$16=$P$17,RIGHT($P31,3)="2SP"),VLOOKUP(CONCATENATE(LEFT($P31,2),"L"),$R$63:$T$90,3,FALSE),0)-IF(AND($Q$16=I$18,$Q$14&lt;&gt;$Q$15,$Q$16=$Q$17,RIGHT($Q31,3)="2SP"),VLOOKUP(CONCATENATE(LEFT($Q31,2),"L"),$R$63:$T$90,3,FALSE),0)-IF(AND($T$16=I$18,$T$14&lt;&gt;$T$15,$T$16=$T$17,RIGHT($T31,3)="2SP"),VLOOKUP(CONCATENATE(LEFT($T31,2),"L"),$R$63:$T$90,3,FALSE),0)-IF(AND($U$16=I$18,$U$14&lt;&gt;$U$15,$U$16=$U$17,RIGHT($U31,3)="2SP"),VLOOKUP(CONCATENATE(LEFT($U31,2),"L"),$R$63:$T$90,3,FALSE),0)-IF(AND($V$16=I$18,$V$14&lt;&gt;$V$15,$V$16=$V$17,RIGHT($V31,3)="2SP"),VLOOKUP(CONCATENATE(LEFT($V31,2),"L"),$R$63:$T$90,3,FALSE),0)-IF(AND($W$16=I$18,$W$14&lt;&gt;$W$15,$W$16=$W$17,RIGHT($W31,3)="2SP"),VLOOKUP(CONCATENATE(LEFT($W31,2),"L"),$R$63:$T$90,3,FALSE),0)-IF(AND($X$16=I$18,$X$14&lt;&gt;$X$15,$X$16=$X$17,RIGHT($X31,3)="2SP"),VLOOKUP(CONCATENATE(LEFT($X31,2),"L"),$R$63:$T$90,3,FALSE),0)-IF(AND($Y$16=I$18,$Y$14&lt;&gt;$Y$15,$Y$16=$Y$17,RIGHT($Y31,3)="2SP"),VLOOKUP(CONCATENATE(LEFT($Y31,2),"L"),$R$63:$T$90,3,FALSE),0),0),"")</f>
        <v/>
      </c>
      <c r="I31" s="271" t="str">
        <f>IF(I$18&lt;&gt;"",IF(VLOOKUP(CONCATENATE($A$18,"Line"),'Supply Attribution'!$F$31:$G$37,2,FALSE)=I$18,$A31,0)+IF(VLOOKUP(CONCATENATE($B$18,"Line"),'Supply Attribution'!$F$31:$G$37,2,FALSE)=I$18,$B31,0)+IF(VLOOKUP(CONCATENATE($C$18,"Line"),'Supply Attribution'!$F$31:$G$37,2,FALSE)=I$18,$C31,0)+IF(VLOOKUP(CONCATENATE($D$18,"Line"),'Supply Attribution'!$F$31:$G$37,2,FALSE)=I$18,$D31,0)+IF(VLOOKUP(CONCATENATE($E$18,"Line"),'Supply Attribution'!$F$31:$G$37,2,FALSE)=I$18,$E31,0)+IF(VLOOKUP(CONCATENATE($F$18,"Line"),'Supply Attribution'!$F$31:$G$37,2,FALSE)=I$18,$F31,0)+IF($K$6="UL",LEFT($S$90,2),0)-IF(AND($K$16=I$18,$K$14&lt;&gt;$K$15,$K$16=$K$17,RIGHT($K31,3)="2SP"),VLOOKUP(CONCATENATE(LEFT($K31,2),"L"),$R$63:$T$90,3,FALSE),0)-IF(AND($L$16=I$18,$L$14&lt;&gt;$L$15,$L$16=$L$17,RIGHT($L31,3)="2SP"),VLOOKUP(CONCATENATE(LEFT($L31,2),"L"),$R$63:$T$90,3,FALSE),0)-IF(AND($M$16=I$18,$M$14&lt;&gt;$M$15,$M$16=$M$17,RIGHT($M31,3)="2SP"),VLOOKUP(CONCATENATE(LEFT($M31,2),"L"),$R$63:$T$90,3,FALSE),0)-IF(AND($N$16=I$18,$N$14&lt;&gt;$N$15,$N$16=$N$17,RIGHT($N31,3)="2SP"),VLOOKUP(CONCATENATE(LEFT($N31,2),"L"),$R$63:$T$90,3,FALSE),0)-IF(AND($O$16=I$18,$O$14&lt;&gt;$O$15,$O$16=$O$17,RIGHT($O31,3)="2SP"),VLOOKUP(CONCATENATE(LEFT($O31,2),"L"),$R$63:$T$90,3,FALSE),0)-IF(AND($P$16=I$18,$P$14&lt;&gt;$P$15,$P$16=$P$17,RIGHT($P31,3)="2SP"),VLOOKUP(CONCATENATE(LEFT($P31,2),"L"),$R$63:$T$90,3,FALSE),0)-IF(AND($Q$16=I$18,$Q$14&lt;&gt;$Q$15,$Q$16=$Q$17,RIGHT($Q31,3)="2SP"),VLOOKUP(CONCATENATE(LEFT($Q31,2),"L"),$R$63:$T$90,3,FALSE),0)-IF(AND($T$16=I$18,$T$14&lt;&gt;$T$15,$T$16=$T$17,RIGHT($T31,3)="2SP"),VLOOKUP(CONCATENATE(LEFT($T31,2),"L"),$R$63:$T$90,3,FALSE),0)-IF(AND($U$16=I$18,$U$14&lt;&gt;$U$15,$U$16=$U$17,RIGHT($U31,3)="2SP"),VLOOKUP(CONCATENATE(LEFT($U31,2),"L"),$R$63:$T$90,3,FALSE),0)-IF(AND($V$16=I$18,$V$14&lt;&gt;$V$15,$V$16=$V$17,RIGHT($V31,3)="2SP"),VLOOKUP(CONCATENATE(LEFT($V31,2),"L"),$R$63:$T$90,3,FALSE),0)-IF(AND($W$16=I$18,$W$14&lt;&gt;$W$15,$W$16=$W$17,RIGHT($W31,3)="2SP"),VLOOKUP(CONCATENATE(LEFT($W31,2),"L"),$R$63:$T$90,3,FALSE),0)-IF(AND($X$16=I$18,$X$14&lt;&gt;$X$15,$X$16=$X$17,RIGHT($X31,3)="2SP"),VLOOKUP(CONCATENATE(LEFT($X31,2),"L"),$R$63:$T$90,3,FALSE),0)-IF(AND($Y$16=I$18,$Y$14&lt;&gt;$Y$15,$Y$16=$Y$17,RIGHT($Y31,3)="2SP"),VLOOKUP(CONCATENATE(LEFT($Y31,2),"L"),$R$63:$T$90,3,FALSE),0),"")</f>
        <v/>
      </c>
      <c r="J31" s="129"/>
      <c r="K31" s="130"/>
      <c r="L31" s="130"/>
      <c r="M31" s="130"/>
      <c r="N31" s="130"/>
      <c r="O31" s="130"/>
      <c r="P31" s="130"/>
      <c r="Q31" s="130"/>
      <c r="R31" s="130"/>
      <c r="S31" s="130"/>
      <c r="T31" s="130"/>
      <c r="U31" s="130"/>
      <c r="V31" s="130"/>
      <c r="W31" s="130"/>
      <c r="X31" s="130"/>
      <c r="Y31" s="130"/>
      <c r="Z31" s="131"/>
      <c r="AA31" s="131"/>
      <c r="AB31" s="132"/>
      <c r="AC31" s="132"/>
      <c r="AD31" s="132"/>
      <c r="AE31" s="133">
        <f t="shared" si="0"/>
        <v>0</v>
      </c>
      <c r="AF31" s="78"/>
    </row>
    <row r="32" spans="1:32" ht="13.15" customHeight="1">
      <c r="A32" s="270">
        <f>IF(AND($K32&lt;&gt;"",$K32&lt;&gt;"--",$K32&lt;&gt;"O3/CP",$K$14=A$18),IF(LEFT($K32,1)="P",VLOOKUP(CONCATENATE(LEFT($K32,2),"H"),$R$63:$T$91,3,FALSE),VLOOKUP($K32,$R$63:$T$91,3,FALSE)))+IF(AND($K32&lt;&gt;"",$K32&lt;&gt;"O3/CP",$K$15=A$18,MID($K32,4,1)="2",$K$15&lt;&gt;$K$14),VLOOKUP(CONCATENATE(LEFT($K32,2),"L"),$R$63:$T$91,3,FALSE),0)+IF(AND($K32="O3/CP",$K$14=A$18),VLOOKUP("O3",$R$63:$T$91,3,FALSE)+VLOOKUP("CP",$R$63:$T$91,3,FALSE),0)+IF(AND($L32&lt;&gt;"",$L32&lt;&gt;"--",$L32&lt;&gt;"O3/CP",$L$14=A$18),IF(LEFT($L32,1)="P",VLOOKUP(CONCATENATE(LEFT($L32,2),"H"),$R$63:$T$91,3,FALSE),VLOOKUP($L32,$R$63:$T$91,3,FALSE)))+IF(AND($L32&lt;&gt;"",$L32&lt;&gt;"O3/CP",$L$15=A$18,MID($L32,4,1)="2",$L$15&lt;&gt;$L$14),VLOOKUP(CONCATENATE(LEFT($L32,2),"L"),$R$63:$T$91,3,FALSE),0)+IF(AND($L32="O3/CP",$L$14=A$18),VLOOKUP("O3",$R$63:$T$91,3,FALSE)+VLOOKUP("CP",$R$63:$T$91,3,FALSE),0)+IF(AND($M32&lt;&gt;"",$M32&lt;&gt;"--",$M32&lt;&gt;"O3/CP",$M$14=A$18),IF(LEFT($M32,1)="P",VLOOKUP(CONCATENATE(LEFT($M32,2),"H"),$R$63:$T$91,3,FALSE),VLOOKUP($M32,$R$63:$T$91,3,FALSE)))+IF(AND($M32&lt;&gt;"",$M32&lt;&gt;"O3/CP",$M$15=A$18,MID($M32,4,1)="2",$M$15&lt;&gt;$M$14),VLOOKUP(CONCATENATE(LEFT($M32,2),"L"),$R$63:$T$91,3,FALSE),0)+IF(AND($M32="O3/CP",$M$14=A$18),VLOOKUP("O3",$R$63:$T$91,3,FALSE)+VLOOKUP("CP",$R$63:$T$91,3,FALSE),0)+IF(AND($N32&lt;&gt;"",$N32&lt;&gt;"--",$N32&lt;&gt;"O3/CP",$N$14=A$18),IF(LEFT($N32,1)="P",VLOOKUP(CONCATENATE(LEFT($N32,2),"H"),$R$63:$T$91,3,FALSE),VLOOKUP($N32,$R$63:$T$91,3,FALSE)))+IF(AND($N32&lt;&gt;"",$N32&lt;&gt;"O3/CP",$N$15=A$18,MID($N32,4,1)="2",$N$15&lt;&gt;$N$14),VLOOKUP(CONCATENATE(LEFT($N32,2),"L"),$R$63:$T$91,3,FALSE),0)+IF(AND($N32="O3/CP",$N$14=A$18),VLOOKUP("O3",$R$63:$T$91,3,FALSE)+VLOOKUP("CP",$R$63:$T$91,3,FALSE),0)+IF(AND($O32&lt;&gt;"",$O32&lt;&gt;"--",$O32&lt;&gt;"O3/CP",$O$14=A$18),IF(LEFT($O32,1)="P",VLOOKUP(CONCATENATE(LEFT($O32,2),"H"),$R$63:$T$91,3,FALSE),VLOOKUP($O32,$R$63:$T$91,3,FALSE)))+IF(AND($O32&lt;&gt;"",$O32&lt;&gt;"O3/CP",$O$15=A$18,MID($O32,4,1)="2",$O$15&lt;&gt;$O$14),VLOOKUP(CONCATENATE(LEFT($O32,2),"L"),$R$63:$T$91,3,FALSE),0)+IF(AND($O32="O3/CP",$O$14=A$18),VLOOKUP("O3",$R$63:$T$91,3,FALSE)+VLOOKUP("CP",$R$63:$T$91,3,FALSE),0)+IF(AND($P32&lt;&gt;"",$P32&lt;&gt;"--",$P32&lt;&gt;"O3/CP",$P$14=A$18),IF(LEFT($P32,1)="P",VLOOKUP(CONCATENATE(LEFT($P32,2),"H"),$R$63:$T$91,3,FALSE),VLOOKUP($P32,$R$63:$T$91,3,FALSE)))+IF(AND($P32&lt;&gt;"",$P32&lt;&gt;"O3/CP",$P$15=A$18,MID($P32,4,1)="2",$P$15&lt;&gt;$P$14),VLOOKUP(CONCATENATE(LEFT($P32,2),"L"),$R$63:$T$91,3,FALSE),0)+IF(AND($P32="O3/CP",$P$14=A$18),VLOOKUP("O3",$R$63:$T$91,3,FALSE)+VLOOKUP("CP",$R$63:$T$91,3,FALSE),0)+IF(AND($Q32&lt;&gt;"",$Q32&lt;&gt;"--",$Q32&lt;&gt;"O3/CP",$Q$14=A$18),IF(LEFT($Q32,1)="P",VLOOKUP(CONCATENATE(LEFT($Q32,2),"H"),$R$63:$T$91,3,FALSE),VLOOKUP($Q32,$R$63:$T$91,3,FALSE)))+IF(AND($Q32&lt;&gt;"",$Q32&lt;&gt;"O3/CP",$Q$15=A$18,MID($Q32,4,1)="2",$Q$15&lt;&gt;$Q$14),VLOOKUP(CONCATENATE(LEFT($Q32,2),"L"),$R$63:$T$91,3,FALSE),0)+IF(AND($Q32="O3/CP",$Q$14=A$18),VLOOKUP("O3",$R$63:$T$91,3,FALSE)+VLOOKUP("CP",$R$63:$T$91,3,FALSE),0)+IF(AND($R32&lt;&gt;"",$R32&lt;&gt;"--",$R32&lt;&gt;"O3/CP",$R$14=A$18),IF(LEFT($R32,1)="P",VLOOKUP(CONCATENATE(LEFT($R32,2),"H"),$R$63:$T$91,3,FALSE),VLOOKUP($R32,$R$63:$T$91,3,FALSE)))+IF(AND($R32&lt;&gt;"",$R32&lt;&gt;"O3/CP",$R$15=A$18,MID($R32,4,1)="2",$R$15&lt;&gt;$R$14),VLOOKUP(CONCATENATE(LEFT($R32,2),"L"),$R$63:$T$91,3,FALSE),0)+IF(AND($R32="O3/CP",$R$14=A$18),VLOOKUP("O3",$R$63:$T$91,3,FALSE)+VLOOKUP("CP",$R$63:$T$91,3,FALSE),0)+IF(AND($S32&lt;&gt;"",$S32&lt;&gt;"--",$S32&lt;&gt;"O3/CP",$S$14=A$18),IF(LEFT($S32,1)="P",VLOOKUP(CONCATENATE(LEFT($S32,2),"H"),$R$63:$T$91,3,FALSE),VLOOKUP($S32,$R$63:$T$91,3,FALSE)))+IF(AND($S32&lt;&gt;"",$S32&lt;&gt;"O3/CP",$S$15=A$18,MID($S32,4,1)="2",$S$15&lt;&gt;$S$14),VLOOKUP(CONCATENATE(LEFT($S32,2),"L"),$R$63:$T$91,3,FALSE),0)+IF(AND($S32="O3/CP",$S$14=A$18),VLOOKUP("O3",$R$63:$T$91,3,FALSE)+VLOOKUP("CP",$R$63:$T$91,3,FALSE),0)+IF(AND($T32&lt;&gt;"",$T32&lt;&gt;"--",$T32&lt;&gt;"O3/CP",$T$14=A$18),IF(LEFT($T32,1)="P",VLOOKUP(CONCATENATE(LEFT($T32,2),"H"),$R$63:$T$91,3,FALSE),VLOOKUP($T32,$R$63:$T$91,3,FALSE)))+IF(AND($T32&lt;&gt;"",$T32&lt;&gt;"O3/CP",$T$15=A$18,MID($T32,4,1)="2",$T$15&lt;&gt;$T$14),VLOOKUP(CONCATENATE(LEFT($T32,2),"L"),$R$63:$T$91,3,FALSE),0)+IF(AND($T32="O3/CP",$T$14=A$18),VLOOKUP("O3",$R$63:$T$91,3,FALSE)+VLOOKUP("CP",$R$63:$T$91,3,FALSE),0)+IF(AND($U32&lt;&gt;"",$U32&lt;&gt;"--",$U32&lt;&gt;"O3/CP",$U$14=A$18),IF(LEFT($U32,1)="P",VLOOKUP(CONCATENATE(LEFT($U32,2),"H"),$R$63:$T$91,3,FALSE),VLOOKUP($U32,$R$63:$T$91,3,FALSE)))+IF(AND($U32&lt;&gt;"",$U32&lt;&gt;"O3/CP",$U$15=A$18,MID($U32,4,1)="2",$U$15&lt;&gt;$U$14),VLOOKUP(CONCATENATE(LEFT($U32,2),"L"),$R$63:$T$91,3,FALSE),0)+IF(AND($U32="O3/CP",$T$14=A$18),VLOOKUP("O3",$R$63:$T$91,3,FALSE)+VLOOKUP("CP",$R$63:$T$91,3,FALSE),0)+IF(AND($V32&lt;&gt;"",$V32&lt;&gt;"--",$V32&lt;&gt;"O3/CP",$V$14=A$18),IF(LEFT($V32,1)="P",VLOOKUP(CONCATENATE(LEFT($V32,2),"H"),$R$63:$T$91,3,FALSE),VLOOKUP($V32,$R$63:$T$91,3,FALSE)))+IF(AND($V32&lt;&gt;"",$V32&lt;&gt;"O3/CP",$V$15=A$18,MID($V32,4,1)="2",$V$15&lt;&gt;$V$14),VLOOKUP(CONCATENATE(LEFT($V32,2),"L"),$R$63:$T$91,3,FALSE),0)+IF(AND($V32="O3/CP",$V$14=A$18),VLOOKUP("O3",$R$63:$T$91,3,FALSE)+VLOOKUP("CP",$R$63:$T$91,3,FALSE),0)+IF(AND($W32&lt;&gt;"",$W32&lt;&gt;"--",$W32&lt;&gt;"O3/CP",$W$14=A$18),IF(LEFT($W32,1)="P",VLOOKUP(CONCATENATE(LEFT($W32,2),"H"),$R$63:$T$91,3,FALSE),VLOOKUP($W32,$R$63:$T$91,3,FALSE)))+IF(AND($W32&lt;&gt;"",$W32&lt;&gt;"O3/CP",$W$15=A$18,MID($W32,4,1)="2",$W$15&lt;&gt;$W$14),VLOOKUP(CONCATENATE(LEFT($W32,2),"L"),$R$63:$T$91,3,FALSE),0)+IF(AND($W32="O3/CP",$W$14=A$18),VLOOKUP("O3",$R$63:$T$91,3,FALSE)+VLOOKUP("CP",$R$63:$T$91,3,FALSE),0)+IF(AND($X32&lt;&gt;"",$X32&lt;&gt;"--",$X32&lt;&gt;"O3/CP",$X$14=A$18),IF(LEFT($X32,1)="P",VLOOKUP(CONCATENATE(LEFT($X32,2),"H"),$R$63:$T$91,3,FALSE),VLOOKUP($X32,$R$63:$T$91,3,FALSE)))+IF(AND($X32&lt;&gt;"",$X32&lt;&gt;"O3/CP",$X$15=A$18,MID($X32,4,1)="2",$X$15&lt;&gt;$X$14),VLOOKUP(CONCATENATE(LEFT($X32,2),"L"),$R$63:$T$91,3,FALSE),0)+IF(AND($X32="O3/CP",$X$14=A$18),VLOOKUP("O3",$R$63:$T$91,3,FALSE)+VLOOKUP("CP",$R$63:$T$91,3,FALSE),0)+IF(AND($Y32&lt;&gt;"",$Y32&lt;&gt;"--",$Y32&lt;&gt;"O3/CP",$Y$14=A$18),IF(LEFT($Y32,1)="P",VLOOKUP(CONCATENATE(LEFT($Y32,2),"H"),$R$63:$T$91,3,FALSE),VLOOKUP($Y32,$R$63:$T$91,3,FALSE)))+IF(AND($Y32&lt;&gt;"",$Y32&lt;&gt;"O3/CP",$Y$15=A$18,MID($Y32,4,1)="2",$Y$15&lt;&gt;$Y$14),VLOOKUP(CONCATENATE(LEFT($Y32,2),"L"),$R$63:$T$91,3,FALSE),0)+IF(AND($Y32="O3/CP",$Y$14=A$18),VLOOKUP("O3",$R$63:$T$91,3,FALSE)+VLOOKUP("CP",$R$63:$T$91,3,FALSE),0)+IF(AND($K$6="CE",'[3]Supply Attribution'!$G$20=A$18),LEFT($S$90,2),0)+IF(AND($X$86&lt;&gt;"Not Set",$X$87=A$18),$X$86,0)</f>
        <v>0</v>
      </c>
      <c r="B32" s="269">
        <f>IF(AND($K32&lt;&gt;"",$K32&lt;&gt;"--",$K32&lt;&gt;"O3/CP",$K$14=B$18),IF(LEFT($K32,1)="P",VLOOKUP(CONCATENATE(LEFT($K32,2),"H"),$R$63:$T$91,3,FALSE),VLOOKUP($K32,$R$63:$T$91,3,FALSE)))+IF(AND($K32&lt;&gt;"",$K32&lt;&gt;"O3/CP",$K$15=B$18,MID($K32,4,1)="2",$K$15&lt;&gt;$K$14),VLOOKUP(CONCATENATE(LEFT($K32,2),"L"),$R$63:$T$91,3,FALSE),0)+IF(AND($K32="O3/CP",$K$14=B$18),VLOOKUP("O3",$R$63:$T$91,3,FALSE)+VLOOKUP("CP",$R$63:$T$91,3,FALSE),0)+IF(AND($L32&lt;&gt;"",$L32&lt;&gt;"--",$L32&lt;&gt;"O3/CP",$L$14=B$18),IF(LEFT($L32,1)="P",VLOOKUP(CONCATENATE(LEFT($L32,2),"H"),$R$63:$T$91,3,FALSE),VLOOKUP($L32,$R$63:$T$91,3,FALSE)))+IF(AND($L32&lt;&gt;"",$L32&lt;&gt;"O3/CP",$L$15=B$18,MID($L32,4,1)="2",$L$15&lt;&gt;$L$14),VLOOKUP(CONCATENATE(LEFT($L32,2),"L"),$R$63:$T$91,3,FALSE),0)+IF(AND($L32="O3/CP",$L$14=B$18),VLOOKUP("O3",$R$63:$T$91,3,FALSE)+VLOOKUP("CP",$R$63:$T$91,3,FALSE),0)+IF(AND($M32&lt;&gt;"",$M32&lt;&gt;"--",$M32&lt;&gt;"O3/CP",$M$14=B$18),IF(LEFT($M32,1)="P",VLOOKUP(CONCATENATE(LEFT($M32,2),"H"),$R$63:$T$91,3,FALSE),VLOOKUP($M32,$R$63:$T$91,3,FALSE)))+IF(AND($M32&lt;&gt;"",$M32&lt;&gt;"O3/CP",$M$15=B$18,MID($M32,4,1)="2",$M$15&lt;&gt;$M$14),VLOOKUP(CONCATENATE(LEFT($M32,2),"L"),$R$63:$T$91,3,FALSE),0)+IF(AND($M32="O3/CP",$M$14=B$18),VLOOKUP("O3",$R$63:$T$91,3,FALSE)+VLOOKUP("CP",$R$63:$T$91,3,FALSE),0)+IF(AND($N32&lt;&gt;"",$N32&lt;&gt;"--",$N32&lt;&gt;"O3/CP",$N$14=B$18),IF(LEFT($N32,1)="P",VLOOKUP(CONCATENATE(LEFT($N32,2),"H"),$R$63:$T$91,3,FALSE),VLOOKUP($N32,$R$63:$T$91,3,FALSE)))+IF(AND($N32&lt;&gt;"",$N32&lt;&gt;"O3/CP",$N$15=B$18,MID($N32,4,1)="2",$N$15&lt;&gt;$N$14),VLOOKUP(CONCATENATE(LEFT($N32,2),"L"),$R$63:$T$91,3,FALSE),0)+IF(AND($N32="O3/CP",$N$14=B$18),VLOOKUP("O3",$R$63:$T$91,3,FALSE)+VLOOKUP("CP",$R$63:$T$91,3,FALSE),0)+IF(AND($O32&lt;&gt;"",$O32&lt;&gt;"--",$O32&lt;&gt;"O3/CP",$O$14=B$18),IF(LEFT($O32,1)="P",VLOOKUP(CONCATENATE(LEFT($O32,2),"H"),$R$63:$T$91,3,FALSE),VLOOKUP($O32,$R$63:$T$91,3,FALSE)))+IF(AND($O32&lt;&gt;"",$O32&lt;&gt;"O3/CP",$O$15=B$18,MID($O32,4,1)="2",$O$15&lt;&gt;$O$14),VLOOKUP(CONCATENATE(LEFT($O32,2),"L"),$R$63:$T$91,3,FALSE),0)+IF(AND($O32="O3/CP",$O$14=B$18),VLOOKUP("O3",$R$63:$T$91,3,FALSE)+VLOOKUP("CP",$R$63:$T$91,3,FALSE),0)+IF(AND($P32&lt;&gt;"",$P32&lt;&gt;"--",$P32&lt;&gt;"O3/CP",$P$14=B$18),IF(LEFT($P32,1)="P",VLOOKUP(CONCATENATE(LEFT($P32,2),"H"),$R$63:$T$91,3,FALSE),VLOOKUP($P32,$R$63:$T$91,3,FALSE)))+IF(AND($P32&lt;&gt;"",$P32&lt;&gt;"O3/CP",$P$15=B$18,MID($P32,4,1)="2",$P$15&lt;&gt;$P$14),VLOOKUP(CONCATENATE(LEFT($P32,2),"L"),$R$63:$T$91,3,FALSE),0)+IF(AND($P32="O3/CP",$P$14=B$18),VLOOKUP("O3",$R$63:$T$91,3,FALSE)+VLOOKUP("CP",$R$63:$T$91,3,FALSE),0)+IF(AND($Q32&lt;&gt;"",$Q32&lt;&gt;"--",$Q32&lt;&gt;"O3/CP",$Q$14=B$18),IF(LEFT($Q32,1)="P",VLOOKUP(CONCATENATE(LEFT($Q32,2),"H"),$R$63:$T$91,3,FALSE),VLOOKUP($Q32,$R$63:$T$91,3,FALSE)))+IF(AND($Q32&lt;&gt;"",$Q32&lt;&gt;"O3/CP",$Q$15=B$18,MID($Q32,4,1)="2",$Q$15&lt;&gt;$Q$14),VLOOKUP(CONCATENATE(LEFT($Q32,2),"L"),$R$63:$T$91,3,FALSE),0)+IF(AND($Q32="O3/CP",$Q$14=B$18),VLOOKUP("O3",$R$63:$T$91,3,FALSE)+VLOOKUP("CP",$R$63:$T$91,3,FALSE),0)+IF(AND($R32&lt;&gt;"",$R32&lt;&gt;"--",$R32&lt;&gt;"O3/CP",$R$14=B$18),IF(LEFT($R32,1)="P",VLOOKUP(CONCATENATE(LEFT($R32,2),"H"),$R$63:$T$91,3,FALSE),VLOOKUP($R32,$R$63:$T$91,3,FALSE)))+IF(AND($R32&lt;&gt;"",$R32&lt;&gt;"O3/CP",$R$15=B$18,MID($R32,4,1)="2",$R$15&lt;&gt;$R$14),VLOOKUP(CONCATENATE(LEFT($R32,2),"L"),$R$63:$T$91,3,FALSE),0)+IF(AND($R32="O3/CP",$R$14=B$18),VLOOKUP("O3",$R$63:$T$91,3,FALSE)+VLOOKUP("CP",$R$63:$T$91,3,FALSE),0)+IF(AND($S32&lt;&gt;"",$S32&lt;&gt;"--",$S32&lt;&gt;"O3/CP",$S$14=B$18),IF(LEFT($S32,1)="P",VLOOKUP(CONCATENATE(LEFT($S32,2),"H"),$R$63:$T$91,3,FALSE),VLOOKUP($S32,$R$63:$T$91,3,FALSE)))+IF(AND($S32&lt;&gt;"",$S32&lt;&gt;"O3/CP",$S$15=B$18,MID($S32,4,1)="2",$S$15&lt;&gt;$S$14),VLOOKUP(CONCATENATE(LEFT($S32,2),"L"),$R$63:$T$91,3,FALSE),0)+IF(AND($S32="O3/CP",$S$14=B$18),VLOOKUP("O3",$R$63:$T$91,3,FALSE)+VLOOKUP("CP",$R$63:$T$91,3,FALSE),0)+IF(AND($T32&lt;&gt;"",$T32&lt;&gt;"--",$T32&lt;&gt;"O3/CP",$T$14=B$18),IF(LEFT($T32,1)="P",VLOOKUP(CONCATENATE(LEFT($T32,2),"H"),$R$63:$T$91,3,FALSE),VLOOKUP($T32,$R$63:$T$91,3,FALSE)))+IF(AND($T32&lt;&gt;"",$T32&lt;&gt;"O3/CP",$T$15=B$18,MID($T32,4,1)="2",$T$15&lt;&gt;$T$14),VLOOKUP(CONCATENATE(LEFT($T32,2),"L"),$R$63:$T$91,3,FALSE),0)+IF(AND($T32="O3/CP",$T$14=B$18),VLOOKUP("O3",$R$63:$T$91,3,FALSE)+VLOOKUP("CP",$R$63:$T$91,3,FALSE),0)+IF(AND($U32&lt;&gt;"",$U32&lt;&gt;"--",$U32&lt;&gt;"O3/CP",$U$14=B$18),IF(LEFT($U32,1)="P",VLOOKUP(CONCATENATE(LEFT($U32,2),"H"),$R$63:$T$91,3,FALSE),VLOOKUP($U32,$R$63:$T$91,3,FALSE)))+IF(AND($U32&lt;&gt;"",$U32&lt;&gt;"O3/CP",$U$15=B$18,MID($U32,4,1)="2",$U$15&lt;&gt;$U$14),VLOOKUP(CONCATENATE(LEFT($U32,2),"L"),$R$63:$T$91,3,FALSE),0)+IF(AND($U32="O3/CP",$T$14=B$18),VLOOKUP("O3",$R$63:$T$91,3,FALSE)+VLOOKUP("CP",$R$63:$T$91,3,FALSE),0)+IF(AND($V32&lt;&gt;"",$V32&lt;&gt;"--",$V32&lt;&gt;"O3/CP",$V$14=B$18),IF(LEFT($V32,1)="P",VLOOKUP(CONCATENATE(LEFT($V32,2),"H"),$R$63:$T$91,3,FALSE),VLOOKUP($V32,$R$63:$T$91,3,FALSE)))+IF(AND($V32&lt;&gt;"",$V32&lt;&gt;"O3/CP",$V$15=B$18,MID($V32,4,1)="2",$V$15&lt;&gt;$V$14),VLOOKUP(CONCATENATE(LEFT($V32,2),"L"),$R$63:$T$91,3,FALSE),0)+IF(AND($V32="O3/CP",$V$14=B$18),VLOOKUP("O3",$R$63:$T$91,3,FALSE)+VLOOKUP("CP",$R$63:$T$91,3,FALSE),0)+IF(AND($W32&lt;&gt;"",$W32&lt;&gt;"--",$W32&lt;&gt;"O3/CP",$W$14=B$18),IF(LEFT($W32,1)="P",VLOOKUP(CONCATENATE(LEFT($W32,2),"H"),$R$63:$T$91,3,FALSE),VLOOKUP($W32,$R$63:$T$91,3,FALSE)))+IF(AND($W32&lt;&gt;"",$W32&lt;&gt;"O3/CP",$W$15=B$18,MID($W32,4,1)="2",$W$15&lt;&gt;$W$14),VLOOKUP(CONCATENATE(LEFT($W32,2),"L"),$R$63:$T$91,3,FALSE),0)+IF(AND($W32="O3/CP",$W$14=B$18),VLOOKUP("O3",$R$63:$T$91,3,FALSE)+VLOOKUP("CP",$R$63:$T$91,3,FALSE),0)+IF(AND($X32&lt;&gt;"",$X32&lt;&gt;"--",$X32&lt;&gt;"O3/CP",$X$14=B$18),IF(LEFT($X32,1)="P",VLOOKUP(CONCATENATE(LEFT($X32,2),"H"),$R$63:$T$91,3,FALSE),VLOOKUP($X32,$R$63:$T$91,3,FALSE)))+IF(AND($X32&lt;&gt;"",$X32&lt;&gt;"O3/CP",$X$15=B$18,MID($X32,4,1)="2",$X$15&lt;&gt;$X$14),VLOOKUP(CONCATENATE(LEFT($X32,2),"L"),$R$63:$T$91,3,FALSE),0)+IF(AND($X32="O3/CP",$X$14=B$18),VLOOKUP("O3",$R$63:$T$91,3,FALSE)+VLOOKUP("CP",$R$63:$T$91,3,FALSE),0)+IF(AND($Y32&lt;&gt;"",$Y32&lt;&gt;"--",$Y32&lt;&gt;"O3/CP",$Y$14=B$18),IF(LEFT($Y32,1)="P",VLOOKUP(CONCATENATE(LEFT($Y32,2),"H"),$R$63:$T$91,3,FALSE),VLOOKUP($Y32,$R$63:$T$91,3,FALSE)))+IF(AND($Y32&lt;&gt;"",$Y32&lt;&gt;"O3/CP",$Y$15=B$18,MID($Y32,4,1)="2",$Y$15&lt;&gt;$Y$14),VLOOKUP(CONCATENATE(LEFT($Y32,2),"L"),$R$63:$T$91,3,FALSE),0)+IF(AND($Y32="O3/CP",$Y$14=B$18),VLOOKUP("O3",$R$63:$T$91,3,FALSE)+VLOOKUP("CP",$R$63:$T$91,3,FALSE),0)+IF(AND($K$6="CE",'[3]Supply Attribution'!$G$20=B$18),LEFT($S$90,2),0)+IF(AND($X$86&lt;&gt;"Not Set",$X$87=B$18),$X$86,0)</f>
        <v>0</v>
      </c>
      <c r="C32" s="269">
        <f>IF(AND($K32&lt;&gt;"",$K32&lt;&gt;"--",$K32&lt;&gt;"O3/CP",$K$14=C$18),IF(LEFT($K32,1)="P",VLOOKUP(CONCATENATE(LEFT($K32,2),"H"),$R$63:$T$91,3,FALSE),VLOOKUP($K32,$R$63:$T$91,3,FALSE)))+IF(AND($K32&lt;&gt;"",$K32&lt;&gt;"O3/CP",$K$15=C$18,MID($K32,4,1)="2",$K$15&lt;&gt;$K$14),VLOOKUP(CONCATENATE(LEFT($K32,2),"L"),$R$63:$T$91,3,FALSE),0)+IF(AND($K32="O3/CP",$K$14=C$18),VLOOKUP("O3",$R$63:$T$91,3,FALSE)+VLOOKUP("CP",$R$63:$T$91,3,FALSE),0)+IF(AND($L32&lt;&gt;"",$L32&lt;&gt;"--",$L32&lt;&gt;"O3/CP",$L$14=C$18),IF(LEFT($L32,1)="P",VLOOKUP(CONCATENATE(LEFT($L32,2),"H"),$R$63:$T$91,3,FALSE),VLOOKUP($L32,$R$63:$T$91,3,FALSE)))+IF(AND($L32&lt;&gt;"",$L32&lt;&gt;"O3/CP",$L$15=C$18,MID($L32,4,1)="2",$L$15&lt;&gt;$L$14),VLOOKUP(CONCATENATE(LEFT($L32,2),"L"),$R$63:$T$91,3,FALSE),0)+IF(AND($L32="O3/CP",$L$14=C$18),VLOOKUP("O3",$R$63:$T$91,3,FALSE)+VLOOKUP("CP",$R$63:$T$91,3,FALSE),0)+IF(AND($M32&lt;&gt;"",$M32&lt;&gt;"--",$M32&lt;&gt;"O3/CP",$M$14=C$18),IF(LEFT($M32,1)="P",VLOOKUP(CONCATENATE(LEFT($M32,2),"H"),$R$63:$T$91,3,FALSE),VLOOKUP($M32,$R$63:$T$91,3,FALSE)))+IF(AND($M32&lt;&gt;"",$M32&lt;&gt;"O3/CP",$M$15=C$18,MID($M32,4,1)="2",$M$15&lt;&gt;$M$14),VLOOKUP(CONCATENATE(LEFT($M32,2),"L"),$R$63:$T$91,3,FALSE),0)+IF(AND($M32="O3/CP",$M$14=C$18),VLOOKUP("O3",$R$63:$T$91,3,FALSE)+VLOOKUP("CP",$R$63:$T$91,3,FALSE),0)+IF(AND($N32&lt;&gt;"",$N32&lt;&gt;"--",$N32&lt;&gt;"O3/CP",$N$14=C$18),IF(LEFT($N32,1)="P",VLOOKUP(CONCATENATE(LEFT($N32,2),"H"),$R$63:$T$91,3,FALSE),VLOOKUP($N32,$R$63:$T$91,3,FALSE)))+IF(AND($N32&lt;&gt;"",$N32&lt;&gt;"O3/CP",$N$15=C$18,MID($N32,4,1)="2",$N$15&lt;&gt;$N$14),VLOOKUP(CONCATENATE(LEFT($N32,2),"L"),$R$63:$T$91,3,FALSE),0)+IF(AND($N32="O3/CP",$N$14=C$18),VLOOKUP("O3",$R$63:$T$91,3,FALSE)+VLOOKUP("CP",$R$63:$T$91,3,FALSE),0)+IF(AND($O32&lt;&gt;"",$O32&lt;&gt;"--",$O32&lt;&gt;"O3/CP",$O$14=C$18),IF(LEFT($O32,1)="P",VLOOKUP(CONCATENATE(LEFT($O32,2),"H"),$R$63:$T$91,3,FALSE),VLOOKUP($O32,$R$63:$T$91,3,FALSE)))+IF(AND($O32&lt;&gt;"",$O32&lt;&gt;"O3/CP",$O$15=C$18,MID($O32,4,1)="2",$O$15&lt;&gt;$O$14),VLOOKUP(CONCATENATE(LEFT($O32,2),"L"),$R$63:$T$91,3,FALSE),0)+IF(AND($O32="O3/CP",$O$14=C$18),VLOOKUP("O3",$R$63:$T$91,3,FALSE)+VLOOKUP("CP",$R$63:$T$91,3,FALSE),0)+IF(AND($P32&lt;&gt;"",$P32&lt;&gt;"--",$P32&lt;&gt;"O3/CP",$P$14=C$18),IF(LEFT($P32,1)="P",VLOOKUP(CONCATENATE(LEFT($P32,2),"H"),$R$63:$T$91,3,FALSE),VLOOKUP($P32,$R$63:$T$91,3,FALSE)))+IF(AND($P32&lt;&gt;"",$P32&lt;&gt;"O3/CP",$P$15=C$18,MID($P32,4,1)="2",$P$15&lt;&gt;$P$14),VLOOKUP(CONCATENATE(LEFT($P32,2),"L"),$R$63:$T$91,3,FALSE),0)+IF(AND($P32="O3/CP",$P$14=C$18),VLOOKUP("O3",$R$63:$T$91,3,FALSE)+VLOOKUP("CP",$R$63:$T$91,3,FALSE),0)+IF(AND($Q32&lt;&gt;"",$Q32&lt;&gt;"--",$Q32&lt;&gt;"O3/CP",$Q$14=C$18),IF(LEFT($Q32,1)="P",VLOOKUP(CONCATENATE(LEFT($Q32,2),"H"),$R$63:$T$91,3,FALSE),VLOOKUP($Q32,$R$63:$T$91,3,FALSE)))+IF(AND($Q32&lt;&gt;"",$Q32&lt;&gt;"O3/CP",$Q$15=C$18,MID($Q32,4,1)="2",$Q$15&lt;&gt;$Q$14),VLOOKUP(CONCATENATE(LEFT($Q32,2),"L"),$R$63:$T$91,3,FALSE),0)+IF(AND($Q32="O3/CP",$Q$14=C$18),VLOOKUP("O3",$R$63:$T$91,3,FALSE)+VLOOKUP("CP",$R$63:$T$91,3,FALSE),0)+IF(AND($R32&lt;&gt;"",$R32&lt;&gt;"--",$R32&lt;&gt;"O3/CP",$R$14=C$18),IF(LEFT($R32,1)="P",VLOOKUP(CONCATENATE(LEFT($R32,2),"H"),$R$63:$T$91,3,FALSE),VLOOKUP($R32,$R$63:$T$91,3,FALSE)))+IF(AND($R32&lt;&gt;"",$R32&lt;&gt;"O3/CP",$R$15=C$18,MID($R32,4,1)="2",$R$15&lt;&gt;$R$14),VLOOKUP(CONCATENATE(LEFT($R32,2),"L"),$R$63:$T$91,3,FALSE),0)+IF(AND($R32="O3/CP",$R$14=C$18),VLOOKUP("O3",$R$63:$T$91,3,FALSE)+VLOOKUP("CP",$R$63:$T$91,3,FALSE),0)+IF(AND($S32&lt;&gt;"",$S32&lt;&gt;"--",$S32&lt;&gt;"O3/CP",$S$14=C$18),IF(LEFT($S32,1)="P",VLOOKUP(CONCATENATE(LEFT($S32,2),"H"),$R$63:$T$91,3,FALSE),VLOOKUP($S32,$R$63:$T$91,3,FALSE)))+IF(AND($S32&lt;&gt;"",$S32&lt;&gt;"O3/CP",$S$15=C$18,MID($S32,4,1)="2",$S$15&lt;&gt;$S$14),VLOOKUP(CONCATENATE(LEFT($S32,2),"L"),$R$63:$T$91,3,FALSE),0)+IF(AND($S32="O3/CP",$S$14=C$18),VLOOKUP("O3",$R$63:$T$91,3,FALSE)+VLOOKUP("CP",$R$63:$T$91,3,FALSE),0)+IF(AND($T32&lt;&gt;"",$T32&lt;&gt;"--",$T32&lt;&gt;"O3/CP",$T$14=C$18),IF(LEFT($T32,1)="P",VLOOKUP(CONCATENATE(LEFT($T32,2),"H"),$R$63:$T$91,3,FALSE),VLOOKUP($T32,$R$63:$T$91,3,FALSE)))+IF(AND($T32&lt;&gt;"",$T32&lt;&gt;"O3/CP",$T$15=C$18,MID($T32,4,1)="2",$T$15&lt;&gt;$T$14),VLOOKUP(CONCATENATE(LEFT($T32,2),"L"),$R$63:$T$91,3,FALSE),0)+IF(AND($T32="O3/CP",$T$14=C$18),VLOOKUP("O3",$R$63:$T$91,3,FALSE)+VLOOKUP("CP",$R$63:$T$91,3,FALSE),0)+IF(AND($U32&lt;&gt;"",$U32&lt;&gt;"--",$U32&lt;&gt;"O3/CP",$U$14=C$18),IF(LEFT($U32,1)="P",VLOOKUP(CONCATENATE(LEFT($U32,2),"H"),$R$63:$T$91,3,FALSE),VLOOKUP($U32,$R$63:$T$91,3,FALSE)))+IF(AND($U32&lt;&gt;"",$U32&lt;&gt;"O3/CP",$U$15=C$18,MID($U32,4,1)="2",$U$15&lt;&gt;$U$14),VLOOKUP(CONCATENATE(LEFT($U32,2),"L"),$R$63:$T$91,3,FALSE),0)+IF(AND($U32="O3/CP",$T$14=C$18),VLOOKUP("O3",$R$63:$T$91,3,FALSE)+VLOOKUP("CP",$R$63:$T$91,3,FALSE),0)+IF(AND($V32&lt;&gt;"",$V32&lt;&gt;"--",$V32&lt;&gt;"O3/CP",$V$14=C$18),IF(LEFT($V32,1)="P",VLOOKUP(CONCATENATE(LEFT($V32,2),"H"),$R$63:$T$91,3,FALSE),VLOOKUP($V32,$R$63:$T$91,3,FALSE)))+IF(AND($V32&lt;&gt;"",$V32&lt;&gt;"O3/CP",$V$15=C$18,MID($V32,4,1)="2",$V$15&lt;&gt;$V$14),VLOOKUP(CONCATENATE(LEFT($V32,2),"L"),$R$63:$T$91,3,FALSE),0)+IF(AND($V32="O3/CP",$V$14=C$18),VLOOKUP("O3",$R$63:$T$91,3,FALSE)+VLOOKUP("CP",$R$63:$T$91,3,FALSE),0)+IF(AND($W32&lt;&gt;"",$W32&lt;&gt;"--",$W32&lt;&gt;"O3/CP",$W$14=C$18),IF(LEFT($W32,1)="P",VLOOKUP(CONCATENATE(LEFT($W32,2),"H"),$R$63:$T$91,3,FALSE),VLOOKUP($W32,$R$63:$T$91,3,FALSE)))+IF(AND($W32&lt;&gt;"",$W32&lt;&gt;"O3/CP",$W$15=C$18,MID($W32,4,1)="2",$W$15&lt;&gt;$W$14),VLOOKUP(CONCATENATE(LEFT($W32,2),"L"),$R$63:$T$91,3,FALSE),0)+IF(AND($W32="O3/CP",$W$14=C$18),VLOOKUP("O3",$R$63:$T$91,3,FALSE)+VLOOKUP("CP",$R$63:$T$91,3,FALSE),0)+IF(AND($X32&lt;&gt;"",$X32&lt;&gt;"--",$X32&lt;&gt;"O3/CP",$X$14=C$18),IF(LEFT($X32,1)="P",VLOOKUP(CONCATENATE(LEFT($X32,2),"H"),$R$63:$T$91,3,FALSE),VLOOKUP($X32,$R$63:$T$91,3,FALSE)))+IF(AND($X32&lt;&gt;"",$X32&lt;&gt;"O3/CP",$X$15=C$18,MID($X32,4,1)="2",$X$15&lt;&gt;$X$14),VLOOKUP(CONCATENATE(LEFT($X32,2),"L"),$R$63:$T$91,3,FALSE),0)+IF(AND($X32="O3/CP",$X$14=C$18),VLOOKUP("O3",$R$63:$T$91,3,FALSE)+VLOOKUP("CP",$R$63:$T$91,3,FALSE),0)+IF(AND($Y32&lt;&gt;"",$Y32&lt;&gt;"--",$Y32&lt;&gt;"O3/CP",$Y$14=C$18),IF(LEFT($Y32,1)="P",VLOOKUP(CONCATENATE(LEFT($Y32,2),"H"),$R$63:$T$91,3,FALSE),VLOOKUP($Y32,$R$63:$T$91,3,FALSE)))+IF(AND($Y32&lt;&gt;"",$Y32&lt;&gt;"O3/CP",$Y$15=C$18,MID($Y32,4,1)="2",$Y$15&lt;&gt;$Y$14),VLOOKUP(CONCATENATE(LEFT($Y32,2),"L"),$R$63:$T$91,3,FALSE),0)+IF(AND($Y32="O3/CP",$Y$14=C$18),VLOOKUP("O3",$R$63:$T$91,3,FALSE)+VLOOKUP("CP",$R$63:$T$91,3,FALSE),0)+IF(AND($K$6="CE",'[3]Supply Attribution'!$G$20=C$18),LEFT($S$90,2),0)+IF(AND($X$86&lt;&gt;"Not Set",$X$87=C$18),$X$86,0)</f>
        <v>0</v>
      </c>
      <c r="D32" s="269">
        <f>IF(AND($K32&lt;&gt;"",$K32&lt;&gt;"--",$K32&lt;&gt;"O3/CP",$K$14=D$18),IF(LEFT($K32,1)="P",VLOOKUP(CONCATENATE(LEFT($K32,2),"H"),$R$63:$T$91,3,FALSE),VLOOKUP($K32,$R$63:$T$91,3,FALSE)))+IF(AND($K32&lt;&gt;"",$K32&lt;&gt;"O3/CP",$K$15=D$18,MID($K32,4,1)="2",$K$15&lt;&gt;$K$14),VLOOKUP(CONCATENATE(LEFT($K32,2),"L"),$R$63:$T$91,3,FALSE),0)+IF(AND($K32="O3/CP",$K$14=D$18),VLOOKUP("O3",$R$63:$T$91,3,FALSE)+VLOOKUP("CP",$R$63:$T$91,3,FALSE),0)+IF(AND($L32&lt;&gt;"",$L32&lt;&gt;"--",$L32&lt;&gt;"O3/CP",$L$14=D$18),IF(LEFT($L32,1)="P",VLOOKUP(CONCATENATE(LEFT($L32,2),"H"),$R$63:$T$91,3,FALSE),VLOOKUP($L32,$R$63:$T$91,3,FALSE)))+IF(AND($L32&lt;&gt;"",$L32&lt;&gt;"O3/CP",$L$15=D$18,MID($L32,4,1)="2",$L$15&lt;&gt;$L$14),VLOOKUP(CONCATENATE(LEFT($L32,2),"L"),$R$63:$T$91,3,FALSE),0)+IF(AND($L32="O3/CP",$L$14=D$18),VLOOKUP("O3",$R$63:$T$91,3,FALSE)+VLOOKUP("CP",$R$63:$T$91,3,FALSE),0)+IF(AND($M32&lt;&gt;"",$M32&lt;&gt;"--",$M32&lt;&gt;"O3/CP",$M$14=D$18),IF(LEFT($M32,1)="P",VLOOKUP(CONCATENATE(LEFT($M32,2),"H"),$R$63:$T$91,3,FALSE),VLOOKUP($M32,$R$63:$T$91,3,FALSE)))+IF(AND($M32&lt;&gt;"",$M32&lt;&gt;"O3/CP",$M$15=D$18,MID($M32,4,1)="2",$M$15&lt;&gt;$M$14),VLOOKUP(CONCATENATE(LEFT($M32,2),"L"),$R$63:$T$91,3,FALSE),0)+IF(AND($M32="O3/CP",$M$14=D$18),VLOOKUP("O3",$R$63:$T$91,3,FALSE)+VLOOKUP("CP",$R$63:$T$91,3,FALSE),0)+IF(AND($N32&lt;&gt;"",$N32&lt;&gt;"--",$N32&lt;&gt;"O3/CP",$N$14=D$18),IF(LEFT($N32,1)="P",VLOOKUP(CONCATENATE(LEFT($N32,2),"H"),$R$63:$T$91,3,FALSE),VLOOKUP($N32,$R$63:$T$91,3,FALSE)))+IF(AND($N32&lt;&gt;"",$N32&lt;&gt;"O3/CP",$N$15=D$18,MID($N32,4,1)="2",$N$15&lt;&gt;$N$14),VLOOKUP(CONCATENATE(LEFT($N32,2),"L"),$R$63:$T$91,3,FALSE),0)+IF(AND($N32="O3/CP",$N$14=D$18),VLOOKUP("O3",$R$63:$T$91,3,FALSE)+VLOOKUP("CP",$R$63:$T$91,3,FALSE),0)+IF(AND($O32&lt;&gt;"",$O32&lt;&gt;"--",$O32&lt;&gt;"O3/CP",$O$14=D$18),IF(LEFT($O32,1)="P",VLOOKUP(CONCATENATE(LEFT($O32,2),"H"),$R$63:$T$91,3,FALSE),VLOOKUP($O32,$R$63:$T$91,3,FALSE)))+IF(AND($O32&lt;&gt;"",$O32&lt;&gt;"O3/CP",$O$15=D$18,MID($O32,4,1)="2",$O$15&lt;&gt;$O$14),VLOOKUP(CONCATENATE(LEFT($O32,2),"L"),$R$63:$T$91,3,FALSE),0)+IF(AND($O32="O3/CP",$O$14=D$18),VLOOKUP("O3",$R$63:$T$91,3,FALSE)+VLOOKUP("CP",$R$63:$T$91,3,FALSE),0)+IF(AND($P32&lt;&gt;"",$P32&lt;&gt;"--",$P32&lt;&gt;"O3/CP",$P$14=D$18),IF(LEFT($P32,1)="P",VLOOKUP(CONCATENATE(LEFT($P32,2),"H"),$R$63:$T$91,3,FALSE),VLOOKUP($P32,$R$63:$T$91,3,FALSE)))+IF(AND($P32&lt;&gt;"",$P32&lt;&gt;"O3/CP",$P$15=D$18,MID($P32,4,1)="2",$P$15&lt;&gt;$P$14),VLOOKUP(CONCATENATE(LEFT($P32,2),"L"),$R$63:$T$91,3,FALSE),0)+IF(AND($P32="O3/CP",$P$14=D$18),VLOOKUP("O3",$R$63:$T$91,3,FALSE)+VLOOKUP("CP",$R$63:$T$91,3,FALSE),0)+IF(AND($Q32&lt;&gt;"",$Q32&lt;&gt;"--",$Q32&lt;&gt;"O3/CP",$Q$14=D$18),IF(LEFT($Q32,1)="P",VLOOKUP(CONCATENATE(LEFT($Q32,2),"H"),$R$63:$T$91,3,FALSE),VLOOKUP($Q32,$R$63:$T$91,3,FALSE)))+IF(AND($Q32&lt;&gt;"",$Q32&lt;&gt;"O3/CP",$Q$15=D$18,MID($Q32,4,1)="2",$Q$15&lt;&gt;$Q$14),VLOOKUP(CONCATENATE(LEFT($Q32,2),"L"),$R$63:$T$91,3,FALSE),0)+IF(AND($Q32="O3/CP",$Q$14=D$18),VLOOKUP("O3",$R$63:$T$91,3,FALSE)+VLOOKUP("CP",$R$63:$T$91,3,FALSE),0)+IF(AND($R32&lt;&gt;"",$R32&lt;&gt;"--",$R32&lt;&gt;"O3/CP",$R$14=D$18),IF(LEFT($R32,1)="P",VLOOKUP(CONCATENATE(LEFT($R32,2),"H"),$R$63:$T$91,3,FALSE),VLOOKUP($R32,$R$63:$T$91,3,FALSE)))+IF(AND($R32&lt;&gt;"",$R32&lt;&gt;"O3/CP",$R$15=D$18,MID($R32,4,1)="2",$R$15&lt;&gt;$R$14),VLOOKUP(CONCATENATE(LEFT($R32,2),"L"),$R$63:$T$91,3,FALSE),0)+IF(AND($R32="O3/CP",$R$14=D$18),VLOOKUP("O3",$R$63:$T$91,3,FALSE)+VLOOKUP("CP",$R$63:$T$91,3,FALSE),0)+IF(AND($S32&lt;&gt;"",$S32&lt;&gt;"--",$S32&lt;&gt;"O3/CP",$S$14=D$18),IF(LEFT($S32,1)="P",VLOOKUP(CONCATENATE(LEFT($S32,2),"H"),$R$63:$T$91,3,FALSE),VLOOKUP($S32,$R$63:$T$91,3,FALSE)))+IF(AND($S32&lt;&gt;"",$S32&lt;&gt;"O3/CP",$S$15=D$18,MID($S32,4,1)="2",$S$15&lt;&gt;$S$14),VLOOKUP(CONCATENATE(LEFT($S32,2),"L"),$R$63:$T$91,3,FALSE),0)+IF(AND($S32="O3/CP",$S$14=D$18),VLOOKUP("O3",$R$63:$T$91,3,FALSE)+VLOOKUP("CP",$R$63:$T$91,3,FALSE),0)+IF(AND($T32&lt;&gt;"",$T32&lt;&gt;"--",$T32&lt;&gt;"O3/CP",$T$14=D$18),IF(LEFT($T32,1)="P",VLOOKUP(CONCATENATE(LEFT($T32,2),"H"),$R$63:$T$91,3,FALSE),VLOOKUP($T32,$R$63:$T$91,3,FALSE)))+IF(AND($T32&lt;&gt;"",$T32&lt;&gt;"O3/CP",$T$15=D$18,MID($T32,4,1)="2",$T$15&lt;&gt;$T$14),VLOOKUP(CONCATENATE(LEFT($T32,2),"L"),$R$63:$T$91,3,FALSE),0)+IF(AND($T32="O3/CP",$T$14=D$18),VLOOKUP("O3",$R$63:$T$91,3,FALSE)+VLOOKUP("CP",$R$63:$T$91,3,FALSE),0)+IF(AND($U32&lt;&gt;"",$U32&lt;&gt;"--",$U32&lt;&gt;"O3/CP",$U$14=D$18),IF(LEFT($U32,1)="P",VLOOKUP(CONCATENATE(LEFT($U32,2),"H"),$R$63:$T$91,3,FALSE),VLOOKUP($U32,$R$63:$T$91,3,FALSE)))+IF(AND($U32&lt;&gt;"",$U32&lt;&gt;"O3/CP",$U$15=D$18,MID($U32,4,1)="2",$U$15&lt;&gt;$U$14),VLOOKUP(CONCATENATE(LEFT($U32,2),"L"),$R$63:$T$91,3,FALSE),0)+IF(AND($U32="O3/CP",$T$14=D$18),VLOOKUP("O3",$R$63:$T$91,3,FALSE)+VLOOKUP("CP",$R$63:$T$91,3,FALSE),0)+IF(AND($V32&lt;&gt;"",$V32&lt;&gt;"--",$V32&lt;&gt;"O3/CP",$V$14=D$18),IF(LEFT($V32,1)="P",VLOOKUP(CONCATENATE(LEFT($V32,2),"H"),$R$63:$T$91,3,FALSE),VLOOKUP($V32,$R$63:$T$91,3,FALSE)))+IF(AND($V32&lt;&gt;"",$V32&lt;&gt;"O3/CP",$V$15=D$18,MID($V32,4,1)="2",$V$15&lt;&gt;$V$14),VLOOKUP(CONCATENATE(LEFT($V32,2),"L"),$R$63:$T$91,3,FALSE),0)+IF(AND($V32="O3/CP",$V$14=D$18),VLOOKUP("O3",$R$63:$T$91,3,FALSE)+VLOOKUP("CP",$R$63:$T$91,3,FALSE),0)+IF(AND($W32&lt;&gt;"",$W32&lt;&gt;"--",$W32&lt;&gt;"O3/CP",$W$14=D$18),IF(LEFT($W32,1)="P",VLOOKUP(CONCATENATE(LEFT($W32,2),"H"),$R$63:$T$91,3,FALSE),VLOOKUP($W32,$R$63:$T$91,3,FALSE)))+IF(AND($W32&lt;&gt;"",$W32&lt;&gt;"O3/CP",$W$15=D$18,MID($W32,4,1)="2",$W$15&lt;&gt;$W$14),VLOOKUP(CONCATENATE(LEFT($W32,2),"L"),$R$63:$T$91,3,FALSE),0)+IF(AND($W32="O3/CP",$W$14=D$18),VLOOKUP("O3",$R$63:$T$91,3,FALSE)+VLOOKUP("CP",$R$63:$T$91,3,FALSE),0)+IF(AND($X32&lt;&gt;"",$X32&lt;&gt;"--",$X32&lt;&gt;"O3/CP",$X$14=D$18),IF(LEFT($X32,1)="P",VLOOKUP(CONCATENATE(LEFT($X32,2),"H"),$R$63:$T$91,3,FALSE),VLOOKUP($X32,$R$63:$T$91,3,FALSE)))+IF(AND($X32&lt;&gt;"",$X32&lt;&gt;"O3/CP",$X$15=D$18,MID($X32,4,1)="2",$X$15&lt;&gt;$X$14),VLOOKUP(CONCATENATE(LEFT($X32,2),"L"),$R$63:$T$91,3,FALSE),0)+IF(AND($X32="O3/CP",$X$14=D$18),VLOOKUP("O3",$R$63:$T$91,3,FALSE)+VLOOKUP("CP",$R$63:$T$91,3,FALSE),0)+IF(AND($Y32&lt;&gt;"",$Y32&lt;&gt;"--",$Y32&lt;&gt;"O3/CP",$Y$14=D$18),IF(LEFT($Y32,1)="P",VLOOKUP(CONCATENATE(LEFT($Y32,2),"H"),$R$63:$T$91,3,FALSE),VLOOKUP($Y32,$R$63:$T$91,3,FALSE)))+IF(AND($Y32&lt;&gt;"",$Y32&lt;&gt;"O3/CP",$Y$15=D$18,MID($Y32,4,1)="2",$Y$15&lt;&gt;$Y$14),VLOOKUP(CONCATENATE(LEFT($Y32,2),"L"),$R$63:$T$91,3,FALSE),0)+IF(AND($Y32="O3/CP",$Y$14=D$18),VLOOKUP("O3",$R$63:$T$91,3,FALSE)+VLOOKUP("CP",$R$63:$T$91,3,FALSE),0)+IF(AND($K$6="CE",'[3]Supply Attribution'!$G$20=D$18),LEFT($S$90,2),0)+IF(AND($X$86&lt;&gt;"Not Set",$X$87=D$18),$X$86,0)</f>
        <v>0</v>
      </c>
      <c r="E32" s="269">
        <f>IF(AND($K32&lt;&gt;"",$K32&lt;&gt;"--",$K32&lt;&gt;"O3/CP",$K$14=E$18),IF(LEFT($K32,1)="P",VLOOKUP(CONCATENATE(LEFT($K32,2),"H"),$R$63:$T$91,3,FALSE),VLOOKUP($K32,$R$63:$T$91,3,FALSE)))+IF(AND($K32&lt;&gt;"",$K32&lt;&gt;"O3/CP",$K$15=E$18,MID($K32,4,1)="2",$K$15&lt;&gt;$K$14),VLOOKUP(CONCATENATE(LEFT($K32,2),"L"),$R$63:$T$91,3,FALSE),0)+IF(AND($K32="O3/CP",$K$14=E$18),VLOOKUP("O3",$R$63:$T$91,3,FALSE)+VLOOKUP("CP",$R$63:$T$91,3,FALSE),0)+IF(AND($L32&lt;&gt;"",$L32&lt;&gt;"--",$L32&lt;&gt;"O3/CP",$L$14=E$18),IF(LEFT($L32,1)="P",VLOOKUP(CONCATENATE(LEFT($L32,2),"H"),$R$63:$T$91,3,FALSE),VLOOKUP($L32,$R$63:$T$91,3,FALSE)))+IF(AND($L32&lt;&gt;"",$L32&lt;&gt;"O3/CP",$L$15=E$18,MID($L32,4,1)="2",$L$15&lt;&gt;$L$14),VLOOKUP(CONCATENATE(LEFT($L32,2),"L"),$R$63:$T$91,3,FALSE),0)+IF(AND($L32="O3/CP",$L$14=E$18),VLOOKUP("O3",$R$63:$T$91,3,FALSE)+VLOOKUP("CP",$R$63:$T$91,3,FALSE),0)+IF(AND($M32&lt;&gt;"",$M32&lt;&gt;"--",$M32&lt;&gt;"O3/CP",$M$14=E$18),IF(LEFT($M32,1)="P",VLOOKUP(CONCATENATE(LEFT($M32,2),"H"),$R$63:$T$91,3,FALSE),VLOOKUP($M32,$R$63:$T$91,3,FALSE)))+IF(AND($M32&lt;&gt;"",$M32&lt;&gt;"O3/CP",$M$15=E$18,MID($M32,4,1)="2",$M$15&lt;&gt;$M$14),VLOOKUP(CONCATENATE(LEFT($M32,2),"L"),$R$63:$T$91,3,FALSE),0)+IF(AND($M32="O3/CP",$M$14=E$18),VLOOKUP("O3",$R$63:$T$91,3,FALSE)+VLOOKUP("CP",$R$63:$T$91,3,FALSE),0)+IF(AND($N32&lt;&gt;"",$N32&lt;&gt;"--",$N32&lt;&gt;"O3/CP",$N$14=E$18),IF(LEFT($N32,1)="P",VLOOKUP(CONCATENATE(LEFT($N32,2),"H"),$R$63:$T$91,3,FALSE),VLOOKUP($N32,$R$63:$T$91,3,FALSE)))+IF(AND($N32&lt;&gt;"",$N32&lt;&gt;"O3/CP",$N$15=E$18,MID($N32,4,1)="2",$N$15&lt;&gt;$N$14),VLOOKUP(CONCATENATE(LEFT($N32,2),"L"),$R$63:$T$91,3,FALSE),0)+IF(AND($N32="O3/CP",$N$14=E$18),VLOOKUP("O3",$R$63:$T$91,3,FALSE)+VLOOKUP("CP",$R$63:$T$91,3,FALSE),0)+IF(AND($O32&lt;&gt;"",$O32&lt;&gt;"--",$O32&lt;&gt;"O3/CP",$O$14=E$18),IF(LEFT($O32,1)="P",VLOOKUP(CONCATENATE(LEFT($O32,2),"H"),$R$63:$T$91,3,FALSE),VLOOKUP($O32,$R$63:$T$91,3,FALSE)))+IF(AND($O32&lt;&gt;"",$O32&lt;&gt;"O3/CP",$O$15=E$18,MID($O32,4,1)="2",$O$15&lt;&gt;$O$14),VLOOKUP(CONCATENATE(LEFT($O32,2),"L"),$R$63:$T$91,3,FALSE),0)+IF(AND($O32="O3/CP",$O$14=E$18),VLOOKUP("O3",$R$63:$T$91,3,FALSE)+VLOOKUP("CP",$R$63:$T$91,3,FALSE),0)+IF(AND($P32&lt;&gt;"",$P32&lt;&gt;"--",$P32&lt;&gt;"O3/CP",$P$14=E$18),IF(LEFT($P32,1)="P",VLOOKUP(CONCATENATE(LEFT($P32,2),"H"),$R$63:$T$91,3,FALSE),VLOOKUP($P32,$R$63:$T$91,3,FALSE)))+IF(AND($P32&lt;&gt;"",$P32&lt;&gt;"O3/CP",$P$15=E$18,MID($P32,4,1)="2",$P$15&lt;&gt;$P$14),VLOOKUP(CONCATENATE(LEFT($P32,2),"L"),$R$63:$T$91,3,FALSE),0)+IF(AND($P32="O3/CP",$P$14=E$18),VLOOKUP("O3",$R$63:$T$91,3,FALSE)+VLOOKUP("CP",$R$63:$T$91,3,FALSE),0)+IF(AND($Q32&lt;&gt;"",$Q32&lt;&gt;"--",$Q32&lt;&gt;"O3/CP",$Q$14=E$18),IF(LEFT($Q32,1)="P",VLOOKUP(CONCATENATE(LEFT($Q32,2),"H"),$R$63:$T$91,3,FALSE),VLOOKUP($Q32,$R$63:$T$91,3,FALSE)))+IF(AND($Q32&lt;&gt;"",$Q32&lt;&gt;"O3/CP",$Q$15=E$18,MID($Q32,4,1)="2",$Q$15&lt;&gt;$Q$14),VLOOKUP(CONCATENATE(LEFT($Q32,2),"L"),$R$63:$T$91,3,FALSE),0)+IF(AND($Q32="O3/CP",$Q$14=E$18),VLOOKUP("O3",$R$63:$T$91,3,FALSE)+VLOOKUP("CP",$R$63:$T$91,3,FALSE),0)+IF(AND($R32&lt;&gt;"",$R32&lt;&gt;"--",$R32&lt;&gt;"O3/CP",$R$14=E$18),IF(LEFT($R32,1)="P",VLOOKUP(CONCATENATE(LEFT($R32,2),"H"),$R$63:$T$91,3,FALSE),VLOOKUP($R32,$R$63:$T$91,3,FALSE)))+IF(AND($R32&lt;&gt;"",$R32&lt;&gt;"O3/CP",$R$15=E$18,MID($R32,4,1)="2",$R$15&lt;&gt;$R$14),VLOOKUP(CONCATENATE(LEFT($R32,2),"L"),$R$63:$T$91,3,FALSE),0)+IF(AND($R32="O3/CP",$R$14=E$18),VLOOKUP("O3",$R$63:$T$91,3,FALSE)+VLOOKUP("CP",$R$63:$T$91,3,FALSE),0)+IF(AND($S32&lt;&gt;"",$S32&lt;&gt;"--",$S32&lt;&gt;"O3/CP",$S$14=E$18),IF(LEFT($S32,1)="P",VLOOKUP(CONCATENATE(LEFT($S32,2),"H"),$R$63:$T$91,3,FALSE),VLOOKUP($S32,$R$63:$T$91,3,FALSE)))+IF(AND($S32&lt;&gt;"",$S32&lt;&gt;"O3/CP",$S$15=E$18,MID($S32,4,1)="2",$S$15&lt;&gt;$S$14),VLOOKUP(CONCATENATE(LEFT($S32,2),"L"),$R$63:$T$91,3,FALSE),0)+IF(AND($S32="O3/CP",$S$14=E$18),VLOOKUP("O3",$R$63:$T$91,3,FALSE)+VLOOKUP("CP",$R$63:$T$91,3,FALSE),0)+IF(AND($T32&lt;&gt;"",$T32&lt;&gt;"--",$T32&lt;&gt;"O3/CP",$T$14=E$18),IF(LEFT($T32,1)="P",VLOOKUP(CONCATENATE(LEFT($T32,2),"H"),$R$63:$T$91,3,FALSE),VLOOKUP($T32,$R$63:$T$91,3,FALSE)))+IF(AND($T32&lt;&gt;"",$T32&lt;&gt;"O3/CP",$T$15=E$18,MID($T32,4,1)="2",$T$15&lt;&gt;$T$14),VLOOKUP(CONCATENATE(LEFT($T32,2),"L"),$R$63:$T$91,3,FALSE),0)+IF(AND($T32="O3/CP",$T$14=E$18),VLOOKUP("O3",$R$63:$T$91,3,FALSE)+VLOOKUP("CP",$R$63:$T$91,3,FALSE),0)+IF(AND($U32&lt;&gt;"",$U32&lt;&gt;"--",$U32&lt;&gt;"O3/CP",$U$14=E$18),IF(LEFT($U32,1)="P",VLOOKUP(CONCATENATE(LEFT($U32,2),"H"),$R$63:$T$91,3,FALSE),VLOOKUP($U32,$R$63:$T$91,3,FALSE)))+IF(AND($U32&lt;&gt;"",$U32&lt;&gt;"O3/CP",$U$15=E$18,MID($U32,4,1)="2",$U$15&lt;&gt;$U$14),VLOOKUP(CONCATENATE(LEFT($U32,2),"L"),$R$63:$T$91,3,FALSE),0)+IF(AND($U32="O3/CP",$T$14=E$18),VLOOKUP("O3",$R$63:$T$91,3,FALSE)+VLOOKUP("CP",$R$63:$T$91,3,FALSE),0)+IF(AND($V32&lt;&gt;"",$V32&lt;&gt;"--",$V32&lt;&gt;"O3/CP",$V$14=E$18),IF(LEFT($V32,1)="P",VLOOKUP(CONCATENATE(LEFT($V32,2),"H"),$R$63:$T$91,3,FALSE),VLOOKUP($V32,$R$63:$T$91,3,FALSE)))+IF(AND($V32&lt;&gt;"",$V32&lt;&gt;"O3/CP",$V$15=E$18,MID($V32,4,1)="2",$V$15&lt;&gt;$V$14),VLOOKUP(CONCATENATE(LEFT($V32,2),"L"),$R$63:$T$91,3,FALSE),0)+IF(AND($V32="O3/CP",$V$14=E$18),VLOOKUP("O3",$R$63:$T$91,3,FALSE)+VLOOKUP("CP",$R$63:$T$91,3,FALSE),0)+IF(AND($W32&lt;&gt;"",$W32&lt;&gt;"--",$W32&lt;&gt;"O3/CP",$W$14=E$18),IF(LEFT($W32,1)="P",VLOOKUP(CONCATENATE(LEFT($W32,2),"H"),$R$63:$T$91,3,FALSE),VLOOKUP($W32,$R$63:$T$91,3,FALSE)))+IF(AND($W32&lt;&gt;"",$W32&lt;&gt;"O3/CP",$W$15=E$18,MID($W32,4,1)="2",$W$15&lt;&gt;$W$14),VLOOKUP(CONCATENATE(LEFT($W32,2),"L"),$R$63:$T$91,3,FALSE),0)+IF(AND($W32="O3/CP",$W$14=E$18),VLOOKUP("O3",$R$63:$T$91,3,FALSE)+VLOOKUP("CP",$R$63:$T$91,3,FALSE),0)+IF(AND($X32&lt;&gt;"",$X32&lt;&gt;"--",$X32&lt;&gt;"O3/CP",$X$14=E$18),IF(LEFT($X32,1)="P",VLOOKUP(CONCATENATE(LEFT($X32,2),"H"),$R$63:$T$91,3,FALSE),VLOOKUP($X32,$R$63:$T$91,3,FALSE)))+IF(AND($X32&lt;&gt;"",$X32&lt;&gt;"O3/CP",$X$15=E$18,MID($X32,4,1)="2",$X$15&lt;&gt;$X$14),VLOOKUP(CONCATENATE(LEFT($X32,2),"L"),$R$63:$T$91,3,FALSE),0)+IF(AND($X32="O3/CP",$X$14=E$18),VLOOKUP("O3",$R$63:$T$91,3,FALSE)+VLOOKUP("CP",$R$63:$T$91,3,FALSE),0)+IF(AND($Y32&lt;&gt;"",$Y32&lt;&gt;"--",$Y32&lt;&gt;"O3/CP",$Y$14=E$18),IF(LEFT($Y32,1)="P",VLOOKUP(CONCATENATE(LEFT($Y32,2),"H"),$R$63:$T$91,3,FALSE),VLOOKUP($Y32,$R$63:$T$91,3,FALSE)))+IF(AND($Y32&lt;&gt;"",$Y32&lt;&gt;"O3/CP",$Y$15=E$18,MID($Y32,4,1)="2",$Y$15&lt;&gt;$Y$14),VLOOKUP(CONCATENATE(LEFT($Y32,2),"L"),$R$63:$T$91,3,FALSE),0)+IF(AND($Y32="O3/CP",$Y$14=E$18),VLOOKUP("O3",$R$63:$T$91,3,FALSE)+VLOOKUP("CP",$R$63:$T$91,3,FALSE),0)+IF(AND($K$6="CE",'[3]Supply Attribution'!$G$20=E$18),LEFT($S$90,2),0)+IF(AND($X$86&lt;&gt;"Not Set",$X$87=E$18),$X$86,0)</f>
        <v>0</v>
      </c>
      <c r="F32" s="268">
        <f>IF(AND($K32&lt;&gt;"",$K32&lt;&gt;"--",$K32&lt;&gt;"O3/CP",$K$14=F$18),IF(LEFT($K32,1)="P",VLOOKUP(CONCATENATE(LEFT($K32,2),"H"),$R$63:$T$91,3,FALSE),VLOOKUP($K32,$R$63:$T$91,3,FALSE)))+IF(AND($K32&lt;&gt;"",$K32&lt;&gt;"O3/CP",$K$15=F$18,MID($K32,4,1)="2",$K$15&lt;&gt;$K$14),VLOOKUP(CONCATENATE(LEFT($K32,2),"L"),$R$63:$T$91,3,FALSE),0)+IF(AND($K32="O3/CP",$K$14=F$18),VLOOKUP("O3",$R$63:$T$91,3,FALSE)+VLOOKUP("CP",$R$63:$T$91,3,FALSE),0)+IF(AND($L32&lt;&gt;"",$L32&lt;&gt;"--",$L32&lt;&gt;"O3/CP",$L$14=F$18),IF(LEFT($L32,1)="P",VLOOKUP(CONCATENATE(LEFT($L32,2),"H"),$R$63:$T$91,3,FALSE),VLOOKUP($L32,$R$63:$T$91,3,FALSE)))+IF(AND($L32&lt;&gt;"",$L32&lt;&gt;"O3/CP",$L$15=F$18,MID($L32,4,1)="2",$L$15&lt;&gt;$L$14),VLOOKUP(CONCATENATE(LEFT($L32,2),"L"),$R$63:$T$91,3,FALSE),0)+IF(AND($L32="O3/CP",$L$14=F$18),VLOOKUP("O3",$R$63:$T$91,3,FALSE)+VLOOKUP("CP",$R$63:$T$91,3,FALSE),0)+IF(AND($M32&lt;&gt;"",$M32&lt;&gt;"--",$M32&lt;&gt;"O3/CP",$M$14=F$18),IF(LEFT($M32,1)="P",VLOOKUP(CONCATENATE(LEFT($M32,2),"H"),$R$63:$T$91,3,FALSE),VLOOKUP($M32,$R$63:$T$91,3,FALSE)))+IF(AND($M32&lt;&gt;"",$M32&lt;&gt;"O3/CP",$M$15=F$18,MID($M32,4,1)="2",$M$15&lt;&gt;$M$14),VLOOKUP(CONCATENATE(LEFT($M32,2),"L"),$R$63:$T$91,3,FALSE),0)+IF(AND($M32="O3/CP",$M$14=F$18),VLOOKUP("O3",$R$63:$T$91,3,FALSE)+VLOOKUP("CP",$R$63:$T$91,3,FALSE),0)+IF(AND($N32&lt;&gt;"",$N32&lt;&gt;"--",$N32&lt;&gt;"O3/CP",$N$14=F$18),IF(LEFT($N32,1)="P",VLOOKUP(CONCATENATE(LEFT($N32,2),"H"),$R$63:$T$91,3,FALSE),VLOOKUP($N32,$R$63:$T$91,3,FALSE)))+IF(AND($N32&lt;&gt;"",$N32&lt;&gt;"O3/CP",$N$15=F$18,MID($N32,4,1)="2",$N$15&lt;&gt;$N$14),VLOOKUP(CONCATENATE(LEFT($N32,2),"L"),$R$63:$T$91,3,FALSE),0)+IF(AND($N32="O3/CP",$N$14=F$18),VLOOKUP("O3",$R$63:$T$91,3,FALSE)+VLOOKUP("CP",$R$63:$T$91,3,FALSE),0)+IF(AND($O32&lt;&gt;"",$O32&lt;&gt;"--",$O32&lt;&gt;"O3/CP",$O$14=F$18),IF(LEFT($O32,1)="P",VLOOKUP(CONCATENATE(LEFT($O32,2),"H"),$R$63:$T$91,3,FALSE),VLOOKUP($O32,$R$63:$T$91,3,FALSE)))+IF(AND($O32&lt;&gt;"",$O32&lt;&gt;"O3/CP",$O$15=F$18,MID($O32,4,1)="2",$O$15&lt;&gt;$O$14),VLOOKUP(CONCATENATE(LEFT($O32,2),"L"),$R$63:$T$91,3,FALSE),0)+IF(AND($O32="O3/CP",$O$14=F$18),VLOOKUP("O3",$R$63:$T$91,3,FALSE)+VLOOKUP("CP",$R$63:$T$91,3,FALSE),0)+IF(AND($P32&lt;&gt;"",$P32&lt;&gt;"--",$P32&lt;&gt;"O3/CP",$P$14=F$18),IF(LEFT($P32,1)="P",VLOOKUP(CONCATENATE(LEFT($P32,2),"H"),$R$63:$T$91,3,FALSE),VLOOKUP($P32,$R$63:$T$91,3,FALSE)))+IF(AND($P32&lt;&gt;"",$P32&lt;&gt;"O3/CP",$P$15=F$18,MID($P32,4,1)="2",$P$15&lt;&gt;$P$14),VLOOKUP(CONCATENATE(LEFT($P32,2),"L"),$R$63:$T$91,3,FALSE),0)+IF(AND($P32="O3/CP",$P$14=F$18),VLOOKUP("O3",$R$63:$T$91,3,FALSE)+VLOOKUP("CP",$R$63:$T$91,3,FALSE),0)+IF(AND($Q32&lt;&gt;"",$Q32&lt;&gt;"--",$Q32&lt;&gt;"O3/CP",$Q$14=F$18),IF(LEFT($Q32,1)="P",VLOOKUP(CONCATENATE(LEFT($Q32,2),"H"),$R$63:$T$91,3,FALSE),VLOOKUP($Q32,$R$63:$T$91,3,FALSE)))+IF(AND($Q32&lt;&gt;"",$Q32&lt;&gt;"O3/CP",$Q$15=F$18,MID($Q32,4,1)="2",$Q$15&lt;&gt;$Q$14),VLOOKUP(CONCATENATE(LEFT($Q32,2),"L"),$R$63:$T$91,3,FALSE),0)+IF(AND($Q32="O3/CP",$Q$14=F$18),VLOOKUP("O3",$R$63:$T$91,3,FALSE)+VLOOKUP("CP",$R$63:$T$91,3,FALSE),0)+IF(AND($R32&lt;&gt;"",$R32&lt;&gt;"--",$R32&lt;&gt;"O3/CP",$R$14=F$18),IF(LEFT($R32,1)="P",VLOOKUP(CONCATENATE(LEFT($R32,2),"H"),$R$63:$T$91,3,FALSE),VLOOKUP($R32,$R$63:$T$91,3,FALSE)))+IF(AND($R32&lt;&gt;"",$R32&lt;&gt;"O3/CP",$R$15=F$18,MID($R32,4,1)="2",$R$15&lt;&gt;$R$14),VLOOKUP(CONCATENATE(LEFT($R32,2),"L"),$R$63:$T$91,3,FALSE),0)+IF(AND($R32="O3/CP",$R$14=F$18),VLOOKUP("O3",$R$63:$T$91,3,FALSE)+VLOOKUP("CP",$R$63:$T$91,3,FALSE),0)+IF(AND($S32&lt;&gt;"",$S32&lt;&gt;"--",$S32&lt;&gt;"O3/CP",$S$14=F$18),IF(LEFT($S32,1)="P",VLOOKUP(CONCATENATE(LEFT($S32,2),"H"),$R$63:$T$91,3,FALSE),VLOOKUP($S32,$R$63:$T$91,3,FALSE)))+IF(AND($S32&lt;&gt;"",$S32&lt;&gt;"O3/CP",$S$15=F$18,MID($S32,4,1)="2",$S$15&lt;&gt;$S$14),VLOOKUP(CONCATENATE(LEFT($S32,2),"L"),$R$63:$T$91,3,FALSE),0)+IF(AND($S32="O3/CP",$S$14=F$18),VLOOKUP("O3",$R$63:$T$91,3,FALSE)+VLOOKUP("CP",$R$63:$T$91,3,FALSE),0)+IF(AND($T32&lt;&gt;"",$T32&lt;&gt;"--",$T32&lt;&gt;"O3/CP",$T$14=F$18),IF(LEFT($T32,1)="P",VLOOKUP(CONCATENATE(LEFT($T32,2),"H"),$R$63:$T$91,3,FALSE),VLOOKUP($T32,$R$63:$T$91,3,FALSE)))+IF(AND($T32&lt;&gt;"",$T32&lt;&gt;"O3/CP",$T$15=F$18,MID($T32,4,1)="2",$T$15&lt;&gt;$T$14),VLOOKUP(CONCATENATE(LEFT($T32,2),"L"),$R$63:$T$91,3,FALSE),0)+IF(AND($T32="O3/CP",$T$14=F$18),VLOOKUP("O3",$R$63:$T$91,3,FALSE)+VLOOKUP("CP",$R$63:$T$91,3,FALSE),0)+IF(AND($U32&lt;&gt;"",$U32&lt;&gt;"--",$U32&lt;&gt;"O3/CP",$U$14=F$18),IF(LEFT($U32,1)="P",VLOOKUP(CONCATENATE(LEFT($U32,2),"H"),$R$63:$T$91,3,FALSE),VLOOKUP($U32,$R$63:$T$91,3,FALSE)))+IF(AND($U32&lt;&gt;"",$U32&lt;&gt;"O3/CP",$U$15=F$18,MID($U32,4,1)="2",$U$15&lt;&gt;$U$14),VLOOKUP(CONCATENATE(LEFT($U32,2),"L"),$R$63:$T$91,3,FALSE),0)+IF(AND($U32="O3/CP",$T$14=F$18),VLOOKUP("O3",$R$63:$T$91,3,FALSE)+VLOOKUP("CP",$R$63:$T$91,3,FALSE),0)+IF(AND($V32&lt;&gt;"",$V32&lt;&gt;"--",$V32&lt;&gt;"O3/CP",$V$14=F$18),IF(LEFT($V32,1)="P",VLOOKUP(CONCATENATE(LEFT($V32,2),"H"),$R$63:$T$91,3,FALSE),VLOOKUP($V32,$R$63:$T$91,3,FALSE)))+IF(AND($V32&lt;&gt;"",$V32&lt;&gt;"O3/CP",$V$15=F$18,MID($V32,4,1)="2",$V$15&lt;&gt;$V$14),VLOOKUP(CONCATENATE(LEFT($V32,2),"L"),$R$63:$T$91,3,FALSE),0)+IF(AND($V32="O3/CP",$V$14=F$18),VLOOKUP("O3",$R$63:$T$91,3,FALSE)+VLOOKUP("CP",$R$63:$T$91,3,FALSE),0)+IF(AND($W32&lt;&gt;"",$W32&lt;&gt;"--",$W32&lt;&gt;"O3/CP",$W$14=F$18),IF(LEFT($W32,1)="P",VLOOKUP(CONCATENATE(LEFT($W32,2),"H"),$R$63:$T$91,3,FALSE),VLOOKUP($W32,$R$63:$T$91,3,FALSE)))+IF(AND($W32&lt;&gt;"",$W32&lt;&gt;"O3/CP",$W$15=F$18,MID($W32,4,1)="2",$W$15&lt;&gt;$W$14),VLOOKUP(CONCATENATE(LEFT($W32,2),"L"),$R$63:$T$91,3,FALSE),0)+IF(AND($W32="O3/CP",$W$14=F$18),VLOOKUP("O3",$R$63:$T$91,3,FALSE)+VLOOKUP("CP",$R$63:$T$91,3,FALSE),0)+IF(AND($X32&lt;&gt;"",$X32&lt;&gt;"--",$X32&lt;&gt;"O3/CP",$X$14=F$18),IF(LEFT($X32,1)="P",VLOOKUP(CONCATENATE(LEFT($X32,2),"H"),$R$63:$T$91,3,FALSE),VLOOKUP($X32,$R$63:$T$91,3,FALSE)))+IF(AND($X32&lt;&gt;"",$X32&lt;&gt;"O3/CP",$X$15=F$18,MID($X32,4,1)="2",$X$15&lt;&gt;$X$14),VLOOKUP(CONCATENATE(LEFT($X32,2),"L"),$R$63:$T$91,3,FALSE),0)+IF(AND($X32="O3/CP",$X$14=F$18),VLOOKUP("O3",$R$63:$T$91,3,FALSE)+VLOOKUP("CP",$R$63:$T$91,3,FALSE),0)+IF(AND($Y32&lt;&gt;"",$Y32&lt;&gt;"--",$Y32&lt;&gt;"O3/CP",$Y$14=F$18),IF(LEFT($Y32,1)="P",VLOOKUP(CONCATENATE(LEFT($Y32,2),"H"),$R$63:$T$91,3,FALSE),VLOOKUP($Y32,$R$63:$T$91,3,FALSE)))+IF(AND($Y32&lt;&gt;"",$Y32&lt;&gt;"O3/CP",$Y$15=F$18,MID($Y32,4,1)="2",$Y$15&lt;&gt;$Y$14),VLOOKUP(CONCATENATE(LEFT($Y32,2),"L"),$R$63:$T$91,3,FALSE),0)+IF(AND($Y32="O3/CP",$Y$14=F$18),VLOOKUP("O3",$R$63:$T$91,3,FALSE)+VLOOKUP("CP",$R$63:$T$91,3,FALSE),0)+IF(AND($K$6="CE",'[3]Supply Attribution'!$G$20=F$18),LEFT($S$90,2),0)+IF(AND($X$86&lt;&gt;"Not Set",$X$87=F$18),$X$86,0)</f>
        <v>0</v>
      </c>
      <c r="G32" s="269">
        <f>IF(AND($K$6="CE",$T$59="1 Phase"),SUM(A32:F32)-IF(AND($K$14&lt;&gt;$K$15,RIGHT($K32,3)="2SP"),VLOOKUP(CONCATENATE(LEFT($K32,2),"L"),$R$63:$T$90,3,FALSE),0)-IF(AND($L$14&lt;&gt;$L$15,RIGHT($L32,3)="2SP"),VLOOKUP(CONCATENATE(LEFT($L32,2),"L"),$R$63:$T$90,3,FALSE),0)-IF(AND($M$14&lt;&gt;$M$15,RIGHT($M32,3)="2SP"),VLOOKUP(CONCATENATE(LEFT($M32,2),"L"),$R$63:$T$90,3,FALSE),0)-IF(AND($N$14&lt;&gt;$N$15,RIGHT($N32,3)="2SP"),VLOOKUP(CONCATENATE(LEFT($N32,2),"L"),$R$63:$T$90,3,FALSE),0)-IF(AND($O$14&lt;&gt;$O$15,RIGHT($O32,3)="2SP"),VLOOKUP(CONCATENATE(LEFT($O32,2),"L"),$R$63:$T$90,3,FALSE),0)-IF(AND($P$14&lt;&gt;$P$15,RIGHT($P32,3)="2SP"),VLOOKUP(CONCATENATE(LEFT($P32,2),"L"),$R$63:$T$90,3,FALSE),0)-IF(AND($Q$14&lt;&gt;$Q$15,RIGHT($Q32,3)="2SP"),VLOOKUP(CONCATENATE(LEFT($Q32,2),"L"),$R$63:$T$90,3,FALSE),0)-IF(AND($R$14&lt;&gt;$R$15,RIGHT($T32,3)="2SP"),VLOOKUP(CONCATENATE(LEFT($R32,2),"L"),$R$63:$T$90,3,FALSE),0)-IF(AND($S$14&lt;&gt;$S$15,RIGHT($T32,3)="2SP"),VLOOKUP(CONCATENATE(LEFT($S32,2),"L"),$R$63:$T$90,3,FALSE),0)-IF(AND($T$14&lt;&gt;$T$15,RIGHT($T32,3)="2SP"),VLOOKUP(CONCATENATE(LEFT($T32,2),"L"),$R$63:$T$90,3,FALSE),0)-IF(AND($U$14&lt;&gt;$U$15,RIGHT($U32,3)="2SP"),VLOOKUP(CONCATENATE(LEFT($U32,2),"L"),$R$63:$T$90,3,FALSE),0)-IF(AND($V$14&lt;&gt;$V$15,RIGHT($V32,3)="2SP"),VLOOKUP(CONCATENATE(LEFT($V32,2),"L"),$R$63:$T$90,3,FALSE),0)-IF(AND($W$14&lt;&gt;$W$15,RIGHT($W32,3)="2SP"),VLOOKUP(CONCATENATE(LEFT($W32,2),"L"),$R$63:$T$90,3,FALSE),0)-IF(AND($X$14&lt;&gt;$X$15,RIGHT($X32,3)="2SP"),VLOOKUP(CONCATENATE(LEFT($X32,2),"L"),$R$63:$T$90,3,FALSE),0)-IF(AND($Y$14&lt;&gt;$Y$15,RIGHT($Y32,3)="2SP"),VLOOKUP(CONCATENATE(LEFT($Y32,2),"L"),$R$63:$T$90,3,FALSE),0),IF(VLOOKUP(CONCATENATE($A$18,"Line"),'[3]Supply Attribution'!$F$31:$G$37,2,FALSE)=G$18,$A32,0)+IF(VLOOKUP(CONCATENATE($B$18,"Line"),'[3]Supply Attribution'!$F$31:$G$37,2,FALSE)=G$18,$B32,0)+IF(VLOOKUP(CONCATENATE($C$18,"Line"),'[3]Supply Attribution'!$F$31:$G$37,2,FALSE)=G$18,$C32,0)+IF(VLOOKUP(CONCATENATE($D$18,"Line"),'[3]Supply Attribution'!$F$31:$G$37,2,FALSE)=G$18,$D32,0)+IF(VLOOKUP(CONCATENATE($E$18,"Line"),'[3]Supply Attribution'!$F$31:$G$37,2,FALSE)=G$18,$E32,0)+IF(VLOOKUP(CONCATENATE($F$18,"Line"),'[3]Supply Attribution'!$F$31:$G$37,2,FALSE)=G$18,$F32,0)+IF($K$6="UL",LEFT($S$90,2),0)-IF(AND($K$16=G$18,$K$14&lt;&gt;$K$15,$K$16=$K$17,RIGHT($K32,3)="2SP"),VLOOKUP(CONCATENATE(LEFT($K32,2),"L"),$R$63:$T$90,3,FALSE),0)-IF(AND($L$16=G$18,$L$14&lt;&gt;$L$15,$L$16=$L$17,RIGHT($L32,3)="2SP"),VLOOKUP(CONCATENATE(LEFT($L32,2),"L"),$R$63:$T$90,3,FALSE),0)-IF(AND($M$16=G$18,$M$14&lt;&gt;$M$15,$M$16=$M$17,RIGHT($M32,3)="2SP"),VLOOKUP(CONCATENATE(LEFT($M32,2),"L"),$R$63:$T$90,3,FALSE),0)-IF(AND($N$16=G$18,$N$14&lt;&gt;$N$15,$N$16=$N$17,RIGHT($N32,3)="2SP"),VLOOKUP(CONCATENATE(LEFT($N32,2),"L"),$R$63:$T$90,3,FALSE),0)-IF(AND($O$16=G$18,$O$14&lt;&gt;$O$15,$O$16=$O$17,RIGHT($O32,3)="2SP"),VLOOKUP(CONCATENATE(LEFT($O32,2),"L"),$R$63:$T$90,3,FALSE),0)-IF(AND($P$16=G$18,$P$14&lt;&gt;$P$15,$P$16=$P$17,RIGHT($P32,3)="2SP"),VLOOKUP(CONCATENATE(LEFT($P32,2),"L"),$R$63:$T$90,3,FALSE),0)-IF(AND($Q$16=G$18,$Q$14&lt;&gt;$Q$15,$Q$16=$Q$17,RIGHT($Q32,3)="2SP"),VLOOKUP(CONCATENATE(LEFT($Q32,2),"L"),$R$63:$T$90,3,FALSE),0)-IF(AND($R$16=G$18,$R$14&lt;&gt;$R$15,$R$16=$R$17,RIGHT($R32,3)="2SP"),VLOOKUP(CONCATENATE(LEFT($R32,2),"L"),$R$63:$T$90,3,FALSE),0)-IF(AND($S$16=G$18,$S$14&lt;&gt;$S$15,$S$16=$S$17,RIGHT($S32,3)="2SP"),VLOOKUP(CONCATENATE(LEFT($S32,2),"L"),$R$63:$T$90,3,FALSE),0)-IF(AND($T$16=G$18,$T$14&lt;&gt;$T$15,$T$16=$T$17,RIGHT($T32,3)="2SP"),VLOOKUP(CONCATENATE(LEFT($T32,2),"L"),$R$63:$T$90,3,FALSE),0)-IF(AND($U$16=G$18,$U$14&lt;&gt;$U$15,$U$16=$U$17,RIGHT($U32,3)="2SP"),VLOOKUP(CONCATENATE(LEFT($U32,2),"L"),$R$63:$T$90,3,FALSE),0)-IF(AND($V$16=G$18,$V$14&lt;&gt;$V$15,$V$16=$V$17,RIGHT($V32,3)="2SP"),VLOOKUP(CONCATENATE(LEFT($V32,2),"L"),$R$63:$T$90,3,FALSE),0)-IF(AND($W$16=G$18,$W$14&lt;&gt;$W$15,$W$16=$W$17,RIGHT($W32,3)="2SP"),VLOOKUP(CONCATENATE(LEFT($W32,2),"L"),$R$63:$T$90,3,FALSE),0)-IF(AND($X$16=G$18,$X$14&lt;&gt;$X$15,$X$16=$X$17,RIGHT($X32,3)="2SP"),VLOOKUP(CONCATENATE(LEFT($X32,2),"L"),$R$63:$T$90,3,FALSE),0)-IF(AND($Y$16=G$18,$Y$14&lt;&gt;$Y$15,$Y$16=$Y$17,RIGHT($Y32,3)="2SP"),VLOOKUP(CONCATENATE(LEFT($Y32,2),"L"),$R$63:$T$90,3,FALSE),0))</f>
        <v>17</v>
      </c>
      <c r="H32" s="269" t="str">
        <f>IF(H$18&lt;&gt;"",IF(VLOOKUP(CONCATENATE($A$18,"Line"),'Supply Attribution'!$F$31:$G$37,2,FALSE)=H$18,$A32,0)+IF(VLOOKUP(CONCATENATE($B$18,"Line"),'Supply Attribution'!$F$31:$G$37,2,FALSE)=H$18,$B32,0)+IF(VLOOKUP(CONCATENATE($C$18,"Line"),'Supply Attribution'!$F$31:$G$37,2,FALSE)=H$18,$C32,0)+IF(VLOOKUP(CONCATENATE($D$18,"Line"),'Supply Attribution'!$F$31:$G$37,2,FALSE)=H$18,$D32,0)+IF(VLOOKUP(CONCATENATE($E$18,"Line"),'Supply Attribution'!$F$31:$G$37,2,FALSE)=H$18,$E32,0)+IF(VLOOKUP(CONCATENATE($F$18,"Line"),'Supply Attribution'!$F$31:$G$37,2,FALSE)=H$18,$F32,0)+IF($K$6="UL",LEFT($S$90,2),0)-IF(AND($K$16=H$18,$K$14&lt;&gt;$K$15,$K$16=$K$17,RIGHT($K32,3)="2SP"),VLOOKUP(CONCATENATE(LEFT($K32,2),"L"),$R$63:$T$90,3,FALSE),0)-IF(AND($L$16=H$18,$L$14&lt;&gt;$L$15,$L$16=$L$17,RIGHT($L32,3)="2SP"),VLOOKUP(CONCATENATE(LEFT($L32,2),"L"),$R$63:$T$90,3,FALSE),0)-IF(AND($M$16=H$18,$M$14&lt;&gt;$M$15,$M$16=$M$17,RIGHT($M32,3)="2SP"),VLOOKUP(CONCATENATE(LEFT($M32,2),"L"),$R$63:$T$90,3,FALSE),0)-IF(AND($N$16=H$18,$N$14&lt;&gt;$N$15,$N$16=$N$17,RIGHT($N32,3)="2SP"),VLOOKUP(CONCATENATE(LEFT($N32,2),"L"),$R$63:$T$90,3,FALSE),0)-IF(AND($O$16=H$18,$O$14&lt;&gt;$O$15,$O$16=$O$17,RIGHT($O32,3)="2SP"),VLOOKUP(CONCATENATE(LEFT($O32,2),"L"),$R$63:$T$90,3,FALSE),0)-IF(AND($P$16=H$18,$P$14&lt;&gt;$P$15,$P$16=$P$17,RIGHT($P32,3)="2SP"),VLOOKUP(CONCATENATE(LEFT($P32,2),"L"),$R$63:$T$90,3,FALSE),0)-IF(AND($Q$16=H$18,$Q$14&lt;&gt;$Q$15,$Q$16=$Q$17,RIGHT($Q32,3)="2SP"),VLOOKUP(CONCATENATE(LEFT($Q32,2),"L"),$R$63:$T$90,3,FALSE),0)-IF(AND($T$16=H$18,$T$14&lt;&gt;$T$15,$T$16=$T$17,RIGHT($T32,3)="2SP"),VLOOKUP(CONCATENATE(LEFT($T32,2),"L"),$R$63:$T$90,3,FALSE),0)-IF(AND($U$16=H$18,$U$14&lt;&gt;$U$15,$U$16=$U$17,RIGHT($U32,3)="2SP"),VLOOKUP(CONCATENATE(LEFT($U32,2),"L"),$R$63:$T$90,3,FALSE),0)-IF(AND($V$16=H$18,$V$14&lt;&gt;$V$15,$V$16=$V$17,RIGHT($V32,3)="2SP"),VLOOKUP(CONCATENATE(LEFT($V32,2),"L"),$R$63:$T$90,3,FALSE),0)-IF(AND($W$16=H$18,$W$14&lt;&gt;$W$15,$W$16=$W$17,RIGHT($W32,3)="2SP"),VLOOKUP(CONCATENATE(LEFT($W32,2),"L"),$R$63:$T$90,3,FALSE),0)-IF(AND($X$16=H$18,$X$14&lt;&gt;$X$15,$X$16=$X$17,RIGHT($X32,3)="2SP"),VLOOKUP(CONCATENATE(LEFT($X32,2),"L"),$R$63:$T$90,3,FALSE),0)-IF(AND($Y$16=H$18,$Y$14&lt;&gt;$Y$15,$Y$16=$Y$17,RIGHT($Y32,3)="2SP"),VLOOKUP(CONCATENATE(LEFT($Y32,2),"L"),$R$63:$T$90,3,FALSE),0)+IF(AND($K$6="CE",$T$59="2 Phases",H$18&lt;&gt;""),IF(VLOOKUP(CONCATENATE($A$18,"Line"),'Supply Attribution'!$F$31:$G$37,2,FALSE)="Line3",$A32,0)+IF(VLOOKUP(CONCATENATE($B$18,"Line"),'Supply Attribution'!$F$31:$G$37,2,FALSE)="Line3",$B32,0)+IF(VLOOKUP(CONCATENATE($C$18,"Line"),'Supply Attribution'!$F$31:$G$37,2,FALSE)="Line3",$C32,0)+IF(VLOOKUP(CONCATENATE($D$18,"Line"),'Supply Attribution'!$F$31:$G$37,2,FALSE)="Line3",$D32,0)+IF(VLOOKUP(CONCATENATE($E$18,"Line"),'Supply Attribution'!$F$31:$G$37,2,FALSE)="Line3",$E32,0)+IF(VLOOKUP(CONCATENATE($F$18,"Line"),'Supply Attribution'!$F$31:$G$37,2,FALSE)="Line3",$F32,0)-IF(AND($K$16=I$18,$K$14&lt;&gt;$K$15,$K$16=$K$17,RIGHT($K32,3)="2SP"),VLOOKUP(CONCATENATE(LEFT($K32,2),"L"),$R$63:$T$90,3,FALSE),0)-IF(AND($L$16=I$18,$L$14&lt;&gt;$L$15,$L$16=$L$17,RIGHT($L32,3)="2SP"),VLOOKUP(CONCATENATE(LEFT($L32,2),"L"),$R$63:$T$90,3,FALSE),0)-IF(AND($M$16=I$18,$M$14&lt;&gt;$M$15,$M$16=$M$17,RIGHT($M32,3)="2SP"),VLOOKUP(CONCATENATE(LEFT($M32,2),"L"),$R$63:$T$90,3,FALSE),0)-IF(AND($N$16=I$18,$N$14&lt;&gt;$N$15,$N$16=$N$17,RIGHT($N32,3)="2SP"),VLOOKUP(CONCATENATE(LEFT($N32,2),"L"),$R$63:$T$90,3,FALSE),0)-IF(AND($O$16=I$18,$O$14&lt;&gt;$O$15,$O$16=$O$17,RIGHT($O32,3)="2SP"),VLOOKUP(CONCATENATE(LEFT($O32,2),"L"),$R$63:$T$90,3,FALSE),0)-IF(AND($P$16=I$18,$P$14&lt;&gt;$P$15,$P$16=$P$17,RIGHT($P32,3)="2SP"),VLOOKUP(CONCATENATE(LEFT($P32,2),"L"),$R$63:$T$90,3,FALSE),0)-IF(AND($Q$16=I$18,$Q$14&lt;&gt;$Q$15,$Q$16=$Q$17,RIGHT($Q32,3)="2SP"),VLOOKUP(CONCATENATE(LEFT($Q32,2),"L"),$R$63:$T$90,3,FALSE),0)-IF(AND($T$16=I$18,$T$14&lt;&gt;$T$15,$T$16=$T$17,RIGHT($T32,3)="2SP"),VLOOKUP(CONCATENATE(LEFT($T32,2),"L"),$R$63:$T$90,3,FALSE),0)-IF(AND($U$16=I$18,$U$14&lt;&gt;$U$15,$U$16=$U$17,RIGHT($U32,3)="2SP"),VLOOKUP(CONCATENATE(LEFT($U32,2),"L"),$R$63:$T$90,3,FALSE),0)-IF(AND($V$16=I$18,$V$14&lt;&gt;$V$15,$V$16=$V$17,RIGHT($V32,3)="2SP"),VLOOKUP(CONCATENATE(LEFT($V32,2),"L"),$R$63:$T$90,3,FALSE),0)-IF(AND($W$16=I$18,$W$14&lt;&gt;$W$15,$W$16=$W$17,RIGHT($W32,3)="2SP"),VLOOKUP(CONCATENATE(LEFT($W32,2),"L"),$R$63:$T$90,3,FALSE),0)-IF(AND($X$16=I$18,$X$14&lt;&gt;$X$15,$X$16=$X$17,RIGHT($X32,3)="2SP"),VLOOKUP(CONCATENATE(LEFT($X32,2),"L"),$R$63:$T$90,3,FALSE),0)-IF(AND($Y$16=I$18,$Y$14&lt;&gt;$Y$15,$Y$16=$Y$17,RIGHT($Y32,3)="2SP"),VLOOKUP(CONCATENATE(LEFT($Y32,2),"L"),$R$63:$T$90,3,FALSE),0),0),"")</f>
        <v/>
      </c>
      <c r="I32" s="269" t="str">
        <f>IF(I$18&lt;&gt;"",IF(VLOOKUP(CONCATENATE($A$18,"Line"),'Supply Attribution'!$F$31:$G$37,2,FALSE)=I$18,$A32,0)+IF(VLOOKUP(CONCATENATE($B$18,"Line"),'Supply Attribution'!$F$31:$G$37,2,FALSE)=I$18,$B32,0)+IF(VLOOKUP(CONCATENATE($C$18,"Line"),'Supply Attribution'!$F$31:$G$37,2,FALSE)=I$18,$C32,0)+IF(VLOOKUP(CONCATENATE($D$18,"Line"),'Supply Attribution'!$F$31:$G$37,2,FALSE)=I$18,$D32,0)+IF(VLOOKUP(CONCATENATE($E$18,"Line"),'Supply Attribution'!$F$31:$G$37,2,FALSE)=I$18,$E32,0)+IF(VLOOKUP(CONCATENATE($F$18,"Line"),'Supply Attribution'!$F$31:$G$37,2,FALSE)=I$18,$F32,0)+IF($K$6="UL",LEFT($S$90,2),0)-IF(AND($K$16=I$18,$K$14&lt;&gt;$K$15,$K$16=$K$17,RIGHT($K32,3)="2SP"),VLOOKUP(CONCATENATE(LEFT($K32,2),"L"),$R$63:$T$90,3,FALSE),0)-IF(AND($L$16=I$18,$L$14&lt;&gt;$L$15,$L$16=$L$17,RIGHT($L32,3)="2SP"),VLOOKUP(CONCATENATE(LEFT($L32,2),"L"),$R$63:$T$90,3,FALSE),0)-IF(AND($M$16=I$18,$M$14&lt;&gt;$M$15,$M$16=$M$17,RIGHT($M32,3)="2SP"),VLOOKUP(CONCATENATE(LEFT($M32,2),"L"),$R$63:$T$90,3,FALSE),0)-IF(AND($N$16=I$18,$N$14&lt;&gt;$N$15,$N$16=$N$17,RIGHT($N32,3)="2SP"),VLOOKUP(CONCATENATE(LEFT($N32,2),"L"),$R$63:$T$90,3,FALSE),0)-IF(AND($O$16=I$18,$O$14&lt;&gt;$O$15,$O$16=$O$17,RIGHT($O32,3)="2SP"),VLOOKUP(CONCATENATE(LEFT($O32,2),"L"),$R$63:$T$90,3,FALSE),0)-IF(AND($P$16=I$18,$P$14&lt;&gt;$P$15,$P$16=$P$17,RIGHT($P32,3)="2SP"),VLOOKUP(CONCATENATE(LEFT($P32,2),"L"),$R$63:$T$90,3,FALSE),0)-IF(AND($Q$16=I$18,$Q$14&lt;&gt;$Q$15,$Q$16=$Q$17,RIGHT($Q32,3)="2SP"),VLOOKUP(CONCATENATE(LEFT($Q32,2),"L"),$R$63:$T$90,3,FALSE),0)-IF(AND($T$16=I$18,$T$14&lt;&gt;$T$15,$T$16=$T$17,RIGHT($T32,3)="2SP"),VLOOKUP(CONCATENATE(LEFT($T32,2),"L"),$R$63:$T$90,3,FALSE),0)-IF(AND($U$16=I$18,$U$14&lt;&gt;$U$15,$U$16=$U$17,RIGHT($U32,3)="2SP"),VLOOKUP(CONCATENATE(LEFT($U32,2),"L"),$R$63:$T$90,3,FALSE),0)-IF(AND($V$16=I$18,$V$14&lt;&gt;$V$15,$V$16=$V$17,RIGHT($V32,3)="2SP"),VLOOKUP(CONCATENATE(LEFT($V32,2),"L"),$R$63:$T$90,3,FALSE),0)-IF(AND($W$16=I$18,$W$14&lt;&gt;$W$15,$W$16=$W$17,RIGHT($W32,3)="2SP"),VLOOKUP(CONCATENATE(LEFT($W32,2),"L"),$R$63:$T$90,3,FALSE),0)-IF(AND($X$16=I$18,$X$14&lt;&gt;$X$15,$X$16=$X$17,RIGHT($X32,3)="2SP"),VLOOKUP(CONCATENATE(LEFT($X32,2),"L"),$R$63:$T$90,3,FALSE),0)-IF(AND($Y$16=I$18,$Y$14&lt;&gt;$Y$15,$Y$16=$Y$17,RIGHT($Y32,3)="2SP"),VLOOKUP(CONCATENATE(LEFT($Y32,2),"L"),$R$63:$T$90,3,FALSE),0),"")</f>
        <v/>
      </c>
      <c r="J32" s="134"/>
      <c r="K32" s="135"/>
      <c r="L32" s="135"/>
      <c r="M32" s="135"/>
      <c r="N32" s="135"/>
      <c r="O32" s="135"/>
      <c r="P32" s="135"/>
      <c r="Q32" s="135"/>
      <c r="R32" s="135"/>
      <c r="S32" s="135"/>
      <c r="T32" s="135"/>
      <c r="U32" s="135"/>
      <c r="V32" s="135"/>
      <c r="W32" s="135"/>
      <c r="X32" s="135"/>
      <c r="Y32" s="135"/>
      <c r="Z32" s="136"/>
      <c r="AA32" s="136"/>
      <c r="AB32" s="137"/>
      <c r="AC32" s="137"/>
      <c r="AD32" s="137"/>
      <c r="AE32" s="138">
        <f t="shared" si="0"/>
        <v>0</v>
      </c>
      <c r="AF32" s="78"/>
    </row>
    <row r="33" spans="1:32" ht="13.15" customHeight="1">
      <c r="A33" s="264">
        <f>IF(AND($K33&lt;&gt;"",$K33&lt;&gt;"--",$K33&lt;&gt;"O3/CP",$K$14=A$18),IF(LEFT($K33,1)="P",VLOOKUP(CONCATENATE(LEFT($K33,2),"H"),$R$63:$T$91,3,FALSE),VLOOKUP($K33,$R$63:$T$91,3,FALSE)))+IF(AND($K33&lt;&gt;"",$K33&lt;&gt;"O3/CP",$K$15=A$18,MID($K33,4,1)="2",$K$15&lt;&gt;$K$14),VLOOKUP(CONCATENATE(LEFT($K33,2),"L"),$R$63:$T$91,3,FALSE),0)+IF(AND($K33="O3/CP",$K$14=A$18),VLOOKUP("O3",$R$63:$T$91,3,FALSE)+VLOOKUP("CP",$R$63:$T$91,3,FALSE),0)+IF(AND($L33&lt;&gt;"",$L33&lt;&gt;"--",$L33&lt;&gt;"O3/CP",$L$14=A$18),IF(LEFT($L33,1)="P",VLOOKUP(CONCATENATE(LEFT($L33,2),"H"),$R$63:$T$91,3,FALSE),VLOOKUP($L33,$R$63:$T$91,3,FALSE)))+IF(AND($L33&lt;&gt;"",$L33&lt;&gt;"O3/CP",$L$15=A$18,MID($L33,4,1)="2",$L$15&lt;&gt;$L$14),VLOOKUP(CONCATENATE(LEFT($L33,2),"L"),$R$63:$T$91,3,FALSE),0)+IF(AND($L33="O3/CP",$L$14=A$18),VLOOKUP("O3",$R$63:$T$91,3,FALSE)+VLOOKUP("CP",$R$63:$T$91,3,FALSE),0)+IF(AND($M33&lt;&gt;"",$M33&lt;&gt;"--",$M33&lt;&gt;"O3/CP",$M$14=A$18),IF(LEFT($M33,1)="P",VLOOKUP(CONCATENATE(LEFT($M33,2),"H"),$R$63:$T$91,3,FALSE),VLOOKUP($M33,$R$63:$T$91,3,FALSE)))+IF(AND($M33&lt;&gt;"",$M33&lt;&gt;"O3/CP",$M$15=A$18,MID($M33,4,1)="2",$M$15&lt;&gt;$M$14),VLOOKUP(CONCATENATE(LEFT($M33,2),"L"),$R$63:$T$91,3,FALSE),0)+IF(AND($M33="O3/CP",$M$14=A$18),VLOOKUP("O3",$R$63:$T$91,3,FALSE)+VLOOKUP("CP",$R$63:$T$91,3,FALSE),0)+IF(AND($N33&lt;&gt;"",$N33&lt;&gt;"--",$N33&lt;&gt;"O3/CP",$N$14=A$18),IF(LEFT($N33,1)="P",VLOOKUP(CONCATENATE(LEFT($N33,2),"H"),$R$63:$T$91,3,FALSE),VLOOKUP($N33,$R$63:$T$91,3,FALSE)))+IF(AND($N33&lt;&gt;"",$N33&lt;&gt;"O3/CP",$N$15=A$18,MID($N33,4,1)="2",$N$15&lt;&gt;$N$14),VLOOKUP(CONCATENATE(LEFT($N33,2),"L"),$R$63:$T$91,3,FALSE),0)+IF(AND($N33="O3/CP",$N$14=A$18),VLOOKUP("O3",$R$63:$T$91,3,FALSE)+VLOOKUP("CP",$R$63:$T$91,3,FALSE),0)+IF(AND($O33&lt;&gt;"",$O33&lt;&gt;"--",$O33&lt;&gt;"O3/CP",$O$14=A$18),IF(LEFT($O33,1)="P",VLOOKUP(CONCATENATE(LEFT($O33,2),"H"),$R$63:$T$91,3,FALSE),VLOOKUP($O33,$R$63:$T$91,3,FALSE)))+IF(AND($O33&lt;&gt;"",$O33&lt;&gt;"O3/CP",$O$15=A$18,MID($O33,4,1)="2",$O$15&lt;&gt;$O$14),VLOOKUP(CONCATENATE(LEFT($O33,2),"L"),$R$63:$T$91,3,FALSE),0)+IF(AND($O33="O3/CP",$O$14=A$18),VLOOKUP("O3",$R$63:$T$91,3,FALSE)+VLOOKUP("CP",$R$63:$T$91,3,FALSE),0)+IF(AND($P33&lt;&gt;"",$P33&lt;&gt;"--",$P33&lt;&gt;"O3/CP",$P$14=A$18),IF(LEFT($P33,1)="P",VLOOKUP(CONCATENATE(LEFT($P33,2),"H"),$R$63:$T$91,3,FALSE),VLOOKUP($P33,$R$63:$T$91,3,FALSE)))+IF(AND($P33&lt;&gt;"",$P33&lt;&gt;"O3/CP",$P$15=A$18,MID($P33,4,1)="2",$P$15&lt;&gt;$P$14),VLOOKUP(CONCATENATE(LEFT($P33,2),"L"),$R$63:$T$91,3,FALSE),0)+IF(AND($P33="O3/CP",$P$14=A$18),VLOOKUP("O3",$R$63:$T$91,3,FALSE)+VLOOKUP("CP",$R$63:$T$91,3,FALSE),0)+IF(AND($Q33&lt;&gt;"",$Q33&lt;&gt;"--",$Q33&lt;&gt;"O3/CP",$Q$14=A$18),IF(LEFT($Q33,1)="P",VLOOKUP(CONCATENATE(LEFT($Q33,2),"H"),$R$63:$T$91,3,FALSE),VLOOKUP($Q33,$R$63:$T$91,3,FALSE)))+IF(AND($Q33&lt;&gt;"",$Q33&lt;&gt;"O3/CP",$Q$15=A$18,MID($Q33,4,1)="2",$Q$15&lt;&gt;$Q$14),VLOOKUP(CONCATENATE(LEFT($Q33,2),"L"),$R$63:$T$91,3,FALSE),0)+IF(AND($Q33="O3/CP",$Q$14=A$18),VLOOKUP("O3",$R$63:$T$91,3,FALSE)+VLOOKUP("CP",$R$63:$T$91,3,FALSE),0)+IF(AND($R33&lt;&gt;"",$R33&lt;&gt;"--",$R33&lt;&gt;"O3/CP",$R$14=A$18),IF(LEFT($R33,1)="P",VLOOKUP(CONCATENATE(LEFT($R33,2),"H"),$R$63:$T$91,3,FALSE),VLOOKUP($R33,$R$63:$T$91,3,FALSE)))+IF(AND($R33&lt;&gt;"",$R33&lt;&gt;"O3/CP",$R$15=A$18,MID($R33,4,1)="2",$R$15&lt;&gt;$R$14),VLOOKUP(CONCATENATE(LEFT($R33,2),"L"),$R$63:$T$91,3,FALSE),0)+IF(AND($R33="O3/CP",$R$14=A$18),VLOOKUP("O3",$R$63:$T$91,3,FALSE)+VLOOKUP("CP",$R$63:$T$91,3,FALSE),0)+IF(AND($S33&lt;&gt;"",$S33&lt;&gt;"--",$S33&lt;&gt;"O3/CP",$S$14=A$18),IF(LEFT($S33,1)="P",VLOOKUP(CONCATENATE(LEFT($S33,2),"H"),$R$63:$T$91,3,FALSE),VLOOKUP($S33,$R$63:$T$91,3,FALSE)))+IF(AND($S33&lt;&gt;"",$S33&lt;&gt;"O3/CP",$S$15=A$18,MID($S33,4,1)="2",$S$15&lt;&gt;$S$14),VLOOKUP(CONCATENATE(LEFT($S33,2),"L"),$R$63:$T$91,3,FALSE),0)+IF(AND($S33="O3/CP",$S$14=A$18),VLOOKUP("O3",$R$63:$T$91,3,FALSE)+VLOOKUP("CP",$R$63:$T$91,3,FALSE),0)+IF(AND($T33&lt;&gt;"",$T33&lt;&gt;"--",$T33&lt;&gt;"O3/CP",$T$14=A$18),IF(LEFT($T33,1)="P",VLOOKUP(CONCATENATE(LEFT($T33,2),"H"),$R$63:$T$91,3,FALSE),VLOOKUP($T33,$R$63:$T$91,3,FALSE)))+IF(AND($T33&lt;&gt;"",$T33&lt;&gt;"O3/CP",$T$15=A$18,MID($T33,4,1)="2",$T$15&lt;&gt;$T$14),VLOOKUP(CONCATENATE(LEFT($T33,2),"L"),$R$63:$T$91,3,FALSE),0)+IF(AND($T33="O3/CP",$T$14=A$18),VLOOKUP("O3",$R$63:$T$91,3,FALSE)+VLOOKUP("CP",$R$63:$T$91,3,FALSE),0)+IF(AND($U33&lt;&gt;"",$U33&lt;&gt;"--",$U33&lt;&gt;"O3/CP",$U$14=A$18),IF(LEFT($U33,1)="P",VLOOKUP(CONCATENATE(LEFT($U33,2),"H"),$R$63:$T$91,3,FALSE),VLOOKUP($U33,$R$63:$T$91,3,FALSE)))+IF(AND($U33&lt;&gt;"",$U33&lt;&gt;"O3/CP",$U$15=A$18,MID($U33,4,1)="2",$U$15&lt;&gt;$U$14),VLOOKUP(CONCATENATE(LEFT($U33,2),"L"),$R$63:$T$91,3,FALSE),0)+IF(AND($U33="O3/CP",$T$14=A$18),VLOOKUP("O3",$R$63:$T$91,3,FALSE)+VLOOKUP("CP",$R$63:$T$91,3,FALSE),0)+IF(AND($V33&lt;&gt;"",$V33&lt;&gt;"--",$V33&lt;&gt;"O3/CP",$V$14=A$18),IF(LEFT($V33,1)="P",VLOOKUP(CONCATENATE(LEFT($V33,2),"H"),$R$63:$T$91,3,FALSE),VLOOKUP($V33,$R$63:$T$91,3,FALSE)))+IF(AND($V33&lt;&gt;"",$V33&lt;&gt;"O3/CP",$V$15=A$18,MID($V33,4,1)="2",$V$15&lt;&gt;$V$14),VLOOKUP(CONCATENATE(LEFT($V33,2),"L"),$R$63:$T$91,3,FALSE),0)+IF(AND($V33="O3/CP",$V$14=A$18),VLOOKUP("O3",$R$63:$T$91,3,FALSE)+VLOOKUP("CP",$R$63:$T$91,3,FALSE),0)+IF(AND($W33&lt;&gt;"",$W33&lt;&gt;"--",$W33&lt;&gt;"O3/CP",$W$14=A$18),IF(LEFT($W33,1)="P",VLOOKUP(CONCATENATE(LEFT($W33,2),"H"),$R$63:$T$91,3,FALSE),VLOOKUP($W33,$R$63:$T$91,3,FALSE)))+IF(AND($W33&lt;&gt;"",$W33&lt;&gt;"O3/CP",$W$15=A$18,MID($W33,4,1)="2",$W$15&lt;&gt;$W$14),VLOOKUP(CONCATENATE(LEFT($W33,2),"L"),$R$63:$T$91,3,FALSE),0)+IF(AND($W33="O3/CP",$W$14=A$18),VLOOKUP("O3",$R$63:$T$91,3,FALSE)+VLOOKUP("CP",$R$63:$T$91,3,FALSE),0)+IF(AND($X33&lt;&gt;"",$X33&lt;&gt;"--",$X33&lt;&gt;"O3/CP",$X$14=A$18),IF(LEFT($X33,1)="P",VLOOKUP(CONCATENATE(LEFT($X33,2),"H"),$R$63:$T$91,3,FALSE),VLOOKUP($X33,$R$63:$T$91,3,FALSE)))+IF(AND($X33&lt;&gt;"",$X33&lt;&gt;"O3/CP",$X$15=A$18,MID($X33,4,1)="2",$X$15&lt;&gt;$X$14),VLOOKUP(CONCATENATE(LEFT($X33,2),"L"),$R$63:$T$91,3,FALSE),0)+IF(AND($X33="O3/CP",$X$14=A$18),VLOOKUP("O3",$R$63:$T$91,3,FALSE)+VLOOKUP("CP",$R$63:$T$91,3,FALSE),0)+IF(AND($Y33&lt;&gt;"",$Y33&lt;&gt;"--",$Y33&lt;&gt;"O3/CP",$Y$14=A$18),IF(LEFT($Y33,1)="P",VLOOKUP(CONCATENATE(LEFT($Y33,2),"H"),$R$63:$T$91,3,FALSE),VLOOKUP($Y33,$R$63:$T$91,3,FALSE)))+IF(AND($Y33&lt;&gt;"",$Y33&lt;&gt;"O3/CP",$Y$15=A$18,MID($Y33,4,1)="2",$Y$15&lt;&gt;$Y$14),VLOOKUP(CONCATENATE(LEFT($Y33,2),"L"),$R$63:$T$91,3,FALSE),0)+IF(AND($Y33="O3/CP",$Y$14=A$18),VLOOKUP("O3",$R$63:$T$91,3,FALSE)+VLOOKUP("CP",$R$63:$T$91,3,FALSE),0)+IF(AND($K$6="CE",'[3]Supply Attribution'!$G$20=A$18),LEFT($S$90,2),0)+IF(AND($X$86&lt;&gt;"Not Set",$X$87=A$18),$X$86,0)</f>
        <v>0</v>
      </c>
      <c r="B33" s="271">
        <f>IF(AND($K33&lt;&gt;"",$K33&lt;&gt;"--",$K33&lt;&gt;"O3/CP",$K$14=B$18),IF(LEFT($K33,1)="P",VLOOKUP(CONCATENATE(LEFT($K33,2),"H"),$R$63:$T$91,3,FALSE),VLOOKUP($K33,$R$63:$T$91,3,FALSE)))+IF(AND($K33&lt;&gt;"",$K33&lt;&gt;"O3/CP",$K$15=B$18,MID($K33,4,1)="2",$K$15&lt;&gt;$K$14),VLOOKUP(CONCATENATE(LEFT($K33,2),"L"),$R$63:$T$91,3,FALSE),0)+IF(AND($K33="O3/CP",$K$14=B$18),VLOOKUP("O3",$R$63:$T$91,3,FALSE)+VLOOKUP("CP",$R$63:$T$91,3,FALSE),0)+IF(AND($L33&lt;&gt;"",$L33&lt;&gt;"--",$L33&lt;&gt;"O3/CP",$L$14=B$18),IF(LEFT($L33,1)="P",VLOOKUP(CONCATENATE(LEFT($L33,2),"H"),$R$63:$T$91,3,FALSE),VLOOKUP($L33,$R$63:$T$91,3,FALSE)))+IF(AND($L33&lt;&gt;"",$L33&lt;&gt;"O3/CP",$L$15=B$18,MID($L33,4,1)="2",$L$15&lt;&gt;$L$14),VLOOKUP(CONCATENATE(LEFT($L33,2),"L"),$R$63:$T$91,3,FALSE),0)+IF(AND($L33="O3/CP",$L$14=B$18),VLOOKUP("O3",$R$63:$T$91,3,FALSE)+VLOOKUP("CP",$R$63:$T$91,3,FALSE),0)+IF(AND($M33&lt;&gt;"",$M33&lt;&gt;"--",$M33&lt;&gt;"O3/CP",$M$14=B$18),IF(LEFT($M33,1)="P",VLOOKUP(CONCATENATE(LEFT($M33,2),"H"),$R$63:$T$91,3,FALSE),VLOOKUP($M33,$R$63:$T$91,3,FALSE)))+IF(AND($M33&lt;&gt;"",$M33&lt;&gt;"O3/CP",$M$15=B$18,MID($M33,4,1)="2",$M$15&lt;&gt;$M$14),VLOOKUP(CONCATENATE(LEFT($M33,2),"L"),$R$63:$T$91,3,FALSE),0)+IF(AND($M33="O3/CP",$M$14=B$18),VLOOKUP("O3",$R$63:$T$91,3,FALSE)+VLOOKUP("CP",$R$63:$T$91,3,FALSE),0)+IF(AND($N33&lt;&gt;"",$N33&lt;&gt;"--",$N33&lt;&gt;"O3/CP",$N$14=B$18),IF(LEFT($N33,1)="P",VLOOKUP(CONCATENATE(LEFT($N33,2),"H"),$R$63:$T$91,3,FALSE),VLOOKUP($N33,$R$63:$T$91,3,FALSE)))+IF(AND($N33&lt;&gt;"",$N33&lt;&gt;"O3/CP",$N$15=B$18,MID($N33,4,1)="2",$N$15&lt;&gt;$N$14),VLOOKUP(CONCATENATE(LEFT($N33,2),"L"),$R$63:$T$91,3,FALSE),0)+IF(AND($N33="O3/CP",$N$14=B$18),VLOOKUP("O3",$R$63:$T$91,3,FALSE)+VLOOKUP("CP",$R$63:$T$91,3,FALSE),0)+IF(AND($O33&lt;&gt;"",$O33&lt;&gt;"--",$O33&lt;&gt;"O3/CP",$O$14=B$18),IF(LEFT($O33,1)="P",VLOOKUP(CONCATENATE(LEFT($O33,2),"H"),$R$63:$T$91,3,FALSE),VLOOKUP($O33,$R$63:$T$91,3,FALSE)))+IF(AND($O33&lt;&gt;"",$O33&lt;&gt;"O3/CP",$O$15=B$18,MID($O33,4,1)="2",$O$15&lt;&gt;$O$14),VLOOKUP(CONCATENATE(LEFT($O33,2),"L"),$R$63:$T$91,3,FALSE),0)+IF(AND($O33="O3/CP",$O$14=B$18),VLOOKUP("O3",$R$63:$T$91,3,FALSE)+VLOOKUP("CP",$R$63:$T$91,3,FALSE),0)+IF(AND($P33&lt;&gt;"",$P33&lt;&gt;"--",$P33&lt;&gt;"O3/CP",$P$14=B$18),IF(LEFT($P33,1)="P",VLOOKUP(CONCATENATE(LEFT($P33,2),"H"),$R$63:$T$91,3,FALSE),VLOOKUP($P33,$R$63:$T$91,3,FALSE)))+IF(AND($P33&lt;&gt;"",$P33&lt;&gt;"O3/CP",$P$15=B$18,MID($P33,4,1)="2",$P$15&lt;&gt;$P$14),VLOOKUP(CONCATENATE(LEFT($P33,2),"L"),$R$63:$T$91,3,FALSE),0)+IF(AND($P33="O3/CP",$P$14=B$18),VLOOKUP("O3",$R$63:$T$91,3,FALSE)+VLOOKUP("CP",$R$63:$T$91,3,FALSE),0)+IF(AND($Q33&lt;&gt;"",$Q33&lt;&gt;"--",$Q33&lt;&gt;"O3/CP",$Q$14=B$18),IF(LEFT($Q33,1)="P",VLOOKUP(CONCATENATE(LEFT($Q33,2),"H"),$R$63:$T$91,3,FALSE),VLOOKUP($Q33,$R$63:$T$91,3,FALSE)))+IF(AND($Q33&lt;&gt;"",$Q33&lt;&gt;"O3/CP",$Q$15=B$18,MID($Q33,4,1)="2",$Q$15&lt;&gt;$Q$14),VLOOKUP(CONCATENATE(LEFT($Q33,2),"L"),$R$63:$T$91,3,FALSE),0)+IF(AND($Q33="O3/CP",$Q$14=B$18),VLOOKUP("O3",$R$63:$T$91,3,FALSE)+VLOOKUP("CP",$R$63:$T$91,3,FALSE),0)+IF(AND($R33&lt;&gt;"",$R33&lt;&gt;"--",$R33&lt;&gt;"O3/CP",$R$14=B$18),IF(LEFT($R33,1)="P",VLOOKUP(CONCATENATE(LEFT($R33,2),"H"),$R$63:$T$91,3,FALSE),VLOOKUP($R33,$R$63:$T$91,3,FALSE)))+IF(AND($R33&lt;&gt;"",$R33&lt;&gt;"O3/CP",$R$15=B$18,MID($R33,4,1)="2",$R$15&lt;&gt;$R$14),VLOOKUP(CONCATENATE(LEFT($R33,2),"L"),$R$63:$T$91,3,FALSE),0)+IF(AND($R33="O3/CP",$R$14=B$18),VLOOKUP("O3",$R$63:$T$91,3,FALSE)+VLOOKUP("CP",$R$63:$T$91,3,FALSE),0)+IF(AND($S33&lt;&gt;"",$S33&lt;&gt;"--",$S33&lt;&gt;"O3/CP",$S$14=B$18),IF(LEFT($S33,1)="P",VLOOKUP(CONCATENATE(LEFT($S33,2),"H"),$R$63:$T$91,3,FALSE),VLOOKUP($S33,$R$63:$T$91,3,FALSE)))+IF(AND($S33&lt;&gt;"",$S33&lt;&gt;"O3/CP",$S$15=B$18,MID($S33,4,1)="2",$S$15&lt;&gt;$S$14),VLOOKUP(CONCATENATE(LEFT($S33,2),"L"),$R$63:$T$91,3,FALSE),0)+IF(AND($S33="O3/CP",$S$14=B$18),VLOOKUP("O3",$R$63:$T$91,3,FALSE)+VLOOKUP("CP",$R$63:$T$91,3,FALSE),0)+IF(AND($T33&lt;&gt;"",$T33&lt;&gt;"--",$T33&lt;&gt;"O3/CP",$T$14=B$18),IF(LEFT($T33,1)="P",VLOOKUP(CONCATENATE(LEFT($T33,2),"H"),$R$63:$T$91,3,FALSE),VLOOKUP($T33,$R$63:$T$91,3,FALSE)))+IF(AND($T33&lt;&gt;"",$T33&lt;&gt;"O3/CP",$T$15=B$18,MID($T33,4,1)="2",$T$15&lt;&gt;$T$14),VLOOKUP(CONCATENATE(LEFT($T33,2),"L"),$R$63:$T$91,3,FALSE),0)+IF(AND($T33="O3/CP",$T$14=B$18),VLOOKUP("O3",$R$63:$T$91,3,FALSE)+VLOOKUP("CP",$R$63:$T$91,3,FALSE),0)+IF(AND($U33&lt;&gt;"",$U33&lt;&gt;"--",$U33&lt;&gt;"O3/CP",$U$14=B$18),IF(LEFT($U33,1)="P",VLOOKUP(CONCATENATE(LEFT($U33,2),"H"),$R$63:$T$91,3,FALSE),VLOOKUP($U33,$R$63:$T$91,3,FALSE)))+IF(AND($U33&lt;&gt;"",$U33&lt;&gt;"O3/CP",$U$15=B$18,MID($U33,4,1)="2",$U$15&lt;&gt;$U$14),VLOOKUP(CONCATENATE(LEFT($U33,2),"L"),$R$63:$T$91,3,FALSE),0)+IF(AND($U33="O3/CP",$T$14=B$18),VLOOKUP("O3",$R$63:$T$91,3,FALSE)+VLOOKUP("CP",$R$63:$T$91,3,FALSE),0)+IF(AND($V33&lt;&gt;"",$V33&lt;&gt;"--",$V33&lt;&gt;"O3/CP",$V$14=B$18),IF(LEFT($V33,1)="P",VLOOKUP(CONCATENATE(LEFT($V33,2),"H"),$R$63:$T$91,3,FALSE),VLOOKUP($V33,$R$63:$T$91,3,FALSE)))+IF(AND($V33&lt;&gt;"",$V33&lt;&gt;"O3/CP",$V$15=B$18,MID($V33,4,1)="2",$V$15&lt;&gt;$V$14),VLOOKUP(CONCATENATE(LEFT($V33,2),"L"),$R$63:$T$91,3,FALSE),0)+IF(AND($V33="O3/CP",$V$14=B$18),VLOOKUP("O3",$R$63:$T$91,3,FALSE)+VLOOKUP("CP",$R$63:$T$91,3,FALSE),0)+IF(AND($W33&lt;&gt;"",$W33&lt;&gt;"--",$W33&lt;&gt;"O3/CP",$W$14=B$18),IF(LEFT($W33,1)="P",VLOOKUP(CONCATENATE(LEFT($W33,2),"H"),$R$63:$T$91,3,FALSE),VLOOKUP($W33,$R$63:$T$91,3,FALSE)))+IF(AND($W33&lt;&gt;"",$W33&lt;&gt;"O3/CP",$W$15=B$18,MID($W33,4,1)="2",$W$15&lt;&gt;$W$14),VLOOKUP(CONCATENATE(LEFT($W33,2),"L"),$R$63:$T$91,3,FALSE),0)+IF(AND($W33="O3/CP",$W$14=B$18),VLOOKUP("O3",$R$63:$T$91,3,FALSE)+VLOOKUP("CP",$R$63:$T$91,3,FALSE),0)+IF(AND($X33&lt;&gt;"",$X33&lt;&gt;"--",$X33&lt;&gt;"O3/CP",$X$14=B$18),IF(LEFT($X33,1)="P",VLOOKUP(CONCATENATE(LEFT($X33,2),"H"),$R$63:$T$91,3,FALSE),VLOOKUP($X33,$R$63:$T$91,3,FALSE)))+IF(AND($X33&lt;&gt;"",$X33&lt;&gt;"O3/CP",$X$15=B$18,MID($X33,4,1)="2",$X$15&lt;&gt;$X$14),VLOOKUP(CONCATENATE(LEFT($X33,2),"L"),$R$63:$T$91,3,FALSE),0)+IF(AND($X33="O3/CP",$X$14=B$18),VLOOKUP("O3",$R$63:$T$91,3,FALSE)+VLOOKUP("CP",$R$63:$T$91,3,FALSE),0)+IF(AND($Y33&lt;&gt;"",$Y33&lt;&gt;"--",$Y33&lt;&gt;"O3/CP",$Y$14=B$18),IF(LEFT($Y33,1)="P",VLOOKUP(CONCATENATE(LEFT($Y33,2),"H"),$R$63:$T$91,3,FALSE),VLOOKUP($Y33,$R$63:$T$91,3,FALSE)))+IF(AND($Y33&lt;&gt;"",$Y33&lt;&gt;"O3/CP",$Y$15=B$18,MID($Y33,4,1)="2",$Y$15&lt;&gt;$Y$14),VLOOKUP(CONCATENATE(LEFT($Y33,2),"L"),$R$63:$T$91,3,FALSE),0)+IF(AND($Y33="O3/CP",$Y$14=B$18),VLOOKUP("O3",$R$63:$T$91,3,FALSE)+VLOOKUP("CP",$R$63:$T$91,3,FALSE),0)+IF(AND($K$6="CE",'[3]Supply Attribution'!$G$20=B$18),LEFT($S$90,2),0)+IF(AND($X$86&lt;&gt;"Not Set",$X$87=B$18),$X$86,0)</f>
        <v>0</v>
      </c>
      <c r="C33" s="271">
        <f>IF(AND($K33&lt;&gt;"",$K33&lt;&gt;"--",$K33&lt;&gt;"O3/CP",$K$14=C$18),IF(LEFT($K33,1)="P",VLOOKUP(CONCATENATE(LEFT($K33,2),"H"),$R$63:$T$91,3,FALSE),VLOOKUP($K33,$R$63:$T$91,3,FALSE)))+IF(AND($K33&lt;&gt;"",$K33&lt;&gt;"O3/CP",$K$15=C$18,MID($K33,4,1)="2",$K$15&lt;&gt;$K$14),VLOOKUP(CONCATENATE(LEFT($K33,2),"L"),$R$63:$T$91,3,FALSE),0)+IF(AND($K33="O3/CP",$K$14=C$18),VLOOKUP("O3",$R$63:$T$91,3,FALSE)+VLOOKUP("CP",$R$63:$T$91,3,FALSE),0)+IF(AND($L33&lt;&gt;"",$L33&lt;&gt;"--",$L33&lt;&gt;"O3/CP",$L$14=C$18),IF(LEFT($L33,1)="P",VLOOKUP(CONCATENATE(LEFT($L33,2),"H"),$R$63:$T$91,3,FALSE),VLOOKUP($L33,$R$63:$T$91,3,FALSE)))+IF(AND($L33&lt;&gt;"",$L33&lt;&gt;"O3/CP",$L$15=C$18,MID($L33,4,1)="2",$L$15&lt;&gt;$L$14),VLOOKUP(CONCATENATE(LEFT($L33,2),"L"),$R$63:$T$91,3,FALSE),0)+IF(AND($L33="O3/CP",$L$14=C$18),VLOOKUP("O3",$R$63:$T$91,3,FALSE)+VLOOKUP("CP",$R$63:$T$91,3,FALSE),0)+IF(AND($M33&lt;&gt;"",$M33&lt;&gt;"--",$M33&lt;&gt;"O3/CP",$M$14=C$18),IF(LEFT($M33,1)="P",VLOOKUP(CONCATENATE(LEFT($M33,2),"H"),$R$63:$T$91,3,FALSE),VLOOKUP($M33,$R$63:$T$91,3,FALSE)))+IF(AND($M33&lt;&gt;"",$M33&lt;&gt;"O3/CP",$M$15=C$18,MID($M33,4,1)="2",$M$15&lt;&gt;$M$14),VLOOKUP(CONCATENATE(LEFT($M33,2),"L"),$R$63:$T$91,3,FALSE),0)+IF(AND($M33="O3/CP",$M$14=C$18),VLOOKUP("O3",$R$63:$T$91,3,FALSE)+VLOOKUP("CP",$R$63:$T$91,3,FALSE),0)+IF(AND($N33&lt;&gt;"",$N33&lt;&gt;"--",$N33&lt;&gt;"O3/CP",$N$14=C$18),IF(LEFT($N33,1)="P",VLOOKUP(CONCATENATE(LEFT($N33,2),"H"),$R$63:$T$91,3,FALSE),VLOOKUP($N33,$R$63:$T$91,3,FALSE)))+IF(AND($N33&lt;&gt;"",$N33&lt;&gt;"O3/CP",$N$15=C$18,MID($N33,4,1)="2",$N$15&lt;&gt;$N$14),VLOOKUP(CONCATENATE(LEFT($N33,2),"L"),$R$63:$T$91,3,FALSE),0)+IF(AND($N33="O3/CP",$N$14=C$18),VLOOKUP("O3",$R$63:$T$91,3,FALSE)+VLOOKUP("CP",$R$63:$T$91,3,FALSE),0)+IF(AND($O33&lt;&gt;"",$O33&lt;&gt;"--",$O33&lt;&gt;"O3/CP",$O$14=C$18),IF(LEFT($O33,1)="P",VLOOKUP(CONCATENATE(LEFT($O33,2),"H"),$R$63:$T$91,3,FALSE),VLOOKUP($O33,$R$63:$T$91,3,FALSE)))+IF(AND($O33&lt;&gt;"",$O33&lt;&gt;"O3/CP",$O$15=C$18,MID($O33,4,1)="2",$O$15&lt;&gt;$O$14),VLOOKUP(CONCATENATE(LEFT($O33,2),"L"),$R$63:$T$91,3,FALSE),0)+IF(AND($O33="O3/CP",$O$14=C$18),VLOOKUP("O3",$R$63:$T$91,3,FALSE)+VLOOKUP("CP",$R$63:$T$91,3,FALSE),0)+IF(AND($P33&lt;&gt;"",$P33&lt;&gt;"--",$P33&lt;&gt;"O3/CP",$P$14=C$18),IF(LEFT($P33,1)="P",VLOOKUP(CONCATENATE(LEFT($P33,2),"H"),$R$63:$T$91,3,FALSE),VLOOKUP($P33,$R$63:$T$91,3,FALSE)))+IF(AND($P33&lt;&gt;"",$P33&lt;&gt;"O3/CP",$P$15=C$18,MID($P33,4,1)="2",$P$15&lt;&gt;$P$14),VLOOKUP(CONCATENATE(LEFT($P33,2),"L"),$R$63:$T$91,3,FALSE),0)+IF(AND($P33="O3/CP",$P$14=C$18),VLOOKUP("O3",$R$63:$T$91,3,FALSE)+VLOOKUP("CP",$R$63:$T$91,3,FALSE),0)+IF(AND($Q33&lt;&gt;"",$Q33&lt;&gt;"--",$Q33&lt;&gt;"O3/CP",$Q$14=C$18),IF(LEFT($Q33,1)="P",VLOOKUP(CONCATENATE(LEFT($Q33,2),"H"),$R$63:$T$91,3,FALSE),VLOOKUP($Q33,$R$63:$T$91,3,FALSE)))+IF(AND($Q33&lt;&gt;"",$Q33&lt;&gt;"O3/CP",$Q$15=C$18,MID($Q33,4,1)="2",$Q$15&lt;&gt;$Q$14),VLOOKUP(CONCATENATE(LEFT($Q33,2),"L"),$R$63:$T$91,3,FALSE),0)+IF(AND($Q33="O3/CP",$Q$14=C$18),VLOOKUP("O3",$R$63:$T$91,3,FALSE)+VLOOKUP("CP",$R$63:$T$91,3,FALSE),0)+IF(AND($R33&lt;&gt;"",$R33&lt;&gt;"--",$R33&lt;&gt;"O3/CP",$R$14=C$18),IF(LEFT($R33,1)="P",VLOOKUP(CONCATENATE(LEFT($R33,2),"H"),$R$63:$T$91,3,FALSE),VLOOKUP($R33,$R$63:$T$91,3,FALSE)))+IF(AND($R33&lt;&gt;"",$R33&lt;&gt;"O3/CP",$R$15=C$18,MID($R33,4,1)="2",$R$15&lt;&gt;$R$14),VLOOKUP(CONCATENATE(LEFT($R33,2),"L"),$R$63:$T$91,3,FALSE),0)+IF(AND($R33="O3/CP",$R$14=C$18),VLOOKUP("O3",$R$63:$T$91,3,FALSE)+VLOOKUP("CP",$R$63:$T$91,3,FALSE),0)+IF(AND($S33&lt;&gt;"",$S33&lt;&gt;"--",$S33&lt;&gt;"O3/CP",$S$14=C$18),IF(LEFT($S33,1)="P",VLOOKUP(CONCATENATE(LEFT($S33,2),"H"),$R$63:$T$91,3,FALSE),VLOOKUP($S33,$R$63:$T$91,3,FALSE)))+IF(AND($S33&lt;&gt;"",$S33&lt;&gt;"O3/CP",$S$15=C$18,MID($S33,4,1)="2",$S$15&lt;&gt;$S$14),VLOOKUP(CONCATENATE(LEFT($S33,2),"L"),$R$63:$T$91,3,FALSE),0)+IF(AND($S33="O3/CP",$S$14=C$18),VLOOKUP("O3",$R$63:$T$91,3,FALSE)+VLOOKUP("CP",$R$63:$T$91,3,FALSE),0)+IF(AND($T33&lt;&gt;"",$T33&lt;&gt;"--",$T33&lt;&gt;"O3/CP",$T$14=C$18),IF(LEFT($T33,1)="P",VLOOKUP(CONCATENATE(LEFT($T33,2),"H"),$R$63:$T$91,3,FALSE),VLOOKUP($T33,$R$63:$T$91,3,FALSE)))+IF(AND($T33&lt;&gt;"",$T33&lt;&gt;"O3/CP",$T$15=C$18,MID($T33,4,1)="2",$T$15&lt;&gt;$T$14),VLOOKUP(CONCATENATE(LEFT($T33,2),"L"),$R$63:$T$91,3,FALSE),0)+IF(AND($T33="O3/CP",$T$14=C$18),VLOOKUP("O3",$R$63:$T$91,3,FALSE)+VLOOKUP("CP",$R$63:$T$91,3,FALSE),0)+IF(AND($U33&lt;&gt;"",$U33&lt;&gt;"--",$U33&lt;&gt;"O3/CP",$U$14=C$18),IF(LEFT($U33,1)="P",VLOOKUP(CONCATENATE(LEFT($U33,2),"H"),$R$63:$T$91,3,FALSE),VLOOKUP($U33,$R$63:$T$91,3,FALSE)))+IF(AND($U33&lt;&gt;"",$U33&lt;&gt;"O3/CP",$U$15=C$18,MID($U33,4,1)="2",$U$15&lt;&gt;$U$14),VLOOKUP(CONCATENATE(LEFT($U33,2),"L"),$R$63:$T$91,3,FALSE),0)+IF(AND($U33="O3/CP",$T$14=C$18),VLOOKUP("O3",$R$63:$T$91,3,FALSE)+VLOOKUP("CP",$R$63:$T$91,3,FALSE),0)+IF(AND($V33&lt;&gt;"",$V33&lt;&gt;"--",$V33&lt;&gt;"O3/CP",$V$14=C$18),IF(LEFT($V33,1)="P",VLOOKUP(CONCATENATE(LEFT($V33,2),"H"),$R$63:$T$91,3,FALSE),VLOOKUP($V33,$R$63:$T$91,3,FALSE)))+IF(AND($V33&lt;&gt;"",$V33&lt;&gt;"O3/CP",$V$15=C$18,MID($V33,4,1)="2",$V$15&lt;&gt;$V$14),VLOOKUP(CONCATENATE(LEFT($V33,2),"L"),$R$63:$T$91,3,FALSE),0)+IF(AND($V33="O3/CP",$V$14=C$18),VLOOKUP("O3",$R$63:$T$91,3,FALSE)+VLOOKUP("CP",$R$63:$T$91,3,FALSE),0)+IF(AND($W33&lt;&gt;"",$W33&lt;&gt;"--",$W33&lt;&gt;"O3/CP",$W$14=C$18),IF(LEFT($W33,1)="P",VLOOKUP(CONCATENATE(LEFT($W33,2),"H"),$R$63:$T$91,3,FALSE),VLOOKUP($W33,$R$63:$T$91,3,FALSE)))+IF(AND($W33&lt;&gt;"",$W33&lt;&gt;"O3/CP",$W$15=C$18,MID($W33,4,1)="2",$W$15&lt;&gt;$W$14),VLOOKUP(CONCATENATE(LEFT($W33,2),"L"),$R$63:$T$91,3,FALSE),0)+IF(AND($W33="O3/CP",$W$14=C$18),VLOOKUP("O3",$R$63:$T$91,3,FALSE)+VLOOKUP("CP",$R$63:$T$91,3,FALSE),0)+IF(AND($X33&lt;&gt;"",$X33&lt;&gt;"--",$X33&lt;&gt;"O3/CP",$X$14=C$18),IF(LEFT($X33,1)="P",VLOOKUP(CONCATENATE(LEFT($X33,2),"H"),$R$63:$T$91,3,FALSE),VLOOKUP($X33,$R$63:$T$91,3,FALSE)))+IF(AND($X33&lt;&gt;"",$X33&lt;&gt;"O3/CP",$X$15=C$18,MID($X33,4,1)="2",$X$15&lt;&gt;$X$14),VLOOKUP(CONCATENATE(LEFT($X33,2),"L"),$R$63:$T$91,3,FALSE),0)+IF(AND($X33="O3/CP",$X$14=C$18),VLOOKUP("O3",$R$63:$T$91,3,FALSE)+VLOOKUP("CP",$R$63:$T$91,3,FALSE),0)+IF(AND($Y33&lt;&gt;"",$Y33&lt;&gt;"--",$Y33&lt;&gt;"O3/CP",$Y$14=C$18),IF(LEFT($Y33,1)="P",VLOOKUP(CONCATENATE(LEFT($Y33,2),"H"),$R$63:$T$91,3,FALSE),VLOOKUP($Y33,$R$63:$T$91,3,FALSE)))+IF(AND($Y33&lt;&gt;"",$Y33&lt;&gt;"O3/CP",$Y$15=C$18,MID($Y33,4,1)="2",$Y$15&lt;&gt;$Y$14),VLOOKUP(CONCATENATE(LEFT($Y33,2),"L"),$R$63:$T$91,3,FALSE),0)+IF(AND($Y33="O3/CP",$Y$14=C$18),VLOOKUP("O3",$R$63:$T$91,3,FALSE)+VLOOKUP("CP",$R$63:$T$91,3,FALSE),0)+IF(AND($K$6="CE",'[3]Supply Attribution'!$G$20=C$18),LEFT($S$90,2),0)+IF(AND($X$86&lt;&gt;"Not Set",$X$87=C$18),$X$86,0)</f>
        <v>0</v>
      </c>
      <c r="D33" s="271">
        <f>IF(AND($K33&lt;&gt;"",$K33&lt;&gt;"--",$K33&lt;&gt;"O3/CP",$K$14=D$18),IF(LEFT($K33,1)="P",VLOOKUP(CONCATENATE(LEFT($K33,2),"H"),$R$63:$T$91,3,FALSE),VLOOKUP($K33,$R$63:$T$91,3,FALSE)))+IF(AND($K33&lt;&gt;"",$K33&lt;&gt;"O3/CP",$K$15=D$18,MID($K33,4,1)="2",$K$15&lt;&gt;$K$14),VLOOKUP(CONCATENATE(LEFT($K33,2),"L"),$R$63:$T$91,3,FALSE),0)+IF(AND($K33="O3/CP",$K$14=D$18),VLOOKUP("O3",$R$63:$T$91,3,FALSE)+VLOOKUP("CP",$R$63:$T$91,3,FALSE),0)+IF(AND($L33&lt;&gt;"",$L33&lt;&gt;"--",$L33&lt;&gt;"O3/CP",$L$14=D$18),IF(LEFT($L33,1)="P",VLOOKUP(CONCATENATE(LEFT($L33,2),"H"),$R$63:$T$91,3,FALSE),VLOOKUP($L33,$R$63:$T$91,3,FALSE)))+IF(AND($L33&lt;&gt;"",$L33&lt;&gt;"O3/CP",$L$15=D$18,MID($L33,4,1)="2",$L$15&lt;&gt;$L$14),VLOOKUP(CONCATENATE(LEFT($L33,2),"L"),$R$63:$T$91,3,FALSE),0)+IF(AND($L33="O3/CP",$L$14=D$18),VLOOKUP("O3",$R$63:$T$91,3,FALSE)+VLOOKUP("CP",$R$63:$T$91,3,FALSE),0)+IF(AND($M33&lt;&gt;"",$M33&lt;&gt;"--",$M33&lt;&gt;"O3/CP",$M$14=D$18),IF(LEFT($M33,1)="P",VLOOKUP(CONCATENATE(LEFT($M33,2),"H"),$R$63:$T$91,3,FALSE),VLOOKUP($M33,$R$63:$T$91,3,FALSE)))+IF(AND($M33&lt;&gt;"",$M33&lt;&gt;"O3/CP",$M$15=D$18,MID($M33,4,1)="2",$M$15&lt;&gt;$M$14),VLOOKUP(CONCATENATE(LEFT($M33,2),"L"),$R$63:$T$91,3,FALSE),0)+IF(AND($M33="O3/CP",$M$14=D$18),VLOOKUP("O3",$R$63:$T$91,3,FALSE)+VLOOKUP("CP",$R$63:$T$91,3,FALSE),0)+IF(AND($N33&lt;&gt;"",$N33&lt;&gt;"--",$N33&lt;&gt;"O3/CP",$N$14=D$18),IF(LEFT($N33,1)="P",VLOOKUP(CONCATENATE(LEFT($N33,2),"H"),$R$63:$T$91,3,FALSE),VLOOKUP($N33,$R$63:$T$91,3,FALSE)))+IF(AND($N33&lt;&gt;"",$N33&lt;&gt;"O3/CP",$N$15=D$18,MID($N33,4,1)="2",$N$15&lt;&gt;$N$14),VLOOKUP(CONCATENATE(LEFT($N33,2),"L"),$R$63:$T$91,3,FALSE),0)+IF(AND($N33="O3/CP",$N$14=D$18),VLOOKUP("O3",$R$63:$T$91,3,FALSE)+VLOOKUP("CP",$R$63:$T$91,3,FALSE),0)+IF(AND($O33&lt;&gt;"",$O33&lt;&gt;"--",$O33&lt;&gt;"O3/CP",$O$14=D$18),IF(LEFT($O33,1)="P",VLOOKUP(CONCATENATE(LEFT($O33,2),"H"),$R$63:$T$91,3,FALSE),VLOOKUP($O33,$R$63:$T$91,3,FALSE)))+IF(AND($O33&lt;&gt;"",$O33&lt;&gt;"O3/CP",$O$15=D$18,MID($O33,4,1)="2",$O$15&lt;&gt;$O$14),VLOOKUP(CONCATENATE(LEFT($O33,2),"L"),$R$63:$T$91,3,FALSE),0)+IF(AND($O33="O3/CP",$O$14=D$18),VLOOKUP("O3",$R$63:$T$91,3,FALSE)+VLOOKUP("CP",$R$63:$T$91,3,FALSE),0)+IF(AND($P33&lt;&gt;"",$P33&lt;&gt;"--",$P33&lt;&gt;"O3/CP",$P$14=D$18),IF(LEFT($P33,1)="P",VLOOKUP(CONCATENATE(LEFT($P33,2),"H"),$R$63:$T$91,3,FALSE),VLOOKUP($P33,$R$63:$T$91,3,FALSE)))+IF(AND($P33&lt;&gt;"",$P33&lt;&gt;"O3/CP",$P$15=D$18,MID($P33,4,1)="2",$P$15&lt;&gt;$P$14),VLOOKUP(CONCATENATE(LEFT($P33,2),"L"),$R$63:$T$91,3,FALSE),0)+IF(AND($P33="O3/CP",$P$14=D$18),VLOOKUP("O3",$R$63:$T$91,3,FALSE)+VLOOKUP("CP",$R$63:$T$91,3,FALSE),0)+IF(AND($Q33&lt;&gt;"",$Q33&lt;&gt;"--",$Q33&lt;&gt;"O3/CP",$Q$14=D$18),IF(LEFT($Q33,1)="P",VLOOKUP(CONCATENATE(LEFT($Q33,2),"H"),$R$63:$T$91,3,FALSE),VLOOKUP($Q33,$R$63:$T$91,3,FALSE)))+IF(AND($Q33&lt;&gt;"",$Q33&lt;&gt;"O3/CP",$Q$15=D$18,MID($Q33,4,1)="2",$Q$15&lt;&gt;$Q$14),VLOOKUP(CONCATENATE(LEFT($Q33,2),"L"),$R$63:$T$91,3,FALSE),0)+IF(AND($Q33="O3/CP",$Q$14=D$18),VLOOKUP("O3",$R$63:$T$91,3,FALSE)+VLOOKUP("CP",$R$63:$T$91,3,FALSE),0)+IF(AND($R33&lt;&gt;"",$R33&lt;&gt;"--",$R33&lt;&gt;"O3/CP",$R$14=D$18),IF(LEFT($R33,1)="P",VLOOKUP(CONCATENATE(LEFT($R33,2),"H"),$R$63:$T$91,3,FALSE),VLOOKUP($R33,$R$63:$T$91,3,FALSE)))+IF(AND($R33&lt;&gt;"",$R33&lt;&gt;"O3/CP",$R$15=D$18,MID($R33,4,1)="2",$R$15&lt;&gt;$R$14),VLOOKUP(CONCATENATE(LEFT($R33,2),"L"),$R$63:$T$91,3,FALSE),0)+IF(AND($R33="O3/CP",$R$14=D$18),VLOOKUP("O3",$R$63:$T$91,3,FALSE)+VLOOKUP("CP",$R$63:$T$91,3,FALSE),0)+IF(AND($S33&lt;&gt;"",$S33&lt;&gt;"--",$S33&lt;&gt;"O3/CP",$S$14=D$18),IF(LEFT($S33,1)="P",VLOOKUP(CONCATENATE(LEFT($S33,2),"H"),$R$63:$T$91,3,FALSE),VLOOKUP($S33,$R$63:$T$91,3,FALSE)))+IF(AND($S33&lt;&gt;"",$S33&lt;&gt;"O3/CP",$S$15=D$18,MID($S33,4,1)="2",$S$15&lt;&gt;$S$14),VLOOKUP(CONCATENATE(LEFT($S33,2),"L"),$R$63:$T$91,3,FALSE),0)+IF(AND($S33="O3/CP",$S$14=D$18),VLOOKUP("O3",$R$63:$T$91,3,FALSE)+VLOOKUP("CP",$R$63:$T$91,3,FALSE),0)+IF(AND($T33&lt;&gt;"",$T33&lt;&gt;"--",$T33&lt;&gt;"O3/CP",$T$14=D$18),IF(LEFT($T33,1)="P",VLOOKUP(CONCATENATE(LEFT($T33,2),"H"),$R$63:$T$91,3,FALSE),VLOOKUP($T33,$R$63:$T$91,3,FALSE)))+IF(AND($T33&lt;&gt;"",$T33&lt;&gt;"O3/CP",$T$15=D$18,MID($T33,4,1)="2",$T$15&lt;&gt;$T$14),VLOOKUP(CONCATENATE(LEFT($T33,2),"L"),$R$63:$T$91,3,FALSE),0)+IF(AND($T33="O3/CP",$T$14=D$18),VLOOKUP("O3",$R$63:$T$91,3,FALSE)+VLOOKUP("CP",$R$63:$T$91,3,FALSE),0)+IF(AND($U33&lt;&gt;"",$U33&lt;&gt;"--",$U33&lt;&gt;"O3/CP",$U$14=D$18),IF(LEFT($U33,1)="P",VLOOKUP(CONCATENATE(LEFT($U33,2),"H"),$R$63:$T$91,3,FALSE),VLOOKUP($U33,$R$63:$T$91,3,FALSE)))+IF(AND($U33&lt;&gt;"",$U33&lt;&gt;"O3/CP",$U$15=D$18,MID($U33,4,1)="2",$U$15&lt;&gt;$U$14),VLOOKUP(CONCATENATE(LEFT($U33,2),"L"),$R$63:$T$91,3,FALSE),0)+IF(AND($U33="O3/CP",$T$14=D$18),VLOOKUP("O3",$R$63:$T$91,3,FALSE)+VLOOKUP("CP",$R$63:$T$91,3,FALSE),0)+IF(AND($V33&lt;&gt;"",$V33&lt;&gt;"--",$V33&lt;&gt;"O3/CP",$V$14=D$18),IF(LEFT($V33,1)="P",VLOOKUP(CONCATENATE(LEFT($V33,2),"H"),$R$63:$T$91,3,FALSE),VLOOKUP($V33,$R$63:$T$91,3,FALSE)))+IF(AND($V33&lt;&gt;"",$V33&lt;&gt;"O3/CP",$V$15=D$18,MID($V33,4,1)="2",$V$15&lt;&gt;$V$14),VLOOKUP(CONCATENATE(LEFT($V33,2),"L"),$R$63:$T$91,3,FALSE),0)+IF(AND($V33="O3/CP",$V$14=D$18),VLOOKUP("O3",$R$63:$T$91,3,FALSE)+VLOOKUP("CP",$R$63:$T$91,3,FALSE),0)+IF(AND($W33&lt;&gt;"",$W33&lt;&gt;"--",$W33&lt;&gt;"O3/CP",$W$14=D$18),IF(LEFT($W33,1)="P",VLOOKUP(CONCATENATE(LEFT($W33,2),"H"),$R$63:$T$91,3,FALSE),VLOOKUP($W33,$R$63:$T$91,3,FALSE)))+IF(AND($W33&lt;&gt;"",$W33&lt;&gt;"O3/CP",$W$15=D$18,MID($W33,4,1)="2",$W$15&lt;&gt;$W$14),VLOOKUP(CONCATENATE(LEFT($W33,2),"L"),$R$63:$T$91,3,FALSE),0)+IF(AND($W33="O3/CP",$W$14=D$18),VLOOKUP("O3",$R$63:$T$91,3,FALSE)+VLOOKUP("CP",$R$63:$T$91,3,FALSE),0)+IF(AND($X33&lt;&gt;"",$X33&lt;&gt;"--",$X33&lt;&gt;"O3/CP",$X$14=D$18),IF(LEFT($X33,1)="P",VLOOKUP(CONCATENATE(LEFT($X33,2),"H"),$R$63:$T$91,3,FALSE),VLOOKUP($X33,$R$63:$T$91,3,FALSE)))+IF(AND($X33&lt;&gt;"",$X33&lt;&gt;"O3/CP",$X$15=D$18,MID($X33,4,1)="2",$X$15&lt;&gt;$X$14),VLOOKUP(CONCATENATE(LEFT($X33,2),"L"),$R$63:$T$91,3,FALSE),0)+IF(AND($X33="O3/CP",$X$14=D$18),VLOOKUP("O3",$R$63:$T$91,3,FALSE)+VLOOKUP("CP",$R$63:$T$91,3,FALSE),0)+IF(AND($Y33&lt;&gt;"",$Y33&lt;&gt;"--",$Y33&lt;&gt;"O3/CP",$Y$14=D$18),IF(LEFT($Y33,1)="P",VLOOKUP(CONCATENATE(LEFT($Y33,2),"H"),$R$63:$T$91,3,FALSE),VLOOKUP($Y33,$R$63:$T$91,3,FALSE)))+IF(AND($Y33&lt;&gt;"",$Y33&lt;&gt;"O3/CP",$Y$15=D$18,MID($Y33,4,1)="2",$Y$15&lt;&gt;$Y$14),VLOOKUP(CONCATENATE(LEFT($Y33,2),"L"),$R$63:$T$91,3,FALSE),0)+IF(AND($Y33="O3/CP",$Y$14=D$18),VLOOKUP("O3",$R$63:$T$91,3,FALSE)+VLOOKUP("CP",$R$63:$T$91,3,FALSE),0)+IF(AND($K$6="CE",'[3]Supply Attribution'!$G$20=D$18),LEFT($S$90,2),0)+IF(AND($X$86&lt;&gt;"Not Set",$X$87=D$18),$X$86,0)</f>
        <v>0</v>
      </c>
      <c r="E33" s="271">
        <f>IF(AND($K33&lt;&gt;"",$K33&lt;&gt;"--",$K33&lt;&gt;"O3/CP",$K$14=E$18),IF(LEFT($K33,1)="P",VLOOKUP(CONCATENATE(LEFT($K33,2),"H"),$R$63:$T$91,3,FALSE),VLOOKUP($K33,$R$63:$T$91,3,FALSE)))+IF(AND($K33&lt;&gt;"",$K33&lt;&gt;"O3/CP",$K$15=E$18,MID($K33,4,1)="2",$K$15&lt;&gt;$K$14),VLOOKUP(CONCATENATE(LEFT($K33,2),"L"),$R$63:$T$91,3,FALSE),0)+IF(AND($K33="O3/CP",$K$14=E$18),VLOOKUP("O3",$R$63:$T$91,3,FALSE)+VLOOKUP("CP",$R$63:$T$91,3,FALSE),0)+IF(AND($L33&lt;&gt;"",$L33&lt;&gt;"--",$L33&lt;&gt;"O3/CP",$L$14=E$18),IF(LEFT($L33,1)="P",VLOOKUP(CONCATENATE(LEFT($L33,2),"H"),$R$63:$T$91,3,FALSE),VLOOKUP($L33,$R$63:$T$91,3,FALSE)))+IF(AND($L33&lt;&gt;"",$L33&lt;&gt;"O3/CP",$L$15=E$18,MID($L33,4,1)="2",$L$15&lt;&gt;$L$14),VLOOKUP(CONCATENATE(LEFT($L33,2),"L"),$R$63:$T$91,3,FALSE),0)+IF(AND($L33="O3/CP",$L$14=E$18),VLOOKUP("O3",$R$63:$T$91,3,FALSE)+VLOOKUP("CP",$R$63:$T$91,3,FALSE),0)+IF(AND($M33&lt;&gt;"",$M33&lt;&gt;"--",$M33&lt;&gt;"O3/CP",$M$14=E$18),IF(LEFT($M33,1)="P",VLOOKUP(CONCATENATE(LEFT($M33,2),"H"),$R$63:$T$91,3,FALSE),VLOOKUP($M33,$R$63:$T$91,3,FALSE)))+IF(AND($M33&lt;&gt;"",$M33&lt;&gt;"O3/CP",$M$15=E$18,MID($M33,4,1)="2",$M$15&lt;&gt;$M$14),VLOOKUP(CONCATENATE(LEFT($M33,2),"L"),$R$63:$T$91,3,FALSE),0)+IF(AND($M33="O3/CP",$M$14=E$18),VLOOKUP("O3",$R$63:$T$91,3,FALSE)+VLOOKUP("CP",$R$63:$T$91,3,FALSE),0)+IF(AND($N33&lt;&gt;"",$N33&lt;&gt;"--",$N33&lt;&gt;"O3/CP",$N$14=E$18),IF(LEFT($N33,1)="P",VLOOKUP(CONCATENATE(LEFT($N33,2),"H"),$R$63:$T$91,3,FALSE),VLOOKUP($N33,$R$63:$T$91,3,FALSE)))+IF(AND($N33&lt;&gt;"",$N33&lt;&gt;"O3/CP",$N$15=E$18,MID($N33,4,1)="2",$N$15&lt;&gt;$N$14),VLOOKUP(CONCATENATE(LEFT($N33,2),"L"),$R$63:$T$91,3,FALSE),0)+IF(AND($N33="O3/CP",$N$14=E$18),VLOOKUP("O3",$R$63:$T$91,3,FALSE)+VLOOKUP("CP",$R$63:$T$91,3,FALSE),0)+IF(AND($O33&lt;&gt;"",$O33&lt;&gt;"--",$O33&lt;&gt;"O3/CP",$O$14=E$18),IF(LEFT($O33,1)="P",VLOOKUP(CONCATENATE(LEFT($O33,2),"H"),$R$63:$T$91,3,FALSE),VLOOKUP($O33,$R$63:$T$91,3,FALSE)))+IF(AND($O33&lt;&gt;"",$O33&lt;&gt;"O3/CP",$O$15=E$18,MID($O33,4,1)="2",$O$15&lt;&gt;$O$14),VLOOKUP(CONCATENATE(LEFT($O33,2),"L"),$R$63:$T$91,3,FALSE),0)+IF(AND($O33="O3/CP",$O$14=E$18),VLOOKUP("O3",$R$63:$T$91,3,FALSE)+VLOOKUP("CP",$R$63:$T$91,3,FALSE),0)+IF(AND($P33&lt;&gt;"",$P33&lt;&gt;"--",$P33&lt;&gt;"O3/CP",$P$14=E$18),IF(LEFT($P33,1)="P",VLOOKUP(CONCATENATE(LEFT($P33,2),"H"),$R$63:$T$91,3,FALSE),VLOOKUP($P33,$R$63:$T$91,3,FALSE)))+IF(AND($P33&lt;&gt;"",$P33&lt;&gt;"O3/CP",$P$15=E$18,MID($P33,4,1)="2",$P$15&lt;&gt;$P$14),VLOOKUP(CONCATENATE(LEFT($P33,2),"L"),$R$63:$T$91,3,FALSE),0)+IF(AND($P33="O3/CP",$P$14=E$18),VLOOKUP("O3",$R$63:$T$91,3,FALSE)+VLOOKUP("CP",$R$63:$T$91,3,FALSE),0)+IF(AND($Q33&lt;&gt;"",$Q33&lt;&gt;"--",$Q33&lt;&gt;"O3/CP",$Q$14=E$18),IF(LEFT($Q33,1)="P",VLOOKUP(CONCATENATE(LEFT($Q33,2),"H"),$R$63:$T$91,3,FALSE),VLOOKUP($Q33,$R$63:$T$91,3,FALSE)))+IF(AND($Q33&lt;&gt;"",$Q33&lt;&gt;"O3/CP",$Q$15=E$18,MID($Q33,4,1)="2",$Q$15&lt;&gt;$Q$14),VLOOKUP(CONCATENATE(LEFT($Q33,2),"L"),$R$63:$T$91,3,FALSE),0)+IF(AND($Q33="O3/CP",$Q$14=E$18),VLOOKUP("O3",$R$63:$T$91,3,FALSE)+VLOOKUP("CP",$R$63:$T$91,3,FALSE),0)+IF(AND($R33&lt;&gt;"",$R33&lt;&gt;"--",$R33&lt;&gt;"O3/CP",$R$14=E$18),IF(LEFT($R33,1)="P",VLOOKUP(CONCATENATE(LEFT($R33,2),"H"),$R$63:$T$91,3,FALSE),VLOOKUP($R33,$R$63:$T$91,3,FALSE)))+IF(AND($R33&lt;&gt;"",$R33&lt;&gt;"O3/CP",$R$15=E$18,MID($R33,4,1)="2",$R$15&lt;&gt;$R$14),VLOOKUP(CONCATENATE(LEFT($R33,2),"L"),$R$63:$T$91,3,FALSE),0)+IF(AND($R33="O3/CP",$R$14=E$18),VLOOKUP("O3",$R$63:$T$91,3,FALSE)+VLOOKUP("CP",$R$63:$T$91,3,FALSE),0)+IF(AND($S33&lt;&gt;"",$S33&lt;&gt;"--",$S33&lt;&gt;"O3/CP",$S$14=E$18),IF(LEFT($S33,1)="P",VLOOKUP(CONCATENATE(LEFT($S33,2),"H"),$R$63:$T$91,3,FALSE),VLOOKUP($S33,$R$63:$T$91,3,FALSE)))+IF(AND($S33&lt;&gt;"",$S33&lt;&gt;"O3/CP",$S$15=E$18,MID($S33,4,1)="2",$S$15&lt;&gt;$S$14),VLOOKUP(CONCATENATE(LEFT($S33,2),"L"),$R$63:$T$91,3,FALSE),0)+IF(AND($S33="O3/CP",$S$14=E$18),VLOOKUP("O3",$R$63:$T$91,3,FALSE)+VLOOKUP("CP",$R$63:$T$91,3,FALSE),0)+IF(AND($T33&lt;&gt;"",$T33&lt;&gt;"--",$T33&lt;&gt;"O3/CP",$T$14=E$18),IF(LEFT($T33,1)="P",VLOOKUP(CONCATENATE(LEFT($T33,2),"H"),$R$63:$T$91,3,FALSE),VLOOKUP($T33,$R$63:$T$91,3,FALSE)))+IF(AND($T33&lt;&gt;"",$T33&lt;&gt;"O3/CP",$T$15=E$18,MID($T33,4,1)="2",$T$15&lt;&gt;$T$14),VLOOKUP(CONCATENATE(LEFT($T33,2),"L"),$R$63:$T$91,3,FALSE),0)+IF(AND($T33="O3/CP",$T$14=E$18),VLOOKUP("O3",$R$63:$T$91,3,FALSE)+VLOOKUP("CP",$R$63:$T$91,3,FALSE),0)+IF(AND($U33&lt;&gt;"",$U33&lt;&gt;"--",$U33&lt;&gt;"O3/CP",$U$14=E$18),IF(LEFT($U33,1)="P",VLOOKUP(CONCATENATE(LEFT($U33,2),"H"),$R$63:$T$91,3,FALSE),VLOOKUP($U33,$R$63:$T$91,3,FALSE)))+IF(AND($U33&lt;&gt;"",$U33&lt;&gt;"O3/CP",$U$15=E$18,MID($U33,4,1)="2",$U$15&lt;&gt;$U$14),VLOOKUP(CONCATENATE(LEFT($U33,2),"L"),$R$63:$T$91,3,FALSE),0)+IF(AND($U33="O3/CP",$T$14=E$18),VLOOKUP("O3",$R$63:$T$91,3,FALSE)+VLOOKUP("CP",$R$63:$T$91,3,FALSE),0)+IF(AND($V33&lt;&gt;"",$V33&lt;&gt;"--",$V33&lt;&gt;"O3/CP",$V$14=E$18),IF(LEFT($V33,1)="P",VLOOKUP(CONCATENATE(LEFT($V33,2),"H"),$R$63:$T$91,3,FALSE),VLOOKUP($V33,$R$63:$T$91,3,FALSE)))+IF(AND($V33&lt;&gt;"",$V33&lt;&gt;"O3/CP",$V$15=E$18,MID($V33,4,1)="2",$V$15&lt;&gt;$V$14),VLOOKUP(CONCATENATE(LEFT($V33,2),"L"),$R$63:$T$91,3,FALSE),0)+IF(AND($V33="O3/CP",$V$14=E$18),VLOOKUP("O3",$R$63:$T$91,3,FALSE)+VLOOKUP("CP",$R$63:$T$91,3,FALSE),0)+IF(AND($W33&lt;&gt;"",$W33&lt;&gt;"--",$W33&lt;&gt;"O3/CP",$W$14=E$18),IF(LEFT($W33,1)="P",VLOOKUP(CONCATENATE(LEFT($W33,2),"H"),$R$63:$T$91,3,FALSE),VLOOKUP($W33,$R$63:$T$91,3,FALSE)))+IF(AND($W33&lt;&gt;"",$W33&lt;&gt;"O3/CP",$W$15=E$18,MID($W33,4,1)="2",$W$15&lt;&gt;$W$14),VLOOKUP(CONCATENATE(LEFT($W33,2),"L"),$R$63:$T$91,3,FALSE),0)+IF(AND($W33="O3/CP",$W$14=E$18),VLOOKUP("O3",$R$63:$T$91,3,FALSE)+VLOOKUP("CP",$R$63:$T$91,3,FALSE),0)+IF(AND($X33&lt;&gt;"",$X33&lt;&gt;"--",$X33&lt;&gt;"O3/CP",$X$14=E$18),IF(LEFT($X33,1)="P",VLOOKUP(CONCATENATE(LEFT($X33,2),"H"),$R$63:$T$91,3,FALSE),VLOOKUP($X33,$R$63:$T$91,3,FALSE)))+IF(AND($X33&lt;&gt;"",$X33&lt;&gt;"O3/CP",$X$15=E$18,MID($X33,4,1)="2",$X$15&lt;&gt;$X$14),VLOOKUP(CONCATENATE(LEFT($X33,2),"L"),$R$63:$T$91,3,FALSE),0)+IF(AND($X33="O3/CP",$X$14=E$18),VLOOKUP("O3",$R$63:$T$91,3,FALSE)+VLOOKUP("CP",$R$63:$T$91,3,FALSE),0)+IF(AND($Y33&lt;&gt;"",$Y33&lt;&gt;"--",$Y33&lt;&gt;"O3/CP",$Y$14=E$18),IF(LEFT($Y33,1)="P",VLOOKUP(CONCATENATE(LEFT($Y33,2),"H"),$R$63:$T$91,3,FALSE),VLOOKUP($Y33,$R$63:$T$91,3,FALSE)))+IF(AND($Y33&lt;&gt;"",$Y33&lt;&gt;"O3/CP",$Y$15=E$18,MID($Y33,4,1)="2",$Y$15&lt;&gt;$Y$14),VLOOKUP(CONCATENATE(LEFT($Y33,2),"L"),$R$63:$T$91,3,FALSE),0)+IF(AND($Y33="O3/CP",$Y$14=E$18),VLOOKUP("O3",$R$63:$T$91,3,FALSE)+VLOOKUP("CP",$R$63:$T$91,3,FALSE),0)+IF(AND($K$6="CE",'[3]Supply Attribution'!$G$20=E$18),LEFT($S$90,2),0)+IF(AND($X$86&lt;&gt;"Not Set",$X$87=E$18),$X$86,0)</f>
        <v>0</v>
      </c>
      <c r="F33" s="272">
        <f>IF(AND($K33&lt;&gt;"",$K33&lt;&gt;"--",$K33&lt;&gt;"O3/CP",$K$14=F$18),IF(LEFT($K33,1)="P",VLOOKUP(CONCATENATE(LEFT($K33,2),"H"),$R$63:$T$91,3,FALSE),VLOOKUP($K33,$R$63:$T$91,3,FALSE)))+IF(AND($K33&lt;&gt;"",$K33&lt;&gt;"O3/CP",$K$15=F$18,MID($K33,4,1)="2",$K$15&lt;&gt;$K$14),VLOOKUP(CONCATENATE(LEFT($K33,2),"L"),$R$63:$T$91,3,FALSE),0)+IF(AND($K33="O3/CP",$K$14=F$18),VLOOKUP("O3",$R$63:$T$91,3,FALSE)+VLOOKUP("CP",$R$63:$T$91,3,FALSE),0)+IF(AND($L33&lt;&gt;"",$L33&lt;&gt;"--",$L33&lt;&gt;"O3/CP",$L$14=F$18),IF(LEFT($L33,1)="P",VLOOKUP(CONCATENATE(LEFT($L33,2),"H"),$R$63:$T$91,3,FALSE),VLOOKUP($L33,$R$63:$T$91,3,FALSE)))+IF(AND($L33&lt;&gt;"",$L33&lt;&gt;"O3/CP",$L$15=F$18,MID($L33,4,1)="2",$L$15&lt;&gt;$L$14),VLOOKUP(CONCATENATE(LEFT($L33,2),"L"),$R$63:$T$91,3,FALSE),0)+IF(AND($L33="O3/CP",$L$14=F$18),VLOOKUP("O3",$R$63:$T$91,3,FALSE)+VLOOKUP("CP",$R$63:$T$91,3,FALSE),0)+IF(AND($M33&lt;&gt;"",$M33&lt;&gt;"--",$M33&lt;&gt;"O3/CP",$M$14=F$18),IF(LEFT($M33,1)="P",VLOOKUP(CONCATENATE(LEFT($M33,2),"H"),$R$63:$T$91,3,FALSE),VLOOKUP($M33,$R$63:$T$91,3,FALSE)))+IF(AND($M33&lt;&gt;"",$M33&lt;&gt;"O3/CP",$M$15=F$18,MID($M33,4,1)="2",$M$15&lt;&gt;$M$14),VLOOKUP(CONCATENATE(LEFT($M33,2),"L"),$R$63:$T$91,3,FALSE),0)+IF(AND($M33="O3/CP",$M$14=F$18),VLOOKUP("O3",$R$63:$T$91,3,FALSE)+VLOOKUP("CP",$R$63:$T$91,3,FALSE),0)+IF(AND($N33&lt;&gt;"",$N33&lt;&gt;"--",$N33&lt;&gt;"O3/CP",$N$14=F$18),IF(LEFT($N33,1)="P",VLOOKUP(CONCATENATE(LEFT($N33,2),"H"),$R$63:$T$91,3,FALSE),VLOOKUP($N33,$R$63:$T$91,3,FALSE)))+IF(AND($N33&lt;&gt;"",$N33&lt;&gt;"O3/CP",$N$15=F$18,MID($N33,4,1)="2",$N$15&lt;&gt;$N$14),VLOOKUP(CONCATENATE(LEFT($N33,2),"L"),$R$63:$T$91,3,FALSE),0)+IF(AND($N33="O3/CP",$N$14=F$18),VLOOKUP("O3",$R$63:$T$91,3,FALSE)+VLOOKUP("CP",$R$63:$T$91,3,FALSE),0)+IF(AND($O33&lt;&gt;"",$O33&lt;&gt;"--",$O33&lt;&gt;"O3/CP",$O$14=F$18),IF(LEFT($O33,1)="P",VLOOKUP(CONCATENATE(LEFT($O33,2),"H"),$R$63:$T$91,3,FALSE),VLOOKUP($O33,$R$63:$T$91,3,FALSE)))+IF(AND($O33&lt;&gt;"",$O33&lt;&gt;"O3/CP",$O$15=F$18,MID($O33,4,1)="2",$O$15&lt;&gt;$O$14),VLOOKUP(CONCATENATE(LEFT($O33,2),"L"),$R$63:$T$91,3,FALSE),0)+IF(AND($O33="O3/CP",$O$14=F$18),VLOOKUP("O3",$R$63:$T$91,3,FALSE)+VLOOKUP("CP",$R$63:$T$91,3,FALSE),0)+IF(AND($P33&lt;&gt;"",$P33&lt;&gt;"--",$P33&lt;&gt;"O3/CP",$P$14=F$18),IF(LEFT($P33,1)="P",VLOOKUP(CONCATENATE(LEFT($P33,2),"H"),$R$63:$T$91,3,FALSE),VLOOKUP($P33,$R$63:$T$91,3,FALSE)))+IF(AND($P33&lt;&gt;"",$P33&lt;&gt;"O3/CP",$P$15=F$18,MID($P33,4,1)="2",$P$15&lt;&gt;$P$14),VLOOKUP(CONCATENATE(LEFT($P33,2),"L"),$R$63:$T$91,3,FALSE),0)+IF(AND($P33="O3/CP",$P$14=F$18),VLOOKUP("O3",$R$63:$T$91,3,FALSE)+VLOOKUP("CP",$R$63:$T$91,3,FALSE),0)+IF(AND($Q33&lt;&gt;"",$Q33&lt;&gt;"--",$Q33&lt;&gt;"O3/CP",$Q$14=F$18),IF(LEFT($Q33,1)="P",VLOOKUP(CONCATENATE(LEFT($Q33,2),"H"),$R$63:$T$91,3,FALSE),VLOOKUP($Q33,$R$63:$T$91,3,FALSE)))+IF(AND($Q33&lt;&gt;"",$Q33&lt;&gt;"O3/CP",$Q$15=F$18,MID($Q33,4,1)="2",$Q$15&lt;&gt;$Q$14),VLOOKUP(CONCATENATE(LEFT($Q33,2),"L"),$R$63:$T$91,3,FALSE),0)+IF(AND($Q33="O3/CP",$Q$14=F$18),VLOOKUP("O3",$R$63:$T$91,3,FALSE)+VLOOKUP("CP",$R$63:$T$91,3,FALSE),0)+IF(AND($R33&lt;&gt;"",$R33&lt;&gt;"--",$R33&lt;&gt;"O3/CP",$R$14=F$18),IF(LEFT($R33,1)="P",VLOOKUP(CONCATENATE(LEFT($R33,2),"H"),$R$63:$T$91,3,FALSE),VLOOKUP($R33,$R$63:$T$91,3,FALSE)))+IF(AND($R33&lt;&gt;"",$R33&lt;&gt;"O3/CP",$R$15=F$18,MID($R33,4,1)="2",$R$15&lt;&gt;$R$14),VLOOKUP(CONCATENATE(LEFT($R33,2),"L"),$R$63:$T$91,3,FALSE),0)+IF(AND($R33="O3/CP",$R$14=F$18),VLOOKUP("O3",$R$63:$T$91,3,FALSE)+VLOOKUP("CP",$R$63:$T$91,3,FALSE),0)+IF(AND($S33&lt;&gt;"",$S33&lt;&gt;"--",$S33&lt;&gt;"O3/CP",$S$14=F$18),IF(LEFT($S33,1)="P",VLOOKUP(CONCATENATE(LEFT($S33,2),"H"),$R$63:$T$91,3,FALSE),VLOOKUP($S33,$R$63:$T$91,3,FALSE)))+IF(AND($S33&lt;&gt;"",$S33&lt;&gt;"O3/CP",$S$15=F$18,MID($S33,4,1)="2",$S$15&lt;&gt;$S$14),VLOOKUP(CONCATENATE(LEFT($S33,2),"L"),$R$63:$T$91,3,FALSE),0)+IF(AND($S33="O3/CP",$S$14=F$18),VLOOKUP("O3",$R$63:$T$91,3,FALSE)+VLOOKUP("CP",$R$63:$T$91,3,FALSE),0)+IF(AND($T33&lt;&gt;"",$T33&lt;&gt;"--",$T33&lt;&gt;"O3/CP",$T$14=F$18),IF(LEFT($T33,1)="P",VLOOKUP(CONCATENATE(LEFT($T33,2),"H"),$R$63:$T$91,3,FALSE),VLOOKUP($T33,$R$63:$T$91,3,FALSE)))+IF(AND($T33&lt;&gt;"",$T33&lt;&gt;"O3/CP",$T$15=F$18,MID($T33,4,1)="2",$T$15&lt;&gt;$T$14),VLOOKUP(CONCATENATE(LEFT($T33,2),"L"),$R$63:$T$91,3,FALSE),0)+IF(AND($T33="O3/CP",$T$14=F$18),VLOOKUP("O3",$R$63:$T$91,3,FALSE)+VLOOKUP("CP",$R$63:$T$91,3,FALSE),0)+IF(AND($U33&lt;&gt;"",$U33&lt;&gt;"--",$U33&lt;&gt;"O3/CP",$U$14=F$18),IF(LEFT($U33,1)="P",VLOOKUP(CONCATENATE(LEFT($U33,2),"H"),$R$63:$T$91,3,FALSE),VLOOKUP($U33,$R$63:$T$91,3,FALSE)))+IF(AND($U33&lt;&gt;"",$U33&lt;&gt;"O3/CP",$U$15=F$18,MID($U33,4,1)="2",$U$15&lt;&gt;$U$14),VLOOKUP(CONCATENATE(LEFT($U33,2),"L"),$R$63:$T$91,3,FALSE),0)+IF(AND($U33="O3/CP",$T$14=F$18),VLOOKUP("O3",$R$63:$T$91,3,FALSE)+VLOOKUP("CP",$R$63:$T$91,3,FALSE),0)+IF(AND($V33&lt;&gt;"",$V33&lt;&gt;"--",$V33&lt;&gt;"O3/CP",$V$14=F$18),IF(LEFT($V33,1)="P",VLOOKUP(CONCATENATE(LEFT($V33,2),"H"),$R$63:$T$91,3,FALSE),VLOOKUP($V33,$R$63:$T$91,3,FALSE)))+IF(AND($V33&lt;&gt;"",$V33&lt;&gt;"O3/CP",$V$15=F$18,MID($V33,4,1)="2",$V$15&lt;&gt;$V$14),VLOOKUP(CONCATENATE(LEFT($V33,2),"L"),$R$63:$T$91,3,FALSE),0)+IF(AND($V33="O3/CP",$V$14=F$18),VLOOKUP("O3",$R$63:$T$91,3,FALSE)+VLOOKUP("CP",$R$63:$T$91,3,FALSE),0)+IF(AND($W33&lt;&gt;"",$W33&lt;&gt;"--",$W33&lt;&gt;"O3/CP",$W$14=F$18),IF(LEFT($W33,1)="P",VLOOKUP(CONCATENATE(LEFT($W33,2),"H"),$R$63:$T$91,3,FALSE),VLOOKUP($W33,$R$63:$T$91,3,FALSE)))+IF(AND($W33&lt;&gt;"",$W33&lt;&gt;"O3/CP",$W$15=F$18,MID($W33,4,1)="2",$W$15&lt;&gt;$W$14),VLOOKUP(CONCATENATE(LEFT($W33,2),"L"),$R$63:$T$91,3,FALSE),0)+IF(AND($W33="O3/CP",$W$14=F$18),VLOOKUP("O3",$R$63:$T$91,3,FALSE)+VLOOKUP("CP",$R$63:$T$91,3,FALSE),0)+IF(AND($X33&lt;&gt;"",$X33&lt;&gt;"--",$X33&lt;&gt;"O3/CP",$X$14=F$18),IF(LEFT($X33,1)="P",VLOOKUP(CONCATENATE(LEFT($X33,2),"H"),$R$63:$T$91,3,FALSE),VLOOKUP($X33,$R$63:$T$91,3,FALSE)))+IF(AND($X33&lt;&gt;"",$X33&lt;&gt;"O3/CP",$X$15=F$18,MID($X33,4,1)="2",$X$15&lt;&gt;$X$14),VLOOKUP(CONCATENATE(LEFT($X33,2),"L"),$R$63:$T$91,3,FALSE),0)+IF(AND($X33="O3/CP",$X$14=F$18),VLOOKUP("O3",$R$63:$T$91,3,FALSE)+VLOOKUP("CP",$R$63:$T$91,3,FALSE),0)+IF(AND($Y33&lt;&gt;"",$Y33&lt;&gt;"--",$Y33&lt;&gt;"O3/CP",$Y$14=F$18),IF(LEFT($Y33,1)="P",VLOOKUP(CONCATENATE(LEFT($Y33,2),"H"),$R$63:$T$91,3,FALSE),VLOOKUP($Y33,$R$63:$T$91,3,FALSE)))+IF(AND($Y33&lt;&gt;"",$Y33&lt;&gt;"O3/CP",$Y$15=F$18,MID($Y33,4,1)="2",$Y$15&lt;&gt;$Y$14),VLOOKUP(CONCATENATE(LEFT($Y33,2),"L"),$R$63:$T$91,3,FALSE),0)+IF(AND($Y33="O3/CP",$Y$14=F$18),VLOOKUP("O3",$R$63:$T$91,3,FALSE)+VLOOKUP("CP",$R$63:$T$91,3,FALSE),0)+IF(AND($K$6="CE",'[3]Supply Attribution'!$G$20=F$18),LEFT($S$90,2),0)+IF(AND($X$86&lt;&gt;"Not Set",$X$87=F$18),$X$86,0)</f>
        <v>0</v>
      </c>
      <c r="G33" s="271">
        <f>IF(AND($K$6="CE",$T$59="1 Phase"),SUM(A33:F33)-IF(AND($K$14&lt;&gt;$K$15,RIGHT($K33,3)="2SP"),VLOOKUP(CONCATENATE(LEFT($K33,2),"L"),$R$63:$T$90,3,FALSE),0)-IF(AND($L$14&lt;&gt;$L$15,RIGHT($L33,3)="2SP"),VLOOKUP(CONCATENATE(LEFT($L33,2),"L"),$R$63:$T$90,3,FALSE),0)-IF(AND($M$14&lt;&gt;$M$15,RIGHT($M33,3)="2SP"),VLOOKUP(CONCATENATE(LEFT($M33,2),"L"),$R$63:$T$90,3,FALSE),0)-IF(AND($N$14&lt;&gt;$N$15,RIGHT($N33,3)="2SP"),VLOOKUP(CONCATENATE(LEFT($N33,2),"L"),$R$63:$T$90,3,FALSE),0)-IF(AND($O$14&lt;&gt;$O$15,RIGHT($O33,3)="2SP"),VLOOKUP(CONCATENATE(LEFT($O33,2),"L"),$R$63:$T$90,3,FALSE),0)-IF(AND($P$14&lt;&gt;$P$15,RIGHT($P33,3)="2SP"),VLOOKUP(CONCATENATE(LEFT($P33,2),"L"),$R$63:$T$90,3,FALSE),0)-IF(AND($Q$14&lt;&gt;$Q$15,RIGHT($Q33,3)="2SP"),VLOOKUP(CONCATENATE(LEFT($Q33,2),"L"),$R$63:$T$90,3,FALSE),0)-IF(AND($R$14&lt;&gt;$R$15,RIGHT($T33,3)="2SP"),VLOOKUP(CONCATENATE(LEFT($R33,2),"L"),$R$63:$T$90,3,FALSE),0)-IF(AND($S$14&lt;&gt;$S$15,RIGHT($T33,3)="2SP"),VLOOKUP(CONCATENATE(LEFT($S33,2),"L"),$R$63:$T$90,3,FALSE),0)-IF(AND($T$14&lt;&gt;$T$15,RIGHT($T33,3)="2SP"),VLOOKUP(CONCATENATE(LEFT($T33,2),"L"),$R$63:$T$90,3,FALSE),0)-IF(AND($U$14&lt;&gt;$U$15,RIGHT($U33,3)="2SP"),VLOOKUP(CONCATENATE(LEFT($U33,2),"L"),$R$63:$T$90,3,FALSE),0)-IF(AND($V$14&lt;&gt;$V$15,RIGHT($V33,3)="2SP"),VLOOKUP(CONCATENATE(LEFT($V33,2),"L"),$R$63:$T$90,3,FALSE),0)-IF(AND($W$14&lt;&gt;$W$15,RIGHT($W33,3)="2SP"),VLOOKUP(CONCATENATE(LEFT($W33,2),"L"),$R$63:$T$90,3,FALSE),0)-IF(AND($X$14&lt;&gt;$X$15,RIGHT($X33,3)="2SP"),VLOOKUP(CONCATENATE(LEFT($X33,2),"L"),$R$63:$T$90,3,FALSE),0)-IF(AND($Y$14&lt;&gt;$Y$15,RIGHT($Y33,3)="2SP"),VLOOKUP(CONCATENATE(LEFT($Y33,2),"L"),$R$63:$T$90,3,FALSE),0),IF(VLOOKUP(CONCATENATE($A$18,"Line"),'[3]Supply Attribution'!$F$31:$G$37,2,FALSE)=G$18,$A33,0)+IF(VLOOKUP(CONCATENATE($B$18,"Line"),'[3]Supply Attribution'!$F$31:$G$37,2,FALSE)=G$18,$B33,0)+IF(VLOOKUP(CONCATENATE($C$18,"Line"),'[3]Supply Attribution'!$F$31:$G$37,2,FALSE)=G$18,$C33,0)+IF(VLOOKUP(CONCATENATE($D$18,"Line"),'[3]Supply Attribution'!$F$31:$G$37,2,FALSE)=G$18,$D33,0)+IF(VLOOKUP(CONCATENATE($E$18,"Line"),'[3]Supply Attribution'!$F$31:$G$37,2,FALSE)=G$18,$E33,0)+IF(VLOOKUP(CONCATENATE($F$18,"Line"),'[3]Supply Attribution'!$F$31:$G$37,2,FALSE)=G$18,$F33,0)+IF($K$6="UL",LEFT($S$90,2),0)-IF(AND($K$16=G$18,$K$14&lt;&gt;$K$15,$K$16=$K$17,RIGHT($K33,3)="2SP"),VLOOKUP(CONCATENATE(LEFT($K33,2),"L"),$R$63:$T$90,3,FALSE),0)-IF(AND($L$16=G$18,$L$14&lt;&gt;$L$15,$L$16=$L$17,RIGHT($L33,3)="2SP"),VLOOKUP(CONCATENATE(LEFT($L33,2),"L"),$R$63:$T$90,3,FALSE),0)-IF(AND($M$16=G$18,$M$14&lt;&gt;$M$15,$M$16=$M$17,RIGHT($M33,3)="2SP"),VLOOKUP(CONCATENATE(LEFT($M33,2),"L"),$R$63:$T$90,3,FALSE),0)-IF(AND($N$16=G$18,$N$14&lt;&gt;$N$15,$N$16=$N$17,RIGHT($N33,3)="2SP"),VLOOKUP(CONCATENATE(LEFT($N33,2),"L"),$R$63:$T$90,3,FALSE),0)-IF(AND($O$16=G$18,$O$14&lt;&gt;$O$15,$O$16=$O$17,RIGHT($O33,3)="2SP"),VLOOKUP(CONCATENATE(LEFT($O33,2),"L"),$R$63:$T$90,3,FALSE),0)-IF(AND($P$16=G$18,$P$14&lt;&gt;$P$15,$P$16=$P$17,RIGHT($P33,3)="2SP"),VLOOKUP(CONCATENATE(LEFT($P33,2),"L"),$R$63:$T$90,3,FALSE),0)-IF(AND($Q$16=G$18,$Q$14&lt;&gt;$Q$15,$Q$16=$Q$17,RIGHT($Q33,3)="2SP"),VLOOKUP(CONCATENATE(LEFT($Q33,2),"L"),$R$63:$T$90,3,FALSE),0)-IF(AND($R$16=G$18,$R$14&lt;&gt;$R$15,$R$16=$R$17,RIGHT($R33,3)="2SP"),VLOOKUP(CONCATENATE(LEFT($R33,2),"L"),$R$63:$T$90,3,FALSE),0)-IF(AND($S$16=G$18,$S$14&lt;&gt;$S$15,$S$16=$S$17,RIGHT($S33,3)="2SP"),VLOOKUP(CONCATENATE(LEFT($S33,2),"L"),$R$63:$T$90,3,FALSE),0)-IF(AND($T$16=G$18,$T$14&lt;&gt;$T$15,$T$16=$T$17,RIGHT($T33,3)="2SP"),VLOOKUP(CONCATENATE(LEFT($T33,2),"L"),$R$63:$T$90,3,FALSE),0)-IF(AND($U$16=G$18,$U$14&lt;&gt;$U$15,$U$16=$U$17,RIGHT($U33,3)="2SP"),VLOOKUP(CONCATENATE(LEFT($U33,2),"L"),$R$63:$T$90,3,FALSE),0)-IF(AND($V$16=G$18,$V$14&lt;&gt;$V$15,$V$16=$V$17,RIGHT($V33,3)="2SP"),VLOOKUP(CONCATENATE(LEFT($V33,2),"L"),$R$63:$T$90,3,FALSE),0)-IF(AND($W$16=G$18,$W$14&lt;&gt;$W$15,$W$16=$W$17,RIGHT($W33,3)="2SP"),VLOOKUP(CONCATENATE(LEFT($W33,2),"L"),$R$63:$T$90,3,FALSE),0)-IF(AND($X$16=G$18,$X$14&lt;&gt;$X$15,$X$16=$X$17,RIGHT($X33,3)="2SP"),VLOOKUP(CONCATENATE(LEFT($X33,2),"L"),$R$63:$T$90,3,FALSE),0)-IF(AND($Y$16=G$18,$Y$14&lt;&gt;$Y$15,$Y$16=$Y$17,RIGHT($Y33,3)="2SP"),VLOOKUP(CONCATENATE(LEFT($Y33,2),"L"),$R$63:$T$90,3,FALSE),0))</f>
        <v>17</v>
      </c>
      <c r="H33" s="271" t="str">
        <f>IF(H$18&lt;&gt;"",IF(VLOOKUP(CONCATENATE($A$18,"Line"),'Supply Attribution'!$F$31:$G$37,2,FALSE)=H$18,$A33,0)+IF(VLOOKUP(CONCATENATE($B$18,"Line"),'Supply Attribution'!$F$31:$G$37,2,FALSE)=H$18,$B33,0)+IF(VLOOKUP(CONCATENATE($C$18,"Line"),'Supply Attribution'!$F$31:$G$37,2,FALSE)=H$18,$C33,0)+IF(VLOOKUP(CONCATENATE($D$18,"Line"),'Supply Attribution'!$F$31:$G$37,2,FALSE)=H$18,$D33,0)+IF(VLOOKUP(CONCATENATE($E$18,"Line"),'Supply Attribution'!$F$31:$G$37,2,FALSE)=H$18,$E33,0)+IF(VLOOKUP(CONCATENATE($F$18,"Line"),'Supply Attribution'!$F$31:$G$37,2,FALSE)=H$18,$F33,0)+IF($K$6="UL",LEFT($S$90,2),0)-IF(AND($K$16=H$18,$K$14&lt;&gt;$K$15,$K$16=$K$17,RIGHT($K33,3)="2SP"),VLOOKUP(CONCATENATE(LEFT($K33,2),"L"),$R$63:$T$90,3,FALSE),0)-IF(AND($L$16=H$18,$L$14&lt;&gt;$L$15,$L$16=$L$17,RIGHT($L33,3)="2SP"),VLOOKUP(CONCATENATE(LEFT($L33,2),"L"),$R$63:$T$90,3,FALSE),0)-IF(AND($M$16=H$18,$M$14&lt;&gt;$M$15,$M$16=$M$17,RIGHT($M33,3)="2SP"),VLOOKUP(CONCATENATE(LEFT($M33,2),"L"),$R$63:$T$90,3,FALSE),0)-IF(AND($N$16=H$18,$N$14&lt;&gt;$N$15,$N$16=$N$17,RIGHT($N33,3)="2SP"),VLOOKUP(CONCATENATE(LEFT($N33,2),"L"),$R$63:$T$90,3,FALSE),0)-IF(AND($O$16=H$18,$O$14&lt;&gt;$O$15,$O$16=$O$17,RIGHT($O33,3)="2SP"),VLOOKUP(CONCATENATE(LEFT($O33,2),"L"),$R$63:$T$90,3,FALSE),0)-IF(AND($P$16=H$18,$P$14&lt;&gt;$P$15,$P$16=$P$17,RIGHT($P33,3)="2SP"),VLOOKUP(CONCATENATE(LEFT($P33,2),"L"),$R$63:$T$90,3,FALSE),0)-IF(AND($Q$16=H$18,$Q$14&lt;&gt;$Q$15,$Q$16=$Q$17,RIGHT($Q33,3)="2SP"),VLOOKUP(CONCATENATE(LEFT($Q33,2),"L"),$R$63:$T$90,3,FALSE),0)-IF(AND($T$16=H$18,$T$14&lt;&gt;$T$15,$T$16=$T$17,RIGHT($T33,3)="2SP"),VLOOKUP(CONCATENATE(LEFT($T33,2),"L"),$R$63:$T$90,3,FALSE),0)-IF(AND($U$16=H$18,$U$14&lt;&gt;$U$15,$U$16=$U$17,RIGHT($U33,3)="2SP"),VLOOKUP(CONCATENATE(LEFT($U33,2),"L"),$R$63:$T$90,3,FALSE),0)-IF(AND($V$16=H$18,$V$14&lt;&gt;$V$15,$V$16=$V$17,RIGHT($V33,3)="2SP"),VLOOKUP(CONCATENATE(LEFT($V33,2),"L"),$R$63:$T$90,3,FALSE),0)-IF(AND($W$16=H$18,$W$14&lt;&gt;$W$15,$W$16=$W$17,RIGHT($W33,3)="2SP"),VLOOKUP(CONCATENATE(LEFT($W33,2),"L"),$R$63:$T$90,3,FALSE),0)-IF(AND($X$16=H$18,$X$14&lt;&gt;$X$15,$X$16=$X$17,RIGHT($X33,3)="2SP"),VLOOKUP(CONCATENATE(LEFT($X33,2),"L"),$R$63:$T$90,3,FALSE),0)-IF(AND($Y$16=H$18,$Y$14&lt;&gt;$Y$15,$Y$16=$Y$17,RIGHT($Y33,3)="2SP"),VLOOKUP(CONCATENATE(LEFT($Y33,2),"L"),$R$63:$T$90,3,FALSE),0)+IF(AND($K$6="CE",$T$59="2 Phases",H$18&lt;&gt;""),IF(VLOOKUP(CONCATENATE($A$18,"Line"),'Supply Attribution'!$F$31:$G$37,2,FALSE)="Line3",$A33,0)+IF(VLOOKUP(CONCATENATE($B$18,"Line"),'Supply Attribution'!$F$31:$G$37,2,FALSE)="Line3",$B33,0)+IF(VLOOKUP(CONCATENATE($C$18,"Line"),'Supply Attribution'!$F$31:$G$37,2,FALSE)="Line3",$C33,0)+IF(VLOOKUP(CONCATENATE($D$18,"Line"),'Supply Attribution'!$F$31:$G$37,2,FALSE)="Line3",$D33,0)+IF(VLOOKUP(CONCATENATE($E$18,"Line"),'Supply Attribution'!$F$31:$G$37,2,FALSE)="Line3",$E33,0)+IF(VLOOKUP(CONCATENATE($F$18,"Line"),'Supply Attribution'!$F$31:$G$37,2,FALSE)="Line3",$F33,0)-IF(AND($K$16=I$18,$K$14&lt;&gt;$K$15,$K$16=$K$17,RIGHT($K33,3)="2SP"),VLOOKUP(CONCATENATE(LEFT($K33,2),"L"),$R$63:$T$90,3,FALSE),0)-IF(AND($L$16=I$18,$L$14&lt;&gt;$L$15,$L$16=$L$17,RIGHT($L33,3)="2SP"),VLOOKUP(CONCATENATE(LEFT($L33,2),"L"),$R$63:$T$90,3,FALSE),0)-IF(AND($M$16=I$18,$M$14&lt;&gt;$M$15,$M$16=$M$17,RIGHT($M33,3)="2SP"),VLOOKUP(CONCATENATE(LEFT($M33,2),"L"),$R$63:$T$90,3,FALSE),0)-IF(AND($N$16=I$18,$N$14&lt;&gt;$N$15,$N$16=$N$17,RIGHT($N33,3)="2SP"),VLOOKUP(CONCATENATE(LEFT($N33,2),"L"),$R$63:$T$90,3,FALSE),0)-IF(AND($O$16=I$18,$O$14&lt;&gt;$O$15,$O$16=$O$17,RIGHT($O33,3)="2SP"),VLOOKUP(CONCATENATE(LEFT($O33,2),"L"),$R$63:$T$90,3,FALSE),0)-IF(AND($P$16=I$18,$P$14&lt;&gt;$P$15,$P$16=$P$17,RIGHT($P33,3)="2SP"),VLOOKUP(CONCATENATE(LEFT($P33,2),"L"),$R$63:$T$90,3,FALSE),0)-IF(AND($Q$16=I$18,$Q$14&lt;&gt;$Q$15,$Q$16=$Q$17,RIGHT($Q33,3)="2SP"),VLOOKUP(CONCATENATE(LEFT($Q33,2),"L"),$R$63:$T$90,3,FALSE),0)-IF(AND($T$16=I$18,$T$14&lt;&gt;$T$15,$T$16=$T$17,RIGHT($T33,3)="2SP"),VLOOKUP(CONCATENATE(LEFT($T33,2),"L"),$R$63:$T$90,3,FALSE),0)-IF(AND($U$16=I$18,$U$14&lt;&gt;$U$15,$U$16=$U$17,RIGHT($U33,3)="2SP"),VLOOKUP(CONCATENATE(LEFT($U33,2),"L"),$R$63:$T$90,3,FALSE),0)-IF(AND($V$16=I$18,$V$14&lt;&gt;$V$15,$V$16=$V$17,RIGHT($V33,3)="2SP"),VLOOKUP(CONCATENATE(LEFT($V33,2),"L"),$R$63:$T$90,3,FALSE),0)-IF(AND($W$16=I$18,$W$14&lt;&gt;$W$15,$W$16=$W$17,RIGHT($W33,3)="2SP"),VLOOKUP(CONCATENATE(LEFT($W33,2),"L"),$R$63:$T$90,3,FALSE),0)-IF(AND($X$16=I$18,$X$14&lt;&gt;$X$15,$X$16=$X$17,RIGHT($X33,3)="2SP"),VLOOKUP(CONCATENATE(LEFT($X33,2),"L"),$R$63:$T$90,3,FALSE),0)-IF(AND($Y$16=I$18,$Y$14&lt;&gt;$Y$15,$Y$16=$Y$17,RIGHT($Y33,3)="2SP"),VLOOKUP(CONCATENATE(LEFT($Y33,2),"L"),$R$63:$T$90,3,FALSE),0),0),"")</f>
        <v/>
      </c>
      <c r="I33" s="271" t="str">
        <f>IF(I$18&lt;&gt;"",IF(VLOOKUP(CONCATENATE($A$18,"Line"),'Supply Attribution'!$F$31:$G$37,2,FALSE)=I$18,$A33,0)+IF(VLOOKUP(CONCATENATE($B$18,"Line"),'Supply Attribution'!$F$31:$G$37,2,FALSE)=I$18,$B33,0)+IF(VLOOKUP(CONCATENATE($C$18,"Line"),'Supply Attribution'!$F$31:$G$37,2,FALSE)=I$18,$C33,0)+IF(VLOOKUP(CONCATENATE($D$18,"Line"),'Supply Attribution'!$F$31:$G$37,2,FALSE)=I$18,$D33,0)+IF(VLOOKUP(CONCATENATE($E$18,"Line"),'Supply Attribution'!$F$31:$G$37,2,FALSE)=I$18,$E33,0)+IF(VLOOKUP(CONCATENATE($F$18,"Line"),'Supply Attribution'!$F$31:$G$37,2,FALSE)=I$18,$F33,0)+IF($K$6="UL",LEFT($S$90,2),0)-IF(AND($K$16=I$18,$K$14&lt;&gt;$K$15,$K$16=$K$17,RIGHT($K33,3)="2SP"),VLOOKUP(CONCATENATE(LEFT($K33,2),"L"),$R$63:$T$90,3,FALSE),0)-IF(AND($L$16=I$18,$L$14&lt;&gt;$L$15,$L$16=$L$17,RIGHT($L33,3)="2SP"),VLOOKUP(CONCATENATE(LEFT($L33,2),"L"),$R$63:$T$90,3,FALSE),0)-IF(AND($M$16=I$18,$M$14&lt;&gt;$M$15,$M$16=$M$17,RIGHT($M33,3)="2SP"),VLOOKUP(CONCATENATE(LEFT($M33,2),"L"),$R$63:$T$90,3,FALSE),0)-IF(AND($N$16=I$18,$N$14&lt;&gt;$N$15,$N$16=$N$17,RIGHT($N33,3)="2SP"),VLOOKUP(CONCATENATE(LEFT($N33,2),"L"),$R$63:$T$90,3,FALSE),0)-IF(AND($O$16=I$18,$O$14&lt;&gt;$O$15,$O$16=$O$17,RIGHT($O33,3)="2SP"),VLOOKUP(CONCATENATE(LEFT($O33,2),"L"),$R$63:$T$90,3,FALSE),0)-IF(AND($P$16=I$18,$P$14&lt;&gt;$P$15,$P$16=$P$17,RIGHT($P33,3)="2SP"),VLOOKUP(CONCATENATE(LEFT($P33,2),"L"),$R$63:$T$90,3,FALSE),0)-IF(AND($Q$16=I$18,$Q$14&lt;&gt;$Q$15,$Q$16=$Q$17,RIGHT($Q33,3)="2SP"),VLOOKUP(CONCATENATE(LEFT($Q33,2),"L"),$R$63:$T$90,3,FALSE),0)-IF(AND($T$16=I$18,$T$14&lt;&gt;$T$15,$T$16=$T$17,RIGHT($T33,3)="2SP"),VLOOKUP(CONCATENATE(LEFT($T33,2),"L"),$R$63:$T$90,3,FALSE),0)-IF(AND($U$16=I$18,$U$14&lt;&gt;$U$15,$U$16=$U$17,RIGHT($U33,3)="2SP"),VLOOKUP(CONCATENATE(LEFT($U33,2),"L"),$R$63:$T$90,3,FALSE),0)-IF(AND($V$16=I$18,$V$14&lt;&gt;$V$15,$V$16=$V$17,RIGHT($V33,3)="2SP"),VLOOKUP(CONCATENATE(LEFT($V33,2),"L"),$R$63:$T$90,3,FALSE),0)-IF(AND($W$16=I$18,$W$14&lt;&gt;$W$15,$W$16=$W$17,RIGHT($W33,3)="2SP"),VLOOKUP(CONCATENATE(LEFT($W33,2),"L"),$R$63:$T$90,3,FALSE),0)-IF(AND($X$16=I$18,$X$14&lt;&gt;$X$15,$X$16=$X$17,RIGHT($X33,3)="2SP"),VLOOKUP(CONCATENATE(LEFT($X33,2),"L"),$R$63:$T$90,3,FALSE),0)-IF(AND($Y$16=I$18,$Y$14&lt;&gt;$Y$15,$Y$16=$Y$17,RIGHT($Y33,3)="2SP"),VLOOKUP(CONCATENATE(LEFT($Y33,2),"L"),$R$63:$T$90,3,FALSE),0),"")</f>
        <v/>
      </c>
      <c r="J33" s="129"/>
      <c r="K33" s="130"/>
      <c r="L33" s="130"/>
      <c r="M33" s="130"/>
      <c r="N33" s="130"/>
      <c r="O33" s="130"/>
      <c r="P33" s="130"/>
      <c r="Q33" s="130"/>
      <c r="R33" s="130"/>
      <c r="S33" s="130"/>
      <c r="T33" s="130"/>
      <c r="U33" s="130"/>
      <c r="V33" s="130"/>
      <c r="W33" s="130"/>
      <c r="X33" s="130"/>
      <c r="Y33" s="130"/>
      <c r="Z33" s="131"/>
      <c r="AA33" s="131"/>
      <c r="AB33" s="132"/>
      <c r="AC33" s="132"/>
      <c r="AD33" s="132"/>
      <c r="AE33" s="133">
        <f t="shared" si="0"/>
        <v>0</v>
      </c>
      <c r="AF33" s="78"/>
    </row>
    <row r="34" spans="1:32">
      <c r="A34" s="270">
        <f>IF(AND($K34&lt;&gt;"",$K34&lt;&gt;"--",$K34&lt;&gt;"O3/CP",$K$14=A$18),IF(LEFT($K34,1)="P",VLOOKUP(CONCATENATE(LEFT($K34,2),"H"),$R$63:$T$91,3,FALSE),VLOOKUP($K34,$R$63:$T$91,3,FALSE)))+IF(AND($K34&lt;&gt;"",$K34&lt;&gt;"O3/CP",$K$15=A$18,MID($K34,4,1)="2",$K$15&lt;&gt;$K$14),VLOOKUP(CONCATENATE(LEFT($K34,2),"L"),$R$63:$T$91,3,FALSE),0)+IF(AND($K34="O3/CP",$K$14=A$18),VLOOKUP("O3",$R$63:$T$91,3,FALSE)+VLOOKUP("CP",$R$63:$T$91,3,FALSE),0)+IF(AND($L34&lt;&gt;"",$L34&lt;&gt;"--",$L34&lt;&gt;"O3/CP",$L$14=A$18),IF(LEFT($L34,1)="P",VLOOKUP(CONCATENATE(LEFT($L34,2),"H"),$R$63:$T$91,3,FALSE),VLOOKUP($L34,$R$63:$T$91,3,FALSE)))+IF(AND($L34&lt;&gt;"",$L34&lt;&gt;"O3/CP",$L$15=A$18,MID($L34,4,1)="2",$L$15&lt;&gt;$L$14),VLOOKUP(CONCATENATE(LEFT($L34,2),"L"),$R$63:$T$91,3,FALSE),0)+IF(AND($L34="O3/CP",$L$14=A$18),VLOOKUP("O3",$R$63:$T$91,3,FALSE)+VLOOKUP("CP",$R$63:$T$91,3,FALSE),0)+IF(AND($M34&lt;&gt;"",$M34&lt;&gt;"--",$M34&lt;&gt;"O3/CP",$M$14=A$18),IF(LEFT($M34,1)="P",VLOOKUP(CONCATENATE(LEFT($M34,2),"H"),$R$63:$T$91,3,FALSE),VLOOKUP($M34,$R$63:$T$91,3,FALSE)))+IF(AND($M34&lt;&gt;"",$M34&lt;&gt;"O3/CP",$M$15=A$18,MID($M34,4,1)="2",$M$15&lt;&gt;$M$14),VLOOKUP(CONCATENATE(LEFT($M34,2),"L"),$R$63:$T$91,3,FALSE),0)+IF(AND($M34="O3/CP",$M$14=A$18),VLOOKUP("O3",$R$63:$T$91,3,FALSE)+VLOOKUP("CP",$R$63:$T$91,3,FALSE),0)+IF(AND($N34&lt;&gt;"",$N34&lt;&gt;"--",$N34&lt;&gt;"O3/CP",$N$14=A$18),IF(LEFT($N34,1)="P",VLOOKUP(CONCATENATE(LEFT($N34,2),"H"),$R$63:$T$91,3,FALSE),VLOOKUP($N34,$R$63:$T$91,3,FALSE)))+IF(AND($N34&lt;&gt;"",$N34&lt;&gt;"O3/CP",$N$15=A$18,MID($N34,4,1)="2",$N$15&lt;&gt;$N$14),VLOOKUP(CONCATENATE(LEFT($N34,2),"L"),$R$63:$T$91,3,FALSE),0)+IF(AND($N34="O3/CP",$N$14=A$18),VLOOKUP("O3",$R$63:$T$91,3,FALSE)+VLOOKUP("CP",$R$63:$T$91,3,FALSE),0)+IF(AND($O34&lt;&gt;"",$O34&lt;&gt;"--",$O34&lt;&gt;"O3/CP",$O$14=A$18),IF(LEFT($O34,1)="P",VLOOKUP(CONCATENATE(LEFT($O34,2),"H"),$R$63:$T$91,3,FALSE),VLOOKUP($O34,$R$63:$T$91,3,FALSE)))+IF(AND($O34&lt;&gt;"",$O34&lt;&gt;"O3/CP",$O$15=A$18,MID($O34,4,1)="2",$O$15&lt;&gt;$O$14),VLOOKUP(CONCATENATE(LEFT($O34,2),"L"),$R$63:$T$91,3,FALSE),0)+IF(AND($O34="O3/CP",$O$14=A$18),VLOOKUP("O3",$R$63:$T$91,3,FALSE)+VLOOKUP("CP",$R$63:$T$91,3,FALSE),0)+IF(AND($P34&lt;&gt;"",$P34&lt;&gt;"--",$P34&lt;&gt;"O3/CP",$P$14=A$18),IF(LEFT($P34,1)="P",VLOOKUP(CONCATENATE(LEFT($P34,2),"H"),$R$63:$T$91,3,FALSE),VLOOKUP($P34,$R$63:$T$91,3,FALSE)))+IF(AND($P34&lt;&gt;"",$P34&lt;&gt;"O3/CP",$P$15=A$18,MID($P34,4,1)="2",$P$15&lt;&gt;$P$14),VLOOKUP(CONCATENATE(LEFT($P34,2),"L"),$R$63:$T$91,3,FALSE),0)+IF(AND($P34="O3/CP",$P$14=A$18),VLOOKUP("O3",$R$63:$T$91,3,FALSE)+VLOOKUP("CP",$R$63:$T$91,3,FALSE),0)+IF(AND($Q34&lt;&gt;"",$Q34&lt;&gt;"--",$Q34&lt;&gt;"O3/CP",$Q$14=A$18),IF(LEFT($Q34,1)="P",VLOOKUP(CONCATENATE(LEFT($Q34,2),"H"),$R$63:$T$91,3,FALSE),VLOOKUP($Q34,$R$63:$T$91,3,FALSE)))+IF(AND($Q34&lt;&gt;"",$Q34&lt;&gt;"O3/CP",$Q$15=A$18,MID($Q34,4,1)="2",$Q$15&lt;&gt;$Q$14),VLOOKUP(CONCATENATE(LEFT($Q34,2),"L"),$R$63:$T$91,3,FALSE),0)+IF(AND($Q34="O3/CP",$Q$14=A$18),VLOOKUP("O3",$R$63:$T$91,3,FALSE)+VLOOKUP("CP",$R$63:$T$91,3,FALSE),0)+IF(AND($R34&lt;&gt;"",$R34&lt;&gt;"--",$R34&lt;&gt;"O3/CP",$R$14=A$18),IF(LEFT($R34,1)="P",VLOOKUP(CONCATENATE(LEFT($R34,2),"H"),$R$63:$T$91,3,FALSE),VLOOKUP($R34,$R$63:$T$91,3,FALSE)))+IF(AND($R34&lt;&gt;"",$R34&lt;&gt;"O3/CP",$R$15=A$18,MID($R34,4,1)="2",$R$15&lt;&gt;$R$14),VLOOKUP(CONCATENATE(LEFT($R34,2),"L"),$R$63:$T$91,3,FALSE),0)+IF(AND($R34="O3/CP",$R$14=A$18),VLOOKUP("O3",$R$63:$T$91,3,FALSE)+VLOOKUP("CP",$R$63:$T$91,3,FALSE),0)+IF(AND($S34&lt;&gt;"",$S34&lt;&gt;"--",$S34&lt;&gt;"O3/CP",$S$14=A$18),IF(LEFT($S34,1)="P",VLOOKUP(CONCATENATE(LEFT($S34,2),"H"),$R$63:$T$91,3,FALSE),VLOOKUP($S34,$R$63:$T$91,3,FALSE)))+IF(AND($S34&lt;&gt;"",$S34&lt;&gt;"O3/CP",$S$15=A$18,MID($S34,4,1)="2",$S$15&lt;&gt;$S$14),VLOOKUP(CONCATENATE(LEFT($S34,2),"L"),$R$63:$T$91,3,FALSE),0)+IF(AND($S34="O3/CP",$S$14=A$18),VLOOKUP("O3",$R$63:$T$91,3,FALSE)+VLOOKUP("CP",$R$63:$T$91,3,FALSE),0)+IF(AND($T34&lt;&gt;"",$T34&lt;&gt;"--",$T34&lt;&gt;"O3/CP",$T$14=A$18),IF(LEFT($T34,1)="P",VLOOKUP(CONCATENATE(LEFT($T34,2),"H"),$R$63:$T$91,3,FALSE),VLOOKUP($T34,$R$63:$T$91,3,FALSE)))+IF(AND($T34&lt;&gt;"",$T34&lt;&gt;"O3/CP",$T$15=A$18,MID($T34,4,1)="2",$T$15&lt;&gt;$T$14),VLOOKUP(CONCATENATE(LEFT($T34,2),"L"),$R$63:$T$91,3,FALSE),0)+IF(AND($T34="O3/CP",$T$14=A$18),VLOOKUP("O3",$R$63:$T$91,3,FALSE)+VLOOKUP("CP",$R$63:$T$91,3,FALSE),0)+IF(AND($U34&lt;&gt;"",$U34&lt;&gt;"--",$U34&lt;&gt;"O3/CP",$U$14=A$18),IF(LEFT($U34,1)="P",VLOOKUP(CONCATENATE(LEFT($U34,2),"H"),$R$63:$T$91,3,FALSE),VLOOKUP($U34,$R$63:$T$91,3,FALSE)))+IF(AND($U34&lt;&gt;"",$U34&lt;&gt;"O3/CP",$U$15=A$18,MID($U34,4,1)="2",$U$15&lt;&gt;$U$14),VLOOKUP(CONCATENATE(LEFT($U34,2),"L"),$R$63:$T$91,3,FALSE),0)+IF(AND($U34="O3/CP",$T$14=A$18),VLOOKUP("O3",$R$63:$T$91,3,FALSE)+VLOOKUP("CP",$R$63:$T$91,3,FALSE),0)+IF(AND($V34&lt;&gt;"",$V34&lt;&gt;"--",$V34&lt;&gt;"O3/CP",$V$14=A$18),IF(LEFT($V34,1)="P",VLOOKUP(CONCATENATE(LEFT($V34,2),"H"),$R$63:$T$91,3,FALSE),VLOOKUP($V34,$R$63:$T$91,3,FALSE)))+IF(AND($V34&lt;&gt;"",$V34&lt;&gt;"O3/CP",$V$15=A$18,MID($V34,4,1)="2",$V$15&lt;&gt;$V$14),VLOOKUP(CONCATENATE(LEFT($V34,2),"L"),$R$63:$T$91,3,FALSE),0)+IF(AND($V34="O3/CP",$V$14=A$18),VLOOKUP("O3",$R$63:$T$91,3,FALSE)+VLOOKUP("CP",$R$63:$T$91,3,FALSE),0)+IF(AND($W34&lt;&gt;"",$W34&lt;&gt;"--",$W34&lt;&gt;"O3/CP",$W$14=A$18),IF(LEFT($W34,1)="P",VLOOKUP(CONCATENATE(LEFT($W34,2),"H"),$R$63:$T$91,3,FALSE),VLOOKUP($W34,$R$63:$T$91,3,FALSE)))+IF(AND($W34&lt;&gt;"",$W34&lt;&gt;"O3/CP",$W$15=A$18,MID($W34,4,1)="2",$W$15&lt;&gt;$W$14),VLOOKUP(CONCATENATE(LEFT($W34,2),"L"),$R$63:$T$91,3,FALSE),0)+IF(AND($W34="O3/CP",$W$14=A$18),VLOOKUP("O3",$R$63:$T$91,3,FALSE)+VLOOKUP("CP",$R$63:$T$91,3,FALSE),0)+IF(AND($X34&lt;&gt;"",$X34&lt;&gt;"--",$X34&lt;&gt;"O3/CP",$X$14=A$18),IF(LEFT($X34,1)="P",VLOOKUP(CONCATENATE(LEFT($X34,2),"H"),$R$63:$T$91,3,FALSE),VLOOKUP($X34,$R$63:$T$91,3,FALSE)))+IF(AND($X34&lt;&gt;"",$X34&lt;&gt;"O3/CP",$X$15=A$18,MID($X34,4,1)="2",$X$15&lt;&gt;$X$14),VLOOKUP(CONCATENATE(LEFT($X34,2),"L"),$R$63:$T$91,3,FALSE),0)+IF(AND($X34="O3/CP",$X$14=A$18),VLOOKUP("O3",$R$63:$T$91,3,FALSE)+VLOOKUP("CP",$R$63:$T$91,3,FALSE),0)+IF(AND($Y34&lt;&gt;"",$Y34&lt;&gt;"--",$Y34&lt;&gt;"O3/CP",$Y$14=A$18),IF(LEFT($Y34,1)="P",VLOOKUP(CONCATENATE(LEFT($Y34,2),"H"),$R$63:$T$91,3,FALSE),VLOOKUP($Y34,$R$63:$T$91,3,FALSE)))+IF(AND($Y34&lt;&gt;"",$Y34&lt;&gt;"O3/CP",$Y$15=A$18,MID($Y34,4,1)="2",$Y$15&lt;&gt;$Y$14),VLOOKUP(CONCATENATE(LEFT($Y34,2),"L"),$R$63:$T$91,3,FALSE),0)+IF(AND($Y34="O3/CP",$Y$14=A$18),VLOOKUP("O3",$R$63:$T$91,3,FALSE)+VLOOKUP("CP",$R$63:$T$91,3,FALSE),0)+IF(AND($K$6="CE",'[3]Supply Attribution'!$G$20=A$18),LEFT($S$90,2),0)+IF(AND($X$86&lt;&gt;"Not Set",$X$87=A$18),$X$86,0)</f>
        <v>0</v>
      </c>
      <c r="B34" s="269">
        <f>IF(AND($K34&lt;&gt;"",$K34&lt;&gt;"--",$K34&lt;&gt;"O3/CP",$K$14=B$18),IF(LEFT($K34,1)="P",VLOOKUP(CONCATENATE(LEFT($K34,2),"H"),$R$63:$T$91,3,FALSE),VLOOKUP($K34,$R$63:$T$91,3,FALSE)))+IF(AND($K34&lt;&gt;"",$K34&lt;&gt;"O3/CP",$K$15=B$18,MID($K34,4,1)="2",$K$15&lt;&gt;$K$14),VLOOKUP(CONCATENATE(LEFT($K34,2),"L"),$R$63:$T$91,3,FALSE),0)+IF(AND($K34="O3/CP",$K$14=B$18),VLOOKUP("O3",$R$63:$T$91,3,FALSE)+VLOOKUP("CP",$R$63:$T$91,3,FALSE),0)+IF(AND($L34&lt;&gt;"",$L34&lt;&gt;"--",$L34&lt;&gt;"O3/CP",$L$14=B$18),IF(LEFT($L34,1)="P",VLOOKUP(CONCATENATE(LEFT($L34,2),"H"),$R$63:$T$91,3,FALSE),VLOOKUP($L34,$R$63:$T$91,3,FALSE)))+IF(AND($L34&lt;&gt;"",$L34&lt;&gt;"O3/CP",$L$15=B$18,MID($L34,4,1)="2",$L$15&lt;&gt;$L$14),VLOOKUP(CONCATENATE(LEFT($L34,2),"L"),$R$63:$T$91,3,FALSE),0)+IF(AND($L34="O3/CP",$L$14=B$18),VLOOKUP("O3",$R$63:$T$91,3,FALSE)+VLOOKUP("CP",$R$63:$T$91,3,FALSE),0)+IF(AND($M34&lt;&gt;"",$M34&lt;&gt;"--",$M34&lt;&gt;"O3/CP",$M$14=B$18),IF(LEFT($M34,1)="P",VLOOKUP(CONCATENATE(LEFT($M34,2),"H"),$R$63:$T$91,3,FALSE),VLOOKUP($M34,$R$63:$T$91,3,FALSE)))+IF(AND($M34&lt;&gt;"",$M34&lt;&gt;"O3/CP",$M$15=B$18,MID($M34,4,1)="2",$M$15&lt;&gt;$M$14),VLOOKUP(CONCATENATE(LEFT($M34,2),"L"),$R$63:$T$91,3,FALSE),0)+IF(AND($M34="O3/CP",$M$14=B$18),VLOOKUP("O3",$R$63:$T$91,3,FALSE)+VLOOKUP("CP",$R$63:$T$91,3,FALSE),0)+IF(AND($N34&lt;&gt;"",$N34&lt;&gt;"--",$N34&lt;&gt;"O3/CP",$N$14=B$18),IF(LEFT($N34,1)="P",VLOOKUP(CONCATENATE(LEFT($N34,2),"H"),$R$63:$T$91,3,FALSE),VLOOKUP($N34,$R$63:$T$91,3,FALSE)))+IF(AND($N34&lt;&gt;"",$N34&lt;&gt;"O3/CP",$N$15=B$18,MID($N34,4,1)="2",$N$15&lt;&gt;$N$14),VLOOKUP(CONCATENATE(LEFT($N34,2),"L"),$R$63:$T$91,3,FALSE),0)+IF(AND($N34="O3/CP",$N$14=B$18),VLOOKUP("O3",$R$63:$T$91,3,FALSE)+VLOOKUP("CP",$R$63:$T$91,3,FALSE),0)+IF(AND($O34&lt;&gt;"",$O34&lt;&gt;"--",$O34&lt;&gt;"O3/CP",$O$14=B$18),IF(LEFT($O34,1)="P",VLOOKUP(CONCATENATE(LEFT($O34,2),"H"),$R$63:$T$91,3,FALSE),VLOOKUP($O34,$R$63:$T$91,3,FALSE)))+IF(AND($O34&lt;&gt;"",$O34&lt;&gt;"O3/CP",$O$15=B$18,MID($O34,4,1)="2",$O$15&lt;&gt;$O$14),VLOOKUP(CONCATENATE(LEFT($O34,2),"L"),$R$63:$T$91,3,FALSE),0)+IF(AND($O34="O3/CP",$O$14=B$18),VLOOKUP("O3",$R$63:$T$91,3,FALSE)+VLOOKUP("CP",$R$63:$T$91,3,FALSE),0)+IF(AND($P34&lt;&gt;"",$P34&lt;&gt;"--",$P34&lt;&gt;"O3/CP",$P$14=B$18),IF(LEFT($P34,1)="P",VLOOKUP(CONCATENATE(LEFT($P34,2),"H"),$R$63:$T$91,3,FALSE),VLOOKUP($P34,$R$63:$T$91,3,FALSE)))+IF(AND($P34&lt;&gt;"",$P34&lt;&gt;"O3/CP",$P$15=B$18,MID($P34,4,1)="2",$P$15&lt;&gt;$P$14),VLOOKUP(CONCATENATE(LEFT($P34,2),"L"),$R$63:$T$91,3,FALSE),0)+IF(AND($P34="O3/CP",$P$14=B$18),VLOOKUP("O3",$R$63:$T$91,3,FALSE)+VLOOKUP("CP",$R$63:$T$91,3,FALSE),0)+IF(AND($Q34&lt;&gt;"",$Q34&lt;&gt;"--",$Q34&lt;&gt;"O3/CP",$Q$14=B$18),IF(LEFT($Q34,1)="P",VLOOKUP(CONCATENATE(LEFT($Q34,2),"H"),$R$63:$T$91,3,FALSE),VLOOKUP($Q34,$R$63:$T$91,3,FALSE)))+IF(AND($Q34&lt;&gt;"",$Q34&lt;&gt;"O3/CP",$Q$15=B$18,MID($Q34,4,1)="2",$Q$15&lt;&gt;$Q$14),VLOOKUP(CONCATENATE(LEFT($Q34,2),"L"),$R$63:$T$91,3,FALSE),0)+IF(AND($Q34="O3/CP",$Q$14=B$18),VLOOKUP("O3",$R$63:$T$91,3,FALSE)+VLOOKUP("CP",$R$63:$T$91,3,FALSE),0)+IF(AND($R34&lt;&gt;"",$R34&lt;&gt;"--",$R34&lt;&gt;"O3/CP",$R$14=B$18),IF(LEFT($R34,1)="P",VLOOKUP(CONCATENATE(LEFT($R34,2),"H"),$R$63:$T$91,3,FALSE),VLOOKUP($R34,$R$63:$T$91,3,FALSE)))+IF(AND($R34&lt;&gt;"",$R34&lt;&gt;"O3/CP",$R$15=B$18,MID($R34,4,1)="2",$R$15&lt;&gt;$R$14),VLOOKUP(CONCATENATE(LEFT($R34,2),"L"),$R$63:$T$91,3,FALSE),0)+IF(AND($R34="O3/CP",$R$14=B$18),VLOOKUP("O3",$R$63:$T$91,3,FALSE)+VLOOKUP("CP",$R$63:$T$91,3,FALSE),0)+IF(AND($S34&lt;&gt;"",$S34&lt;&gt;"--",$S34&lt;&gt;"O3/CP",$S$14=B$18),IF(LEFT($S34,1)="P",VLOOKUP(CONCATENATE(LEFT($S34,2),"H"),$R$63:$T$91,3,FALSE),VLOOKUP($S34,$R$63:$T$91,3,FALSE)))+IF(AND($S34&lt;&gt;"",$S34&lt;&gt;"O3/CP",$S$15=B$18,MID($S34,4,1)="2",$S$15&lt;&gt;$S$14),VLOOKUP(CONCATENATE(LEFT($S34,2),"L"),$R$63:$T$91,3,FALSE),0)+IF(AND($S34="O3/CP",$S$14=B$18),VLOOKUP("O3",$R$63:$T$91,3,FALSE)+VLOOKUP("CP",$R$63:$T$91,3,FALSE),0)+IF(AND($T34&lt;&gt;"",$T34&lt;&gt;"--",$T34&lt;&gt;"O3/CP",$T$14=B$18),IF(LEFT($T34,1)="P",VLOOKUP(CONCATENATE(LEFT($T34,2),"H"),$R$63:$T$91,3,FALSE),VLOOKUP($T34,$R$63:$T$91,3,FALSE)))+IF(AND($T34&lt;&gt;"",$T34&lt;&gt;"O3/CP",$T$15=B$18,MID($T34,4,1)="2",$T$15&lt;&gt;$T$14),VLOOKUP(CONCATENATE(LEFT($T34,2),"L"),$R$63:$T$91,3,FALSE),0)+IF(AND($T34="O3/CP",$T$14=B$18),VLOOKUP("O3",$R$63:$T$91,3,FALSE)+VLOOKUP("CP",$R$63:$T$91,3,FALSE),0)+IF(AND($U34&lt;&gt;"",$U34&lt;&gt;"--",$U34&lt;&gt;"O3/CP",$U$14=B$18),IF(LEFT($U34,1)="P",VLOOKUP(CONCATENATE(LEFT($U34,2),"H"),$R$63:$T$91,3,FALSE),VLOOKUP($U34,$R$63:$T$91,3,FALSE)))+IF(AND($U34&lt;&gt;"",$U34&lt;&gt;"O3/CP",$U$15=B$18,MID($U34,4,1)="2",$U$15&lt;&gt;$U$14),VLOOKUP(CONCATENATE(LEFT($U34,2),"L"),$R$63:$T$91,3,FALSE),0)+IF(AND($U34="O3/CP",$T$14=B$18),VLOOKUP("O3",$R$63:$T$91,3,FALSE)+VLOOKUP("CP",$R$63:$T$91,3,FALSE),0)+IF(AND($V34&lt;&gt;"",$V34&lt;&gt;"--",$V34&lt;&gt;"O3/CP",$V$14=B$18),IF(LEFT($V34,1)="P",VLOOKUP(CONCATENATE(LEFT($V34,2),"H"),$R$63:$T$91,3,FALSE),VLOOKUP($V34,$R$63:$T$91,3,FALSE)))+IF(AND($V34&lt;&gt;"",$V34&lt;&gt;"O3/CP",$V$15=B$18,MID($V34,4,1)="2",$V$15&lt;&gt;$V$14),VLOOKUP(CONCATENATE(LEFT($V34,2),"L"),$R$63:$T$91,3,FALSE),0)+IF(AND($V34="O3/CP",$V$14=B$18),VLOOKUP("O3",$R$63:$T$91,3,FALSE)+VLOOKUP("CP",$R$63:$T$91,3,FALSE),0)+IF(AND($W34&lt;&gt;"",$W34&lt;&gt;"--",$W34&lt;&gt;"O3/CP",$W$14=B$18),IF(LEFT($W34,1)="P",VLOOKUP(CONCATENATE(LEFT($W34,2),"H"),$R$63:$T$91,3,FALSE),VLOOKUP($W34,$R$63:$T$91,3,FALSE)))+IF(AND($W34&lt;&gt;"",$W34&lt;&gt;"O3/CP",$W$15=B$18,MID($W34,4,1)="2",$W$15&lt;&gt;$W$14),VLOOKUP(CONCATENATE(LEFT($W34,2),"L"),$R$63:$T$91,3,FALSE),0)+IF(AND($W34="O3/CP",$W$14=B$18),VLOOKUP("O3",$R$63:$T$91,3,FALSE)+VLOOKUP("CP",$R$63:$T$91,3,FALSE),0)+IF(AND($X34&lt;&gt;"",$X34&lt;&gt;"--",$X34&lt;&gt;"O3/CP",$X$14=B$18),IF(LEFT($X34,1)="P",VLOOKUP(CONCATENATE(LEFT($X34,2),"H"),$R$63:$T$91,3,FALSE),VLOOKUP($X34,$R$63:$T$91,3,FALSE)))+IF(AND($X34&lt;&gt;"",$X34&lt;&gt;"O3/CP",$X$15=B$18,MID($X34,4,1)="2",$X$15&lt;&gt;$X$14),VLOOKUP(CONCATENATE(LEFT($X34,2),"L"),$R$63:$T$91,3,FALSE),0)+IF(AND($X34="O3/CP",$X$14=B$18),VLOOKUP("O3",$R$63:$T$91,3,FALSE)+VLOOKUP("CP",$R$63:$T$91,3,FALSE),0)+IF(AND($Y34&lt;&gt;"",$Y34&lt;&gt;"--",$Y34&lt;&gt;"O3/CP",$Y$14=B$18),IF(LEFT($Y34,1)="P",VLOOKUP(CONCATENATE(LEFT($Y34,2),"H"),$R$63:$T$91,3,FALSE),VLOOKUP($Y34,$R$63:$T$91,3,FALSE)))+IF(AND($Y34&lt;&gt;"",$Y34&lt;&gt;"O3/CP",$Y$15=B$18,MID($Y34,4,1)="2",$Y$15&lt;&gt;$Y$14),VLOOKUP(CONCATENATE(LEFT($Y34,2),"L"),$R$63:$T$91,3,FALSE),0)+IF(AND($Y34="O3/CP",$Y$14=B$18),VLOOKUP("O3",$R$63:$T$91,3,FALSE)+VLOOKUP("CP",$R$63:$T$91,3,FALSE),0)+IF(AND($K$6="CE",'[3]Supply Attribution'!$G$20=B$18),LEFT($S$90,2),0)+IF(AND($X$86&lt;&gt;"Not Set",$X$87=B$18),$X$86,0)</f>
        <v>0</v>
      </c>
      <c r="C34" s="269">
        <f>IF(AND($K34&lt;&gt;"",$K34&lt;&gt;"--",$K34&lt;&gt;"O3/CP",$K$14=C$18),IF(LEFT($K34,1)="P",VLOOKUP(CONCATENATE(LEFT($K34,2),"H"),$R$63:$T$91,3,FALSE),VLOOKUP($K34,$R$63:$T$91,3,FALSE)))+IF(AND($K34&lt;&gt;"",$K34&lt;&gt;"O3/CP",$K$15=C$18,MID($K34,4,1)="2",$K$15&lt;&gt;$K$14),VLOOKUP(CONCATENATE(LEFT($K34,2),"L"),$R$63:$T$91,3,FALSE),0)+IF(AND($K34="O3/CP",$K$14=C$18),VLOOKUP("O3",$R$63:$T$91,3,FALSE)+VLOOKUP("CP",$R$63:$T$91,3,FALSE),0)+IF(AND($L34&lt;&gt;"",$L34&lt;&gt;"--",$L34&lt;&gt;"O3/CP",$L$14=C$18),IF(LEFT($L34,1)="P",VLOOKUP(CONCATENATE(LEFT($L34,2),"H"),$R$63:$T$91,3,FALSE),VLOOKUP($L34,$R$63:$T$91,3,FALSE)))+IF(AND($L34&lt;&gt;"",$L34&lt;&gt;"O3/CP",$L$15=C$18,MID($L34,4,1)="2",$L$15&lt;&gt;$L$14),VLOOKUP(CONCATENATE(LEFT($L34,2),"L"),$R$63:$T$91,3,FALSE),0)+IF(AND($L34="O3/CP",$L$14=C$18),VLOOKUP("O3",$R$63:$T$91,3,FALSE)+VLOOKUP("CP",$R$63:$T$91,3,FALSE),0)+IF(AND($M34&lt;&gt;"",$M34&lt;&gt;"--",$M34&lt;&gt;"O3/CP",$M$14=C$18),IF(LEFT($M34,1)="P",VLOOKUP(CONCATENATE(LEFT($M34,2),"H"),$R$63:$T$91,3,FALSE),VLOOKUP($M34,$R$63:$T$91,3,FALSE)))+IF(AND($M34&lt;&gt;"",$M34&lt;&gt;"O3/CP",$M$15=C$18,MID($M34,4,1)="2",$M$15&lt;&gt;$M$14),VLOOKUP(CONCATENATE(LEFT($M34,2),"L"),$R$63:$T$91,3,FALSE),0)+IF(AND($M34="O3/CP",$M$14=C$18),VLOOKUP("O3",$R$63:$T$91,3,FALSE)+VLOOKUP("CP",$R$63:$T$91,3,FALSE),0)+IF(AND($N34&lt;&gt;"",$N34&lt;&gt;"--",$N34&lt;&gt;"O3/CP",$N$14=C$18),IF(LEFT($N34,1)="P",VLOOKUP(CONCATENATE(LEFT($N34,2),"H"),$R$63:$T$91,3,FALSE),VLOOKUP($N34,$R$63:$T$91,3,FALSE)))+IF(AND($N34&lt;&gt;"",$N34&lt;&gt;"O3/CP",$N$15=C$18,MID($N34,4,1)="2",$N$15&lt;&gt;$N$14),VLOOKUP(CONCATENATE(LEFT($N34,2),"L"),$R$63:$T$91,3,FALSE),0)+IF(AND($N34="O3/CP",$N$14=C$18),VLOOKUP("O3",$R$63:$T$91,3,FALSE)+VLOOKUP("CP",$R$63:$T$91,3,FALSE),0)+IF(AND($O34&lt;&gt;"",$O34&lt;&gt;"--",$O34&lt;&gt;"O3/CP",$O$14=C$18),IF(LEFT($O34,1)="P",VLOOKUP(CONCATENATE(LEFT($O34,2),"H"),$R$63:$T$91,3,FALSE),VLOOKUP($O34,$R$63:$T$91,3,FALSE)))+IF(AND($O34&lt;&gt;"",$O34&lt;&gt;"O3/CP",$O$15=C$18,MID($O34,4,1)="2",$O$15&lt;&gt;$O$14),VLOOKUP(CONCATENATE(LEFT($O34,2),"L"),$R$63:$T$91,3,FALSE),0)+IF(AND($O34="O3/CP",$O$14=C$18),VLOOKUP("O3",$R$63:$T$91,3,FALSE)+VLOOKUP("CP",$R$63:$T$91,3,FALSE),0)+IF(AND($P34&lt;&gt;"",$P34&lt;&gt;"--",$P34&lt;&gt;"O3/CP",$P$14=C$18),IF(LEFT($P34,1)="P",VLOOKUP(CONCATENATE(LEFT($P34,2),"H"),$R$63:$T$91,3,FALSE),VLOOKUP($P34,$R$63:$T$91,3,FALSE)))+IF(AND($P34&lt;&gt;"",$P34&lt;&gt;"O3/CP",$P$15=C$18,MID($P34,4,1)="2",$P$15&lt;&gt;$P$14),VLOOKUP(CONCATENATE(LEFT($P34,2),"L"),$R$63:$T$91,3,FALSE),0)+IF(AND($P34="O3/CP",$P$14=C$18),VLOOKUP("O3",$R$63:$T$91,3,FALSE)+VLOOKUP("CP",$R$63:$T$91,3,FALSE),0)+IF(AND($Q34&lt;&gt;"",$Q34&lt;&gt;"--",$Q34&lt;&gt;"O3/CP",$Q$14=C$18),IF(LEFT($Q34,1)="P",VLOOKUP(CONCATENATE(LEFT($Q34,2),"H"),$R$63:$T$91,3,FALSE),VLOOKUP($Q34,$R$63:$T$91,3,FALSE)))+IF(AND($Q34&lt;&gt;"",$Q34&lt;&gt;"O3/CP",$Q$15=C$18,MID($Q34,4,1)="2",$Q$15&lt;&gt;$Q$14),VLOOKUP(CONCATENATE(LEFT($Q34,2),"L"),$R$63:$T$91,3,FALSE),0)+IF(AND($Q34="O3/CP",$Q$14=C$18),VLOOKUP("O3",$R$63:$T$91,3,FALSE)+VLOOKUP("CP",$R$63:$T$91,3,FALSE),0)+IF(AND($R34&lt;&gt;"",$R34&lt;&gt;"--",$R34&lt;&gt;"O3/CP",$R$14=C$18),IF(LEFT($R34,1)="P",VLOOKUP(CONCATENATE(LEFT($R34,2),"H"),$R$63:$T$91,3,FALSE),VLOOKUP($R34,$R$63:$T$91,3,FALSE)))+IF(AND($R34&lt;&gt;"",$R34&lt;&gt;"O3/CP",$R$15=C$18,MID($R34,4,1)="2",$R$15&lt;&gt;$R$14),VLOOKUP(CONCATENATE(LEFT($R34,2),"L"),$R$63:$T$91,3,FALSE),0)+IF(AND($R34="O3/CP",$R$14=C$18),VLOOKUP("O3",$R$63:$T$91,3,FALSE)+VLOOKUP("CP",$R$63:$T$91,3,FALSE),0)+IF(AND($S34&lt;&gt;"",$S34&lt;&gt;"--",$S34&lt;&gt;"O3/CP",$S$14=C$18),IF(LEFT($S34,1)="P",VLOOKUP(CONCATENATE(LEFT($S34,2),"H"),$R$63:$T$91,3,FALSE),VLOOKUP($S34,$R$63:$T$91,3,FALSE)))+IF(AND($S34&lt;&gt;"",$S34&lt;&gt;"O3/CP",$S$15=C$18,MID($S34,4,1)="2",$S$15&lt;&gt;$S$14),VLOOKUP(CONCATENATE(LEFT($S34,2),"L"),$R$63:$T$91,3,FALSE),0)+IF(AND($S34="O3/CP",$S$14=C$18),VLOOKUP("O3",$R$63:$T$91,3,FALSE)+VLOOKUP("CP",$R$63:$T$91,3,FALSE),0)+IF(AND($T34&lt;&gt;"",$T34&lt;&gt;"--",$T34&lt;&gt;"O3/CP",$T$14=C$18),IF(LEFT($T34,1)="P",VLOOKUP(CONCATENATE(LEFT($T34,2),"H"),$R$63:$T$91,3,FALSE),VLOOKUP($T34,$R$63:$T$91,3,FALSE)))+IF(AND($T34&lt;&gt;"",$T34&lt;&gt;"O3/CP",$T$15=C$18,MID($T34,4,1)="2",$T$15&lt;&gt;$T$14),VLOOKUP(CONCATENATE(LEFT($T34,2),"L"),$R$63:$T$91,3,FALSE),0)+IF(AND($T34="O3/CP",$T$14=C$18),VLOOKUP("O3",$R$63:$T$91,3,FALSE)+VLOOKUP("CP",$R$63:$T$91,3,FALSE),0)+IF(AND($U34&lt;&gt;"",$U34&lt;&gt;"--",$U34&lt;&gt;"O3/CP",$U$14=C$18),IF(LEFT($U34,1)="P",VLOOKUP(CONCATENATE(LEFT($U34,2),"H"),$R$63:$T$91,3,FALSE),VLOOKUP($U34,$R$63:$T$91,3,FALSE)))+IF(AND($U34&lt;&gt;"",$U34&lt;&gt;"O3/CP",$U$15=C$18,MID($U34,4,1)="2",$U$15&lt;&gt;$U$14),VLOOKUP(CONCATENATE(LEFT($U34,2),"L"),$R$63:$T$91,3,FALSE),0)+IF(AND($U34="O3/CP",$T$14=C$18),VLOOKUP("O3",$R$63:$T$91,3,FALSE)+VLOOKUP("CP",$R$63:$T$91,3,FALSE),0)+IF(AND($V34&lt;&gt;"",$V34&lt;&gt;"--",$V34&lt;&gt;"O3/CP",$V$14=C$18),IF(LEFT($V34,1)="P",VLOOKUP(CONCATENATE(LEFT($V34,2),"H"),$R$63:$T$91,3,FALSE),VLOOKUP($V34,$R$63:$T$91,3,FALSE)))+IF(AND($V34&lt;&gt;"",$V34&lt;&gt;"O3/CP",$V$15=C$18,MID($V34,4,1)="2",$V$15&lt;&gt;$V$14),VLOOKUP(CONCATENATE(LEFT($V34,2),"L"),$R$63:$T$91,3,FALSE),0)+IF(AND($V34="O3/CP",$V$14=C$18),VLOOKUP("O3",$R$63:$T$91,3,FALSE)+VLOOKUP("CP",$R$63:$T$91,3,FALSE),0)+IF(AND($W34&lt;&gt;"",$W34&lt;&gt;"--",$W34&lt;&gt;"O3/CP",$W$14=C$18),IF(LEFT($W34,1)="P",VLOOKUP(CONCATENATE(LEFT($W34,2),"H"),$R$63:$T$91,3,FALSE),VLOOKUP($W34,$R$63:$T$91,3,FALSE)))+IF(AND($W34&lt;&gt;"",$W34&lt;&gt;"O3/CP",$W$15=C$18,MID($W34,4,1)="2",$W$15&lt;&gt;$W$14),VLOOKUP(CONCATENATE(LEFT($W34,2),"L"),$R$63:$T$91,3,FALSE),0)+IF(AND($W34="O3/CP",$W$14=C$18),VLOOKUP("O3",$R$63:$T$91,3,FALSE)+VLOOKUP("CP",$R$63:$T$91,3,FALSE),0)+IF(AND($X34&lt;&gt;"",$X34&lt;&gt;"--",$X34&lt;&gt;"O3/CP",$X$14=C$18),IF(LEFT($X34,1)="P",VLOOKUP(CONCATENATE(LEFT($X34,2),"H"),$R$63:$T$91,3,FALSE),VLOOKUP($X34,$R$63:$T$91,3,FALSE)))+IF(AND($X34&lt;&gt;"",$X34&lt;&gt;"O3/CP",$X$15=C$18,MID($X34,4,1)="2",$X$15&lt;&gt;$X$14),VLOOKUP(CONCATENATE(LEFT($X34,2),"L"),$R$63:$T$91,3,FALSE),0)+IF(AND($X34="O3/CP",$X$14=C$18),VLOOKUP("O3",$R$63:$T$91,3,FALSE)+VLOOKUP("CP",$R$63:$T$91,3,FALSE),0)+IF(AND($Y34&lt;&gt;"",$Y34&lt;&gt;"--",$Y34&lt;&gt;"O3/CP",$Y$14=C$18),IF(LEFT($Y34,1)="P",VLOOKUP(CONCATENATE(LEFT($Y34,2),"H"),$R$63:$T$91,3,FALSE),VLOOKUP($Y34,$R$63:$T$91,3,FALSE)))+IF(AND($Y34&lt;&gt;"",$Y34&lt;&gt;"O3/CP",$Y$15=C$18,MID($Y34,4,1)="2",$Y$15&lt;&gt;$Y$14),VLOOKUP(CONCATENATE(LEFT($Y34,2),"L"),$R$63:$T$91,3,FALSE),0)+IF(AND($Y34="O3/CP",$Y$14=C$18),VLOOKUP("O3",$R$63:$T$91,3,FALSE)+VLOOKUP("CP",$R$63:$T$91,3,FALSE),0)+IF(AND($K$6="CE",'[3]Supply Attribution'!$G$20=C$18),LEFT($S$90,2),0)+IF(AND($X$86&lt;&gt;"Not Set",$X$87=C$18),$X$86,0)</f>
        <v>0</v>
      </c>
      <c r="D34" s="269">
        <f>IF(AND($K34&lt;&gt;"",$K34&lt;&gt;"--",$K34&lt;&gt;"O3/CP",$K$14=D$18),IF(LEFT($K34,1)="P",VLOOKUP(CONCATENATE(LEFT($K34,2),"H"),$R$63:$T$91,3,FALSE),VLOOKUP($K34,$R$63:$T$91,3,FALSE)))+IF(AND($K34&lt;&gt;"",$K34&lt;&gt;"O3/CP",$K$15=D$18,MID($K34,4,1)="2",$K$15&lt;&gt;$K$14),VLOOKUP(CONCATENATE(LEFT($K34,2),"L"),$R$63:$T$91,3,FALSE),0)+IF(AND($K34="O3/CP",$K$14=D$18),VLOOKUP("O3",$R$63:$T$91,3,FALSE)+VLOOKUP("CP",$R$63:$T$91,3,FALSE),0)+IF(AND($L34&lt;&gt;"",$L34&lt;&gt;"--",$L34&lt;&gt;"O3/CP",$L$14=D$18),IF(LEFT($L34,1)="P",VLOOKUP(CONCATENATE(LEFT($L34,2),"H"),$R$63:$T$91,3,FALSE),VLOOKUP($L34,$R$63:$T$91,3,FALSE)))+IF(AND($L34&lt;&gt;"",$L34&lt;&gt;"O3/CP",$L$15=D$18,MID($L34,4,1)="2",$L$15&lt;&gt;$L$14),VLOOKUP(CONCATENATE(LEFT($L34,2),"L"),$R$63:$T$91,3,FALSE),0)+IF(AND($L34="O3/CP",$L$14=D$18),VLOOKUP("O3",$R$63:$T$91,3,FALSE)+VLOOKUP("CP",$R$63:$T$91,3,FALSE),0)+IF(AND($M34&lt;&gt;"",$M34&lt;&gt;"--",$M34&lt;&gt;"O3/CP",$M$14=D$18),IF(LEFT($M34,1)="P",VLOOKUP(CONCATENATE(LEFT($M34,2),"H"),$R$63:$T$91,3,FALSE),VLOOKUP($M34,$R$63:$T$91,3,FALSE)))+IF(AND($M34&lt;&gt;"",$M34&lt;&gt;"O3/CP",$M$15=D$18,MID($M34,4,1)="2",$M$15&lt;&gt;$M$14),VLOOKUP(CONCATENATE(LEFT($M34,2),"L"),$R$63:$T$91,3,FALSE),0)+IF(AND($M34="O3/CP",$M$14=D$18),VLOOKUP("O3",$R$63:$T$91,3,FALSE)+VLOOKUP("CP",$R$63:$T$91,3,FALSE),0)+IF(AND($N34&lt;&gt;"",$N34&lt;&gt;"--",$N34&lt;&gt;"O3/CP",$N$14=D$18),IF(LEFT($N34,1)="P",VLOOKUP(CONCATENATE(LEFT($N34,2),"H"),$R$63:$T$91,3,FALSE),VLOOKUP($N34,$R$63:$T$91,3,FALSE)))+IF(AND($N34&lt;&gt;"",$N34&lt;&gt;"O3/CP",$N$15=D$18,MID($N34,4,1)="2",$N$15&lt;&gt;$N$14),VLOOKUP(CONCATENATE(LEFT($N34,2),"L"),$R$63:$T$91,3,FALSE),0)+IF(AND($N34="O3/CP",$N$14=D$18),VLOOKUP("O3",$R$63:$T$91,3,FALSE)+VLOOKUP("CP",$R$63:$T$91,3,FALSE),0)+IF(AND($O34&lt;&gt;"",$O34&lt;&gt;"--",$O34&lt;&gt;"O3/CP",$O$14=D$18),IF(LEFT($O34,1)="P",VLOOKUP(CONCATENATE(LEFT($O34,2),"H"),$R$63:$T$91,3,FALSE),VLOOKUP($O34,$R$63:$T$91,3,FALSE)))+IF(AND($O34&lt;&gt;"",$O34&lt;&gt;"O3/CP",$O$15=D$18,MID($O34,4,1)="2",$O$15&lt;&gt;$O$14),VLOOKUP(CONCATENATE(LEFT($O34,2),"L"),$R$63:$T$91,3,FALSE),0)+IF(AND($O34="O3/CP",$O$14=D$18),VLOOKUP("O3",$R$63:$T$91,3,FALSE)+VLOOKUP("CP",$R$63:$T$91,3,FALSE),0)+IF(AND($P34&lt;&gt;"",$P34&lt;&gt;"--",$P34&lt;&gt;"O3/CP",$P$14=D$18),IF(LEFT($P34,1)="P",VLOOKUP(CONCATENATE(LEFT($P34,2),"H"),$R$63:$T$91,3,FALSE),VLOOKUP($P34,$R$63:$T$91,3,FALSE)))+IF(AND($P34&lt;&gt;"",$P34&lt;&gt;"O3/CP",$P$15=D$18,MID($P34,4,1)="2",$P$15&lt;&gt;$P$14),VLOOKUP(CONCATENATE(LEFT($P34,2),"L"),$R$63:$T$91,3,FALSE),0)+IF(AND($P34="O3/CP",$P$14=D$18),VLOOKUP("O3",$R$63:$T$91,3,FALSE)+VLOOKUP("CP",$R$63:$T$91,3,FALSE),0)+IF(AND($Q34&lt;&gt;"",$Q34&lt;&gt;"--",$Q34&lt;&gt;"O3/CP",$Q$14=D$18),IF(LEFT($Q34,1)="P",VLOOKUP(CONCATENATE(LEFT($Q34,2),"H"),$R$63:$T$91,3,FALSE),VLOOKUP($Q34,$R$63:$T$91,3,FALSE)))+IF(AND($Q34&lt;&gt;"",$Q34&lt;&gt;"O3/CP",$Q$15=D$18,MID($Q34,4,1)="2",$Q$15&lt;&gt;$Q$14),VLOOKUP(CONCATENATE(LEFT($Q34,2),"L"),$R$63:$T$91,3,FALSE),0)+IF(AND($Q34="O3/CP",$Q$14=D$18),VLOOKUP("O3",$R$63:$T$91,3,FALSE)+VLOOKUP("CP",$R$63:$T$91,3,FALSE),0)+IF(AND($R34&lt;&gt;"",$R34&lt;&gt;"--",$R34&lt;&gt;"O3/CP",$R$14=D$18),IF(LEFT($R34,1)="P",VLOOKUP(CONCATENATE(LEFT($R34,2),"H"),$R$63:$T$91,3,FALSE),VLOOKUP($R34,$R$63:$T$91,3,FALSE)))+IF(AND($R34&lt;&gt;"",$R34&lt;&gt;"O3/CP",$R$15=D$18,MID($R34,4,1)="2",$R$15&lt;&gt;$R$14),VLOOKUP(CONCATENATE(LEFT($R34,2),"L"),$R$63:$T$91,3,FALSE),0)+IF(AND($R34="O3/CP",$R$14=D$18),VLOOKUP("O3",$R$63:$T$91,3,FALSE)+VLOOKUP("CP",$R$63:$T$91,3,FALSE),0)+IF(AND($S34&lt;&gt;"",$S34&lt;&gt;"--",$S34&lt;&gt;"O3/CP",$S$14=D$18),IF(LEFT($S34,1)="P",VLOOKUP(CONCATENATE(LEFT($S34,2),"H"),$R$63:$T$91,3,FALSE),VLOOKUP($S34,$R$63:$T$91,3,FALSE)))+IF(AND($S34&lt;&gt;"",$S34&lt;&gt;"O3/CP",$S$15=D$18,MID($S34,4,1)="2",$S$15&lt;&gt;$S$14),VLOOKUP(CONCATENATE(LEFT($S34,2),"L"),$R$63:$T$91,3,FALSE),0)+IF(AND($S34="O3/CP",$S$14=D$18),VLOOKUP("O3",$R$63:$T$91,3,FALSE)+VLOOKUP("CP",$R$63:$T$91,3,FALSE),0)+IF(AND($T34&lt;&gt;"",$T34&lt;&gt;"--",$T34&lt;&gt;"O3/CP",$T$14=D$18),IF(LEFT($T34,1)="P",VLOOKUP(CONCATENATE(LEFT($T34,2),"H"),$R$63:$T$91,3,FALSE),VLOOKUP($T34,$R$63:$T$91,3,FALSE)))+IF(AND($T34&lt;&gt;"",$T34&lt;&gt;"O3/CP",$T$15=D$18,MID($T34,4,1)="2",$T$15&lt;&gt;$T$14),VLOOKUP(CONCATENATE(LEFT($T34,2),"L"),$R$63:$T$91,3,FALSE),0)+IF(AND($T34="O3/CP",$T$14=D$18),VLOOKUP("O3",$R$63:$T$91,3,FALSE)+VLOOKUP("CP",$R$63:$T$91,3,FALSE),0)+IF(AND($U34&lt;&gt;"",$U34&lt;&gt;"--",$U34&lt;&gt;"O3/CP",$U$14=D$18),IF(LEFT($U34,1)="P",VLOOKUP(CONCATENATE(LEFT($U34,2),"H"),$R$63:$T$91,3,FALSE),VLOOKUP($U34,$R$63:$T$91,3,FALSE)))+IF(AND($U34&lt;&gt;"",$U34&lt;&gt;"O3/CP",$U$15=D$18,MID($U34,4,1)="2",$U$15&lt;&gt;$U$14),VLOOKUP(CONCATENATE(LEFT($U34,2),"L"),$R$63:$T$91,3,FALSE),0)+IF(AND($U34="O3/CP",$T$14=D$18),VLOOKUP("O3",$R$63:$T$91,3,FALSE)+VLOOKUP("CP",$R$63:$T$91,3,FALSE),0)+IF(AND($V34&lt;&gt;"",$V34&lt;&gt;"--",$V34&lt;&gt;"O3/CP",$V$14=D$18),IF(LEFT($V34,1)="P",VLOOKUP(CONCATENATE(LEFT($V34,2),"H"),$R$63:$T$91,3,FALSE),VLOOKUP($V34,$R$63:$T$91,3,FALSE)))+IF(AND($V34&lt;&gt;"",$V34&lt;&gt;"O3/CP",$V$15=D$18,MID($V34,4,1)="2",$V$15&lt;&gt;$V$14),VLOOKUP(CONCATENATE(LEFT($V34,2),"L"),$R$63:$T$91,3,FALSE),0)+IF(AND($V34="O3/CP",$V$14=D$18),VLOOKUP("O3",$R$63:$T$91,3,FALSE)+VLOOKUP("CP",$R$63:$T$91,3,FALSE),0)+IF(AND($W34&lt;&gt;"",$W34&lt;&gt;"--",$W34&lt;&gt;"O3/CP",$W$14=D$18),IF(LEFT($W34,1)="P",VLOOKUP(CONCATENATE(LEFT($W34,2),"H"),$R$63:$T$91,3,FALSE),VLOOKUP($W34,$R$63:$T$91,3,FALSE)))+IF(AND($W34&lt;&gt;"",$W34&lt;&gt;"O3/CP",$W$15=D$18,MID($W34,4,1)="2",$W$15&lt;&gt;$W$14),VLOOKUP(CONCATENATE(LEFT($W34,2),"L"),$R$63:$T$91,3,FALSE),0)+IF(AND($W34="O3/CP",$W$14=D$18),VLOOKUP("O3",$R$63:$T$91,3,FALSE)+VLOOKUP("CP",$R$63:$T$91,3,FALSE),0)+IF(AND($X34&lt;&gt;"",$X34&lt;&gt;"--",$X34&lt;&gt;"O3/CP",$X$14=D$18),IF(LEFT($X34,1)="P",VLOOKUP(CONCATENATE(LEFT($X34,2),"H"),$R$63:$T$91,3,FALSE),VLOOKUP($X34,$R$63:$T$91,3,FALSE)))+IF(AND($X34&lt;&gt;"",$X34&lt;&gt;"O3/CP",$X$15=D$18,MID($X34,4,1)="2",$X$15&lt;&gt;$X$14),VLOOKUP(CONCATENATE(LEFT($X34,2),"L"),$R$63:$T$91,3,FALSE),0)+IF(AND($X34="O3/CP",$X$14=D$18),VLOOKUP("O3",$R$63:$T$91,3,FALSE)+VLOOKUP("CP",$R$63:$T$91,3,FALSE),0)+IF(AND($Y34&lt;&gt;"",$Y34&lt;&gt;"--",$Y34&lt;&gt;"O3/CP",$Y$14=D$18),IF(LEFT($Y34,1)="P",VLOOKUP(CONCATENATE(LEFT($Y34,2),"H"),$R$63:$T$91,3,FALSE),VLOOKUP($Y34,$R$63:$T$91,3,FALSE)))+IF(AND($Y34&lt;&gt;"",$Y34&lt;&gt;"O3/CP",$Y$15=D$18,MID($Y34,4,1)="2",$Y$15&lt;&gt;$Y$14),VLOOKUP(CONCATENATE(LEFT($Y34,2),"L"),$R$63:$T$91,3,FALSE),0)+IF(AND($Y34="O3/CP",$Y$14=D$18),VLOOKUP("O3",$R$63:$T$91,3,FALSE)+VLOOKUP("CP",$R$63:$T$91,3,FALSE),0)+IF(AND($K$6="CE",'[3]Supply Attribution'!$G$20=D$18),LEFT($S$90,2),0)+IF(AND($X$86&lt;&gt;"Not Set",$X$87=D$18),$X$86,0)</f>
        <v>0</v>
      </c>
      <c r="E34" s="269">
        <f>IF(AND($K34&lt;&gt;"",$K34&lt;&gt;"--",$K34&lt;&gt;"O3/CP",$K$14=E$18),IF(LEFT($K34,1)="P",VLOOKUP(CONCATENATE(LEFT($K34,2),"H"),$R$63:$T$91,3,FALSE),VLOOKUP($K34,$R$63:$T$91,3,FALSE)))+IF(AND($K34&lt;&gt;"",$K34&lt;&gt;"O3/CP",$K$15=E$18,MID($K34,4,1)="2",$K$15&lt;&gt;$K$14),VLOOKUP(CONCATENATE(LEFT($K34,2),"L"),$R$63:$T$91,3,FALSE),0)+IF(AND($K34="O3/CP",$K$14=E$18),VLOOKUP("O3",$R$63:$T$91,3,FALSE)+VLOOKUP("CP",$R$63:$T$91,3,FALSE),0)+IF(AND($L34&lt;&gt;"",$L34&lt;&gt;"--",$L34&lt;&gt;"O3/CP",$L$14=E$18),IF(LEFT($L34,1)="P",VLOOKUP(CONCATENATE(LEFT($L34,2),"H"),$R$63:$T$91,3,FALSE),VLOOKUP($L34,$R$63:$T$91,3,FALSE)))+IF(AND($L34&lt;&gt;"",$L34&lt;&gt;"O3/CP",$L$15=E$18,MID($L34,4,1)="2",$L$15&lt;&gt;$L$14),VLOOKUP(CONCATENATE(LEFT($L34,2),"L"),$R$63:$T$91,3,FALSE),0)+IF(AND($L34="O3/CP",$L$14=E$18),VLOOKUP("O3",$R$63:$T$91,3,FALSE)+VLOOKUP("CP",$R$63:$T$91,3,FALSE),0)+IF(AND($M34&lt;&gt;"",$M34&lt;&gt;"--",$M34&lt;&gt;"O3/CP",$M$14=E$18),IF(LEFT($M34,1)="P",VLOOKUP(CONCATENATE(LEFT($M34,2),"H"),$R$63:$T$91,3,FALSE),VLOOKUP($M34,$R$63:$T$91,3,FALSE)))+IF(AND($M34&lt;&gt;"",$M34&lt;&gt;"O3/CP",$M$15=E$18,MID($M34,4,1)="2",$M$15&lt;&gt;$M$14),VLOOKUP(CONCATENATE(LEFT($M34,2),"L"),$R$63:$T$91,3,FALSE),0)+IF(AND($M34="O3/CP",$M$14=E$18),VLOOKUP("O3",$R$63:$T$91,3,FALSE)+VLOOKUP("CP",$R$63:$T$91,3,FALSE),0)+IF(AND($N34&lt;&gt;"",$N34&lt;&gt;"--",$N34&lt;&gt;"O3/CP",$N$14=E$18),IF(LEFT($N34,1)="P",VLOOKUP(CONCATENATE(LEFT($N34,2),"H"),$R$63:$T$91,3,FALSE),VLOOKUP($N34,$R$63:$T$91,3,FALSE)))+IF(AND($N34&lt;&gt;"",$N34&lt;&gt;"O3/CP",$N$15=E$18,MID($N34,4,1)="2",$N$15&lt;&gt;$N$14),VLOOKUP(CONCATENATE(LEFT($N34,2),"L"),$R$63:$T$91,3,FALSE),0)+IF(AND($N34="O3/CP",$N$14=E$18),VLOOKUP("O3",$R$63:$T$91,3,FALSE)+VLOOKUP("CP",$R$63:$T$91,3,FALSE),0)+IF(AND($O34&lt;&gt;"",$O34&lt;&gt;"--",$O34&lt;&gt;"O3/CP",$O$14=E$18),IF(LEFT($O34,1)="P",VLOOKUP(CONCATENATE(LEFT($O34,2),"H"),$R$63:$T$91,3,FALSE),VLOOKUP($O34,$R$63:$T$91,3,FALSE)))+IF(AND($O34&lt;&gt;"",$O34&lt;&gt;"O3/CP",$O$15=E$18,MID($O34,4,1)="2",$O$15&lt;&gt;$O$14),VLOOKUP(CONCATENATE(LEFT($O34,2),"L"),$R$63:$T$91,3,FALSE),0)+IF(AND($O34="O3/CP",$O$14=E$18),VLOOKUP("O3",$R$63:$T$91,3,FALSE)+VLOOKUP("CP",$R$63:$T$91,3,FALSE),0)+IF(AND($P34&lt;&gt;"",$P34&lt;&gt;"--",$P34&lt;&gt;"O3/CP",$P$14=E$18),IF(LEFT($P34,1)="P",VLOOKUP(CONCATENATE(LEFT($P34,2),"H"),$R$63:$T$91,3,FALSE),VLOOKUP($P34,$R$63:$T$91,3,FALSE)))+IF(AND($P34&lt;&gt;"",$P34&lt;&gt;"O3/CP",$P$15=E$18,MID($P34,4,1)="2",$P$15&lt;&gt;$P$14),VLOOKUP(CONCATENATE(LEFT($P34,2),"L"),$R$63:$T$91,3,FALSE),0)+IF(AND($P34="O3/CP",$P$14=E$18),VLOOKUP("O3",$R$63:$T$91,3,FALSE)+VLOOKUP("CP",$R$63:$T$91,3,FALSE),0)+IF(AND($Q34&lt;&gt;"",$Q34&lt;&gt;"--",$Q34&lt;&gt;"O3/CP",$Q$14=E$18),IF(LEFT($Q34,1)="P",VLOOKUP(CONCATENATE(LEFT($Q34,2),"H"),$R$63:$T$91,3,FALSE),VLOOKUP($Q34,$R$63:$T$91,3,FALSE)))+IF(AND($Q34&lt;&gt;"",$Q34&lt;&gt;"O3/CP",$Q$15=E$18,MID($Q34,4,1)="2",$Q$15&lt;&gt;$Q$14),VLOOKUP(CONCATENATE(LEFT($Q34,2),"L"),$R$63:$T$91,3,FALSE),0)+IF(AND($Q34="O3/CP",$Q$14=E$18),VLOOKUP("O3",$R$63:$T$91,3,FALSE)+VLOOKUP("CP",$R$63:$T$91,3,FALSE),0)+IF(AND($R34&lt;&gt;"",$R34&lt;&gt;"--",$R34&lt;&gt;"O3/CP",$R$14=E$18),IF(LEFT($R34,1)="P",VLOOKUP(CONCATENATE(LEFT($R34,2),"H"),$R$63:$T$91,3,FALSE),VLOOKUP($R34,$R$63:$T$91,3,FALSE)))+IF(AND($R34&lt;&gt;"",$R34&lt;&gt;"O3/CP",$R$15=E$18,MID($R34,4,1)="2",$R$15&lt;&gt;$R$14),VLOOKUP(CONCATENATE(LEFT($R34,2),"L"),$R$63:$T$91,3,FALSE),0)+IF(AND($R34="O3/CP",$R$14=E$18),VLOOKUP("O3",$R$63:$T$91,3,FALSE)+VLOOKUP("CP",$R$63:$T$91,3,FALSE),0)+IF(AND($S34&lt;&gt;"",$S34&lt;&gt;"--",$S34&lt;&gt;"O3/CP",$S$14=E$18),IF(LEFT($S34,1)="P",VLOOKUP(CONCATENATE(LEFT($S34,2),"H"),$R$63:$T$91,3,FALSE),VLOOKUP($S34,$R$63:$T$91,3,FALSE)))+IF(AND($S34&lt;&gt;"",$S34&lt;&gt;"O3/CP",$S$15=E$18,MID($S34,4,1)="2",$S$15&lt;&gt;$S$14),VLOOKUP(CONCATENATE(LEFT($S34,2),"L"),$R$63:$T$91,3,FALSE),0)+IF(AND($S34="O3/CP",$S$14=E$18),VLOOKUP("O3",$R$63:$T$91,3,FALSE)+VLOOKUP("CP",$R$63:$T$91,3,FALSE),0)+IF(AND($T34&lt;&gt;"",$T34&lt;&gt;"--",$T34&lt;&gt;"O3/CP",$T$14=E$18),IF(LEFT($T34,1)="P",VLOOKUP(CONCATENATE(LEFT($T34,2),"H"),$R$63:$T$91,3,FALSE),VLOOKUP($T34,$R$63:$T$91,3,FALSE)))+IF(AND($T34&lt;&gt;"",$T34&lt;&gt;"O3/CP",$T$15=E$18,MID($T34,4,1)="2",$T$15&lt;&gt;$T$14),VLOOKUP(CONCATENATE(LEFT($T34,2),"L"),$R$63:$T$91,3,FALSE),0)+IF(AND($T34="O3/CP",$T$14=E$18),VLOOKUP("O3",$R$63:$T$91,3,FALSE)+VLOOKUP("CP",$R$63:$T$91,3,FALSE),0)+IF(AND($U34&lt;&gt;"",$U34&lt;&gt;"--",$U34&lt;&gt;"O3/CP",$U$14=E$18),IF(LEFT($U34,1)="P",VLOOKUP(CONCATENATE(LEFT($U34,2),"H"),$R$63:$T$91,3,FALSE),VLOOKUP($U34,$R$63:$T$91,3,FALSE)))+IF(AND($U34&lt;&gt;"",$U34&lt;&gt;"O3/CP",$U$15=E$18,MID($U34,4,1)="2",$U$15&lt;&gt;$U$14),VLOOKUP(CONCATENATE(LEFT($U34,2),"L"),$R$63:$T$91,3,FALSE),0)+IF(AND($U34="O3/CP",$T$14=E$18),VLOOKUP("O3",$R$63:$T$91,3,FALSE)+VLOOKUP("CP",$R$63:$T$91,3,FALSE),0)+IF(AND($V34&lt;&gt;"",$V34&lt;&gt;"--",$V34&lt;&gt;"O3/CP",$V$14=E$18),IF(LEFT($V34,1)="P",VLOOKUP(CONCATENATE(LEFT($V34,2),"H"),$R$63:$T$91,3,FALSE),VLOOKUP($V34,$R$63:$T$91,3,FALSE)))+IF(AND($V34&lt;&gt;"",$V34&lt;&gt;"O3/CP",$V$15=E$18,MID($V34,4,1)="2",$V$15&lt;&gt;$V$14),VLOOKUP(CONCATENATE(LEFT($V34,2),"L"),$R$63:$T$91,3,FALSE),0)+IF(AND($V34="O3/CP",$V$14=E$18),VLOOKUP("O3",$R$63:$T$91,3,FALSE)+VLOOKUP("CP",$R$63:$T$91,3,FALSE),0)+IF(AND($W34&lt;&gt;"",$W34&lt;&gt;"--",$W34&lt;&gt;"O3/CP",$W$14=E$18),IF(LEFT($W34,1)="P",VLOOKUP(CONCATENATE(LEFT($W34,2),"H"),$R$63:$T$91,3,FALSE),VLOOKUP($W34,$R$63:$T$91,3,FALSE)))+IF(AND($W34&lt;&gt;"",$W34&lt;&gt;"O3/CP",$W$15=E$18,MID($W34,4,1)="2",$W$15&lt;&gt;$W$14),VLOOKUP(CONCATENATE(LEFT($W34,2),"L"),$R$63:$T$91,3,FALSE),0)+IF(AND($W34="O3/CP",$W$14=E$18),VLOOKUP("O3",$R$63:$T$91,3,FALSE)+VLOOKUP("CP",$R$63:$T$91,3,FALSE),0)+IF(AND($X34&lt;&gt;"",$X34&lt;&gt;"--",$X34&lt;&gt;"O3/CP",$X$14=E$18),IF(LEFT($X34,1)="P",VLOOKUP(CONCATENATE(LEFT($X34,2),"H"),$R$63:$T$91,3,FALSE),VLOOKUP($X34,$R$63:$T$91,3,FALSE)))+IF(AND($X34&lt;&gt;"",$X34&lt;&gt;"O3/CP",$X$15=E$18,MID($X34,4,1)="2",$X$15&lt;&gt;$X$14),VLOOKUP(CONCATENATE(LEFT($X34,2),"L"),$R$63:$T$91,3,FALSE),0)+IF(AND($X34="O3/CP",$X$14=E$18),VLOOKUP("O3",$R$63:$T$91,3,FALSE)+VLOOKUP("CP",$R$63:$T$91,3,FALSE),0)+IF(AND($Y34&lt;&gt;"",$Y34&lt;&gt;"--",$Y34&lt;&gt;"O3/CP",$Y$14=E$18),IF(LEFT($Y34,1)="P",VLOOKUP(CONCATENATE(LEFT($Y34,2),"H"),$R$63:$T$91,3,FALSE),VLOOKUP($Y34,$R$63:$T$91,3,FALSE)))+IF(AND($Y34&lt;&gt;"",$Y34&lt;&gt;"O3/CP",$Y$15=E$18,MID($Y34,4,1)="2",$Y$15&lt;&gt;$Y$14),VLOOKUP(CONCATENATE(LEFT($Y34,2),"L"),$R$63:$T$91,3,FALSE),0)+IF(AND($Y34="O3/CP",$Y$14=E$18),VLOOKUP("O3",$R$63:$T$91,3,FALSE)+VLOOKUP("CP",$R$63:$T$91,3,FALSE),0)+IF(AND($K$6="CE",'[3]Supply Attribution'!$G$20=E$18),LEFT($S$90,2),0)+IF(AND($X$86&lt;&gt;"Not Set",$X$87=E$18),$X$86,0)</f>
        <v>0</v>
      </c>
      <c r="F34" s="268">
        <f>IF(AND($K34&lt;&gt;"",$K34&lt;&gt;"--",$K34&lt;&gt;"O3/CP",$K$14=F$18),IF(LEFT($K34,1)="P",VLOOKUP(CONCATENATE(LEFT($K34,2),"H"),$R$63:$T$91,3,FALSE),VLOOKUP($K34,$R$63:$T$91,3,FALSE)))+IF(AND($K34&lt;&gt;"",$K34&lt;&gt;"O3/CP",$K$15=F$18,MID($K34,4,1)="2",$K$15&lt;&gt;$K$14),VLOOKUP(CONCATENATE(LEFT($K34,2),"L"),$R$63:$T$91,3,FALSE),0)+IF(AND($K34="O3/CP",$K$14=F$18),VLOOKUP("O3",$R$63:$T$91,3,FALSE)+VLOOKUP("CP",$R$63:$T$91,3,FALSE),0)+IF(AND($L34&lt;&gt;"",$L34&lt;&gt;"--",$L34&lt;&gt;"O3/CP",$L$14=F$18),IF(LEFT($L34,1)="P",VLOOKUP(CONCATENATE(LEFT($L34,2),"H"),$R$63:$T$91,3,FALSE),VLOOKUP($L34,$R$63:$T$91,3,FALSE)))+IF(AND($L34&lt;&gt;"",$L34&lt;&gt;"O3/CP",$L$15=F$18,MID($L34,4,1)="2",$L$15&lt;&gt;$L$14),VLOOKUP(CONCATENATE(LEFT($L34,2),"L"),$R$63:$T$91,3,FALSE),0)+IF(AND($L34="O3/CP",$L$14=F$18),VLOOKUP("O3",$R$63:$T$91,3,FALSE)+VLOOKUP("CP",$R$63:$T$91,3,FALSE),0)+IF(AND($M34&lt;&gt;"",$M34&lt;&gt;"--",$M34&lt;&gt;"O3/CP",$M$14=F$18),IF(LEFT($M34,1)="P",VLOOKUP(CONCATENATE(LEFT($M34,2),"H"),$R$63:$T$91,3,FALSE),VLOOKUP($M34,$R$63:$T$91,3,FALSE)))+IF(AND($M34&lt;&gt;"",$M34&lt;&gt;"O3/CP",$M$15=F$18,MID($M34,4,1)="2",$M$15&lt;&gt;$M$14),VLOOKUP(CONCATENATE(LEFT($M34,2),"L"),$R$63:$T$91,3,FALSE),0)+IF(AND($M34="O3/CP",$M$14=F$18),VLOOKUP("O3",$R$63:$T$91,3,FALSE)+VLOOKUP("CP",$R$63:$T$91,3,FALSE),0)+IF(AND($N34&lt;&gt;"",$N34&lt;&gt;"--",$N34&lt;&gt;"O3/CP",$N$14=F$18),IF(LEFT($N34,1)="P",VLOOKUP(CONCATENATE(LEFT($N34,2),"H"),$R$63:$T$91,3,FALSE),VLOOKUP($N34,$R$63:$T$91,3,FALSE)))+IF(AND($N34&lt;&gt;"",$N34&lt;&gt;"O3/CP",$N$15=F$18,MID($N34,4,1)="2",$N$15&lt;&gt;$N$14),VLOOKUP(CONCATENATE(LEFT($N34,2),"L"),$R$63:$T$91,3,FALSE),0)+IF(AND($N34="O3/CP",$N$14=F$18),VLOOKUP("O3",$R$63:$T$91,3,FALSE)+VLOOKUP("CP",$R$63:$T$91,3,FALSE),0)+IF(AND($O34&lt;&gt;"",$O34&lt;&gt;"--",$O34&lt;&gt;"O3/CP",$O$14=F$18),IF(LEFT($O34,1)="P",VLOOKUP(CONCATENATE(LEFT($O34,2),"H"),$R$63:$T$91,3,FALSE),VLOOKUP($O34,$R$63:$T$91,3,FALSE)))+IF(AND($O34&lt;&gt;"",$O34&lt;&gt;"O3/CP",$O$15=F$18,MID($O34,4,1)="2",$O$15&lt;&gt;$O$14),VLOOKUP(CONCATENATE(LEFT($O34,2),"L"),$R$63:$T$91,3,FALSE),0)+IF(AND($O34="O3/CP",$O$14=F$18),VLOOKUP("O3",$R$63:$T$91,3,FALSE)+VLOOKUP("CP",$R$63:$T$91,3,FALSE),0)+IF(AND($P34&lt;&gt;"",$P34&lt;&gt;"--",$P34&lt;&gt;"O3/CP",$P$14=F$18),IF(LEFT($P34,1)="P",VLOOKUP(CONCATENATE(LEFT($P34,2),"H"),$R$63:$T$91,3,FALSE),VLOOKUP($P34,$R$63:$T$91,3,FALSE)))+IF(AND($P34&lt;&gt;"",$P34&lt;&gt;"O3/CP",$P$15=F$18,MID($P34,4,1)="2",$P$15&lt;&gt;$P$14),VLOOKUP(CONCATENATE(LEFT($P34,2),"L"),$R$63:$T$91,3,FALSE),0)+IF(AND($P34="O3/CP",$P$14=F$18),VLOOKUP("O3",$R$63:$T$91,3,FALSE)+VLOOKUP("CP",$R$63:$T$91,3,FALSE),0)+IF(AND($Q34&lt;&gt;"",$Q34&lt;&gt;"--",$Q34&lt;&gt;"O3/CP",$Q$14=F$18),IF(LEFT($Q34,1)="P",VLOOKUP(CONCATENATE(LEFT($Q34,2),"H"),$R$63:$T$91,3,FALSE),VLOOKUP($Q34,$R$63:$T$91,3,FALSE)))+IF(AND($Q34&lt;&gt;"",$Q34&lt;&gt;"O3/CP",$Q$15=F$18,MID($Q34,4,1)="2",$Q$15&lt;&gt;$Q$14),VLOOKUP(CONCATENATE(LEFT($Q34,2),"L"),$R$63:$T$91,3,FALSE),0)+IF(AND($Q34="O3/CP",$Q$14=F$18),VLOOKUP("O3",$R$63:$T$91,3,FALSE)+VLOOKUP("CP",$R$63:$T$91,3,FALSE),0)+IF(AND($R34&lt;&gt;"",$R34&lt;&gt;"--",$R34&lt;&gt;"O3/CP",$R$14=F$18),IF(LEFT($R34,1)="P",VLOOKUP(CONCATENATE(LEFT($R34,2),"H"),$R$63:$T$91,3,FALSE),VLOOKUP($R34,$R$63:$T$91,3,FALSE)))+IF(AND($R34&lt;&gt;"",$R34&lt;&gt;"O3/CP",$R$15=F$18,MID($R34,4,1)="2",$R$15&lt;&gt;$R$14),VLOOKUP(CONCATENATE(LEFT($R34,2),"L"),$R$63:$T$91,3,FALSE),0)+IF(AND($R34="O3/CP",$R$14=F$18),VLOOKUP("O3",$R$63:$T$91,3,FALSE)+VLOOKUP("CP",$R$63:$T$91,3,FALSE),0)+IF(AND($S34&lt;&gt;"",$S34&lt;&gt;"--",$S34&lt;&gt;"O3/CP",$S$14=F$18),IF(LEFT($S34,1)="P",VLOOKUP(CONCATENATE(LEFT($S34,2),"H"),$R$63:$T$91,3,FALSE),VLOOKUP($S34,$R$63:$T$91,3,FALSE)))+IF(AND($S34&lt;&gt;"",$S34&lt;&gt;"O3/CP",$S$15=F$18,MID($S34,4,1)="2",$S$15&lt;&gt;$S$14),VLOOKUP(CONCATENATE(LEFT($S34,2),"L"),$R$63:$T$91,3,FALSE),0)+IF(AND($S34="O3/CP",$S$14=F$18),VLOOKUP("O3",$R$63:$T$91,3,FALSE)+VLOOKUP("CP",$R$63:$T$91,3,FALSE),0)+IF(AND($T34&lt;&gt;"",$T34&lt;&gt;"--",$T34&lt;&gt;"O3/CP",$T$14=F$18),IF(LEFT($T34,1)="P",VLOOKUP(CONCATENATE(LEFT($T34,2),"H"),$R$63:$T$91,3,FALSE),VLOOKUP($T34,$R$63:$T$91,3,FALSE)))+IF(AND($T34&lt;&gt;"",$T34&lt;&gt;"O3/CP",$T$15=F$18,MID($T34,4,1)="2",$T$15&lt;&gt;$T$14),VLOOKUP(CONCATENATE(LEFT($T34,2),"L"),$R$63:$T$91,3,FALSE),0)+IF(AND($T34="O3/CP",$T$14=F$18),VLOOKUP("O3",$R$63:$T$91,3,FALSE)+VLOOKUP("CP",$R$63:$T$91,3,FALSE),0)+IF(AND($U34&lt;&gt;"",$U34&lt;&gt;"--",$U34&lt;&gt;"O3/CP",$U$14=F$18),IF(LEFT($U34,1)="P",VLOOKUP(CONCATENATE(LEFT($U34,2),"H"),$R$63:$T$91,3,FALSE),VLOOKUP($U34,$R$63:$T$91,3,FALSE)))+IF(AND($U34&lt;&gt;"",$U34&lt;&gt;"O3/CP",$U$15=F$18,MID($U34,4,1)="2",$U$15&lt;&gt;$U$14),VLOOKUP(CONCATENATE(LEFT($U34,2),"L"),$R$63:$T$91,3,FALSE),0)+IF(AND($U34="O3/CP",$T$14=F$18),VLOOKUP("O3",$R$63:$T$91,3,FALSE)+VLOOKUP("CP",$R$63:$T$91,3,FALSE),0)+IF(AND($V34&lt;&gt;"",$V34&lt;&gt;"--",$V34&lt;&gt;"O3/CP",$V$14=F$18),IF(LEFT($V34,1)="P",VLOOKUP(CONCATENATE(LEFT($V34,2),"H"),$R$63:$T$91,3,FALSE),VLOOKUP($V34,$R$63:$T$91,3,FALSE)))+IF(AND($V34&lt;&gt;"",$V34&lt;&gt;"O3/CP",$V$15=F$18,MID($V34,4,1)="2",$V$15&lt;&gt;$V$14),VLOOKUP(CONCATENATE(LEFT($V34,2),"L"),$R$63:$T$91,3,FALSE),0)+IF(AND($V34="O3/CP",$V$14=F$18),VLOOKUP("O3",$R$63:$T$91,3,FALSE)+VLOOKUP("CP",$R$63:$T$91,3,FALSE),0)+IF(AND($W34&lt;&gt;"",$W34&lt;&gt;"--",$W34&lt;&gt;"O3/CP",$W$14=F$18),IF(LEFT($W34,1)="P",VLOOKUP(CONCATENATE(LEFT($W34,2),"H"),$R$63:$T$91,3,FALSE),VLOOKUP($W34,$R$63:$T$91,3,FALSE)))+IF(AND($W34&lt;&gt;"",$W34&lt;&gt;"O3/CP",$W$15=F$18,MID($W34,4,1)="2",$W$15&lt;&gt;$W$14),VLOOKUP(CONCATENATE(LEFT($W34,2),"L"),$R$63:$T$91,3,FALSE),0)+IF(AND($W34="O3/CP",$W$14=F$18),VLOOKUP("O3",$R$63:$T$91,3,FALSE)+VLOOKUP("CP",$R$63:$T$91,3,FALSE),0)+IF(AND($X34&lt;&gt;"",$X34&lt;&gt;"--",$X34&lt;&gt;"O3/CP",$X$14=F$18),IF(LEFT($X34,1)="P",VLOOKUP(CONCATENATE(LEFT($X34,2),"H"),$R$63:$T$91,3,FALSE),VLOOKUP($X34,$R$63:$T$91,3,FALSE)))+IF(AND($X34&lt;&gt;"",$X34&lt;&gt;"O3/CP",$X$15=F$18,MID($X34,4,1)="2",$X$15&lt;&gt;$X$14),VLOOKUP(CONCATENATE(LEFT($X34,2),"L"),$R$63:$T$91,3,FALSE),0)+IF(AND($X34="O3/CP",$X$14=F$18),VLOOKUP("O3",$R$63:$T$91,3,FALSE)+VLOOKUP("CP",$R$63:$T$91,3,FALSE),0)+IF(AND($Y34&lt;&gt;"",$Y34&lt;&gt;"--",$Y34&lt;&gt;"O3/CP",$Y$14=F$18),IF(LEFT($Y34,1)="P",VLOOKUP(CONCATENATE(LEFT($Y34,2),"H"),$R$63:$T$91,3,FALSE),VLOOKUP($Y34,$R$63:$T$91,3,FALSE)))+IF(AND($Y34&lt;&gt;"",$Y34&lt;&gt;"O3/CP",$Y$15=F$18,MID($Y34,4,1)="2",$Y$15&lt;&gt;$Y$14),VLOOKUP(CONCATENATE(LEFT($Y34,2),"L"),$R$63:$T$91,3,FALSE),0)+IF(AND($Y34="O3/CP",$Y$14=F$18),VLOOKUP("O3",$R$63:$T$91,3,FALSE)+VLOOKUP("CP",$R$63:$T$91,3,FALSE),0)+IF(AND($K$6="CE",'[3]Supply Attribution'!$G$20=F$18),LEFT($S$90,2),0)+IF(AND($X$86&lt;&gt;"Not Set",$X$87=F$18),$X$86,0)</f>
        <v>0</v>
      </c>
      <c r="G34" s="269">
        <f>IF(AND($K$6="CE",$T$59="1 Phase"),SUM(A34:F34)-IF(AND($K$14&lt;&gt;$K$15,RIGHT($K34,3)="2SP"),VLOOKUP(CONCATENATE(LEFT($K34,2),"L"),$R$63:$T$90,3,FALSE),0)-IF(AND($L$14&lt;&gt;$L$15,RIGHT($L34,3)="2SP"),VLOOKUP(CONCATENATE(LEFT($L34,2),"L"),$R$63:$T$90,3,FALSE),0)-IF(AND($M$14&lt;&gt;$M$15,RIGHT($M34,3)="2SP"),VLOOKUP(CONCATENATE(LEFT($M34,2),"L"),$R$63:$T$90,3,FALSE),0)-IF(AND($N$14&lt;&gt;$N$15,RIGHT($N34,3)="2SP"),VLOOKUP(CONCATENATE(LEFT($N34,2),"L"),$R$63:$T$90,3,FALSE),0)-IF(AND($O$14&lt;&gt;$O$15,RIGHT($O34,3)="2SP"),VLOOKUP(CONCATENATE(LEFT($O34,2),"L"),$R$63:$T$90,3,FALSE),0)-IF(AND($P$14&lt;&gt;$P$15,RIGHT($P34,3)="2SP"),VLOOKUP(CONCATENATE(LEFT($P34,2),"L"),$R$63:$T$90,3,FALSE),0)-IF(AND($Q$14&lt;&gt;$Q$15,RIGHT($Q34,3)="2SP"),VLOOKUP(CONCATENATE(LEFT($Q34,2),"L"),$R$63:$T$90,3,FALSE),0)-IF(AND($R$14&lt;&gt;$R$15,RIGHT($T34,3)="2SP"),VLOOKUP(CONCATENATE(LEFT($R34,2),"L"),$R$63:$T$90,3,FALSE),0)-IF(AND($S$14&lt;&gt;$S$15,RIGHT($T34,3)="2SP"),VLOOKUP(CONCATENATE(LEFT($S34,2),"L"),$R$63:$T$90,3,FALSE),0)-IF(AND($T$14&lt;&gt;$T$15,RIGHT($T34,3)="2SP"),VLOOKUP(CONCATENATE(LEFT($T34,2),"L"),$R$63:$T$90,3,FALSE),0)-IF(AND($U$14&lt;&gt;$U$15,RIGHT($U34,3)="2SP"),VLOOKUP(CONCATENATE(LEFT($U34,2),"L"),$R$63:$T$90,3,FALSE),0)-IF(AND($V$14&lt;&gt;$V$15,RIGHT($V34,3)="2SP"),VLOOKUP(CONCATENATE(LEFT($V34,2),"L"),$R$63:$T$90,3,FALSE),0)-IF(AND($W$14&lt;&gt;$W$15,RIGHT($W34,3)="2SP"),VLOOKUP(CONCATENATE(LEFT($W34,2),"L"),$R$63:$T$90,3,FALSE),0)-IF(AND($X$14&lt;&gt;$X$15,RIGHT($X34,3)="2SP"),VLOOKUP(CONCATENATE(LEFT($X34,2),"L"),$R$63:$T$90,3,FALSE),0)-IF(AND($Y$14&lt;&gt;$Y$15,RIGHT($Y34,3)="2SP"),VLOOKUP(CONCATENATE(LEFT($Y34,2),"L"),$R$63:$T$90,3,FALSE),0),IF(VLOOKUP(CONCATENATE($A$18,"Line"),'[3]Supply Attribution'!$F$31:$G$37,2,FALSE)=G$18,$A34,0)+IF(VLOOKUP(CONCATENATE($B$18,"Line"),'[3]Supply Attribution'!$F$31:$G$37,2,FALSE)=G$18,$B34,0)+IF(VLOOKUP(CONCATENATE($C$18,"Line"),'[3]Supply Attribution'!$F$31:$G$37,2,FALSE)=G$18,$C34,0)+IF(VLOOKUP(CONCATENATE($D$18,"Line"),'[3]Supply Attribution'!$F$31:$G$37,2,FALSE)=G$18,$D34,0)+IF(VLOOKUP(CONCATENATE($E$18,"Line"),'[3]Supply Attribution'!$F$31:$G$37,2,FALSE)=G$18,$E34,0)+IF(VLOOKUP(CONCATENATE($F$18,"Line"),'[3]Supply Attribution'!$F$31:$G$37,2,FALSE)=G$18,$F34,0)+IF($K$6="UL",LEFT($S$90,2),0)-IF(AND($K$16=G$18,$K$14&lt;&gt;$K$15,$K$16=$K$17,RIGHT($K34,3)="2SP"),VLOOKUP(CONCATENATE(LEFT($K34,2),"L"),$R$63:$T$90,3,FALSE),0)-IF(AND($L$16=G$18,$L$14&lt;&gt;$L$15,$L$16=$L$17,RIGHT($L34,3)="2SP"),VLOOKUP(CONCATENATE(LEFT($L34,2),"L"),$R$63:$T$90,3,FALSE),0)-IF(AND($M$16=G$18,$M$14&lt;&gt;$M$15,$M$16=$M$17,RIGHT($M34,3)="2SP"),VLOOKUP(CONCATENATE(LEFT($M34,2),"L"),$R$63:$T$90,3,FALSE),0)-IF(AND($N$16=G$18,$N$14&lt;&gt;$N$15,$N$16=$N$17,RIGHT($N34,3)="2SP"),VLOOKUP(CONCATENATE(LEFT($N34,2),"L"),$R$63:$T$90,3,FALSE),0)-IF(AND($O$16=G$18,$O$14&lt;&gt;$O$15,$O$16=$O$17,RIGHT($O34,3)="2SP"),VLOOKUP(CONCATENATE(LEFT($O34,2),"L"),$R$63:$T$90,3,FALSE),0)-IF(AND($P$16=G$18,$P$14&lt;&gt;$P$15,$P$16=$P$17,RIGHT($P34,3)="2SP"),VLOOKUP(CONCATENATE(LEFT($P34,2),"L"),$R$63:$T$90,3,FALSE),0)-IF(AND($Q$16=G$18,$Q$14&lt;&gt;$Q$15,$Q$16=$Q$17,RIGHT($Q34,3)="2SP"),VLOOKUP(CONCATENATE(LEFT($Q34,2),"L"),$R$63:$T$90,3,FALSE),0)-IF(AND($R$16=G$18,$R$14&lt;&gt;$R$15,$R$16=$R$17,RIGHT($R34,3)="2SP"),VLOOKUP(CONCATENATE(LEFT($R34,2),"L"),$R$63:$T$90,3,FALSE),0)-IF(AND($S$16=G$18,$S$14&lt;&gt;$S$15,$S$16=$S$17,RIGHT($S34,3)="2SP"),VLOOKUP(CONCATENATE(LEFT($S34,2),"L"),$R$63:$T$90,3,FALSE),0)-IF(AND($T$16=G$18,$T$14&lt;&gt;$T$15,$T$16=$T$17,RIGHT($T34,3)="2SP"),VLOOKUP(CONCATENATE(LEFT($T34,2),"L"),$R$63:$T$90,3,FALSE),0)-IF(AND($U$16=G$18,$U$14&lt;&gt;$U$15,$U$16=$U$17,RIGHT($U34,3)="2SP"),VLOOKUP(CONCATENATE(LEFT($U34,2),"L"),$R$63:$T$90,3,FALSE),0)-IF(AND($V$16=G$18,$V$14&lt;&gt;$V$15,$V$16=$V$17,RIGHT($V34,3)="2SP"),VLOOKUP(CONCATENATE(LEFT($V34,2),"L"),$R$63:$T$90,3,FALSE),0)-IF(AND($W$16=G$18,$W$14&lt;&gt;$W$15,$W$16=$W$17,RIGHT($W34,3)="2SP"),VLOOKUP(CONCATENATE(LEFT($W34,2),"L"),$R$63:$T$90,3,FALSE),0)-IF(AND($X$16=G$18,$X$14&lt;&gt;$X$15,$X$16=$X$17,RIGHT($X34,3)="2SP"),VLOOKUP(CONCATENATE(LEFT($X34,2),"L"),$R$63:$T$90,3,FALSE),0)-IF(AND($Y$16=G$18,$Y$14&lt;&gt;$Y$15,$Y$16=$Y$17,RIGHT($Y34,3)="2SP"),VLOOKUP(CONCATENATE(LEFT($Y34,2),"L"),$R$63:$T$90,3,FALSE),0))</f>
        <v>17</v>
      </c>
      <c r="H34" s="269" t="str">
        <f>IF(H$18&lt;&gt;"",IF(VLOOKUP(CONCATENATE($A$18,"Line"),'Supply Attribution'!$F$31:$G$37,2,FALSE)=H$18,$A34,0)+IF(VLOOKUP(CONCATENATE($B$18,"Line"),'Supply Attribution'!$F$31:$G$37,2,FALSE)=H$18,$B34,0)+IF(VLOOKUP(CONCATENATE($C$18,"Line"),'Supply Attribution'!$F$31:$G$37,2,FALSE)=H$18,$C34,0)+IF(VLOOKUP(CONCATENATE($D$18,"Line"),'Supply Attribution'!$F$31:$G$37,2,FALSE)=H$18,$D34,0)+IF(VLOOKUP(CONCATENATE($E$18,"Line"),'Supply Attribution'!$F$31:$G$37,2,FALSE)=H$18,$E34,0)+IF(VLOOKUP(CONCATENATE($F$18,"Line"),'Supply Attribution'!$F$31:$G$37,2,FALSE)=H$18,$F34,0)+IF($K$6="UL",LEFT($S$90,2),0)-IF(AND($K$16=H$18,$K$14&lt;&gt;$K$15,$K$16=$K$17,RIGHT($K34,3)="2SP"),VLOOKUP(CONCATENATE(LEFT($K34,2),"L"),$R$63:$T$90,3,FALSE),0)-IF(AND($L$16=H$18,$L$14&lt;&gt;$L$15,$L$16=$L$17,RIGHT($L34,3)="2SP"),VLOOKUP(CONCATENATE(LEFT($L34,2),"L"),$R$63:$T$90,3,FALSE),0)-IF(AND($M$16=H$18,$M$14&lt;&gt;$M$15,$M$16=$M$17,RIGHT($M34,3)="2SP"),VLOOKUP(CONCATENATE(LEFT($M34,2),"L"),$R$63:$T$90,3,FALSE),0)-IF(AND($N$16=H$18,$N$14&lt;&gt;$N$15,$N$16=$N$17,RIGHT($N34,3)="2SP"),VLOOKUP(CONCATENATE(LEFT($N34,2),"L"),$R$63:$T$90,3,FALSE),0)-IF(AND($O$16=H$18,$O$14&lt;&gt;$O$15,$O$16=$O$17,RIGHT($O34,3)="2SP"),VLOOKUP(CONCATENATE(LEFT($O34,2),"L"),$R$63:$T$90,3,FALSE),0)-IF(AND($P$16=H$18,$P$14&lt;&gt;$P$15,$P$16=$P$17,RIGHT($P34,3)="2SP"),VLOOKUP(CONCATENATE(LEFT($P34,2),"L"),$R$63:$T$90,3,FALSE),0)-IF(AND($Q$16=H$18,$Q$14&lt;&gt;$Q$15,$Q$16=$Q$17,RIGHT($Q34,3)="2SP"),VLOOKUP(CONCATENATE(LEFT($Q34,2),"L"),$R$63:$T$90,3,FALSE),0)-IF(AND($T$16=H$18,$T$14&lt;&gt;$T$15,$T$16=$T$17,RIGHT($T34,3)="2SP"),VLOOKUP(CONCATENATE(LEFT($T34,2),"L"),$R$63:$T$90,3,FALSE),0)-IF(AND($U$16=H$18,$U$14&lt;&gt;$U$15,$U$16=$U$17,RIGHT($U34,3)="2SP"),VLOOKUP(CONCATENATE(LEFT($U34,2),"L"),$R$63:$T$90,3,FALSE),0)-IF(AND($V$16=H$18,$V$14&lt;&gt;$V$15,$V$16=$V$17,RIGHT($V34,3)="2SP"),VLOOKUP(CONCATENATE(LEFT($V34,2),"L"),$R$63:$T$90,3,FALSE),0)-IF(AND($W$16=H$18,$W$14&lt;&gt;$W$15,$W$16=$W$17,RIGHT($W34,3)="2SP"),VLOOKUP(CONCATENATE(LEFT($W34,2),"L"),$R$63:$T$90,3,FALSE),0)-IF(AND($X$16=H$18,$X$14&lt;&gt;$X$15,$X$16=$X$17,RIGHT($X34,3)="2SP"),VLOOKUP(CONCATENATE(LEFT($X34,2),"L"),$R$63:$T$90,3,FALSE),0)-IF(AND($Y$16=H$18,$Y$14&lt;&gt;$Y$15,$Y$16=$Y$17,RIGHT($Y34,3)="2SP"),VLOOKUP(CONCATENATE(LEFT($Y34,2),"L"),$R$63:$T$90,3,FALSE),0)+IF(AND($K$6="CE",$T$59="2 Phases",H$18&lt;&gt;""),IF(VLOOKUP(CONCATENATE($A$18,"Line"),'Supply Attribution'!$F$31:$G$37,2,FALSE)="Line3",$A34,0)+IF(VLOOKUP(CONCATENATE($B$18,"Line"),'Supply Attribution'!$F$31:$G$37,2,FALSE)="Line3",$B34,0)+IF(VLOOKUP(CONCATENATE($C$18,"Line"),'Supply Attribution'!$F$31:$G$37,2,FALSE)="Line3",$C34,0)+IF(VLOOKUP(CONCATENATE($D$18,"Line"),'Supply Attribution'!$F$31:$G$37,2,FALSE)="Line3",$D34,0)+IF(VLOOKUP(CONCATENATE($E$18,"Line"),'Supply Attribution'!$F$31:$G$37,2,FALSE)="Line3",$E34,0)+IF(VLOOKUP(CONCATENATE($F$18,"Line"),'Supply Attribution'!$F$31:$G$37,2,FALSE)="Line3",$F34,0)-IF(AND($K$16=I$18,$K$14&lt;&gt;$K$15,$K$16=$K$17,RIGHT($K34,3)="2SP"),VLOOKUP(CONCATENATE(LEFT($K34,2),"L"),$R$63:$T$90,3,FALSE),0)-IF(AND($L$16=I$18,$L$14&lt;&gt;$L$15,$L$16=$L$17,RIGHT($L34,3)="2SP"),VLOOKUP(CONCATENATE(LEFT($L34,2),"L"),$R$63:$T$90,3,FALSE),0)-IF(AND($M$16=I$18,$M$14&lt;&gt;$M$15,$M$16=$M$17,RIGHT($M34,3)="2SP"),VLOOKUP(CONCATENATE(LEFT($M34,2),"L"),$R$63:$T$90,3,FALSE),0)-IF(AND($N$16=I$18,$N$14&lt;&gt;$N$15,$N$16=$N$17,RIGHT($N34,3)="2SP"),VLOOKUP(CONCATENATE(LEFT($N34,2),"L"),$R$63:$T$90,3,FALSE),0)-IF(AND($O$16=I$18,$O$14&lt;&gt;$O$15,$O$16=$O$17,RIGHT($O34,3)="2SP"),VLOOKUP(CONCATENATE(LEFT($O34,2),"L"),$R$63:$T$90,3,FALSE),0)-IF(AND($P$16=I$18,$P$14&lt;&gt;$P$15,$P$16=$P$17,RIGHT($P34,3)="2SP"),VLOOKUP(CONCATENATE(LEFT($P34,2),"L"),$R$63:$T$90,3,FALSE),0)-IF(AND($Q$16=I$18,$Q$14&lt;&gt;$Q$15,$Q$16=$Q$17,RIGHT($Q34,3)="2SP"),VLOOKUP(CONCATENATE(LEFT($Q34,2),"L"),$R$63:$T$90,3,FALSE),0)-IF(AND($T$16=I$18,$T$14&lt;&gt;$T$15,$T$16=$T$17,RIGHT($T34,3)="2SP"),VLOOKUP(CONCATENATE(LEFT($T34,2),"L"),$R$63:$T$90,3,FALSE),0)-IF(AND($U$16=I$18,$U$14&lt;&gt;$U$15,$U$16=$U$17,RIGHT($U34,3)="2SP"),VLOOKUP(CONCATENATE(LEFT($U34,2),"L"),$R$63:$T$90,3,FALSE),0)-IF(AND($V$16=I$18,$V$14&lt;&gt;$V$15,$V$16=$V$17,RIGHT($V34,3)="2SP"),VLOOKUP(CONCATENATE(LEFT($V34,2),"L"),$R$63:$T$90,3,FALSE),0)-IF(AND($W$16=I$18,$W$14&lt;&gt;$W$15,$W$16=$W$17,RIGHT($W34,3)="2SP"),VLOOKUP(CONCATENATE(LEFT($W34,2),"L"),$R$63:$T$90,3,FALSE),0)-IF(AND($X$16=I$18,$X$14&lt;&gt;$X$15,$X$16=$X$17,RIGHT($X34,3)="2SP"),VLOOKUP(CONCATENATE(LEFT($X34,2),"L"),$R$63:$T$90,3,FALSE),0)-IF(AND($Y$16=I$18,$Y$14&lt;&gt;$Y$15,$Y$16=$Y$17,RIGHT($Y34,3)="2SP"),VLOOKUP(CONCATENATE(LEFT($Y34,2),"L"),$R$63:$T$90,3,FALSE),0),0),"")</f>
        <v/>
      </c>
      <c r="I34" s="269" t="str">
        <f>IF(I$18&lt;&gt;"",IF(VLOOKUP(CONCATENATE($A$18,"Line"),'Supply Attribution'!$F$31:$G$37,2,FALSE)=I$18,$A34,0)+IF(VLOOKUP(CONCATENATE($B$18,"Line"),'Supply Attribution'!$F$31:$G$37,2,FALSE)=I$18,$B34,0)+IF(VLOOKUP(CONCATENATE($C$18,"Line"),'Supply Attribution'!$F$31:$G$37,2,FALSE)=I$18,$C34,0)+IF(VLOOKUP(CONCATENATE($D$18,"Line"),'Supply Attribution'!$F$31:$G$37,2,FALSE)=I$18,$D34,0)+IF(VLOOKUP(CONCATENATE($E$18,"Line"),'Supply Attribution'!$F$31:$G$37,2,FALSE)=I$18,$E34,0)+IF(VLOOKUP(CONCATENATE($F$18,"Line"),'Supply Attribution'!$F$31:$G$37,2,FALSE)=I$18,$F34,0)+IF($K$6="UL",LEFT($S$90,2),0)-IF(AND($K$16=I$18,$K$14&lt;&gt;$K$15,$K$16=$K$17,RIGHT($K34,3)="2SP"),VLOOKUP(CONCATENATE(LEFT($K34,2),"L"),$R$63:$T$90,3,FALSE),0)-IF(AND($L$16=I$18,$L$14&lt;&gt;$L$15,$L$16=$L$17,RIGHT($L34,3)="2SP"),VLOOKUP(CONCATENATE(LEFT($L34,2),"L"),$R$63:$T$90,3,FALSE),0)-IF(AND($M$16=I$18,$M$14&lt;&gt;$M$15,$M$16=$M$17,RIGHT($M34,3)="2SP"),VLOOKUP(CONCATENATE(LEFT($M34,2),"L"),$R$63:$T$90,3,FALSE),0)-IF(AND($N$16=I$18,$N$14&lt;&gt;$N$15,$N$16=$N$17,RIGHT($N34,3)="2SP"),VLOOKUP(CONCATENATE(LEFT($N34,2),"L"),$R$63:$T$90,3,FALSE),0)-IF(AND($O$16=I$18,$O$14&lt;&gt;$O$15,$O$16=$O$17,RIGHT($O34,3)="2SP"),VLOOKUP(CONCATENATE(LEFT($O34,2),"L"),$R$63:$T$90,3,FALSE),0)-IF(AND($P$16=I$18,$P$14&lt;&gt;$P$15,$P$16=$P$17,RIGHT($P34,3)="2SP"),VLOOKUP(CONCATENATE(LEFT($P34,2),"L"),$R$63:$T$90,3,FALSE),0)-IF(AND($Q$16=I$18,$Q$14&lt;&gt;$Q$15,$Q$16=$Q$17,RIGHT($Q34,3)="2SP"),VLOOKUP(CONCATENATE(LEFT($Q34,2),"L"),$R$63:$T$90,3,FALSE),0)-IF(AND($T$16=I$18,$T$14&lt;&gt;$T$15,$T$16=$T$17,RIGHT($T34,3)="2SP"),VLOOKUP(CONCATENATE(LEFT($T34,2),"L"),$R$63:$T$90,3,FALSE),0)-IF(AND($U$16=I$18,$U$14&lt;&gt;$U$15,$U$16=$U$17,RIGHT($U34,3)="2SP"),VLOOKUP(CONCATENATE(LEFT($U34,2),"L"),$R$63:$T$90,3,FALSE),0)-IF(AND($V$16=I$18,$V$14&lt;&gt;$V$15,$V$16=$V$17,RIGHT($V34,3)="2SP"),VLOOKUP(CONCATENATE(LEFT($V34,2),"L"),$R$63:$T$90,3,FALSE),0)-IF(AND($W$16=I$18,$W$14&lt;&gt;$W$15,$W$16=$W$17,RIGHT($W34,3)="2SP"),VLOOKUP(CONCATENATE(LEFT($W34,2),"L"),$R$63:$T$90,3,FALSE),0)-IF(AND($X$16=I$18,$X$14&lt;&gt;$X$15,$X$16=$X$17,RIGHT($X34,3)="2SP"),VLOOKUP(CONCATENATE(LEFT($X34,2),"L"),$R$63:$T$90,3,FALSE),0)-IF(AND($Y$16=I$18,$Y$14&lt;&gt;$Y$15,$Y$16=$Y$17,RIGHT($Y34,3)="2SP"),VLOOKUP(CONCATENATE(LEFT($Y34,2),"L"),$R$63:$T$90,3,FALSE),0),"")</f>
        <v/>
      </c>
      <c r="J34" s="134"/>
      <c r="K34" s="135"/>
      <c r="L34" s="135"/>
      <c r="M34" s="135"/>
      <c r="N34" s="135"/>
      <c r="O34" s="135"/>
      <c r="P34" s="135"/>
      <c r="Q34" s="135"/>
      <c r="R34" s="135"/>
      <c r="S34" s="135"/>
      <c r="T34" s="135"/>
      <c r="U34" s="135"/>
      <c r="V34" s="135"/>
      <c r="W34" s="135"/>
      <c r="X34" s="135"/>
      <c r="Y34" s="135"/>
      <c r="Z34" s="136"/>
      <c r="AA34" s="136"/>
      <c r="AB34" s="137"/>
      <c r="AC34" s="137"/>
      <c r="AD34" s="137"/>
      <c r="AE34" s="138">
        <f t="shared" si="0"/>
        <v>0</v>
      </c>
      <c r="AF34" s="78"/>
    </row>
    <row r="35" spans="1:32">
      <c r="A35" s="264">
        <f>IF(AND($K35&lt;&gt;"",$K35&lt;&gt;"--",$K35&lt;&gt;"O3/CP",$K$14=A$18),IF(LEFT($K35,1)="P",VLOOKUP(CONCATENATE(LEFT($K35,2),"H"),$R$63:$T$91,3,FALSE),VLOOKUP($K35,$R$63:$T$91,3,FALSE)))+IF(AND($K35&lt;&gt;"",$K35&lt;&gt;"O3/CP",$K$15=A$18,MID($K35,4,1)="2",$K$15&lt;&gt;$K$14),VLOOKUP(CONCATENATE(LEFT($K35,2),"L"),$R$63:$T$91,3,FALSE),0)+IF(AND($K35="O3/CP",$K$14=A$18),VLOOKUP("O3",$R$63:$T$91,3,FALSE)+VLOOKUP("CP",$R$63:$T$91,3,FALSE),0)+IF(AND($L35&lt;&gt;"",$L35&lt;&gt;"--",$L35&lt;&gt;"O3/CP",$L$14=A$18),IF(LEFT($L35,1)="P",VLOOKUP(CONCATENATE(LEFT($L35,2),"H"),$R$63:$T$91,3,FALSE),VLOOKUP($L35,$R$63:$T$91,3,FALSE)))+IF(AND($L35&lt;&gt;"",$L35&lt;&gt;"O3/CP",$L$15=A$18,MID($L35,4,1)="2",$L$15&lt;&gt;$L$14),VLOOKUP(CONCATENATE(LEFT($L35,2),"L"),$R$63:$T$91,3,FALSE),0)+IF(AND($L35="O3/CP",$L$14=A$18),VLOOKUP("O3",$R$63:$T$91,3,FALSE)+VLOOKUP("CP",$R$63:$T$91,3,FALSE),0)+IF(AND($M35&lt;&gt;"",$M35&lt;&gt;"--",$M35&lt;&gt;"O3/CP",$M$14=A$18),IF(LEFT($M35,1)="P",VLOOKUP(CONCATENATE(LEFT($M35,2),"H"),$R$63:$T$91,3,FALSE),VLOOKUP($M35,$R$63:$T$91,3,FALSE)))+IF(AND($M35&lt;&gt;"",$M35&lt;&gt;"O3/CP",$M$15=A$18,MID($M35,4,1)="2",$M$15&lt;&gt;$M$14),VLOOKUP(CONCATENATE(LEFT($M35,2),"L"),$R$63:$T$91,3,FALSE),0)+IF(AND($M35="O3/CP",$M$14=A$18),VLOOKUP("O3",$R$63:$T$91,3,FALSE)+VLOOKUP("CP",$R$63:$T$91,3,FALSE),0)+IF(AND($N35&lt;&gt;"",$N35&lt;&gt;"--",$N35&lt;&gt;"O3/CP",$N$14=A$18),IF(LEFT($N35,1)="P",VLOOKUP(CONCATENATE(LEFT($N35,2),"H"),$R$63:$T$91,3,FALSE),VLOOKUP($N35,$R$63:$T$91,3,FALSE)))+IF(AND($N35&lt;&gt;"",$N35&lt;&gt;"O3/CP",$N$15=A$18,MID($N35,4,1)="2",$N$15&lt;&gt;$N$14),VLOOKUP(CONCATENATE(LEFT($N35,2),"L"),$R$63:$T$91,3,FALSE),0)+IF(AND($N35="O3/CP",$N$14=A$18),VLOOKUP("O3",$R$63:$T$91,3,FALSE)+VLOOKUP("CP",$R$63:$T$91,3,FALSE),0)+IF(AND($O35&lt;&gt;"",$O35&lt;&gt;"--",$O35&lt;&gt;"O3/CP",$O$14=A$18),IF(LEFT($O35,1)="P",VLOOKUP(CONCATENATE(LEFT($O35,2),"H"),$R$63:$T$91,3,FALSE),VLOOKUP($O35,$R$63:$T$91,3,FALSE)))+IF(AND($O35&lt;&gt;"",$O35&lt;&gt;"O3/CP",$O$15=A$18,MID($O35,4,1)="2",$O$15&lt;&gt;$O$14),VLOOKUP(CONCATENATE(LEFT($O35,2),"L"),$R$63:$T$91,3,FALSE),0)+IF(AND($O35="O3/CP",$O$14=A$18),VLOOKUP("O3",$R$63:$T$91,3,FALSE)+VLOOKUP("CP",$R$63:$T$91,3,FALSE),0)+IF(AND($P35&lt;&gt;"",$P35&lt;&gt;"--",$P35&lt;&gt;"O3/CP",$P$14=A$18),IF(LEFT($P35,1)="P",VLOOKUP(CONCATENATE(LEFT($P35,2),"H"),$R$63:$T$91,3,FALSE),VLOOKUP($P35,$R$63:$T$91,3,FALSE)))+IF(AND($P35&lt;&gt;"",$P35&lt;&gt;"O3/CP",$P$15=A$18,MID($P35,4,1)="2",$P$15&lt;&gt;$P$14),VLOOKUP(CONCATENATE(LEFT($P35,2),"L"),$R$63:$T$91,3,FALSE),0)+IF(AND($P35="O3/CP",$P$14=A$18),VLOOKUP("O3",$R$63:$T$91,3,FALSE)+VLOOKUP("CP",$R$63:$T$91,3,FALSE),0)+IF(AND($Q35&lt;&gt;"",$Q35&lt;&gt;"--",$Q35&lt;&gt;"O3/CP",$Q$14=A$18),IF(LEFT($Q35,1)="P",VLOOKUP(CONCATENATE(LEFT($Q35,2),"H"),$R$63:$T$91,3,FALSE),VLOOKUP($Q35,$R$63:$T$91,3,FALSE)))+IF(AND($Q35&lt;&gt;"",$Q35&lt;&gt;"O3/CP",$Q$15=A$18,MID($Q35,4,1)="2",$Q$15&lt;&gt;$Q$14),VLOOKUP(CONCATENATE(LEFT($Q35,2),"L"),$R$63:$T$91,3,FALSE),0)+IF(AND($Q35="O3/CP",$Q$14=A$18),VLOOKUP("O3",$R$63:$T$91,3,FALSE)+VLOOKUP("CP",$R$63:$T$91,3,FALSE),0)+IF(AND($R35&lt;&gt;"",$R35&lt;&gt;"--",$R35&lt;&gt;"O3/CP",$R$14=A$18),IF(LEFT($R35,1)="P",VLOOKUP(CONCATENATE(LEFT($R35,2),"H"),$R$63:$T$91,3,FALSE),VLOOKUP($R35,$R$63:$T$91,3,FALSE)))+IF(AND($R35&lt;&gt;"",$R35&lt;&gt;"O3/CP",$R$15=A$18,MID($R35,4,1)="2",$R$15&lt;&gt;$R$14),VLOOKUP(CONCATENATE(LEFT($R35,2),"L"),$R$63:$T$91,3,FALSE),0)+IF(AND($R35="O3/CP",$R$14=A$18),VLOOKUP("O3",$R$63:$T$91,3,FALSE)+VLOOKUP("CP",$R$63:$T$91,3,FALSE),0)+IF(AND($S35&lt;&gt;"",$S35&lt;&gt;"--",$S35&lt;&gt;"O3/CP",$S$14=A$18),IF(LEFT($S35,1)="P",VLOOKUP(CONCATENATE(LEFT($S35,2),"H"),$R$63:$T$91,3,FALSE),VLOOKUP($S35,$R$63:$T$91,3,FALSE)))+IF(AND($S35&lt;&gt;"",$S35&lt;&gt;"O3/CP",$S$15=A$18,MID($S35,4,1)="2",$S$15&lt;&gt;$S$14),VLOOKUP(CONCATENATE(LEFT($S35,2),"L"),$R$63:$T$91,3,FALSE),0)+IF(AND($S35="O3/CP",$S$14=A$18),VLOOKUP("O3",$R$63:$T$91,3,FALSE)+VLOOKUP("CP",$R$63:$T$91,3,FALSE),0)+IF(AND($T35&lt;&gt;"",$T35&lt;&gt;"--",$T35&lt;&gt;"O3/CP",$T$14=A$18),IF(LEFT($T35,1)="P",VLOOKUP(CONCATENATE(LEFT($T35,2),"H"),$R$63:$T$91,3,FALSE),VLOOKUP($T35,$R$63:$T$91,3,FALSE)))+IF(AND($T35&lt;&gt;"",$T35&lt;&gt;"O3/CP",$T$15=A$18,MID($T35,4,1)="2",$T$15&lt;&gt;$T$14),VLOOKUP(CONCATENATE(LEFT($T35,2),"L"),$R$63:$T$91,3,FALSE),0)+IF(AND($T35="O3/CP",$T$14=A$18),VLOOKUP("O3",$R$63:$T$91,3,FALSE)+VLOOKUP("CP",$R$63:$T$91,3,FALSE),0)+IF(AND($U35&lt;&gt;"",$U35&lt;&gt;"--",$U35&lt;&gt;"O3/CP",$U$14=A$18),IF(LEFT($U35,1)="P",VLOOKUP(CONCATENATE(LEFT($U35,2),"H"),$R$63:$T$91,3,FALSE),VLOOKUP($U35,$R$63:$T$91,3,FALSE)))+IF(AND($U35&lt;&gt;"",$U35&lt;&gt;"O3/CP",$U$15=A$18,MID($U35,4,1)="2",$U$15&lt;&gt;$U$14),VLOOKUP(CONCATENATE(LEFT($U35,2),"L"),$R$63:$T$91,3,FALSE),0)+IF(AND($U35="O3/CP",$T$14=A$18),VLOOKUP("O3",$R$63:$T$91,3,FALSE)+VLOOKUP("CP",$R$63:$T$91,3,FALSE),0)+IF(AND($V35&lt;&gt;"",$V35&lt;&gt;"--",$V35&lt;&gt;"O3/CP",$V$14=A$18),IF(LEFT($V35,1)="P",VLOOKUP(CONCATENATE(LEFT($V35,2),"H"),$R$63:$T$91,3,FALSE),VLOOKUP($V35,$R$63:$T$91,3,FALSE)))+IF(AND($V35&lt;&gt;"",$V35&lt;&gt;"O3/CP",$V$15=A$18,MID($V35,4,1)="2",$V$15&lt;&gt;$V$14),VLOOKUP(CONCATENATE(LEFT($V35,2),"L"),$R$63:$T$91,3,FALSE),0)+IF(AND($V35="O3/CP",$V$14=A$18),VLOOKUP("O3",$R$63:$T$91,3,FALSE)+VLOOKUP("CP",$R$63:$T$91,3,FALSE),0)+IF(AND($W35&lt;&gt;"",$W35&lt;&gt;"--",$W35&lt;&gt;"O3/CP",$W$14=A$18),IF(LEFT($W35,1)="P",VLOOKUP(CONCATENATE(LEFT($W35,2),"H"),$R$63:$T$91,3,FALSE),VLOOKUP($W35,$R$63:$T$91,3,FALSE)))+IF(AND($W35&lt;&gt;"",$W35&lt;&gt;"O3/CP",$W$15=A$18,MID($W35,4,1)="2",$W$15&lt;&gt;$W$14),VLOOKUP(CONCATENATE(LEFT($W35,2),"L"),$R$63:$T$91,3,FALSE),0)+IF(AND($W35="O3/CP",$W$14=A$18),VLOOKUP("O3",$R$63:$T$91,3,FALSE)+VLOOKUP("CP",$R$63:$T$91,3,FALSE),0)+IF(AND($X35&lt;&gt;"",$X35&lt;&gt;"--",$X35&lt;&gt;"O3/CP",$X$14=A$18),IF(LEFT($X35,1)="P",VLOOKUP(CONCATENATE(LEFT($X35,2),"H"),$R$63:$T$91,3,FALSE),VLOOKUP($X35,$R$63:$T$91,3,FALSE)))+IF(AND($X35&lt;&gt;"",$X35&lt;&gt;"O3/CP",$X$15=A$18,MID($X35,4,1)="2",$X$15&lt;&gt;$X$14),VLOOKUP(CONCATENATE(LEFT($X35,2),"L"),$R$63:$T$91,3,FALSE),0)+IF(AND($X35="O3/CP",$X$14=A$18),VLOOKUP("O3",$R$63:$T$91,3,FALSE)+VLOOKUP("CP",$R$63:$T$91,3,FALSE),0)+IF(AND($Y35&lt;&gt;"",$Y35&lt;&gt;"--",$Y35&lt;&gt;"O3/CP",$Y$14=A$18),IF(LEFT($Y35,1)="P",VLOOKUP(CONCATENATE(LEFT($Y35,2),"H"),$R$63:$T$91,3,FALSE),VLOOKUP($Y35,$R$63:$T$91,3,FALSE)))+IF(AND($Y35&lt;&gt;"",$Y35&lt;&gt;"O3/CP",$Y$15=A$18,MID($Y35,4,1)="2",$Y$15&lt;&gt;$Y$14),VLOOKUP(CONCATENATE(LEFT($Y35,2),"L"),$R$63:$T$91,3,FALSE),0)+IF(AND($Y35="O3/CP",$Y$14=A$18),VLOOKUP("O3",$R$63:$T$91,3,FALSE)+VLOOKUP("CP",$R$63:$T$91,3,FALSE),0)+IF(AND($K$6="CE",'[3]Supply Attribution'!$G$20=A$18),LEFT($S$90,2),0)+IF(AND($X$86&lt;&gt;"Not Set",$X$87=A$18),$X$86,0)</f>
        <v>0</v>
      </c>
      <c r="B35" s="271">
        <f>IF(AND($K35&lt;&gt;"",$K35&lt;&gt;"--",$K35&lt;&gt;"O3/CP",$K$14=B$18),IF(LEFT($K35,1)="P",VLOOKUP(CONCATENATE(LEFT($K35,2),"H"),$R$63:$T$91,3,FALSE),VLOOKUP($K35,$R$63:$T$91,3,FALSE)))+IF(AND($K35&lt;&gt;"",$K35&lt;&gt;"O3/CP",$K$15=B$18,MID($K35,4,1)="2",$K$15&lt;&gt;$K$14),VLOOKUP(CONCATENATE(LEFT($K35,2),"L"),$R$63:$T$91,3,FALSE),0)+IF(AND($K35="O3/CP",$K$14=B$18),VLOOKUP("O3",$R$63:$T$91,3,FALSE)+VLOOKUP("CP",$R$63:$T$91,3,FALSE),0)+IF(AND($L35&lt;&gt;"",$L35&lt;&gt;"--",$L35&lt;&gt;"O3/CP",$L$14=B$18),IF(LEFT($L35,1)="P",VLOOKUP(CONCATENATE(LEFT($L35,2),"H"),$R$63:$T$91,3,FALSE),VLOOKUP($L35,$R$63:$T$91,3,FALSE)))+IF(AND($L35&lt;&gt;"",$L35&lt;&gt;"O3/CP",$L$15=B$18,MID($L35,4,1)="2",$L$15&lt;&gt;$L$14),VLOOKUP(CONCATENATE(LEFT($L35,2),"L"),$R$63:$T$91,3,FALSE),0)+IF(AND($L35="O3/CP",$L$14=B$18),VLOOKUP("O3",$R$63:$T$91,3,FALSE)+VLOOKUP("CP",$R$63:$T$91,3,FALSE),0)+IF(AND($M35&lt;&gt;"",$M35&lt;&gt;"--",$M35&lt;&gt;"O3/CP",$M$14=B$18),IF(LEFT($M35,1)="P",VLOOKUP(CONCATENATE(LEFT($M35,2),"H"),$R$63:$T$91,3,FALSE),VLOOKUP($M35,$R$63:$T$91,3,FALSE)))+IF(AND($M35&lt;&gt;"",$M35&lt;&gt;"O3/CP",$M$15=B$18,MID($M35,4,1)="2",$M$15&lt;&gt;$M$14),VLOOKUP(CONCATENATE(LEFT($M35,2),"L"),$R$63:$T$91,3,FALSE),0)+IF(AND($M35="O3/CP",$M$14=B$18),VLOOKUP("O3",$R$63:$T$91,3,FALSE)+VLOOKUP("CP",$R$63:$T$91,3,FALSE),0)+IF(AND($N35&lt;&gt;"",$N35&lt;&gt;"--",$N35&lt;&gt;"O3/CP",$N$14=B$18),IF(LEFT($N35,1)="P",VLOOKUP(CONCATENATE(LEFT($N35,2),"H"),$R$63:$T$91,3,FALSE),VLOOKUP($N35,$R$63:$T$91,3,FALSE)))+IF(AND($N35&lt;&gt;"",$N35&lt;&gt;"O3/CP",$N$15=B$18,MID($N35,4,1)="2",$N$15&lt;&gt;$N$14),VLOOKUP(CONCATENATE(LEFT($N35,2),"L"),$R$63:$T$91,3,FALSE),0)+IF(AND($N35="O3/CP",$N$14=B$18),VLOOKUP("O3",$R$63:$T$91,3,FALSE)+VLOOKUP("CP",$R$63:$T$91,3,FALSE),0)+IF(AND($O35&lt;&gt;"",$O35&lt;&gt;"--",$O35&lt;&gt;"O3/CP",$O$14=B$18),IF(LEFT($O35,1)="P",VLOOKUP(CONCATENATE(LEFT($O35,2),"H"),$R$63:$T$91,3,FALSE),VLOOKUP($O35,$R$63:$T$91,3,FALSE)))+IF(AND($O35&lt;&gt;"",$O35&lt;&gt;"O3/CP",$O$15=B$18,MID($O35,4,1)="2",$O$15&lt;&gt;$O$14),VLOOKUP(CONCATENATE(LEFT($O35,2),"L"),$R$63:$T$91,3,FALSE),0)+IF(AND($O35="O3/CP",$O$14=B$18),VLOOKUP("O3",$R$63:$T$91,3,FALSE)+VLOOKUP("CP",$R$63:$T$91,3,FALSE),0)+IF(AND($P35&lt;&gt;"",$P35&lt;&gt;"--",$P35&lt;&gt;"O3/CP",$P$14=B$18),IF(LEFT($P35,1)="P",VLOOKUP(CONCATENATE(LEFT($P35,2),"H"),$R$63:$T$91,3,FALSE),VLOOKUP($P35,$R$63:$T$91,3,FALSE)))+IF(AND($P35&lt;&gt;"",$P35&lt;&gt;"O3/CP",$P$15=B$18,MID($P35,4,1)="2",$P$15&lt;&gt;$P$14),VLOOKUP(CONCATENATE(LEFT($P35,2),"L"),$R$63:$T$91,3,FALSE),0)+IF(AND($P35="O3/CP",$P$14=B$18),VLOOKUP("O3",$R$63:$T$91,3,FALSE)+VLOOKUP("CP",$R$63:$T$91,3,FALSE),0)+IF(AND($Q35&lt;&gt;"",$Q35&lt;&gt;"--",$Q35&lt;&gt;"O3/CP",$Q$14=B$18),IF(LEFT($Q35,1)="P",VLOOKUP(CONCATENATE(LEFT($Q35,2),"H"),$R$63:$T$91,3,FALSE),VLOOKUP($Q35,$R$63:$T$91,3,FALSE)))+IF(AND($Q35&lt;&gt;"",$Q35&lt;&gt;"O3/CP",$Q$15=B$18,MID($Q35,4,1)="2",$Q$15&lt;&gt;$Q$14),VLOOKUP(CONCATENATE(LEFT($Q35,2),"L"),$R$63:$T$91,3,FALSE),0)+IF(AND($Q35="O3/CP",$Q$14=B$18),VLOOKUP("O3",$R$63:$T$91,3,FALSE)+VLOOKUP("CP",$R$63:$T$91,3,FALSE),0)+IF(AND($R35&lt;&gt;"",$R35&lt;&gt;"--",$R35&lt;&gt;"O3/CP",$R$14=B$18),IF(LEFT($R35,1)="P",VLOOKUP(CONCATENATE(LEFT($R35,2),"H"),$R$63:$T$91,3,FALSE),VLOOKUP($R35,$R$63:$T$91,3,FALSE)))+IF(AND($R35&lt;&gt;"",$R35&lt;&gt;"O3/CP",$R$15=B$18,MID($R35,4,1)="2",$R$15&lt;&gt;$R$14),VLOOKUP(CONCATENATE(LEFT($R35,2),"L"),$R$63:$T$91,3,FALSE),0)+IF(AND($R35="O3/CP",$R$14=B$18),VLOOKUP("O3",$R$63:$T$91,3,FALSE)+VLOOKUP("CP",$R$63:$T$91,3,FALSE),0)+IF(AND($S35&lt;&gt;"",$S35&lt;&gt;"--",$S35&lt;&gt;"O3/CP",$S$14=B$18),IF(LEFT($S35,1)="P",VLOOKUP(CONCATENATE(LEFT($S35,2),"H"),$R$63:$T$91,3,FALSE),VLOOKUP($S35,$R$63:$T$91,3,FALSE)))+IF(AND($S35&lt;&gt;"",$S35&lt;&gt;"O3/CP",$S$15=B$18,MID($S35,4,1)="2",$S$15&lt;&gt;$S$14),VLOOKUP(CONCATENATE(LEFT($S35,2),"L"),$R$63:$T$91,3,FALSE),0)+IF(AND($S35="O3/CP",$S$14=B$18),VLOOKUP("O3",$R$63:$T$91,3,FALSE)+VLOOKUP("CP",$R$63:$T$91,3,FALSE),0)+IF(AND($T35&lt;&gt;"",$T35&lt;&gt;"--",$T35&lt;&gt;"O3/CP",$T$14=B$18),IF(LEFT($T35,1)="P",VLOOKUP(CONCATENATE(LEFT($T35,2),"H"),$R$63:$T$91,3,FALSE),VLOOKUP($T35,$R$63:$T$91,3,FALSE)))+IF(AND($T35&lt;&gt;"",$T35&lt;&gt;"O3/CP",$T$15=B$18,MID($T35,4,1)="2",$T$15&lt;&gt;$T$14),VLOOKUP(CONCATENATE(LEFT($T35,2),"L"),$R$63:$T$91,3,FALSE),0)+IF(AND($T35="O3/CP",$T$14=B$18),VLOOKUP("O3",$R$63:$T$91,3,FALSE)+VLOOKUP("CP",$R$63:$T$91,3,FALSE),0)+IF(AND($U35&lt;&gt;"",$U35&lt;&gt;"--",$U35&lt;&gt;"O3/CP",$U$14=B$18),IF(LEFT($U35,1)="P",VLOOKUP(CONCATENATE(LEFT($U35,2),"H"),$R$63:$T$91,3,FALSE),VLOOKUP($U35,$R$63:$T$91,3,FALSE)))+IF(AND($U35&lt;&gt;"",$U35&lt;&gt;"O3/CP",$U$15=B$18,MID($U35,4,1)="2",$U$15&lt;&gt;$U$14),VLOOKUP(CONCATENATE(LEFT($U35,2),"L"),$R$63:$T$91,3,FALSE),0)+IF(AND($U35="O3/CP",$T$14=B$18),VLOOKUP("O3",$R$63:$T$91,3,FALSE)+VLOOKUP("CP",$R$63:$T$91,3,FALSE),0)+IF(AND($V35&lt;&gt;"",$V35&lt;&gt;"--",$V35&lt;&gt;"O3/CP",$V$14=B$18),IF(LEFT($V35,1)="P",VLOOKUP(CONCATENATE(LEFT($V35,2),"H"),$R$63:$T$91,3,FALSE),VLOOKUP($V35,$R$63:$T$91,3,FALSE)))+IF(AND($V35&lt;&gt;"",$V35&lt;&gt;"O3/CP",$V$15=B$18,MID($V35,4,1)="2",$V$15&lt;&gt;$V$14),VLOOKUP(CONCATENATE(LEFT($V35,2),"L"),$R$63:$T$91,3,FALSE),0)+IF(AND($V35="O3/CP",$V$14=B$18),VLOOKUP("O3",$R$63:$T$91,3,FALSE)+VLOOKUP("CP",$R$63:$T$91,3,FALSE),0)+IF(AND($W35&lt;&gt;"",$W35&lt;&gt;"--",$W35&lt;&gt;"O3/CP",$W$14=B$18),IF(LEFT($W35,1)="P",VLOOKUP(CONCATENATE(LEFT($W35,2),"H"),$R$63:$T$91,3,FALSE),VLOOKUP($W35,$R$63:$T$91,3,FALSE)))+IF(AND($W35&lt;&gt;"",$W35&lt;&gt;"O3/CP",$W$15=B$18,MID($W35,4,1)="2",$W$15&lt;&gt;$W$14),VLOOKUP(CONCATENATE(LEFT($W35,2),"L"),$R$63:$T$91,3,FALSE),0)+IF(AND($W35="O3/CP",$W$14=B$18),VLOOKUP("O3",$R$63:$T$91,3,FALSE)+VLOOKUP("CP",$R$63:$T$91,3,FALSE),0)+IF(AND($X35&lt;&gt;"",$X35&lt;&gt;"--",$X35&lt;&gt;"O3/CP",$X$14=B$18),IF(LEFT($X35,1)="P",VLOOKUP(CONCATENATE(LEFT($X35,2),"H"),$R$63:$T$91,3,FALSE),VLOOKUP($X35,$R$63:$T$91,3,FALSE)))+IF(AND($X35&lt;&gt;"",$X35&lt;&gt;"O3/CP",$X$15=B$18,MID($X35,4,1)="2",$X$15&lt;&gt;$X$14),VLOOKUP(CONCATENATE(LEFT($X35,2),"L"),$R$63:$T$91,3,FALSE),0)+IF(AND($X35="O3/CP",$X$14=B$18),VLOOKUP("O3",$R$63:$T$91,3,FALSE)+VLOOKUP("CP",$R$63:$T$91,3,FALSE),0)+IF(AND($Y35&lt;&gt;"",$Y35&lt;&gt;"--",$Y35&lt;&gt;"O3/CP",$Y$14=B$18),IF(LEFT($Y35,1)="P",VLOOKUP(CONCATENATE(LEFT($Y35,2),"H"),$R$63:$T$91,3,FALSE),VLOOKUP($Y35,$R$63:$T$91,3,FALSE)))+IF(AND($Y35&lt;&gt;"",$Y35&lt;&gt;"O3/CP",$Y$15=B$18,MID($Y35,4,1)="2",$Y$15&lt;&gt;$Y$14),VLOOKUP(CONCATENATE(LEFT($Y35,2),"L"),$R$63:$T$91,3,FALSE),0)+IF(AND($Y35="O3/CP",$Y$14=B$18),VLOOKUP("O3",$R$63:$T$91,3,FALSE)+VLOOKUP("CP",$R$63:$T$91,3,FALSE),0)+IF(AND($K$6="CE",'[3]Supply Attribution'!$G$20=B$18),LEFT($S$90,2),0)+IF(AND($X$86&lt;&gt;"Not Set",$X$87=B$18),$X$86,0)</f>
        <v>0</v>
      </c>
      <c r="C35" s="271">
        <f>IF(AND($K35&lt;&gt;"",$K35&lt;&gt;"--",$K35&lt;&gt;"O3/CP",$K$14=C$18),IF(LEFT($K35,1)="P",VLOOKUP(CONCATENATE(LEFT($K35,2),"H"),$R$63:$T$91,3,FALSE),VLOOKUP($K35,$R$63:$T$91,3,FALSE)))+IF(AND($K35&lt;&gt;"",$K35&lt;&gt;"O3/CP",$K$15=C$18,MID($K35,4,1)="2",$K$15&lt;&gt;$K$14),VLOOKUP(CONCATENATE(LEFT($K35,2),"L"),$R$63:$T$91,3,FALSE),0)+IF(AND($K35="O3/CP",$K$14=C$18),VLOOKUP("O3",$R$63:$T$91,3,FALSE)+VLOOKUP("CP",$R$63:$T$91,3,FALSE),0)+IF(AND($L35&lt;&gt;"",$L35&lt;&gt;"--",$L35&lt;&gt;"O3/CP",$L$14=C$18),IF(LEFT($L35,1)="P",VLOOKUP(CONCATENATE(LEFT($L35,2),"H"),$R$63:$T$91,3,FALSE),VLOOKUP($L35,$R$63:$T$91,3,FALSE)))+IF(AND($L35&lt;&gt;"",$L35&lt;&gt;"O3/CP",$L$15=C$18,MID($L35,4,1)="2",$L$15&lt;&gt;$L$14),VLOOKUP(CONCATENATE(LEFT($L35,2),"L"),$R$63:$T$91,3,FALSE),0)+IF(AND($L35="O3/CP",$L$14=C$18),VLOOKUP("O3",$R$63:$T$91,3,FALSE)+VLOOKUP("CP",$R$63:$T$91,3,FALSE),0)+IF(AND($M35&lt;&gt;"",$M35&lt;&gt;"--",$M35&lt;&gt;"O3/CP",$M$14=C$18),IF(LEFT($M35,1)="P",VLOOKUP(CONCATENATE(LEFT($M35,2),"H"),$R$63:$T$91,3,FALSE),VLOOKUP($M35,$R$63:$T$91,3,FALSE)))+IF(AND($M35&lt;&gt;"",$M35&lt;&gt;"O3/CP",$M$15=C$18,MID($M35,4,1)="2",$M$15&lt;&gt;$M$14),VLOOKUP(CONCATENATE(LEFT($M35,2),"L"),$R$63:$T$91,3,FALSE),0)+IF(AND($M35="O3/CP",$M$14=C$18),VLOOKUP("O3",$R$63:$T$91,3,FALSE)+VLOOKUP("CP",$R$63:$T$91,3,FALSE),0)+IF(AND($N35&lt;&gt;"",$N35&lt;&gt;"--",$N35&lt;&gt;"O3/CP",$N$14=C$18),IF(LEFT($N35,1)="P",VLOOKUP(CONCATENATE(LEFT($N35,2),"H"),$R$63:$T$91,3,FALSE),VLOOKUP($N35,$R$63:$T$91,3,FALSE)))+IF(AND($N35&lt;&gt;"",$N35&lt;&gt;"O3/CP",$N$15=C$18,MID($N35,4,1)="2",$N$15&lt;&gt;$N$14),VLOOKUP(CONCATENATE(LEFT($N35,2),"L"),$R$63:$T$91,3,FALSE),0)+IF(AND($N35="O3/CP",$N$14=C$18),VLOOKUP("O3",$R$63:$T$91,3,FALSE)+VLOOKUP("CP",$R$63:$T$91,3,FALSE),0)+IF(AND($O35&lt;&gt;"",$O35&lt;&gt;"--",$O35&lt;&gt;"O3/CP",$O$14=C$18),IF(LEFT($O35,1)="P",VLOOKUP(CONCATENATE(LEFT($O35,2),"H"),$R$63:$T$91,3,FALSE),VLOOKUP($O35,$R$63:$T$91,3,FALSE)))+IF(AND($O35&lt;&gt;"",$O35&lt;&gt;"O3/CP",$O$15=C$18,MID($O35,4,1)="2",$O$15&lt;&gt;$O$14),VLOOKUP(CONCATENATE(LEFT($O35,2),"L"),$R$63:$T$91,3,FALSE),0)+IF(AND($O35="O3/CP",$O$14=C$18),VLOOKUP("O3",$R$63:$T$91,3,FALSE)+VLOOKUP("CP",$R$63:$T$91,3,FALSE),0)+IF(AND($P35&lt;&gt;"",$P35&lt;&gt;"--",$P35&lt;&gt;"O3/CP",$P$14=C$18),IF(LEFT($P35,1)="P",VLOOKUP(CONCATENATE(LEFT($P35,2),"H"),$R$63:$T$91,3,FALSE),VLOOKUP($P35,$R$63:$T$91,3,FALSE)))+IF(AND($P35&lt;&gt;"",$P35&lt;&gt;"O3/CP",$P$15=C$18,MID($P35,4,1)="2",$P$15&lt;&gt;$P$14),VLOOKUP(CONCATENATE(LEFT($P35,2),"L"),$R$63:$T$91,3,FALSE),0)+IF(AND($P35="O3/CP",$P$14=C$18),VLOOKUP("O3",$R$63:$T$91,3,FALSE)+VLOOKUP("CP",$R$63:$T$91,3,FALSE),0)+IF(AND($Q35&lt;&gt;"",$Q35&lt;&gt;"--",$Q35&lt;&gt;"O3/CP",$Q$14=C$18),IF(LEFT($Q35,1)="P",VLOOKUP(CONCATENATE(LEFT($Q35,2),"H"),$R$63:$T$91,3,FALSE),VLOOKUP($Q35,$R$63:$T$91,3,FALSE)))+IF(AND($Q35&lt;&gt;"",$Q35&lt;&gt;"O3/CP",$Q$15=C$18,MID($Q35,4,1)="2",$Q$15&lt;&gt;$Q$14),VLOOKUP(CONCATENATE(LEFT($Q35,2),"L"),$R$63:$T$91,3,FALSE),0)+IF(AND($Q35="O3/CP",$Q$14=C$18),VLOOKUP("O3",$R$63:$T$91,3,FALSE)+VLOOKUP("CP",$R$63:$T$91,3,FALSE),0)+IF(AND($R35&lt;&gt;"",$R35&lt;&gt;"--",$R35&lt;&gt;"O3/CP",$R$14=C$18),IF(LEFT($R35,1)="P",VLOOKUP(CONCATENATE(LEFT($R35,2),"H"),$R$63:$T$91,3,FALSE),VLOOKUP($R35,$R$63:$T$91,3,FALSE)))+IF(AND($R35&lt;&gt;"",$R35&lt;&gt;"O3/CP",$R$15=C$18,MID($R35,4,1)="2",$R$15&lt;&gt;$R$14),VLOOKUP(CONCATENATE(LEFT($R35,2),"L"),$R$63:$T$91,3,FALSE),0)+IF(AND($R35="O3/CP",$R$14=C$18),VLOOKUP("O3",$R$63:$T$91,3,FALSE)+VLOOKUP("CP",$R$63:$T$91,3,FALSE),0)+IF(AND($S35&lt;&gt;"",$S35&lt;&gt;"--",$S35&lt;&gt;"O3/CP",$S$14=C$18),IF(LEFT($S35,1)="P",VLOOKUP(CONCATENATE(LEFT($S35,2),"H"),$R$63:$T$91,3,FALSE),VLOOKUP($S35,$R$63:$T$91,3,FALSE)))+IF(AND($S35&lt;&gt;"",$S35&lt;&gt;"O3/CP",$S$15=C$18,MID($S35,4,1)="2",$S$15&lt;&gt;$S$14),VLOOKUP(CONCATENATE(LEFT($S35,2),"L"),$R$63:$T$91,3,FALSE),0)+IF(AND($S35="O3/CP",$S$14=C$18),VLOOKUP("O3",$R$63:$T$91,3,FALSE)+VLOOKUP("CP",$R$63:$T$91,3,FALSE),0)+IF(AND($T35&lt;&gt;"",$T35&lt;&gt;"--",$T35&lt;&gt;"O3/CP",$T$14=C$18),IF(LEFT($T35,1)="P",VLOOKUP(CONCATENATE(LEFT($T35,2),"H"),$R$63:$T$91,3,FALSE),VLOOKUP($T35,$R$63:$T$91,3,FALSE)))+IF(AND($T35&lt;&gt;"",$T35&lt;&gt;"O3/CP",$T$15=C$18,MID($T35,4,1)="2",$T$15&lt;&gt;$T$14),VLOOKUP(CONCATENATE(LEFT($T35,2),"L"),$R$63:$T$91,3,FALSE),0)+IF(AND($T35="O3/CP",$T$14=C$18),VLOOKUP("O3",$R$63:$T$91,3,FALSE)+VLOOKUP("CP",$R$63:$T$91,3,FALSE),0)+IF(AND($U35&lt;&gt;"",$U35&lt;&gt;"--",$U35&lt;&gt;"O3/CP",$U$14=C$18),IF(LEFT($U35,1)="P",VLOOKUP(CONCATENATE(LEFT($U35,2),"H"),$R$63:$T$91,3,FALSE),VLOOKUP($U35,$R$63:$T$91,3,FALSE)))+IF(AND($U35&lt;&gt;"",$U35&lt;&gt;"O3/CP",$U$15=C$18,MID($U35,4,1)="2",$U$15&lt;&gt;$U$14),VLOOKUP(CONCATENATE(LEFT($U35,2),"L"),$R$63:$T$91,3,FALSE),0)+IF(AND($U35="O3/CP",$T$14=C$18),VLOOKUP("O3",$R$63:$T$91,3,FALSE)+VLOOKUP("CP",$R$63:$T$91,3,FALSE),0)+IF(AND($V35&lt;&gt;"",$V35&lt;&gt;"--",$V35&lt;&gt;"O3/CP",$V$14=C$18),IF(LEFT($V35,1)="P",VLOOKUP(CONCATENATE(LEFT($V35,2),"H"),$R$63:$T$91,3,FALSE),VLOOKUP($V35,$R$63:$T$91,3,FALSE)))+IF(AND($V35&lt;&gt;"",$V35&lt;&gt;"O3/CP",$V$15=C$18,MID($V35,4,1)="2",$V$15&lt;&gt;$V$14),VLOOKUP(CONCATENATE(LEFT($V35,2),"L"),$R$63:$T$91,3,FALSE),0)+IF(AND($V35="O3/CP",$V$14=C$18),VLOOKUP("O3",$R$63:$T$91,3,FALSE)+VLOOKUP("CP",$R$63:$T$91,3,FALSE),0)+IF(AND($W35&lt;&gt;"",$W35&lt;&gt;"--",$W35&lt;&gt;"O3/CP",$W$14=C$18),IF(LEFT($W35,1)="P",VLOOKUP(CONCATENATE(LEFT($W35,2),"H"),$R$63:$T$91,3,FALSE),VLOOKUP($W35,$R$63:$T$91,3,FALSE)))+IF(AND($W35&lt;&gt;"",$W35&lt;&gt;"O3/CP",$W$15=C$18,MID($W35,4,1)="2",$W$15&lt;&gt;$W$14),VLOOKUP(CONCATENATE(LEFT($W35,2),"L"),$R$63:$T$91,3,FALSE),0)+IF(AND($W35="O3/CP",$W$14=C$18),VLOOKUP("O3",$R$63:$T$91,3,FALSE)+VLOOKUP("CP",$R$63:$T$91,3,FALSE),0)+IF(AND($X35&lt;&gt;"",$X35&lt;&gt;"--",$X35&lt;&gt;"O3/CP",$X$14=C$18),IF(LEFT($X35,1)="P",VLOOKUP(CONCATENATE(LEFT($X35,2),"H"),$R$63:$T$91,3,FALSE),VLOOKUP($X35,$R$63:$T$91,3,FALSE)))+IF(AND($X35&lt;&gt;"",$X35&lt;&gt;"O3/CP",$X$15=C$18,MID($X35,4,1)="2",$X$15&lt;&gt;$X$14),VLOOKUP(CONCATENATE(LEFT($X35,2),"L"),$R$63:$T$91,3,FALSE),0)+IF(AND($X35="O3/CP",$X$14=C$18),VLOOKUP("O3",$R$63:$T$91,3,FALSE)+VLOOKUP("CP",$R$63:$T$91,3,FALSE),0)+IF(AND($Y35&lt;&gt;"",$Y35&lt;&gt;"--",$Y35&lt;&gt;"O3/CP",$Y$14=C$18),IF(LEFT($Y35,1)="P",VLOOKUP(CONCATENATE(LEFT($Y35,2),"H"),$R$63:$T$91,3,FALSE),VLOOKUP($Y35,$R$63:$T$91,3,FALSE)))+IF(AND($Y35&lt;&gt;"",$Y35&lt;&gt;"O3/CP",$Y$15=C$18,MID($Y35,4,1)="2",$Y$15&lt;&gt;$Y$14),VLOOKUP(CONCATENATE(LEFT($Y35,2),"L"),$R$63:$T$91,3,FALSE),0)+IF(AND($Y35="O3/CP",$Y$14=C$18),VLOOKUP("O3",$R$63:$T$91,3,FALSE)+VLOOKUP("CP",$R$63:$T$91,3,FALSE),0)+IF(AND($K$6="CE",'[3]Supply Attribution'!$G$20=C$18),LEFT($S$90,2),0)+IF(AND($X$86&lt;&gt;"Not Set",$X$87=C$18),$X$86,0)</f>
        <v>0</v>
      </c>
      <c r="D35" s="271">
        <f>IF(AND($K35&lt;&gt;"",$K35&lt;&gt;"--",$K35&lt;&gt;"O3/CP",$K$14=D$18),IF(LEFT($K35,1)="P",VLOOKUP(CONCATENATE(LEFT($K35,2),"H"),$R$63:$T$91,3,FALSE),VLOOKUP($K35,$R$63:$T$91,3,FALSE)))+IF(AND($K35&lt;&gt;"",$K35&lt;&gt;"O3/CP",$K$15=D$18,MID($K35,4,1)="2",$K$15&lt;&gt;$K$14),VLOOKUP(CONCATENATE(LEFT($K35,2),"L"),$R$63:$T$91,3,FALSE),0)+IF(AND($K35="O3/CP",$K$14=D$18),VLOOKUP("O3",$R$63:$T$91,3,FALSE)+VLOOKUP("CP",$R$63:$T$91,3,FALSE),0)+IF(AND($L35&lt;&gt;"",$L35&lt;&gt;"--",$L35&lt;&gt;"O3/CP",$L$14=D$18),IF(LEFT($L35,1)="P",VLOOKUP(CONCATENATE(LEFT($L35,2),"H"),$R$63:$T$91,3,FALSE),VLOOKUP($L35,$R$63:$T$91,3,FALSE)))+IF(AND($L35&lt;&gt;"",$L35&lt;&gt;"O3/CP",$L$15=D$18,MID($L35,4,1)="2",$L$15&lt;&gt;$L$14),VLOOKUP(CONCATENATE(LEFT($L35,2),"L"),$R$63:$T$91,3,FALSE),0)+IF(AND($L35="O3/CP",$L$14=D$18),VLOOKUP("O3",$R$63:$T$91,3,FALSE)+VLOOKUP("CP",$R$63:$T$91,3,FALSE),0)+IF(AND($M35&lt;&gt;"",$M35&lt;&gt;"--",$M35&lt;&gt;"O3/CP",$M$14=D$18),IF(LEFT($M35,1)="P",VLOOKUP(CONCATENATE(LEFT($M35,2),"H"),$R$63:$T$91,3,FALSE),VLOOKUP($M35,$R$63:$T$91,3,FALSE)))+IF(AND($M35&lt;&gt;"",$M35&lt;&gt;"O3/CP",$M$15=D$18,MID($M35,4,1)="2",$M$15&lt;&gt;$M$14),VLOOKUP(CONCATENATE(LEFT($M35,2),"L"),$R$63:$T$91,3,FALSE),0)+IF(AND($M35="O3/CP",$M$14=D$18),VLOOKUP("O3",$R$63:$T$91,3,FALSE)+VLOOKUP("CP",$R$63:$T$91,3,FALSE),0)+IF(AND($N35&lt;&gt;"",$N35&lt;&gt;"--",$N35&lt;&gt;"O3/CP",$N$14=D$18),IF(LEFT($N35,1)="P",VLOOKUP(CONCATENATE(LEFT($N35,2),"H"),$R$63:$T$91,3,FALSE),VLOOKUP($N35,$R$63:$T$91,3,FALSE)))+IF(AND($N35&lt;&gt;"",$N35&lt;&gt;"O3/CP",$N$15=D$18,MID($N35,4,1)="2",$N$15&lt;&gt;$N$14),VLOOKUP(CONCATENATE(LEFT($N35,2),"L"),$R$63:$T$91,3,FALSE),0)+IF(AND($N35="O3/CP",$N$14=D$18),VLOOKUP("O3",$R$63:$T$91,3,FALSE)+VLOOKUP("CP",$R$63:$T$91,3,FALSE),0)+IF(AND($O35&lt;&gt;"",$O35&lt;&gt;"--",$O35&lt;&gt;"O3/CP",$O$14=D$18),IF(LEFT($O35,1)="P",VLOOKUP(CONCATENATE(LEFT($O35,2),"H"),$R$63:$T$91,3,FALSE),VLOOKUP($O35,$R$63:$T$91,3,FALSE)))+IF(AND($O35&lt;&gt;"",$O35&lt;&gt;"O3/CP",$O$15=D$18,MID($O35,4,1)="2",$O$15&lt;&gt;$O$14),VLOOKUP(CONCATENATE(LEFT($O35,2),"L"),$R$63:$T$91,3,FALSE),0)+IF(AND($O35="O3/CP",$O$14=D$18),VLOOKUP("O3",$R$63:$T$91,3,FALSE)+VLOOKUP("CP",$R$63:$T$91,3,FALSE),0)+IF(AND($P35&lt;&gt;"",$P35&lt;&gt;"--",$P35&lt;&gt;"O3/CP",$P$14=D$18),IF(LEFT($P35,1)="P",VLOOKUP(CONCATENATE(LEFT($P35,2),"H"),$R$63:$T$91,3,FALSE),VLOOKUP($P35,$R$63:$T$91,3,FALSE)))+IF(AND($P35&lt;&gt;"",$P35&lt;&gt;"O3/CP",$P$15=D$18,MID($P35,4,1)="2",$P$15&lt;&gt;$P$14),VLOOKUP(CONCATENATE(LEFT($P35,2),"L"),$R$63:$T$91,3,FALSE),0)+IF(AND($P35="O3/CP",$P$14=D$18),VLOOKUP("O3",$R$63:$T$91,3,FALSE)+VLOOKUP("CP",$R$63:$T$91,3,FALSE),0)+IF(AND($Q35&lt;&gt;"",$Q35&lt;&gt;"--",$Q35&lt;&gt;"O3/CP",$Q$14=D$18),IF(LEFT($Q35,1)="P",VLOOKUP(CONCATENATE(LEFT($Q35,2),"H"),$R$63:$T$91,3,FALSE),VLOOKUP($Q35,$R$63:$T$91,3,FALSE)))+IF(AND($Q35&lt;&gt;"",$Q35&lt;&gt;"O3/CP",$Q$15=D$18,MID($Q35,4,1)="2",$Q$15&lt;&gt;$Q$14),VLOOKUP(CONCATENATE(LEFT($Q35,2),"L"),$R$63:$T$91,3,FALSE),0)+IF(AND($Q35="O3/CP",$Q$14=D$18),VLOOKUP("O3",$R$63:$T$91,3,FALSE)+VLOOKUP("CP",$R$63:$T$91,3,FALSE),0)+IF(AND($R35&lt;&gt;"",$R35&lt;&gt;"--",$R35&lt;&gt;"O3/CP",$R$14=D$18),IF(LEFT($R35,1)="P",VLOOKUP(CONCATENATE(LEFT($R35,2),"H"),$R$63:$T$91,3,FALSE),VLOOKUP($R35,$R$63:$T$91,3,FALSE)))+IF(AND($R35&lt;&gt;"",$R35&lt;&gt;"O3/CP",$R$15=D$18,MID($R35,4,1)="2",$R$15&lt;&gt;$R$14),VLOOKUP(CONCATENATE(LEFT($R35,2),"L"),$R$63:$T$91,3,FALSE),0)+IF(AND($R35="O3/CP",$R$14=D$18),VLOOKUP("O3",$R$63:$T$91,3,FALSE)+VLOOKUP("CP",$R$63:$T$91,3,FALSE),0)+IF(AND($S35&lt;&gt;"",$S35&lt;&gt;"--",$S35&lt;&gt;"O3/CP",$S$14=D$18),IF(LEFT($S35,1)="P",VLOOKUP(CONCATENATE(LEFT($S35,2),"H"),$R$63:$T$91,3,FALSE),VLOOKUP($S35,$R$63:$T$91,3,FALSE)))+IF(AND($S35&lt;&gt;"",$S35&lt;&gt;"O3/CP",$S$15=D$18,MID($S35,4,1)="2",$S$15&lt;&gt;$S$14),VLOOKUP(CONCATENATE(LEFT($S35,2),"L"),$R$63:$T$91,3,FALSE),0)+IF(AND($S35="O3/CP",$S$14=D$18),VLOOKUP("O3",$R$63:$T$91,3,FALSE)+VLOOKUP("CP",$R$63:$T$91,3,FALSE),0)+IF(AND($T35&lt;&gt;"",$T35&lt;&gt;"--",$T35&lt;&gt;"O3/CP",$T$14=D$18),IF(LEFT($T35,1)="P",VLOOKUP(CONCATENATE(LEFT($T35,2),"H"),$R$63:$T$91,3,FALSE),VLOOKUP($T35,$R$63:$T$91,3,FALSE)))+IF(AND($T35&lt;&gt;"",$T35&lt;&gt;"O3/CP",$T$15=D$18,MID($T35,4,1)="2",$T$15&lt;&gt;$T$14),VLOOKUP(CONCATENATE(LEFT($T35,2),"L"),$R$63:$T$91,3,FALSE),0)+IF(AND($T35="O3/CP",$T$14=D$18),VLOOKUP("O3",$R$63:$T$91,3,FALSE)+VLOOKUP("CP",$R$63:$T$91,3,FALSE),0)+IF(AND($U35&lt;&gt;"",$U35&lt;&gt;"--",$U35&lt;&gt;"O3/CP",$U$14=D$18),IF(LEFT($U35,1)="P",VLOOKUP(CONCATENATE(LEFT($U35,2),"H"),$R$63:$T$91,3,FALSE),VLOOKUP($U35,$R$63:$T$91,3,FALSE)))+IF(AND($U35&lt;&gt;"",$U35&lt;&gt;"O3/CP",$U$15=D$18,MID($U35,4,1)="2",$U$15&lt;&gt;$U$14),VLOOKUP(CONCATENATE(LEFT($U35,2),"L"),$R$63:$T$91,3,FALSE),0)+IF(AND($U35="O3/CP",$T$14=D$18),VLOOKUP("O3",$R$63:$T$91,3,FALSE)+VLOOKUP("CP",$R$63:$T$91,3,FALSE),0)+IF(AND($V35&lt;&gt;"",$V35&lt;&gt;"--",$V35&lt;&gt;"O3/CP",$V$14=D$18),IF(LEFT($V35,1)="P",VLOOKUP(CONCATENATE(LEFT($V35,2),"H"),$R$63:$T$91,3,FALSE),VLOOKUP($V35,$R$63:$T$91,3,FALSE)))+IF(AND($V35&lt;&gt;"",$V35&lt;&gt;"O3/CP",$V$15=D$18,MID($V35,4,1)="2",$V$15&lt;&gt;$V$14),VLOOKUP(CONCATENATE(LEFT($V35,2),"L"),$R$63:$T$91,3,FALSE),0)+IF(AND($V35="O3/CP",$V$14=D$18),VLOOKUP("O3",$R$63:$T$91,3,FALSE)+VLOOKUP("CP",$R$63:$T$91,3,FALSE),0)+IF(AND($W35&lt;&gt;"",$W35&lt;&gt;"--",$W35&lt;&gt;"O3/CP",$W$14=D$18),IF(LEFT($W35,1)="P",VLOOKUP(CONCATENATE(LEFT($W35,2),"H"),$R$63:$T$91,3,FALSE),VLOOKUP($W35,$R$63:$T$91,3,FALSE)))+IF(AND($W35&lt;&gt;"",$W35&lt;&gt;"O3/CP",$W$15=D$18,MID($W35,4,1)="2",$W$15&lt;&gt;$W$14),VLOOKUP(CONCATENATE(LEFT($W35,2),"L"),$R$63:$T$91,3,FALSE),0)+IF(AND($W35="O3/CP",$W$14=D$18),VLOOKUP("O3",$R$63:$T$91,3,FALSE)+VLOOKUP("CP",$R$63:$T$91,3,FALSE),0)+IF(AND($X35&lt;&gt;"",$X35&lt;&gt;"--",$X35&lt;&gt;"O3/CP",$X$14=D$18),IF(LEFT($X35,1)="P",VLOOKUP(CONCATENATE(LEFT($X35,2),"H"),$R$63:$T$91,3,FALSE),VLOOKUP($X35,$R$63:$T$91,3,FALSE)))+IF(AND($X35&lt;&gt;"",$X35&lt;&gt;"O3/CP",$X$15=D$18,MID($X35,4,1)="2",$X$15&lt;&gt;$X$14),VLOOKUP(CONCATENATE(LEFT($X35,2),"L"),$R$63:$T$91,3,FALSE),0)+IF(AND($X35="O3/CP",$X$14=D$18),VLOOKUP("O3",$R$63:$T$91,3,FALSE)+VLOOKUP("CP",$R$63:$T$91,3,FALSE),0)+IF(AND($Y35&lt;&gt;"",$Y35&lt;&gt;"--",$Y35&lt;&gt;"O3/CP",$Y$14=D$18),IF(LEFT($Y35,1)="P",VLOOKUP(CONCATENATE(LEFT($Y35,2),"H"),$R$63:$T$91,3,FALSE),VLOOKUP($Y35,$R$63:$T$91,3,FALSE)))+IF(AND($Y35&lt;&gt;"",$Y35&lt;&gt;"O3/CP",$Y$15=D$18,MID($Y35,4,1)="2",$Y$15&lt;&gt;$Y$14),VLOOKUP(CONCATENATE(LEFT($Y35,2),"L"),$R$63:$T$91,3,FALSE),0)+IF(AND($Y35="O3/CP",$Y$14=D$18),VLOOKUP("O3",$R$63:$T$91,3,FALSE)+VLOOKUP("CP",$R$63:$T$91,3,FALSE),0)+IF(AND($K$6="CE",'[3]Supply Attribution'!$G$20=D$18),LEFT($S$90,2),0)+IF(AND($X$86&lt;&gt;"Not Set",$X$87=D$18),$X$86,0)</f>
        <v>0</v>
      </c>
      <c r="E35" s="271">
        <f>IF(AND($K35&lt;&gt;"",$K35&lt;&gt;"--",$K35&lt;&gt;"O3/CP",$K$14=E$18),IF(LEFT($K35,1)="P",VLOOKUP(CONCATENATE(LEFT($K35,2),"H"),$R$63:$T$91,3,FALSE),VLOOKUP($K35,$R$63:$T$91,3,FALSE)))+IF(AND($K35&lt;&gt;"",$K35&lt;&gt;"O3/CP",$K$15=E$18,MID($K35,4,1)="2",$K$15&lt;&gt;$K$14),VLOOKUP(CONCATENATE(LEFT($K35,2),"L"),$R$63:$T$91,3,FALSE),0)+IF(AND($K35="O3/CP",$K$14=E$18),VLOOKUP("O3",$R$63:$T$91,3,FALSE)+VLOOKUP("CP",$R$63:$T$91,3,FALSE),0)+IF(AND($L35&lt;&gt;"",$L35&lt;&gt;"--",$L35&lt;&gt;"O3/CP",$L$14=E$18),IF(LEFT($L35,1)="P",VLOOKUP(CONCATENATE(LEFT($L35,2),"H"),$R$63:$T$91,3,FALSE),VLOOKUP($L35,$R$63:$T$91,3,FALSE)))+IF(AND($L35&lt;&gt;"",$L35&lt;&gt;"O3/CP",$L$15=E$18,MID($L35,4,1)="2",$L$15&lt;&gt;$L$14),VLOOKUP(CONCATENATE(LEFT($L35,2),"L"),$R$63:$T$91,3,FALSE),0)+IF(AND($L35="O3/CP",$L$14=E$18),VLOOKUP("O3",$R$63:$T$91,3,FALSE)+VLOOKUP("CP",$R$63:$T$91,3,FALSE),0)+IF(AND($M35&lt;&gt;"",$M35&lt;&gt;"--",$M35&lt;&gt;"O3/CP",$M$14=E$18),IF(LEFT($M35,1)="P",VLOOKUP(CONCATENATE(LEFT($M35,2),"H"),$R$63:$T$91,3,FALSE),VLOOKUP($M35,$R$63:$T$91,3,FALSE)))+IF(AND($M35&lt;&gt;"",$M35&lt;&gt;"O3/CP",$M$15=E$18,MID($M35,4,1)="2",$M$15&lt;&gt;$M$14),VLOOKUP(CONCATENATE(LEFT($M35,2),"L"),$R$63:$T$91,3,FALSE),0)+IF(AND($M35="O3/CP",$M$14=E$18),VLOOKUP("O3",$R$63:$T$91,3,FALSE)+VLOOKUP("CP",$R$63:$T$91,3,FALSE),0)+IF(AND($N35&lt;&gt;"",$N35&lt;&gt;"--",$N35&lt;&gt;"O3/CP",$N$14=E$18),IF(LEFT($N35,1)="P",VLOOKUP(CONCATENATE(LEFT($N35,2),"H"),$R$63:$T$91,3,FALSE),VLOOKUP($N35,$R$63:$T$91,3,FALSE)))+IF(AND($N35&lt;&gt;"",$N35&lt;&gt;"O3/CP",$N$15=E$18,MID($N35,4,1)="2",$N$15&lt;&gt;$N$14),VLOOKUP(CONCATENATE(LEFT($N35,2),"L"),$R$63:$T$91,3,FALSE),0)+IF(AND($N35="O3/CP",$N$14=E$18),VLOOKUP("O3",$R$63:$T$91,3,FALSE)+VLOOKUP("CP",$R$63:$T$91,3,FALSE),0)+IF(AND($O35&lt;&gt;"",$O35&lt;&gt;"--",$O35&lt;&gt;"O3/CP",$O$14=E$18),IF(LEFT($O35,1)="P",VLOOKUP(CONCATENATE(LEFT($O35,2),"H"),$R$63:$T$91,3,FALSE),VLOOKUP($O35,$R$63:$T$91,3,FALSE)))+IF(AND($O35&lt;&gt;"",$O35&lt;&gt;"O3/CP",$O$15=E$18,MID($O35,4,1)="2",$O$15&lt;&gt;$O$14),VLOOKUP(CONCATENATE(LEFT($O35,2),"L"),$R$63:$T$91,3,FALSE),0)+IF(AND($O35="O3/CP",$O$14=E$18),VLOOKUP("O3",$R$63:$T$91,3,FALSE)+VLOOKUP("CP",$R$63:$T$91,3,FALSE),0)+IF(AND($P35&lt;&gt;"",$P35&lt;&gt;"--",$P35&lt;&gt;"O3/CP",$P$14=E$18),IF(LEFT($P35,1)="P",VLOOKUP(CONCATENATE(LEFT($P35,2),"H"),$R$63:$T$91,3,FALSE),VLOOKUP($P35,$R$63:$T$91,3,FALSE)))+IF(AND($P35&lt;&gt;"",$P35&lt;&gt;"O3/CP",$P$15=E$18,MID($P35,4,1)="2",$P$15&lt;&gt;$P$14),VLOOKUP(CONCATENATE(LEFT($P35,2),"L"),$R$63:$T$91,3,FALSE),0)+IF(AND($P35="O3/CP",$P$14=E$18),VLOOKUP("O3",$R$63:$T$91,3,FALSE)+VLOOKUP("CP",$R$63:$T$91,3,FALSE),0)+IF(AND($Q35&lt;&gt;"",$Q35&lt;&gt;"--",$Q35&lt;&gt;"O3/CP",$Q$14=E$18),IF(LEFT($Q35,1)="P",VLOOKUP(CONCATENATE(LEFT($Q35,2),"H"),$R$63:$T$91,3,FALSE),VLOOKUP($Q35,$R$63:$T$91,3,FALSE)))+IF(AND($Q35&lt;&gt;"",$Q35&lt;&gt;"O3/CP",$Q$15=E$18,MID($Q35,4,1)="2",$Q$15&lt;&gt;$Q$14),VLOOKUP(CONCATENATE(LEFT($Q35,2),"L"),$R$63:$T$91,3,FALSE),0)+IF(AND($Q35="O3/CP",$Q$14=E$18),VLOOKUP("O3",$R$63:$T$91,3,FALSE)+VLOOKUP("CP",$R$63:$T$91,3,FALSE),0)+IF(AND($R35&lt;&gt;"",$R35&lt;&gt;"--",$R35&lt;&gt;"O3/CP",$R$14=E$18),IF(LEFT($R35,1)="P",VLOOKUP(CONCATENATE(LEFT($R35,2),"H"),$R$63:$T$91,3,FALSE),VLOOKUP($R35,$R$63:$T$91,3,FALSE)))+IF(AND($R35&lt;&gt;"",$R35&lt;&gt;"O3/CP",$R$15=E$18,MID($R35,4,1)="2",$R$15&lt;&gt;$R$14),VLOOKUP(CONCATENATE(LEFT($R35,2),"L"),$R$63:$T$91,3,FALSE),0)+IF(AND($R35="O3/CP",$R$14=E$18),VLOOKUP("O3",$R$63:$T$91,3,FALSE)+VLOOKUP("CP",$R$63:$T$91,3,FALSE),0)+IF(AND($S35&lt;&gt;"",$S35&lt;&gt;"--",$S35&lt;&gt;"O3/CP",$S$14=E$18),IF(LEFT($S35,1)="P",VLOOKUP(CONCATENATE(LEFT($S35,2),"H"),$R$63:$T$91,3,FALSE),VLOOKUP($S35,$R$63:$T$91,3,FALSE)))+IF(AND($S35&lt;&gt;"",$S35&lt;&gt;"O3/CP",$S$15=E$18,MID($S35,4,1)="2",$S$15&lt;&gt;$S$14),VLOOKUP(CONCATENATE(LEFT($S35,2),"L"),$R$63:$T$91,3,FALSE),0)+IF(AND($S35="O3/CP",$S$14=E$18),VLOOKUP("O3",$R$63:$T$91,3,FALSE)+VLOOKUP("CP",$R$63:$T$91,3,FALSE),0)+IF(AND($T35&lt;&gt;"",$T35&lt;&gt;"--",$T35&lt;&gt;"O3/CP",$T$14=E$18),IF(LEFT($T35,1)="P",VLOOKUP(CONCATENATE(LEFT($T35,2),"H"),$R$63:$T$91,3,FALSE),VLOOKUP($T35,$R$63:$T$91,3,FALSE)))+IF(AND($T35&lt;&gt;"",$T35&lt;&gt;"O3/CP",$T$15=E$18,MID($T35,4,1)="2",$T$15&lt;&gt;$T$14),VLOOKUP(CONCATENATE(LEFT($T35,2),"L"),$R$63:$T$91,3,FALSE),0)+IF(AND($T35="O3/CP",$T$14=E$18),VLOOKUP("O3",$R$63:$T$91,3,FALSE)+VLOOKUP("CP",$R$63:$T$91,3,FALSE),0)+IF(AND($U35&lt;&gt;"",$U35&lt;&gt;"--",$U35&lt;&gt;"O3/CP",$U$14=E$18),IF(LEFT($U35,1)="P",VLOOKUP(CONCATENATE(LEFT($U35,2),"H"),$R$63:$T$91,3,FALSE),VLOOKUP($U35,$R$63:$T$91,3,FALSE)))+IF(AND($U35&lt;&gt;"",$U35&lt;&gt;"O3/CP",$U$15=E$18,MID($U35,4,1)="2",$U$15&lt;&gt;$U$14),VLOOKUP(CONCATENATE(LEFT($U35,2),"L"),$R$63:$T$91,3,FALSE),0)+IF(AND($U35="O3/CP",$T$14=E$18),VLOOKUP("O3",$R$63:$T$91,3,FALSE)+VLOOKUP("CP",$R$63:$T$91,3,FALSE),0)+IF(AND($V35&lt;&gt;"",$V35&lt;&gt;"--",$V35&lt;&gt;"O3/CP",$V$14=E$18),IF(LEFT($V35,1)="P",VLOOKUP(CONCATENATE(LEFT($V35,2),"H"),$R$63:$T$91,3,FALSE),VLOOKUP($V35,$R$63:$T$91,3,FALSE)))+IF(AND($V35&lt;&gt;"",$V35&lt;&gt;"O3/CP",$V$15=E$18,MID($V35,4,1)="2",$V$15&lt;&gt;$V$14),VLOOKUP(CONCATENATE(LEFT($V35,2),"L"),$R$63:$T$91,3,FALSE),0)+IF(AND($V35="O3/CP",$V$14=E$18),VLOOKUP("O3",$R$63:$T$91,3,FALSE)+VLOOKUP("CP",$R$63:$T$91,3,FALSE),0)+IF(AND($W35&lt;&gt;"",$W35&lt;&gt;"--",$W35&lt;&gt;"O3/CP",$W$14=E$18),IF(LEFT($W35,1)="P",VLOOKUP(CONCATENATE(LEFT($W35,2),"H"),$R$63:$T$91,3,FALSE),VLOOKUP($W35,$R$63:$T$91,3,FALSE)))+IF(AND($W35&lt;&gt;"",$W35&lt;&gt;"O3/CP",$W$15=E$18,MID($W35,4,1)="2",$W$15&lt;&gt;$W$14),VLOOKUP(CONCATENATE(LEFT($W35,2),"L"),$R$63:$T$91,3,FALSE),0)+IF(AND($W35="O3/CP",$W$14=E$18),VLOOKUP("O3",$R$63:$T$91,3,FALSE)+VLOOKUP("CP",$R$63:$T$91,3,FALSE),0)+IF(AND($X35&lt;&gt;"",$X35&lt;&gt;"--",$X35&lt;&gt;"O3/CP",$X$14=E$18),IF(LEFT($X35,1)="P",VLOOKUP(CONCATENATE(LEFT($X35,2),"H"),$R$63:$T$91,3,FALSE),VLOOKUP($X35,$R$63:$T$91,3,FALSE)))+IF(AND($X35&lt;&gt;"",$X35&lt;&gt;"O3/CP",$X$15=E$18,MID($X35,4,1)="2",$X$15&lt;&gt;$X$14),VLOOKUP(CONCATENATE(LEFT($X35,2),"L"),$R$63:$T$91,3,FALSE),0)+IF(AND($X35="O3/CP",$X$14=E$18),VLOOKUP("O3",$R$63:$T$91,3,FALSE)+VLOOKUP("CP",$R$63:$T$91,3,FALSE),0)+IF(AND($Y35&lt;&gt;"",$Y35&lt;&gt;"--",$Y35&lt;&gt;"O3/CP",$Y$14=E$18),IF(LEFT($Y35,1)="P",VLOOKUP(CONCATENATE(LEFT($Y35,2),"H"),$R$63:$T$91,3,FALSE),VLOOKUP($Y35,$R$63:$T$91,3,FALSE)))+IF(AND($Y35&lt;&gt;"",$Y35&lt;&gt;"O3/CP",$Y$15=E$18,MID($Y35,4,1)="2",$Y$15&lt;&gt;$Y$14),VLOOKUP(CONCATENATE(LEFT($Y35,2),"L"),$R$63:$T$91,3,FALSE),0)+IF(AND($Y35="O3/CP",$Y$14=E$18),VLOOKUP("O3",$R$63:$T$91,3,FALSE)+VLOOKUP("CP",$R$63:$T$91,3,FALSE),0)+IF(AND($K$6="CE",'[3]Supply Attribution'!$G$20=E$18),LEFT($S$90,2),0)+IF(AND($X$86&lt;&gt;"Not Set",$X$87=E$18),$X$86,0)</f>
        <v>0</v>
      </c>
      <c r="F35" s="272">
        <f>IF(AND($K35&lt;&gt;"",$K35&lt;&gt;"--",$K35&lt;&gt;"O3/CP",$K$14=F$18),IF(LEFT($K35,1)="P",VLOOKUP(CONCATENATE(LEFT($K35,2),"H"),$R$63:$T$91,3,FALSE),VLOOKUP($K35,$R$63:$T$91,3,FALSE)))+IF(AND($K35&lt;&gt;"",$K35&lt;&gt;"O3/CP",$K$15=F$18,MID($K35,4,1)="2",$K$15&lt;&gt;$K$14),VLOOKUP(CONCATENATE(LEFT($K35,2),"L"),$R$63:$T$91,3,FALSE),0)+IF(AND($K35="O3/CP",$K$14=F$18),VLOOKUP("O3",$R$63:$T$91,3,FALSE)+VLOOKUP("CP",$R$63:$T$91,3,FALSE),0)+IF(AND($L35&lt;&gt;"",$L35&lt;&gt;"--",$L35&lt;&gt;"O3/CP",$L$14=F$18),IF(LEFT($L35,1)="P",VLOOKUP(CONCATENATE(LEFT($L35,2),"H"),$R$63:$T$91,3,FALSE),VLOOKUP($L35,$R$63:$T$91,3,FALSE)))+IF(AND($L35&lt;&gt;"",$L35&lt;&gt;"O3/CP",$L$15=F$18,MID($L35,4,1)="2",$L$15&lt;&gt;$L$14),VLOOKUP(CONCATENATE(LEFT($L35,2),"L"),$R$63:$T$91,3,FALSE),0)+IF(AND($L35="O3/CP",$L$14=F$18),VLOOKUP("O3",$R$63:$T$91,3,FALSE)+VLOOKUP("CP",$R$63:$T$91,3,FALSE),0)+IF(AND($M35&lt;&gt;"",$M35&lt;&gt;"--",$M35&lt;&gt;"O3/CP",$M$14=F$18),IF(LEFT($M35,1)="P",VLOOKUP(CONCATENATE(LEFT($M35,2),"H"),$R$63:$T$91,3,FALSE),VLOOKUP($M35,$R$63:$T$91,3,FALSE)))+IF(AND($M35&lt;&gt;"",$M35&lt;&gt;"O3/CP",$M$15=F$18,MID($M35,4,1)="2",$M$15&lt;&gt;$M$14),VLOOKUP(CONCATENATE(LEFT($M35,2),"L"),$R$63:$T$91,3,FALSE),0)+IF(AND($M35="O3/CP",$M$14=F$18),VLOOKUP("O3",$R$63:$T$91,3,FALSE)+VLOOKUP("CP",$R$63:$T$91,3,FALSE),0)+IF(AND($N35&lt;&gt;"",$N35&lt;&gt;"--",$N35&lt;&gt;"O3/CP",$N$14=F$18),IF(LEFT($N35,1)="P",VLOOKUP(CONCATENATE(LEFT($N35,2),"H"),$R$63:$T$91,3,FALSE),VLOOKUP($N35,$R$63:$T$91,3,FALSE)))+IF(AND($N35&lt;&gt;"",$N35&lt;&gt;"O3/CP",$N$15=F$18,MID($N35,4,1)="2",$N$15&lt;&gt;$N$14),VLOOKUP(CONCATENATE(LEFT($N35,2),"L"),$R$63:$T$91,3,FALSE),0)+IF(AND($N35="O3/CP",$N$14=F$18),VLOOKUP("O3",$R$63:$T$91,3,FALSE)+VLOOKUP("CP",$R$63:$T$91,3,FALSE),0)+IF(AND($O35&lt;&gt;"",$O35&lt;&gt;"--",$O35&lt;&gt;"O3/CP",$O$14=F$18),IF(LEFT($O35,1)="P",VLOOKUP(CONCATENATE(LEFT($O35,2),"H"),$R$63:$T$91,3,FALSE),VLOOKUP($O35,$R$63:$T$91,3,FALSE)))+IF(AND($O35&lt;&gt;"",$O35&lt;&gt;"O3/CP",$O$15=F$18,MID($O35,4,1)="2",$O$15&lt;&gt;$O$14),VLOOKUP(CONCATENATE(LEFT($O35,2),"L"),$R$63:$T$91,3,FALSE),0)+IF(AND($O35="O3/CP",$O$14=F$18),VLOOKUP("O3",$R$63:$T$91,3,FALSE)+VLOOKUP("CP",$R$63:$T$91,3,FALSE),0)+IF(AND($P35&lt;&gt;"",$P35&lt;&gt;"--",$P35&lt;&gt;"O3/CP",$P$14=F$18),IF(LEFT($P35,1)="P",VLOOKUP(CONCATENATE(LEFT($P35,2),"H"),$R$63:$T$91,3,FALSE),VLOOKUP($P35,$R$63:$T$91,3,FALSE)))+IF(AND($P35&lt;&gt;"",$P35&lt;&gt;"O3/CP",$P$15=F$18,MID($P35,4,1)="2",$P$15&lt;&gt;$P$14),VLOOKUP(CONCATENATE(LEFT($P35,2),"L"),$R$63:$T$91,3,FALSE),0)+IF(AND($P35="O3/CP",$P$14=F$18),VLOOKUP("O3",$R$63:$T$91,3,FALSE)+VLOOKUP("CP",$R$63:$T$91,3,FALSE),0)+IF(AND($Q35&lt;&gt;"",$Q35&lt;&gt;"--",$Q35&lt;&gt;"O3/CP",$Q$14=F$18),IF(LEFT($Q35,1)="P",VLOOKUP(CONCATENATE(LEFT($Q35,2),"H"),$R$63:$T$91,3,FALSE),VLOOKUP($Q35,$R$63:$T$91,3,FALSE)))+IF(AND($Q35&lt;&gt;"",$Q35&lt;&gt;"O3/CP",$Q$15=F$18,MID($Q35,4,1)="2",$Q$15&lt;&gt;$Q$14),VLOOKUP(CONCATENATE(LEFT($Q35,2),"L"),$R$63:$T$91,3,FALSE),0)+IF(AND($Q35="O3/CP",$Q$14=F$18),VLOOKUP("O3",$R$63:$T$91,3,FALSE)+VLOOKUP("CP",$R$63:$T$91,3,FALSE),0)+IF(AND($R35&lt;&gt;"",$R35&lt;&gt;"--",$R35&lt;&gt;"O3/CP",$R$14=F$18),IF(LEFT($R35,1)="P",VLOOKUP(CONCATENATE(LEFT($R35,2),"H"),$R$63:$T$91,3,FALSE),VLOOKUP($R35,$R$63:$T$91,3,FALSE)))+IF(AND($R35&lt;&gt;"",$R35&lt;&gt;"O3/CP",$R$15=F$18,MID($R35,4,1)="2",$R$15&lt;&gt;$R$14),VLOOKUP(CONCATENATE(LEFT($R35,2),"L"),$R$63:$T$91,3,FALSE),0)+IF(AND($R35="O3/CP",$R$14=F$18),VLOOKUP("O3",$R$63:$T$91,3,FALSE)+VLOOKUP("CP",$R$63:$T$91,3,FALSE),0)+IF(AND($S35&lt;&gt;"",$S35&lt;&gt;"--",$S35&lt;&gt;"O3/CP",$S$14=F$18),IF(LEFT($S35,1)="P",VLOOKUP(CONCATENATE(LEFT($S35,2),"H"),$R$63:$T$91,3,FALSE),VLOOKUP($S35,$R$63:$T$91,3,FALSE)))+IF(AND($S35&lt;&gt;"",$S35&lt;&gt;"O3/CP",$S$15=F$18,MID($S35,4,1)="2",$S$15&lt;&gt;$S$14),VLOOKUP(CONCATENATE(LEFT($S35,2),"L"),$R$63:$T$91,3,FALSE),0)+IF(AND($S35="O3/CP",$S$14=F$18),VLOOKUP("O3",$R$63:$T$91,3,FALSE)+VLOOKUP("CP",$R$63:$T$91,3,FALSE),0)+IF(AND($T35&lt;&gt;"",$T35&lt;&gt;"--",$T35&lt;&gt;"O3/CP",$T$14=F$18),IF(LEFT($T35,1)="P",VLOOKUP(CONCATENATE(LEFT($T35,2),"H"),$R$63:$T$91,3,FALSE),VLOOKUP($T35,$R$63:$T$91,3,FALSE)))+IF(AND($T35&lt;&gt;"",$T35&lt;&gt;"O3/CP",$T$15=F$18,MID($T35,4,1)="2",$T$15&lt;&gt;$T$14),VLOOKUP(CONCATENATE(LEFT($T35,2),"L"),$R$63:$T$91,3,FALSE),0)+IF(AND($T35="O3/CP",$T$14=F$18),VLOOKUP("O3",$R$63:$T$91,3,FALSE)+VLOOKUP("CP",$R$63:$T$91,3,FALSE),0)+IF(AND($U35&lt;&gt;"",$U35&lt;&gt;"--",$U35&lt;&gt;"O3/CP",$U$14=F$18),IF(LEFT($U35,1)="P",VLOOKUP(CONCATENATE(LEFT($U35,2),"H"),$R$63:$T$91,3,FALSE),VLOOKUP($U35,$R$63:$T$91,3,FALSE)))+IF(AND($U35&lt;&gt;"",$U35&lt;&gt;"O3/CP",$U$15=F$18,MID($U35,4,1)="2",$U$15&lt;&gt;$U$14),VLOOKUP(CONCATENATE(LEFT($U35,2),"L"),$R$63:$T$91,3,FALSE),0)+IF(AND($U35="O3/CP",$T$14=F$18),VLOOKUP("O3",$R$63:$T$91,3,FALSE)+VLOOKUP("CP",$R$63:$T$91,3,FALSE),0)+IF(AND($V35&lt;&gt;"",$V35&lt;&gt;"--",$V35&lt;&gt;"O3/CP",$V$14=F$18),IF(LEFT($V35,1)="P",VLOOKUP(CONCATENATE(LEFT($V35,2),"H"),$R$63:$T$91,3,FALSE),VLOOKUP($V35,$R$63:$T$91,3,FALSE)))+IF(AND($V35&lt;&gt;"",$V35&lt;&gt;"O3/CP",$V$15=F$18,MID($V35,4,1)="2",$V$15&lt;&gt;$V$14),VLOOKUP(CONCATENATE(LEFT($V35,2),"L"),$R$63:$T$91,3,FALSE),0)+IF(AND($V35="O3/CP",$V$14=F$18),VLOOKUP("O3",$R$63:$T$91,3,FALSE)+VLOOKUP("CP",$R$63:$T$91,3,FALSE),0)+IF(AND($W35&lt;&gt;"",$W35&lt;&gt;"--",$W35&lt;&gt;"O3/CP",$W$14=F$18),IF(LEFT($W35,1)="P",VLOOKUP(CONCATENATE(LEFT($W35,2),"H"),$R$63:$T$91,3,FALSE),VLOOKUP($W35,$R$63:$T$91,3,FALSE)))+IF(AND($W35&lt;&gt;"",$W35&lt;&gt;"O3/CP",$W$15=F$18,MID($W35,4,1)="2",$W$15&lt;&gt;$W$14),VLOOKUP(CONCATENATE(LEFT($W35,2),"L"),$R$63:$T$91,3,FALSE),0)+IF(AND($W35="O3/CP",$W$14=F$18),VLOOKUP("O3",$R$63:$T$91,3,FALSE)+VLOOKUP("CP",$R$63:$T$91,3,FALSE),0)+IF(AND($X35&lt;&gt;"",$X35&lt;&gt;"--",$X35&lt;&gt;"O3/CP",$X$14=F$18),IF(LEFT($X35,1)="P",VLOOKUP(CONCATENATE(LEFT($X35,2),"H"),$R$63:$T$91,3,FALSE),VLOOKUP($X35,$R$63:$T$91,3,FALSE)))+IF(AND($X35&lt;&gt;"",$X35&lt;&gt;"O3/CP",$X$15=F$18,MID($X35,4,1)="2",$X$15&lt;&gt;$X$14),VLOOKUP(CONCATENATE(LEFT($X35,2),"L"),$R$63:$T$91,3,FALSE),0)+IF(AND($X35="O3/CP",$X$14=F$18),VLOOKUP("O3",$R$63:$T$91,3,FALSE)+VLOOKUP("CP",$R$63:$T$91,3,FALSE),0)+IF(AND($Y35&lt;&gt;"",$Y35&lt;&gt;"--",$Y35&lt;&gt;"O3/CP",$Y$14=F$18),IF(LEFT($Y35,1)="P",VLOOKUP(CONCATENATE(LEFT($Y35,2),"H"),$R$63:$T$91,3,FALSE),VLOOKUP($Y35,$R$63:$T$91,3,FALSE)))+IF(AND($Y35&lt;&gt;"",$Y35&lt;&gt;"O3/CP",$Y$15=F$18,MID($Y35,4,1)="2",$Y$15&lt;&gt;$Y$14),VLOOKUP(CONCATENATE(LEFT($Y35,2),"L"),$R$63:$T$91,3,FALSE),0)+IF(AND($Y35="O3/CP",$Y$14=F$18),VLOOKUP("O3",$R$63:$T$91,3,FALSE)+VLOOKUP("CP",$R$63:$T$91,3,FALSE),0)+IF(AND($K$6="CE",'[3]Supply Attribution'!$G$20=F$18),LEFT($S$90,2),0)+IF(AND($X$86&lt;&gt;"Not Set",$X$87=F$18),$X$86,0)</f>
        <v>0</v>
      </c>
      <c r="G35" s="271">
        <f>IF(AND($K$6="CE",$T$59="1 Phase"),SUM(A35:F35)-IF(AND($K$14&lt;&gt;$K$15,RIGHT($K35,3)="2SP"),VLOOKUP(CONCATENATE(LEFT($K35,2),"L"),$R$63:$T$90,3,FALSE),0)-IF(AND($L$14&lt;&gt;$L$15,RIGHT($L35,3)="2SP"),VLOOKUP(CONCATENATE(LEFT($L35,2),"L"),$R$63:$T$90,3,FALSE),0)-IF(AND($M$14&lt;&gt;$M$15,RIGHT($M35,3)="2SP"),VLOOKUP(CONCATENATE(LEFT($M35,2),"L"),$R$63:$T$90,3,FALSE),0)-IF(AND($N$14&lt;&gt;$N$15,RIGHT($N35,3)="2SP"),VLOOKUP(CONCATENATE(LEFT($N35,2),"L"),$R$63:$T$90,3,FALSE),0)-IF(AND($O$14&lt;&gt;$O$15,RIGHT($O35,3)="2SP"),VLOOKUP(CONCATENATE(LEFT($O35,2),"L"),$R$63:$T$90,3,FALSE),0)-IF(AND($P$14&lt;&gt;$P$15,RIGHT($P35,3)="2SP"),VLOOKUP(CONCATENATE(LEFT($P35,2),"L"),$R$63:$T$90,3,FALSE),0)-IF(AND($Q$14&lt;&gt;$Q$15,RIGHT($Q35,3)="2SP"),VLOOKUP(CONCATENATE(LEFT($Q35,2),"L"),$R$63:$T$90,3,FALSE),0)-IF(AND($R$14&lt;&gt;$R$15,RIGHT($T35,3)="2SP"),VLOOKUP(CONCATENATE(LEFT($R35,2),"L"),$R$63:$T$90,3,FALSE),0)-IF(AND($S$14&lt;&gt;$S$15,RIGHT($T35,3)="2SP"),VLOOKUP(CONCATENATE(LEFT($S35,2),"L"),$R$63:$T$90,3,FALSE),0)-IF(AND($T$14&lt;&gt;$T$15,RIGHT($T35,3)="2SP"),VLOOKUP(CONCATENATE(LEFT($T35,2),"L"),$R$63:$T$90,3,FALSE),0)-IF(AND($U$14&lt;&gt;$U$15,RIGHT($U35,3)="2SP"),VLOOKUP(CONCATENATE(LEFT($U35,2),"L"),$R$63:$T$90,3,FALSE),0)-IF(AND($V$14&lt;&gt;$V$15,RIGHT($V35,3)="2SP"),VLOOKUP(CONCATENATE(LEFT($V35,2),"L"),$R$63:$T$90,3,FALSE),0)-IF(AND($W$14&lt;&gt;$W$15,RIGHT($W35,3)="2SP"),VLOOKUP(CONCATENATE(LEFT($W35,2),"L"),$R$63:$T$90,3,FALSE),0)-IF(AND($X$14&lt;&gt;$X$15,RIGHT($X35,3)="2SP"),VLOOKUP(CONCATENATE(LEFT($X35,2),"L"),$R$63:$T$90,3,FALSE),0)-IF(AND($Y$14&lt;&gt;$Y$15,RIGHT($Y35,3)="2SP"),VLOOKUP(CONCATENATE(LEFT($Y35,2),"L"),$R$63:$T$90,3,FALSE),0),IF(VLOOKUP(CONCATENATE($A$18,"Line"),'[3]Supply Attribution'!$F$31:$G$37,2,FALSE)=G$18,$A35,0)+IF(VLOOKUP(CONCATENATE($B$18,"Line"),'[3]Supply Attribution'!$F$31:$G$37,2,FALSE)=G$18,$B35,0)+IF(VLOOKUP(CONCATENATE($C$18,"Line"),'[3]Supply Attribution'!$F$31:$G$37,2,FALSE)=G$18,$C35,0)+IF(VLOOKUP(CONCATENATE($D$18,"Line"),'[3]Supply Attribution'!$F$31:$G$37,2,FALSE)=G$18,$D35,0)+IF(VLOOKUP(CONCATENATE($E$18,"Line"),'[3]Supply Attribution'!$F$31:$G$37,2,FALSE)=G$18,$E35,0)+IF(VLOOKUP(CONCATENATE($F$18,"Line"),'[3]Supply Attribution'!$F$31:$G$37,2,FALSE)=G$18,$F35,0)+IF($K$6="UL",LEFT($S$90,2),0)-IF(AND($K$16=G$18,$K$14&lt;&gt;$K$15,$K$16=$K$17,RIGHT($K35,3)="2SP"),VLOOKUP(CONCATENATE(LEFT($K35,2),"L"),$R$63:$T$90,3,FALSE),0)-IF(AND($L$16=G$18,$L$14&lt;&gt;$L$15,$L$16=$L$17,RIGHT($L35,3)="2SP"),VLOOKUP(CONCATENATE(LEFT($L35,2),"L"),$R$63:$T$90,3,FALSE),0)-IF(AND($M$16=G$18,$M$14&lt;&gt;$M$15,$M$16=$M$17,RIGHT($M35,3)="2SP"),VLOOKUP(CONCATENATE(LEFT($M35,2),"L"),$R$63:$T$90,3,FALSE),0)-IF(AND($N$16=G$18,$N$14&lt;&gt;$N$15,$N$16=$N$17,RIGHT($N35,3)="2SP"),VLOOKUP(CONCATENATE(LEFT($N35,2),"L"),$R$63:$T$90,3,FALSE),0)-IF(AND($O$16=G$18,$O$14&lt;&gt;$O$15,$O$16=$O$17,RIGHT($O35,3)="2SP"),VLOOKUP(CONCATENATE(LEFT($O35,2),"L"),$R$63:$T$90,3,FALSE),0)-IF(AND($P$16=G$18,$P$14&lt;&gt;$P$15,$P$16=$P$17,RIGHT($P35,3)="2SP"),VLOOKUP(CONCATENATE(LEFT($P35,2),"L"),$R$63:$T$90,3,FALSE),0)-IF(AND($Q$16=G$18,$Q$14&lt;&gt;$Q$15,$Q$16=$Q$17,RIGHT($Q35,3)="2SP"),VLOOKUP(CONCATENATE(LEFT($Q35,2),"L"),$R$63:$T$90,3,FALSE),0)-IF(AND($R$16=G$18,$R$14&lt;&gt;$R$15,$R$16=$R$17,RIGHT($R35,3)="2SP"),VLOOKUP(CONCATENATE(LEFT($R35,2),"L"),$R$63:$T$90,3,FALSE),0)-IF(AND($S$16=G$18,$S$14&lt;&gt;$S$15,$S$16=$S$17,RIGHT($S35,3)="2SP"),VLOOKUP(CONCATENATE(LEFT($S35,2),"L"),$R$63:$T$90,3,FALSE),0)-IF(AND($T$16=G$18,$T$14&lt;&gt;$T$15,$T$16=$T$17,RIGHT($T35,3)="2SP"),VLOOKUP(CONCATENATE(LEFT($T35,2),"L"),$R$63:$T$90,3,FALSE),0)-IF(AND($U$16=G$18,$U$14&lt;&gt;$U$15,$U$16=$U$17,RIGHT($U35,3)="2SP"),VLOOKUP(CONCATENATE(LEFT($U35,2),"L"),$R$63:$T$90,3,FALSE),0)-IF(AND($V$16=G$18,$V$14&lt;&gt;$V$15,$V$16=$V$17,RIGHT($V35,3)="2SP"),VLOOKUP(CONCATENATE(LEFT($V35,2),"L"),$R$63:$T$90,3,FALSE),0)-IF(AND($W$16=G$18,$W$14&lt;&gt;$W$15,$W$16=$W$17,RIGHT($W35,3)="2SP"),VLOOKUP(CONCATENATE(LEFT($W35,2),"L"),$R$63:$T$90,3,FALSE),0)-IF(AND($X$16=G$18,$X$14&lt;&gt;$X$15,$X$16=$X$17,RIGHT($X35,3)="2SP"),VLOOKUP(CONCATENATE(LEFT($X35,2),"L"),$R$63:$T$90,3,FALSE),0)-IF(AND($Y$16=G$18,$Y$14&lt;&gt;$Y$15,$Y$16=$Y$17,RIGHT($Y35,3)="2SP"),VLOOKUP(CONCATENATE(LEFT($Y35,2),"L"),$R$63:$T$90,3,FALSE),0))</f>
        <v>17</v>
      </c>
      <c r="H35" s="271" t="str">
        <f>IF(H$18&lt;&gt;"",IF(VLOOKUP(CONCATENATE($A$18,"Line"),'Supply Attribution'!$F$31:$G$37,2,FALSE)=H$18,$A35,0)+IF(VLOOKUP(CONCATENATE($B$18,"Line"),'Supply Attribution'!$F$31:$G$37,2,FALSE)=H$18,$B35,0)+IF(VLOOKUP(CONCATENATE($C$18,"Line"),'Supply Attribution'!$F$31:$G$37,2,FALSE)=H$18,$C35,0)+IF(VLOOKUP(CONCATENATE($D$18,"Line"),'Supply Attribution'!$F$31:$G$37,2,FALSE)=H$18,$D35,0)+IF(VLOOKUP(CONCATENATE($E$18,"Line"),'Supply Attribution'!$F$31:$G$37,2,FALSE)=H$18,$E35,0)+IF(VLOOKUP(CONCATENATE($F$18,"Line"),'Supply Attribution'!$F$31:$G$37,2,FALSE)=H$18,$F35,0)+IF($K$6="UL",LEFT($S$90,2),0)-IF(AND($K$16=H$18,$K$14&lt;&gt;$K$15,$K$16=$K$17,RIGHT($K35,3)="2SP"),VLOOKUP(CONCATENATE(LEFT($K35,2),"L"),$R$63:$T$90,3,FALSE),0)-IF(AND($L$16=H$18,$L$14&lt;&gt;$L$15,$L$16=$L$17,RIGHT($L35,3)="2SP"),VLOOKUP(CONCATENATE(LEFT($L35,2),"L"),$R$63:$T$90,3,FALSE),0)-IF(AND($M$16=H$18,$M$14&lt;&gt;$M$15,$M$16=$M$17,RIGHT($M35,3)="2SP"),VLOOKUP(CONCATENATE(LEFT($M35,2),"L"),$R$63:$T$90,3,FALSE),0)-IF(AND($N$16=H$18,$N$14&lt;&gt;$N$15,$N$16=$N$17,RIGHT($N35,3)="2SP"),VLOOKUP(CONCATENATE(LEFT($N35,2),"L"),$R$63:$T$90,3,FALSE),0)-IF(AND($O$16=H$18,$O$14&lt;&gt;$O$15,$O$16=$O$17,RIGHT($O35,3)="2SP"),VLOOKUP(CONCATENATE(LEFT($O35,2),"L"),$R$63:$T$90,3,FALSE),0)-IF(AND($P$16=H$18,$P$14&lt;&gt;$P$15,$P$16=$P$17,RIGHT($P35,3)="2SP"),VLOOKUP(CONCATENATE(LEFT($P35,2),"L"),$R$63:$T$90,3,FALSE),0)-IF(AND($Q$16=H$18,$Q$14&lt;&gt;$Q$15,$Q$16=$Q$17,RIGHT($Q35,3)="2SP"),VLOOKUP(CONCATENATE(LEFT($Q35,2),"L"),$R$63:$T$90,3,FALSE),0)-IF(AND($T$16=H$18,$T$14&lt;&gt;$T$15,$T$16=$T$17,RIGHT($T35,3)="2SP"),VLOOKUP(CONCATENATE(LEFT($T35,2),"L"),$R$63:$T$90,3,FALSE),0)-IF(AND($U$16=H$18,$U$14&lt;&gt;$U$15,$U$16=$U$17,RIGHT($U35,3)="2SP"),VLOOKUP(CONCATENATE(LEFT($U35,2),"L"),$R$63:$T$90,3,FALSE),0)-IF(AND($V$16=H$18,$V$14&lt;&gt;$V$15,$V$16=$V$17,RIGHT($V35,3)="2SP"),VLOOKUP(CONCATENATE(LEFT($V35,2),"L"),$R$63:$T$90,3,FALSE),0)-IF(AND($W$16=H$18,$W$14&lt;&gt;$W$15,$W$16=$W$17,RIGHT($W35,3)="2SP"),VLOOKUP(CONCATENATE(LEFT($W35,2),"L"),$R$63:$T$90,3,FALSE),0)-IF(AND($X$16=H$18,$X$14&lt;&gt;$X$15,$X$16=$X$17,RIGHT($X35,3)="2SP"),VLOOKUP(CONCATENATE(LEFT($X35,2),"L"),$R$63:$T$90,3,FALSE),0)-IF(AND($Y$16=H$18,$Y$14&lt;&gt;$Y$15,$Y$16=$Y$17,RIGHT($Y35,3)="2SP"),VLOOKUP(CONCATENATE(LEFT($Y35,2),"L"),$R$63:$T$90,3,FALSE),0)+IF(AND($K$6="CE",$T$59="2 Phases",H$18&lt;&gt;""),IF(VLOOKUP(CONCATENATE($A$18,"Line"),'Supply Attribution'!$F$31:$G$37,2,FALSE)="Line3",$A35,0)+IF(VLOOKUP(CONCATENATE($B$18,"Line"),'Supply Attribution'!$F$31:$G$37,2,FALSE)="Line3",$B35,0)+IF(VLOOKUP(CONCATENATE($C$18,"Line"),'Supply Attribution'!$F$31:$G$37,2,FALSE)="Line3",$C35,0)+IF(VLOOKUP(CONCATENATE($D$18,"Line"),'Supply Attribution'!$F$31:$G$37,2,FALSE)="Line3",$D35,0)+IF(VLOOKUP(CONCATENATE($E$18,"Line"),'Supply Attribution'!$F$31:$G$37,2,FALSE)="Line3",$E35,0)+IF(VLOOKUP(CONCATENATE($F$18,"Line"),'Supply Attribution'!$F$31:$G$37,2,FALSE)="Line3",$F35,0)-IF(AND($K$16=I$18,$K$14&lt;&gt;$K$15,$K$16=$K$17,RIGHT($K35,3)="2SP"),VLOOKUP(CONCATENATE(LEFT($K35,2),"L"),$R$63:$T$90,3,FALSE),0)-IF(AND($L$16=I$18,$L$14&lt;&gt;$L$15,$L$16=$L$17,RIGHT($L35,3)="2SP"),VLOOKUP(CONCATENATE(LEFT($L35,2),"L"),$R$63:$T$90,3,FALSE),0)-IF(AND($M$16=I$18,$M$14&lt;&gt;$M$15,$M$16=$M$17,RIGHT($M35,3)="2SP"),VLOOKUP(CONCATENATE(LEFT($M35,2),"L"),$R$63:$T$90,3,FALSE),0)-IF(AND($N$16=I$18,$N$14&lt;&gt;$N$15,$N$16=$N$17,RIGHT($N35,3)="2SP"),VLOOKUP(CONCATENATE(LEFT($N35,2),"L"),$R$63:$T$90,3,FALSE),0)-IF(AND($O$16=I$18,$O$14&lt;&gt;$O$15,$O$16=$O$17,RIGHT($O35,3)="2SP"),VLOOKUP(CONCATENATE(LEFT($O35,2),"L"),$R$63:$T$90,3,FALSE),0)-IF(AND($P$16=I$18,$P$14&lt;&gt;$P$15,$P$16=$P$17,RIGHT($P35,3)="2SP"),VLOOKUP(CONCATENATE(LEFT($P35,2),"L"),$R$63:$T$90,3,FALSE),0)-IF(AND($Q$16=I$18,$Q$14&lt;&gt;$Q$15,$Q$16=$Q$17,RIGHT($Q35,3)="2SP"),VLOOKUP(CONCATENATE(LEFT($Q35,2),"L"),$R$63:$T$90,3,FALSE),0)-IF(AND($T$16=I$18,$T$14&lt;&gt;$T$15,$T$16=$T$17,RIGHT($T35,3)="2SP"),VLOOKUP(CONCATENATE(LEFT($T35,2),"L"),$R$63:$T$90,3,FALSE),0)-IF(AND($U$16=I$18,$U$14&lt;&gt;$U$15,$U$16=$U$17,RIGHT($U35,3)="2SP"),VLOOKUP(CONCATENATE(LEFT($U35,2),"L"),$R$63:$T$90,3,FALSE),0)-IF(AND($V$16=I$18,$V$14&lt;&gt;$V$15,$V$16=$V$17,RIGHT($V35,3)="2SP"),VLOOKUP(CONCATENATE(LEFT($V35,2),"L"),$R$63:$T$90,3,FALSE),0)-IF(AND($W$16=I$18,$W$14&lt;&gt;$W$15,$W$16=$W$17,RIGHT($W35,3)="2SP"),VLOOKUP(CONCATENATE(LEFT($W35,2),"L"),$R$63:$T$90,3,FALSE),0)-IF(AND($X$16=I$18,$X$14&lt;&gt;$X$15,$X$16=$X$17,RIGHT($X35,3)="2SP"),VLOOKUP(CONCATENATE(LEFT($X35,2),"L"),$R$63:$T$90,3,FALSE),0)-IF(AND($Y$16=I$18,$Y$14&lt;&gt;$Y$15,$Y$16=$Y$17,RIGHT($Y35,3)="2SP"),VLOOKUP(CONCATENATE(LEFT($Y35,2),"L"),$R$63:$T$90,3,FALSE),0),0),"")</f>
        <v/>
      </c>
      <c r="I35" s="271" t="str">
        <f>IF(I$18&lt;&gt;"",IF(VLOOKUP(CONCATENATE($A$18,"Line"),'Supply Attribution'!$F$31:$G$37,2,FALSE)=I$18,$A35,0)+IF(VLOOKUP(CONCATENATE($B$18,"Line"),'Supply Attribution'!$F$31:$G$37,2,FALSE)=I$18,$B35,0)+IF(VLOOKUP(CONCATENATE($C$18,"Line"),'Supply Attribution'!$F$31:$G$37,2,FALSE)=I$18,$C35,0)+IF(VLOOKUP(CONCATENATE($D$18,"Line"),'Supply Attribution'!$F$31:$G$37,2,FALSE)=I$18,$D35,0)+IF(VLOOKUP(CONCATENATE($E$18,"Line"),'Supply Attribution'!$F$31:$G$37,2,FALSE)=I$18,$E35,0)+IF(VLOOKUP(CONCATENATE($F$18,"Line"),'Supply Attribution'!$F$31:$G$37,2,FALSE)=I$18,$F35,0)+IF($K$6="UL",LEFT($S$90,2),0)-IF(AND($K$16=I$18,$K$14&lt;&gt;$K$15,$K$16=$K$17,RIGHT($K35,3)="2SP"),VLOOKUP(CONCATENATE(LEFT($K35,2),"L"),$R$63:$T$90,3,FALSE),0)-IF(AND($L$16=I$18,$L$14&lt;&gt;$L$15,$L$16=$L$17,RIGHT($L35,3)="2SP"),VLOOKUP(CONCATENATE(LEFT($L35,2),"L"),$R$63:$T$90,3,FALSE),0)-IF(AND($M$16=I$18,$M$14&lt;&gt;$M$15,$M$16=$M$17,RIGHT($M35,3)="2SP"),VLOOKUP(CONCATENATE(LEFT($M35,2),"L"),$R$63:$T$90,3,FALSE),0)-IF(AND($N$16=I$18,$N$14&lt;&gt;$N$15,$N$16=$N$17,RIGHT($N35,3)="2SP"),VLOOKUP(CONCATENATE(LEFT($N35,2),"L"),$R$63:$T$90,3,FALSE),0)-IF(AND($O$16=I$18,$O$14&lt;&gt;$O$15,$O$16=$O$17,RIGHT($O35,3)="2SP"),VLOOKUP(CONCATENATE(LEFT($O35,2),"L"),$R$63:$T$90,3,FALSE),0)-IF(AND($P$16=I$18,$P$14&lt;&gt;$P$15,$P$16=$P$17,RIGHT($P35,3)="2SP"),VLOOKUP(CONCATENATE(LEFT($P35,2),"L"),$R$63:$T$90,3,FALSE),0)-IF(AND($Q$16=I$18,$Q$14&lt;&gt;$Q$15,$Q$16=$Q$17,RIGHT($Q35,3)="2SP"),VLOOKUP(CONCATENATE(LEFT($Q35,2),"L"),$R$63:$T$90,3,FALSE),0)-IF(AND($T$16=I$18,$T$14&lt;&gt;$T$15,$T$16=$T$17,RIGHT($T35,3)="2SP"),VLOOKUP(CONCATENATE(LEFT($T35,2),"L"),$R$63:$T$90,3,FALSE),0)-IF(AND($U$16=I$18,$U$14&lt;&gt;$U$15,$U$16=$U$17,RIGHT($U35,3)="2SP"),VLOOKUP(CONCATENATE(LEFT($U35,2),"L"),$R$63:$T$90,3,FALSE),0)-IF(AND($V$16=I$18,$V$14&lt;&gt;$V$15,$V$16=$V$17,RIGHT($V35,3)="2SP"),VLOOKUP(CONCATENATE(LEFT($V35,2),"L"),$R$63:$T$90,3,FALSE),0)-IF(AND($W$16=I$18,$W$14&lt;&gt;$W$15,$W$16=$W$17,RIGHT($W35,3)="2SP"),VLOOKUP(CONCATENATE(LEFT($W35,2),"L"),$R$63:$T$90,3,FALSE),0)-IF(AND($X$16=I$18,$X$14&lt;&gt;$X$15,$X$16=$X$17,RIGHT($X35,3)="2SP"),VLOOKUP(CONCATENATE(LEFT($X35,2),"L"),$R$63:$T$90,3,FALSE),0)-IF(AND($Y$16=I$18,$Y$14&lt;&gt;$Y$15,$Y$16=$Y$17,RIGHT($Y35,3)="2SP"),VLOOKUP(CONCATENATE(LEFT($Y35,2),"L"),$R$63:$T$90,3,FALSE),0),"")</f>
        <v/>
      </c>
      <c r="J35" s="129"/>
      <c r="K35" s="130"/>
      <c r="L35" s="130"/>
      <c r="M35" s="130"/>
      <c r="N35" s="130"/>
      <c r="O35" s="130"/>
      <c r="P35" s="130"/>
      <c r="Q35" s="130"/>
      <c r="R35" s="130"/>
      <c r="S35" s="130"/>
      <c r="T35" s="130"/>
      <c r="U35" s="130"/>
      <c r="V35" s="130"/>
      <c r="W35" s="130"/>
      <c r="X35" s="130"/>
      <c r="Y35" s="130"/>
      <c r="Z35" s="131"/>
      <c r="AA35" s="131"/>
      <c r="AB35" s="132"/>
      <c r="AC35" s="132"/>
      <c r="AD35" s="132"/>
      <c r="AE35" s="133">
        <f t="shared" si="0"/>
        <v>0</v>
      </c>
      <c r="AF35" s="78"/>
    </row>
    <row r="36" spans="1:32">
      <c r="A36" s="270">
        <f>IF(AND($K36&lt;&gt;"",$K36&lt;&gt;"--",$K36&lt;&gt;"O3/CP",$K$14=A$18),IF(LEFT($K36,1)="P",VLOOKUP(CONCATENATE(LEFT($K36,2),"H"),$R$63:$T$91,3,FALSE),VLOOKUP($K36,$R$63:$T$91,3,FALSE)))+IF(AND($K36&lt;&gt;"",$K36&lt;&gt;"O3/CP",$K$15=A$18,MID($K36,4,1)="2",$K$15&lt;&gt;$K$14),VLOOKUP(CONCATENATE(LEFT($K36,2),"L"),$R$63:$T$91,3,FALSE),0)+IF(AND($K36="O3/CP",$K$14=A$18),VLOOKUP("O3",$R$63:$T$91,3,FALSE)+VLOOKUP("CP",$R$63:$T$91,3,FALSE),0)+IF(AND($L36&lt;&gt;"",$L36&lt;&gt;"--",$L36&lt;&gt;"O3/CP",$L$14=A$18),IF(LEFT($L36,1)="P",VLOOKUP(CONCATENATE(LEFT($L36,2),"H"),$R$63:$T$91,3,FALSE),VLOOKUP($L36,$R$63:$T$91,3,FALSE)))+IF(AND($L36&lt;&gt;"",$L36&lt;&gt;"O3/CP",$L$15=A$18,MID($L36,4,1)="2",$L$15&lt;&gt;$L$14),VLOOKUP(CONCATENATE(LEFT($L36,2),"L"),$R$63:$T$91,3,FALSE),0)+IF(AND($L36="O3/CP",$L$14=A$18),VLOOKUP("O3",$R$63:$T$91,3,FALSE)+VLOOKUP("CP",$R$63:$T$91,3,FALSE),0)+IF(AND($M36&lt;&gt;"",$M36&lt;&gt;"--",$M36&lt;&gt;"O3/CP",$M$14=A$18),IF(LEFT($M36,1)="P",VLOOKUP(CONCATENATE(LEFT($M36,2),"H"),$R$63:$T$91,3,FALSE),VLOOKUP($M36,$R$63:$T$91,3,FALSE)))+IF(AND($M36&lt;&gt;"",$M36&lt;&gt;"O3/CP",$M$15=A$18,MID($M36,4,1)="2",$M$15&lt;&gt;$M$14),VLOOKUP(CONCATENATE(LEFT($M36,2),"L"),$R$63:$T$91,3,FALSE),0)+IF(AND($M36="O3/CP",$M$14=A$18),VLOOKUP("O3",$R$63:$T$91,3,FALSE)+VLOOKUP("CP",$R$63:$T$91,3,FALSE),0)+IF(AND($N36&lt;&gt;"",$N36&lt;&gt;"--",$N36&lt;&gt;"O3/CP",$N$14=A$18),IF(LEFT($N36,1)="P",VLOOKUP(CONCATENATE(LEFT($N36,2),"H"),$R$63:$T$91,3,FALSE),VLOOKUP($N36,$R$63:$T$91,3,FALSE)))+IF(AND($N36&lt;&gt;"",$N36&lt;&gt;"O3/CP",$N$15=A$18,MID($N36,4,1)="2",$N$15&lt;&gt;$N$14),VLOOKUP(CONCATENATE(LEFT($N36,2),"L"),$R$63:$T$91,3,FALSE),0)+IF(AND($N36="O3/CP",$N$14=A$18),VLOOKUP("O3",$R$63:$T$91,3,FALSE)+VLOOKUP("CP",$R$63:$T$91,3,FALSE),0)+IF(AND($O36&lt;&gt;"",$O36&lt;&gt;"--",$O36&lt;&gt;"O3/CP",$O$14=A$18),IF(LEFT($O36,1)="P",VLOOKUP(CONCATENATE(LEFT($O36,2),"H"),$R$63:$T$91,3,FALSE),VLOOKUP($O36,$R$63:$T$91,3,FALSE)))+IF(AND($O36&lt;&gt;"",$O36&lt;&gt;"O3/CP",$O$15=A$18,MID($O36,4,1)="2",$O$15&lt;&gt;$O$14),VLOOKUP(CONCATENATE(LEFT($O36,2),"L"),$R$63:$T$91,3,FALSE),0)+IF(AND($O36="O3/CP",$O$14=A$18),VLOOKUP("O3",$R$63:$T$91,3,FALSE)+VLOOKUP("CP",$R$63:$T$91,3,FALSE),0)+IF(AND($P36&lt;&gt;"",$P36&lt;&gt;"--",$P36&lt;&gt;"O3/CP",$P$14=A$18),IF(LEFT($P36,1)="P",VLOOKUP(CONCATENATE(LEFT($P36,2),"H"),$R$63:$T$91,3,FALSE),VLOOKUP($P36,$R$63:$T$91,3,FALSE)))+IF(AND($P36&lt;&gt;"",$P36&lt;&gt;"O3/CP",$P$15=A$18,MID($P36,4,1)="2",$P$15&lt;&gt;$P$14),VLOOKUP(CONCATENATE(LEFT($P36,2),"L"),$R$63:$T$91,3,FALSE),0)+IF(AND($P36="O3/CP",$P$14=A$18),VLOOKUP("O3",$R$63:$T$91,3,FALSE)+VLOOKUP("CP",$R$63:$T$91,3,FALSE),0)+IF(AND($Q36&lt;&gt;"",$Q36&lt;&gt;"--",$Q36&lt;&gt;"O3/CP",$Q$14=A$18),IF(LEFT($Q36,1)="P",VLOOKUP(CONCATENATE(LEFT($Q36,2),"H"),$R$63:$T$91,3,FALSE),VLOOKUP($Q36,$R$63:$T$91,3,FALSE)))+IF(AND($Q36&lt;&gt;"",$Q36&lt;&gt;"O3/CP",$Q$15=A$18,MID($Q36,4,1)="2",$Q$15&lt;&gt;$Q$14),VLOOKUP(CONCATENATE(LEFT($Q36,2),"L"),$R$63:$T$91,3,FALSE),0)+IF(AND($Q36="O3/CP",$Q$14=A$18),VLOOKUP("O3",$R$63:$T$91,3,FALSE)+VLOOKUP("CP",$R$63:$T$91,3,FALSE),0)+IF(AND($R36&lt;&gt;"",$R36&lt;&gt;"--",$R36&lt;&gt;"O3/CP",$R$14=A$18),IF(LEFT($R36,1)="P",VLOOKUP(CONCATENATE(LEFT($R36,2),"H"),$R$63:$T$91,3,FALSE),VLOOKUP($R36,$R$63:$T$91,3,FALSE)))+IF(AND($R36&lt;&gt;"",$R36&lt;&gt;"O3/CP",$R$15=A$18,MID($R36,4,1)="2",$R$15&lt;&gt;$R$14),VLOOKUP(CONCATENATE(LEFT($R36,2),"L"),$R$63:$T$91,3,FALSE),0)+IF(AND($R36="O3/CP",$R$14=A$18),VLOOKUP("O3",$R$63:$T$91,3,FALSE)+VLOOKUP("CP",$R$63:$T$91,3,FALSE),0)+IF(AND($S36&lt;&gt;"",$S36&lt;&gt;"--",$S36&lt;&gt;"O3/CP",$S$14=A$18),IF(LEFT($S36,1)="P",VLOOKUP(CONCATENATE(LEFT($S36,2),"H"),$R$63:$T$91,3,FALSE),VLOOKUP($S36,$R$63:$T$91,3,FALSE)))+IF(AND($S36&lt;&gt;"",$S36&lt;&gt;"O3/CP",$S$15=A$18,MID($S36,4,1)="2",$S$15&lt;&gt;$S$14),VLOOKUP(CONCATENATE(LEFT($S36,2),"L"),$R$63:$T$91,3,FALSE),0)+IF(AND($S36="O3/CP",$S$14=A$18),VLOOKUP("O3",$R$63:$T$91,3,FALSE)+VLOOKUP("CP",$R$63:$T$91,3,FALSE),0)+IF(AND($T36&lt;&gt;"",$T36&lt;&gt;"--",$T36&lt;&gt;"O3/CP",$T$14=A$18),IF(LEFT($T36,1)="P",VLOOKUP(CONCATENATE(LEFT($T36,2),"H"),$R$63:$T$91,3,FALSE),VLOOKUP($T36,$R$63:$T$91,3,FALSE)))+IF(AND($T36&lt;&gt;"",$T36&lt;&gt;"O3/CP",$T$15=A$18,MID($T36,4,1)="2",$T$15&lt;&gt;$T$14),VLOOKUP(CONCATENATE(LEFT($T36,2),"L"),$R$63:$T$91,3,FALSE),0)+IF(AND($T36="O3/CP",$T$14=A$18),VLOOKUP("O3",$R$63:$T$91,3,FALSE)+VLOOKUP("CP",$R$63:$T$91,3,FALSE),0)+IF(AND($U36&lt;&gt;"",$U36&lt;&gt;"--",$U36&lt;&gt;"O3/CP",$U$14=A$18),IF(LEFT($U36,1)="P",VLOOKUP(CONCATENATE(LEFT($U36,2),"H"),$R$63:$T$91,3,FALSE),VLOOKUP($U36,$R$63:$T$91,3,FALSE)))+IF(AND($U36&lt;&gt;"",$U36&lt;&gt;"O3/CP",$U$15=A$18,MID($U36,4,1)="2",$U$15&lt;&gt;$U$14),VLOOKUP(CONCATENATE(LEFT($U36,2),"L"),$R$63:$T$91,3,FALSE),0)+IF(AND($U36="O3/CP",$T$14=A$18),VLOOKUP("O3",$R$63:$T$91,3,FALSE)+VLOOKUP("CP",$R$63:$T$91,3,FALSE),0)+IF(AND($V36&lt;&gt;"",$V36&lt;&gt;"--",$V36&lt;&gt;"O3/CP",$V$14=A$18),IF(LEFT($V36,1)="P",VLOOKUP(CONCATENATE(LEFT($V36,2),"H"),$R$63:$T$91,3,FALSE),VLOOKUP($V36,$R$63:$T$91,3,FALSE)))+IF(AND($V36&lt;&gt;"",$V36&lt;&gt;"O3/CP",$V$15=A$18,MID($V36,4,1)="2",$V$15&lt;&gt;$V$14),VLOOKUP(CONCATENATE(LEFT($V36,2),"L"),$R$63:$T$91,3,FALSE),0)+IF(AND($V36="O3/CP",$V$14=A$18),VLOOKUP("O3",$R$63:$T$91,3,FALSE)+VLOOKUP("CP",$R$63:$T$91,3,FALSE),0)+IF(AND($W36&lt;&gt;"",$W36&lt;&gt;"--",$W36&lt;&gt;"O3/CP",$W$14=A$18),IF(LEFT($W36,1)="P",VLOOKUP(CONCATENATE(LEFT($W36,2),"H"),$R$63:$T$91,3,FALSE),VLOOKUP($W36,$R$63:$T$91,3,FALSE)))+IF(AND($W36&lt;&gt;"",$W36&lt;&gt;"O3/CP",$W$15=A$18,MID($W36,4,1)="2",$W$15&lt;&gt;$W$14),VLOOKUP(CONCATENATE(LEFT($W36,2),"L"),$R$63:$T$91,3,FALSE),0)+IF(AND($W36="O3/CP",$W$14=A$18),VLOOKUP("O3",$R$63:$T$91,3,FALSE)+VLOOKUP("CP",$R$63:$T$91,3,FALSE),0)+IF(AND($X36&lt;&gt;"",$X36&lt;&gt;"--",$X36&lt;&gt;"O3/CP",$X$14=A$18),IF(LEFT($X36,1)="P",VLOOKUP(CONCATENATE(LEFT($X36,2),"H"),$R$63:$T$91,3,FALSE),VLOOKUP($X36,$R$63:$T$91,3,FALSE)))+IF(AND($X36&lt;&gt;"",$X36&lt;&gt;"O3/CP",$X$15=A$18,MID($X36,4,1)="2",$X$15&lt;&gt;$X$14),VLOOKUP(CONCATENATE(LEFT($X36,2),"L"),$R$63:$T$91,3,FALSE),0)+IF(AND($X36="O3/CP",$X$14=A$18),VLOOKUP("O3",$R$63:$T$91,3,FALSE)+VLOOKUP("CP",$R$63:$T$91,3,FALSE),0)+IF(AND($Y36&lt;&gt;"",$Y36&lt;&gt;"--",$Y36&lt;&gt;"O3/CP",$Y$14=A$18),IF(LEFT($Y36,1)="P",VLOOKUP(CONCATENATE(LEFT($Y36,2),"H"),$R$63:$T$91,3,FALSE),VLOOKUP($Y36,$R$63:$T$91,3,FALSE)))+IF(AND($Y36&lt;&gt;"",$Y36&lt;&gt;"O3/CP",$Y$15=A$18,MID($Y36,4,1)="2",$Y$15&lt;&gt;$Y$14),VLOOKUP(CONCATENATE(LEFT($Y36,2),"L"),$R$63:$T$91,3,FALSE),0)+IF(AND($Y36="O3/CP",$Y$14=A$18),VLOOKUP("O3",$R$63:$T$91,3,FALSE)+VLOOKUP("CP",$R$63:$T$91,3,FALSE),0)+IF(AND($K$6="CE",'[3]Supply Attribution'!$G$20=A$18),LEFT($S$90,2),0)+IF(AND($X$86&lt;&gt;"Not Set",$X$87=A$18),$X$86,0)</f>
        <v>0</v>
      </c>
      <c r="B36" s="269">
        <f>IF(AND($K36&lt;&gt;"",$K36&lt;&gt;"--",$K36&lt;&gt;"O3/CP",$K$14=B$18),IF(LEFT($K36,1)="P",VLOOKUP(CONCATENATE(LEFT($K36,2),"H"),$R$63:$T$91,3,FALSE),VLOOKUP($K36,$R$63:$T$91,3,FALSE)))+IF(AND($K36&lt;&gt;"",$K36&lt;&gt;"O3/CP",$K$15=B$18,MID($K36,4,1)="2",$K$15&lt;&gt;$K$14),VLOOKUP(CONCATENATE(LEFT($K36,2),"L"),$R$63:$T$91,3,FALSE),0)+IF(AND($K36="O3/CP",$K$14=B$18),VLOOKUP("O3",$R$63:$T$91,3,FALSE)+VLOOKUP("CP",$R$63:$T$91,3,FALSE),0)+IF(AND($L36&lt;&gt;"",$L36&lt;&gt;"--",$L36&lt;&gt;"O3/CP",$L$14=B$18),IF(LEFT($L36,1)="P",VLOOKUP(CONCATENATE(LEFT($L36,2),"H"),$R$63:$T$91,3,FALSE),VLOOKUP($L36,$R$63:$T$91,3,FALSE)))+IF(AND($L36&lt;&gt;"",$L36&lt;&gt;"O3/CP",$L$15=B$18,MID($L36,4,1)="2",$L$15&lt;&gt;$L$14),VLOOKUP(CONCATENATE(LEFT($L36,2),"L"),$R$63:$T$91,3,FALSE),0)+IF(AND($L36="O3/CP",$L$14=B$18),VLOOKUP("O3",$R$63:$T$91,3,FALSE)+VLOOKUP("CP",$R$63:$T$91,3,FALSE),0)+IF(AND($M36&lt;&gt;"",$M36&lt;&gt;"--",$M36&lt;&gt;"O3/CP",$M$14=B$18),IF(LEFT($M36,1)="P",VLOOKUP(CONCATENATE(LEFT($M36,2),"H"),$R$63:$T$91,3,FALSE),VLOOKUP($M36,$R$63:$T$91,3,FALSE)))+IF(AND($M36&lt;&gt;"",$M36&lt;&gt;"O3/CP",$M$15=B$18,MID($M36,4,1)="2",$M$15&lt;&gt;$M$14),VLOOKUP(CONCATENATE(LEFT($M36,2),"L"),$R$63:$T$91,3,FALSE),0)+IF(AND($M36="O3/CP",$M$14=B$18),VLOOKUP("O3",$R$63:$T$91,3,FALSE)+VLOOKUP("CP",$R$63:$T$91,3,FALSE),0)+IF(AND($N36&lt;&gt;"",$N36&lt;&gt;"--",$N36&lt;&gt;"O3/CP",$N$14=B$18),IF(LEFT($N36,1)="P",VLOOKUP(CONCATENATE(LEFT($N36,2),"H"),$R$63:$T$91,3,FALSE),VLOOKUP($N36,$R$63:$T$91,3,FALSE)))+IF(AND($N36&lt;&gt;"",$N36&lt;&gt;"O3/CP",$N$15=B$18,MID($N36,4,1)="2",$N$15&lt;&gt;$N$14),VLOOKUP(CONCATENATE(LEFT($N36,2),"L"),$R$63:$T$91,3,FALSE),0)+IF(AND($N36="O3/CP",$N$14=B$18),VLOOKUP("O3",$R$63:$T$91,3,FALSE)+VLOOKUP("CP",$R$63:$T$91,3,FALSE),0)+IF(AND($O36&lt;&gt;"",$O36&lt;&gt;"--",$O36&lt;&gt;"O3/CP",$O$14=B$18),IF(LEFT($O36,1)="P",VLOOKUP(CONCATENATE(LEFT($O36,2),"H"),$R$63:$T$91,3,FALSE),VLOOKUP($O36,$R$63:$T$91,3,FALSE)))+IF(AND($O36&lt;&gt;"",$O36&lt;&gt;"O3/CP",$O$15=B$18,MID($O36,4,1)="2",$O$15&lt;&gt;$O$14),VLOOKUP(CONCATENATE(LEFT($O36,2),"L"),$R$63:$T$91,3,FALSE),0)+IF(AND($O36="O3/CP",$O$14=B$18),VLOOKUP("O3",$R$63:$T$91,3,FALSE)+VLOOKUP("CP",$R$63:$T$91,3,FALSE),0)+IF(AND($P36&lt;&gt;"",$P36&lt;&gt;"--",$P36&lt;&gt;"O3/CP",$P$14=B$18),IF(LEFT($P36,1)="P",VLOOKUP(CONCATENATE(LEFT($P36,2),"H"),$R$63:$T$91,3,FALSE),VLOOKUP($P36,$R$63:$T$91,3,FALSE)))+IF(AND($P36&lt;&gt;"",$P36&lt;&gt;"O3/CP",$P$15=B$18,MID($P36,4,1)="2",$P$15&lt;&gt;$P$14),VLOOKUP(CONCATENATE(LEFT($P36,2),"L"),$R$63:$T$91,3,FALSE),0)+IF(AND($P36="O3/CP",$P$14=B$18),VLOOKUP("O3",$R$63:$T$91,3,FALSE)+VLOOKUP("CP",$R$63:$T$91,3,FALSE),0)+IF(AND($Q36&lt;&gt;"",$Q36&lt;&gt;"--",$Q36&lt;&gt;"O3/CP",$Q$14=B$18),IF(LEFT($Q36,1)="P",VLOOKUP(CONCATENATE(LEFT($Q36,2),"H"),$R$63:$T$91,3,FALSE),VLOOKUP($Q36,$R$63:$T$91,3,FALSE)))+IF(AND($Q36&lt;&gt;"",$Q36&lt;&gt;"O3/CP",$Q$15=B$18,MID($Q36,4,1)="2",$Q$15&lt;&gt;$Q$14),VLOOKUP(CONCATENATE(LEFT($Q36,2),"L"),$R$63:$T$91,3,FALSE),0)+IF(AND($Q36="O3/CP",$Q$14=B$18),VLOOKUP("O3",$R$63:$T$91,3,FALSE)+VLOOKUP("CP",$R$63:$T$91,3,FALSE),0)+IF(AND($R36&lt;&gt;"",$R36&lt;&gt;"--",$R36&lt;&gt;"O3/CP",$R$14=B$18),IF(LEFT($R36,1)="P",VLOOKUP(CONCATENATE(LEFT($R36,2),"H"),$R$63:$T$91,3,FALSE),VLOOKUP($R36,$R$63:$T$91,3,FALSE)))+IF(AND($R36&lt;&gt;"",$R36&lt;&gt;"O3/CP",$R$15=B$18,MID($R36,4,1)="2",$R$15&lt;&gt;$R$14),VLOOKUP(CONCATENATE(LEFT($R36,2),"L"),$R$63:$T$91,3,FALSE),0)+IF(AND($R36="O3/CP",$R$14=B$18),VLOOKUP("O3",$R$63:$T$91,3,FALSE)+VLOOKUP("CP",$R$63:$T$91,3,FALSE),0)+IF(AND($S36&lt;&gt;"",$S36&lt;&gt;"--",$S36&lt;&gt;"O3/CP",$S$14=B$18),IF(LEFT($S36,1)="P",VLOOKUP(CONCATENATE(LEFT($S36,2),"H"),$R$63:$T$91,3,FALSE),VLOOKUP($S36,$R$63:$T$91,3,FALSE)))+IF(AND($S36&lt;&gt;"",$S36&lt;&gt;"O3/CP",$S$15=B$18,MID($S36,4,1)="2",$S$15&lt;&gt;$S$14),VLOOKUP(CONCATENATE(LEFT($S36,2),"L"),$R$63:$T$91,3,FALSE),0)+IF(AND($S36="O3/CP",$S$14=B$18),VLOOKUP("O3",$R$63:$T$91,3,FALSE)+VLOOKUP("CP",$R$63:$T$91,3,FALSE),0)+IF(AND($T36&lt;&gt;"",$T36&lt;&gt;"--",$T36&lt;&gt;"O3/CP",$T$14=B$18),IF(LEFT($T36,1)="P",VLOOKUP(CONCATENATE(LEFT($T36,2),"H"),$R$63:$T$91,3,FALSE),VLOOKUP($T36,$R$63:$T$91,3,FALSE)))+IF(AND($T36&lt;&gt;"",$T36&lt;&gt;"O3/CP",$T$15=B$18,MID($T36,4,1)="2",$T$15&lt;&gt;$T$14),VLOOKUP(CONCATENATE(LEFT($T36,2),"L"),$R$63:$T$91,3,FALSE),0)+IF(AND($T36="O3/CP",$T$14=B$18),VLOOKUP("O3",$R$63:$T$91,3,FALSE)+VLOOKUP("CP",$R$63:$T$91,3,FALSE),0)+IF(AND($U36&lt;&gt;"",$U36&lt;&gt;"--",$U36&lt;&gt;"O3/CP",$U$14=B$18),IF(LEFT($U36,1)="P",VLOOKUP(CONCATENATE(LEFT($U36,2),"H"),$R$63:$T$91,3,FALSE),VLOOKUP($U36,$R$63:$T$91,3,FALSE)))+IF(AND($U36&lt;&gt;"",$U36&lt;&gt;"O3/CP",$U$15=B$18,MID($U36,4,1)="2",$U$15&lt;&gt;$U$14),VLOOKUP(CONCATENATE(LEFT($U36,2),"L"),$R$63:$T$91,3,FALSE),0)+IF(AND($U36="O3/CP",$T$14=B$18),VLOOKUP("O3",$R$63:$T$91,3,FALSE)+VLOOKUP("CP",$R$63:$T$91,3,FALSE),0)+IF(AND($V36&lt;&gt;"",$V36&lt;&gt;"--",$V36&lt;&gt;"O3/CP",$V$14=B$18),IF(LEFT($V36,1)="P",VLOOKUP(CONCATENATE(LEFT($V36,2),"H"),$R$63:$T$91,3,FALSE),VLOOKUP($V36,$R$63:$T$91,3,FALSE)))+IF(AND($V36&lt;&gt;"",$V36&lt;&gt;"O3/CP",$V$15=B$18,MID($V36,4,1)="2",$V$15&lt;&gt;$V$14),VLOOKUP(CONCATENATE(LEFT($V36,2),"L"),$R$63:$T$91,3,FALSE),0)+IF(AND($V36="O3/CP",$V$14=B$18),VLOOKUP("O3",$R$63:$T$91,3,FALSE)+VLOOKUP("CP",$R$63:$T$91,3,FALSE),0)+IF(AND($W36&lt;&gt;"",$W36&lt;&gt;"--",$W36&lt;&gt;"O3/CP",$W$14=B$18),IF(LEFT($W36,1)="P",VLOOKUP(CONCATENATE(LEFT($W36,2),"H"),$R$63:$T$91,3,FALSE),VLOOKUP($W36,$R$63:$T$91,3,FALSE)))+IF(AND($W36&lt;&gt;"",$W36&lt;&gt;"O3/CP",$W$15=B$18,MID($W36,4,1)="2",$W$15&lt;&gt;$W$14),VLOOKUP(CONCATENATE(LEFT($W36,2),"L"),$R$63:$T$91,3,FALSE),0)+IF(AND($W36="O3/CP",$W$14=B$18),VLOOKUP("O3",$R$63:$T$91,3,FALSE)+VLOOKUP("CP",$R$63:$T$91,3,FALSE),0)+IF(AND($X36&lt;&gt;"",$X36&lt;&gt;"--",$X36&lt;&gt;"O3/CP",$X$14=B$18),IF(LEFT($X36,1)="P",VLOOKUP(CONCATENATE(LEFT($X36,2),"H"),$R$63:$T$91,3,FALSE),VLOOKUP($X36,$R$63:$T$91,3,FALSE)))+IF(AND($X36&lt;&gt;"",$X36&lt;&gt;"O3/CP",$X$15=B$18,MID($X36,4,1)="2",$X$15&lt;&gt;$X$14),VLOOKUP(CONCATENATE(LEFT($X36,2),"L"),$R$63:$T$91,3,FALSE),0)+IF(AND($X36="O3/CP",$X$14=B$18),VLOOKUP("O3",$R$63:$T$91,3,FALSE)+VLOOKUP("CP",$R$63:$T$91,3,FALSE),0)+IF(AND($Y36&lt;&gt;"",$Y36&lt;&gt;"--",$Y36&lt;&gt;"O3/CP",$Y$14=B$18),IF(LEFT($Y36,1)="P",VLOOKUP(CONCATENATE(LEFT($Y36,2),"H"),$R$63:$T$91,3,FALSE),VLOOKUP($Y36,$R$63:$T$91,3,FALSE)))+IF(AND($Y36&lt;&gt;"",$Y36&lt;&gt;"O3/CP",$Y$15=B$18,MID($Y36,4,1)="2",$Y$15&lt;&gt;$Y$14),VLOOKUP(CONCATENATE(LEFT($Y36,2),"L"),$R$63:$T$91,3,FALSE),0)+IF(AND($Y36="O3/CP",$Y$14=B$18),VLOOKUP("O3",$R$63:$T$91,3,FALSE)+VLOOKUP("CP",$R$63:$T$91,3,FALSE),0)+IF(AND($K$6="CE",'[3]Supply Attribution'!$G$20=B$18),LEFT($S$90,2),0)+IF(AND($X$86&lt;&gt;"Not Set",$X$87=B$18),$X$86,0)</f>
        <v>0</v>
      </c>
      <c r="C36" s="269">
        <f>IF(AND($K36&lt;&gt;"",$K36&lt;&gt;"--",$K36&lt;&gt;"O3/CP",$K$14=C$18),IF(LEFT($K36,1)="P",VLOOKUP(CONCATENATE(LEFT($K36,2),"H"),$R$63:$T$91,3,FALSE),VLOOKUP($K36,$R$63:$T$91,3,FALSE)))+IF(AND($K36&lt;&gt;"",$K36&lt;&gt;"O3/CP",$K$15=C$18,MID($K36,4,1)="2",$K$15&lt;&gt;$K$14),VLOOKUP(CONCATENATE(LEFT($K36,2),"L"),$R$63:$T$91,3,FALSE),0)+IF(AND($K36="O3/CP",$K$14=C$18),VLOOKUP("O3",$R$63:$T$91,3,FALSE)+VLOOKUP("CP",$R$63:$T$91,3,FALSE),0)+IF(AND($L36&lt;&gt;"",$L36&lt;&gt;"--",$L36&lt;&gt;"O3/CP",$L$14=C$18),IF(LEFT($L36,1)="P",VLOOKUP(CONCATENATE(LEFT($L36,2),"H"),$R$63:$T$91,3,FALSE),VLOOKUP($L36,$R$63:$T$91,3,FALSE)))+IF(AND($L36&lt;&gt;"",$L36&lt;&gt;"O3/CP",$L$15=C$18,MID($L36,4,1)="2",$L$15&lt;&gt;$L$14),VLOOKUP(CONCATENATE(LEFT($L36,2),"L"),$R$63:$T$91,3,FALSE),0)+IF(AND($L36="O3/CP",$L$14=C$18),VLOOKUP("O3",$R$63:$T$91,3,FALSE)+VLOOKUP("CP",$R$63:$T$91,3,FALSE),0)+IF(AND($M36&lt;&gt;"",$M36&lt;&gt;"--",$M36&lt;&gt;"O3/CP",$M$14=C$18),IF(LEFT($M36,1)="P",VLOOKUP(CONCATENATE(LEFT($M36,2),"H"),$R$63:$T$91,3,FALSE),VLOOKUP($M36,$R$63:$T$91,3,FALSE)))+IF(AND($M36&lt;&gt;"",$M36&lt;&gt;"O3/CP",$M$15=C$18,MID($M36,4,1)="2",$M$15&lt;&gt;$M$14),VLOOKUP(CONCATENATE(LEFT($M36,2),"L"),$R$63:$T$91,3,FALSE),0)+IF(AND($M36="O3/CP",$M$14=C$18),VLOOKUP("O3",$R$63:$T$91,3,FALSE)+VLOOKUP("CP",$R$63:$T$91,3,FALSE),0)+IF(AND($N36&lt;&gt;"",$N36&lt;&gt;"--",$N36&lt;&gt;"O3/CP",$N$14=C$18),IF(LEFT($N36,1)="P",VLOOKUP(CONCATENATE(LEFT($N36,2),"H"),$R$63:$T$91,3,FALSE),VLOOKUP($N36,$R$63:$T$91,3,FALSE)))+IF(AND($N36&lt;&gt;"",$N36&lt;&gt;"O3/CP",$N$15=C$18,MID($N36,4,1)="2",$N$15&lt;&gt;$N$14),VLOOKUP(CONCATENATE(LEFT($N36,2),"L"),$R$63:$T$91,3,FALSE),0)+IF(AND($N36="O3/CP",$N$14=C$18),VLOOKUP("O3",$R$63:$T$91,3,FALSE)+VLOOKUP("CP",$R$63:$T$91,3,FALSE),0)+IF(AND($O36&lt;&gt;"",$O36&lt;&gt;"--",$O36&lt;&gt;"O3/CP",$O$14=C$18),IF(LEFT($O36,1)="P",VLOOKUP(CONCATENATE(LEFT($O36,2),"H"),$R$63:$T$91,3,FALSE),VLOOKUP($O36,$R$63:$T$91,3,FALSE)))+IF(AND($O36&lt;&gt;"",$O36&lt;&gt;"O3/CP",$O$15=C$18,MID($O36,4,1)="2",$O$15&lt;&gt;$O$14),VLOOKUP(CONCATENATE(LEFT($O36,2),"L"),$R$63:$T$91,3,FALSE),0)+IF(AND($O36="O3/CP",$O$14=C$18),VLOOKUP("O3",$R$63:$T$91,3,FALSE)+VLOOKUP("CP",$R$63:$T$91,3,FALSE),0)+IF(AND($P36&lt;&gt;"",$P36&lt;&gt;"--",$P36&lt;&gt;"O3/CP",$P$14=C$18),IF(LEFT($P36,1)="P",VLOOKUP(CONCATENATE(LEFT($P36,2),"H"),$R$63:$T$91,3,FALSE),VLOOKUP($P36,$R$63:$T$91,3,FALSE)))+IF(AND($P36&lt;&gt;"",$P36&lt;&gt;"O3/CP",$P$15=C$18,MID($P36,4,1)="2",$P$15&lt;&gt;$P$14),VLOOKUP(CONCATENATE(LEFT($P36,2),"L"),$R$63:$T$91,3,FALSE),0)+IF(AND($P36="O3/CP",$P$14=C$18),VLOOKUP("O3",$R$63:$T$91,3,FALSE)+VLOOKUP("CP",$R$63:$T$91,3,FALSE),0)+IF(AND($Q36&lt;&gt;"",$Q36&lt;&gt;"--",$Q36&lt;&gt;"O3/CP",$Q$14=C$18),IF(LEFT($Q36,1)="P",VLOOKUP(CONCATENATE(LEFT($Q36,2),"H"),$R$63:$T$91,3,FALSE),VLOOKUP($Q36,$R$63:$T$91,3,FALSE)))+IF(AND($Q36&lt;&gt;"",$Q36&lt;&gt;"O3/CP",$Q$15=C$18,MID($Q36,4,1)="2",$Q$15&lt;&gt;$Q$14),VLOOKUP(CONCATENATE(LEFT($Q36,2),"L"),$R$63:$T$91,3,FALSE),0)+IF(AND($Q36="O3/CP",$Q$14=C$18),VLOOKUP("O3",$R$63:$T$91,3,FALSE)+VLOOKUP("CP",$R$63:$T$91,3,FALSE),0)+IF(AND($R36&lt;&gt;"",$R36&lt;&gt;"--",$R36&lt;&gt;"O3/CP",$R$14=C$18),IF(LEFT($R36,1)="P",VLOOKUP(CONCATENATE(LEFT($R36,2),"H"),$R$63:$T$91,3,FALSE),VLOOKUP($R36,$R$63:$T$91,3,FALSE)))+IF(AND($R36&lt;&gt;"",$R36&lt;&gt;"O3/CP",$R$15=C$18,MID($R36,4,1)="2",$R$15&lt;&gt;$R$14),VLOOKUP(CONCATENATE(LEFT($R36,2),"L"),$R$63:$T$91,3,FALSE),0)+IF(AND($R36="O3/CP",$R$14=C$18),VLOOKUP("O3",$R$63:$T$91,3,FALSE)+VLOOKUP("CP",$R$63:$T$91,3,FALSE),0)+IF(AND($S36&lt;&gt;"",$S36&lt;&gt;"--",$S36&lt;&gt;"O3/CP",$S$14=C$18),IF(LEFT($S36,1)="P",VLOOKUP(CONCATENATE(LEFT($S36,2),"H"),$R$63:$T$91,3,FALSE),VLOOKUP($S36,$R$63:$T$91,3,FALSE)))+IF(AND($S36&lt;&gt;"",$S36&lt;&gt;"O3/CP",$S$15=C$18,MID($S36,4,1)="2",$S$15&lt;&gt;$S$14),VLOOKUP(CONCATENATE(LEFT($S36,2),"L"),$R$63:$T$91,3,FALSE),0)+IF(AND($S36="O3/CP",$S$14=C$18),VLOOKUP("O3",$R$63:$T$91,3,FALSE)+VLOOKUP("CP",$R$63:$T$91,3,FALSE),0)+IF(AND($T36&lt;&gt;"",$T36&lt;&gt;"--",$T36&lt;&gt;"O3/CP",$T$14=C$18),IF(LEFT($T36,1)="P",VLOOKUP(CONCATENATE(LEFT($T36,2),"H"),$R$63:$T$91,3,FALSE),VLOOKUP($T36,$R$63:$T$91,3,FALSE)))+IF(AND($T36&lt;&gt;"",$T36&lt;&gt;"O3/CP",$T$15=C$18,MID($T36,4,1)="2",$T$15&lt;&gt;$T$14),VLOOKUP(CONCATENATE(LEFT($T36,2),"L"),$R$63:$T$91,3,FALSE),0)+IF(AND($T36="O3/CP",$T$14=C$18),VLOOKUP("O3",$R$63:$T$91,3,FALSE)+VLOOKUP("CP",$R$63:$T$91,3,FALSE),0)+IF(AND($U36&lt;&gt;"",$U36&lt;&gt;"--",$U36&lt;&gt;"O3/CP",$U$14=C$18),IF(LEFT($U36,1)="P",VLOOKUP(CONCATENATE(LEFT($U36,2),"H"),$R$63:$T$91,3,FALSE),VLOOKUP($U36,$R$63:$T$91,3,FALSE)))+IF(AND($U36&lt;&gt;"",$U36&lt;&gt;"O3/CP",$U$15=C$18,MID($U36,4,1)="2",$U$15&lt;&gt;$U$14),VLOOKUP(CONCATENATE(LEFT($U36,2),"L"),$R$63:$T$91,3,FALSE),0)+IF(AND($U36="O3/CP",$T$14=C$18),VLOOKUP("O3",$R$63:$T$91,3,FALSE)+VLOOKUP("CP",$R$63:$T$91,3,FALSE),0)+IF(AND($V36&lt;&gt;"",$V36&lt;&gt;"--",$V36&lt;&gt;"O3/CP",$V$14=C$18),IF(LEFT($V36,1)="P",VLOOKUP(CONCATENATE(LEFT($V36,2),"H"),$R$63:$T$91,3,FALSE),VLOOKUP($V36,$R$63:$T$91,3,FALSE)))+IF(AND($V36&lt;&gt;"",$V36&lt;&gt;"O3/CP",$V$15=C$18,MID($V36,4,1)="2",$V$15&lt;&gt;$V$14),VLOOKUP(CONCATENATE(LEFT($V36,2),"L"),$R$63:$T$91,3,FALSE),0)+IF(AND($V36="O3/CP",$V$14=C$18),VLOOKUP("O3",$R$63:$T$91,3,FALSE)+VLOOKUP("CP",$R$63:$T$91,3,FALSE),0)+IF(AND($W36&lt;&gt;"",$W36&lt;&gt;"--",$W36&lt;&gt;"O3/CP",$W$14=C$18),IF(LEFT($W36,1)="P",VLOOKUP(CONCATENATE(LEFT($W36,2),"H"),$R$63:$T$91,3,FALSE),VLOOKUP($W36,$R$63:$T$91,3,FALSE)))+IF(AND($W36&lt;&gt;"",$W36&lt;&gt;"O3/CP",$W$15=C$18,MID($W36,4,1)="2",$W$15&lt;&gt;$W$14),VLOOKUP(CONCATENATE(LEFT($W36,2),"L"),$R$63:$T$91,3,FALSE),0)+IF(AND($W36="O3/CP",$W$14=C$18),VLOOKUP("O3",$R$63:$T$91,3,FALSE)+VLOOKUP("CP",$R$63:$T$91,3,FALSE),0)+IF(AND($X36&lt;&gt;"",$X36&lt;&gt;"--",$X36&lt;&gt;"O3/CP",$X$14=C$18),IF(LEFT($X36,1)="P",VLOOKUP(CONCATENATE(LEFT($X36,2),"H"),$R$63:$T$91,3,FALSE),VLOOKUP($X36,$R$63:$T$91,3,FALSE)))+IF(AND($X36&lt;&gt;"",$X36&lt;&gt;"O3/CP",$X$15=C$18,MID($X36,4,1)="2",$X$15&lt;&gt;$X$14),VLOOKUP(CONCATENATE(LEFT($X36,2),"L"),$R$63:$T$91,3,FALSE),0)+IF(AND($X36="O3/CP",$X$14=C$18),VLOOKUP("O3",$R$63:$T$91,3,FALSE)+VLOOKUP("CP",$R$63:$T$91,3,FALSE),0)+IF(AND($Y36&lt;&gt;"",$Y36&lt;&gt;"--",$Y36&lt;&gt;"O3/CP",$Y$14=C$18),IF(LEFT($Y36,1)="P",VLOOKUP(CONCATENATE(LEFT($Y36,2),"H"),$R$63:$T$91,3,FALSE),VLOOKUP($Y36,$R$63:$T$91,3,FALSE)))+IF(AND($Y36&lt;&gt;"",$Y36&lt;&gt;"O3/CP",$Y$15=C$18,MID($Y36,4,1)="2",$Y$15&lt;&gt;$Y$14),VLOOKUP(CONCATENATE(LEFT($Y36,2),"L"),$R$63:$T$91,3,FALSE),0)+IF(AND($Y36="O3/CP",$Y$14=C$18),VLOOKUP("O3",$R$63:$T$91,3,FALSE)+VLOOKUP("CP",$R$63:$T$91,3,FALSE),0)+IF(AND($K$6="CE",'[3]Supply Attribution'!$G$20=C$18),LEFT($S$90,2),0)+IF(AND($X$86&lt;&gt;"Not Set",$X$87=C$18),$X$86,0)</f>
        <v>0</v>
      </c>
      <c r="D36" s="269">
        <f>IF(AND($K36&lt;&gt;"",$K36&lt;&gt;"--",$K36&lt;&gt;"O3/CP",$K$14=D$18),IF(LEFT($K36,1)="P",VLOOKUP(CONCATENATE(LEFT($K36,2),"H"),$R$63:$T$91,3,FALSE),VLOOKUP($K36,$R$63:$T$91,3,FALSE)))+IF(AND($K36&lt;&gt;"",$K36&lt;&gt;"O3/CP",$K$15=D$18,MID($K36,4,1)="2",$K$15&lt;&gt;$K$14),VLOOKUP(CONCATENATE(LEFT($K36,2),"L"),$R$63:$T$91,3,FALSE),0)+IF(AND($K36="O3/CP",$K$14=D$18),VLOOKUP("O3",$R$63:$T$91,3,FALSE)+VLOOKUP("CP",$R$63:$T$91,3,FALSE),0)+IF(AND($L36&lt;&gt;"",$L36&lt;&gt;"--",$L36&lt;&gt;"O3/CP",$L$14=D$18),IF(LEFT($L36,1)="P",VLOOKUP(CONCATENATE(LEFT($L36,2),"H"),$R$63:$T$91,3,FALSE),VLOOKUP($L36,$R$63:$T$91,3,FALSE)))+IF(AND($L36&lt;&gt;"",$L36&lt;&gt;"O3/CP",$L$15=D$18,MID($L36,4,1)="2",$L$15&lt;&gt;$L$14),VLOOKUP(CONCATENATE(LEFT($L36,2),"L"),$R$63:$T$91,3,FALSE),0)+IF(AND($L36="O3/CP",$L$14=D$18),VLOOKUP("O3",$R$63:$T$91,3,FALSE)+VLOOKUP("CP",$R$63:$T$91,3,FALSE),0)+IF(AND($M36&lt;&gt;"",$M36&lt;&gt;"--",$M36&lt;&gt;"O3/CP",$M$14=D$18),IF(LEFT($M36,1)="P",VLOOKUP(CONCATENATE(LEFT($M36,2),"H"),$R$63:$T$91,3,FALSE),VLOOKUP($M36,$R$63:$T$91,3,FALSE)))+IF(AND($M36&lt;&gt;"",$M36&lt;&gt;"O3/CP",$M$15=D$18,MID($M36,4,1)="2",$M$15&lt;&gt;$M$14),VLOOKUP(CONCATENATE(LEFT($M36,2),"L"),$R$63:$T$91,3,FALSE),0)+IF(AND($M36="O3/CP",$M$14=D$18),VLOOKUP("O3",$R$63:$T$91,3,FALSE)+VLOOKUP("CP",$R$63:$T$91,3,FALSE),0)+IF(AND($N36&lt;&gt;"",$N36&lt;&gt;"--",$N36&lt;&gt;"O3/CP",$N$14=D$18),IF(LEFT($N36,1)="P",VLOOKUP(CONCATENATE(LEFT($N36,2),"H"),$R$63:$T$91,3,FALSE),VLOOKUP($N36,$R$63:$T$91,3,FALSE)))+IF(AND($N36&lt;&gt;"",$N36&lt;&gt;"O3/CP",$N$15=D$18,MID($N36,4,1)="2",$N$15&lt;&gt;$N$14),VLOOKUP(CONCATENATE(LEFT($N36,2),"L"),$R$63:$T$91,3,FALSE),0)+IF(AND($N36="O3/CP",$N$14=D$18),VLOOKUP("O3",$R$63:$T$91,3,FALSE)+VLOOKUP("CP",$R$63:$T$91,3,FALSE),0)+IF(AND($O36&lt;&gt;"",$O36&lt;&gt;"--",$O36&lt;&gt;"O3/CP",$O$14=D$18),IF(LEFT($O36,1)="P",VLOOKUP(CONCATENATE(LEFT($O36,2),"H"),$R$63:$T$91,3,FALSE),VLOOKUP($O36,$R$63:$T$91,3,FALSE)))+IF(AND($O36&lt;&gt;"",$O36&lt;&gt;"O3/CP",$O$15=D$18,MID($O36,4,1)="2",$O$15&lt;&gt;$O$14),VLOOKUP(CONCATENATE(LEFT($O36,2),"L"),$R$63:$T$91,3,FALSE),0)+IF(AND($O36="O3/CP",$O$14=D$18),VLOOKUP("O3",$R$63:$T$91,3,FALSE)+VLOOKUP("CP",$R$63:$T$91,3,FALSE),0)+IF(AND($P36&lt;&gt;"",$P36&lt;&gt;"--",$P36&lt;&gt;"O3/CP",$P$14=D$18),IF(LEFT($P36,1)="P",VLOOKUP(CONCATENATE(LEFT($P36,2),"H"),$R$63:$T$91,3,FALSE),VLOOKUP($P36,$R$63:$T$91,3,FALSE)))+IF(AND($P36&lt;&gt;"",$P36&lt;&gt;"O3/CP",$P$15=D$18,MID($P36,4,1)="2",$P$15&lt;&gt;$P$14),VLOOKUP(CONCATENATE(LEFT($P36,2),"L"),$R$63:$T$91,3,FALSE),0)+IF(AND($P36="O3/CP",$P$14=D$18),VLOOKUP("O3",$R$63:$T$91,3,FALSE)+VLOOKUP("CP",$R$63:$T$91,3,FALSE),0)+IF(AND($Q36&lt;&gt;"",$Q36&lt;&gt;"--",$Q36&lt;&gt;"O3/CP",$Q$14=D$18),IF(LEFT($Q36,1)="P",VLOOKUP(CONCATENATE(LEFT($Q36,2),"H"),$R$63:$T$91,3,FALSE),VLOOKUP($Q36,$R$63:$T$91,3,FALSE)))+IF(AND($Q36&lt;&gt;"",$Q36&lt;&gt;"O3/CP",$Q$15=D$18,MID($Q36,4,1)="2",$Q$15&lt;&gt;$Q$14),VLOOKUP(CONCATENATE(LEFT($Q36,2),"L"),$R$63:$T$91,3,FALSE),0)+IF(AND($Q36="O3/CP",$Q$14=D$18),VLOOKUP("O3",$R$63:$T$91,3,FALSE)+VLOOKUP("CP",$R$63:$T$91,3,FALSE),0)+IF(AND($R36&lt;&gt;"",$R36&lt;&gt;"--",$R36&lt;&gt;"O3/CP",$R$14=D$18),IF(LEFT($R36,1)="P",VLOOKUP(CONCATENATE(LEFT($R36,2),"H"),$R$63:$T$91,3,FALSE),VLOOKUP($R36,$R$63:$T$91,3,FALSE)))+IF(AND($R36&lt;&gt;"",$R36&lt;&gt;"O3/CP",$R$15=D$18,MID($R36,4,1)="2",$R$15&lt;&gt;$R$14),VLOOKUP(CONCATENATE(LEFT($R36,2),"L"),$R$63:$T$91,3,FALSE),0)+IF(AND($R36="O3/CP",$R$14=D$18),VLOOKUP("O3",$R$63:$T$91,3,FALSE)+VLOOKUP("CP",$R$63:$T$91,3,FALSE),0)+IF(AND($S36&lt;&gt;"",$S36&lt;&gt;"--",$S36&lt;&gt;"O3/CP",$S$14=D$18),IF(LEFT($S36,1)="P",VLOOKUP(CONCATENATE(LEFT($S36,2),"H"),$R$63:$T$91,3,FALSE),VLOOKUP($S36,$R$63:$T$91,3,FALSE)))+IF(AND($S36&lt;&gt;"",$S36&lt;&gt;"O3/CP",$S$15=D$18,MID($S36,4,1)="2",$S$15&lt;&gt;$S$14),VLOOKUP(CONCATENATE(LEFT($S36,2),"L"),$R$63:$T$91,3,FALSE),0)+IF(AND($S36="O3/CP",$S$14=D$18),VLOOKUP("O3",$R$63:$T$91,3,FALSE)+VLOOKUP("CP",$R$63:$T$91,3,FALSE),0)+IF(AND($T36&lt;&gt;"",$T36&lt;&gt;"--",$T36&lt;&gt;"O3/CP",$T$14=D$18),IF(LEFT($T36,1)="P",VLOOKUP(CONCATENATE(LEFT($T36,2),"H"),$R$63:$T$91,3,FALSE),VLOOKUP($T36,$R$63:$T$91,3,FALSE)))+IF(AND($T36&lt;&gt;"",$T36&lt;&gt;"O3/CP",$T$15=D$18,MID($T36,4,1)="2",$T$15&lt;&gt;$T$14),VLOOKUP(CONCATENATE(LEFT($T36,2),"L"),$R$63:$T$91,3,FALSE),0)+IF(AND($T36="O3/CP",$T$14=D$18),VLOOKUP("O3",$R$63:$T$91,3,FALSE)+VLOOKUP("CP",$R$63:$T$91,3,FALSE),0)+IF(AND($U36&lt;&gt;"",$U36&lt;&gt;"--",$U36&lt;&gt;"O3/CP",$U$14=D$18),IF(LEFT($U36,1)="P",VLOOKUP(CONCATENATE(LEFT($U36,2),"H"),$R$63:$T$91,3,FALSE),VLOOKUP($U36,$R$63:$T$91,3,FALSE)))+IF(AND($U36&lt;&gt;"",$U36&lt;&gt;"O3/CP",$U$15=D$18,MID($U36,4,1)="2",$U$15&lt;&gt;$U$14),VLOOKUP(CONCATENATE(LEFT($U36,2),"L"),$R$63:$T$91,3,FALSE),0)+IF(AND($U36="O3/CP",$T$14=D$18),VLOOKUP("O3",$R$63:$T$91,3,FALSE)+VLOOKUP("CP",$R$63:$T$91,3,FALSE),0)+IF(AND($V36&lt;&gt;"",$V36&lt;&gt;"--",$V36&lt;&gt;"O3/CP",$V$14=D$18),IF(LEFT($V36,1)="P",VLOOKUP(CONCATENATE(LEFT($V36,2),"H"),$R$63:$T$91,3,FALSE),VLOOKUP($V36,$R$63:$T$91,3,FALSE)))+IF(AND($V36&lt;&gt;"",$V36&lt;&gt;"O3/CP",$V$15=D$18,MID($V36,4,1)="2",$V$15&lt;&gt;$V$14),VLOOKUP(CONCATENATE(LEFT($V36,2),"L"),$R$63:$T$91,3,FALSE),0)+IF(AND($V36="O3/CP",$V$14=D$18),VLOOKUP("O3",$R$63:$T$91,3,FALSE)+VLOOKUP("CP",$R$63:$T$91,3,FALSE),0)+IF(AND($W36&lt;&gt;"",$W36&lt;&gt;"--",$W36&lt;&gt;"O3/CP",$W$14=D$18),IF(LEFT($W36,1)="P",VLOOKUP(CONCATENATE(LEFT($W36,2),"H"),$R$63:$T$91,3,FALSE),VLOOKUP($W36,$R$63:$T$91,3,FALSE)))+IF(AND($W36&lt;&gt;"",$W36&lt;&gt;"O3/CP",$W$15=D$18,MID($W36,4,1)="2",$W$15&lt;&gt;$W$14),VLOOKUP(CONCATENATE(LEFT($W36,2),"L"),$R$63:$T$91,3,FALSE),0)+IF(AND($W36="O3/CP",$W$14=D$18),VLOOKUP("O3",$R$63:$T$91,3,FALSE)+VLOOKUP("CP",$R$63:$T$91,3,FALSE),0)+IF(AND($X36&lt;&gt;"",$X36&lt;&gt;"--",$X36&lt;&gt;"O3/CP",$X$14=D$18),IF(LEFT($X36,1)="P",VLOOKUP(CONCATENATE(LEFT($X36,2),"H"),$R$63:$T$91,3,FALSE),VLOOKUP($X36,$R$63:$T$91,3,FALSE)))+IF(AND($X36&lt;&gt;"",$X36&lt;&gt;"O3/CP",$X$15=D$18,MID($X36,4,1)="2",$X$15&lt;&gt;$X$14),VLOOKUP(CONCATENATE(LEFT($X36,2),"L"),$R$63:$T$91,3,FALSE),0)+IF(AND($X36="O3/CP",$X$14=D$18),VLOOKUP("O3",$R$63:$T$91,3,FALSE)+VLOOKUP("CP",$R$63:$T$91,3,FALSE),0)+IF(AND($Y36&lt;&gt;"",$Y36&lt;&gt;"--",$Y36&lt;&gt;"O3/CP",$Y$14=D$18),IF(LEFT($Y36,1)="P",VLOOKUP(CONCATENATE(LEFT($Y36,2),"H"),$R$63:$T$91,3,FALSE),VLOOKUP($Y36,$R$63:$T$91,3,FALSE)))+IF(AND($Y36&lt;&gt;"",$Y36&lt;&gt;"O3/CP",$Y$15=D$18,MID($Y36,4,1)="2",$Y$15&lt;&gt;$Y$14),VLOOKUP(CONCATENATE(LEFT($Y36,2),"L"),$R$63:$T$91,3,FALSE),0)+IF(AND($Y36="O3/CP",$Y$14=D$18),VLOOKUP("O3",$R$63:$T$91,3,FALSE)+VLOOKUP("CP",$R$63:$T$91,3,FALSE),0)+IF(AND($K$6="CE",'[3]Supply Attribution'!$G$20=D$18),LEFT($S$90,2),0)+IF(AND($X$86&lt;&gt;"Not Set",$X$87=D$18),$X$86,0)</f>
        <v>0</v>
      </c>
      <c r="E36" s="269">
        <f>IF(AND($K36&lt;&gt;"",$K36&lt;&gt;"--",$K36&lt;&gt;"O3/CP",$K$14=E$18),IF(LEFT($K36,1)="P",VLOOKUP(CONCATENATE(LEFT($K36,2),"H"),$R$63:$T$91,3,FALSE),VLOOKUP($K36,$R$63:$T$91,3,FALSE)))+IF(AND($K36&lt;&gt;"",$K36&lt;&gt;"O3/CP",$K$15=E$18,MID($K36,4,1)="2",$K$15&lt;&gt;$K$14),VLOOKUP(CONCATENATE(LEFT($K36,2),"L"),$R$63:$T$91,3,FALSE),0)+IF(AND($K36="O3/CP",$K$14=E$18),VLOOKUP("O3",$R$63:$T$91,3,FALSE)+VLOOKUP("CP",$R$63:$T$91,3,FALSE),0)+IF(AND($L36&lt;&gt;"",$L36&lt;&gt;"--",$L36&lt;&gt;"O3/CP",$L$14=E$18),IF(LEFT($L36,1)="P",VLOOKUP(CONCATENATE(LEFT($L36,2),"H"),$R$63:$T$91,3,FALSE),VLOOKUP($L36,$R$63:$T$91,3,FALSE)))+IF(AND($L36&lt;&gt;"",$L36&lt;&gt;"O3/CP",$L$15=E$18,MID($L36,4,1)="2",$L$15&lt;&gt;$L$14),VLOOKUP(CONCATENATE(LEFT($L36,2),"L"),$R$63:$T$91,3,FALSE),0)+IF(AND($L36="O3/CP",$L$14=E$18),VLOOKUP("O3",$R$63:$T$91,3,FALSE)+VLOOKUP("CP",$R$63:$T$91,3,FALSE),0)+IF(AND($M36&lt;&gt;"",$M36&lt;&gt;"--",$M36&lt;&gt;"O3/CP",$M$14=E$18),IF(LEFT($M36,1)="P",VLOOKUP(CONCATENATE(LEFT($M36,2),"H"),$R$63:$T$91,3,FALSE),VLOOKUP($M36,$R$63:$T$91,3,FALSE)))+IF(AND($M36&lt;&gt;"",$M36&lt;&gt;"O3/CP",$M$15=E$18,MID($M36,4,1)="2",$M$15&lt;&gt;$M$14),VLOOKUP(CONCATENATE(LEFT($M36,2),"L"),$R$63:$T$91,3,FALSE),0)+IF(AND($M36="O3/CP",$M$14=E$18),VLOOKUP("O3",$R$63:$T$91,3,FALSE)+VLOOKUP("CP",$R$63:$T$91,3,FALSE),0)+IF(AND($N36&lt;&gt;"",$N36&lt;&gt;"--",$N36&lt;&gt;"O3/CP",$N$14=E$18),IF(LEFT($N36,1)="P",VLOOKUP(CONCATENATE(LEFT($N36,2),"H"),$R$63:$T$91,3,FALSE),VLOOKUP($N36,$R$63:$T$91,3,FALSE)))+IF(AND($N36&lt;&gt;"",$N36&lt;&gt;"O3/CP",$N$15=E$18,MID($N36,4,1)="2",$N$15&lt;&gt;$N$14),VLOOKUP(CONCATENATE(LEFT($N36,2),"L"),$R$63:$T$91,3,FALSE),0)+IF(AND($N36="O3/CP",$N$14=E$18),VLOOKUP("O3",$R$63:$T$91,3,FALSE)+VLOOKUP("CP",$R$63:$T$91,3,FALSE),0)+IF(AND($O36&lt;&gt;"",$O36&lt;&gt;"--",$O36&lt;&gt;"O3/CP",$O$14=E$18),IF(LEFT($O36,1)="P",VLOOKUP(CONCATENATE(LEFT($O36,2),"H"),$R$63:$T$91,3,FALSE),VLOOKUP($O36,$R$63:$T$91,3,FALSE)))+IF(AND($O36&lt;&gt;"",$O36&lt;&gt;"O3/CP",$O$15=E$18,MID($O36,4,1)="2",$O$15&lt;&gt;$O$14),VLOOKUP(CONCATENATE(LEFT($O36,2),"L"),$R$63:$T$91,3,FALSE),0)+IF(AND($O36="O3/CP",$O$14=E$18),VLOOKUP("O3",$R$63:$T$91,3,FALSE)+VLOOKUP("CP",$R$63:$T$91,3,FALSE),0)+IF(AND($P36&lt;&gt;"",$P36&lt;&gt;"--",$P36&lt;&gt;"O3/CP",$P$14=E$18),IF(LEFT($P36,1)="P",VLOOKUP(CONCATENATE(LEFT($P36,2),"H"),$R$63:$T$91,3,FALSE),VLOOKUP($P36,$R$63:$T$91,3,FALSE)))+IF(AND($P36&lt;&gt;"",$P36&lt;&gt;"O3/CP",$P$15=E$18,MID($P36,4,1)="2",$P$15&lt;&gt;$P$14),VLOOKUP(CONCATENATE(LEFT($P36,2),"L"),$R$63:$T$91,3,FALSE),0)+IF(AND($P36="O3/CP",$P$14=E$18),VLOOKUP("O3",$R$63:$T$91,3,FALSE)+VLOOKUP("CP",$R$63:$T$91,3,FALSE),0)+IF(AND($Q36&lt;&gt;"",$Q36&lt;&gt;"--",$Q36&lt;&gt;"O3/CP",$Q$14=E$18),IF(LEFT($Q36,1)="P",VLOOKUP(CONCATENATE(LEFT($Q36,2),"H"),$R$63:$T$91,3,FALSE),VLOOKUP($Q36,$R$63:$T$91,3,FALSE)))+IF(AND($Q36&lt;&gt;"",$Q36&lt;&gt;"O3/CP",$Q$15=E$18,MID($Q36,4,1)="2",$Q$15&lt;&gt;$Q$14),VLOOKUP(CONCATENATE(LEFT($Q36,2),"L"),$R$63:$T$91,3,FALSE),0)+IF(AND($Q36="O3/CP",$Q$14=E$18),VLOOKUP("O3",$R$63:$T$91,3,FALSE)+VLOOKUP("CP",$R$63:$T$91,3,FALSE),0)+IF(AND($R36&lt;&gt;"",$R36&lt;&gt;"--",$R36&lt;&gt;"O3/CP",$R$14=E$18),IF(LEFT($R36,1)="P",VLOOKUP(CONCATENATE(LEFT($R36,2),"H"),$R$63:$T$91,3,FALSE),VLOOKUP($R36,$R$63:$T$91,3,FALSE)))+IF(AND($R36&lt;&gt;"",$R36&lt;&gt;"O3/CP",$R$15=E$18,MID($R36,4,1)="2",$R$15&lt;&gt;$R$14),VLOOKUP(CONCATENATE(LEFT($R36,2),"L"),$R$63:$T$91,3,FALSE),0)+IF(AND($R36="O3/CP",$R$14=E$18),VLOOKUP("O3",$R$63:$T$91,3,FALSE)+VLOOKUP("CP",$R$63:$T$91,3,FALSE),0)+IF(AND($S36&lt;&gt;"",$S36&lt;&gt;"--",$S36&lt;&gt;"O3/CP",$S$14=E$18),IF(LEFT($S36,1)="P",VLOOKUP(CONCATENATE(LEFT($S36,2),"H"),$R$63:$T$91,3,FALSE),VLOOKUP($S36,$R$63:$T$91,3,FALSE)))+IF(AND($S36&lt;&gt;"",$S36&lt;&gt;"O3/CP",$S$15=E$18,MID($S36,4,1)="2",$S$15&lt;&gt;$S$14),VLOOKUP(CONCATENATE(LEFT($S36,2),"L"),$R$63:$T$91,3,FALSE),0)+IF(AND($S36="O3/CP",$S$14=E$18),VLOOKUP("O3",$R$63:$T$91,3,FALSE)+VLOOKUP("CP",$R$63:$T$91,3,FALSE),0)+IF(AND($T36&lt;&gt;"",$T36&lt;&gt;"--",$T36&lt;&gt;"O3/CP",$T$14=E$18),IF(LEFT($T36,1)="P",VLOOKUP(CONCATENATE(LEFT($T36,2),"H"),$R$63:$T$91,3,FALSE),VLOOKUP($T36,$R$63:$T$91,3,FALSE)))+IF(AND($T36&lt;&gt;"",$T36&lt;&gt;"O3/CP",$T$15=E$18,MID($T36,4,1)="2",$T$15&lt;&gt;$T$14),VLOOKUP(CONCATENATE(LEFT($T36,2),"L"),$R$63:$T$91,3,FALSE),0)+IF(AND($T36="O3/CP",$T$14=E$18),VLOOKUP("O3",$R$63:$T$91,3,FALSE)+VLOOKUP("CP",$R$63:$T$91,3,FALSE),0)+IF(AND($U36&lt;&gt;"",$U36&lt;&gt;"--",$U36&lt;&gt;"O3/CP",$U$14=E$18),IF(LEFT($U36,1)="P",VLOOKUP(CONCATENATE(LEFT($U36,2),"H"),$R$63:$T$91,3,FALSE),VLOOKUP($U36,$R$63:$T$91,3,FALSE)))+IF(AND($U36&lt;&gt;"",$U36&lt;&gt;"O3/CP",$U$15=E$18,MID($U36,4,1)="2",$U$15&lt;&gt;$U$14),VLOOKUP(CONCATENATE(LEFT($U36,2),"L"),$R$63:$T$91,3,FALSE),0)+IF(AND($U36="O3/CP",$T$14=E$18),VLOOKUP("O3",$R$63:$T$91,3,FALSE)+VLOOKUP("CP",$R$63:$T$91,3,FALSE),0)+IF(AND($V36&lt;&gt;"",$V36&lt;&gt;"--",$V36&lt;&gt;"O3/CP",$V$14=E$18),IF(LEFT($V36,1)="P",VLOOKUP(CONCATENATE(LEFT($V36,2),"H"),$R$63:$T$91,3,FALSE),VLOOKUP($V36,$R$63:$T$91,3,FALSE)))+IF(AND($V36&lt;&gt;"",$V36&lt;&gt;"O3/CP",$V$15=E$18,MID($V36,4,1)="2",$V$15&lt;&gt;$V$14),VLOOKUP(CONCATENATE(LEFT($V36,2),"L"),$R$63:$T$91,3,FALSE),0)+IF(AND($V36="O3/CP",$V$14=E$18),VLOOKUP("O3",$R$63:$T$91,3,FALSE)+VLOOKUP("CP",$R$63:$T$91,3,FALSE),0)+IF(AND($W36&lt;&gt;"",$W36&lt;&gt;"--",$W36&lt;&gt;"O3/CP",$W$14=E$18),IF(LEFT($W36,1)="P",VLOOKUP(CONCATENATE(LEFT($W36,2),"H"),$R$63:$T$91,3,FALSE),VLOOKUP($W36,$R$63:$T$91,3,FALSE)))+IF(AND($W36&lt;&gt;"",$W36&lt;&gt;"O3/CP",$W$15=E$18,MID($W36,4,1)="2",$W$15&lt;&gt;$W$14),VLOOKUP(CONCATENATE(LEFT($W36,2),"L"),$R$63:$T$91,3,FALSE),0)+IF(AND($W36="O3/CP",$W$14=E$18),VLOOKUP("O3",$R$63:$T$91,3,FALSE)+VLOOKUP("CP",$R$63:$T$91,3,FALSE),0)+IF(AND($X36&lt;&gt;"",$X36&lt;&gt;"--",$X36&lt;&gt;"O3/CP",$X$14=E$18),IF(LEFT($X36,1)="P",VLOOKUP(CONCATENATE(LEFT($X36,2),"H"),$R$63:$T$91,3,FALSE),VLOOKUP($X36,$R$63:$T$91,3,FALSE)))+IF(AND($X36&lt;&gt;"",$X36&lt;&gt;"O3/CP",$X$15=E$18,MID($X36,4,1)="2",$X$15&lt;&gt;$X$14),VLOOKUP(CONCATENATE(LEFT($X36,2),"L"),$R$63:$T$91,3,FALSE),0)+IF(AND($X36="O3/CP",$X$14=E$18),VLOOKUP("O3",$R$63:$T$91,3,FALSE)+VLOOKUP("CP",$R$63:$T$91,3,FALSE),0)+IF(AND($Y36&lt;&gt;"",$Y36&lt;&gt;"--",$Y36&lt;&gt;"O3/CP",$Y$14=E$18),IF(LEFT($Y36,1)="P",VLOOKUP(CONCATENATE(LEFT($Y36,2),"H"),$R$63:$T$91,3,FALSE),VLOOKUP($Y36,$R$63:$T$91,3,FALSE)))+IF(AND($Y36&lt;&gt;"",$Y36&lt;&gt;"O3/CP",$Y$15=E$18,MID($Y36,4,1)="2",$Y$15&lt;&gt;$Y$14),VLOOKUP(CONCATENATE(LEFT($Y36,2),"L"),$R$63:$T$91,3,FALSE),0)+IF(AND($Y36="O3/CP",$Y$14=E$18),VLOOKUP("O3",$R$63:$T$91,3,FALSE)+VLOOKUP("CP",$R$63:$T$91,3,FALSE),0)+IF(AND($K$6="CE",'[3]Supply Attribution'!$G$20=E$18),LEFT($S$90,2),0)+IF(AND($X$86&lt;&gt;"Not Set",$X$87=E$18),$X$86,0)</f>
        <v>0</v>
      </c>
      <c r="F36" s="268">
        <f>IF(AND($K36&lt;&gt;"",$K36&lt;&gt;"--",$K36&lt;&gt;"O3/CP",$K$14=F$18),IF(LEFT($K36,1)="P",VLOOKUP(CONCATENATE(LEFT($K36,2),"H"),$R$63:$T$91,3,FALSE),VLOOKUP($K36,$R$63:$T$91,3,FALSE)))+IF(AND($K36&lt;&gt;"",$K36&lt;&gt;"O3/CP",$K$15=F$18,MID($K36,4,1)="2",$K$15&lt;&gt;$K$14),VLOOKUP(CONCATENATE(LEFT($K36,2),"L"),$R$63:$T$91,3,FALSE),0)+IF(AND($K36="O3/CP",$K$14=F$18),VLOOKUP("O3",$R$63:$T$91,3,FALSE)+VLOOKUP("CP",$R$63:$T$91,3,FALSE),0)+IF(AND($L36&lt;&gt;"",$L36&lt;&gt;"--",$L36&lt;&gt;"O3/CP",$L$14=F$18),IF(LEFT($L36,1)="P",VLOOKUP(CONCATENATE(LEFT($L36,2),"H"),$R$63:$T$91,3,FALSE),VLOOKUP($L36,$R$63:$T$91,3,FALSE)))+IF(AND($L36&lt;&gt;"",$L36&lt;&gt;"O3/CP",$L$15=F$18,MID($L36,4,1)="2",$L$15&lt;&gt;$L$14),VLOOKUP(CONCATENATE(LEFT($L36,2),"L"),$R$63:$T$91,3,FALSE),0)+IF(AND($L36="O3/CP",$L$14=F$18),VLOOKUP("O3",$R$63:$T$91,3,FALSE)+VLOOKUP("CP",$R$63:$T$91,3,FALSE),0)+IF(AND($M36&lt;&gt;"",$M36&lt;&gt;"--",$M36&lt;&gt;"O3/CP",$M$14=F$18),IF(LEFT($M36,1)="P",VLOOKUP(CONCATENATE(LEFT($M36,2),"H"),$R$63:$T$91,3,FALSE),VLOOKUP($M36,$R$63:$T$91,3,FALSE)))+IF(AND($M36&lt;&gt;"",$M36&lt;&gt;"O3/CP",$M$15=F$18,MID($M36,4,1)="2",$M$15&lt;&gt;$M$14),VLOOKUP(CONCATENATE(LEFT($M36,2),"L"),$R$63:$T$91,3,FALSE),0)+IF(AND($M36="O3/CP",$M$14=F$18),VLOOKUP("O3",$R$63:$T$91,3,FALSE)+VLOOKUP("CP",$R$63:$T$91,3,FALSE),0)+IF(AND($N36&lt;&gt;"",$N36&lt;&gt;"--",$N36&lt;&gt;"O3/CP",$N$14=F$18),IF(LEFT($N36,1)="P",VLOOKUP(CONCATENATE(LEFT($N36,2),"H"),$R$63:$T$91,3,FALSE),VLOOKUP($N36,$R$63:$T$91,3,FALSE)))+IF(AND($N36&lt;&gt;"",$N36&lt;&gt;"O3/CP",$N$15=F$18,MID($N36,4,1)="2",$N$15&lt;&gt;$N$14),VLOOKUP(CONCATENATE(LEFT($N36,2),"L"),$R$63:$T$91,3,FALSE),0)+IF(AND($N36="O3/CP",$N$14=F$18),VLOOKUP("O3",$R$63:$T$91,3,FALSE)+VLOOKUP("CP",$R$63:$T$91,3,FALSE),0)+IF(AND($O36&lt;&gt;"",$O36&lt;&gt;"--",$O36&lt;&gt;"O3/CP",$O$14=F$18),IF(LEFT($O36,1)="P",VLOOKUP(CONCATENATE(LEFT($O36,2),"H"),$R$63:$T$91,3,FALSE),VLOOKUP($O36,$R$63:$T$91,3,FALSE)))+IF(AND($O36&lt;&gt;"",$O36&lt;&gt;"O3/CP",$O$15=F$18,MID($O36,4,1)="2",$O$15&lt;&gt;$O$14),VLOOKUP(CONCATENATE(LEFT($O36,2),"L"),$R$63:$T$91,3,FALSE),0)+IF(AND($O36="O3/CP",$O$14=F$18),VLOOKUP("O3",$R$63:$T$91,3,FALSE)+VLOOKUP("CP",$R$63:$T$91,3,FALSE),0)+IF(AND($P36&lt;&gt;"",$P36&lt;&gt;"--",$P36&lt;&gt;"O3/CP",$P$14=F$18),IF(LEFT($P36,1)="P",VLOOKUP(CONCATENATE(LEFT($P36,2),"H"),$R$63:$T$91,3,FALSE),VLOOKUP($P36,$R$63:$T$91,3,FALSE)))+IF(AND($P36&lt;&gt;"",$P36&lt;&gt;"O3/CP",$P$15=F$18,MID($P36,4,1)="2",$P$15&lt;&gt;$P$14),VLOOKUP(CONCATENATE(LEFT($P36,2),"L"),$R$63:$T$91,3,FALSE),0)+IF(AND($P36="O3/CP",$P$14=F$18),VLOOKUP("O3",$R$63:$T$91,3,FALSE)+VLOOKUP("CP",$R$63:$T$91,3,FALSE),0)+IF(AND($Q36&lt;&gt;"",$Q36&lt;&gt;"--",$Q36&lt;&gt;"O3/CP",$Q$14=F$18),IF(LEFT($Q36,1)="P",VLOOKUP(CONCATENATE(LEFT($Q36,2),"H"),$R$63:$T$91,3,FALSE),VLOOKUP($Q36,$R$63:$T$91,3,FALSE)))+IF(AND($Q36&lt;&gt;"",$Q36&lt;&gt;"O3/CP",$Q$15=F$18,MID($Q36,4,1)="2",$Q$15&lt;&gt;$Q$14),VLOOKUP(CONCATENATE(LEFT($Q36,2),"L"),$R$63:$T$91,3,FALSE),0)+IF(AND($Q36="O3/CP",$Q$14=F$18),VLOOKUP("O3",$R$63:$T$91,3,FALSE)+VLOOKUP("CP",$R$63:$T$91,3,FALSE),0)+IF(AND($R36&lt;&gt;"",$R36&lt;&gt;"--",$R36&lt;&gt;"O3/CP",$R$14=F$18),IF(LEFT($R36,1)="P",VLOOKUP(CONCATENATE(LEFT($R36,2),"H"),$R$63:$T$91,3,FALSE),VLOOKUP($R36,$R$63:$T$91,3,FALSE)))+IF(AND($R36&lt;&gt;"",$R36&lt;&gt;"O3/CP",$R$15=F$18,MID($R36,4,1)="2",$R$15&lt;&gt;$R$14),VLOOKUP(CONCATENATE(LEFT($R36,2),"L"),$R$63:$T$91,3,FALSE),0)+IF(AND($R36="O3/CP",$R$14=F$18),VLOOKUP("O3",$R$63:$T$91,3,FALSE)+VLOOKUP("CP",$R$63:$T$91,3,FALSE),0)+IF(AND($S36&lt;&gt;"",$S36&lt;&gt;"--",$S36&lt;&gt;"O3/CP",$S$14=F$18),IF(LEFT($S36,1)="P",VLOOKUP(CONCATENATE(LEFT($S36,2),"H"),$R$63:$T$91,3,FALSE),VLOOKUP($S36,$R$63:$T$91,3,FALSE)))+IF(AND($S36&lt;&gt;"",$S36&lt;&gt;"O3/CP",$S$15=F$18,MID($S36,4,1)="2",$S$15&lt;&gt;$S$14),VLOOKUP(CONCATENATE(LEFT($S36,2),"L"),$R$63:$T$91,3,FALSE),0)+IF(AND($S36="O3/CP",$S$14=F$18),VLOOKUP("O3",$R$63:$T$91,3,FALSE)+VLOOKUP("CP",$R$63:$T$91,3,FALSE),0)+IF(AND($T36&lt;&gt;"",$T36&lt;&gt;"--",$T36&lt;&gt;"O3/CP",$T$14=F$18),IF(LEFT($T36,1)="P",VLOOKUP(CONCATENATE(LEFT($T36,2),"H"),$R$63:$T$91,3,FALSE),VLOOKUP($T36,$R$63:$T$91,3,FALSE)))+IF(AND($T36&lt;&gt;"",$T36&lt;&gt;"O3/CP",$T$15=F$18,MID($T36,4,1)="2",$T$15&lt;&gt;$T$14),VLOOKUP(CONCATENATE(LEFT($T36,2),"L"),$R$63:$T$91,3,FALSE),0)+IF(AND($T36="O3/CP",$T$14=F$18),VLOOKUP("O3",$R$63:$T$91,3,FALSE)+VLOOKUP("CP",$R$63:$T$91,3,FALSE),0)+IF(AND($U36&lt;&gt;"",$U36&lt;&gt;"--",$U36&lt;&gt;"O3/CP",$U$14=F$18),IF(LEFT($U36,1)="P",VLOOKUP(CONCATENATE(LEFT($U36,2),"H"),$R$63:$T$91,3,FALSE),VLOOKUP($U36,$R$63:$T$91,3,FALSE)))+IF(AND($U36&lt;&gt;"",$U36&lt;&gt;"O3/CP",$U$15=F$18,MID($U36,4,1)="2",$U$15&lt;&gt;$U$14),VLOOKUP(CONCATENATE(LEFT($U36,2),"L"),$R$63:$T$91,3,FALSE),0)+IF(AND($U36="O3/CP",$T$14=F$18),VLOOKUP("O3",$R$63:$T$91,3,FALSE)+VLOOKUP("CP",$R$63:$T$91,3,FALSE),0)+IF(AND($V36&lt;&gt;"",$V36&lt;&gt;"--",$V36&lt;&gt;"O3/CP",$V$14=F$18),IF(LEFT($V36,1)="P",VLOOKUP(CONCATENATE(LEFT($V36,2),"H"),$R$63:$T$91,3,FALSE),VLOOKUP($V36,$R$63:$T$91,3,FALSE)))+IF(AND($V36&lt;&gt;"",$V36&lt;&gt;"O3/CP",$V$15=F$18,MID($V36,4,1)="2",$V$15&lt;&gt;$V$14),VLOOKUP(CONCATENATE(LEFT($V36,2),"L"),$R$63:$T$91,3,FALSE),0)+IF(AND($V36="O3/CP",$V$14=F$18),VLOOKUP("O3",$R$63:$T$91,3,FALSE)+VLOOKUP("CP",$R$63:$T$91,3,FALSE),0)+IF(AND($W36&lt;&gt;"",$W36&lt;&gt;"--",$W36&lt;&gt;"O3/CP",$W$14=F$18),IF(LEFT($W36,1)="P",VLOOKUP(CONCATENATE(LEFT($W36,2),"H"),$R$63:$T$91,3,FALSE),VLOOKUP($W36,$R$63:$T$91,3,FALSE)))+IF(AND($W36&lt;&gt;"",$W36&lt;&gt;"O3/CP",$W$15=F$18,MID($W36,4,1)="2",$W$15&lt;&gt;$W$14),VLOOKUP(CONCATENATE(LEFT($W36,2),"L"),$R$63:$T$91,3,FALSE),0)+IF(AND($W36="O3/CP",$W$14=F$18),VLOOKUP("O3",$R$63:$T$91,3,FALSE)+VLOOKUP("CP",$R$63:$T$91,3,FALSE),0)+IF(AND($X36&lt;&gt;"",$X36&lt;&gt;"--",$X36&lt;&gt;"O3/CP",$X$14=F$18),IF(LEFT($X36,1)="P",VLOOKUP(CONCATENATE(LEFT($X36,2),"H"),$R$63:$T$91,3,FALSE),VLOOKUP($X36,$R$63:$T$91,3,FALSE)))+IF(AND($X36&lt;&gt;"",$X36&lt;&gt;"O3/CP",$X$15=F$18,MID($X36,4,1)="2",$X$15&lt;&gt;$X$14),VLOOKUP(CONCATENATE(LEFT($X36,2),"L"),$R$63:$T$91,3,FALSE),0)+IF(AND($X36="O3/CP",$X$14=F$18),VLOOKUP("O3",$R$63:$T$91,3,FALSE)+VLOOKUP("CP",$R$63:$T$91,3,FALSE),0)+IF(AND($Y36&lt;&gt;"",$Y36&lt;&gt;"--",$Y36&lt;&gt;"O3/CP",$Y$14=F$18),IF(LEFT($Y36,1)="P",VLOOKUP(CONCATENATE(LEFT($Y36,2),"H"),$R$63:$T$91,3,FALSE),VLOOKUP($Y36,$R$63:$T$91,3,FALSE)))+IF(AND($Y36&lt;&gt;"",$Y36&lt;&gt;"O3/CP",$Y$15=F$18,MID($Y36,4,1)="2",$Y$15&lt;&gt;$Y$14),VLOOKUP(CONCATENATE(LEFT($Y36,2),"L"),$R$63:$T$91,3,FALSE),0)+IF(AND($Y36="O3/CP",$Y$14=F$18),VLOOKUP("O3",$R$63:$T$91,3,FALSE)+VLOOKUP("CP",$R$63:$T$91,3,FALSE),0)+IF(AND($K$6="CE",'[3]Supply Attribution'!$G$20=F$18),LEFT($S$90,2),0)+IF(AND($X$86&lt;&gt;"Not Set",$X$87=F$18),$X$86,0)</f>
        <v>0</v>
      </c>
      <c r="G36" s="269">
        <f>IF(AND($K$6="CE",$T$59="1 Phase"),SUM(A36:F36)-IF(AND($K$14&lt;&gt;$K$15,RIGHT($K36,3)="2SP"),VLOOKUP(CONCATENATE(LEFT($K36,2),"L"),$R$63:$T$90,3,FALSE),0)-IF(AND($L$14&lt;&gt;$L$15,RIGHT($L36,3)="2SP"),VLOOKUP(CONCATENATE(LEFT($L36,2),"L"),$R$63:$T$90,3,FALSE),0)-IF(AND($M$14&lt;&gt;$M$15,RIGHT($M36,3)="2SP"),VLOOKUP(CONCATENATE(LEFT($M36,2),"L"),$R$63:$T$90,3,FALSE),0)-IF(AND($N$14&lt;&gt;$N$15,RIGHT($N36,3)="2SP"),VLOOKUP(CONCATENATE(LEFT($N36,2),"L"),$R$63:$T$90,3,FALSE),0)-IF(AND($O$14&lt;&gt;$O$15,RIGHT($O36,3)="2SP"),VLOOKUP(CONCATENATE(LEFT($O36,2),"L"),$R$63:$T$90,3,FALSE),0)-IF(AND($P$14&lt;&gt;$P$15,RIGHT($P36,3)="2SP"),VLOOKUP(CONCATENATE(LEFT($P36,2),"L"),$R$63:$T$90,3,FALSE),0)-IF(AND($Q$14&lt;&gt;$Q$15,RIGHT($Q36,3)="2SP"),VLOOKUP(CONCATENATE(LEFT($Q36,2),"L"),$R$63:$T$90,3,FALSE),0)-IF(AND($R$14&lt;&gt;$R$15,RIGHT($T36,3)="2SP"),VLOOKUP(CONCATENATE(LEFT($R36,2),"L"),$R$63:$T$90,3,FALSE),0)-IF(AND($S$14&lt;&gt;$S$15,RIGHT($T36,3)="2SP"),VLOOKUP(CONCATENATE(LEFT($S36,2),"L"),$R$63:$T$90,3,FALSE),0)-IF(AND($T$14&lt;&gt;$T$15,RIGHT($T36,3)="2SP"),VLOOKUP(CONCATENATE(LEFT($T36,2),"L"),$R$63:$T$90,3,FALSE),0)-IF(AND($U$14&lt;&gt;$U$15,RIGHT($U36,3)="2SP"),VLOOKUP(CONCATENATE(LEFT($U36,2),"L"),$R$63:$T$90,3,FALSE),0)-IF(AND($V$14&lt;&gt;$V$15,RIGHT($V36,3)="2SP"),VLOOKUP(CONCATENATE(LEFT($V36,2),"L"),$R$63:$T$90,3,FALSE),0)-IF(AND($W$14&lt;&gt;$W$15,RIGHT($W36,3)="2SP"),VLOOKUP(CONCATENATE(LEFT($W36,2),"L"),$R$63:$T$90,3,FALSE),0)-IF(AND($X$14&lt;&gt;$X$15,RIGHT($X36,3)="2SP"),VLOOKUP(CONCATENATE(LEFT($X36,2),"L"),$R$63:$T$90,3,FALSE),0)-IF(AND($Y$14&lt;&gt;$Y$15,RIGHT($Y36,3)="2SP"),VLOOKUP(CONCATENATE(LEFT($Y36,2),"L"),$R$63:$T$90,3,FALSE),0),IF(VLOOKUP(CONCATENATE($A$18,"Line"),'[3]Supply Attribution'!$F$31:$G$37,2,FALSE)=G$18,$A36,0)+IF(VLOOKUP(CONCATENATE($B$18,"Line"),'[3]Supply Attribution'!$F$31:$G$37,2,FALSE)=G$18,$B36,0)+IF(VLOOKUP(CONCATENATE($C$18,"Line"),'[3]Supply Attribution'!$F$31:$G$37,2,FALSE)=G$18,$C36,0)+IF(VLOOKUP(CONCATENATE($D$18,"Line"),'[3]Supply Attribution'!$F$31:$G$37,2,FALSE)=G$18,$D36,0)+IF(VLOOKUP(CONCATENATE($E$18,"Line"),'[3]Supply Attribution'!$F$31:$G$37,2,FALSE)=G$18,$E36,0)+IF(VLOOKUP(CONCATENATE($F$18,"Line"),'[3]Supply Attribution'!$F$31:$G$37,2,FALSE)=G$18,$F36,0)+IF($K$6="UL",LEFT($S$90,2),0)-IF(AND($K$16=G$18,$K$14&lt;&gt;$K$15,$K$16=$K$17,RIGHT($K36,3)="2SP"),VLOOKUP(CONCATENATE(LEFT($K36,2),"L"),$R$63:$T$90,3,FALSE),0)-IF(AND($L$16=G$18,$L$14&lt;&gt;$L$15,$L$16=$L$17,RIGHT($L36,3)="2SP"),VLOOKUP(CONCATENATE(LEFT($L36,2),"L"),$R$63:$T$90,3,FALSE),0)-IF(AND($M$16=G$18,$M$14&lt;&gt;$M$15,$M$16=$M$17,RIGHT($M36,3)="2SP"),VLOOKUP(CONCATENATE(LEFT($M36,2),"L"),$R$63:$T$90,3,FALSE),0)-IF(AND($N$16=G$18,$N$14&lt;&gt;$N$15,$N$16=$N$17,RIGHT($N36,3)="2SP"),VLOOKUP(CONCATENATE(LEFT($N36,2),"L"),$R$63:$T$90,3,FALSE),0)-IF(AND($O$16=G$18,$O$14&lt;&gt;$O$15,$O$16=$O$17,RIGHT($O36,3)="2SP"),VLOOKUP(CONCATENATE(LEFT($O36,2),"L"),$R$63:$T$90,3,FALSE),0)-IF(AND($P$16=G$18,$P$14&lt;&gt;$P$15,$P$16=$P$17,RIGHT($P36,3)="2SP"),VLOOKUP(CONCATENATE(LEFT($P36,2),"L"),$R$63:$T$90,3,FALSE),0)-IF(AND($Q$16=G$18,$Q$14&lt;&gt;$Q$15,$Q$16=$Q$17,RIGHT($Q36,3)="2SP"),VLOOKUP(CONCATENATE(LEFT($Q36,2),"L"),$R$63:$T$90,3,FALSE),0)-IF(AND($R$16=G$18,$R$14&lt;&gt;$R$15,$R$16=$R$17,RIGHT($R36,3)="2SP"),VLOOKUP(CONCATENATE(LEFT($R36,2),"L"),$R$63:$T$90,3,FALSE),0)-IF(AND($S$16=G$18,$S$14&lt;&gt;$S$15,$S$16=$S$17,RIGHT($S36,3)="2SP"),VLOOKUP(CONCATENATE(LEFT($S36,2),"L"),$R$63:$T$90,3,FALSE),0)-IF(AND($T$16=G$18,$T$14&lt;&gt;$T$15,$T$16=$T$17,RIGHT($T36,3)="2SP"),VLOOKUP(CONCATENATE(LEFT($T36,2),"L"),$R$63:$T$90,3,FALSE),0)-IF(AND($U$16=G$18,$U$14&lt;&gt;$U$15,$U$16=$U$17,RIGHT($U36,3)="2SP"),VLOOKUP(CONCATENATE(LEFT($U36,2),"L"),$R$63:$T$90,3,FALSE),0)-IF(AND($V$16=G$18,$V$14&lt;&gt;$V$15,$V$16=$V$17,RIGHT($V36,3)="2SP"),VLOOKUP(CONCATENATE(LEFT($V36,2),"L"),$R$63:$T$90,3,FALSE),0)-IF(AND($W$16=G$18,$W$14&lt;&gt;$W$15,$W$16=$W$17,RIGHT($W36,3)="2SP"),VLOOKUP(CONCATENATE(LEFT($W36,2),"L"),$R$63:$T$90,3,FALSE),0)-IF(AND($X$16=G$18,$X$14&lt;&gt;$X$15,$X$16=$X$17,RIGHT($X36,3)="2SP"),VLOOKUP(CONCATENATE(LEFT($X36,2),"L"),$R$63:$T$90,3,FALSE),0)-IF(AND($Y$16=G$18,$Y$14&lt;&gt;$Y$15,$Y$16=$Y$17,RIGHT($Y36,3)="2SP"),VLOOKUP(CONCATENATE(LEFT($Y36,2),"L"),$R$63:$T$90,3,FALSE),0))</f>
        <v>17</v>
      </c>
      <c r="H36" s="269" t="str">
        <f>IF(H$18&lt;&gt;"",IF(VLOOKUP(CONCATENATE($A$18,"Line"),'Supply Attribution'!$F$31:$G$37,2,FALSE)=H$18,$A36,0)+IF(VLOOKUP(CONCATENATE($B$18,"Line"),'Supply Attribution'!$F$31:$G$37,2,FALSE)=H$18,$B36,0)+IF(VLOOKUP(CONCATENATE($C$18,"Line"),'Supply Attribution'!$F$31:$G$37,2,FALSE)=H$18,$C36,0)+IF(VLOOKUP(CONCATENATE($D$18,"Line"),'Supply Attribution'!$F$31:$G$37,2,FALSE)=H$18,$D36,0)+IF(VLOOKUP(CONCATENATE($E$18,"Line"),'Supply Attribution'!$F$31:$G$37,2,FALSE)=H$18,$E36,0)+IF(VLOOKUP(CONCATENATE($F$18,"Line"),'Supply Attribution'!$F$31:$G$37,2,FALSE)=H$18,$F36,0)+IF($K$6="UL",LEFT($S$90,2),0)-IF(AND($K$16=H$18,$K$14&lt;&gt;$K$15,$K$16=$K$17,RIGHT($K36,3)="2SP"),VLOOKUP(CONCATENATE(LEFT($K36,2),"L"),$R$63:$T$90,3,FALSE),0)-IF(AND($L$16=H$18,$L$14&lt;&gt;$L$15,$L$16=$L$17,RIGHT($L36,3)="2SP"),VLOOKUP(CONCATENATE(LEFT($L36,2),"L"),$R$63:$T$90,3,FALSE),0)-IF(AND($M$16=H$18,$M$14&lt;&gt;$M$15,$M$16=$M$17,RIGHT($M36,3)="2SP"),VLOOKUP(CONCATENATE(LEFT($M36,2),"L"),$R$63:$T$90,3,FALSE),0)-IF(AND($N$16=H$18,$N$14&lt;&gt;$N$15,$N$16=$N$17,RIGHT($N36,3)="2SP"),VLOOKUP(CONCATENATE(LEFT($N36,2),"L"),$R$63:$T$90,3,FALSE),0)-IF(AND($O$16=H$18,$O$14&lt;&gt;$O$15,$O$16=$O$17,RIGHT($O36,3)="2SP"),VLOOKUP(CONCATENATE(LEFT($O36,2),"L"),$R$63:$T$90,3,FALSE),0)-IF(AND($P$16=H$18,$P$14&lt;&gt;$P$15,$P$16=$P$17,RIGHT($P36,3)="2SP"),VLOOKUP(CONCATENATE(LEFT($P36,2),"L"),$R$63:$T$90,3,FALSE),0)-IF(AND($Q$16=H$18,$Q$14&lt;&gt;$Q$15,$Q$16=$Q$17,RIGHT($Q36,3)="2SP"),VLOOKUP(CONCATENATE(LEFT($Q36,2),"L"),$R$63:$T$90,3,FALSE),0)-IF(AND($T$16=H$18,$T$14&lt;&gt;$T$15,$T$16=$T$17,RIGHT($T36,3)="2SP"),VLOOKUP(CONCATENATE(LEFT($T36,2),"L"),$R$63:$T$90,3,FALSE),0)-IF(AND($U$16=H$18,$U$14&lt;&gt;$U$15,$U$16=$U$17,RIGHT($U36,3)="2SP"),VLOOKUP(CONCATENATE(LEFT($U36,2),"L"),$R$63:$T$90,3,FALSE),0)-IF(AND($V$16=H$18,$V$14&lt;&gt;$V$15,$V$16=$V$17,RIGHT($V36,3)="2SP"),VLOOKUP(CONCATENATE(LEFT($V36,2),"L"),$R$63:$T$90,3,FALSE),0)-IF(AND($W$16=H$18,$W$14&lt;&gt;$W$15,$W$16=$W$17,RIGHT($W36,3)="2SP"),VLOOKUP(CONCATENATE(LEFT($W36,2),"L"),$R$63:$T$90,3,FALSE),0)-IF(AND($X$16=H$18,$X$14&lt;&gt;$X$15,$X$16=$X$17,RIGHT($X36,3)="2SP"),VLOOKUP(CONCATENATE(LEFT($X36,2),"L"),$R$63:$T$90,3,FALSE),0)-IF(AND($Y$16=H$18,$Y$14&lt;&gt;$Y$15,$Y$16=$Y$17,RIGHT($Y36,3)="2SP"),VLOOKUP(CONCATENATE(LEFT($Y36,2),"L"),$R$63:$T$90,3,FALSE),0)+IF(AND($K$6="CE",$T$59="2 Phases",H$18&lt;&gt;""),IF(VLOOKUP(CONCATENATE($A$18,"Line"),'Supply Attribution'!$F$31:$G$37,2,FALSE)="Line3",$A36,0)+IF(VLOOKUP(CONCATENATE($B$18,"Line"),'Supply Attribution'!$F$31:$G$37,2,FALSE)="Line3",$B36,0)+IF(VLOOKUP(CONCATENATE($C$18,"Line"),'Supply Attribution'!$F$31:$G$37,2,FALSE)="Line3",$C36,0)+IF(VLOOKUP(CONCATENATE($D$18,"Line"),'Supply Attribution'!$F$31:$G$37,2,FALSE)="Line3",$D36,0)+IF(VLOOKUP(CONCATENATE($E$18,"Line"),'Supply Attribution'!$F$31:$G$37,2,FALSE)="Line3",$E36,0)+IF(VLOOKUP(CONCATENATE($F$18,"Line"),'Supply Attribution'!$F$31:$G$37,2,FALSE)="Line3",$F36,0)-IF(AND($K$16=I$18,$K$14&lt;&gt;$K$15,$K$16=$K$17,RIGHT($K36,3)="2SP"),VLOOKUP(CONCATENATE(LEFT($K36,2),"L"),$R$63:$T$90,3,FALSE),0)-IF(AND($L$16=I$18,$L$14&lt;&gt;$L$15,$L$16=$L$17,RIGHT($L36,3)="2SP"),VLOOKUP(CONCATENATE(LEFT($L36,2),"L"),$R$63:$T$90,3,FALSE),0)-IF(AND($M$16=I$18,$M$14&lt;&gt;$M$15,$M$16=$M$17,RIGHT($M36,3)="2SP"),VLOOKUP(CONCATENATE(LEFT($M36,2),"L"),$R$63:$T$90,3,FALSE),0)-IF(AND($N$16=I$18,$N$14&lt;&gt;$N$15,$N$16=$N$17,RIGHT($N36,3)="2SP"),VLOOKUP(CONCATENATE(LEFT($N36,2),"L"),$R$63:$T$90,3,FALSE),0)-IF(AND($O$16=I$18,$O$14&lt;&gt;$O$15,$O$16=$O$17,RIGHT($O36,3)="2SP"),VLOOKUP(CONCATENATE(LEFT($O36,2),"L"),$R$63:$T$90,3,FALSE),0)-IF(AND($P$16=I$18,$P$14&lt;&gt;$P$15,$P$16=$P$17,RIGHT($P36,3)="2SP"),VLOOKUP(CONCATENATE(LEFT($P36,2),"L"),$R$63:$T$90,3,FALSE),0)-IF(AND($Q$16=I$18,$Q$14&lt;&gt;$Q$15,$Q$16=$Q$17,RIGHT($Q36,3)="2SP"),VLOOKUP(CONCATENATE(LEFT($Q36,2),"L"),$R$63:$T$90,3,FALSE),0)-IF(AND($T$16=I$18,$T$14&lt;&gt;$T$15,$T$16=$T$17,RIGHT($T36,3)="2SP"),VLOOKUP(CONCATENATE(LEFT($T36,2),"L"),$R$63:$T$90,3,FALSE),0)-IF(AND($U$16=I$18,$U$14&lt;&gt;$U$15,$U$16=$U$17,RIGHT($U36,3)="2SP"),VLOOKUP(CONCATENATE(LEFT($U36,2),"L"),$R$63:$T$90,3,FALSE),0)-IF(AND($V$16=I$18,$V$14&lt;&gt;$V$15,$V$16=$V$17,RIGHT($V36,3)="2SP"),VLOOKUP(CONCATENATE(LEFT($V36,2),"L"),$R$63:$T$90,3,FALSE),0)-IF(AND($W$16=I$18,$W$14&lt;&gt;$W$15,$W$16=$W$17,RIGHT($W36,3)="2SP"),VLOOKUP(CONCATENATE(LEFT($W36,2),"L"),$R$63:$T$90,3,FALSE),0)-IF(AND($X$16=I$18,$X$14&lt;&gt;$X$15,$X$16=$X$17,RIGHT($X36,3)="2SP"),VLOOKUP(CONCATENATE(LEFT($X36,2),"L"),$R$63:$T$90,3,FALSE),0)-IF(AND($Y$16=I$18,$Y$14&lt;&gt;$Y$15,$Y$16=$Y$17,RIGHT($Y36,3)="2SP"),VLOOKUP(CONCATENATE(LEFT($Y36,2),"L"),$R$63:$T$90,3,FALSE),0),0),"")</f>
        <v/>
      </c>
      <c r="I36" s="269" t="str">
        <f>IF(I$18&lt;&gt;"",IF(VLOOKUP(CONCATENATE($A$18,"Line"),'Supply Attribution'!$F$31:$G$37,2,FALSE)=I$18,$A36,0)+IF(VLOOKUP(CONCATENATE($B$18,"Line"),'Supply Attribution'!$F$31:$G$37,2,FALSE)=I$18,$B36,0)+IF(VLOOKUP(CONCATENATE($C$18,"Line"),'Supply Attribution'!$F$31:$G$37,2,FALSE)=I$18,$C36,0)+IF(VLOOKUP(CONCATENATE($D$18,"Line"),'Supply Attribution'!$F$31:$G$37,2,FALSE)=I$18,$D36,0)+IF(VLOOKUP(CONCATENATE($E$18,"Line"),'Supply Attribution'!$F$31:$G$37,2,FALSE)=I$18,$E36,0)+IF(VLOOKUP(CONCATENATE($F$18,"Line"),'Supply Attribution'!$F$31:$G$37,2,FALSE)=I$18,$F36,0)+IF($K$6="UL",LEFT($S$90,2),0)-IF(AND($K$16=I$18,$K$14&lt;&gt;$K$15,$K$16=$K$17,RIGHT($K36,3)="2SP"),VLOOKUP(CONCATENATE(LEFT($K36,2),"L"),$R$63:$T$90,3,FALSE),0)-IF(AND($L$16=I$18,$L$14&lt;&gt;$L$15,$L$16=$L$17,RIGHT($L36,3)="2SP"),VLOOKUP(CONCATENATE(LEFT($L36,2),"L"),$R$63:$T$90,3,FALSE),0)-IF(AND($M$16=I$18,$M$14&lt;&gt;$M$15,$M$16=$M$17,RIGHT($M36,3)="2SP"),VLOOKUP(CONCATENATE(LEFT($M36,2),"L"),$R$63:$T$90,3,FALSE),0)-IF(AND($N$16=I$18,$N$14&lt;&gt;$N$15,$N$16=$N$17,RIGHT($N36,3)="2SP"),VLOOKUP(CONCATENATE(LEFT($N36,2),"L"),$R$63:$T$90,3,FALSE),0)-IF(AND($O$16=I$18,$O$14&lt;&gt;$O$15,$O$16=$O$17,RIGHT($O36,3)="2SP"),VLOOKUP(CONCATENATE(LEFT($O36,2),"L"),$R$63:$T$90,3,FALSE),0)-IF(AND($P$16=I$18,$P$14&lt;&gt;$P$15,$P$16=$P$17,RIGHT($P36,3)="2SP"),VLOOKUP(CONCATENATE(LEFT($P36,2),"L"),$R$63:$T$90,3,FALSE),0)-IF(AND($Q$16=I$18,$Q$14&lt;&gt;$Q$15,$Q$16=$Q$17,RIGHT($Q36,3)="2SP"),VLOOKUP(CONCATENATE(LEFT($Q36,2),"L"),$R$63:$T$90,3,FALSE),0)-IF(AND($T$16=I$18,$T$14&lt;&gt;$T$15,$T$16=$T$17,RIGHT($T36,3)="2SP"),VLOOKUP(CONCATENATE(LEFT($T36,2),"L"),$R$63:$T$90,3,FALSE),0)-IF(AND($U$16=I$18,$U$14&lt;&gt;$U$15,$U$16=$U$17,RIGHT($U36,3)="2SP"),VLOOKUP(CONCATENATE(LEFT($U36,2),"L"),$R$63:$T$90,3,FALSE),0)-IF(AND($V$16=I$18,$V$14&lt;&gt;$V$15,$V$16=$V$17,RIGHT($V36,3)="2SP"),VLOOKUP(CONCATENATE(LEFT($V36,2),"L"),$R$63:$T$90,3,FALSE),0)-IF(AND($W$16=I$18,$W$14&lt;&gt;$W$15,$W$16=$W$17,RIGHT($W36,3)="2SP"),VLOOKUP(CONCATENATE(LEFT($W36,2),"L"),$R$63:$T$90,3,FALSE),0)-IF(AND($X$16=I$18,$X$14&lt;&gt;$X$15,$X$16=$X$17,RIGHT($X36,3)="2SP"),VLOOKUP(CONCATENATE(LEFT($X36,2),"L"),$R$63:$T$90,3,FALSE),0)-IF(AND($Y$16=I$18,$Y$14&lt;&gt;$Y$15,$Y$16=$Y$17,RIGHT($Y36,3)="2SP"),VLOOKUP(CONCATENATE(LEFT($Y36,2),"L"),$R$63:$T$90,3,FALSE),0),"")</f>
        <v/>
      </c>
      <c r="J36" s="134"/>
      <c r="K36" s="135"/>
      <c r="L36" s="135"/>
      <c r="M36" s="135"/>
      <c r="N36" s="135"/>
      <c r="O36" s="135"/>
      <c r="P36" s="135"/>
      <c r="Q36" s="135"/>
      <c r="R36" s="135"/>
      <c r="S36" s="135"/>
      <c r="T36" s="135"/>
      <c r="U36" s="135"/>
      <c r="V36" s="135"/>
      <c r="W36" s="135"/>
      <c r="X36" s="135"/>
      <c r="Y36" s="135"/>
      <c r="Z36" s="136"/>
      <c r="AA36" s="136"/>
      <c r="AB36" s="137"/>
      <c r="AC36" s="137"/>
      <c r="AD36" s="137"/>
      <c r="AE36" s="138">
        <f t="shared" si="0"/>
        <v>0</v>
      </c>
      <c r="AF36" s="78"/>
    </row>
    <row r="37" spans="1:32">
      <c r="A37" s="264">
        <f>IF(AND($K37&lt;&gt;"",$K37&lt;&gt;"--",$K37&lt;&gt;"O3/CP",$K$14=A$18),IF(LEFT($K37,1)="P",VLOOKUP(CONCATENATE(LEFT($K37,2),"H"),$R$63:$T$91,3,FALSE),VLOOKUP($K37,$R$63:$T$91,3,FALSE)))+IF(AND($K37&lt;&gt;"",$K37&lt;&gt;"O3/CP",$K$15=A$18,MID($K37,4,1)="2",$K$15&lt;&gt;$K$14),VLOOKUP(CONCATENATE(LEFT($K37,2),"L"),$R$63:$T$91,3,FALSE),0)+IF(AND($K37="O3/CP",$K$14=A$18),VLOOKUP("O3",$R$63:$T$91,3,FALSE)+VLOOKUP("CP",$R$63:$T$91,3,FALSE),0)+IF(AND($L37&lt;&gt;"",$L37&lt;&gt;"--",$L37&lt;&gt;"O3/CP",$L$14=A$18),IF(LEFT($L37,1)="P",VLOOKUP(CONCATENATE(LEFT($L37,2),"H"),$R$63:$T$91,3,FALSE),VLOOKUP($L37,$R$63:$T$91,3,FALSE)))+IF(AND($L37&lt;&gt;"",$L37&lt;&gt;"O3/CP",$L$15=A$18,MID($L37,4,1)="2",$L$15&lt;&gt;$L$14),VLOOKUP(CONCATENATE(LEFT($L37,2),"L"),$R$63:$T$91,3,FALSE),0)+IF(AND($L37="O3/CP",$L$14=A$18),VLOOKUP("O3",$R$63:$T$91,3,FALSE)+VLOOKUP("CP",$R$63:$T$91,3,FALSE),0)+IF(AND($M37&lt;&gt;"",$M37&lt;&gt;"--",$M37&lt;&gt;"O3/CP",$M$14=A$18),IF(LEFT($M37,1)="P",VLOOKUP(CONCATENATE(LEFT($M37,2),"H"),$R$63:$T$91,3,FALSE),VLOOKUP($M37,$R$63:$T$91,3,FALSE)))+IF(AND($M37&lt;&gt;"",$M37&lt;&gt;"O3/CP",$M$15=A$18,MID($M37,4,1)="2",$M$15&lt;&gt;$M$14),VLOOKUP(CONCATENATE(LEFT($M37,2),"L"),$R$63:$T$91,3,FALSE),0)+IF(AND($M37="O3/CP",$M$14=A$18),VLOOKUP("O3",$R$63:$T$91,3,FALSE)+VLOOKUP("CP",$R$63:$T$91,3,FALSE),0)+IF(AND($N37&lt;&gt;"",$N37&lt;&gt;"--",$N37&lt;&gt;"O3/CP",$N$14=A$18),IF(LEFT($N37,1)="P",VLOOKUP(CONCATENATE(LEFT($N37,2),"H"),$R$63:$T$91,3,FALSE),VLOOKUP($N37,$R$63:$T$91,3,FALSE)))+IF(AND($N37&lt;&gt;"",$N37&lt;&gt;"O3/CP",$N$15=A$18,MID($N37,4,1)="2",$N$15&lt;&gt;$N$14),VLOOKUP(CONCATENATE(LEFT($N37,2),"L"),$R$63:$T$91,3,FALSE),0)+IF(AND($N37="O3/CP",$N$14=A$18),VLOOKUP("O3",$R$63:$T$91,3,FALSE)+VLOOKUP("CP",$R$63:$T$91,3,FALSE),0)+IF(AND($O37&lt;&gt;"",$O37&lt;&gt;"--",$O37&lt;&gt;"O3/CP",$O$14=A$18),IF(LEFT($O37,1)="P",VLOOKUP(CONCATENATE(LEFT($O37,2),"H"),$R$63:$T$91,3,FALSE),VLOOKUP($O37,$R$63:$T$91,3,FALSE)))+IF(AND($O37&lt;&gt;"",$O37&lt;&gt;"O3/CP",$O$15=A$18,MID($O37,4,1)="2",$O$15&lt;&gt;$O$14),VLOOKUP(CONCATENATE(LEFT($O37,2),"L"),$R$63:$T$91,3,FALSE),0)+IF(AND($O37="O3/CP",$O$14=A$18),VLOOKUP("O3",$R$63:$T$91,3,FALSE)+VLOOKUP("CP",$R$63:$T$91,3,FALSE),0)+IF(AND($P37&lt;&gt;"",$P37&lt;&gt;"--",$P37&lt;&gt;"O3/CP",$P$14=A$18),IF(LEFT($P37,1)="P",VLOOKUP(CONCATENATE(LEFT($P37,2),"H"),$R$63:$T$91,3,FALSE),VLOOKUP($P37,$R$63:$T$91,3,FALSE)))+IF(AND($P37&lt;&gt;"",$P37&lt;&gt;"O3/CP",$P$15=A$18,MID($P37,4,1)="2",$P$15&lt;&gt;$P$14),VLOOKUP(CONCATENATE(LEFT($P37,2),"L"),$R$63:$T$91,3,FALSE),0)+IF(AND($P37="O3/CP",$P$14=A$18),VLOOKUP("O3",$R$63:$T$91,3,FALSE)+VLOOKUP("CP",$R$63:$T$91,3,FALSE),0)+IF(AND($Q37&lt;&gt;"",$Q37&lt;&gt;"--",$Q37&lt;&gt;"O3/CP",$Q$14=A$18),IF(LEFT($Q37,1)="P",VLOOKUP(CONCATENATE(LEFT($Q37,2),"H"),$R$63:$T$91,3,FALSE),VLOOKUP($Q37,$R$63:$T$91,3,FALSE)))+IF(AND($Q37&lt;&gt;"",$Q37&lt;&gt;"O3/CP",$Q$15=A$18,MID($Q37,4,1)="2",$Q$15&lt;&gt;$Q$14),VLOOKUP(CONCATENATE(LEFT($Q37,2),"L"),$R$63:$T$91,3,FALSE),0)+IF(AND($Q37="O3/CP",$Q$14=A$18),VLOOKUP("O3",$R$63:$T$91,3,FALSE)+VLOOKUP("CP",$R$63:$T$91,3,FALSE),0)+IF(AND($R37&lt;&gt;"",$R37&lt;&gt;"--",$R37&lt;&gt;"O3/CP",$R$14=A$18),IF(LEFT($R37,1)="P",VLOOKUP(CONCATENATE(LEFT($R37,2),"H"),$R$63:$T$91,3,FALSE),VLOOKUP($R37,$R$63:$T$91,3,FALSE)))+IF(AND($R37&lt;&gt;"",$R37&lt;&gt;"O3/CP",$R$15=A$18,MID($R37,4,1)="2",$R$15&lt;&gt;$R$14),VLOOKUP(CONCATENATE(LEFT($R37,2),"L"),$R$63:$T$91,3,FALSE),0)+IF(AND($R37="O3/CP",$R$14=A$18),VLOOKUP("O3",$R$63:$T$91,3,FALSE)+VLOOKUP("CP",$R$63:$T$91,3,FALSE),0)+IF(AND($S37&lt;&gt;"",$S37&lt;&gt;"--",$S37&lt;&gt;"O3/CP",$S$14=A$18),IF(LEFT($S37,1)="P",VLOOKUP(CONCATENATE(LEFT($S37,2),"H"),$R$63:$T$91,3,FALSE),VLOOKUP($S37,$R$63:$T$91,3,FALSE)))+IF(AND($S37&lt;&gt;"",$S37&lt;&gt;"O3/CP",$S$15=A$18,MID($S37,4,1)="2",$S$15&lt;&gt;$S$14),VLOOKUP(CONCATENATE(LEFT($S37,2),"L"),$R$63:$T$91,3,FALSE),0)+IF(AND($S37="O3/CP",$S$14=A$18),VLOOKUP("O3",$R$63:$T$91,3,FALSE)+VLOOKUP("CP",$R$63:$T$91,3,FALSE),0)+IF(AND($T37&lt;&gt;"",$T37&lt;&gt;"--",$T37&lt;&gt;"O3/CP",$T$14=A$18),IF(LEFT($T37,1)="P",VLOOKUP(CONCATENATE(LEFT($T37,2),"H"),$R$63:$T$91,3,FALSE),VLOOKUP($T37,$R$63:$T$91,3,FALSE)))+IF(AND($T37&lt;&gt;"",$T37&lt;&gt;"O3/CP",$T$15=A$18,MID($T37,4,1)="2",$T$15&lt;&gt;$T$14),VLOOKUP(CONCATENATE(LEFT($T37,2),"L"),$R$63:$T$91,3,FALSE),0)+IF(AND($T37="O3/CP",$T$14=A$18),VLOOKUP("O3",$R$63:$T$91,3,FALSE)+VLOOKUP("CP",$R$63:$T$91,3,FALSE),0)+IF(AND($U37&lt;&gt;"",$U37&lt;&gt;"--",$U37&lt;&gt;"O3/CP",$U$14=A$18),IF(LEFT($U37,1)="P",VLOOKUP(CONCATENATE(LEFT($U37,2),"H"),$R$63:$T$91,3,FALSE),VLOOKUP($U37,$R$63:$T$91,3,FALSE)))+IF(AND($U37&lt;&gt;"",$U37&lt;&gt;"O3/CP",$U$15=A$18,MID($U37,4,1)="2",$U$15&lt;&gt;$U$14),VLOOKUP(CONCATENATE(LEFT($U37,2),"L"),$R$63:$T$91,3,FALSE),0)+IF(AND($U37="O3/CP",$T$14=A$18),VLOOKUP("O3",$R$63:$T$91,3,FALSE)+VLOOKUP("CP",$R$63:$T$91,3,FALSE),0)+IF(AND($V37&lt;&gt;"",$V37&lt;&gt;"--",$V37&lt;&gt;"O3/CP",$V$14=A$18),IF(LEFT($V37,1)="P",VLOOKUP(CONCATENATE(LEFT($V37,2),"H"),$R$63:$T$91,3,FALSE),VLOOKUP($V37,$R$63:$T$91,3,FALSE)))+IF(AND($V37&lt;&gt;"",$V37&lt;&gt;"O3/CP",$V$15=A$18,MID($V37,4,1)="2",$V$15&lt;&gt;$V$14),VLOOKUP(CONCATENATE(LEFT($V37,2),"L"),$R$63:$T$91,3,FALSE),0)+IF(AND($V37="O3/CP",$V$14=A$18),VLOOKUP("O3",$R$63:$T$91,3,FALSE)+VLOOKUP("CP",$R$63:$T$91,3,FALSE),0)+IF(AND($W37&lt;&gt;"",$W37&lt;&gt;"--",$W37&lt;&gt;"O3/CP",$W$14=A$18),IF(LEFT($W37,1)="P",VLOOKUP(CONCATENATE(LEFT($W37,2),"H"),$R$63:$T$91,3,FALSE),VLOOKUP($W37,$R$63:$T$91,3,FALSE)))+IF(AND($W37&lt;&gt;"",$W37&lt;&gt;"O3/CP",$W$15=A$18,MID($W37,4,1)="2",$W$15&lt;&gt;$W$14),VLOOKUP(CONCATENATE(LEFT($W37,2),"L"),$R$63:$T$91,3,FALSE),0)+IF(AND($W37="O3/CP",$W$14=A$18),VLOOKUP("O3",$R$63:$T$91,3,FALSE)+VLOOKUP("CP",$R$63:$T$91,3,FALSE),0)+IF(AND($X37&lt;&gt;"",$X37&lt;&gt;"--",$X37&lt;&gt;"O3/CP",$X$14=A$18),IF(LEFT($X37,1)="P",VLOOKUP(CONCATENATE(LEFT($X37,2),"H"),$R$63:$T$91,3,FALSE),VLOOKUP($X37,$R$63:$T$91,3,FALSE)))+IF(AND($X37&lt;&gt;"",$X37&lt;&gt;"O3/CP",$X$15=A$18,MID($X37,4,1)="2",$X$15&lt;&gt;$X$14),VLOOKUP(CONCATENATE(LEFT($X37,2),"L"),$R$63:$T$91,3,FALSE),0)+IF(AND($X37="O3/CP",$X$14=A$18),VLOOKUP("O3",$R$63:$T$91,3,FALSE)+VLOOKUP("CP",$R$63:$T$91,3,FALSE),0)+IF(AND($Y37&lt;&gt;"",$Y37&lt;&gt;"--",$Y37&lt;&gt;"O3/CP",$Y$14=A$18),IF(LEFT($Y37,1)="P",VLOOKUP(CONCATENATE(LEFT($Y37,2),"H"),$R$63:$T$91,3,FALSE),VLOOKUP($Y37,$R$63:$T$91,3,FALSE)))+IF(AND($Y37&lt;&gt;"",$Y37&lt;&gt;"O3/CP",$Y$15=A$18,MID($Y37,4,1)="2",$Y$15&lt;&gt;$Y$14),VLOOKUP(CONCATENATE(LEFT($Y37,2),"L"),$R$63:$T$91,3,FALSE),0)+IF(AND($Y37="O3/CP",$Y$14=A$18),VLOOKUP("O3",$R$63:$T$91,3,FALSE)+VLOOKUP("CP",$R$63:$T$91,3,FALSE),0)+IF(AND($K$6="CE",'[3]Supply Attribution'!$G$20=A$18),LEFT($S$90,2),0)+IF(AND($X$86&lt;&gt;"Not Set",$X$87=A$18),$X$86,0)</f>
        <v>0</v>
      </c>
      <c r="B37" s="271">
        <f>IF(AND($K37&lt;&gt;"",$K37&lt;&gt;"--",$K37&lt;&gt;"O3/CP",$K$14=B$18),IF(LEFT($K37,1)="P",VLOOKUP(CONCATENATE(LEFT($K37,2),"H"),$R$63:$T$91,3,FALSE),VLOOKUP($K37,$R$63:$T$91,3,FALSE)))+IF(AND($K37&lt;&gt;"",$K37&lt;&gt;"O3/CP",$K$15=B$18,MID($K37,4,1)="2",$K$15&lt;&gt;$K$14),VLOOKUP(CONCATENATE(LEFT($K37,2),"L"),$R$63:$T$91,3,FALSE),0)+IF(AND($K37="O3/CP",$K$14=B$18),VLOOKUP("O3",$R$63:$T$91,3,FALSE)+VLOOKUP("CP",$R$63:$T$91,3,FALSE),0)+IF(AND($L37&lt;&gt;"",$L37&lt;&gt;"--",$L37&lt;&gt;"O3/CP",$L$14=B$18),IF(LEFT($L37,1)="P",VLOOKUP(CONCATENATE(LEFT($L37,2),"H"),$R$63:$T$91,3,FALSE),VLOOKUP($L37,$R$63:$T$91,3,FALSE)))+IF(AND($L37&lt;&gt;"",$L37&lt;&gt;"O3/CP",$L$15=B$18,MID($L37,4,1)="2",$L$15&lt;&gt;$L$14),VLOOKUP(CONCATENATE(LEFT($L37,2),"L"),$R$63:$T$91,3,FALSE),0)+IF(AND($L37="O3/CP",$L$14=B$18),VLOOKUP("O3",$R$63:$T$91,3,FALSE)+VLOOKUP("CP",$R$63:$T$91,3,FALSE),0)+IF(AND($M37&lt;&gt;"",$M37&lt;&gt;"--",$M37&lt;&gt;"O3/CP",$M$14=B$18),IF(LEFT($M37,1)="P",VLOOKUP(CONCATENATE(LEFT($M37,2),"H"),$R$63:$T$91,3,FALSE),VLOOKUP($M37,$R$63:$T$91,3,FALSE)))+IF(AND($M37&lt;&gt;"",$M37&lt;&gt;"O3/CP",$M$15=B$18,MID($M37,4,1)="2",$M$15&lt;&gt;$M$14),VLOOKUP(CONCATENATE(LEFT($M37,2),"L"),$R$63:$T$91,3,FALSE),0)+IF(AND($M37="O3/CP",$M$14=B$18),VLOOKUP("O3",$R$63:$T$91,3,FALSE)+VLOOKUP("CP",$R$63:$T$91,3,FALSE),0)+IF(AND($N37&lt;&gt;"",$N37&lt;&gt;"--",$N37&lt;&gt;"O3/CP",$N$14=B$18),IF(LEFT($N37,1)="P",VLOOKUP(CONCATENATE(LEFT($N37,2),"H"),$R$63:$T$91,3,FALSE),VLOOKUP($N37,$R$63:$T$91,3,FALSE)))+IF(AND($N37&lt;&gt;"",$N37&lt;&gt;"O3/CP",$N$15=B$18,MID($N37,4,1)="2",$N$15&lt;&gt;$N$14),VLOOKUP(CONCATENATE(LEFT($N37,2),"L"),$R$63:$T$91,3,FALSE),0)+IF(AND($N37="O3/CP",$N$14=B$18),VLOOKUP("O3",$R$63:$T$91,3,FALSE)+VLOOKUP("CP",$R$63:$T$91,3,FALSE),0)+IF(AND($O37&lt;&gt;"",$O37&lt;&gt;"--",$O37&lt;&gt;"O3/CP",$O$14=B$18),IF(LEFT($O37,1)="P",VLOOKUP(CONCATENATE(LEFT($O37,2),"H"),$R$63:$T$91,3,FALSE),VLOOKUP($O37,$R$63:$T$91,3,FALSE)))+IF(AND($O37&lt;&gt;"",$O37&lt;&gt;"O3/CP",$O$15=B$18,MID($O37,4,1)="2",$O$15&lt;&gt;$O$14),VLOOKUP(CONCATENATE(LEFT($O37,2),"L"),$R$63:$T$91,3,FALSE),0)+IF(AND($O37="O3/CP",$O$14=B$18),VLOOKUP("O3",$R$63:$T$91,3,FALSE)+VLOOKUP("CP",$R$63:$T$91,3,FALSE),0)+IF(AND($P37&lt;&gt;"",$P37&lt;&gt;"--",$P37&lt;&gt;"O3/CP",$P$14=B$18),IF(LEFT($P37,1)="P",VLOOKUP(CONCATENATE(LEFT($P37,2),"H"),$R$63:$T$91,3,FALSE),VLOOKUP($P37,$R$63:$T$91,3,FALSE)))+IF(AND($P37&lt;&gt;"",$P37&lt;&gt;"O3/CP",$P$15=B$18,MID($P37,4,1)="2",$P$15&lt;&gt;$P$14),VLOOKUP(CONCATENATE(LEFT($P37,2),"L"),$R$63:$T$91,3,FALSE),0)+IF(AND($P37="O3/CP",$P$14=B$18),VLOOKUP("O3",$R$63:$T$91,3,FALSE)+VLOOKUP("CP",$R$63:$T$91,3,FALSE),0)+IF(AND($Q37&lt;&gt;"",$Q37&lt;&gt;"--",$Q37&lt;&gt;"O3/CP",$Q$14=B$18),IF(LEFT($Q37,1)="P",VLOOKUP(CONCATENATE(LEFT($Q37,2),"H"),$R$63:$T$91,3,FALSE),VLOOKUP($Q37,$R$63:$T$91,3,FALSE)))+IF(AND($Q37&lt;&gt;"",$Q37&lt;&gt;"O3/CP",$Q$15=B$18,MID($Q37,4,1)="2",$Q$15&lt;&gt;$Q$14),VLOOKUP(CONCATENATE(LEFT($Q37,2),"L"),$R$63:$T$91,3,FALSE),0)+IF(AND($Q37="O3/CP",$Q$14=B$18),VLOOKUP("O3",$R$63:$T$91,3,FALSE)+VLOOKUP("CP",$R$63:$T$91,3,FALSE),0)+IF(AND($R37&lt;&gt;"",$R37&lt;&gt;"--",$R37&lt;&gt;"O3/CP",$R$14=B$18),IF(LEFT($R37,1)="P",VLOOKUP(CONCATENATE(LEFT($R37,2),"H"),$R$63:$T$91,3,FALSE),VLOOKUP($R37,$R$63:$T$91,3,FALSE)))+IF(AND($R37&lt;&gt;"",$R37&lt;&gt;"O3/CP",$R$15=B$18,MID($R37,4,1)="2",$R$15&lt;&gt;$R$14),VLOOKUP(CONCATENATE(LEFT($R37,2),"L"),$R$63:$T$91,3,FALSE),0)+IF(AND($R37="O3/CP",$R$14=B$18),VLOOKUP("O3",$R$63:$T$91,3,FALSE)+VLOOKUP("CP",$R$63:$T$91,3,FALSE),0)+IF(AND($S37&lt;&gt;"",$S37&lt;&gt;"--",$S37&lt;&gt;"O3/CP",$S$14=B$18),IF(LEFT($S37,1)="P",VLOOKUP(CONCATENATE(LEFT($S37,2),"H"),$R$63:$T$91,3,FALSE),VLOOKUP($S37,$R$63:$T$91,3,FALSE)))+IF(AND($S37&lt;&gt;"",$S37&lt;&gt;"O3/CP",$S$15=B$18,MID($S37,4,1)="2",$S$15&lt;&gt;$S$14),VLOOKUP(CONCATENATE(LEFT($S37,2),"L"),$R$63:$T$91,3,FALSE),0)+IF(AND($S37="O3/CP",$S$14=B$18),VLOOKUP("O3",$R$63:$T$91,3,FALSE)+VLOOKUP("CP",$R$63:$T$91,3,FALSE),0)+IF(AND($T37&lt;&gt;"",$T37&lt;&gt;"--",$T37&lt;&gt;"O3/CP",$T$14=B$18),IF(LEFT($T37,1)="P",VLOOKUP(CONCATENATE(LEFT($T37,2),"H"),$R$63:$T$91,3,FALSE),VLOOKUP($T37,$R$63:$T$91,3,FALSE)))+IF(AND($T37&lt;&gt;"",$T37&lt;&gt;"O3/CP",$T$15=B$18,MID($T37,4,1)="2",$T$15&lt;&gt;$T$14),VLOOKUP(CONCATENATE(LEFT($T37,2),"L"),$R$63:$T$91,3,FALSE),0)+IF(AND($T37="O3/CP",$T$14=B$18),VLOOKUP("O3",$R$63:$T$91,3,FALSE)+VLOOKUP("CP",$R$63:$T$91,3,FALSE),0)+IF(AND($U37&lt;&gt;"",$U37&lt;&gt;"--",$U37&lt;&gt;"O3/CP",$U$14=B$18),IF(LEFT($U37,1)="P",VLOOKUP(CONCATENATE(LEFT($U37,2),"H"),$R$63:$T$91,3,FALSE),VLOOKUP($U37,$R$63:$T$91,3,FALSE)))+IF(AND($U37&lt;&gt;"",$U37&lt;&gt;"O3/CP",$U$15=B$18,MID($U37,4,1)="2",$U$15&lt;&gt;$U$14),VLOOKUP(CONCATENATE(LEFT($U37,2),"L"),$R$63:$T$91,3,FALSE),0)+IF(AND($U37="O3/CP",$T$14=B$18),VLOOKUP("O3",$R$63:$T$91,3,FALSE)+VLOOKUP("CP",$R$63:$T$91,3,FALSE),0)+IF(AND($V37&lt;&gt;"",$V37&lt;&gt;"--",$V37&lt;&gt;"O3/CP",$V$14=B$18),IF(LEFT($V37,1)="P",VLOOKUP(CONCATENATE(LEFT($V37,2),"H"),$R$63:$T$91,3,FALSE),VLOOKUP($V37,$R$63:$T$91,3,FALSE)))+IF(AND($V37&lt;&gt;"",$V37&lt;&gt;"O3/CP",$V$15=B$18,MID($V37,4,1)="2",$V$15&lt;&gt;$V$14),VLOOKUP(CONCATENATE(LEFT($V37,2),"L"),$R$63:$T$91,3,FALSE),0)+IF(AND($V37="O3/CP",$V$14=B$18),VLOOKUP("O3",$R$63:$T$91,3,FALSE)+VLOOKUP("CP",$R$63:$T$91,3,FALSE),0)+IF(AND($W37&lt;&gt;"",$W37&lt;&gt;"--",$W37&lt;&gt;"O3/CP",$W$14=B$18),IF(LEFT($W37,1)="P",VLOOKUP(CONCATENATE(LEFT($W37,2),"H"),$R$63:$T$91,3,FALSE),VLOOKUP($W37,$R$63:$T$91,3,FALSE)))+IF(AND($W37&lt;&gt;"",$W37&lt;&gt;"O3/CP",$W$15=B$18,MID($W37,4,1)="2",$W$15&lt;&gt;$W$14),VLOOKUP(CONCATENATE(LEFT($W37,2),"L"),$R$63:$T$91,3,FALSE),0)+IF(AND($W37="O3/CP",$W$14=B$18),VLOOKUP("O3",$R$63:$T$91,3,FALSE)+VLOOKUP("CP",$R$63:$T$91,3,FALSE),0)+IF(AND($X37&lt;&gt;"",$X37&lt;&gt;"--",$X37&lt;&gt;"O3/CP",$X$14=B$18),IF(LEFT($X37,1)="P",VLOOKUP(CONCATENATE(LEFT($X37,2),"H"),$R$63:$T$91,3,FALSE),VLOOKUP($X37,$R$63:$T$91,3,FALSE)))+IF(AND($X37&lt;&gt;"",$X37&lt;&gt;"O3/CP",$X$15=B$18,MID($X37,4,1)="2",$X$15&lt;&gt;$X$14),VLOOKUP(CONCATENATE(LEFT($X37,2),"L"),$R$63:$T$91,3,FALSE),0)+IF(AND($X37="O3/CP",$X$14=B$18),VLOOKUP("O3",$R$63:$T$91,3,FALSE)+VLOOKUP("CP",$R$63:$T$91,3,FALSE),0)+IF(AND($Y37&lt;&gt;"",$Y37&lt;&gt;"--",$Y37&lt;&gt;"O3/CP",$Y$14=B$18),IF(LEFT($Y37,1)="P",VLOOKUP(CONCATENATE(LEFT($Y37,2),"H"),$R$63:$T$91,3,FALSE),VLOOKUP($Y37,$R$63:$T$91,3,FALSE)))+IF(AND($Y37&lt;&gt;"",$Y37&lt;&gt;"O3/CP",$Y$15=B$18,MID($Y37,4,1)="2",$Y$15&lt;&gt;$Y$14),VLOOKUP(CONCATENATE(LEFT($Y37,2),"L"),$R$63:$T$91,3,FALSE),0)+IF(AND($Y37="O3/CP",$Y$14=B$18),VLOOKUP("O3",$R$63:$T$91,3,FALSE)+VLOOKUP("CP",$R$63:$T$91,3,FALSE),0)+IF(AND($K$6="CE",'[3]Supply Attribution'!$G$20=B$18),LEFT($S$90,2),0)+IF(AND($X$86&lt;&gt;"Not Set",$X$87=B$18),$X$86,0)</f>
        <v>0</v>
      </c>
      <c r="C37" s="271">
        <f>IF(AND($K37&lt;&gt;"",$K37&lt;&gt;"--",$K37&lt;&gt;"O3/CP",$K$14=C$18),IF(LEFT($K37,1)="P",VLOOKUP(CONCATENATE(LEFT($K37,2),"H"),$R$63:$T$91,3,FALSE),VLOOKUP($K37,$R$63:$T$91,3,FALSE)))+IF(AND($K37&lt;&gt;"",$K37&lt;&gt;"O3/CP",$K$15=C$18,MID($K37,4,1)="2",$K$15&lt;&gt;$K$14),VLOOKUP(CONCATENATE(LEFT($K37,2),"L"),$R$63:$T$91,3,FALSE),0)+IF(AND($K37="O3/CP",$K$14=C$18),VLOOKUP("O3",$R$63:$T$91,3,FALSE)+VLOOKUP("CP",$R$63:$T$91,3,FALSE),0)+IF(AND($L37&lt;&gt;"",$L37&lt;&gt;"--",$L37&lt;&gt;"O3/CP",$L$14=C$18),IF(LEFT($L37,1)="P",VLOOKUP(CONCATENATE(LEFT($L37,2),"H"),$R$63:$T$91,3,FALSE),VLOOKUP($L37,$R$63:$T$91,3,FALSE)))+IF(AND($L37&lt;&gt;"",$L37&lt;&gt;"O3/CP",$L$15=C$18,MID($L37,4,1)="2",$L$15&lt;&gt;$L$14),VLOOKUP(CONCATENATE(LEFT($L37,2),"L"),$R$63:$T$91,3,FALSE),0)+IF(AND($L37="O3/CP",$L$14=C$18),VLOOKUP("O3",$R$63:$T$91,3,FALSE)+VLOOKUP("CP",$R$63:$T$91,3,FALSE),0)+IF(AND($M37&lt;&gt;"",$M37&lt;&gt;"--",$M37&lt;&gt;"O3/CP",$M$14=C$18),IF(LEFT($M37,1)="P",VLOOKUP(CONCATENATE(LEFT($M37,2),"H"),$R$63:$T$91,3,FALSE),VLOOKUP($M37,$R$63:$T$91,3,FALSE)))+IF(AND($M37&lt;&gt;"",$M37&lt;&gt;"O3/CP",$M$15=C$18,MID($M37,4,1)="2",$M$15&lt;&gt;$M$14),VLOOKUP(CONCATENATE(LEFT($M37,2),"L"),$R$63:$T$91,3,FALSE),0)+IF(AND($M37="O3/CP",$M$14=C$18),VLOOKUP("O3",$R$63:$T$91,3,FALSE)+VLOOKUP("CP",$R$63:$T$91,3,FALSE),0)+IF(AND($N37&lt;&gt;"",$N37&lt;&gt;"--",$N37&lt;&gt;"O3/CP",$N$14=C$18),IF(LEFT($N37,1)="P",VLOOKUP(CONCATENATE(LEFT($N37,2),"H"),$R$63:$T$91,3,FALSE),VLOOKUP($N37,$R$63:$T$91,3,FALSE)))+IF(AND($N37&lt;&gt;"",$N37&lt;&gt;"O3/CP",$N$15=C$18,MID($N37,4,1)="2",$N$15&lt;&gt;$N$14),VLOOKUP(CONCATENATE(LEFT($N37,2),"L"),$R$63:$T$91,3,FALSE),0)+IF(AND($N37="O3/CP",$N$14=C$18),VLOOKUP("O3",$R$63:$T$91,3,FALSE)+VLOOKUP("CP",$R$63:$T$91,3,FALSE),0)+IF(AND($O37&lt;&gt;"",$O37&lt;&gt;"--",$O37&lt;&gt;"O3/CP",$O$14=C$18),IF(LEFT($O37,1)="P",VLOOKUP(CONCATENATE(LEFT($O37,2),"H"),$R$63:$T$91,3,FALSE),VLOOKUP($O37,$R$63:$T$91,3,FALSE)))+IF(AND($O37&lt;&gt;"",$O37&lt;&gt;"O3/CP",$O$15=C$18,MID($O37,4,1)="2",$O$15&lt;&gt;$O$14),VLOOKUP(CONCATENATE(LEFT($O37,2),"L"),$R$63:$T$91,3,FALSE),0)+IF(AND($O37="O3/CP",$O$14=C$18),VLOOKUP("O3",$R$63:$T$91,3,FALSE)+VLOOKUP("CP",$R$63:$T$91,3,FALSE),0)+IF(AND($P37&lt;&gt;"",$P37&lt;&gt;"--",$P37&lt;&gt;"O3/CP",$P$14=C$18),IF(LEFT($P37,1)="P",VLOOKUP(CONCATENATE(LEFT($P37,2),"H"),$R$63:$T$91,3,FALSE),VLOOKUP($P37,$R$63:$T$91,3,FALSE)))+IF(AND($P37&lt;&gt;"",$P37&lt;&gt;"O3/CP",$P$15=C$18,MID($P37,4,1)="2",$P$15&lt;&gt;$P$14),VLOOKUP(CONCATENATE(LEFT($P37,2),"L"),$R$63:$T$91,3,FALSE),0)+IF(AND($P37="O3/CP",$P$14=C$18),VLOOKUP("O3",$R$63:$T$91,3,FALSE)+VLOOKUP("CP",$R$63:$T$91,3,FALSE),0)+IF(AND($Q37&lt;&gt;"",$Q37&lt;&gt;"--",$Q37&lt;&gt;"O3/CP",$Q$14=C$18),IF(LEFT($Q37,1)="P",VLOOKUP(CONCATENATE(LEFT($Q37,2),"H"),$R$63:$T$91,3,FALSE),VLOOKUP($Q37,$R$63:$T$91,3,FALSE)))+IF(AND($Q37&lt;&gt;"",$Q37&lt;&gt;"O3/CP",$Q$15=C$18,MID($Q37,4,1)="2",$Q$15&lt;&gt;$Q$14),VLOOKUP(CONCATENATE(LEFT($Q37,2),"L"),$R$63:$T$91,3,FALSE),0)+IF(AND($Q37="O3/CP",$Q$14=C$18),VLOOKUP("O3",$R$63:$T$91,3,FALSE)+VLOOKUP("CP",$R$63:$T$91,3,FALSE),0)+IF(AND($R37&lt;&gt;"",$R37&lt;&gt;"--",$R37&lt;&gt;"O3/CP",$R$14=C$18),IF(LEFT($R37,1)="P",VLOOKUP(CONCATENATE(LEFT($R37,2),"H"),$R$63:$T$91,3,FALSE),VLOOKUP($R37,$R$63:$T$91,3,FALSE)))+IF(AND($R37&lt;&gt;"",$R37&lt;&gt;"O3/CP",$R$15=C$18,MID($R37,4,1)="2",$R$15&lt;&gt;$R$14),VLOOKUP(CONCATENATE(LEFT($R37,2),"L"),$R$63:$T$91,3,FALSE),0)+IF(AND($R37="O3/CP",$R$14=C$18),VLOOKUP("O3",$R$63:$T$91,3,FALSE)+VLOOKUP("CP",$R$63:$T$91,3,FALSE),0)+IF(AND($S37&lt;&gt;"",$S37&lt;&gt;"--",$S37&lt;&gt;"O3/CP",$S$14=C$18),IF(LEFT($S37,1)="P",VLOOKUP(CONCATENATE(LEFT($S37,2),"H"),$R$63:$T$91,3,FALSE),VLOOKUP($S37,$R$63:$T$91,3,FALSE)))+IF(AND($S37&lt;&gt;"",$S37&lt;&gt;"O3/CP",$S$15=C$18,MID($S37,4,1)="2",$S$15&lt;&gt;$S$14),VLOOKUP(CONCATENATE(LEFT($S37,2),"L"),$R$63:$T$91,3,FALSE),0)+IF(AND($S37="O3/CP",$S$14=C$18),VLOOKUP("O3",$R$63:$T$91,3,FALSE)+VLOOKUP("CP",$R$63:$T$91,3,FALSE),0)+IF(AND($T37&lt;&gt;"",$T37&lt;&gt;"--",$T37&lt;&gt;"O3/CP",$T$14=C$18),IF(LEFT($T37,1)="P",VLOOKUP(CONCATENATE(LEFT($T37,2),"H"),$R$63:$T$91,3,FALSE),VLOOKUP($T37,$R$63:$T$91,3,FALSE)))+IF(AND($T37&lt;&gt;"",$T37&lt;&gt;"O3/CP",$T$15=C$18,MID($T37,4,1)="2",$T$15&lt;&gt;$T$14),VLOOKUP(CONCATENATE(LEFT($T37,2),"L"),$R$63:$T$91,3,FALSE),0)+IF(AND($T37="O3/CP",$T$14=C$18),VLOOKUP("O3",$R$63:$T$91,3,FALSE)+VLOOKUP("CP",$R$63:$T$91,3,FALSE),0)+IF(AND($U37&lt;&gt;"",$U37&lt;&gt;"--",$U37&lt;&gt;"O3/CP",$U$14=C$18),IF(LEFT($U37,1)="P",VLOOKUP(CONCATENATE(LEFT($U37,2),"H"),$R$63:$T$91,3,FALSE),VLOOKUP($U37,$R$63:$T$91,3,FALSE)))+IF(AND($U37&lt;&gt;"",$U37&lt;&gt;"O3/CP",$U$15=C$18,MID($U37,4,1)="2",$U$15&lt;&gt;$U$14),VLOOKUP(CONCATENATE(LEFT($U37,2),"L"),$R$63:$T$91,3,FALSE),0)+IF(AND($U37="O3/CP",$T$14=C$18),VLOOKUP("O3",$R$63:$T$91,3,FALSE)+VLOOKUP("CP",$R$63:$T$91,3,FALSE),0)+IF(AND($V37&lt;&gt;"",$V37&lt;&gt;"--",$V37&lt;&gt;"O3/CP",$V$14=C$18),IF(LEFT($V37,1)="P",VLOOKUP(CONCATENATE(LEFT($V37,2),"H"),$R$63:$T$91,3,FALSE),VLOOKUP($V37,$R$63:$T$91,3,FALSE)))+IF(AND($V37&lt;&gt;"",$V37&lt;&gt;"O3/CP",$V$15=C$18,MID($V37,4,1)="2",$V$15&lt;&gt;$V$14),VLOOKUP(CONCATENATE(LEFT($V37,2),"L"),$R$63:$T$91,3,FALSE),0)+IF(AND($V37="O3/CP",$V$14=C$18),VLOOKUP("O3",$R$63:$T$91,3,FALSE)+VLOOKUP("CP",$R$63:$T$91,3,FALSE),0)+IF(AND($W37&lt;&gt;"",$W37&lt;&gt;"--",$W37&lt;&gt;"O3/CP",$W$14=C$18),IF(LEFT($W37,1)="P",VLOOKUP(CONCATENATE(LEFT($W37,2),"H"),$R$63:$T$91,3,FALSE),VLOOKUP($W37,$R$63:$T$91,3,FALSE)))+IF(AND($W37&lt;&gt;"",$W37&lt;&gt;"O3/CP",$W$15=C$18,MID($W37,4,1)="2",$W$15&lt;&gt;$W$14),VLOOKUP(CONCATENATE(LEFT($W37,2),"L"),$R$63:$T$91,3,FALSE),0)+IF(AND($W37="O3/CP",$W$14=C$18),VLOOKUP("O3",$R$63:$T$91,3,FALSE)+VLOOKUP("CP",$R$63:$T$91,3,FALSE),0)+IF(AND($X37&lt;&gt;"",$X37&lt;&gt;"--",$X37&lt;&gt;"O3/CP",$X$14=C$18),IF(LEFT($X37,1)="P",VLOOKUP(CONCATENATE(LEFT($X37,2),"H"),$R$63:$T$91,3,FALSE),VLOOKUP($X37,$R$63:$T$91,3,FALSE)))+IF(AND($X37&lt;&gt;"",$X37&lt;&gt;"O3/CP",$X$15=C$18,MID($X37,4,1)="2",$X$15&lt;&gt;$X$14),VLOOKUP(CONCATENATE(LEFT($X37,2),"L"),$R$63:$T$91,3,FALSE),0)+IF(AND($X37="O3/CP",$X$14=C$18),VLOOKUP("O3",$R$63:$T$91,3,FALSE)+VLOOKUP("CP",$R$63:$T$91,3,FALSE),0)+IF(AND($Y37&lt;&gt;"",$Y37&lt;&gt;"--",$Y37&lt;&gt;"O3/CP",$Y$14=C$18),IF(LEFT($Y37,1)="P",VLOOKUP(CONCATENATE(LEFT($Y37,2),"H"),$R$63:$T$91,3,FALSE),VLOOKUP($Y37,$R$63:$T$91,3,FALSE)))+IF(AND($Y37&lt;&gt;"",$Y37&lt;&gt;"O3/CP",$Y$15=C$18,MID($Y37,4,1)="2",$Y$15&lt;&gt;$Y$14),VLOOKUP(CONCATENATE(LEFT($Y37,2),"L"),$R$63:$T$91,3,FALSE),0)+IF(AND($Y37="O3/CP",$Y$14=C$18),VLOOKUP("O3",$R$63:$T$91,3,FALSE)+VLOOKUP("CP",$R$63:$T$91,3,FALSE),0)+IF(AND($K$6="CE",'[3]Supply Attribution'!$G$20=C$18),LEFT($S$90,2),0)+IF(AND($X$86&lt;&gt;"Not Set",$X$87=C$18),$X$86,0)</f>
        <v>0</v>
      </c>
      <c r="D37" s="271">
        <f>IF(AND($K37&lt;&gt;"",$K37&lt;&gt;"--",$K37&lt;&gt;"O3/CP",$K$14=D$18),IF(LEFT($K37,1)="P",VLOOKUP(CONCATENATE(LEFT($K37,2),"H"),$R$63:$T$91,3,FALSE),VLOOKUP($K37,$R$63:$T$91,3,FALSE)))+IF(AND($K37&lt;&gt;"",$K37&lt;&gt;"O3/CP",$K$15=D$18,MID($K37,4,1)="2",$K$15&lt;&gt;$K$14),VLOOKUP(CONCATENATE(LEFT($K37,2),"L"),$R$63:$T$91,3,FALSE),0)+IF(AND($K37="O3/CP",$K$14=D$18),VLOOKUP("O3",$R$63:$T$91,3,FALSE)+VLOOKUP("CP",$R$63:$T$91,3,FALSE),0)+IF(AND($L37&lt;&gt;"",$L37&lt;&gt;"--",$L37&lt;&gt;"O3/CP",$L$14=D$18),IF(LEFT($L37,1)="P",VLOOKUP(CONCATENATE(LEFT($L37,2),"H"),$R$63:$T$91,3,FALSE),VLOOKUP($L37,$R$63:$T$91,3,FALSE)))+IF(AND($L37&lt;&gt;"",$L37&lt;&gt;"O3/CP",$L$15=D$18,MID($L37,4,1)="2",$L$15&lt;&gt;$L$14),VLOOKUP(CONCATENATE(LEFT($L37,2),"L"),$R$63:$T$91,3,FALSE),0)+IF(AND($L37="O3/CP",$L$14=D$18),VLOOKUP("O3",$R$63:$T$91,3,FALSE)+VLOOKUP("CP",$R$63:$T$91,3,FALSE),0)+IF(AND($M37&lt;&gt;"",$M37&lt;&gt;"--",$M37&lt;&gt;"O3/CP",$M$14=D$18),IF(LEFT($M37,1)="P",VLOOKUP(CONCATENATE(LEFT($M37,2),"H"),$R$63:$T$91,3,FALSE),VLOOKUP($M37,$R$63:$T$91,3,FALSE)))+IF(AND($M37&lt;&gt;"",$M37&lt;&gt;"O3/CP",$M$15=D$18,MID($M37,4,1)="2",$M$15&lt;&gt;$M$14),VLOOKUP(CONCATENATE(LEFT($M37,2),"L"),$R$63:$T$91,3,FALSE),0)+IF(AND($M37="O3/CP",$M$14=D$18),VLOOKUP("O3",$R$63:$T$91,3,FALSE)+VLOOKUP("CP",$R$63:$T$91,3,FALSE),0)+IF(AND($N37&lt;&gt;"",$N37&lt;&gt;"--",$N37&lt;&gt;"O3/CP",$N$14=D$18),IF(LEFT($N37,1)="P",VLOOKUP(CONCATENATE(LEFT($N37,2),"H"),$R$63:$T$91,3,FALSE),VLOOKUP($N37,$R$63:$T$91,3,FALSE)))+IF(AND($N37&lt;&gt;"",$N37&lt;&gt;"O3/CP",$N$15=D$18,MID($N37,4,1)="2",$N$15&lt;&gt;$N$14),VLOOKUP(CONCATENATE(LEFT($N37,2),"L"),$R$63:$T$91,3,FALSE),0)+IF(AND($N37="O3/CP",$N$14=D$18),VLOOKUP("O3",$R$63:$T$91,3,FALSE)+VLOOKUP("CP",$R$63:$T$91,3,FALSE),0)+IF(AND($O37&lt;&gt;"",$O37&lt;&gt;"--",$O37&lt;&gt;"O3/CP",$O$14=D$18),IF(LEFT($O37,1)="P",VLOOKUP(CONCATENATE(LEFT($O37,2),"H"),$R$63:$T$91,3,FALSE),VLOOKUP($O37,$R$63:$T$91,3,FALSE)))+IF(AND($O37&lt;&gt;"",$O37&lt;&gt;"O3/CP",$O$15=D$18,MID($O37,4,1)="2",$O$15&lt;&gt;$O$14),VLOOKUP(CONCATENATE(LEFT($O37,2),"L"),$R$63:$T$91,3,FALSE),0)+IF(AND($O37="O3/CP",$O$14=D$18),VLOOKUP("O3",$R$63:$T$91,3,FALSE)+VLOOKUP("CP",$R$63:$T$91,3,FALSE),0)+IF(AND($P37&lt;&gt;"",$P37&lt;&gt;"--",$P37&lt;&gt;"O3/CP",$P$14=D$18),IF(LEFT($P37,1)="P",VLOOKUP(CONCATENATE(LEFT($P37,2),"H"),$R$63:$T$91,3,FALSE),VLOOKUP($P37,$R$63:$T$91,3,FALSE)))+IF(AND($P37&lt;&gt;"",$P37&lt;&gt;"O3/CP",$P$15=D$18,MID($P37,4,1)="2",$P$15&lt;&gt;$P$14),VLOOKUP(CONCATENATE(LEFT($P37,2),"L"),$R$63:$T$91,3,FALSE),0)+IF(AND($P37="O3/CP",$P$14=D$18),VLOOKUP("O3",$R$63:$T$91,3,FALSE)+VLOOKUP("CP",$R$63:$T$91,3,FALSE),0)+IF(AND($Q37&lt;&gt;"",$Q37&lt;&gt;"--",$Q37&lt;&gt;"O3/CP",$Q$14=D$18),IF(LEFT($Q37,1)="P",VLOOKUP(CONCATENATE(LEFT($Q37,2),"H"),$R$63:$T$91,3,FALSE),VLOOKUP($Q37,$R$63:$T$91,3,FALSE)))+IF(AND($Q37&lt;&gt;"",$Q37&lt;&gt;"O3/CP",$Q$15=D$18,MID($Q37,4,1)="2",$Q$15&lt;&gt;$Q$14),VLOOKUP(CONCATENATE(LEFT($Q37,2),"L"),$R$63:$T$91,3,FALSE),0)+IF(AND($Q37="O3/CP",$Q$14=D$18),VLOOKUP("O3",$R$63:$T$91,3,FALSE)+VLOOKUP("CP",$R$63:$T$91,3,FALSE),0)+IF(AND($R37&lt;&gt;"",$R37&lt;&gt;"--",$R37&lt;&gt;"O3/CP",$R$14=D$18),IF(LEFT($R37,1)="P",VLOOKUP(CONCATENATE(LEFT($R37,2),"H"),$R$63:$T$91,3,FALSE),VLOOKUP($R37,$R$63:$T$91,3,FALSE)))+IF(AND($R37&lt;&gt;"",$R37&lt;&gt;"O3/CP",$R$15=D$18,MID($R37,4,1)="2",$R$15&lt;&gt;$R$14),VLOOKUP(CONCATENATE(LEFT($R37,2),"L"),$R$63:$T$91,3,FALSE),0)+IF(AND($R37="O3/CP",$R$14=D$18),VLOOKUP("O3",$R$63:$T$91,3,FALSE)+VLOOKUP("CP",$R$63:$T$91,3,FALSE),0)+IF(AND($S37&lt;&gt;"",$S37&lt;&gt;"--",$S37&lt;&gt;"O3/CP",$S$14=D$18),IF(LEFT($S37,1)="P",VLOOKUP(CONCATENATE(LEFT($S37,2),"H"),$R$63:$T$91,3,FALSE),VLOOKUP($S37,$R$63:$T$91,3,FALSE)))+IF(AND($S37&lt;&gt;"",$S37&lt;&gt;"O3/CP",$S$15=D$18,MID($S37,4,1)="2",$S$15&lt;&gt;$S$14),VLOOKUP(CONCATENATE(LEFT($S37,2),"L"),$R$63:$T$91,3,FALSE),0)+IF(AND($S37="O3/CP",$S$14=D$18),VLOOKUP("O3",$R$63:$T$91,3,FALSE)+VLOOKUP("CP",$R$63:$T$91,3,FALSE),0)+IF(AND($T37&lt;&gt;"",$T37&lt;&gt;"--",$T37&lt;&gt;"O3/CP",$T$14=D$18),IF(LEFT($T37,1)="P",VLOOKUP(CONCATENATE(LEFT($T37,2),"H"),$R$63:$T$91,3,FALSE),VLOOKUP($T37,$R$63:$T$91,3,FALSE)))+IF(AND($T37&lt;&gt;"",$T37&lt;&gt;"O3/CP",$T$15=D$18,MID($T37,4,1)="2",$T$15&lt;&gt;$T$14),VLOOKUP(CONCATENATE(LEFT($T37,2),"L"),$R$63:$T$91,3,FALSE),0)+IF(AND($T37="O3/CP",$T$14=D$18),VLOOKUP("O3",$R$63:$T$91,3,FALSE)+VLOOKUP("CP",$R$63:$T$91,3,FALSE),0)+IF(AND($U37&lt;&gt;"",$U37&lt;&gt;"--",$U37&lt;&gt;"O3/CP",$U$14=D$18),IF(LEFT($U37,1)="P",VLOOKUP(CONCATENATE(LEFT($U37,2),"H"),$R$63:$T$91,3,FALSE),VLOOKUP($U37,$R$63:$T$91,3,FALSE)))+IF(AND($U37&lt;&gt;"",$U37&lt;&gt;"O3/CP",$U$15=D$18,MID($U37,4,1)="2",$U$15&lt;&gt;$U$14),VLOOKUP(CONCATENATE(LEFT($U37,2),"L"),$R$63:$T$91,3,FALSE),0)+IF(AND($U37="O3/CP",$T$14=D$18),VLOOKUP("O3",$R$63:$T$91,3,FALSE)+VLOOKUP("CP",$R$63:$T$91,3,FALSE),0)+IF(AND($V37&lt;&gt;"",$V37&lt;&gt;"--",$V37&lt;&gt;"O3/CP",$V$14=D$18),IF(LEFT($V37,1)="P",VLOOKUP(CONCATENATE(LEFT($V37,2),"H"),$R$63:$T$91,3,FALSE),VLOOKUP($V37,$R$63:$T$91,3,FALSE)))+IF(AND($V37&lt;&gt;"",$V37&lt;&gt;"O3/CP",$V$15=D$18,MID($V37,4,1)="2",$V$15&lt;&gt;$V$14),VLOOKUP(CONCATENATE(LEFT($V37,2),"L"),$R$63:$T$91,3,FALSE),0)+IF(AND($V37="O3/CP",$V$14=D$18),VLOOKUP("O3",$R$63:$T$91,3,FALSE)+VLOOKUP("CP",$R$63:$T$91,3,FALSE),0)+IF(AND($W37&lt;&gt;"",$W37&lt;&gt;"--",$W37&lt;&gt;"O3/CP",$W$14=D$18),IF(LEFT($W37,1)="P",VLOOKUP(CONCATENATE(LEFT($W37,2),"H"),$R$63:$T$91,3,FALSE),VLOOKUP($W37,$R$63:$T$91,3,FALSE)))+IF(AND($W37&lt;&gt;"",$W37&lt;&gt;"O3/CP",$W$15=D$18,MID($W37,4,1)="2",$W$15&lt;&gt;$W$14),VLOOKUP(CONCATENATE(LEFT($W37,2),"L"),$R$63:$T$91,3,FALSE),0)+IF(AND($W37="O3/CP",$W$14=D$18),VLOOKUP("O3",$R$63:$T$91,3,FALSE)+VLOOKUP("CP",$R$63:$T$91,3,FALSE),0)+IF(AND($X37&lt;&gt;"",$X37&lt;&gt;"--",$X37&lt;&gt;"O3/CP",$X$14=D$18),IF(LEFT($X37,1)="P",VLOOKUP(CONCATENATE(LEFT($X37,2),"H"),$R$63:$T$91,3,FALSE),VLOOKUP($X37,$R$63:$T$91,3,FALSE)))+IF(AND($X37&lt;&gt;"",$X37&lt;&gt;"O3/CP",$X$15=D$18,MID($X37,4,1)="2",$X$15&lt;&gt;$X$14),VLOOKUP(CONCATENATE(LEFT($X37,2),"L"),$R$63:$T$91,3,FALSE),0)+IF(AND($X37="O3/CP",$X$14=D$18),VLOOKUP("O3",$R$63:$T$91,3,FALSE)+VLOOKUP("CP",$R$63:$T$91,3,FALSE),0)+IF(AND($Y37&lt;&gt;"",$Y37&lt;&gt;"--",$Y37&lt;&gt;"O3/CP",$Y$14=D$18),IF(LEFT($Y37,1)="P",VLOOKUP(CONCATENATE(LEFT($Y37,2),"H"),$R$63:$T$91,3,FALSE),VLOOKUP($Y37,$R$63:$T$91,3,FALSE)))+IF(AND($Y37&lt;&gt;"",$Y37&lt;&gt;"O3/CP",$Y$15=D$18,MID($Y37,4,1)="2",$Y$15&lt;&gt;$Y$14),VLOOKUP(CONCATENATE(LEFT($Y37,2),"L"),$R$63:$T$91,3,FALSE),0)+IF(AND($Y37="O3/CP",$Y$14=D$18),VLOOKUP("O3",$R$63:$T$91,3,FALSE)+VLOOKUP("CP",$R$63:$T$91,3,FALSE),0)+IF(AND($K$6="CE",'[3]Supply Attribution'!$G$20=D$18),LEFT($S$90,2),0)+IF(AND($X$86&lt;&gt;"Not Set",$X$87=D$18),$X$86,0)</f>
        <v>0</v>
      </c>
      <c r="E37" s="271">
        <f>IF(AND($K37&lt;&gt;"",$K37&lt;&gt;"--",$K37&lt;&gt;"O3/CP",$K$14=E$18),IF(LEFT($K37,1)="P",VLOOKUP(CONCATENATE(LEFT($K37,2),"H"),$R$63:$T$91,3,FALSE),VLOOKUP($K37,$R$63:$T$91,3,FALSE)))+IF(AND($K37&lt;&gt;"",$K37&lt;&gt;"O3/CP",$K$15=E$18,MID($K37,4,1)="2",$K$15&lt;&gt;$K$14),VLOOKUP(CONCATENATE(LEFT($K37,2),"L"),$R$63:$T$91,3,FALSE),0)+IF(AND($K37="O3/CP",$K$14=E$18),VLOOKUP("O3",$R$63:$T$91,3,FALSE)+VLOOKUP("CP",$R$63:$T$91,3,FALSE),0)+IF(AND($L37&lt;&gt;"",$L37&lt;&gt;"--",$L37&lt;&gt;"O3/CP",$L$14=E$18),IF(LEFT($L37,1)="P",VLOOKUP(CONCATENATE(LEFT($L37,2),"H"),$R$63:$T$91,3,FALSE),VLOOKUP($L37,$R$63:$T$91,3,FALSE)))+IF(AND($L37&lt;&gt;"",$L37&lt;&gt;"O3/CP",$L$15=E$18,MID($L37,4,1)="2",$L$15&lt;&gt;$L$14),VLOOKUP(CONCATENATE(LEFT($L37,2),"L"),$R$63:$T$91,3,FALSE),0)+IF(AND($L37="O3/CP",$L$14=E$18),VLOOKUP("O3",$R$63:$T$91,3,FALSE)+VLOOKUP("CP",$R$63:$T$91,3,FALSE),0)+IF(AND($M37&lt;&gt;"",$M37&lt;&gt;"--",$M37&lt;&gt;"O3/CP",$M$14=E$18),IF(LEFT($M37,1)="P",VLOOKUP(CONCATENATE(LEFT($M37,2),"H"),$R$63:$T$91,3,FALSE),VLOOKUP($M37,$R$63:$T$91,3,FALSE)))+IF(AND($M37&lt;&gt;"",$M37&lt;&gt;"O3/CP",$M$15=E$18,MID($M37,4,1)="2",$M$15&lt;&gt;$M$14),VLOOKUP(CONCATENATE(LEFT($M37,2),"L"),$R$63:$T$91,3,FALSE),0)+IF(AND($M37="O3/CP",$M$14=E$18),VLOOKUP("O3",$R$63:$T$91,3,FALSE)+VLOOKUP("CP",$R$63:$T$91,3,FALSE),0)+IF(AND($N37&lt;&gt;"",$N37&lt;&gt;"--",$N37&lt;&gt;"O3/CP",$N$14=E$18),IF(LEFT($N37,1)="P",VLOOKUP(CONCATENATE(LEFT($N37,2),"H"),$R$63:$T$91,3,FALSE),VLOOKUP($N37,$R$63:$T$91,3,FALSE)))+IF(AND($N37&lt;&gt;"",$N37&lt;&gt;"O3/CP",$N$15=E$18,MID($N37,4,1)="2",$N$15&lt;&gt;$N$14),VLOOKUP(CONCATENATE(LEFT($N37,2),"L"),$R$63:$T$91,3,FALSE),0)+IF(AND($N37="O3/CP",$N$14=E$18),VLOOKUP("O3",$R$63:$T$91,3,FALSE)+VLOOKUP("CP",$R$63:$T$91,3,FALSE),0)+IF(AND($O37&lt;&gt;"",$O37&lt;&gt;"--",$O37&lt;&gt;"O3/CP",$O$14=E$18),IF(LEFT($O37,1)="P",VLOOKUP(CONCATENATE(LEFT($O37,2),"H"),$R$63:$T$91,3,FALSE),VLOOKUP($O37,$R$63:$T$91,3,FALSE)))+IF(AND($O37&lt;&gt;"",$O37&lt;&gt;"O3/CP",$O$15=E$18,MID($O37,4,1)="2",$O$15&lt;&gt;$O$14),VLOOKUP(CONCATENATE(LEFT($O37,2),"L"),$R$63:$T$91,3,FALSE),0)+IF(AND($O37="O3/CP",$O$14=E$18),VLOOKUP("O3",$R$63:$T$91,3,FALSE)+VLOOKUP("CP",$R$63:$T$91,3,FALSE),0)+IF(AND($P37&lt;&gt;"",$P37&lt;&gt;"--",$P37&lt;&gt;"O3/CP",$P$14=E$18),IF(LEFT($P37,1)="P",VLOOKUP(CONCATENATE(LEFT($P37,2),"H"),$R$63:$T$91,3,FALSE),VLOOKUP($P37,$R$63:$T$91,3,FALSE)))+IF(AND($P37&lt;&gt;"",$P37&lt;&gt;"O3/CP",$P$15=E$18,MID($P37,4,1)="2",$P$15&lt;&gt;$P$14),VLOOKUP(CONCATENATE(LEFT($P37,2),"L"),$R$63:$T$91,3,FALSE),0)+IF(AND($P37="O3/CP",$P$14=E$18),VLOOKUP("O3",$R$63:$T$91,3,FALSE)+VLOOKUP("CP",$R$63:$T$91,3,FALSE),0)+IF(AND($Q37&lt;&gt;"",$Q37&lt;&gt;"--",$Q37&lt;&gt;"O3/CP",$Q$14=E$18),IF(LEFT($Q37,1)="P",VLOOKUP(CONCATENATE(LEFT($Q37,2),"H"),$R$63:$T$91,3,FALSE),VLOOKUP($Q37,$R$63:$T$91,3,FALSE)))+IF(AND($Q37&lt;&gt;"",$Q37&lt;&gt;"O3/CP",$Q$15=E$18,MID($Q37,4,1)="2",$Q$15&lt;&gt;$Q$14),VLOOKUP(CONCATENATE(LEFT($Q37,2),"L"),$R$63:$T$91,3,FALSE),0)+IF(AND($Q37="O3/CP",$Q$14=E$18),VLOOKUP("O3",$R$63:$T$91,3,FALSE)+VLOOKUP("CP",$R$63:$T$91,3,FALSE),0)+IF(AND($R37&lt;&gt;"",$R37&lt;&gt;"--",$R37&lt;&gt;"O3/CP",$R$14=E$18),IF(LEFT($R37,1)="P",VLOOKUP(CONCATENATE(LEFT($R37,2),"H"),$R$63:$T$91,3,FALSE),VLOOKUP($R37,$R$63:$T$91,3,FALSE)))+IF(AND($R37&lt;&gt;"",$R37&lt;&gt;"O3/CP",$R$15=E$18,MID($R37,4,1)="2",$R$15&lt;&gt;$R$14),VLOOKUP(CONCATENATE(LEFT($R37,2),"L"),$R$63:$T$91,3,FALSE),0)+IF(AND($R37="O3/CP",$R$14=E$18),VLOOKUP("O3",$R$63:$T$91,3,FALSE)+VLOOKUP("CP",$R$63:$T$91,3,FALSE),0)+IF(AND($S37&lt;&gt;"",$S37&lt;&gt;"--",$S37&lt;&gt;"O3/CP",$S$14=E$18),IF(LEFT($S37,1)="P",VLOOKUP(CONCATENATE(LEFT($S37,2),"H"),$R$63:$T$91,3,FALSE),VLOOKUP($S37,$R$63:$T$91,3,FALSE)))+IF(AND($S37&lt;&gt;"",$S37&lt;&gt;"O3/CP",$S$15=E$18,MID($S37,4,1)="2",$S$15&lt;&gt;$S$14),VLOOKUP(CONCATENATE(LEFT($S37,2),"L"),$R$63:$T$91,3,FALSE),0)+IF(AND($S37="O3/CP",$S$14=E$18),VLOOKUP("O3",$R$63:$T$91,3,FALSE)+VLOOKUP("CP",$R$63:$T$91,3,FALSE),0)+IF(AND($T37&lt;&gt;"",$T37&lt;&gt;"--",$T37&lt;&gt;"O3/CP",$T$14=E$18),IF(LEFT($T37,1)="P",VLOOKUP(CONCATENATE(LEFT($T37,2),"H"),$R$63:$T$91,3,FALSE),VLOOKUP($T37,$R$63:$T$91,3,FALSE)))+IF(AND($T37&lt;&gt;"",$T37&lt;&gt;"O3/CP",$T$15=E$18,MID($T37,4,1)="2",$T$15&lt;&gt;$T$14),VLOOKUP(CONCATENATE(LEFT($T37,2),"L"),$R$63:$T$91,3,FALSE),0)+IF(AND($T37="O3/CP",$T$14=E$18),VLOOKUP("O3",$R$63:$T$91,3,FALSE)+VLOOKUP("CP",$R$63:$T$91,3,FALSE),0)+IF(AND($U37&lt;&gt;"",$U37&lt;&gt;"--",$U37&lt;&gt;"O3/CP",$U$14=E$18),IF(LEFT($U37,1)="P",VLOOKUP(CONCATENATE(LEFT($U37,2),"H"),$R$63:$T$91,3,FALSE),VLOOKUP($U37,$R$63:$T$91,3,FALSE)))+IF(AND($U37&lt;&gt;"",$U37&lt;&gt;"O3/CP",$U$15=E$18,MID($U37,4,1)="2",$U$15&lt;&gt;$U$14),VLOOKUP(CONCATENATE(LEFT($U37,2),"L"),$R$63:$T$91,3,FALSE),0)+IF(AND($U37="O3/CP",$T$14=E$18),VLOOKUP("O3",$R$63:$T$91,3,FALSE)+VLOOKUP("CP",$R$63:$T$91,3,FALSE),0)+IF(AND($V37&lt;&gt;"",$V37&lt;&gt;"--",$V37&lt;&gt;"O3/CP",$V$14=E$18),IF(LEFT($V37,1)="P",VLOOKUP(CONCATENATE(LEFT($V37,2),"H"),$R$63:$T$91,3,FALSE),VLOOKUP($V37,$R$63:$T$91,3,FALSE)))+IF(AND($V37&lt;&gt;"",$V37&lt;&gt;"O3/CP",$V$15=E$18,MID($V37,4,1)="2",$V$15&lt;&gt;$V$14),VLOOKUP(CONCATENATE(LEFT($V37,2),"L"),$R$63:$T$91,3,FALSE),0)+IF(AND($V37="O3/CP",$V$14=E$18),VLOOKUP("O3",$R$63:$T$91,3,FALSE)+VLOOKUP("CP",$R$63:$T$91,3,FALSE),0)+IF(AND($W37&lt;&gt;"",$W37&lt;&gt;"--",$W37&lt;&gt;"O3/CP",$W$14=E$18),IF(LEFT($W37,1)="P",VLOOKUP(CONCATENATE(LEFT($W37,2),"H"),$R$63:$T$91,3,FALSE),VLOOKUP($W37,$R$63:$T$91,3,FALSE)))+IF(AND($W37&lt;&gt;"",$W37&lt;&gt;"O3/CP",$W$15=E$18,MID($W37,4,1)="2",$W$15&lt;&gt;$W$14),VLOOKUP(CONCATENATE(LEFT($W37,2),"L"),$R$63:$T$91,3,FALSE),0)+IF(AND($W37="O3/CP",$W$14=E$18),VLOOKUP("O3",$R$63:$T$91,3,FALSE)+VLOOKUP("CP",$R$63:$T$91,3,FALSE),0)+IF(AND($X37&lt;&gt;"",$X37&lt;&gt;"--",$X37&lt;&gt;"O3/CP",$X$14=E$18),IF(LEFT($X37,1)="P",VLOOKUP(CONCATENATE(LEFT($X37,2),"H"),$R$63:$T$91,3,FALSE),VLOOKUP($X37,$R$63:$T$91,3,FALSE)))+IF(AND($X37&lt;&gt;"",$X37&lt;&gt;"O3/CP",$X$15=E$18,MID($X37,4,1)="2",$X$15&lt;&gt;$X$14),VLOOKUP(CONCATENATE(LEFT($X37,2),"L"),$R$63:$T$91,3,FALSE),0)+IF(AND($X37="O3/CP",$X$14=E$18),VLOOKUP("O3",$R$63:$T$91,3,FALSE)+VLOOKUP("CP",$R$63:$T$91,3,FALSE),0)+IF(AND($Y37&lt;&gt;"",$Y37&lt;&gt;"--",$Y37&lt;&gt;"O3/CP",$Y$14=E$18),IF(LEFT($Y37,1)="P",VLOOKUP(CONCATENATE(LEFT($Y37,2),"H"),$R$63:$T$91,3,FALSE),VLOOKUP($Y37,$R$63:$T$91,3,FALSE)))+IF(AND($Y37&lt;&gt;"",$Y37&lt;&gt;"O3/CP",$Y$15=E$18,MID($Y37,4,1)="2",$Y$15&lt;&gt;$Y$14),VLOOKUP(CONCATENATE(LEFT($Y37,2),"L"),$R$63:$T$91,3,FALSE),0)+IF(AND($Y37="O3/CP",$Y$14=E$18),VLOOKUP("O3",$R$63:$T$91,3,FALSE)+VLOOKUP("CP",$R$63:$T$91,3,FALSE),0)+IF(AND($K$6="CE",'[3]Supply Attribution'!$G$20=E$18),LEFT($S$90,2),0)+IF(AND($X$86&lt;&gt;"Not Set",$X$87=E$18),$X$86,0)</f>
        <v>0</v>
      </c>
      <c r="F37" s="272">
        <f>IF(AND($K37&lt;&gt;"",$K37&lt;&gt;"--",$K37&lt;&gt;"O3/CP",$K$14=F$18),IF(LEFT($K37,1)="P",VLOOKUP(CONCATENATE(LEFT($K37,2),"H"),$R$63:$T$91,3,FALSE),VLOOKUP($K37,$R$63:$T$91,3,FALSE)))+IF(AND($K37&lt;&gt;"",$K37&lt;&gt;"O3/CP",$K$15=F$18,MID($K37,4,1)="2",$K$15&lt;&gt;$K$14),VLOOKUP(CONCATENATE(LEFT($K37,2),"L"),$R$63:$T$91,3,FALSE),0)+IF(AND($K37="O3/CP",$K$14=F$18),VLOOKUP("O3",$R$63:$T$91,3,FALSE)+VLOOKUP("CP",$R$63:$T$91,3,FALSE),0)+IF(AND($L37&lt;&gt;"",$L37&lt;&gt;"--",$L37&lt;&gt;"O3/CP",$L$14=F$18),IF(LEFT($L37,1)="P",VLOOKUP(CONCATENATE(LEFT($L37,2),"H"),$R$63:$T$91,3,FALSE),VLOOKUP($L37,$R$63:$T$91,3,FALSE)))+IF(AND($L37&lt;&gt;"",$L37&lt;&gt;"O3/CP",$L$15=F$18,MID($L37,4,1)="2",$L$15&lt;&gt;$L$14),VLOOKUP(CONCATENATE(LEFT($L37,2),"L"),$R$63:$T$91,3,FALSE),0)+IF(AND($L37="O3/CP",$L$14=F$18),VLOOKUP("O3",$R$63:$T$91,3,FALSE)+VLOOKUP("CP",$R$63:$T$91,3,FALSE),0)+IF(AND($M37&lt;&gt;"",$M37&lt;&gt;"--",$M37&lt;&gt;"O3/CP",$M$14=F$18),IF(LEFT($M37,1)="P",VLOOKUP(CONCATENATE(LEFT($M37,2),"H"),$R$63:$T$91,3,FALSE),VLOOKUP($M37,$R$63:$T$91,3,FALSE)))+IF(AND($M37&lt;&gt;"",$M37&lt;&gt;"O3/CP",$M$15=F$18,MID($M37,4,1)="2",$M$15&lt;&gt;$M$14),VLOOKUP(CONCATENATE(LEFT($M37,2),"L"),$R$63:$T$91,3,FALSE),0)+IF(AND($M37="O3/CP",$M$14=F$18),VLOOKUP("O3",$R$63:$T$91,3,FALSE)+VLOOKUP("CP",$R$63:$T$91,3,FALSE),0)+IF(AND($N37&lt;&gt;"",$N37&lt;&gt;"--",$N37&lt;&gt;"O3/CP",$N$14=F$18),IF(LEFT($N37,1)="P",VLOOKUP(CONCATENATE(LEFT($N37,2),"H"),$R$63:$T$91,3,FALSE),VLOOKUP($N37,$R$63:$T$91,3,FALSE)))+IF(AND($N37&lt;&gt;"",$N37&lt;&gt;"O3/CP",$N$15=F$18,MID($N37,4,1)="2",$N$15&lt;&gt;$N$14),VLOOKUP(CONCATENATE(LEFT($N37,2),"L"),$R$63:$T$91,3,FALSE),0)+IF(AND($N37="O3/CP",$N$14=F$18),VLOOKUP("O3",$R$63:$T$91,3,FALSE)+VLOOKUP("CP",$R$63:$T$91,3,FALSE),0)+IF(AND($O37&lt;&gt;"",$O37&lt;&gt;"--",$O37&lt;&gt;"O3/CP",$O$14=F$18),IF(LEFT($O37,1)="P",VLOOKUP(CONCATENATE(LEFT($O37,2),"H"),$R$63:$T$91,3,FALSE),VLOOKUP($O37,$R$63:$T$91,3,FALSE)))+IF(AND($O37&lt;&gt;"",$O37&lt;&gt;"O3/CP",$O$15=F$18,MID($O37,4,1)="2",$O$15&lt;&gt;$O$14),VLOOKUP(CONCATENATE(LEFT($O37,2),"L"),$R$63:$T$91,3,FALSE),0)+IF(AND($O37="O3/CP",$O$14=F$18),VLOOKUP("O3",$R$63:$T$91,3,FALSE)+VLOOKUP("CP",$R$63:$T$91,3,FALSE),0)+IF(AND($P37&lt;&gt;"",$P37&lt;&gt;"--",$P37&lt;&gt;"O3/CP",$P$14=F$18),IF(LEFT($P37,1)="P",VLOOKUP(CONCATENATE(LEFT($P37,2),"H"),$R$63:$T$91,3,FALSE),VLOOKUP($P37,$R$63:$T$91,3,FALSE)))+IF(AND($P37&lt;&gt;"",$P37&lt;&gt;"O3/CP",$P$15=F$18,MID($P37,4,1)="2",$P$15&lt;&gt;$P$14),VLOOKUP(CONCATENATE(LEFT($P37,2),"L"),$R$63:$T$91,3,FALSE),0)+IF(AND($P37="O3/CP",$P$14=F$18),VLOOKUP("O3",$R$63:$T$91,3,FALSE)+VLOOKUP("CP",$R$63:$T$91,3,FALSE),0)+IF(AND($Q37&lt;&gt;"",$Q37&lt;&gt;"--",$Q37&lt;&gt;"O3/CP",$Q$14=F$18),IF(LEFT($Q37,1)="P",VLOOKUP(CONCATENATE(LEFT($Q37,2),"H"),$R$63:$T$91,3,FALSE),VLOOKUP($Q37,$R$63:$T$91,3,FALSE)))+IF(AND($Q37&lt;&gt;"",$Q37&lt;&gt;"O3/CP",$Q$15=F$18,MID($Q37,4,1)="2",$Q$15&lt;&gt;$Q$14),VLOOKUP(CONCATENATE(LEFT($Q37,2),"L"),$R$63:$T$91,3,FALSE),0)+IF(AND($Q37="O3/CP",$Q$14=F$18),VLOOKUP("O3",$R$63:$T$91,3,FALSE)+VLOOKUP("CP",$R$63:$T$91,3,FALSE),0)+IF(AND($R37&lt;&gt;"",$R37&lt;&gt;"--",$R37&lt;&gt;"O3/CP",$R$14=F$18),IF(LEFT($R37,1)="P",VLOOKUP(CONCATENATE(LEFT($R37,2),"H"),$R$63:$T$91,3,FALSE),VLOOKUP($R37,$R$63:$T$91,3,FALSE)))+IF(AND($R37&lt;&gt;"",$R37&lt;&gt;"O3/CP",$R$15=F$18,MID($R37,4,1)="2",$R$15&lt;&gt;$R$14),VLOOKUP(CONCATENATE(LEFT($R37,2),"L"),$R$63:$T$91,3,FALSE),0)+IF(AND($R37="O3/CP",$R$14=F$18),VLOOKUP("O3",$R$63:$T$91,3,FALSE)+VLOOKUP("CP",$R$63:$T$91,3,FALSE),0)+IF(AND($S37&lt;&gt;"",$S37&lt;&gt;"--",$S37&lt;&gt;"O3/CP",$S$14=F$18),IF(LEFT($S37,1)="P",VLOOKUP(CONCATENATE(LEFT($S37,2),"H"),$R$63:$T$91,3,FALSE),VLOOKUP($S37,$R$63:$T$91,3,FALSE)))+IF(AND($S37&lt;&gt;"",$S37&lt;&gt;"O3/CP",$S$15=F$18,MID($S37,4,1)="2",$S$15&lt;&gt;$S$14),VLOOKUP(CONCATENATE(LEFT($S37,2),"L"),$R$63:$T$91,3,FALSE),0)+IF(AND($S37="O3/CP",$S$14=F$18),VLOOKUP("O3",$R$63:$T$91,3,FALSE)+VLOOKUP("CP",$R$63:$T$91,3,FALSE),0)+IF(AND($T37&lt;&gt;"",$T37&lt;&gt;"--",$T37&lt;&gt;"O3/CP",$T$14=F$18),IF(LEFT($T37,1)="P",VLOOKUP(CONCATENATE(LEFT($T37,2),"H"),$R$63:$T$91,3,FALSE),VLOOKUP($T37,$R$63:$T$91,3,FALSE)))+IF(AND($T37&lt;&gt;"",$T37&lt;&gt;"O3/CP",$T$15=F$18,MID($T37,4,1)="2",$T$15&lt;&gt;$T$14),VLOOKUP(CONCATENATE(LEFT($T37,2),"L"),$R$63:$T$91,3,FALSE),0)+IF(AND($T37="O3/CP",$T$14=F$18),VLOOKUP("O3",$R$63:$T$91,3,FALSE)+VLOOKUP("CP",$R$63:$T$91,3,FALSE),0)+IF(AND($U37&lt;&gt;"",$U37&lt;&gt;"--",$U37&lt;&gt;"O3/CP",$U$14=F$18),IF(LEFT($U37,1)="P",VLOOKUP(CONCATENATE(LEFT($U37,2),"H"),$R$63:$T$91,3,FALSE),VLOOKUP($U37,$R$63:$T$91,3,FALSE)))+IF(AND($U37&lt;&gt;"",$U37&lt;&gt;"O3/CP",$U$15=F$18,MID($U37,4,1)="2",$U$15&lt;&gt;$U$14),VLOOKUP(CONCATENATE(LEFT($U37,2),"L"),$R$63:$T$91,3,FALSE),0)+IF(AND($U37="O3/CP",$T$14=F$18),VLOOKUP("O3",$R$63:$T$91,3,FALSE)+VLOOKUP("CP",$R$63:$T$91,3,FALSE),0)+IF(AND($V37&lt;&gt;"",$V37&lt;&gt;"--",$V37&lt;&gt;"O3/CP",$V$14=F$18),IF(LEFT($V37,1)="P",VLOOKUP(CONCATENATE(LEFT($V37,2),"H"),$R$63:$T$91,3,FALSE),VLOOKUP($V37,$R$63:$T$91,3,FALSE)))+IF(AND($V37&lt;&gt;"",$V37&lt;&gt;"O3/CP",$V$15=F$18,MID($V37,4,1)="2",$V$15&lt;&gt;$V$14),VLOOKUP(CONCATENATE(LEFT($V37,2),"L"),$R$63:$T$91,3,FALSE),0)+IF(AND($V37="O3/CP",$V$14=F$18),VLOOKUP("O3",$R$63:$T$91,3,FALSE)+VLOOKUP("CP",$R$63:$T$91,3,FALSE),0)+IF(AND($W37&lt;&gt;"",$W37&lt;&gt;"--",$W37&lt;&gt;"O3/CP",$W$14=F$18),IF(LEFT($W37,1)="P",VLOOKUP(CONCATENATE(LEFT($W37,2),"H"),$R$63:$T$91,3,FALSE),VLOOKUP($W37,$R$63:$T$91,3,FALSE)))+IF(AND($W37&lt;&gt;"",$W37&lt;&gt;"O3/CP",$W$15=F$18,MID($W37,4,1)="2",$W$15&lt;&gt;$W$14),VLOOKUP(CONCATENATE(LEFT($W37,2),"L"),$R$63:$T$91,3,FALSE),0)+IF(AND($W37="O3/CP",$W$14=F$18),VLOOKUP("O3",$R$63:$T$91,3,FALSE)+VLOOKUP("CP",$R$63:$T$91,3,FALSE),0)+IF(AND($X37&lt;&gt;"",$X37&lt;&gt;"--",$X37&lt;&gt;"O3/CP",$X$14=F$18),IF(LEFT($X37,1)="P",VLOOKUP(CONCATENATE(LEFT($X37,2),"H"),$R$63:$T$91,3,FALSE),VLOOKUP($X37,$R$63:$T$91,3,FALSE)))+IF(AND($X37&lt;&gt;"",$X37&lt;&gt;"O3/CP",$X$15=F$18,MID($X37,4,1)="2",$X$15&lt;&gt;$X$14),VLOOKUP(CONCATENATE(LEFT($X37,2),"L"),$R$63:$T$91,3,FALSE),0)+IF(AND($X37="O3/CP",$X$14=F$18),VLOOKUP("O3",$R$63:$T$91,3,FALSE)+VLOOKUP("CP",$R$63:$T$91,3,FALSE),0)+IF(AND($Y37&lt;&gt;"",$Y37&lt;&gt;"--",$Y37&lt;&gt;"O3/CP",$Y$14=F$18),IF(LEFT($Y37,1)="P",VLOOKUP(CONCATENATE(LEFT($Y37,2),"H"),$R$63:$T$91,3,FALSE),VLOOKUP($Y37,$R$63:$T$91,3,FALSE)))+IF(AND($Y37&lt;&gt;"",$Y37&lt;&gt;"O3/CP",$Y$15=F$18,MID($Y37,4,1)="2",$Y$15&lt;&gt;$Y$14),VLOOKUP(CONCATENATE(LEFT($Y37,2),"L"),$R$63:$T$91,3,FALSE),0)+IF(AND($Y37="O3/CP",$Y$14=F$18),VLOOKUP("O3",$R$63:$T$91,3,FALSE)+VLOOKUP("CP",$R$63:$T$91,3,FALSE),0)+IF(AND($K$6="CE",'[3]Supply Attribution'!$G$20=F$18),LEFT($S$90,2),0)+IF(AND($X$86&lt;&gt;"Not Set",$X$87=F$18),$X$86,0)</f>
        <v>0</v>
      </c>
      <c r="G37" s="271">
        <f>IF(AND($K$6="CE",$T$59="1 Phase"),SUM(A37:F37)-IF(AND($K$14&lt;&gt;$K$15,RIGHT($K37,3)="2SP"),VLOOKUP(CONCATENATE(LEFT($K37,2),"L"),$R$63:$T$90,3,FALSE),0)-IF(AND($L$14&lt;&gt;$L$15,RIGHT($L37,3)="2SP"),VLOOKUP(CONCATENATE(LEFT($L37,2),"L"),$R$63:$T$90,3,FALSE),0)-IF(AND($M$14&lt;&gt;$M$15,RIGHT($M37,3)="2SP"),VLOOKUP(CONCATENATE(LEFT($M37,2),"L"),$R$63:$T$90,3,FALSE),0)-IF(AND($N$14&lt;&gt;$N$15,RIGHT($N37,3)="2SP"),VLOOKUP(CONCATENATE(LEFT($N37,2),"L"),$R$63:$T$90,3,FALSE),0)-IF(AND($O$14&lt;&gt;$O$15,RIGHT($O37,3)="2SP"),VLOOKUP(CONCATENATE(LEFT($O37,2),"L"),$R$63:$T$90,3,FALSE),0)-IF(AND($P$14&lt;&gt;$P$15,RIGHT($P37,3)="2SP"),VLOOKUP(CONCATENATE(LEFT($P37,2),"L"),$R$63:$T$90,3,FALSE),0)-IF(AND($Q$14&lt;&gt;$Q$15,RIGHT($Q37,3)="2SP"),VLOOKUP(CONCATENATE(LEFT($Q37,2),"L"),$R$63:$T$90,3,FALSE),0)-IF(AND($R$14&lt;&gt;$R$15,RIGHT($T37,3)="2SP"),VLOOKUP(CONCATENATE(LEFT($R37,2),"L"),$R$63:$T$90,3,FALSE),0)-IF(AND($S$14&lt;&gt;$S$15,RIGHT($T37,3)="2SP"),VLOOKUP(CONCATENATE(LEFT($S37,2),"L"),$R$63:$T$90,3,FALSE),0)-IF(AND($T$14&lt;&gt;$T$15,RIGHT($T37,3)="2SP"),VLOOKUP(CONCATENATE(LEFT($T37,2),"L"),$R$63:$T$90,3,FALSE),0)-IF(AND($U$14&lt;&gt;$U$15,RIGHT($U37,3)="2SP"),VLOOKUP(CONCATENATE(LEFT($U37,2),"L"),$R$63:$T$90,3,FALSE),0)-IF(AND($V$14&lt;&gt;$V$15,RIGHT($V37,3)="2SP"),VLOOKUP(CONCATENATE(LEFT($V37,2),"L"),$R$63:$T$90,3,FALSE),0)-IF(AND($W$14&lt;&gt;$W$15,RIGHT($W37,3)="2SP"),VLOOKUP(CONCATENATE(LEFT($W37,2),"L"),$R$63:$T$90,3,FALSE),0)-IF(AND($X$14&lt;&gt;$X$15,RIGHT($X37,3)="2SP"),VLOOKUP(CONCATENATE(LEFT($X37,2),"L"),$R$63:$T$90,3,FALSE),0)-IF(AND($Y$14&lt;&gt;$Y$15,RIGHT($Y37,3)="2SP"),VLOOKUP(CONCATENATE(LEFT($Y37,2),"L"),$R$63:$T$90,3,FALSE),0),IF(VLOOKUP(CONCATENATE($A$18,"Line"),'[3]Supply Attribution'!$F$31:$G$37,2,FALSE)=G$18,$A37,0)+IF(VLOOKUP(CONCATENATE($B$18,"Line"),'[3]Supply Attribution'!$F$31:$G$37,2,FALSE)=G$18,$B37,0)+IF(VLOOKUP(CONCATENATE($C$18,"Line"),'[3]Supply Attribution'!$F$31:$G$37,2,FALSE)=G$18,$C37,0)+IF(VLOOKUP(CONCATENATE($D$18,"Line"),'[3]Supply Attribution'!$F$31:$G$37,2,FALSE)=G$18,$D37,0)+IF(VLOOKUP(CONCATENATE($E$18,"Line"),'[3]Supply Attribution'!$F$31:$G$37,2,FALSE)=G$18,$E37,0)+IF(VLOOKUP(CONCATENATE($F$18,"Line"),'[3]Supply Attribution'!$F$31:$G$37,2,FALSE)=G$18,$F37,0)+IF($K$6="UL",LEFT($S$90,2),0)-IF(AND($K$16=G$18,$K$14&lt;&gt;$K$15,$K$16=$K$17,RIGHT($K37,3)="2SP"),VLOOKUP(CONCATENATE(LEFT($K37,2),"L"),$R$63:$T$90,3,FALSE),0)-IF(AND($L$16=G$18,$L$14&lt;&gt;$L$15,$L$16=$L$17,RIGHT($L37,3)="2SP"),VLOOKUP(CONCATENATE(LEFT($L37,2),"L"),$R$63:$T$90,3,FALSE),0)-IF(AND($M$16=G$18,$M$14&lt;&gt;$M$15,$M$16=$M$17,RIGHT($M37,3)="2SP"),VLOOKUP(CONCATENATE(LEFT($M37,2),"L"),$R$63:$T$90,3,FALSE),0)-IF(AND($N$16=G$18,$N$14&lt;&gt;$N$15,$N$16=$N$17,RIGHT($N37,3)="2SP"),VLOOKUP(CONCATENATE(LEFT($N37,2),"L"),$R$63:$T$90,3,FALSE),0)-IF(AND($O$16=G$18,$O$14&lt;&gt;$O$15,$O$16=$O$17,RIGHT($O37,3)="2SP"),VLOOKUP(CONCATENATE(LEFT($O37,2),"L"),$R$63:$T$90,3,FALSE),0)-IF(AND($P$16=G$18,$P$14&lt;&gt;$P$15,$P$16=$P$17,RIGHT($P37,3)="2SP"),VLOOKUP(CONCATENATE(LEFT($P37,2),"L"),$R$63:$T$90,3,FALSE),0)-IF(AND($Q$16=G$18,$Q$14&lt;&gt;$Q$15,$Q$16=$Q$17,RIGHT($Q37,3)="2SP"),VLOOKUP(CONCATENATE(LEFT($Q37,2),"L"),$R$63:$T$90,3,FALSE),0)-IF(AND($R$16=G$18,$R$14&lt;&gt;$R$15,$R$16=$R$17,RIGHT($R37,3)="2SP"),VLOOKUP(CONCATENATE(LEFT($R37,2),"L"),$R$63:$T$90,3,FALSE),0)-IF(AND($S$16=G$18,$S$14&lt;&gt;$S$15,$S$16=$S$17,RIGHT($S37,3)="2SP"),VLOOKUP(CONCATENATE(LEFT($S37,2),"L"),$R$63:$T$90,3,FALSE),0)-IF(AND($T$16=G$18,$T$14&lt;&gt;$T$15,$T$16=$T$17,RIGHT($T37,3)="2SP"),VLOOKUP(CONCATENATE(LEFT($T37,2),"L"),$R$63:$T$90,3,FALSE),0)-IF(AND($U$16=G$18,$U$14&lt;&gt;$U$15,$U$16=$U$17,RIGHT($U37,3)="2SP"),VLOOKUP(CONCATENATE(LEFT($U37,2),"L"),$R$63:$T$90,3,FALSE),0)-IF(AND($V$16=G$18,$V$14&lt;&gt;$V$15,$V$16=$V$17,RIGHT($V37,3)="2SP"),VLOOKUP(CONCATENATE(LEFT($V37,2),"L"),$R$63:$T$90,3,FALSE),0)-IF(AND($W$16=G$18,$W$14&lt;&gt;$W$15,$W$16=$W$17,RIGHT($W37,3)="2SP"),VLOOKUP(CONCATENATE(LEFT($W37,2),"L"),$R$63:$T$90,3,FALSE),0)-IF(AND($X$16=G$18,$X$14&lt;&gt;$X$15,$X$16=$X$17,RIGHT($X37,3)="2SP"),VLOOKUP(CONCATENATE(LEFT($X37,2),"L"),$R$63:$T$90,3,FALSE),0)-IF(AND($Y$16=G$18,$Y$14&lt;&gt;$Y$15,$Y$16=$Y$17,RIGHT($Y37,3)="2SP"),VLOOKUP(CONCATENATE(LEFT($Y37,2),"L"),$R$63:$T$90,3,FALSE),0))</f>
        <v>17</v>
      </c>
      <c r="H37" s="271" t="str">
        <f>IF(H$18&lt;&gt;"",IF(VLOOKUP(CONCATENATE($A$18,"Line"),'Supply Attribution'!$F$31:$G$37,2,FALSE)=H$18,$A37,0)+IF(VLOOKUP(CONCATENATE($B$18,"Line"),'Supply Attribution'!$F$31:$G$37,2,FALSE)=H$18,$B37,0)+IF(VLOOKUP(CONCATENATE($C$18,"Line"),'Supply Attribution'!$F$31:$G$37,2,FALSE)=H$18,$C37,0)+IF(VLOOKUP(CONCATENATE($D$18,"Line"),'Supply Attribution'!$F$31:$G$37,2,FALSE)=H$18,$D37,0)+IF(VLOOKUP(CONCATENATE($E$18,"Line"),'Supply Attribution'!$F$31:$G$37,2,FALSE)=H$18,$E37,0)+IF(VLOOKUP(CONCATENATE($F$18,"Line"),'Supply Attribution'!$F$31:$G$37,2,FALSE)=H$18,$F37,0)+IF($K$6="UL",LEFT($S$90,2),0)-IF(AND($K$16=H$18,$K$14&lt;&gt;$K$15,$K$16=$K$17,RIGHT($K37,3)="2SP"),VLOOKUP(CONCATENATE(LEFT($K37,2),"L"),$R$63:$T$90,3,FALSE),0)-IF(AND($L$16=H$18,$L$14&lt;&gt;$L$15,$L$16=$L$17,RIGHT($L37,3)="2SP"),VLOOKUP(CONCATENATE(LEFT($L37,2),"L"),$R$63:$T$90,3,FALSE),0)-IF(AND($M$16=H$18,$M$14&lt;&gt;$M$15,$M$16=$M$17,RIGHT($M37,3)="2SP"),VLOOKUP(CONCATENATE(LEFT($M37,2),"L"),$R$63:$T$90,3,FALSE),0)-IF(AND($N$16=H$18,$N$14&lt;&gt;$N$15,$N$16=$N$17,RIGHT($N37,3)="2SP"),VLOOKUP(CONCATENATE(LEFT($N37,2),"L"),$R$63:$T$90,3,FALSE),0)-IF(AND($O$16=H$18,$O$14&lt;&gt;$O$15,$O$16=$O$17,RIGHT($O37,3)="2SP"),VLOOKUP(CONCATENATE(LEFT($O37,2),"L"),$R$63:$T$90,3,FALSE),0)-IF(AND($P$16=H$18,$P$14&lt;&gt;$P$15,$P$16=$P$17,RIGHT($P37,3)="2SP"),VLOOKUP(CONCATENATE(LEFT($P37,2),"L"),$R$63:$T$90,3,FALSE),0)-IF(AND($Q$16=H$18,$Q$14&lt;&gt;$Q$15,$Q$16=$Q$17,RIGHT($Q37,3)="2SP"),VLOOKUP(CONCATENATE(LEFT($Q37,2),"L"),$R$63:$T$90,3,FALSE),0)-IF(AND($T$16=H$18,$T$14&lt;&gt;$T$15,$T$16=$T$17,RIGHT($T37,3)="2SP"),VLOOKUP(CONCATENATE(LEFT($T37,2),"L"),$R$63:$T$90,3,FALSE),0)-IF(AND($U$16=H$18,$U$14&lt;&gt;$U$15,$U$16=$U$17,RIGHT($U37,3)="2SP"),VLOOKUP(CONCATENATE(LEFT($U37,2),"L"),$R$63:$T$90,3,FALSE),0)-IF(AND($V$16=H$18,$V$14&lt;&gt;$V$15,$V$16=$V$17,RIGHT($V37,3)="2SP"),VLOOKUP(CONCATENATE(LEFT($V37,2),"L"),$R$63:$T$90,3,FALSE),0)-IF(AND($W$16=H$18,$W$14&lt;&gt;$W$15,$W$16=$W$17,RIGHT($W37,3)="2SP"),VLOOKUP(CONCATENATE(LEFT($W37,2),"L"),$R$63:$T$90,3,FALSE),0)-IF(AND($X$16=H$18,$X$14&lt;&gt;$X$15,$X$16=$X$17,RIGHT($X37,3)="2SP"),VLOOKUP(CONCATENATE(LEFT($X37,2),"L"),$R$63:$T$90,3,FALSE),0)-IF(AND($Y$16=H$18,$Y$14&lt;&gt;$Y$15,$Y$16=$Y$17,RIGHT($Y37,3)="2SP"),VLOOKUP(CONCATENATE(LEFT($Y37,2),"L"),$R$63:$T$90,3,FALSE),0)+IF(AND($K$6="CE",$T$59="2 Phases",H$18&lt;&gt;""),IF(VLOOKUP(CONCATENATE($A$18,"Line"),'Supply Attribution'!$F$31:$G$37,2,FALSE)="Line3",$A37,0)+IF(VLOOKUP(CONCATENATE($B$18,"Line"),'Supply Attribution'!$F$31:$G$37,2,FALSE)="Line3",$B37,0)+IF(VLOOKUP(CONCATENATE($C$18,"Line"),'Supply Attribution'!$F$31:$G$37,2,FALSE)="Line3",$C37,0)+IF(VLOOKUP(CONCATENATE($D$18,"Line"),'Supply Attribution'!$F$31:$G$37,2,FALSE)="Line3",$D37,0)+IF(VLOOKUP(CONCATENATE($E$18,"Line"),'Supply Attribution'!$F$31:$G$37,2,FALSE)="Line3",$E37,0)+IF(VLOOKUP(CONCATENATE($F$18,"Line"),'Supply Attribution'!$F$31:$G$37,2,FALSE)="Line3",$F37,0)-IF(AND($K$16=I$18,$K$14&lt;&gt;$K$15,$K$16=$K$17,RIGHT($K37,3)="2SP"),VLOOKUP(CONCATENATE(LEFT($K37,2),"L"),$R$63:$T$90,3,FALSE),0)-IF(AND($L$16=I$18,$L$14&lt;&gt;$L$15,$L$16=$L$17,RIGHT($L37,3)="2SP"),VLOOKUP(CONCATENATE(LEFT($L37,2),"L"),$R$63:$T$90,3,FALSE),0)-IF(AND($M$16=I$18,$M$14&lt;&gt;$M$15,$M$16=$M$17,RIGHT($M37,3)="2SP"),VLOOKUP(CONCATENATE(LEFT($M37,2),"L"),$R$63:$T$90,3,FALSE),0)-IF(AND($N$16=I$18,$N$14&lt;&gt;$N$15,$N$16=$N$17,RIGHT($N37,3)="2SP"),VLOOKUP(CONCATENATE(LEFT($N37,2),"L"),$R$63:$T$90,3,FALSE),0)-IF(AND($O$16=I$18,$O$14&lt;&gt;$O$15,$O$16=$O$17,RIGHT($O37,3)="2SP"),VLOOKUP(CONCATENATE(LEFT($O37,2),"L"),$R$63:$T$90,3,FALSE),0)-IF(AND($P$16=I$18,$P$14&lt;&gt;$P$15,$P$16=$P$17,RIGHT($P37,3)="2SP"),VLOOKUP(CONCATENATE(LEFT($P37,2),"L"),$R$63:$T$90,3,FALSE),0)-IF(AND($Q$16=I$18,$Q$14&lt;&gt;$Q$15,$Q$16=$Q$17,RIGHT($Q37,3)="2SP"),VLOOKUP(CONCATENATE(LEFT($Q37,2),"L"),$R$63:$T$90,3,FALSE),0)-IF(AND($T$16=I$18,$T$14&lt;&gt;$T$15,$T$16=$T$17,RIGHT($T37,3)="2SP"),VLOOKUP(CONCATENATE(LEFT($T37,2),"L"),$R$63:$T$90,3,FALSE),0)-IF(AND($U$16=I$18,$U$14&lt;&gt;$U$15,$U$16=$U$17,RIGHT($U37,3)="2SP"),VLOOKUP(CONCATENATE(LEFT($U37,2),"L"),$R$63:$T$90,3,FALSE),0)-IF(AND($V$16=I$18,$V$14&lt;&gt;$V$15,$V$16=$V$17,RIGHT($V37,3)="2SP"),VLOOKUP(CONCATENATE(LEFT($V37,2),"L"),$R$63:$T$90,3,FALSE),0)-IF(AND($W$16=I$18,$W$14&lt;&gt;$W$15,$W$16=$W$17,RIGHT($W37,3)="2SP"),VLOOKUP(CONCATENATE(LEFT($W37,2),"L"),$R$63:$T$90,3,FALSE),0)-IF(AND($X$16=I$18,$X$14&lt;&gt;$X$15,$X$16=$X$17,RIGHT($X37,3)="2SP"),VLOOKUP(CONCATENATE(LEFT($X37,2),"L"),$R$63:$T$90,3,FALSE),0)-IF(AND($Y$16=I$18,$Y$14&lt;&gt;$Y$15,$Y$16=$Y$17,RIGHT($Y37,3)="2SP"),VLOOKUP(CONCATENATE(LEFT($Y37,2),"L"),$R$63:$T$90,3,FALSE),0),0),"")</f>
        <v/>
      </c>
      <c r="I37" s="271" t="str">
        <f>IF(I$18&lt;&gt;"",IF(VLOOKUP(CONCATENATE($A$18,"Line"),'Supply Attribution'!$F$31:$G$37,2,FALSE)=I$18,$A37,0)+IF(VLOOKUP(CONCATENATE($B$18,"Line"),'Supply Attribution'!$F$31:$G$37,2,FALSE)=I$18,$B37,0)+IF(VLOOKUP(CONCATENATE($C$18,"Line"),'Supply Attribution'!$F$31:$G$37,2,FALSE)=I$18,$C37,0)+IF(VLOOKUP(CONCATENATE($D$18,"Line"),'Supply Attribution'!$F$31:$G$37,2,FALSE)=I$18,$D37,0)+IF(VLOOKUP(CONCATENATE($E$18,"Line"),'Supply Attribution'!$F$31:$G$37,2,FALSE)=I$18,$E37,0)+IF(VLOOKUP(CONCATENATE($F$18,"Line"),'Supply Attribution'!$F$31:$G$37,2,FALSE)=I$18,$F37,0)+IF($K$6="UL",LEFT($S$90,2),0)-IF(AND($K$16=I$18,$K$14&lt;&gt;$K$15,$K$16=$K$17,RIGHT($K37,3)="2SP"),VLOOKUP(CONCATENATE(LEFT($K37,2),"L"),$R$63:$T$90,3,FALSE),0)-IF(AND($L$16=I$18,$L$14&lt;&gt;$L$15,$L$16=$L$17,RIGHT($L37,3)="2SP"),VLOOKUP(CONCATENATE(LEFT($L37,2),"L"),$R$63:$T$90,3,FALSE),0)-IF(AND($M$16=I$18,$M$14&lt;&gt;$M$15,$M$16=$M$17,RIGHT($M37,3)="2SP"),VLOOKUP(CONCATENATE(LEFT($M37,2),"L"),$R$63:$T$90,3,FALSE),0)-IF(AND($N$16=I$18,$N$14&lt;&gt;$N$15,$N$16=$N$17,RIGHT($N37,3)="2SP"),VLOOKUP(CONCATENATE(LEFT($N37,2),"L"),$R$63:$T$90,3,FALSE),0)-IF(AND($O$16=I$18,$O$14&lt;&gt;$O$15,$O$16=$O$17,RIGHT($O37,3)="2SP"),VLOOKUP(CONCATENATE(LEFT($O37,2),"L"),$R$63:$T$90,3,FALSE),0)-IF(AND($P$16=I$18,$P$14&lt;&gt;$P$15,$P$16=$P$17,RIGHT($P37,3)="2SP"),VLOOKUP(CONCATENATE(LEFT($P37,2),"L"),$R$63:$T$90,3,FALSE),0)-IF(AND($Q$16=I$18,$Q$14&lt;&gt;$Q$15,$Q$16=$Q$17,RIGHT($Q37,3)="2SP"),VLOOKUP(CONCATENATE(LEFT($Q37,2),"L"),$R$63:$T$90,3,FALSE),0)-IF(AND($T$16=I$18,$T$14&lt;&gt;$T$15,$T$16=$T$17,RIGHT($T37,3)="2SP"),VLOOKUP(CONCATENATE(LEFT($T37,2),"L"),$R$63:$T$90,3,FALSE),0)-IF(AND($U$16=I$18,$U$14&lt;&gt;$U$15,$U$16=$U$17,RIGHT($U37,3)="2SP"),VLOOKUP(CONCATENATE(LEFT($U37,2),"L"),$R$63:$T$90,3,FALSE),0)-IF(AND($V$16=I$18,$V$14&lt;&gt;$V$15,$V$16=$V$17,RIGHT($V37,3)="2SP"),VLOOKUP(CONCATENATE(LEFT($V37,2),"L"),$R$63:$T$90,3,FALSE),0)-IF(AND($W$16=I$18,$W$14&lt;&gt;$W$15,$W$16=$W$17,RIGHT($W37,3)="2SP"),VLOOKUP(CONCATENATE(LEFT($W37,2),"L"),$R$63:$T$90,3,FALSE),0)-IF(AND($X$16=I$18,$X$14&lt;&gt;$X$15,$X$16=$X$17,RIGHT($X37,3)="2SP"),VLOOKUP(CONCATENATE(LEFT($X37,2),"L"),$R$63:$T$90,3,FALSE),0)-IF(AND($Y$16=I$18,$Y$14&lt;&gt;$Y$15,$Y$16=$Y$17,RIGHT($Y37,3)="2SP"),VLOOKUP(CONCATENATE(LEFT($Y37,2),"L"),$R$63:$T$90,3,FALSE),0),"")</f>
        <v/>
      </c>
      <c r="J37" s="129"/>
      <c r="K37" s="130"/>
      <c r="L37" s="130"/>
      <c r="M37" s="130"/>
      <c r="N37" s="130"/>
      <c r="O37" s="130"/>
      <c r="P37" s="130"/>
      <c r="Q37" s="130"/>
      <c r="R37" s="130"/>
      <c r="S37" s="130"/>
      <c r="T37" s="130"/>
      <c r="U37" s="130"/>
      <c r="V37" s="130"/>
      <c r="W37" s="130"/>
      <c r="X37" s="130"/>
      <c r="Y37" s="130"/>
      <c r="Z37" s="131"/>
      <c r="AA37" s="131"/>
      <c r="AB37" s="132"/>
      <c r="AC37" s="132"/>
      <c r="AD37" s="132"/>
      <c r="AE37" s="133">
        <f t="shared" si="0"/>
        <v>0</v>
      </c>
      <c r="AF37" s="78"/>
    </row>
    <row r="38" spans="1:32">
      <c r="A38" s="270">
        <f>IF(AND($K38&lt;&gt;"",$K38&lt;&gt;"--",$K38&lt;&gt;"O3/CP",$K$14=A$18),IF(LEFT($K38,1)="P",VLOOKUP(CONCATENATE(LEFT($K38,2),"H"),$R$63:$T$91,3,FALSE),VLOOKUP($K38,$R$63:$T$91,3,FALSE)))+IF(AND($K38&lt;&gt;"",$K38&lt;&gt;"O3/CP",$K$15=A$18,MID($K38,4,1)="2",$K$15&lt;&gt;$K$14),VLOOKUP(CONCATENATE(LEFT($K38,2),"L"),$R$63:$T$91,3,FALSE),0)+IF(AND($K38="O3/CP",$K$14=A$18),VLOOKUP("O3",$R$63:$T$91,3,FALSE)+VLOOKUP("CP",$R$63:$T$91,3,FALSE),0)+IF(AND($L38&lt;&gt;"",$L38&lt;&gt;"--",$L38&lt;&gt;"O3/CP",$L$14=A$18),IF(LEFT($L38,1)="P",VLOOKUP(CONCATENATE(LEFT($L38,2),"H"),$R$63:$T$91,3,FALSE),VLOOKUP($L38,$R$63:$T$91,3,FALSE)))+IF(AND($L38&lt;&gt;"",$L38&lt;&gt;"O3/CP",$L$15=A$18,MID($L38,4,1)="2",$L$15&lt;&gt;$L$14),VLOOKUP(CONCATENATE(LEFT($L38,2),"L"),$R$63:$T$91,3,FALSE),0)+IF(AND($L38="O3/CP",$L$14=A$18),VLOOKUP("O3",$R$63:$T$91,3,FALSE)+VLOOKUP("CP",$R$63:$T$91,3,FALSE),0)+IF(AND($M38&lt;&gt;"",$M38&lt;&gt;"--",$M38&lt;&gt;"O3/CP",$M$14=A$18),IF(LEFT($M38,1)="P",VLOOKUP(CONCATENATE(LEFT($M38,2),"H"),$R$63:$T$91,3,FALSE),VLOOKUP($M38,$R$63:$T$91,3,FALSE)))+IF(AND($M38&lt;&gt;"",$M38&lt;&gt;"O3/CP",$M$15=A$18,MID($M38,4,1)="2",$M$15&lt;&gt;$M$14),VLOOKUP(CONCATENATE(LEFT($M38,2),"L"),$R$63:$T$91,3,FALSE),0)+IF(AND($M38="O3/CP",$M$14=A$18),VLOOKUP("O3",$R$63:$T$91,3,FALSE)+VLOOKUP("CP",$R$63:$T$91,3,FALSE),0)+IF(AND($N38&lt;&gt;"",$N38&lt;&gt;"--",$N38&lt;&gt;"O3/CP",$N$14=A$18),IF(LEFT($N38,1)="P",VLOOKUP(CONCATENATE(LEFT($N38,2),"H"),$R$63:$T$91,3,FALSE),VLOOKUP($N38,$R$63:$T$91,3,FALSE)))+IF(AND($N38&lt;&gt;"",$N38&lt;&gt;"O3/CP",$N$15=A$18,MID($N38,4,1)="2",$N$15&lt;&gt;$N$14),VLOOKUP(CONCATENATE(LEFT($N38,2),"L"),$R$63:$T$91,3,FALSE),0)+IF(AND($N38="O3/CP",$N$14=A$18),VLOOKUP("O3",$R$63:$T$91,3,FALSE)+VLOOKUP("CP",$R$63:$T$91,3,FALSE),0)+IF(AND($O38&lt;&gt;"",$O38&lt;&gt;"--",$O38&lt;&gt;"O3/CP",$O$14=A$18),IF(LEFT($O38,1)="P",VLOOKUP(CONCATENATE(LEFT($O38,2),"H"),$R$63:$T$91,3,FALSE),VLOOKUP($O38,$R$63:$T$91,3,FALSE)))+IF(AND($O38&lt;&gt;"",$O38&lt;&gt;"O3/CP",$O$15=A$18,MID($O38,4,1)="2",$O$15&lt;&gt;$O$14),VLOOKUP(CONCATENATE(LEFT($O38,2),"L"),$R$63:$T$91,3,FALSE),0)+IF(AND($O38="O3/CP",$O$14=A$18),VLOOKUP("O3",$R$63:$T$91,3,FALSE)+VLOOKUP("CP",$R$63:$T$91,3,FALSE),0)+IF(AND($P38&lt;&gt;"",$P38&lt;&gt;"--",$P38&lt;&gt;"O3/CP",$P$14=A$18),IF(LEFT($P38,1)="P",VLOOKUP(CONCATENATE(LEFT($P38,2),"H"),$R$63:$T$91,3,FALSE),VLOOKUP($P38,$R$63:$T$91,3,FALSE)))+IF(AND($P38&lt;&gt;"",$P38&lt;&gt;"O3/CP",$P$15=A$18,MID($P38,4,1)="2",$P$15&lt;&gt;$P$14),VLOOKUP(CONCATENATE(LEFT($P38,2),"L"),$R$63:$T$91,3,FALSE),0)+IF(AND($P38="O3/CP",$P$14=A$18),VLOOKUP("O3",$R$63:$T$91,3,FALSE)+VLOOKUP("CP",$R$63:$T$91,3,FALSE),0)+IF(AND($Q38&lt;&gt;"",$Q38&lt;&gt;"--",$Q38&lt;&gt;"O3/CP",$Q$14=A$18),IF(LEFT($Q38,1)="P",VLOOKUP(CONCATENATE(LEFT($Q38,2),"H"),$R$63:$T$91,3,FALSE),VLOOKUP($Q38,$R$63:$T$91,3,FALSE)))+IF(AND($Q38&lt;&gt;"",$Q38&lt;&gt;"O3/CP",$Q$15=A$18,MID($Q38,4,1)="2",$Q$15&lt;&gt;$Q$14),VLOOKUP(CONCATENATE(LEFT($Q38,2),"L"),$R$63:$T$91,3,FALSE),0)+IF(AND($Q38="O3/CP",$Q$14=A$18),VLOOKUP("O3",$R$63:$T$91,3,FALSE)+VLOOKUP("CP",$R$63:$T$91,3,FALSE),0)+IF(AND($R38&lt;&gt;"",$R38&lt;&gt;"--",$R38&lt;&gt;"O3/CP",$R$14=A$18),IF(LEFT($R38,1)="P",VLOOKUP(CONCATENATE(LEFT($R38,2),"H"),$R$63:$T$91,3,FALSE),VLOOKUP($R38,$R$63:$T$91,3,FALSE)))+IF(AND($R38&lt;&gt;"",$R38&lt;&gt;"O3/CP",$R$15=A$18,MID($R38,4,1)="2",$R$15&lt;&gt;$R$14),VLOOKUP(CONCATENATE(LEFT($R38,2),"L"),$R$63:$T$91,3,FALSE),0)+IF(AND($R38="O3/CP",$R$14=A$18),VLOOKUP("O3",$R$63:$T$91,3,FALSE)+VLOOKUP("CP",$R$63:$T$91,3,FALSE),0)+IF(AND($S38&lt;&gt;"",$S38&lt;&gt;"--",$S38&lt;&gt;"O3/CP",$S$14=A$18),IF(LEFT($S38,1)="P",VLOOKUP(CONCATENATE(LEFT($S38,2),"H"),$R$63:$T$91,3,FALSE),VLOOKUP($S38,$R$63:$T$91,3,FALSE)))+IF(AND($S38&lt;&gt;"",$S38&lt;&gt;"O3/CP",$S$15=A$18,MID($S38,4,1)="2",$S$15&lt;&gt;$S$14),VLOOKUP(CONCATENATE(LEFT($S38,2),"L"),$R$63:$T$91,3,FALSE),0)+IF(AND($S38="O3/CP",$S$14=A$18),VLOOKUP("O3",$R$63:$T$91,3,FALSE)+VLOOKUP("CP",$R$63:$T$91,3,FALSE),0)+IF(AND($T38&lt;&gt;"",$T38&lt;&gt;"--",$T38&lt;&gt;"O3/CP",$T$14=A$18),IF(LEFT($T38,1)="P",VLOOKUP(CONCATENATE(LEFT($T38,2),"H"),$R$63:$T$91,3,FALSE),VLOOKUP($T38,$R$63:$T$91,3,FALSE)))+IF(AND($T38&lt;&gt;"",$T38&lt;&gt;"O3/CP",$T$15=A$18,MID($T38,4,1)="2",$T$15&lt;&gt;$T$14),VLOOKUP(CONCATENATE(LEFT($T38,2),"L"),$R$63:$T$91,3,FALSE),0)+IF(AND($T38="O3/CP",$T$14=A$18),VLOOKUP("O3",$R$63:$T$91,3,FALSE)+VLOOKUP("CP",$R$63:$T$91,3,FALSE),0)+IF(AND($U38&lt;&gt;"",$U38&lt;&gt;"--",$U38&lt;&gt;"O3/CP",$U$14=A$18),IF(LEFT($U38,1)="P",VLOOKUP(CONCATENATE(LEFT($U38,2),"H"),$R$63:$T$91,3,FALSE),VLOOKUP($U38,$R$63:$T$91,3,FALSE)))+IF(AND($U38&lt;&gt;"",$U38&lt;&gt;"O3/CP",$U$15=A$18,MID($U38,4,1)="2",$U$15&lt;&gt;$U$14),VLOOKUP(CONCATENATE(LEFT($U38,2),"L"),$R$63:$T$91,3,FALSE),0)+IF(AND($U38="O3/CP",$T$14=A$18),VLOOKUP("O3",$R$63:$T$91,3,FALSE)+VLOOKUP("CP",$R$63:$T$91,3,FALSE),0)+IF(AND($V38&lt;&gt;"",$V38&lt;&gt;"--",$V38&lt;&gt;"O3/CP",$V$14=A$18),IF(LEFT($V38,1)="P",VLOOKUP(CONCATENATE(LEFT($V38,2),"H"),$R$63:$T$91,3,FALSE),VLOOKUP($V38,$R$63:$T$91,3,FALSE)))+IF(AND($V38&lt;&gt;"",$V38&lt;&gt;"O3/CP",$V$15=A$18,MID($V38,4,1)="2",$V$15&lt;&gt;$V$14),VLOOKUP(CONCATENATE(LEFT($V38,2),"L"),$R$63:$T$91,3,FALSE),0)+IF(AND($V38="O3/CP",$V$14=A$18),VLOOKUP("O3",$R$63:$T$91,3,FALSE)+VLOOKUP("CP",$R$63:$T$91,3,FALSE),0)+IF(AND($W38&lt;&gt;"",$W38&lt;&gt;"--",$W38&lt;&gt;"O3/CP",$W$14=A$18),IF(LEFT($W38,1)="P",VLOOKUP(CONCATENATE(LEFT($W38,2),"H"),$R$63:$T$91,3,FALSE),VLOOKUP($W38,$R$63:$T$91,3,FALSE)))+IF(AND($W38&lt;&gt;"",$W38&lt;&gt;"O3/CP",$W$15=A$18,MID($W38,4,1)="2",$W$15&lt;&gt;$W$14),VLOOKUP(CONCATENATE(LEFT($W38,2),"L"),$R$63:$T$91,3,FALSE),0)+IF(AND($W38="O3/CP",$W$14=A$18),VLOOKUP("O3",$R$63:$T$91,3,FALSE)+VLOOKUP("CP",$R$63:$T$91,3,FALSE),0)+IF(AND($X38&lt;&gt;"",$X38&lt;&gt;"--",$X38&lt;&gt;"O3/CP",$X$14=A$18),IF(LEFT($X38,1)="P",VLOOKUP(CONCATENATE(LEFT($X38,2),"H"),$R$63:$T$91,3,FALSE),VLOOKUP($X38,$R$63:$T$91,3,FALSE)))+IF(AND($X38&lt;&gt;"",$X38&lt;&gt;"O3/CP",$X$15=A$18,MID($X38,4,1)="2",$X$15&lt;&gt;$X$14),VLOOKUP(CONCATENATE(LEFT($X38,2),"L"),$R$63:$T$91,3,FALSE),0)+IF(AND($X38="O3/CP",$X$14=A$18),VLOOKUP("O3",$R$63:$T$91,3,FALSE)+VLOOKUP("CP",$R$63:$T$91,3,FALSE),0)+IF(AND($Y38&lt;&gt;"",$Y38&lt;&gt;"--",$Y38&lt;&gt;"O3/CP",$Y$14=A$18),IF(LEFT($Y38,1)="P",VLOOKUP(CONCATENATE(LEFT($Y38,2),"H"),$R$63:$T$91,3,FALSE),VLOOKUP($Y38,$R$63:$T$91,3,FALSE)))+IF(AND($Y38&lt;&gt;"",$Y38&lt;&gt;"O3/CP",$Y$15=A$18,MID($Y38,4,1)="2",$Y$15&lt;&gt;$Y$14),VLOOKUP(CONCATENATE(LEFT($Y38,2),"L"),$R$63:$T$91,3,FALSE),0)+IF(AND($Y38="O3/CP",$Y$14=A$18),VLOOKUP("O3",$R$63:$T$91,3,FALSE)+VLOOKUP("CP",$R$63:$T$91,3,FALSE),0)+IF(AND($K$6="CE",'[3]Supply Attribution'!$G$20=A$18),LEFT($S$90,2),0)+IF(AND($X$86&lt;&gt;"Not Set",$X$87=A$18),$X$86,0)</f>
        <v>0</v>
      </c>
      <c r="B38" s="269">
        <f>IF(AND($K38&lt;&gt;"",$K38&lt;&gt;"--",$K38&lt;&gt;"O3/CP",$K$14=B$18),IF(LEFT($K38,1)="P",VLOOKUP(CONCATENATE(LEFT($K38,2),"H"),$R$63:$T$91,3,FALSE),VLOOKUP($K38,$R$63:$T$91,3,FALSE)))+IF(AND($K38&lt;&gt;"",$K38&lt;&gt;"O3/CP",$K$15=B$18,MID($K38,4,1)="2",$K$15&lt;&gt;$K$14),VLOOKUP(CONCATENATE(LEFT($K38,2),"L"),$R$63:$T$91,3,FALSE),0)+IF(AND($K38="O3/CP",$K$14=B$18),VLOOKUP("O3",$R$63:$T$91,3,FALSE)+VLOOKUP("CP",$R$63:$T$91,3,FALSE),0)+IF(AND($L38&lt;&gt;"",$L38&lt;&gt;"--",$L38&lt;&gt;"O3/CP",$L$14=B$18),IF(LEFT($L38,1)="P",VLOOKUP(CONCATENATE(LEFT($L38,2),"H"),$R$63:$T$91,3,FALSE),VLOOKUP($L38,$R$63:$T$91,3,FALSE)))+IF(AND($L38&lt;&gt;"",$L38&lt;&gt;"O3/CP",$L$15=B$18,MID($L38,4,1)="2",$L$15&lt;&gt;$L$14),VLOOKUP(CONCATENATE(LEFT($L38,2),"L"),$R$63:$T$91,3,FALSE),0)+IF(AND($L38="O3/CP",$L$14=B$18),VLOOKUP("O3",$R$63:$T$91,3,FALSE)+VLOOKUP("CP",$R$63:$T$91,3,FALSE),0)+IF(AND($M38&lt;&gt;"",$M38&lt;&gt;"--",$M38&lt;&gt;"O3/CP",$M$14=B$18),IF(LEFT($M38,1)="P",VLOOKUP(CONCATENATE(LEFT($M38,2),"H"),$R$63:$T$91,3,FALSE),VLOOKUP($M38,$R$63:$T$91,3,FALSE)))+IF(AND($M38&lt;&gt;"",$M38&lt;&gt;"O3/CP",$M$15=B$18,MID($M38,4,1)="2",$M$15&lt;&gt;$M$14),VLOOKUP(CONCATENATE(LEFT($M38,2),"L"),$R$63:$T$91,3,FALSE),0)+IF(AND($M38="O3/CP",$M$14=B$18),VLOOKUP("O3",$R$63:$T$91,3,FALSE)+VLOOKUP("CP",$R$63:$T$91,3,FALSE),0)+IF(AND($N38&lt;&gt;"",$N38&lt;&gt;"--",$N38&lt;&gt;"O3/CP",$N$14=B$18),IF(LEFT($N38,1)="P",VLOOKUP(CONCATENATE(LEFT($N38,2),"H"),$R$63:$T$91,3,FALSE),VLOOKUP($N38,$R$63:$T$91,3,FALSE)))+IF(AND($N38&lt;&gt;"",$N38&lt;&gt;"O3/CP",$N$15=B$18,MID($N38,4,1)="2",$N$15&lt;&gt;$N$14),VLOOKUP(CONCATENATE(LEFT($N38,2),"L"),$R$63:$T$91,3,FALSE),0)+IF(AND($N38="O3/CP",$N$14=B$18),VLOOKUP("O3",$R$63:$T$91,3,FALSE)+VLOOKUP("CP",$R$63:$T$91,3,FALSE),0)+IF(AND($O38&lt;&gt;"",$O38&lt;&gt;"--",$O38&lt;&gt;"O3/CP",$O$14=B$18),IF(LEFT($O38,1)="P",VLOOKUP(CONCATENATE(LEFT($O38,2),"H"),$R$63:$T$91,3,FALSE),VLOOKUP($O38,$R$63:$T$91,3,FALSE)))+IF(AND($O38&lt;&gt;"",$O38&lt;&gt;"O3/CP",$O$15=B$18,MID($O38,4,1)="2",$O$15&lt;&gt;$O$14),VLOOKUP(CONCATENATE(LEFT($O38,2),"L"),$R$63:$T$91,3,FALSE),0)+IF(AND($O38="O3/CP",$O$14=B$18),VLOOKUP("O3",$R$63:$T$91,3,FALSE)+VLOOKUP("CP",$R$63:$T$91,3,FALSE),0)+IF(AND($P38&lt;&gt;"",$P38&lt;&gt;"--",$P38&lt;&gt;"O3/CP",$P$14=B$18),IF(LEFT($P38,1)="P",VLOOKUP(CONCATENATE(LEFT($P38,2),"H"),$R$63:$T$91,3,FALSE),VLOOKUP($P38,$R$63:$T$91,3,FALSE)))+IF(AND($P38&lt;&gt;"",$P38&lt;&gt;"O3/CP",$P$15=B$18,MID($P38,4,1)="2",$P$15&lt;&gt;$P$14),VLOOKUP(CONCATENATE(LEFT($P38,2),"L"),$R$63:$T$91,3,FALSE),0)+IF(AND($P38="O3/CP",$P$14=B$18),VLOOKUP("O3",$R$63:$T$91,3,FALSE)+VLOOKUP("CP",$R$63:$T$91,3,FALSE),0)+IF(AND($Q38&lt;&gt;"",$Q38&lt;&gt;"--",$Q38&lt;&gt;"O3/CP",$Q$14=B$18),IF(LEFT($Q38,1)="P",VLOOKUP(CONCATENATE(LEFT($Q38,2),"H"),$R$63:$T$91,3,FALSE),VLOOKUP($Q38,$R$63:$T$91,3,FALSE)))+IF(AND($Q38&lt;&gt;"",$Q38&lt;&gt;"O3/CP",$Q$15=B$18,MID($Q38,4,1)="2",$Q$15&lt;&gt;$Q$14),VLOOKUP(CONCATENATE(LEFT($Q38,2),"L"),$R$63:$T$91,3,FALSE),0)+IF(AND($Q38="O3/CP",$Q$14=B$18),VLOOKUP("O3",$R$63:$T$91,3,FALSE)+VLOOKUP("CP",$R$63:$T$91,3,FALSE),0)+IF(AND($R38&lt;&gt;"",$R38&lt;&gt;"--",$R38&lt;&gt;"O3/CP",$R$14=B$18),IF(LEFT($R38,1)="P",VLOOKUP(CONCATENATE(LEFT($R38,2),"H"),$R$63:$T$91,3,FALSE),VLOOKUP($R38,$R$63:$T$91,3,FALSE)))+IF(AND($R38&lt;&gt;"",$R38&lt;&gt;"O3/CP",$R$15=B$18,MID($R38,4,1)="2",$R$15&lt;&gt;$R$14),VLOOKUP(CONCATENATE(LEFT($R38,2),"L"),$R$63:$T$91,3,FALSE),0)+IF(AND($R38="O3/CP",$R$14=B$18),VLOOKUP("O3",$R$63:$T$91,3,FALSE)+VLOOKUP("CP",$R$63:$T$91,3,FALSE),0)+IF(AND($S38&lt;&gt;"",$S38&lt;&gt;"--",$S38&lt;&gt;"O3/CP",$S$14=B$18),IF(LEFT($S38,1)="P",VLOOKUP(CONCATENATE(LEFT($S38,2),"H"),$R$63:$T$91,3,FALSE),VLOOKUP($S38,$R$63:$T$91,3,FALSE)))+IF(AND($S38&lt;&gt;"",$S38&lt;&gt;"O3/CP",$S$15=B$18,MID($S38,4,1)="2",$S$15&lt;&gt;$S$14),VLOOKUP(CONCATENATE(LEFT($S38,2),"L"),$R$63:$T$91,3,FALSE),0)+IF(AND($S38="O3/CP",$S$14=B$18),VLOOKUP("O3",$R$63:$T$91,3,FALSE)+VLOOKUP("CP",$R$63:$T$91,3,FALSE),0)+IF(AND($T38&lt;&gt;"",$T38&lt;&gt;"--",$T38&lt;&gt;"O3/CP",$T$14=B$18),IF(LEFT($T38,1)="P",VLOOKUP(CONCATENATE(LEFT($T38,2),"H"),$R$63:$T$91,3,FALSE),VLOOKUP($T38,$R$63:$T$91,3,FALSE)))+IF(AND($T38&lt;&gt;"",$T38&lt;&gt;"O3/CP",$T$15=B$18,MID($T38,4,1)="2",$T$15&lt;&gt;$T$14),VLOOKUP(CONCATENATE(LEFT($T38,2),"L"),$R$63:$T$91,3,FALSE),0)+IF(AND($T38="O3/CP",$T$14=B$18),VLOOKUP("O3",$R$63:$T$91,3,FALSE)+VLOOKUP("CP",$R$63:$T$91,3,FALSE),0)+IF(AND($U38&lt;&gt;"",$U38&lt;&gt;"--",$U38&lt;&gt;"O3/CP",$U$14=B$18),IF(LEFT($U38,1)="P",VLOOKUP(CONCATENATE(LEFT($U38,2),"H"),$R$63:$T$91,3,FALSE),VLOOKUP($U38,$R$63:$T$91,3,FALSE)))+IF(AND($U38&lt;&gt;"",$U38&lt;&gt;"O3/CP",$U$15=B$18,MID($U38,4,1)="2",$U$15&lt;&gt;$U$14),VLOOKUP(CONCATENATE(LEFT($U38,2),"L"),$R$63:$T$91,3,FALSE),0)+IF(AND($U38="O3/CP",$T$14=B$18),VLOOKUP("O3",$R$63:$T$91,3,FALSE)+VLOOKUP("CP",$R$63:$T$91,3,FALSE),0)+IF(AND($V38&lt;&gt;"",$V38&lt;&gt;"--",$V38&lt;&gt;"O3/CP",$V$14=B$18),IF(LEFT($V38,1)="P",VLOOKUP(CONCATENATE(LEFT($V38,2),"H"),$R$63:$T$91,3,FALSE),VLOOKUP($V38,$R$63:$T$91,3,FALSE)))+IF(AND($V38&lt;&gt;"",$V38&lt;&gt;"O3/CP",$V$15=B$18,MID($V38,4,1)="2",$V$15&lt;&gt;$V$14),VLOOKUP(CONCATENATE(LEFT($V38,2),"L"),$R$63:$T$91,3,FALSE),0)+IF(AND($V38="O3/CP",$V$14=B$18),VLOOKUP("O3",$R$63:$T$91,3,FALSE)+VLOOKUP("CP",$R$63:$T$91,3,FALSE),0)+IF(AND($W38&lt;&gt;"",$W38&lt;&gt;"--",$W38&lt;&gt;"O3/CP",$W$14=B$18),IF(LEFT($W38,1)="P",VLOOKUP(CONCATENATE(LEFT($W38,2),"H"),$R$63:$T$91,3,FALSE),VLOOKUP($W38,$R$63:$T$91,3,FALSE)))+IF(AND($W38&lt;&gt;"",$W38&lt;&gt;"O3/CP",$W$15=B$18,MID($W38,4,1)="2",$W$15&lt;&gt;$W$14),VLOOKUP(CONCATENATE(LEFT($W38,2),"L"),$R$63:$T$91,3,FALSE),0)+IF(AND($W38="O3/CP",$W$14=B$18),VLOOKUP("O3",$R$63:$T$91,3,FALSE)+VLOOKUP("CP",$R$63:$T$91,3,FALSE),0)+IF(AND($X38&lt;&gt;"",$X38&lt;&gt;"--",$X38&lt;&gt;"O3/CP",$X$14=B$18),IF(LEFT($X38,1)="P",VLOOKUP(CONCATENATE(LEFT($X38,2),"H"),$R$63:$T$91,3,FALSE),VLOOKUP($X38,$R$63:$T$91,3,FALSE)))+IF(AND($X38&lt;&gt;"",$X38&lt;&gt;"O3/CP",$X$15=B$18,MID($X38,4,1)="2",$X$15&lt;&gt;$X$14),VLOOKUP(CONCATENATE(LEFT($X38,2),"L"),$R$63:$T$91,3,FALSE),0)+IF(AND($X38="O3/CP",$X$14=B$18),VLOOKUP("O3",$R$63:$T$91,3,FALSE)+VLOOKUP("CP",$R$63:$T$91,3,FALSE),0)+IF(AND($Y38&lt;&gt;"",$Y38&lt;&gt;"--",$Y38&lt;&gt;"O3/CP",$Y$14=B$18),IF(LEFT($Y38,1)="P",VLOOKUP(CONCATENATE(LEFT($Y38,2),"H"),$R$63:$T$91,3,FALSE),VLOOKUP($Y38,$R$63:$T$91,3,FALSE)))+IF(AND($Y38&lt;&gt;"",$Y38&lt;&gt;"O3/CP",$Y$15=B$18,MID($Y38,4,1)="2",$Y$15&lt;&gt;$Y$14),VLOOKUP(CONCATENATE(LEFT($Y38,2),"L"),$R$63:$T$91,3,FALSE),0)+IF(AND($Y38="O3/CP",$Y$14=B$18),VLOOKUP("O3",$R$63:$T$91,3,FALSE)+VLOOKUP("CP",$R$63:$T$91,3,FALSE),0)+IF(AND($K$6="CE",'[3]Supply Attribution'!$G$20=B$18),LEFT($S$90,2),0)+IF(AND($X$86&lt;&gt;"Not Set",$X$87=B$18),$X$86,0)</f>
        <v>0</v>
      </c>
      <c r="C38" s="269">
        <f>IF(AND($K38&lt;&gt;"",$K38&lt;&gt;"--",$K38&lt;&gt;"O3/CP",$K$14=C$18),IF(LEFT($K38,1)="P",VLOOKUP(CONCATENATE(LEFT($K38,2),"H"),$R$63:$T$91,3,FALSE),VLOOKUP($K38,$R$63:$T$91,3,FALSE)))+IF(AND($K38&lt;&gt;"",$K38&lt;&gt;"O3/CP",$K$15=C$18,MID($K38,4,1)="2",$K$15&lt;&gt;$K$14),VLOOKUP(CONCATENATE(LEFT($K38,2),"L"),$R$63:$T$91,3,FALSE),0)+IF(AND($K38="O3/CP",$K$14=C$18),VLOOKUP("O3",$R$63:$T$91,3,FALSE)+VLOOKUP("CP",$R$63:$T$91,3,FALSE),0)+IF(AND($L38&lt;&gt;"",$L38&lt;&gt;"--",$L38&lt;&gt;"O3/CP",$L$14=C$18),IF(LEFT($L38,1)="P",VLOOKUP(CONCATENATE(LEFT($L38,2),"H"),$R$63:$T$91,3,FALSE),VLOOKUP($L38,$R$63:$T$91,3,FALSE)))+IF(AND($L38&lt;&gt;"",$L38&lt;&gt;"O3/CP",$L$15=C$18,MID($L38,4,1)="2",$L$15&lt;&gt;$L$14),VLOOKUP(CONCATENATE(LEFT($L38,2),"L"),$R$63:$T$91,3,FALSE),0)+IF(AND($L38="O3/CP",$L$14=C$18),VLOOKUP("O3",$R$63:$T$91,3,FALSE)+VLOOKUP("CP",$R$63:$T$91,3,FALSE),0)+IF(AND($M38&lt;&gt;"",$M38&lt;&gt;"--",$M38&lt;&gt;"O3/CP",$M$14=C$18),IF(LEFT($M38,1)="P",VLOOKUP(CONCATENATE(LEFT($M38,2),"H"),$R$63:$T$91,3,FALSE),VLOOKUP($M38,$R$63:$T$91,3,FALSE)))+IF(AND($M38&lt;&gt;"",$M38&lt;&gt;"O3/CP",$M$15=C$18,MID($M38,4,1)="2",$M$15&lt;&gt;$M$14),VLOOKUP(CONCATENATE(LEFT($M38,2),"L"),$R$63:$T$91,3,FALSE),0)+IF(AND($M38="O3/CP",$M$14=C$18),VLOOKUP("O3",$R$63:$T$91,3,FALSE)+VLOOKUP("CP",$R$63:$T$91,3,FALSE),0)+IF(AND($N38&lt;&gt;"",$N38&lt;&gt;"--",$N38&lt;&gt;"O3/CP",$N$14=C$18),IF(LEFT($N38,1)="P",VLOOKUP(CONCATENATE(LEFT($N38,2),"H"),$R$63:$T$91,3,FALSE),VLOOKUP($N38,$R$63:$T$91,3,FALSE)))+IF(AND($N38&lt;&gt;"",$N38&lt;&gt;"O3/CP",$N$15=C$18,MID($N38,4,1)="2",$N$15&lt;&gt;$N$14),VLOOKUP(CONCATENATE(LEFT($N38,2),"L"),$R$63:$T$91,3,FALSE),0)+IF(AND($N38="O3/CP",$N$14=C$18),VLOOKUP("O3",$R$63:$T$91,3,FALSE)+VLOOKUP("CP",$R$63:$T$91,3,FALSE),0)+IF(AND($O38&lt;&gt;"",$O38&lt;&gt;"--",$O38&lt;&gt;"O3/CP",$O$14=C$18),IF(LEFT($O38,1)="P",VLOOKUP(CONCATENATE(LEFT($O38,2),"H"),$R$63:$T$91,3,FALSE),VLOOKUP($O38,$R$63:$T$91,3,FALSE)))+IF(AND($O38&lt;&gt;"",$O38&lt;&gt;"O3/CP",$O$15=C$18,MID($O38,4,1)="2",$O$15&lt;&gt;$O$14),VLOOKUP(CONCATENATE(LEFT($O38,2),"L"),$R$63:$T$91,3,FALSE),0)+IF(AND($O38="O3/CP",$O$14=C$18),VLOOKUP("O3",$R$63:$T$91,3,FALSE)+VLOOKUP("CP",$R$63:$T$91,3,FALSE),0)+IF(AND($P38&lt;&gt;"",$P38&lt;&gt;"--",$P38&lt;&gt;"O3/CP",$P$14=C$18),IF(LEFT($P38,1)="P",VLOOKUP(CONCATENATE(LEFT($P38,2),"H"),$R$63:$T$91,3,FALSE),VLOOKUP($P38,$R$63:$T$91,3,FALSE)))+IF(AND($P38&lt;&gt;"",$P38&lt;&gt;"O3/CP",$P$15=C$18,MID($P38,4,1)="2",$P$15&lt;&gt;$P$14),VLOOKUP(CONCATENATE(LEFT($P38,2),"L"),$R$63:$T$91,3,FALSE),0)+IF(AND($P38="O3/CP",$P$14=C$18),VLOOKUP("O3",$R$63:$T$91,3,FALSE)+VLOOKUP("CP",$R$63:$T$91,3,FALSE),0)+IF(AND($Q38&lt;&gt;"",$Q38&lt;&gt;"--",$Q38&lt;&gt;"O3/CP",$Q$14=C$18),IF(LEFT($Q38,1)="P",VLOOKUP(CONCATENATE(LEFT($Q38,2),"H"),$R$63:$T$91,3,FALSE),VLOOKUP($Q38,$R$63:$T$91,3,FALSE)))+IF(AND($Q38&lt;&gt;"",$Q38&lt;&gt;"O3/CP",$Q$15=C$18,MID($Q38,4,1)="2",$Q$15&lt;&gt;$Q$14),VLOOKUP(CONCATENATE(LEFT($Q38,2),"L"),$R$63:$T$91,3,FALSE),0)+IF(AND($Q38="O3/CP",$Q$14=C$18),VLOOKUP("O3",$R$63:$T$91,3,FALSE)+VLOOKUP("CP",$R$63:$T$91,3,FALSE),0)+IF(AND($R38&lt;&gt;"",$R38&lt;&gt;"--",$R38&lt;&gt;"O3/CP",$R$14=C$18),IF(LEFT($R38,1)="P",VLOOKUP(CONCATENATE(LEFT($R38,2),"H"),$R$63:$T$91,3,FALSE),VLOOKUP($R38,$R$63:$T$91,3,FALSE)))+IF(AND($R38&lt;&gt;"",$R38&lt;&gt;"O3/CP",$R$15=C$18,MID($R38,4,1)="2",$R$15&lt;&gt;$R$14),VLOOKUP(CONCATENATE(LEFT($R38,2),"L"),$R$63:$T$91,3,FALSE),0)+IF(AND($R38="O3/CP",$R$14=C$18),VLOOKUP("O3",$R$63:$T$91,3,FALSE)+VLOOKUP("CP",$R$63:$T$91,3,FALSE),0)+IF(AND($S38&lt;&gt;"",$S38&lt;&gt;"--",$S38&lt;&gt;"O3/CP",$S$14=C$18),IF(LEFT($S38,1)="P",VLOOKUP(CONCATENATE(LEFT($S38,2),"H"),$R$63:$T$91,3,FALSE),VLOOKUP($S38,$R$63:$T$91,3,FALSE)))+IF(AND($S38&lt;&gt;"",$S38&lt;&gt;"O3/CP",$S$15=C$18,MID($S38,4,1)="2",$S$15&lt;&gt;$S$14),VLOOKUP(CONCATENATE(LEFT($S38,2),"L"),$R$63:$T$91,3,FALSE),0)+IF(AND($S38="O3/CP",$S$14=C$18),VLOOKUP("O3",$R$63:$T$91,3,FALSE)+VLOOKUP("CP",$R$63:$T$91,3,FALSE),0)+IF(AND($T38&lt;&gt;"",$T38&lt;&gt;"--",$T38&lt;&gt;"O3/CP",$T$14=C$18),IF(LEFT($T38,1)="P",VLOOKUP(CONCATENATE(LEFT($T38,2),"H"),$R$63:$T$91,3,FALSE),VLOOKUP($T38,$R$63:$T$91,3,FALSE)))+IF(AND($T38&lt;&gt;"",$T38&lt;&gt;"O3/CP",$T$15=C$18,MID($T38,4,1)="2",$T$15&lt;&gt;$T$14),VLOOKUP(CONCATENATE(LEFT($T38,2),"L"),$R$63:$T$91,3,FALSE),0)+IF(AND($T38="O3/CP",$T$14=C$18),VLOOKUP("O3",$R$63:$T$91,3,FALSE)+VLOOKUP("CP",$R$63:$T$91,3,FALSE),0)+IF(AND($U38&lt;&gt;"",$U38&lt;&gt;"--",$U38&lt;&gt;"O3/CP",$U$14=C$18),IF(LEFT($U38,1)="P",VLOOKUP(CONCATENATE(LEFT($U38,2),"H"),$R$63:$T$91,3,FALSE),VLOOKUP($U38,$R$63:$T$91,3,FALSE)))+IF(AND($U38&lt;&gt;"",$U38&lt;&gt;"O3/CP",$U$15=C$18,MID($U38,4,1)="2",$U$15&lt;&gt;$U$14),VLOOKUP(CONCATENATE(LEFT($U38,2),"L"),$R$63:$T$91,3,FALSE),0)+IF(AND($U38="O3/CP",$T$14=C$18),VLOOKUP("O3",$R$63:$T$91,3,FALSE)+VLOOKUP("CP",$R$63:$T$91,3,FALSE),0)+IF(AND($V38&lt;&gt;"",$V38&lt;&gt;"--",$V38&lt;&gt;"O3/CP",$V$14=C$18),IF(LEFT($V38,1)="P",VLOOKUP(CONCATENATE(LEFT($V38,2),"H"),$R$63:$T$91,3,FALSE),VLOOKUP($V38,$R$63:$T$91,3,FALSE)))+IF(AND($V38&lt;&gt;"",$V38&lt;&gt;"O3/CP",$V$15=C$18,MID($V38,4,1)="2",$V$15&lt;&gt;$V$14),VLOOKUP(CONCATENATE(LEFT($V38,2),"L"),$R$63:$T$91,3,FALSE),0)+IF(AND($V38="O3/CP",$V$14=C$18),VLOOKUP("O3",$R$63:$T$91,3,FALSE)+VLOOKUP("CP",$R$63:$T$91,3,FALSE),0)+IF(AND($W38&lt;&gt;"",$W38&lt;&gt;"--",$W38&lt;&gt;"O3/CP",$W$14=C$18),IF(LEFT($W38,1)="P",VLOOKUP(CONCATENATE(LEFT($W38,2),"H"),$R$63:$T$91,3,FALSE),VLOOKUP($W38,$R$63:$T$91,3,FALSE)))+IF(AND($W38&lt;&gt;"",$W38&lt;&gt;"O3/CP",$W$15=C$18,MID($W38,4,1)="2",$W$15&lt;&gt;$W$14),VLOOKUP(CONCATENATE(LEFT($W38,2),"L"),$R$63:$T$91,3,FALSE),0)+IF(AND($W38="O3/CP",$W$14=C$18),VLOOKUP("O3",$R$63:$T$91,3,FALSE)+VLOOKUP("CP",$R$63:$T$91,3,FALSE),0)+IF(AND($X38&lt;&gt;"",$X38&lt;&gt;"--",$X38&lt;&gt;"O3/CP",$X$14=C$18),IF(LEFT($X38,1)="P",VLOOKUP(CONCATENATE(LEFT($X38,2),"H"),$R$63:$T$91,3,FALSE),VLOOKUP($X38,$R$63:$T$91,3,FALSE)))+IF(AND($X38&lt;&gt;"",$X38&lt;&gt;"O3/CP",$X$15=C$18,MID($X38,4,1)="2",$X$15&lt;&gt;$X$14),VLOOKUP(CONCATENATE(LEFT($X38,2),"L"),$R$63:$T$91,3,FALSE),0)+IF(AND($X38="O3/CP",$X$14=C$18),VLOOKUP("O3",$R$63:$T$91,3,FALSE)+VLOOKUP("CP",$R$63:$T$91,3,FALSE),0)+IF(AND($Y38&lt;&gt;"",$Y38&lt;&gt;"--",$Y38&lt;&gt;"O3/CP",$Y$14=C$18),IF(LEFT($Y38,1)="P",VLOOKUP(CONCATENATE(LEFT($Y38,2),"H"),$R$63:$T$91,3,FALSE),VLOOKUP($Y38,$R$63:$T$91,3,FALSE)))+IF(AND($Y38&lt;&gt;"",$Y38&lt;&gt;"O3/CP",$Y$15=C$18,MID($Y38,4,1)="2",$Y$15&lt;&gt;$Y$14),VLOOKUP(CONCATENATE(LEFT($Y38,2),"L"),$R$63:$T$91,3,FALSE),0)+IF(AND($Y38="O3/CP",$Y$14=C$18),VLOOKUP("O3",$R$63:$T$91,3,FALSE)+VLOOKUP("CP",$R$63:$T$91,3,FALSE),0)+IF(AND($K$6="CE",'[3]Supply Attribution'!$G$20=C$18),LEFT($S$90,2),0)+IF(AND($X$86&lt;&gt;"Not Set",$X$87=C$18),$X$86,0)</f>
        <v>0</v>
      </c>
      <c r="D38" s="269">
        <f>IF(AND($K38&lt;&gt;"",$K38&lt;&gt;"--",$K38&lt;&gt;"O3/CP",$K$14=D$18),IF(LEFT($K38,1)="P",VLOOKUP(CONCATENATE(LEFT($K38,2),"H"),$R$63:$T$91,3,FALSE),VLOOKUP($K38,$R$63:$T$91,3,FALSE)))+IF(AND($K38&lt;&gt;"",$K38&lt;&gt;"O3/CP",$K$15=D$18,MID($K38,4,1)="2",$K$15&lt;&gt;$K$14),VLOOKUP(CONCATENATE(LEFT($K38,2),"L"),$R$63:$T$91,3,FALSE),0)+IF(AND($K38="O3/CP",$K$14=D$18),VLOOKUP("O3",$R$63:$T$91,3,FALSE)+VLOOKUP("CP",$R$63:$T$91,3,FALSE),0)+IF(AND($L38&lt;&gt;"",$L38&lt;&gt;"--",$L38&lt;&gt;"O3/CP",$L$14=D$18),IF(LEFT($L38,1)="P",VLOOKUP(CONCATENATE(LEFT($L38,2),"H"),$R$63:$T$91,3,FALSE),VLOOKUP($L38,$R$63:$T$91,3,FALSE)))+IF(AND($L38&lt;&gt;"",$L38&lt;&gt;"O3/CP",$L$15=D$18,MID($L38,4,1)="2",$L$15&lt;&gt;$L$14),VLOOKUP(CONCATENATE(LEFT($L38,2),"L"),$R$63:$T$91,3,FALSE),0)+IF(AND($L38="O3/CP",$L$14=D$18),VLOOKUP("O3",$R$63:$T$91,3,FALSE)+VLOOKUP("CP",$R$63:$T$91,3,FALSE),0)+IF(AND($M38&lt;&gt;"",$M38&lt;&gt;"--",$M38&lt;&gt;"O3/CP",$M$14=D$18),IF(LEFT($M38,1)="P",VLOOKUP(CONCATENATE(LEFT($M38,2),"H"),$R$63:$T$91,3,FALSE),VLOOKUP($M38,$R$63:$T$91,3,FALSE)))+IF(AND($M38&lt;&gt;"",$M38&lt;&gt;"O3/CP",$M$15=D$18,MID($M38,4,1)="2",$M$15&lt;&gt;$M$14),VLOOKUP(CONCATENATE(LEFT($M38,2),"L"),$R$63:$T$91,3,FALSE),0)+IF(AND($M38="O3/CP",$M$14=D$18),VLOOKUP("O3",$R$63:$T$91,3,FALSE)+VLOOKUP("CP",$R$63:$T$91,3,FALSE),0)+IF(AND($N38&lt;&gt;"",$N38&lt;&gt;"--",$N38&lt;&gt;"O3/CP",$N$14=D$18),IF(LEFT($N38,1)="P",VLOOKUP(CONCATENATE(LEFT($N38,2),"H"),$R$63:$T$91,3,FALSE),VLOOKUP($N38,$R$63:$T$91,3,FALSE)))+IF(AND($N38&lt;&gt;"",$N38&lt;&gt;"O3/CP",$N$15=D$18,MID($N38,4,1)="2",$N$15&lt;&gt;$N$14),VLOOKUP(CONCATENATE(LEFT($N38,2),"L"),$R$63:$T$91,3,FALSE),0)+IF(AND($N38="O3/CP",$N$14=D$18),VLOOKUP("O3",$R$63:$T$91,3,FALSE)+VLOOKUP("CP",$R$63:$T$91,3,FALSE),0)+IF(AND($O38&lt;&gt;"",$O38&lt;&gt;"--",$O38&lt;&gt;"O3/CP",$O$14=D$18),IF(LEFT($O38,1)="P",VLOOKUP(CONCATENATE(LEFT($O38,2),"H"),$R$63:$T$91,3,FALSE),VLOOKUP($O38,$R$63:$T$91,3,FALSE)))+IF(AND($O38&lt;&gt;"",$O38&lt;&gt;"O3/CP",$O$15=D$18,MID($O38,4,1)="2",$O$15&lt;&gt;$O$14),VLOOKUP(CONCATENATE(LEFT($O38,2),"L"),$R$63:$T$91,3,FALSE),0)+IF(AND($O38="O3/CP",$O$14=D$18),VLOOKUP("O3",$R$63:$T$91,3,FALSE)+VLOOKUP("CP",$R$63:$T$91,3,FALSE),0)+IF(AND($P38&lt;&gt;"",$P38&lt;&gt;"--",$P38&lt;&gt;"O3/CP",$P$14=D$18),IF(LEFT($P38,1)="P",VLOOKUP(CONCATENATE(LEFT($P38,2),"H"),$R$63:$T$91,3,FALSE),VLOOKUP($P38,$R$63:$T$91,3,FALSE)))+IF(AND($P38&lt;&gt;"",$P38&lt;&gt;"O3/CP",$P$15=D$18,MID($P38,4,1)="2",$P$15&lt;&gt;$P$14),VLOOKUP(CONCATENATE(LEFT($P38,2),"L"),$R$63:$T$91,3,FALSE),0)+IF(AND($P38="O3/CP",$P$14=D$18),VLOOKUP("O3",$R$63:$T$91,3,FALSE)+VLOOKUP("CP",$R$63:$T$91,3,FALSE),0)+IF(AND($Q38&lt;&gt;"",$Q38&lt;&gt;"--",$Q38&lt;&gt;"O3/CP",$Q$14=D$18),IF(LEFT($Q38,1)="P",VLOOKUP(CONCATENATE(LEFT($Q38,2),"H"),$R$63:$T$91,3,FALSE),VLOOKUP($Q38,$R$63:$T$91,3,FALSE)))+IF(AND($Q38&lt;&gt;"",$Q38&lt;&gt;"O3/CP",$Q$15=D$18,MID($Q38,4,1)="2",$Q$15&lt;&gt;$Q$14),VLOOKUP(CONCATENATE(LEFT($Q38,2),"L"),$R$63:$T$91,3,FALSE),0)+IF(AND($Q38="O3/CP",$Q$14=D$18),VLOOKUP("O3",$R$63:$T$91,3,FALSE)+VLOOKUP("CP",$R$63:$T$91,3,FALSE),0)+IF(AND($R38&lt;&gt;"",$R38&lt;&gt;"--",$R38&lt;&gt;"O3/CP",$R$14=D$18),IF(LEFT($R38,1)="P",VLOOKUP(CONCATENATE(LEFT($R38,2),"H"),$R$63:$T$91,3,FALSE),VLOOKUP($R38,$R$63:$T$91,3,FALSE)))+IF(AND($R38&lt;&gt;"",$R38&lt;&gt;"O3/CP",$R$15=D$18,MID($R38,4,1)="2",$R$15&lt;&gt;$R$14),VLOOKUP(CONCATENATE(LEFT($R38,2),"L"),$R$63:$T$91,3,FALSE),0)+IF(AND($R38="O3/CP",$R$14=D$18),VLOOKUP("O3",$R$63:$T$91,3,FALSE)+VLOOKUP("CP",$R$63:$T$91,3,FALSE),0)+IF(AND($S38&lt;&gt;"",$S38&lt;&gt;"--",$S38&lt;&gt;"O3/CP",$S$14=D$18),IF(LEFT($S38,1)="P",VLOOKUP(CONCATENATE(LEFT($S38,2),"H"),$R$63:$T$91,3,FALSE),VLOOKUP($S38,$R$63:$T$91,3,FALSE)))+IF(AND($S38&lt;&gt;"",$S38&lt;&gt;"O3/CP",$S$15=D$18,MID($S38,4,1)="2",$S$15&lt;&gt;$S$14),VLOOKUP(CONCATENATE(LEFT($S38,2),"L"),$R$63:$T$91,3,FALSE),0)+IF(AND($S38="O3/CP",$S$14=D$18),VLOOKUP("O3",$R$63:$T$91,3,FALSE)+VLOOKUP("CP",$R$63:$T$91,3,FALSE),0)+IF(AND($T38&lt;&gt;"",$T38&lt;&gt;"--",$T38&lt;&gt;"O3/CP",$T$14=D$18),IF(LEFT($T38,1)="P",VLOOKUP(CONCATENATE(LEFT($T38,2),"H"),$R$63:$T$91,3,FALSE),VLOOKUP($T38,$R$63:$T$91,3,FALSE)))+IF(AND($T38&lt;&gt;"",$T38&lt;&gt;"O3/CP",$T$15=D$18,MID($T38,4,1)="2",$T$15&lt;&gt;$T$14),VLOOKUP(CONCATENATE(LEFT($T38,2),"L"),$R$63:$T$91,3,FALSE),0)+IF(AND($T38="O3/CP",$T$14=D$18),VLOOKUP("O3",$R$63:$T$91,3,FALSE)+VLOOKUP("CP",$R$63:$T$91,3,FALSE),0)+IF(AND($U38&lt;&gt;"",$U38&lt;&gt;"--",$U38&lt;&gt;"O3/CP",$U$14=D$18),IF(LEFT($U38,1)="P",VLOOKUP(CONCATENATE(LEFT($U38,2),"H"),$R$63:$T$91,3,FALSE),VLOOKUP($U38,$R$63:$T$91,3,FALSE)))+IF(AND($U38&lt;&gt;"",$U38&lt;&gt;"O3/CP",$U$15=D$18,MID($U38,4,1)="2",$U$15&lt;&gt;$U$14),VLOOKUP(CONCATENATE(LEFT($U38,2),"L"),$R$63:$T$91,3,FALSE),0)+IF(AND($U38="O3/CP",$T$14=D$18),VLOOKUP("O3",$R$63:$T$91,3,FALSE)+VLOOKUP("CP",$R$63:$T$91,3,FALSE),0)+IF(AND($V38&lt;&gt;"",$V38&lt;&gt;"--",$V38&lt;&gt;"O3/CP",$V$14=D$18),IF(LEFT($V38,1)="P",VLOOKUP(CONCATENATE(LEFT($V38,2),"H"),$R$63:$T$91,3,FALSE),VLOOKUP($V38,$R$63:$T$91,3,FALSE)))+IF(AND($V38&lt;&gt;"",$V38&lt;&gt;"O3/CP",$V$15=D$18,MID($V38,4,1)="2",$V$15&lt;&gt;$V$14),VLOOKUP(CONCATENATE(LEFT($V38,2),"L"),$R$63:$T$91,3,FALSE),0)+IF(AND($V38="O3/CP",$V$14=D$18),VLOOKUP("O3",$R$63:$T$91,3,FALSE)+VLOOKUP("CP",$R$63:$T$91,3,FALSE),0)+IF(AND($W38&lt;&gt;"",$W38&lt;&gt;"--",$W38&lt;&gt;"O3/CP",$W$14=D$18),IF(LEFT($W38,1)="P",VLOOKUP(CONCATENATE(LEFT($W38,2),"H"),$R$63:$T$91,3,FALSE),VLOOKUP($W38,$R$63:$T$91,3,FALSE)))+IF(AND($W38&lt;&gt;"",$W38&lt;&gt;"O3/CP",$W$15=D$18,MID($W38,4,1)="2",$W$15&lt;&gt;$W$14),VLOOKUP(CONCATENATE(LEFT($W38,2),"L"),$R$63:$T$91,3,FALSE),0)+IF(AND($W38="O3/CP",$W$14=D$18),VLOOKUP("O3",$R$63:$T$91,3,FALSE)+VLOOKUP("CP",$R$63:$T$91,3,FALSE),0)+IF(AND($X38&lt;&gt;"",$X38&lt;&gt;"--",$X38&lt;&gt;"O3/CP",$X$14=D$18),IF(LEFT($X38,1)="P",VLOOKUP(CONCATENATE(LEFT($X38,2),"H"),$R$63:$T$91,3,FALSE),VLOOKUP($X38,$R$63:$T$91,3,FALSE)))+IF(AND($X38&lt;&gt;"",$X38&lt;&gt;"O3/CP",$X$15=D$18,MID($X38,4,1)="2",$X$15&lt;&gt;$X$14),VLOOKUP(CONCATENATE(LEFT($X38,2),"L"),$R$63:$T$91,3,FALSE),0)+IF(AND($X38="O3/CP",$X$14=D$18),VLOOKUP("O3",$R$63:$T$91,3,FALSE)+VLOOKUP("CP",$R$63:$T$91,3,FALSE),0)+IF(AND($Y38&lt;&gt;"",$Y38&lt;&gt;"--",$Y38&lt;&gt;"O3/CP",$Y$14=D$18),IF(LEFT($Y38,1)="P",VLOOKUP(CONCATENATE(LEFT($Y38,2),"H"),$R$63:$T$91,3,FALSE),VLOOKUP($Y38,$R$63:$T$91,3,FALSE)))+IF(AND($Y38&lt;&gt;"",$Y38&lt;&gt;"O3/CP",$Y$15=D$18,MID($Y38,4,1)="2",$Y$15&lt;&gt;$Y$14),VLOOKUP(CONCATENATE(LEFT($Y38,2),"L"),$R$63:$T$91,3,FALSE),0)+IF(AND($Y38="O3/CP",$Y$14=D$18),VLOOKUP("O3",$R$63:$T$91,3,FALSE)+VLOOKUP("CP",$R$63:$T$91,3,FALSE),0)+IF(AND($K$6="CE",'[3]Supply Attribution'!$G$20=D$18),LEFT($S$90,2),0)+IF(AND($X$86&lt;&gt;"Not Set",$X$87=D$18),$X$86,0)</f>
        <v>0</v>
      </c>
      <c r="E38" s="269">
        <f>IF(AND($K38&lt;&gt;"",$K38&lt;&gt;"--",$K38&lt;&gt;"O3/CP",$K$14=E$18),IF(LEFT($K38,1)="P",VLOOKUP(CONCATENATE(LEFT($K38,2),"H"),$R$63:$T$91,3,FALSE),VLOOKUP($K38,$R$63:$T$91,3,FALSE)))+IF(AND($K38&lt;&gt;"",$K38&lt;&gt;"O3/CP",$K$15=E$18,MID($K38,4,1)="2",$K$15&lt;&gt;$K$14),VLOOKUP(CONCATENATE(LEFT($K38,2),"L"),$R$63:$T$91,3,FALSE),0)+IF(AND($K38="O3/CP",$K$14=E$18),VLOOKUP("O3",$R$63:$T$91,3,FALSE)+VLOOKUP("CP",$R$63:$T$91,3,FALSE),0)+IF(AND($L38&lt;&gt;"",$L38&lt;&gt;"--",$L38&lt;&gt;"O3/CP",$L$14=E$18),IF(LEFT($L38,1)="P",VLOOKUP(CONCATENATE(LEFT($L38,2),"H"),$R$63:$T$91,3,FALSE),VLOOKUP($L38,$R$63:$T$91,3,FALSE)))+IF(AND($L38&lt;&gt;"",$L38&lt;&gt;"O3/CP",$L$15=E$18,MID($L38,4,1)="2",$L$15&lt;&gt;$L$14),VLOOKUP(CONCATENATE(LEFT($L38,2),"L"),$R$63:$T$91,3,FALSE),0)+IF(AND($L38="O3/CP",$L$14=E$18),VLOOKUP("O3",$R$63:$T$91,3,FALSE)+VLOOKUP("CP",$R$63:$T$91,3,FALSE),0)+IF(AND($M38&lt;&gt;"",$M38&lt;&gt;"--",$M38&lt;&gt;"O3/CP",$M$14=E$18),IF(LEFT($M38,1)="P",VLOOKUP(CONCATENATE(LEFT($M38,2),"H"),$R$63:$T$91,3,FALSE),VLOOKUP($M38,$R$63:$T$91,3,FALSE)))+IF(AND($M38&lt;&gt;"",$M38&lt;&gt;"O3/CP",$M$15=E$18,MID($M38,4,1)="2",$M$15&lt;&gt;$M$14),VLOOKUP(CONCATENATE(LEFT($M38,2),"L"),$R$63:$T$91,3,FALSE),0)+IF(AND($M38="O3/CP",$M$14=E$18),VLOOKUP("O3",$R$63:$T$91,3,FALSE)+VLOOKUP("CP",$R$63:$T$91,3,FALSE),0)+IF(AND($N38&lt;&gt;"",$N38&lt;&gt;"--",$N38&lt;&gt;"O3/CP",$N$14=E$18),IF(LEFT($N38,1)="P",VLOOKUP(CONCATENATE(LEFT($N38,2),"H"),$R$63:$T$91,3,FALSE),VLOOKUP($N38,$R$63:$T$91,3,FALSE)))+IF(AND($N38&lt;&gt;"",$N38&lt;&gt;"O3/CP",$N$15=E$18,MID($N38,4,1)="2",$N$15&lt;&gt;$N$14),VLOOKUP(CONCATENATE(LEFT($N38,2),"L"),$R$63:$T$91,3,FALSE),0)+IF(AND($N38="O3/CP",$N$14=E$18),VLOOKUP("O3",$R$63:$T$91,3,FALSE)+VLOOKUP("CP",$R$63:$T$91,3,FALSE),0)+IF(AND($O38&lt;&gt;"",$O38&lt;&gt;"--",$O38&lt;&gt;"O3/CP",$O$14=E$18),IF(LEFT($O38,1)="P",VLOOKUP(CONCATENATE(LEFT($O38,2),"H"),$R$63:$T$91,3,FALSE),VLOOKUP($O38,$R$63:$T$91,3,FALSE)))+IF(AND($O38&lt;&gt;"",$O38&lt;&gt;"O3/CP",$O$15=E$18,MID($O38,4,1)="2",$O$15&lt;&gt;$O$14),VLOOKUP(CONCATENATE(LEFT($O38,2),"L"),$R$63:$T$91,3,FALSE),0)+IF(AND($O38="O3/CP",$O$14=E$18),VLOOKUP("O3",$R$63:$T$91,3,FALSE)+VLOOKUP("CP",$R$63:$T$91,3,FALSE),0)+IF(AND($P38&lt;&gt;"",$P38&lt;&gt;"--",$P38&lt;&gt;"O3/CP",$P$14=E$18),IF(LEFT($P38,1)="P",VLOOKUP(CONCATENATE(LEFT($P38,2),"H"),$R$63:$T$91,3,FALSE),VLOOKUP($P38,$R$63:$T$91,3,FALSE)))+IF(AND($P38&lt;&gt;"",$P38&lt;&gt;"O3/CP",$P$15=E$18,MID($P38,4,1)="2",$P$15&lt;&gt;$P$14),VLOOKUP(CONCATENATE(LEFT($P38,2),"L"),$R$63:$T$91,3,FALSE),0)+IF(AND($P38="O3/CP",$P$14=E$18),VLOOKUP("O3",$R$63:$T$91,3,FALSE)+VLOOKUP("CP",$R$63:$T$91,3,FALSE),0)+IF(AND($Q38&lt;&gt;"",$Q38&lt;&gt;"--",$Q38&lt;&gt;"O3/CP",$Q$14=E$18),IF(LEFT($Q38,1)="P",VLOOKUP(CONCATENATE(LEFT($Q38,2),"H"),$R$63:$T$91,3,FALSE),VLOOKUP($Q38,$R$63:$T$91,3,FALSE)))+IF(AND($Q38&lt;&gt;"",$Q38&lt;&gt;"O3/CP",$Q$15=E$18,MID($Q38,4,1)="2",$Q$15&lt;&gt;$Q$14),VLOOKUP(CONCATENATE(LEFT($Q38,2),"L"),$R$63:$T$91,3,FALSE),0)+IF(AND($Q38="O3/CP",$Q$14=E$18),VLOOKUP("O3",$R$63:$T$91,3,FALSE)+VLOOKUP("CP",$R$63:$T$91,3,FALSE),0)+IF(AND($R38&lt;&gt;"",$R38&lt;&gt;"--",$R38&lt;&gt;"O3/CP",$R$14=E$18),IF(LEFT($R38,1)="P",VLOOKUP(CONCATENATE(LEFT($R38,2),"H"),$R$63:$T$91,3,FALSE),VLOOKUP($R38,$R$63:$T$91,3,FALSE)))+IF(AND($R38&lt;&gt;"",$R38&lt;&gt;"O3/CP",$R$15=E$18,MID($R38,4,1)="2",$R$15&lt;&gt;$R$14),VLOOKUP(CONCATENATE(LEFT($R38,2),"L"),$R$63:$T$91,3,FALSE),0)+IF(AND($R38="O3/CP",$R$14=E$18),VLOOKUP("O3",$R$63:$T$91,3,FALSE)+VLOOKUP("CP",$R$63:$T$91,3,FALSE),0)+IF(AND($S38&lt;&gt;"",$S38&lt;&gt;"--",$S38&lt;&gt;"O3/CP",$S$14=E$18),IF(LEFT($S38,1)="P",VLOOKUP(CONCATENATE(LEFT($S38,2),"H"),$R$63:$T$91,3,FALSE),VLOOKUP($S38,$R$63:$T$91,3,FALSE)))+IF(AND($S38&lt;&gt;"",$S38&lt;&gt;"O3/CP",$S$15=E$18,MID($S38,4,1)="2",$S$15&lt;&gt;$S$14),VLOOKUP(CONCATENATE(LEFT($S38,2),"L"),$R$63:$T$91,3,FALSE),0)+IF(AND($S38="O3/CP",$S$14=E$18),VLOOKUP("O3",$R$63:$T$91,3,FALSE)+VLOOKUP("CP",$R$63:$T$91,3,FALSE),0)+IF(AND($T38&lt;&gt;"",$T38&lt;&gt;"--",$T38&lt;&gt;"O3/CP",$T$14=E$18),IF(LEFT($T38,1)="P",VLOOKUP(CONCATENATE(LEFT($T38,2),"H"),$R$63:$T$91,3,FALSE),VLOOKUP($T38,$R$63:$T$91,3,FALSE)))+IF(AND($T38&lt;&gt;"",$T38&lt;&gt;"O3/CP",$T$15=E$18,MID($T38,4,1)="2",$T$15&lt;&gt;$T$14),VLOOKUP(CONCATENATE(LEFT($T38,2),"L"),$R$63:$T$91,3,FALSE),0)+IF(AND($T38="O3/CP",$T$14=E$18),VLOOKUP("O3",$R$63:$T$91,3,FALSE)+VLOOKUP("CP",$R$63:$T$91,3,FALSE),0)+IF(AND($U38&lt;&gt;"",$U38&lt;&gt;"--",$U38&lt;&gt;"O3/CP",$U$14=E$18),IF(LEFT($U38,1)="P",VLOOKUP(CONCATENATE(LEFT($U38,2),"H"),$R$63:$T$91,3,FALSE),VLOOKUP($U38,$R$63:$T$91,3,FALSE)))+IF(AND($U38&lt;&gt;"",$U38&lt;&gt;"O3/CP",$U$15=E$18,MID($U38,4,1)="2",$U$15&lt;&gt;$U$14),VLOOKUP(CONCATENATE(LEFT($U38,2),"L"),$R$63:$T$91,3,FALSE),0)+IF(AND($U38="O3/CP",$T$14=E$18),VLOOKUP("O3",$R$63:$T$91,3,FALSE)+VLOOKUP("CP",$R$63:$T$91,3,FALSE),0)+IF(AND($V38&lt;&gt;"",$V38&lt;&gt;"--",$V38&lt;&gt;"O3/CP",$V$14=E$18),IF(LEFT($V38,1)="P",VLOOKUP(CONCATENATE(LEFT($V38,2),"H"),$R$63:$T$91,3,FALSE),VLOOKUP($V38,$R$63:$T$91,3,FALSE)))+IF(AND($V38&lt;&gt;"",$V38&lt;&gt;"O3/CP",$V$15=E$18,MID($V38,4,1)="2",$V$15&lt;&gt;$V$14),VLOOKUP(CONCATENATE(LEFT($V38,2),"L"),$R$63:$T$91,3,FALSE),0)+IF(AND($V38="O3/CP",$V$14=E$18),VLOOKUP("O3",$R$63:$T$91,3,FALSE)+VLOOKUP("CP",$R$63:$T$91,3,FALSE),0)+IF(AND($W38&lt;&gt;"",$W38&lt;&gt;"--",$W38&lt;&gt;"O3/CP",$W$14=E$18),IF(LEFT($W38,1)="P",VLOOKUP(CONCATENATE(LEFT($W38,2),"H"),$R$63:$T$91,3,FALSE),VLOOKUP($W38,$R$63:$T$91,3,FALSE)))+IF(AND($W38&lt;&gt;"",$W38&lt;&gt;"O3/CP",$W$15=E$18,MID($W38,4,1)="2",$W$15&lt;&gt;$W$14),VLOOKUP(CONCATENATE(LEFT($W38,2),"L"),$R$63:$T$91,3,FALSE),0)+IF(AND($W38="O3/CP",$W$14=E$18),VLOOKUP("O3",$R$63:$T$91,3,FALSE)+VLOOKUP("CP",$R$63:$T$91,3,FALSE),0)+IF(AND($X38&lt;&gt;"",$X38&lt;&gt;"--",$X38&lt;&gt;"O3/CP",$X$14=E$18),IF(LEFT($X38,1)="P",VLOOKUP(CONCATENATE(LEFT($X38,2),"H"),$R$63:$T$91,3,FALSE),VLOOKUP($X38,$R$63:$T$91,3,FALSE)))+IF(AND($X38&lt;&gt;"",$X38&lt;&gt;"O3/CP",$X$15=E$18,MID($X38,4,1)="2",$X$15&lt;&gt;$X$14),VLOOKUP(CONCATENATE(LEFT($X38,2),"L"),$R$63:$T$91,3,FALSE),0)+IF(AND($X38="O3/CP",$X$14=E$18),VLOOKUP("O3",$R$63:$T$91,3,FALSE)+VLOOKUP("CP",$R$63:$T$91,3,FALSE),0)+IF(AND($Y38&lt;&gt;"",$Y38&lt;&gt;"--",$Y38&lt;&gt;"O3/CP",$Y$14=E$18),IF(LEFT($Y38,1)="P",VLOOKUP(CONCATENATE(LEFT($Y38,2),"H"),$R$63:$T$91,3,FALSE),VLOOKUP($Y38,$R$63:$T$91,3,FALSE)))+IF(AND($Y38&lt;&gt;"",$Y38&lt;&gt;"O3/CP",$Y$15=E$18,MID($Y38,4,1)="2",$Y$15&lt;&gt;$Y$14),VLOOKUP(CONCATENATE(LEFT($Y38,2),"L"),$R$63:$T$91,3,FALSE),0)+IF(AND($Y38="O3/CP",$Y$14=E$18),VLOOKUP("O3",$R$63:$T$91,3,FALSE)+VLOOKUP("CP",$R$63:$T$91,3,FALSE),0)+IF(AND($K$6="CE",'[3]Supply Attribution'!$G$20=E$18),LEFT($S$90,2),0)+IF(AND($X$86&lt;&gt;"Not Set",$X$87=E$18),$X$86,0)</f>
        <v>0</v>
      </c>
      <c r="F38" s="268">
        <f>IF(AND($K38&lt;&gt;"",$K38&lt;&gt;"--",$K38&lt;&gt;"O3/CP",$K$14=F$18),IF(LEFT($K38,1)="P",VLOOKUP(CONCATENATE(LEFT($K38,2),"H"),$R$63:$T$91,3,FALSE),VLOOKUP($K38,$R$63:$T$91,3,FALSE)))+IF(AND($K38&lt;&gt;"",$K38&lt;&gt;"O3/CP",$K$15=F$18,MID($K38,4,1)="2",$K$15&lt;&gt;$K$14),VLOOKUP(CONCATENATE(LEFT($K38,2),"L"),$R$63:$T$91,3,FALSE),0)+IF(AND($K38="O3/CP",$K$14=F$18),VLOOKUP("O3",$R$63:$T$91,3,FALSE)+VLOOKUP("CP",$R$63:$T$91,3,FALSE),0)+IF(AND($L38&lt;&gt;"",$L38&lt;&gt;"--",$L38&lt;&gt;"O3/CP",$L$14=F$18),IF(LEFT($L38,1)="P",VLOOKUP(CONCATENATE(LEFT($L38,2),"H"),$R$63:$T$91,3,FALSE),VLOOKUP($L38,$R$63:$T$91,3,FALSE)))+IF(AND($L38&lt;&gt;"",$L38&lt;&gt;"O3/CP",$L$15=F$18,MID($L38,4,1)="2",$L$15&lt;&gt;$L$14),VLOOKUP(CONCATENATE(LEFT($L38,2),"L"),$R$63:$T$91,3,FALSE),0)+IF(AND($L38="O3/CP",$L$14=F$18),VLOOKUP("O3",$R$63:$T$91,3,FALSE)+VLOOKUP("CP",$R$63:$T$91,3,FALSE),0)+IF(AND($M38&lt;&gt;"",$M38&lt;&gt;"--",$M38&lt;&gt;"O3/CP",$M$14=F$18),IF(LEFT($M38,1)="P",VLOOKUP(CONCATENATE(LEFT($M38,2),"H"),$R$63:$T$91,3,FALSE),VLOOKUP($M38,$R$63:$T$91,3,FALSE)))+IF(AND($M38&lt;&gt;"",$M38&lt;&gt;"O3/CP",$M$15=F$18,MID($M38,4,1)="2",$M$15&lt;&gt;$M$14),VLOOKUP(CONCATENATE(LEFT($M38,2),"L"),$R$63:$T$91,3,FALSE),0)+IF(AND($M38="O3/CP",$M$14=F$18),VLOOKUP("O3",$R$63:$T$91,3,FALSE)+VLOOKUP("CP",$R$63:$T$91,3,FALSE),0)+IF(AND($N38&lt;&gt;"",$N38&lt;&gt;"--",$N38&lt;&gt;"O3/CP",$N$14=F$18),IF(LEFT($N38,1)="P",VLOOKUP(CONCATENATE(LEFT($N38,2),"H"),$R$63:$T$91,3,FALSE),VLOOKUP($N38,$R$63:$T$91,3,FALSE)))+IF(AND($N38&lt;&gt;"",$N38&lt;&gt;"O3/CP",$N$15=F$18,MID($N38,4,1)="2",$N$15&lt;&gt;$N$14),VLOOKUP(CONCATENATE(LEFT($N38,2),"L"),$R$63:$T$91,3,FALSE),0)+IF(AND($N38="O3/CP",$N$14=F$18),VLOOKUP("O3",$R$63:$T$91,3,FALSE)+VLOOKUP("CP",$R$63:$T$91,3,FALSE),0)+IF(AND($O38&lt;&gt;"",$O38&lt;&gt;"--",$O38&lt;&gt;"O3/CP",$O$14=F$18),IF(LEFT($O38,1)="P",VLOOKUP(CONCATENATE(LEFT($O38,2),"H"),$R$63:$T$91,3,FALSE),VLOOKUP($O38,$R$63:$T$91,3,FALSE)))+IF(AND($O38&lt;&gt;"",$O38&lt;&gt;"O3/CP",$O$15=F$18,MID($O38,4,1)="2",$O$15&lt;&gt;$O$14),VLOOKUP(CONCATENATE(LEFT($O38,2),"L"),$R$63:$T$91,3,FALSE),0)+IF(AND($O38="O3/CP",$O$14=F$18),VLOOKUP("O3",$R$63:$T$91,3,FALSE)+VLOOKUP("CP",$R$63:$T$91,3,FALSE),0)+IF(AND($P38&lt;&gt;"",$P38&lt;&gt;"--",$P38&lt;&gt;"O3/CP",$P$14=F$18),IF(LEFT($P38,1)="P",VLOOKUP(CONCATENATE(LEFT($P38,2),"H"),$R$63:$T$91,3,FALSE),VLOOKUP($P38,$R$63:$T$91,3,FALSE)))+IF(AND($P38&lt;&gt;"",$P38&lt;&gt;"O3/CP",$P$15=F$18,MID($P38,4,1)="2",$P$15&lt;&gt;$P$14),VLOOKUP(CONCATENATE(LEFT($P38,2),"L"),$R$63:$T$91,3,FALSE),0)+IF(AND($P38="O3/CP",$P$14=F$18),VLOOKUP("O3",$R$63:$T$91,3,FALSE)+VLOOKUP("CP",$R$63:$T$91,3,FALSE),0)+IF(AND($Q38&lt;&gt;"",$Q38&lt;&gt;"--",$Q38&lt;&gt;"O3/CP",$Q$14=F$18),IF(LEFT($Q38,1)="P",VLOOKUP(CONCATENATE(LEFT($Q38,2),"H"),$R$63:$T$91,3,FALSE),VLOOKUP($Q38,$R$63:$T$91,3,FALSE)))+IF(AND($Q38&lt;&gt;"",$Q38&lt;&gt;"O3/CP",$Q$15=F$18,MID($Q38,4,1)="2",$Q$15&lt;&gt;$Q$14),VLOOKUP(CONCATENATE(LEFT($Q38,2),"L"),$R$63:$T$91,3,FALSE),0)+IF(AND($Q38="O3/CP",$Q$14=F$18),VLOOKUP("O3",$R$63:$T$91,3,FALSE)+VLOOKUP("CP",$R$63:$T$91,3,FALSE),0)+IF(AND($R38&lt;&gt;"",$R38&lt;&gt;"--",$R38&lt;&gt;"O3/CP",$R$14=F$18),IF(LEFT($R38,1)="P",VLOOKUP(CONCATENATE(LEFT($R38,2),"H"),$R$63:$T$91,3,FALSE),VLOOKUP($R38,$R$63:$T$91,3,FALSE)))+IF(AND($R38&lt;&gt;"",$R38&lt;&gt;"O3/CP",$R$15=F$18,MID($R38,4,1)="2",$R$15&lt;&gt;$R$14),VLOOKUP(CONCATENATE(LEFT($R38,2),"L"),$R$63:$T$91,3,FALSE),0)+IF(AND($R38="O3/CP",$R$14=F$18),VLOOKUP("O3",$R$63:$T$91,3,FALSE)+VLOOKUP("CP",$R$63:$T$91,3,FALSE),0)+IF(AND($S38&lt;&gt;"",$S38&lt;&gt;"--",$S38&lt;&gt;"O3/CP",$S$14=F$18),IF(LEFT($S38,1)="P",VLOOKUP(CONCATENATE(LEFT($S38,2),"H"),$R$63:$T$91,3,FALSE),VLOOKUP($S38,$R$63:$T$91,3,FALSE)))+IF(AND($S38&lt;&gt;"",$S38&lt;&gt;"O3/CP",$S$15=F$18,MID($S38,4,1)="2",$S$15&lt;&gt;$S$14),VLOOKUP(CONCATENATE(LEFT($S38,2),"L"),$R$63:$T$91,3,FALSE),0)+IF(AND($S38="O3/CP",$S$14=F$18),VLOOKUP("O3",$R$63:$T$91,3,FALSE)+VLOOKUP("CP",$R$63:$T$91,3,FALSE),0)+IF(AND($T38&lt;&gt;"",$T38&lt;&gt;"--",$T38&lt;&gt;"O3/CP",$T$14=F$18),IF(LEFT($T38,1)="P",VLOOKUP(CONCATENATE(LEFT($T38,2),"H"),$R$63:$T$91,3,FALSE),VLOOKUP($T38,$R$63:$T$91,3,FALSE)))+IF(AND($T38&lt;&gt;"",$T38&lt;&gt;"O3/CP",$T$15=F$18,MID($T38,4,1)="2",$T$15&lt;&gt;$T$14),VLOOKUP(CONCATENATE(LEFT($T38,2),"L"),$R$63:$T$91,3,FALSE),0)+IF(AND($T38="O3/CP",$T$14=F$18),VLOOKUP("O3",$R$63:$T$91,3,FALSE)+VLOOKUP("CP",$R$63:$T$91,3,FALSE),0)+IF(AND($U38&lt;&gt;"",$U38&lt;&gt;"--",$U38&lt;&gt;"O3/CP",$U$14=F$18),IF(LEFT($U38,1)="P",VLOOKUP(CONCATENATE(LEFT($U38,2),"H"),$R$63:$T$91,3,FALSE),VLOOKUP($U38,$R$63:$T$91,3,FALSE)))+IF(AND($U38&lt;&gt;"",$U38&lt;&gt;"O3/CP",$U$15=F$18,MID($U38,4,1)="2",$U$15&lt;&gt;$U$14),VLOOKUP(CONCATENATE(LEFT($U38,2),"L"),$R$63:$T$91,3,FALSE),0)+IF(AND($U38="O3/CP",$T$14=F$18),VLOOKUP("O3",$R$63:$T$91,3,FALSE)+VLOOKUP("CP",$R$63:$T$91,3,FALSE),0)+IF(AND($V38&lt;&gt;"",$V38&lt;&gt;"--",$V38&lt;&gt;"O3/CP",$V$14=F$18),IF(LEFT($V38,1)="P",VLOOKUP(CONCATENATE(LEFT($V38,2),"H"),$R$63:$T$91,3,FALSE),VLOOKUP($V38,$R$63:$T$91,3,FALSE)))+IF(AND($V38&lt;&gt;"",$V38&lt;&gt;"O3/CP",$V$15=F$18,MID($V38,4,1)="2",$V$15&lt;&gt;$V$14),VLOOKUP(CONCATENATE(LEFT($V38,2),"L"),$R$63:$T$91,3,FALSE),0)+IF(AND($V38="O3/CP",$V$14=F$18),VLOOKUP("O3",$R$63:$T$91,3,FALSE)+VLOOKUP("CP",$R$63:$T$91,3,FALSE),0)+IF(AND($W38&lt;&gt;"",$W38&lt;&gt;"--",$W38&lt;&gt;"O3/CP",$W$14=F$18),IF(LEFT($W38,1)="P",VLOOKUP(CONCATENATE(LEFT($W38,2),"H"),$R$63:$T$91,3,FALSE),VLOOKUP($W38,$R$63:$T$91,3,FALSE)))+IF(AND($W38&lt;&gt;"",$W38&lt;&gt;"O3/CP",$W$15=F$18,MID($W38,4,1)="2",$W$15&lt;&gt;$W$14),VLOOKUP(CONCATENATE(LEFT($W38,2),"L"),$R$63:$T$91,3,FALSE),0)+IF(AND($W38="O3/CP",$W$14=F$18),VLOOKUP("O3",$R$63:$T$91,3,FALSE)+VLOOKUP("CP",$R$63:$T$91,3,FALSE),0)+IF(AND($X38&lt;&gt;"",$X38&lt;&gt;"--",$X38&lt;&gt;"O3/CP",$X$14=F$18),IF(LEFT($X38,1)="P",VLOOKUP(CONCATENATE(LEFT($X38,2),"H"),$R$63:$T$91,3,FALSE),VLOOKUP($X38,$R$63:$T$91,3,FALSE)))+IF(AND($X38&lt;&gt;"",$X38&lt;&gt;"O3/CP",$X$15=F$18,MID($X38,4,1)="2",$X$15&lt;&gt;$X$14),VLOOKUP(CONCATENATE(LEFT($X38,2),"L"),$R$63:$T$91,3,FALSE),0)+IF(AND($X38="O3/CP",$X$14=F$18),VLOOKUP("O3",$R$63:$T$91,3,FALSE)+VLOOKUP("CP",$R$63:$T$91,3,FALSE),0)+IF(AND($Y38&lt;&gt;"",$Y38&lt;&gt;"--",$Y38&lt;&gt;"O3/CP",$Y$14=F$18),IF(LEFT($Y38,1)="P",VLOOKUP(CONCATENATE(LEFT($Y38,2),"H"),$R$63:$T$91,3,FALSE),VLOOKUP($Y38,$R$63:$T$91,3,FALSE)))+IF(AND($Y38&lt;&gt;"",$Y38&lt;&gt;"O3/CP",$Y$15=F$18,MID($Y38,4,1)="2",$Y$15&lt;&gt;$Y$14),VLOOKUP(CONCATENATE(LEFT($Y38,2),"L"),$R$63:$T$91,3,FALSE),0)+IF(AND($Y38="O3/CP",$Y$14=F$18),VLOOKUP("O3",$R$63:$T$91,3,FALSE)+VLOOKUP("CP",$R$63:$T$91,3,FALSE),0)+IF(AND($K$6="CE",'[3]Supply Attribution'!$G$20=F$18),LEFT($S$90,2),0)+IF(AND($X$86&lt;&gt;"Not Set",$X$87=F$18),$X$86,0)</f>
        <v>0</v>
      </c>
      <c r="G38" s="269">
        <f>IF(AND($K$6="CE",$T$59="1 Phase"),SUM(A38:F38)-IF(AND($K$14&lt;&gt;$K$15,RIGHT($K38,3)="2SP"),VLOOKUP(CONCATENATE(LEFT($K38,2),"L"),$R$63:$T$90,3,FALSE),0)-IF(AND($L$14&lt;&gt;$L$15,RIGHT($L38,3)="2SP"),VLOOKUP(CONCATENATE(LEFT($L38,2),"L"),$R$63:$T$90,3,FALSE),0)-IF(AND($M$14&lt;&gt;$M$15,RIGHT($M38,3)="2SP"),VLOOKUP(CONCATENATE(LEFT($M38,2),"L"),$R$63:$T$90,3,FALSE),0)-IF(AND($N$14&lt;&gt;$N$15,RIGHT($N38,3)="2SP"),VLOOKUP(CONCATENATE(LEFT($N38,2),"L"),$R$63:$T$90,3,FALSE),0)-IF(AND($O$14&lt;&gt;$O$15,RIGHT($O38,3)="2SP"),VLOOKUP(CONCATENATE(LEFT($O38,2),"L"),$R$63:$T$90,3,FALSE),0)-IF(AND($P$14&lt;&gt;$P$15,RIGHT($P38,3)="2SP"),VLOOKUP(CONCATENATE(LEFT($P38,2),"L"),$R$63:$T$90,3,FALSE),0)-IF(AND($Q$14&lt;&gt;$Q$15,RIGHT($Q38,3)="2SP"),VLOOKUP(CONCATENATE(LEFT($Q38,2),"L"),$R$63:$T$90,3,FALSE),0)-IF(AND($R$14&lt;&gt;$R$15,RIGHT($T38,3)="2SP"),VLOOKUP(CONCATENATE(LEFT($R38,2),"L"),$R$63:$T$90,3,FALSE),0)-IF(AND($S$14&lt;&gt;$S$15,RIGHT($T38,3)="2SP"),VLOOKUP(CONCATENATE(LEFT($S38,2),"L"),$R$63:$T$90,3,FALSE),0)-IF(AND($T$14&lt;&gt;$T$15,RIGHT($T38,3)="2SP"),VLOOKUP(CONCATENATE(LEFT($T38,2),"L"),$R$63:$T$90,3,FALSE),0)-IF(AND($U$14&lt;&gt;$U$15,RIGHT($U38,3)="2SP"),VLOOKUP(CONCATENATE(LEFT($U38,2),"L"),$R$63:$T$90,3,FALSE),0)-IF(AND($V$14&lt;&gt;$V$15,RIGHT($V38,3)="2SP"),VLOOKUP(CONCATENATE(LEFT($V38,2),"L"),$R$63:$T$90,3,FALSE),0)-IF(AND($W$14&lt;&gt;$W$15,RIGHT($W38,3)="2SP"),VLOOKUP(CONCATENATE(LEFT($W38,2),"L"),$R$63:$T$90,3,FALSE),0)-IF(AND($X$14&lt;&gt;$X$15,RIGHT($X38,3)="2SP"),VLOOKUP(CONCATENATE(LEFT($X38,2),"L"),$R$63:$T$90,3,FALSE),0)-IF(AND($Y$14&lt;&gt;$Y$15,RIGHT($Y38,3)="2SP"),VLOOKUP(CONCATENATE(LEFT($Y38,2),"L"),$R$63:$T$90,3,FALSE),0),IF(VLOOKUP(CONCATENATE($A$18,"Line"),'[3]Supply Attribution'!$F$31:$G$37,2,FALSE)=G$18,$A38,0)+IF(VLOOKUP(CONCATENATE($B$18,"Line"),'[3]Supply Attribution'!$F$31:$G$37,2,FALSE)=G$18,$B38,0)+IF(VLOOKUP(CONCATENATE($C$18,"Line"),'[3]Supply Attribution'!$F$31:$G$37,2,FALSE)=G$18,$C38,0)+IF(VLOOKUP(CONCATENATE($D$18,"Line"),'[3]Supply Attribution'!$F$31:$G$37,2,FALSE)=G$18,$D38,0)+IF(VLOOKUP(CONCATENATE($E$18,"Line"),'[3]Supply Attribution'!$F$31:$G$37,2,FALSE)=G$18,$E38,0)+IF(VLOOKUP(CONCATENATE($F$18,"Line"),'[3]Supply Attribution'!$F$31:$G$37,2,FALSE)=G$18,$F38,0)+IF($K$6="UL",LEFT($S$90,2),0)-IF(AND($K$16=G$18,$K$14&lt;&gt;$K$15,$K$16=$K$17,RIGHT($K38,3)="2SP"),VLOOKUP(CONCATENATE(LEFT($K38,2),"L"),$R$63:$T$90,3,FALSE),0)-IF(AND($L$16=G$18,$L$14&lt;&gt;$L$15,$L$16=$L$17,RIGHT($L38,3)="2SP"),VLOOKUP(CONCATENATE(LEFT($L38,2),"L"),$R$63:$T$90,3,FALSE),0)-IF(AND($M$16=G$18,$M$14&lt;&gt;$M$15,$M$16=$M$17,RIGHT($M38,3)="2SP"),VLOOKUP(CONCATENATE(LEFT($M38,2),"L"),$R$63:$T$90,3,FALSE),0)-IF(AND($N$16=G$18,$N$14&lt;&gt;$N$15,$N$16=$N$17,RIGHT($N38,3)="2SP"),VLOOKUP(CONCATENATE(LEFT($N38,2),"L"),$R$63:$T$90,3,FALSE),0)-IF(AND($O$16=G$18,$O$14&lt;&gt;$O$15,$O$16=$O$17,RIGHT($O38,3)="2SP"),VLOOKUP(CONCATENATE(LEFT($O38,2),"L"),$R$63:$T$90,3,FALSE),0)-IF(AND($P$16=G$18,$P$14&lt;&gt;$P$15,$P$16=$P$17,RIGHT($P38,3)="2SP"),VLOOKUP(CONCATENATE(LEFT($P38,2),"L"),$R$63:$T$90,3,FALSE),0)-IF(AND($Q$16=G$18,$Q$14&lt;&gt;$Q$15,$Q$16=$Q$17,RIGHT($Q38,3)="2SP"),VLOOKUP(CONCATENATE(LEFT($Q38,2),"L"),$R$63:$T$90,3,FALSE),0)-IF(AND($R$16=G$18,$R$14&lt;&gt;$R$15,$R$16=$R$17,RIGHT($R38,3)="2SP"),VLOOKUP(CONCATENATE(LEFT($R38,2),"L"),$R$63:$T$90,3,FALSE),0)-IF(AND($S$16=G$18,$S$14&lt;&gt;$S$15,$S$16=$S$17,RIGHT($S38,3)="2SP"),VLOOKUP(CONCATENATE(LEFT($S38,2),"L"),$R$63:$T$90,3,FALSE),0)-IF(AND($T$16=G$18,$T$14&lt;&gt;$T$15,$T$16=$T$17,RIGHT($T38,3)="2SP"),VLOOKUP(CONCATENATE(LEFT($T38,2),"L"),$R$63:$T$90,3,FALSE),0)-IF(AND($U$16=G$18,$U$14&lt;&gt;$U$15,$U$16=$U$17,RIGHT($U38,3)="2SP"),VLOOKUP(CONCATENATE(LEFT($U38,2),"L"),$R$63:$T$90,3,FALSE),0)-IF(AND($V$16=G$18,$V$14&lt;&gt;$V$15,$V$16=$V$17,RIGHT($V38,3)="2SP"),VLOOKUP(CONCATENATE(LEFT($V38,2),"L"),$R$63:$T$90,3,FALSE),0)-IF(AND($W$16=G$18,$W$14&lt;&gt;$W$15,$W$16=$W$17,RIGHT($W38,3)="2SP"),VLOOKUP(CONCATENATE(LEFT($W38,2),"L"),$R$63:$T$90,3,FALSE),0)-IF(AND($X$16=G$18,$X$14&lt;&gt;$X$15,$X$16=$X$17,RIGHT($X38,3)="2SP"),VLOOKUP(CONCATENATE(LEFT($X38,2),"L"),$R$63:$T$90,3,FALSE),0)-IF(AND($Y$16=G$18,$Y$14&lt;&gt;$Y$15,$Y$16=$Y$17,RIGHT($Y38,3)="2SP"),VLOOKUP(CONCATENATE(LEFT($Y38,2),"L"),$R$63:$T$90,3,FALSE),0))</f>
        <v>17</v>
      </c>
      <c r="H38" s="269" t="str">
        <f>IF(H$18&lt;&gt;"",IF(VLOOKUP(CONCATENATE($A$18,"Line"),'Supply Attribution'!$F$31:$G$37,2,FALSE)=H$18,$A38,0)+IF(VLOOKUP(CONCATENATE($B$18,"Line"),'Supply Attribution'!$F$31:$G$37,2,FALSE)=H$18,$B38,0)+IF(VLOOKUP(CONCATENATE($C$18,"Line"),'Supply Attribution'!$F$31:$G$37,2,FALSE)=H$18,$C38,0)+IF(VLOOKUP(CONCATENATE($D$18,"Line"),'Supply Attribution'!$F$31:$G$37,2,FALSE)=H$18,$D38,0)+IF(VLOOKUP(CONCATENATE($E$18,"Line"),'Supply Attribution'!$F$31:$G$37,2,FALSE)=H$18,$E38,0)+IF(VLOOKUP(CONCATENATE($F$18,"Line"),'Supply Attribution'!$F$31:$G$37,2,FALSE)=H$18,$F38,0)+IF($K$6="UL",LEFT($S$90,2),0)-IF(AND($K$16=H$18,$K$14&lt;&gt;$K$15,$K$16=$K$17,RIGHT($K38,3)="2SP"),VLOOKUP(CONCATENATE(LEFT($K38,2),"L"),$R$63:$T$90,3,FALSE),0)-IF(AND($L$16=H$18,$L$14&lt;&gt;$L$15,$L$16=$L$17,RIGHT($L38,3)="2SP"),VLOOKUP(CONCATENATE(LEFT($L38,2),"L"),$R$63:$T$90,3,FALSE),0)-IF(AND($M$16=H$18,$M$14&lt;&gt;$M$15,$M$16=$M$17,RIGHT($M38,3)="2SP"),VLOOKUP(CONCATENATE(LEFT($M38,2),"L"),$R$63:$T$90,3,FALSE),0)-IF(AND($N$16=H$18,$N$14&lt;&gt;$N$15,$N$16=$N$17,RIGHT($N38,3)="2SP"),VLOOKUP(CONCATENATE(LEFT($N38,2),"L"),$R$63:$T$90,3,FALSE),0)-IF(AND($O$16=H$18,$O$14&lt;&gt;$O$15,$O$16=$O$17,RIGHT($O38,3)="2SP"),VLOOKUP(CONCATENATE(LEFT($O38,2),"L"),$R$63:$T$90,3,FALSE),0)-IF(AND($P$16=H$18,$P$14&lt;&gt;$P$15,$P$16=$P$17,RIGHT($P38,3)="2SP"),VLOOKUP(CONCATENATE(LEFT($P38,2),"L"),$R$63:$T$90,3,FALSE),0)-IF(AND($Q$16=H$18,$Q$14&lt;&gt;$Q$15,$Q$16=$Q$17,RIGHT($Q38,3)="2SP"),VLOOKUP(CONCATENATE(LEFT($Q38,2),"L"),$R$63:$T$90,3,FALSE),0)-IF(AND($T$16=H$18,$T$14&lt;&gt;$T$15,$T$16=$T$17,RIGHT($T38,3)="2SP"),VLOOKUP(CONCATENATE(LEFT($T38,2),"L"),$R$63:$T$90,3,FALSE),0)-IF(AND($U$16=H$18,$U$14&lt;&gt;$U$15,$U$16=$U$17,RIGHT($U38,3)="2SP"),VLOOKUP(CONCATENATE(LEFT($U38,2),"L"),$R$63:$T$90,3,FALSE),0)-IF(AND($V$16=H$18,$V$14&lt;&gt;$V$15,$V$16=$V$17,RIGHT($V38,3)="2SP"),VLOOKUP(CONCATENATE(LEFT($V38,2),"L"),$R$63:$T$90,3,FALSE),0)-IF(AND($W$16=H$18,$W$14&lt;&gt;$W$15,$W$16=$W$17,RIGHT($W38,3)="2SP"),VLOOKUP(CONCATENATE(LEFT($W38,2),"L"),$R$63:$T$90,3,FALSE),0)-IF(AND($X$16=H$18,$X$14&lt;&gt;$X$15,$X$16=$X$17,RIGHT($X38,3)="2SP"),VLOOKUP(CONCATENATE(LEFT($X38,2),"L"),$R$63:$T$90,3,FALSE),0)-IF(AND($Y$16=H$18,$Y$14&lt;&gt;$Y$15,$Y$16=$Y$17,RIGHT($Y38,3)="2SP"),VLOOKUP(CONCATENATE(LEFT($Y38,2),"L"),$R$63:$T$90,3,FALSE),0)+IF(AND($K$6="CE",$T$59="2 Phases",H$18&lt;&gt;""),IF(VLOOKUP(CONCATENATE($A$18,"Line"),'Supply Attribution'!$F$31:$G$37,2,FALSE)="Line3",$A38,0)+IF(VLOOKUP(CONCATENATE($B$18,"Line"),'Supply Attribution'!$F$31:$G$37,2,FALSE)="Line3",$B38,0)+IF(VLOOKUP(CONCATENATE($C$18,"Line"),'Supply Attribution'!$F$31:$G$37,2,FALSE)="Line3",$C38,0)+IF(VLOOKUP(CONCATENATE($D$18,"Line"),'Supply Attribution'!$F$31:$G$37,2,FALSE)="Line3",$D38,0)+IF(VLOOKUP(CONCATENATE($E$18,"Line"),'Supply Attribution'!$F$31:$G$37,2,FALSE)="Line3",$E38,0)+IF(VLOOKUP(CONCATENATE($F$18,"Line"),'Supply Attribution'!$F$31:$G$37,2,FALSE)="Line3",$F38,0)-IF(AND($K$16=I$18,$K$14&lt;&gt;$K$15,$K$16=$K$17,RIGHT($K38,3)="2SP"),VLOOKUP(CONCATENATE(LEFT($K38,2),"L"),$R$63:$T$90,3,FALSE),0)-IF(AND($L$16=I$18,$L$14&lt;&gt;$L$15,$L$16=$L$17,RIGHT($L38,3)="2SP"),VLOOKUP(CONCATENATE(LEFT($L38,2),"L"),$R$63:$T$90,3,FALSE),0)-IF(AND($M$16=I$18,$M$14&lt;&gt;$M$15,$M$16=$M$17,RIGHT($M38,3)="2SP"),VLOOKUP(CONCATENATE(LEFT($M38,2),"L"),$R$63:$T$90,3,FALSE),0)-IF(AND($N$16=I$18,$N$14&lt;&gt;$N$15,$N$16=$N$17,RIGHT($N38,3)="2SP"),VLOOKUP(CONCATENATE(LEFT($N38,2),"L"),$R$63:$T$90,3,FALSE),0)-IF(AND($O$16=I$18,$O$14&lt;&gt;$O$15,$O$16=$O$17,RIGHT($O38,3)="2SP"),VLOOKUP(CONCATENATE(LEFT($O38,2),"L"),$R$63:$T$90,3,FALSE),0)-IF(AND($P$16=I$18,$P$14&lt;&gt;$P$15,$P$16=$P$17,RIGHT($P38,3)="2SP"),VLOOKUP(CONCATENATE(LEFT($P38,2),"L"),$R$63:$T$90,3,FALSE),0)-IF(AND($Q$16=I$18,$Q$14&lt;&gt;$Q$15,$Q$16=$Q$17,RIGHT($Q38,3)="2SP"),VLOOKUP(CONCATENATE(LEFT($Q38,2),"L"),$R$63:$T$90,3,FALSE),0)-IF(AND($T$16=I$18,$T$14&lt;&gt;$T$15,$T$16=$T$17,RIGHT($T38,3)="2SP"),VLOOKUP(CONCATENATE(LEFT($T38,2),"L"),$R$63:$T$90,3,FALSE),0)-IF(AND($U$16=I$18,$U$14&lt;&gt;$U$15,$U$16=$U$17,RIGHT($U38,3)="2SP"),VLOOKUP(CONCATENATE(LEFT($U38,2),"L"),$R$63:$T$90,3,FALSE),0)-IF(AND($V$16=I$18,$V$14&lt;&gt;$V$15,$V$16=$V$17,RIGHT($V38,3)="2SP"),VLOOKUP(CONCATENATE(LEFT($V38,2),"L"),$R$63:$T$90,3,FALSE),0)-IF(AND($W$16=I$18,$W$14&lt;&gt;$W$15,$W$16=$W$17,RIGHT($W38,3)="2SP"),VLOOKUP(CONCATENATE(LEFT($W38,2),"L"),$R$63:$T$90,3,FALSE),0)-IF(AND($X$16=I$18,$X$14&lt;&gt;$X$15,$X$16=$X$17,RIGHT($X38,3)="2SP"),VLOOKUP(CONCATENATE(LEFT($X38,2),"L"),$R$63:$T$90,3,FALSE),0)-IF(AND($Y$16=I$18,$Y$14&lt;&gt;$Y$15,$Y$16=$Y$17,RIGHT($Y38,3)="2SP"),VLOOKUP(CONCATENATE(LEFT($Y38,2),"L"),$R$63:$T$90,3,FALSE),0),0),"")</f>
        <v/>
      </c>
      <c r="I38" s="269" t="str">
        <f>IF(I$18&lt;&gt;"",IF(VLOOKUP(CONCATENATE($A$18,"Line"),'Supply Attribution'!$F$31:$G$37,2,FALSE)=I$18,$A38,0)+IF(VLOOKUP(CONCATENATE($B$18,"Line"),'Supply Attribution'!$F$31:$G$37,2,FALSE)=I$18,$B38,0)+IF(VLOOKUP(CONCATENATE($C$18,"Line"),'Supply Attribution'!$F$31:$G$37,2,FALSE)=I$18,$C38,0)+IF(VLOOKUP(CONCATENATE($D$18,"Line"),'Supply Attribution'!$F$31:$G$37,2,FALSE)=I$18,$D38,0)+IF(VLOOKUP(CONCATENATE($E$18,"Line"),'Supply Attribution'!$F$31:$G$37,2,FALSE)=I$18,$E38,0)+IF(VLOOKUP(CONCATENATE($F$18,"Line"),'Supply Attribution'!$F$31:$G$37,2,FALSE)=I$18,$F38,0)+IF($K$6="UL",LEFT($S$90,2),0)-IF(AND($K$16=I$18,$K$14&lt;&gt;$K$15,$K$16=$K$17,RIGHT($K38,3)="2SP"),VLOOKUP(CONCATENATE(LEFT($K38,2),"L"),$R$63:$T$90,3,FALSE),0)-IF(AND($L$16=I$18,$L$14&lt;&gt;$L$15,$L$16=$L$17,RIGHT($L38,3)="2SP"),VLOOKUP(CONCATENATE(LEFT($L38,2),"L"),$R$63:$T$90,3,FALSE),0)-IF(AND($M$16=I$18,$M$14&lt;&gt;$M$15,$M$16=$M$17,RIGHT($M38,3)="2SP"),VLOOKUP(CONCATENATE(LEFT($M38,2),"L"),$R$63:$T$90,3,FALSE),0)-IF(AND($N$16=I$18,$N$14&lt;&gt;$N$15,$N$16=$N$17,RIGHT($N38,3)="2SP"),VLOOKUP(CONCATENATE(LEFT($N38,2),"L"),$R$63:$T$90,3,FALSE),0)-IF(AND($O$16=I$18,$O$14&lt;&gt;$O$15,$O$16=$O$17,RIGHT($O38,3)="2SP"),VLOOKUP(CONCATENATE(LEFT($O38,2),"L"),$R$63:$T$90,3,FALSE),0)-IF(AND($P$16=I$18,$P$14&lt;&gt;$P$15,$P$16=$P$17,RIGHT($P38,3)="2SP"),VLOOKUP(CONCATENATE(LEFT($P38,2),"L"),$R$63:$T$90,3,FALSE),0)-IF(AND($Q$16=I$18,$Q$14&lt;&gt;$Q$15,$Q$16=$Q$17,RIGHT($Q38,3)="2SP"),VLOOKUP(CONCATENATE(LEFT($Q38,2),"L"),$R$63:$T$90,3,FALSE),0)-IF(AND($T$16=I$18,$T$14&lt;&gt;$T$15,$T$16=$T$17,RIGHT($T38,3)="2SP"),VLOOKUP(CONCATENATE(LEFT($T38,2),"L"),$R$63:$T$90,3,FALSE),0)-IF(AND($U$16=I$18,$U$14&lt;&gt;$U$15,$U$16=$U$17,RIGHT($U38,3)="2SP"),VLOOKUP(CONCATENATE(LEFT($U38,2),"L"),$R$63:$T$90,3,FALSE),0)-IF(AND($V$16=I$18,$V$14&lt;&gt;$V$15,$V$16=$V$17,RIGHT($V38,3)="2SP"),VLOOKUP(CONCATENATE(LEFT($V38,2),"L"),$R$63:$T$90,3,FALSE),0)-IF(AND($W$16=I$18,$W$14&lt;&gt;$W$15,$W$16=$W$17,RIGHT($W38,3)="2SP"),VLOOKUP(CONCATENATE(LEFT($W38,2),"L"),$R$63:$T$90,3,FALSE),0)-IF(AND($X$16=I$18,$X$14&lt;&gt;$X$15,$X$16=$X$17,RIGHT($X38,3)="2SP"),VLOOKUP(CONCATENATE(LEFT($X38,2),"L"),$R$63:$T$90,3,FALSE),0)-IF(AND($Y$16=I$18,$Y$14&lt;&gt;$Y$15,$Y$16=$Y$17,RIGHT($Y38,3)="2SP"),VLOOKUP(CONCATENATE(LEFT($Y38,2),"L"),$R$63:$T$90,3,FALSE),0),"")</f>
        <v/>
      </c>
      <c r="J38" s="134"/>
      <c r="K38" s="135"/>
      <c r="L38" s="135"/>
      <c r="M38" s="135"/>
      <c r="N38" s="135"/>
      <c r="O38" s="135"/>
      <c r="P38" s="135"/>
      <c r="Q38" s="135"/>
      <c r="R38" s="135"/>
      <c r="S38" s="135"/>
      <c r="T38" s="135"/>
      <c r="U38" s="135"/>
      <c r="V38" s="135"/>
      <c r="W38" s="135"/>
      <c r="X38" s="135"/>
      <c r="Y38" s="135"/>
      <c r="Z38" s="136"/>
      <c r="AA38" s="136"/>
      <c r="AB38" s="137"/>
      <c r="AC38" s="137"/>
      <c r="AD38" s="137"/>
      <c r="AE38" s="138">
        <f t="shared" si="0"/>
        <v>0</v>
      </c>
      <c r="AF38" s="78"/>
    </row>
    <row r="39" spans="1:32">
      <c r="A39" s="264">
        <f>IF(AND($K39&lt;&gt;"",$K39&lt;&gt;"--",$K39&lt;&gt;"O3/CP",$K$14=A$18),IF(LEFT($K39,1)="P",VLOOKUP(CONCATENATE(LEFT($K39,2),"H"),$R$63:$T$91,3,FALSE),VLOOKUP($K39,$R$63:$T$91,3,FALSE)))+IF(AND($K39&lt;&gt;"",$K39&lt;&gt;"O3/CP",$K$15=A$18,MID($K39,4,1)="2",$K$15&lt;&gt;$K$14),VLOOKUP(CONCATENATE(LEFT($K39,2),"L"),$R$63:$T$91,3,FALSE),0)+IF(AND($K39="O3/CP",$K$14=A$18),VLOOKUP("O3",$R$63:$T$91,3,FALSE)+VLOOKUP("CP",$R$63:$T$91,3,FALSE),0)+IF(AND($L39&lt;&gt;"",$L39&lt;&gt;"--",$L39&lt;&gt;"O3/CP",$L$14=A$18),IF(LEFT($L39,1)="P",VLOOKUP(CONCATENATE(LEFT($L39,2),"H"),$R$63:$T$91,3,FALSE),VLOOKUP($L39,$R$63:$T$91,3,FALSE)))+IF(AND($L39&lt;&gt;"",$L39&lt;&gt;"O3/CP",$L$15=A$18,MID($L39,4,1)="2",$L$15&lt;&gt;$L$14),VLOOKUP(CONCATENATE(LEFT($L39,2),"L"),$R$63:$T$91,3,FALSE),0)+IF(AND($L39="O3/CP",$L$14=A$18),VLOOKUP("O3",$R$63:$T$91,3,FALSE)+VLOOKUP("CP",$R$63:$T$91,3,FALSE),0)+IF(AND($M39&lt;&gt;"",$M39&lt;&gt;"--",$M39&lt;&gt;"O3/CP",$M$14=A$18),IF(LEFT($M39,1)="P",VLOOKUP(CONCATENATE(LEFT($M39,2),"H"),$R$63:$T$91,3,FALSE),VLOOKUP($M39,$R$63:$T$91,3,FALSE)))+IF(AND($M39&lt;&gt;"",$M39&lt;&gt;"O3/CP",$M$15=A$18,MID($M39,4,1)="2",$M$15&lt;&gt;$M$14),VLOOKUP(CONCATENATE(LEFT($M39,2),"L"),$R$63:$T$91,3,FALSE),0)+IF(AND($M39="O3/CP",$M$14=A$18),VLOOKUP("O3",$R$63:$T$91,3,FALSE)+VLOOKUP("CP",$R$63:$T$91,3,FALSE),0)+IF(AND($N39&lt;&gt;"",$N39&lt;&gt;"--",$N39&lt;&gt;"O3/CP",$N$14=A$18),IF(LEFT($N39,1)="P",VLOOKUP(CONCATENATE(LEFT($N39,2),"H"),$R$63:$T$91,3,FALSE),VLOOKUP($N39,$R$63:$T$91,3,FALSE)))+IF(AND($N39&lt;&gt;"",$N39&lt;&gt;"O3/CP",$N$15=A$18,MID($N39,4,1)="2",$N$15&lt;&gt;$N$14),VLOOKUP(CONCATENATE(LEFT($N39,2),"L"),$R$63:$T$91,3,FALSE),0)+IF(AND($N39="O3/CP",$N$14=A$18),VLOOKUP("O3",$R$63:$T$91,3,FALSE)+VLOOKUP("CP",$R$63:$T$91,3,FALSE),0)+IF(AND($O39&lt;&gt;"",$O39&lt;&gt;"--",$O39&lt;&gt;"O3/CP",$O$14=A$18),IF(LEFT($O39,1)="P",VLOOKUP(CONCATENATE(LEFT($O39,2),"H"),$R$63:$T$91,3,FALSE),VLOOKUP($O39,$R$63:$T$91,3,FALSE)))+IF(AND($O39&lt;&gt;"",$O39&lt;&gt;"O3/CP",$O$15=A$18,MID($O39,4,1)="2",$O$15&lt;&gt;$O$14),VLOOKUP(CONCATENATE(LEFT($O39,2),"L"),$R$63:$T$91,3,FALSE),0)+IF(AND($O39="O3/CP",$O$14=A$18),VLOOKUP("O3",$R$63:$T$91,3,FALSE)+VLOOKUP("CP",$R$63:$T$91,3,FALSE),0)+IF(AND($P39&lt;&gt;"",$P39&lt;&gt;"--",$P39&lt;&gt;"O3/CP",$P$14=A$18),IF(LEFT($P39,1)="P",VLOOKUP(CONCATENATE(LEFT($P39,2),"H"),$R$63:$T$91,3,FALSE),VLOOKUP($P39,$R$63:$T$91,3,FALSE)))+IF(AND($P39&lt;&gt;"",$P39&lt;&gt;"O3/CP",$P$15=A$18,MID($P39,4,1)="2",$P$15&lt;&gt;$P$14),VLOOKUP(CONCATENATE(LEFT($P39,2),"L"),$R$63:$T$91,3,FALSE),0)+IF(AND($P39="O3/CP",$P$14=A$18),VLOOKUP("O3",$R$63:$T$91,3,FALSE)+VLOOKUP("CP",$R$63:$T$91,3,FALSE),0)+IF(AND($Q39&lt;&gt;"",$Q39&lt;&gt;"--",$Q39&lt;&gt;"O3/CP",$Q$14=A$18),IF(LEFT($Q39,1)="P",VLOOKUP(CONCATENATE(LEFT($Q39,2),"H"),$R$63:$T$91,3,FALSE),VLOOKUP($Q39,$R$63:$T$91,3,FALSE)))+IF(AND($Q39&lt;&gt;"",$Q39&lt;&gt;"O3/CP",$Q$15=A$18,MID($Q39,4,1)="2",$Q$15&lt;&gt;$Q$14),VLOOKUP(CONCATENATE(LEFT($Q39,2),"L"),$R$63:$T$91,3,FALSE),0)+IF(AND($Q39="O3/CP",$Q$14=A$18),VLOOKUP("O3",$R$63:$T$91,3,FALSE)+VLOOKUP("CP",$R$63:$T$91,3,FALSE),0)+IF(AND($R39&lt;&gt;"",$R39&lt;&gt;"--",$R39&lt;&gt;"O3/CP",$R$14=A$18),IF(LEFT($R39,1)="P",VLOOKUP(CONCATENATE(LEFT($R39,2),"H"),$R$63:$T$91,3,FALSE),VLOOKUP($R39,$R$63:$T$91,3,FALSE)))+IF(AND($R39&lt;&gt;"",$R39&lt;&gt;"O3/CP",$R$15=A$18,MID($R39,4,1)="2",$R$15&lt;&gt;$R$14),VLOOKUP(CONCATENATE(LEFT($R39,2),"L"),$R$63:$T$91,3,FALSE),0)+IF(AND($R39="O3/CP",$R$14=A$18),VLOOKUP("O3",$R$63:$T$91,3,FALSE)+VLOOKUP("CP",$R$63:$T$91,3,FALSE),0)+IF(AND($S39&lt;&gt;"",$S39&lt;&gt;"--",$S39&lt;&gt;"O3/CP",$S$14=A$18),IF(LEFT($S39,1)="P",VLOOKUP(CONCATENATE(LEFT($S39,2),"H"),$R$63:$T$91,3,FALSE),VLOOKUP($S39,$R$63:$T$91,3,FALSE)))+IF(AND($S39&lt;&gt;"",$S39&lt;&gt;"O3/CP",$S$15=A$18,MID($S39,4,1)="2",$S$15&lt;&gt;$S$14),VLOOKUP(CONCATENATE(LEFT($S39,2),"L"),$R$63:$T$91,3,FALSE),0)+IF(AND($S39="O3/CP",$S$14=A$18),VLOOKUP("O3",$R$63:$T$91,3,FALSE)+VLOOKUP("CP",$R$63:$T$91,3,FALSE),0)+IF(AND($T39&lt;&gt;"",$T39&lt;&gt;"--",$T39&lt;&gt;"O3/CP",$T$14=A$18),IF(LEFT($T39,1)="P",VLOOKUP(CONCATENATE(LEFT($T39,2),"H"),$R$63:$T$91,3,FALSE),VLOOKUP($T39,$R$63:$T$91,3,FALSE)))+IF(AND($T39&lt;&gt;"",$T39&lt;&gt;"O3/CP",$T$15=A$18,MID($T39,4,1)="2",$T$15&lt;&gt;$T$14),VLOOKUP(CONCATENATE(LEFT($T39,2),"L"),$R$63:$T$91,3,FALSE),0)+IF(AND($T39="O3/CP",$T$14=A$18),VLOOKUP("O3",$R$63:$T$91,3,FALSE)+VLOOKUP("CP",$R$63:$T$91,3,FALSE),0)+IF(AND($U39&lt;&gt;"",$U39&lt;&gt;"--",$U39&lt;&gt;"O3/CP",$U$14=A$18),IF(LEFT($U39,1)="P",VLOOKUP(CONCATENATE(LEFT($U39,2),"H"),$R$63:$T$91,3,FALSE),VLOOKUP($U39,$R$63:$T$91,3,FALSE)))+IF(AND($U39&lt;&gt;"",$U39&lt;&gt;"O3/CP",$U$15=A$18,MID($U39,4,1)="2",$U$15&lt;&gt;$U$14),VLOOKUP(CONCATENATE(LEFT($U39,2),"L"),$R$63:$T$91,3,FALSE),0)+IF(AND($U39="O3/CP",$T$14=A$18),VLOOKUP("O3",$R$63:$T$91,3,FALSE)+VLOOKUP("CP",$R$63:$T$91,3,FALSE),0)+IF(AND($V39&lt;&gt;"",$V39&lt;&gt;"--",$V39&lt;&gt;"O3/CP",$V$14=A$18),IF(LEFT($V39,1)="P",VLOOKUP(CONCATENATE(LEFT($V39,2),"H"),$R$63:$T$91,3,FALSE),VLOOKUP($V39,$R$63:$T$91,3,FALSE)))+IF(AND($V39&lt;&gt;"",$V39&lt;&gt;"O3/CP",$V$15=A$18,MID($V39,4,1)="2",$V$15&lt;&gt;$V$14),VLOOKUP(CONCATENATE(LEFT($V39,2),"L"),$R$63:$T$91,3,FALSE),0)+IF(AND($V39="O3/CP",$V$14=A$18),VLOOKUP("O3",$R$63:$T$91,3,FALSE)+VLOOKUP("CP",$R$63:$T$91,3,FALSE),0)+IF(AND($W39&lt;&gt;"",$W39&lt;&gt;"--",$W39&lt;&gt;"O3/CP",$W$14=A$18),IF(LEFT($W39,1)="P",VLOOKUP(CONCATENATE(LEFT($W39,2),"H"),$R$63:$T$91,3,FALSE),VLOOKUP($W39,$R$63:$T$91,3,FALSE)))+IF(AND($W39&lt;&gt;"",$W39&lt;&gt;"O3/CP",$W$15=A$18,MID($W39,4,1)="2",$W$15&lt;&gt;$W$14),VLOOKUP(CONCATENATE(LEFT($W39,2),"L"),$R$63:$T$91,3,FALSE),0)+IF(AND($W39="O3/CP",$W$14=A$18),VLOOKUP("O3",$R$63:$T$91,3,FALSE)+VLOOKUP("CP",$R$63:$T$91,3,FALSE),0)+IF(AND($X39&lt;&gt;"",$X39&lt;&gt;"--",$X39&lt;&gt;"O3/CP",$X$14=A$18),IF(LEFT($X39,1)="P",VLOOKUP(CONCATENATE(LEFT($X39,2),"H"),$R$63:$T$91,3,FALSE),VLOOKUP($X39,$R$63:$T$91,3,FALSE)))+IF(AND($X39&lt;&gt;"",$X39&lt;&gt;"O3/CP",$X$15=A$18,MID($X39,4,1)="2",$X$15&lt;&gt;$X$14),VLOOKUP(CONCATENATE(LEFT($X39,2),"L"),$R$63:$T$91,3,FALSE),0)+IF(AND($X39="O3/CP",$X$14=A$18),VLOOKUP("O3",$R$63:$T$91,3,FALSE)+VLOOKUP("CP",$R$63:$T$91,3,FALSE),0)+IF(AND($Y39&lt;&gt;"",$Y39&lt;&gt;"--",$Y39&lt;&gt;"O3/CP",$Y$14=A$18),IF(LEFT($Y39,1)="P",VLOOKUP(CONCATENATE(LEFT($Y39,2),"H"),$R$63:$T$91,3,FALSE),VLOOKUP($Y39,$R$63:$T$91,3,FALSE)))+IF(AND($Y39&lt;&gt;"",$Y39&lt;&gt;"O3/CP",$Y$15=A$18,MID($Y39,4,1)="2",$Y$15&lt;&gt;$Y$14),VLOOKUP(CONCATENATE(LEFT($Y39,2),"L"),$R$63:$T$91,3,FALSE),0)+IF(AND($Y39="O3/CP",$Y$14=A$18),VLOOKUP("O3",$R$63:$T$91,3,FALSE)+VLOOKUP("CP",$R$63:$T$91,3,FALSE),0)+IF(AND($K$6="CE",'[3]Supply Attribution'!$G$20=A$18),LEFT($S$90,2),0)+IF(AND($X$86&lt;&gt;"Not Set",$X$87=A$18),$X$86,0)</f>
        <v>0</v>
      </c>
      <c r="B39" s="271">
        <f>IF(AND($K39&lt;&gt;"",$K39&lt;&gt;"--",$K39&lt;&gt;"O3/CP",$K$14=B$18),IF(LEFT($K39,1)="P",VLOOKUP(CONCATENATE(LEFT($K39,2),"H"),$R$63:$T$91,3,FALSE),VLOOKUP($K39,$R$63:$T$91,3,FALSE)))+IF(AND($K39&lt;&gt;"",$K39&lt;&gt;"O3/CP",$K$15=B$18,MID($K39,4,1)="2",$K$15&lt;&gt;$K$14),VLOOKUP(CONCATENATE(LEFT($K39,2),"L"),$R$63:$T$91,3,FALSE),0)+IF(AND($K39="O3/CP",$K$14=B$18),VLOOKUP("O3",$R$63:$T$91,3,FALSE)+VLOOKUP("CP",$R$63:$T$91,3,FALSE),0)+IF(AND($L39&lt;&gt;"",$L39&lt;&gt;"--",$L39&lt;&gt;"O3/CP",$L$14=B$18),IF(LEFT($L39,1)="P",VLOOKUP(CONCATENATE(LEFT($L39,2),"H"),$R$63:$T$91,3,FALSE),VLOOKUP($L39,$R$63:$T$91,3,FALSE)))+IF(AND($L39&lt;&gt;"",$L39&lt;&gt;"O3/CP",$L$15=B$18,MID($L39,4,1)="2",$L$15&lt;&gt;$L$14),VLOOKUP(CONCATENATE(LEFT($L39,2),"L"),$R$63:$T$91,3,FALSE),0)+IF(AND($L39="O3/CP",$L$14=B$18),VLOOKUP("O3",$R$63:$T$91,3,FALSE)+VLOOKUP("CP",$R$63:$T$91,3,FALSE),0)+IF(AND($M39&lt;&gt;"",$M39&lt;&gt;"--",$M39&lt;&gt;"O3/CP",$M$14=B$18),IF(LEFT($M39,1)="P",VLOOKUP(CONCATENATE(LEFT($M39,2),"H"),$R$63:$T$91,3,FALSE),VLOOKUP($M39,$R$63:$T$91,3,FALSE)))+IF(AND($M39&lt;&gt;"",$M39&lt;&gt;"O3/CP",$M$15=B$18,MID($M39,4,1)="2",$M$15&lt;&gt;$M$14),VLOOKUP(CONCATENATE(LEFT($M39,2),"L"),$R$63:$T$91,3,FALSE),0)+IF(AND($M39="O3/CP",$M$14=B$18),VLOOKUP("O3",$R$63:$T$91,3,FALSE)+VLOOKUP("CP",$R$63:$T$91,3,FALSE),0)+IF(AND($N39&lt;&gt;"",$N39&lt;&gt;"--",$N39&lt;&gt;"O3/CP",$N$14=B$18),IF(LEFT($N39,1)="P",VLOOKUP(CONCATENATE(LEFT($N39,2),"H"),$R$63:$T$91,3,FALSE),VLOOKUP($N39,$R$63:$T$91,3,FALSE)))+IF(AND($N39&lt;&gt;"",$N39&lt;&gt;"O3/CP",$N$15=B$18,MID($N39,4,1)="2",$N$15&lt;&gt;$N$14),VLOOKUP(CONCATENATE(LEFT($N39,2),"L"),$R$63:$T$91,3,FALSE),0)+IF(AND($N39="O3/CP",$N$14=B$18),VLOOKUP("O3",$R$63:$T$91,3,FALSE)+VLOOKUP("CP",$R$63:$T$91,3,FALSE),0)+IF(AND($O39&lt;&gt;"",$O39&lt;&gt;"--",$O39&lt;&gt;"O3/CP",$O$14=B$18),IF(LEFT($O39,1)="P",VLOOKUP(CONCATENATE(LEFT($O39,2),"H"),$R$63:$T$91,3,FALSE),VLOOKUP($O39,$R$63:$T$91,3,FALSE)))+IF(AND($O39&lt;&gt;"",$O39&lt;&gt;"O3/CP",$O$15=B$18,MID($O39,4,1)="2",$O$15&lt;&gt;$O$14),VLOOKUP(CONCATENATE(LEFT($O39,2),"L"),$R$63:$T$91,3,FALSE),0)+IF(AND($O39="O3/CP",$O$14=B$18),VLOOKUP("O3",$R$63:$T$91,3,FALSE)+VLOOKUP("CP",$R$63:$T$91,3,FALSE),0)+IF(AND($P39&lt;&gt;"",$P39&lt;&gt;"--",$P39&lt;&gt;"O3/CP",$P$14=B$18),IF(LEFT($P39,1)="P",VLOOKUP(CONCATENATE(LEFT($P39,2),"H"),$R$63:$T$91,3,FALSE),VLOOKUP($P39,$R$63:$T$91,3,FALSE)))+IF(AND($P39&lt;&gt;"",$P39&lt;&gt;"O3/CP",$P$15=B$18,MID($P39,4,1)="2",$P$15&lt;&gt;$P$14),VLOOKUP(CONCATENATE(LEFT($P39,2),"L"),$R$63:$T$91,3,FALSE),0)+IF(AND($P39="O3/CP",$P$14=B$18),VLOOKUP("O3",$R$63:$T$91,3,FALSE)+VLOOKUP("CP",$R$63:$T$91,3,FALSE),0)+IF(AND($Q39&lt;&gt;"",$Q39&lt;&gt;"--",$Q39&lt;&gt;"O3/CP",$Q$14=B$18),IF(LEFT($Q39,1)="P",VLOOKUP(CONCATENATE(LEFT($Q39,2),"H"),$R$63:$T$91,3,FALSE),VLOOKUP($Q39,$R$63:$T$91,3,FALSE)))+IF(AND($Q39&lt;&gt;"",$Q39&lt;&gt;"O3/CP",$Q$15=B$18,MID($Q39,4,1)="2",$Q$15&lt;&gt;$Q$14),VLOOKUP(CONCATENATE(LEFT($Q39,2),"L"),$R$63:$T$91,3,FALSE),0)+IF(AND($Q39="O3/CP",$Q$14=B$18),VLOOKUP("O3",$R$63:$T$91,3,FALSE)+VLOOKUP("CP",$R$63:$T$91,3,FALSE),0)+IF(AND($R39&lt;&gt;"",$R39&lt;&gt;"--",$R39&lt;&gt;"O3/CP",$R$14=B$18),IF(LEFT($R39,1)="P",VLOOKUP(CONCATENATE(LEFT($R39,2),"H"),$R$63:$T$91,3,FALSE),VLOOKUP($R39,$R$63:$T$91,3,FALSE)))+IF(AND($R39&lt;&gt;"",$R39&lt;&gt;"O3/CP",$R$15=B$18,MID($R39,4,1)="2",$R$15&lt;&gt;$R$14),VLOOKUP(CONCATENATE(LEFT($R39,2),"L"),$R$63:$T$91,3,FALSE),0)+IF(AND($R39="O3/CP",$R$14=B$18),VLOOKUP("O3",$R$63:$T$91,3,FALSE)+VLOOKUP("CP",$R$63:$T$91,3,FALSE),0)+IF(AND($S39&lt;&gt;"",$S39&lt;&gt;"--",$S39&lt;&gt;"O3/CP",$S$14=B$18),IF(LEFT($S39,1)="P",VLOOKUP(CONCATENATE(LEFT($S39,2),"H"),$R$63:$T$91,3,FALSE),VLOOKUP($S39,$R$63:$T$91,3,FALSE)))+IF(AND($S39&lt;&gt;"",$S39&lt;&gt;"O3/CP",$S$15=B$18,MID($S39,4,1)="2",$S$15&lt;&gt;$S$14),VLOOKUP(CONCATENATE(LEFT($S39,2),"L"),$R$63:$T$91,3,FALSE),0)+IF(AND($S39="O3/CP",$S$14=B$18),VLOOKUP("O3",$R$63:$T$91,3,FALSE)+VLOOKUP("CP",$R$63:$T$91,3,FALSE),0)+IF(AND($T39&lt;&gt;"",$T39&lt;&gt;"--",$T39&lt;&gt;"O3/CP",$T$14=B$18),IF(LEFT($T39,1)="P",VLOOKUP(CONCATENATE(LEFT($T39,2),"H"),$R$63:$T$91,3,FALSE),VLOOKUP($T39,$R$63:$T$91,3,FALSE)))+IF(AND($T39&lt;&gt;"",$T39&lt;&gt;"O3/CP",$T$15=B$18,MID($T39,4,1)="2",$T$15&lt;&gt;$T$14),VLOOKUP(CONCATENATE(LEFT($T39,2),"L"),$R$63:$T$91,3,FALSE),0)+IF(AND($T39="O3/CP",$T$14=B$18),VLOOKUP("O3",$R$63:$T$91,3,FALSE)+VLOOKUP("CP",$R$63:$T$91,3,FALSE),0)+IF(AND($U39&lt;&gt;"",$U39&lt;&gt;"--",$U39&lt;&gt;"O3/CP",$U$14=B$18),IF(LEFT($U39,1)="P",VLOOKUP(CONCATENATE(LEFT($U39,2),"H"),$R$63:$T$91,3,FALSE),VLOOKUP($U39,$R$63:$T$91,3,FALSE)))+IF(AND($U39&lt;&gt;"",$U39&lt;&gt;"O3/CP",$U$15=B$18,MID($U39,4,1)="2",$U$15&lt;&gt;$U$14),VLOOKUP(CONCATENATE(LEFT($U39,2),"L"),$R$63:$T$91,3,FALSE),0)+IF(AND($U39="O3/CP",$T$14=B$18),VLOOKUP("O3",$R$63:$T$91,3,FALSE)+VLOOKUP("CP",$R$63:$T$91,3,FALSE),0)+IF(AND($V39&lt;&gt;"",$V39&lt;&gt;"--",$V39&lt;&gt;"O3/CP",$V$14=B$18),IF(LEFT($V39,1)="P",VLOOKUP(CONCATENATE(LEFT($V39,2),"H"),$R$63:$T$91,3,FALSE),VLOOKUP($V39,$R$63:$T$91,3,FALSE)))+IF(AND($V39&lt;&gt;"",$V39&lt;&gt;"O3/CP",$V$15=B$18,MID($V39,4,1)="2",$V$15&lt;&gt;$V$14),VLOOKUP(CONCATENATE(LEFT($V39,2),"L"),$R$63:$T$91,3,FALSE),0)+IF(AND($V39="O3/CP",$V$14=B$18),VLOOKUP("O3",$R$63:$T$91,3,FALSE)+VLOOKUP("CP",$R$63:$T$91,3,FALSE),0)+IF(AND($W39&lt;&gt;"",$W39&lt;&gt;"--",$W39&lt;&gt;"O3/CP",$W$14=B$18),IF(LEFT($W39,1)="P",VLOOKUP(CONCATENATE(LEFT($W39,2),"H"),$R$63:$T$91,3,FALSE),VLOOKUP($W39,$R$63:$T$91,3,FALSE)))+IF(AND($W39&lt;&gt;"",$W39&lt;&gt;"O3/CP",$W$15=B$18,MID($W39,4,1)="2",$W$15&lt;&gt;$W$14),VLOOKUP(CONCATENATE(LEFT($W39,2),"L"),$R$63:$T$91,3,FALSE),0)+IF(AND($W39="O3/CP",$W$14=B$18),VLOOKUP("O3",$R$63:$T$91,3,FALSE)+VLOOKUP("CP",$R$63:$T$91,3,FALSE),0)+IF(AND($X39&lt;&gt;"",$X39&lt;&gt;"--",$X39&lt;&gt;"O3/CP",$X$14=B$18),IF(LEFT($X39,1)="P",VLOOKUP(CONCATENATE(LEFT($X39,2),"H"),$R$63:$T$91,3,FALSE),VLOOKUP($X39,$R$63:$T$91,3,FALSE)))+IF(AND($X39&lt;&gt;"",$X39&lt;&gt;"O3/CP",$X$15=B$18,MID($X39,4,1)="2",$X$15&lt;&gt;$X$14),VLOOKUP(CONCATENATE(LEFT($X39,2),"L"),$R$63:$T$91,3,FALSE),0)+IF(AND($X39="O3/CP",$X$14=B$18),VLOOKUP("O3",$R$63:$T$91,3,FALSE)+VLOOKUP("CP",$R$63:$T$91,3,FALSE),0)+IF(AND($Y39&lt;&gt;"",$Y39&lt;&gt;"--",$Y39&lt;&gt;"O3/CP",$Y$14=B$18),IF(LEFT($Y39,1)="P",VLOOKUP(CONCATENATE(LEFT($Y39,2),"H"),$R$63:$T$91,3,FALSE),VLOOKUP($Y39,$R$63:$T$91,3,FALSE)))+IF(AND($Y39&lt;&gt;"",$Y39&lt;&gt;"O3/CP",$Y$15=B$18,MID($Y39,4,1)="2",$Y$15&lt;&gt;$Y$14),VLOOKUP(CONCATENATE(LEFT($Y39,2),"L"),$R$63:$T$91,3,FALSE),0)+IF(AND($Y39="O3/CP",$Y$14=B$18),VLOOKUP("O3",$R$63:$T$91,3,FALSE)+VLOOKUP("CP",$R$63:$T$91,3,FALSE),0)+IF(AND($K$6="CE",'[3]Supply Attribution'!$G$20=B$18),LEFT($S$90,2),0)+IF(AND($X$86&lt;&gt;"Not Set",$X$87=B$18),$X$86,0)</f>
        <v>0</v>
      </c>
      <c r="C39" s="271">
        <f>IF(AND($K39&lt;&gt;"",$K39&lt;&gt;"--",$K39&lt;&gt;"O3/CP",$K$14=C$18),IF(LEFT($K39,1)="P",VLOOKUP(CONCATENATE(LEFT($K39,2),"H"),$R$63:$T$91,3,FALSE),VLOOKUP($K39,$R$63:$T$91,3,FALSE)))+IF(AND($K39&lt;&gt;"",$K39&lt;&gt;"O3/CP",$K$15=C$18,MID($K39,4,1)="2",$K$15&lt;&gt;$K$14),VLOOKUP(CONCATENATE(LEFT($K39,2),"L"),$R$63:$T$91,3,FALSE),0)+IF(AND($K39="O3/CP",$K$14=C$18),VLOOKUP("O3",$R$63:$T$91,3,FALSE)+VLOOKUP("CP",$R$63:$T$91,3,FALSE),0)+IF(AND($L39&lt;&gt;"",$L39&lt;&gt;"--",$L39&lt;&gt;"O3/CP",$L$14=C$18),IF(LEFT($L39,1)="P",VLOOKUP(CONCATENATE(LEFT($L39,2),"H"),$R$63:$T$91,3,FALSE),VLOOKUP($L39,$R$63:$T$91,3,FALSE)))+IF(AND($L39&lt;&gt;"",$L39&lt;&gt;"O3/CP",$L$15=C$18,MID($L39,4,1)="2",$L$15&lt;&gt;$L$14),VLOOKUP(CONCATENATE(LEFT($L39,2),"L"),$R$63:$T$91,3,FALSE),0)+IF(AND($L39="O3/CP",$L$14=C$18),VLOOKUP("O3",$R$63:$T$91,3,FALSE)+VLOOKUP("CP",$R$63:$T$91,3,FALSE),0)+IF(AND($M39&lt;&gt;"",$M39&lt;&gt;"--",$M39&lt;&gt;"O3/CP",$M$14=C$18),IF(LEFT($M39,1)="P",VLOOKUP(CONCATENATE(LEFT($M39,2),"H"),$R$63:$T$91,3,FALSE),VLOOKUP($M39,$R$63:$T$91,3,FALSE)))+IF(AND($M39&lt;&gt;"",$M39&lt;&gt;"O3/CP",$M$15=C$18,MID($M39,4,1)="2",$M$15&lt;&gt;$M$14),VLOOKUP(CONCATENATE(LEFT($M39,2),"L"),$R$63:$T$91,3,FALSE),0)+IF(AND($M39="O3/CP",$M$14=C$18),VLOOKUP("O3",$R$63:$T$91,3,FALSE)+VLOOKUP("CP",$R$63:$T$91,3,FALSE),0)+IF(AND($N39&lt;&gt;"",$N39&lt;&gt;"--",$N39&lt;&gt;"O3/CP",$N$14=C$18),IF(LEFT($N39,1)="P",VLOOKUP(CONCATENATE(LEFT($N39,2),"H"),$R$63:$T$91,3,FALSE),VLOOKUP($N39,$R$63:$T$91,3,FALSE)))+IF(AND($N39&lt;&gt;"",$N39&lt;&gt;"O3/CP",$N$15=C$18,MID($N39,4,1)="2",$N$15&lt;&gt;$N$14),VLOOKUP(CONCATENATE(LEFT($N39,2),"L"),$R$63:$T$91,3,FALSE),0)+IF(AND($N39="O3/CP",$N$14=C$18),VLOOKUP("O3",$R$63:$T$91,3,FALSE)+VLOOKUP("CP",$R$63:$T$91,3,FALSE),0)+IF(AND($O39&lt;&gt;"",$O39&lt;&gt;"--",$O39&lt;&gt;"O3/CP",$O$14=C$18),IF(LEFT($O39,1)="P",VLOOKUP(CONCATENATE(LEFT($O39,2),"H"),$R$63:$T$91,3,FALSE),VLOOKUP($O39,$R$63:$T$91,3,FALSE)))+IF(AND($O39&lt;&gt;"",$O39&lt;&gt;"O3/CP",$O$15=C$18,MID($O39,4,1)="2",$O$15&lt;&gt;$O$14),VLOOKUP(CONCATENATE(LEFT($O39,2),"L"),$R$63:$T$91,3,FALSE),0)+IF(AND($O39="O3/CP",$O$14=C$18),VLOOKUP("O3",$R$63:$T$91,3,FALSE)+VLOOKUP("CP",$R$63:$T$91,3,FALSE),0)+IF(AND($P39&lt;&gt;"",$P39&lt;&gt;"--",$P39&lt;&gt;"O3/CP",$P$14=C$18),IF(LEFT($P39,1)="P",VLOOKUP(CONCATENATE(LEFT($P39,2),"H"),$R$63:$T$91,3,FALSE),VLOOKUP($P39,$R$63:$T$91,3,FALSE)))+IF(AND($P39&lt;&gt;"",$P39&lt;&gt;"O3/CP",$P$15=C$18,MID($P39,4,1)="2",$P$15&lt;&gt;$P$14),VLOOKUP(CONCATENATE(LEFT($P39,2),"L"),$R$63:$T$91,3,FALSE),0)+IF(AND($P39="O3/CP",$P$14=C$18),VLOOKUP("O3",$R$63:$T$91,3,FALSE)+VLOOKUP("CP",$R$63:$T$91,3,FALSE),0)+IF(AND($Q39&lt;&gt;"",$Q39&lt;&gt;"--",$Q39&lt;&gt;"O3/CP",$Q$14=C$18),IF(LEFT($Q39,1)="P",VLOOKUP(CONCATENATE(LEFT($Q39,2),"H"),$R$63:$T$91,3,FALSE),VLOOKUP($Q39,$R$63:$T$91,3,FALSE)))+IF(AND($Q39&lt;&gt;"",$Q39&lt;&gt;"O3/CP",$Q$15=C$18,MID($Q39,4,1)="2",$Q$15&lt;&gt;$Q$14),VLOOKUP(CONCATENATE(LEFT($Q39,2),"L"),$R$63:$T$91,3,FALSE),0)+IF(AND($Q39="O3/CP",$Q$14=C$18),VLOOKUP("O3",$R$63:$T$91,3,FALSE)+VLOOKUP("CP",$R$63:$T$91,3,FALSE),0)+IF(AND($R39&lt;&gt;"",$R39&lt;&gt;"--",$R39&lt;&gt;"O3/CP",$R$14=C$18),IF(LEFT($R39,1)="P",VLOOKUP(CONCATENATE(LEFT($R39,2),"H"),$R$63:$T$91,3,FALSE),VLOOKUP($R39,$R$63:$T$91,3,FALSE)))+IF(AND($R39&lt;&gt;"",$R39&lt;&gt;"O3/CP",$R$15=C$18,MID($R39,4,1)="2",$R$15&lt;&gt;$R$14),VLOOKUP(CONCATENATE(LEFT($R39,2),"L"),$R$63:$T$91,3,FALSE),0)+IF(AND($R39="O3/CP",$R$14=C$18),VLOOKUP("O3",$R$63:$T$91,3,FALSE)+VLOOKUP("CP",$R$63:$T$91,3,FALSE),0)+IF(AND($S39&lt;&gt;"",$S39&lt;&gt;"--",$S39&lt;&gt;"O3/CP",$S$14=C$18),IF(LEFT($S39,1)="P",VLOOKUP(CONCATENATE(LEFT($S39,2),"H"),$R$63:$T$91,3,FALSE),VLOOKUP($S39,$R$63:$T$91,3,FALSE)))+IF(AND($S39&lt;&gt;"",$S39&lt;&gt;"O3/CP",$S$15=C$18,MID($S39,4,1)="2",$S$15&lt;&gt;$S$14),VLOOKUP(CONCATENATE(LEFT($S39,2),"L"),$R$63:$T$91,3,FALSE),0)+IF(AND($S39="O3/CP",$S$14=C$18),VLOOKUP("O3",$R$63:$T$91,3,FALSE)+VLOOKUP("CP",$R$63:$T$91,3,FALSE),0)+IF(AND($T39&lt;&gt;"",$T39&lt;&gt;"--",$T39&lt;&gt;"O3/CP",$T$14=C$18),IF(LEFT($T39,1)="P",VLOOKUP(CONCATENATE(LEFT($T39,2),"H"),$R$63:$T$91,3,FALSE),VLOOKUP($T39,$R$63:$T$91,3,FALSE)))+IF(AND($T39&lt;&gt;"",$T39&lt;&gt;"O3/CP",$T$15=C$18,MID($T39,4,1)="2",$T$15&lt;&gt;$T$14),VLOOKUP(CONCATENATE(LEFT($T39,2),"L"),$R$63:$T$91,3,FALSE),0)+IF(AND($T39="O3/CP",$T$14=C$18),VLOOKUP("O3",$R$63:$T$91,3,FALSE)+VLOOKUP("CP",$R$63:$T$91,3,FALSE),0)+IF(AND($U39&lt;&gt;"",$U39&lt;&gt;"--",$U39&lt;&gt;"O3/CP",$U$14=C$18),IF(LEFT($U39,1)="P",VLOOKUP(CONCATENATE(LEFT($U39,2),"H"),$R$63:$T$91,3,FALSE),VLOOKUP($U39,$R$63:$T$91,3,FALSE)))+IF(AND($U39&lt;&gt;"",$U39&lt;&gt;"O3/CP",$U$15=C$18,MID($U39,4,1)="2",$U$15&lt;&gt;$U$14),VLOOKUP(CONCATENATE(LEFT($U39,2),"L"),$R$63:$T$91,3,FALSE),0)+IF(AND($U39="O3/CP",$T$14=C$18),VLOOKUP("O3",$R$63:$T$91,3,FALSE)+VLOOKUP("CP",$R$63:$T$91,3,FALSE),0)+IF(AND($V39&lt;&gt;"",$V39&lt;&gt;"--",$V39&lt;&gt;"O3/CP",$V$14=C$18),IF(LEFT($V39,1)="P",VLOOKUP(CONCATENATE(LEFT($V39,2),"H"),$R$63:$T$91,3,FALSE),VLOOKUP($V39,$R$63:$T$91,3,FALSE)))+IF(AND($V39&lt;&gt;"",$V39&lt;&gt;"O3/CP",$V$15=C$18,MID($V39,4,1)="2",$V$15&lt;&gt;$V$14),VLOOKUP(CONCATENATE(LEFT($V39,2),"L"),$R$63:$T$91,3,FALSE),0)+IF(AND($V39="O3/CP",$V$14=C$18),VLOOKUP("O3",$R$63:$T$91,3,FALSE)+VLOOKUP("CP",$R$63:$T$91,3,FALSE),0)+IF(AND($W39&lt;&gt;"",$W39&lt;&gt;"--",$W39&lt;&gt;"O3/CP",$W$14=C$18),IF(LEFT($W39,1)="P",VLOOKUP(CONCATENATE(LEFT($W39,2),"H"),$R$63:$T$91,3,FALSE),VLOOKUP($W39,$R$63:$T$91,3,FALSE)))+IF(AND($W39&lt;&gt;"",$W39&lt;&gt;"O3/CP",$W$15=C$18,MID($W39,4,1)="2",$W$15&lt;&gt;$W$14),VLOOKUP(CONCATENATE(LEFT($W39,2),"L"),$R$63:$T$91,3,FALSE),0)+IF(AND($W39="O3/CP",$W$14=C$18),VLOOKUP("O3",$R$63:$T$91,3,FALSE)+VLOOKUP("CP",$R$63:$T$91,3,FALSE),0)+IF(AND($X39&lt;&gt;"",$X39&lt;&gt;"--",$X39&lt;&gt;"O3/CP",$X$14=C$18),IF(LEFT($X39,1)="P",VLOOKUP(CONCATENATE(LEFT($X39,2),"H"),$R$63:$T$91,3,FALSE),VLOOKUP($X39,$R$63:$T$91,3,FALSE)))+IF(AND($X39&lt;&gt;"",$X39&lt;&gt;"O3/CP",$X$15=C$18,MID($X39,4,1)="2",$X$15&lt;&gt;$X$14),VLOOKUP(CONCATENATE(LEFT($X39,2),"L"),$R$63:$T$91,3,FALSE),0)+IF(AND($X39="O3/CP",$X$14=C$18),VLOOKUP("O3",$R$63:$T$91,3,FALSE)+VLOOKUP("CP",$R$63:$T$91,3,FALSE),0)+IF(AND($Y39&lt;&gt;"",$Y39&lt;&gt;"--",$Y39&lt;&gt;"O3/CP",$Y$14=C$18),IF(LEFT($Y39,1)="P",VLOOKUP(CONCATENATE(LEFT($Y39,2),"H"),$R$63:$T$91,3,FALSE),VLOOKUP($Y39,$R$63:$T$91,3,FALSE)))+IF(AND($Y39&lt;&gt;"",$Y39&lt;&gt;"O3/CP",$Y$15=C$18,MID($Y39,4,1)="2",$Y$15&lt;&gt;$Y$14),VLOOKUP(CONCATENATE(LEFT($Y39,2),"L"),$R$63:$T$91,3,FALSE),0)+IF(AND($Y39="O3/CP",$Y$14=C$18),VLOOKUP("O3",$R$63:$T$91,3,FALSE)+VLOOKUP("CP",$R$63:$T$91,3,FALSE),0)+IF(AND($K$6="CE",'[3]Supply Attribution'!$G$20=C$18),LEFT($S$90,2),0)+IF(AND($X$86&lt;&gt;"Not Set",$X$87=C$18),$X$86,0)</f>
        <v>0</v>
      </c>
      <c r="D39" s="271">
        <f>IF(AND($K39&lt;&gt;"",$K39&lt;&gt;"--",$K39&lt;&gt;"O3/CP",$K$14=D$18),IF(LEFT($K39,1)="P",VLOOKUP(CONCATENATE(LEFT($K39,2),"H"),$R$63:$T$91,3,FALSE),VLOOKUP($K39,$R$63:$T$91,3,FALSE)))+IF(AND($K39&lt;&gt;"",$K39&lt;&gt;"O3/CP",$K$15=D$18,MID($K39,4,1)="2",$K$15&lt;&gt;$K$14),VLOOKUP(CONCATENATE(LEFT($K39,2),"L"),$R$63:$T$91,3,FALSE),0)+IF(AND($K39="O3/CP",$K$14=D$18),VLOOKUP("O3",$R$63:$T$91,3,FALSE)+VLOOKUP("CP",$R$63:$T$91,3,FALSE),0)+IF(AND($L39&lt;&gt;"",$L39&lt;&gt;"--",$L39&lt;&gt;"O3/CP",$L$14=D$18),IF(LEFT($L39,1)="P",VLOOKUP(CONCATENATE(LEFT($L39,2),"H"),$R$63:$T$91,3,FALSE),VLOOKUP($L39,$R$63:$T$91,3,FALSE)))+IF(AND($L39&lt;&gt;"",$L39&lt;&gt;"O3/CP",$L$15=D$18,MID($L39,4,1)="2",$L$15&lt;&gt;$L$14),VLOOKUP(CONCATENATE(LEFT($L39,2),"L"),$R$63:$T$91,3,FALSE),0)+IF(AND($L39="O3/CP",$L$14=D$18),VLOOKUP("O3",$R$63:$T$91,3,FALSE)+VLOOKUP("CP",$R$63:$T$91,3,FALSE),0)+IF(AND($M39&lt;&gt;"",$M39&lt;&gt;"--",$M39&lt;&gt;"O3/CP",$M$14=D$18),IF(LEFT($M39,1)="P",VLOOKUP(CONCATENATE(LEFT($M39,2),"H"),$R$63:$T$91,3,FALSE),VLOOKUP($M39,$R$63:$T$91,3,FALSE)))+IF(AND($M39&lt;&gt;"",$M39&lt;&gt;"O3/CP",$M$15=D$18,MID($M39,4,1)="2",$M$15&lt;&gt;$M$14),VLOOKUP(CONCATENATE(LEFT($M39,2),"L"),$R$63:$T$91,3,FALSE),0)+IF(AND($M39="O3/CP",$M$14=D$18),VLOOKUP("O3",$R$63:$T$91,3,FALSE)+VLOOKUP("CP",$R$63:$T$91,3,FALSE),0)+IF(AND($N39&lt;&gt;"",$N39&lt;&gt;"--",$N39&lt;&gt;"O3/CP",$N$14=D$18),IF(LEFT($N39,1)="P",VLOOKUP(CONCATENATE(LEFT($N39,2),"H"),$R$63:$T$91,3,FALSE),VLOOKUP($N39,$R$63:$T$91,3,FALSE)))+IF(AND($N39&lt;&gt;"",$N39&lt;&gt;"O3/CP",$N$15=D$18,MID($N39,4,1)="2",$N$15&lt;&gt;$N$14),VLOOKUP(CONCATENATE(LEFT($N39,2),"L"),$R$63:$T$91,3,FALSE),0)+IF(AND($N39="O3/CP",$N$14=D$18),VLOOKUP("O3",$R$63:$T$91,3,FALSE)+VLOOKUP("CP",$R$63:$T$91,3,FALSE),0)+IF(AND($O39&lt;&gt;"",$O39&lt;&gt;"--",$O39&lt;&gt;"O3/CP",$O$14=D$18),IF(LEFT($O39,1)="P",VLOOKUP(CONCATENATE(LEFT($O39,2),"H"),$R$63:$T$91,3,FALSE),VLOOKUP($O39,$R$63:$T$91,3,FALSE)))+IF(AND($O39&lt;&gt;"",$O39&lt;&gt;"O3/CP",$O$15=D$18,MID($O39,4,1)="2",$O$15&lt;&gt;$O$14),VLOOKUP(CONCATENATE(LEFT($O39,2),"L"),$R$63:$T$91,3,FALSE),0)+IF(AND($O39="O3/CP",$O$14=D$18),VLOOKUP("O3",$R$63:$T$91,3,FALSE)+VLOOKUP("CP",$R$63:$T$91,3,FALSE),0)+IF(AND($P39&lt;&gt;"",$P39&lt;&gt;"--",$P39&lt;&gt;"O3/CP",$P$14=D$18),IF(LEFT($P39,1)="P",VLOOKUP(CONCATENATE(LEFT($P39,2),"H"),$R$63:$T$91,3,FALSE),VLOOKUP($P39,$R$63:$T$91,3,FALSE)))+IF(AND($P39&lt;&gt;"",$P39&lt;&gt;"O3/CP",$P$15=D$18,MID($P39,4,1)="2",$P$15&lt;&gt;$P$14),VLOOKUP(CONCATENATE(LEFT($P39,2),"L"),$R$63:$T$91,3,FALSE),0)+IF(AND($P39="O3/CP",$P$14=D$18),VLOOKUP("O3",$R$63:$T$91,3,FALSE)+VLOOKUP("CP",$R$63:$T$91,3,FALSE),0)+IF(AND($Q39&lt;&gt;"",$Q39&lt;&gt;"--",$Q39&lt;&gt;"O3/CP",$Q$14=D$18),IF(LEFT($Q39,1)="P",VLOOKUP(CONCATENATE(LEFT($Q39,2),"H"),$R$63:$T$91,3,FALSE),VLOOKUP($Q39,$R$63:$T$91,3,FALSE)))+IF(AND($Q39&lt;&gt;"",$Q39&lt;&gt;"O3/CP",$Q$15=D$18,MID($Q39,4,1)="2",$Q$15&lt;&gt;$Q$14),VLOOKUP(CONCATENATE(LEFT($Q39,2),"L"),$R$63:$T$91,3,FALSE),0)+IF(AND($Q39="O3/CP",$Q$14=D$18),VLOOKUP("O3",$R$63:$T$91,3,FALSE)+VLOOKUP("CP",$R$63:$T$91,3,FALSE),0)+IF(AND($R39&lt;&gt;"",$R39&lt;&gt;"--",$R39&lt;&gt;"O3/CP",$R$14=D$18),IF(LEFT($R39,1)="P",VLOOKUP(CONCATENATE(LEFT($R39,2),"H"),$R$63:$T$91,3,FALSE),VLOOKUP($R39,$R$63:$T$91,3,FALSE)))+IF(AND($R39&lt;&gt;"",$R39&lt;&gt;"O3/CP",$R$15=D$18,MID($R39,4,1)="2",$R$15&lt;&gt;$R$14),VLOOKUP(CONCATENATE(LEFT($R39,2),"L"),$R$63:$T$91,3,FALSE),0)+IF(AND($R39="O3/CP",$R$14=D$18),VLOOKUP("O3",$R$63:$T$91,3,FALSE)+VLOOKUP("CP",$R$63:$T$91,3,FALSE),0)+IF(AND($S39&lt;&gt;"",$S39&lt;&gt;"--",$S39&lt;&gt;"O3/CP",$S$14=D$18),IF(LEFT($S39,1)="P",VLOOKUP(CONCATENATE(LEFT($S39,2),"H"),$R$63:$T$91,3,FALSE),VLOOKUP($S39,$R$63:$T$91,3,FALSE)))+IF(AND($S39&lt;&gt;"",$S39&lt;&gt;"O3/CP",$S$15=D$18,MID($S39,4,1)="2",$S$15&lt;&gt;$S$14),VLOOKUP(CONCATENATE(LEFT($S39,2),"L"),$R$63:$T$91,3,FALSE),0)+IF(AND($S39="O3/CP",$S$14=D$18),VLOOKUP("O3",$R$63:$T$91,3,FALSE)+VLOOKUP("CP",$R$63:$T$91,3,FALSE),0)+IF(AND($T39&lt;&gt;"",$T39&lt;&gt;"--",$T39&lt;&gt;"O3/CP",$T$14=D$18),IF(LEFT($T39,1)="P",VLOOKUP(CONCATENATE(LEFT($T39,2),"H"),$R$63:$T$91,3,FALSE),VLOOKUP($T39,$R$63:$T$91,3,FALSE)))+IF(AND($T39&lt;&gt;"",$T39&lt;&gt;"O3/CP",$T$15=D$18,MID($T39,4,1)="2",$T$15&lt;&gt;$T$14),VLOOKUP(CONCATENATE(LEFT($T39,2),"L"),$R$63:$T$91,3,FALSE),0)+IF(AND($T39="O3/CP",$T$14=D$18),VLOOKUP("O3",$R$63:$T$91,3,FALSE)+VLOOKUP("CP",$R$63:$T$91,3,FALSE),0)+IF(AND($U39&lt;&gt;"",$U39&lt;&gt;"--",$U39&lt;&gt;"O3/CP",$U$14=D$18),IF(LEFT($U39,1)="P",VLOOKUP(CONCATENATE(LEFT($U39,2),"H"),$R$63:$T$91,3,FALSE),VLOOKUP($U39,$R$63:$T$91,3,FALSE)))+IF(AND($U39&lt;&gt;"",$U39&lt;&gt;"O3/CP",$U$15=D$18,MID($U39,4,1)="2",$U$15&lt;&gt;$U$14),VLOOKUP(CONCATENATE(LEFT($U39,2),"L"),$R$63:$T$91,3,FALSE),0)+IF(AND($U39="O3/CP",$T$14=D$18),VLOOKUP("O3",$R$63:$T$91,3,FALSE)+VLOOKUP("CP",$R$63:$T$91,3,FALSE),0)+IF(AND($V39&lt;&gt;"",$V39&lt;&gt;"--",$V39&lt;&gt;"O3/CP",$V$14=D$18),IF(LEFT($V39,1)="P",VLOOKUP(CONCATENATE(LEFT($V39,2),"H"),$R$63:$T$91,3,FALSE),VLOOKUP($V39,$R$63:$T$91,3,FALSE)))+IF(AND($V39&lt;&gt;"",$V39&lt;&gt;"O3/CP",$V$15=D$18,MID($V39,4,1)="2",$V$15&lt;&gt;$V$14),VLOOKUP(CONCATENATE(LEFT($V39,2),"L"),$R$63:$T$91,3,FALSE),0)+IF(AND($V39="O3/CP",$V$14=D$18),VLOOKUP("O3",$R$63:$T$91,3,FALSE)+VLOOKUP("CP",$R$63:$T$91,3,FALSE),0)+IF(AND($W39&lt;&gt;"",$W39&lt;&gt;"--",$W39&lt;&gt;"O3/CP",$W$14=D$18),IF(LEFT($W39,1)="P",VLOOKUP(CONCATENATE(LEFT($W39,2),"H"),$R$63:$T$91,3,FALSE),VLOOKUP($W39,$R$63:$T$91,3,FALSE)))+IF(AND($W39&lt;&gt;"",$W39&lt;&gt;"O3/CP",$W$15=D$18,MID($W39,4,1)="2",$W$15&lt;&gt;$W$14),VLOOKUP(CONCATENATE(LEFT($W39,2),"L"),$R$63:$T$91,3,FALSE),0)+IF(AND($W39="O3/CP",$W$14=D$18),VLOOKUP("O3",$R$63:$T$91,3,FALSE)+VLOOKUP("CP",$R$63:$T$91,3,FALSE),0)+IF(AND($X39&lt;&gt;"",$X39&lt;&gt;"--",$X39&lt;&gt;"O3/CP",$X$14=D$18),IF(LEFT($X39,1)="P",VLOOKUP(CONCATENATE(LEFT($X39,2),"H"),$R$63:$T$91,3,FALSE),VLOOKUP($X39,$R$63:$T$91,3,FALSE)))+IF(AND($X39&lt;&gt;"",$X39&lt;&gt;"O3/CP",$X$15=D$18,MID($X39,4,1)="2",$X$15&lt;&gt;$X$14),VLOOKUP(CONCATENATE(LEFT($X39,2),"L"),$R$63:$T$91,3,FALSE),0)+IF(AND($X39="O3/CP",$X$14=D$18),VLOOKUP("O3",$R$63:$T$91,3,FALSE)+VLOOKUP("CP",$R$63:$T$91,3,FALSE),0)+IF(AND($Y39&lt;&gt;"",$Y39&lt;&gt;"--",$Y39&lt;&gt;"O3/CP",$Y$14=D$18),IF(LEFT($Y39,1)="P",VLOOKUP(CONCATENATE(LEFT($Y39,2),"H"),$R$63:$T$91,3,FALSE),VLOOKUP($Y39,$R$63:$T$91,3,FALSE)))+IF(AND($Y39&lt;&gt;"",$Y39&lt;&gt;"O3/CP",$Y$15=D$18,MID($Y39,4,1)="2",$Y$15&lt;&gt;$Y$14),VLOOKUP(CONCATENATE(LEFT($Y39,2),"L"),$R$63:$T$91,3,FALSE),0)+IF(AND($Y39="O3/CP",$Y$14=D$18),VLOOKUP("O3",$R$63:$T$91,3,FALSE)+VLOOKUP("CP",$R$63:$T$91,3,FALSE),0)+IF(AND($K$6="CE",'[3]Supply Attribution'!$G$20=D$18),LEFT($S$90,2),0)+IF(AND($X$86&lt;&gt;"Not Set",$X$87=D$18),$X$86,0)</f>
        <v>0</v>
      </c>
      <c r="E39" s="271">
        <f>IF(AND($K39&lt;&gt;"",$K39&lt;&gt;"--",$K39&lt;&gt;"O3/CP",$K$14=E$18),IF(LEFT($K39,1)="P",VLOOKUP(CONCATENATE(LEFT($K39,2),"H"),$R$63:$T$91,3,FALSE),VLOOKUP($K39,$R$63:$T$91,3,FALSE)))+IF(AND($K39&lt;&gt;"",$K39&lt;&gt;"O3/CP",$K$15=E$18,MID($K39,4,1)="2",$K$15&lt;&gt;$K$14),VLOOKUP(CONCATENATE(LEFT($K39,2),"L"),$R$63:$T$91,3,FALSE),0)+IF(AND($K39="O3/CP",$K$14=E$18),VLOOKUP("O3",$R$63:$T$91,3,FALSE)+VLOOKUP("CP",$R$63:$T$91,3,FALSE),0)+IF(AND($L39&lt;&gt;"",$L39&lt;&gt;"--",$L39&lt;&gt;"O3/CP",$L$14=E$18),IF(LEFT($L39,1)="P",VLOOKUP(CONCATENATE(LEFT($L39,2),"H"),$R$63:$T$91,3,FALSE),VLOOKUP($L39,$R$63:$T$91,3,FALSE)))+IF(AND($L39&lt;&gt;"",$L39&lt;&gt;"O3/CP",$L$15=E$18,MID($L39,4,1)="2",$L$15&lt;&gt;$L$14),VLOOKUP(CONCATENATE(LEFT($L39,2),"L"),$R$63:$T$91,3,FALSE),0)+IF(AND($L39="O3/CP",$L$14=E$18),VLOOKUP("O3",$R$63:$T$91,3,FALSE)+VLOOKUP("CP",$R$63:$T$91,3,FALSE),0)+IF(AND($M39&lt;&gt;"",$M39&lt;&gt;"--",$M39&lt;&gt;"O3/CP",$M$14=E$18),IF(LEFT($M39,1)="P",VLOOKUP(CONCATENATE(LEFT($M39,2),"H"),$R$63:$T$91,3,FALSE),VLOOKUP($M39,$R$63:$T$91,3,FALSE)))+IF(AND($M39&lt;&gt;"",$M39&lt;&gt;"O3/CP",$M$15=E$18,MID($M39,4,1)="2",$M$15&lt;&gt;$M$14),VLOOKUP(CONCATENATE(LEFT($M39,2),"L"),$R$63:$T$91,3,FALSE),0)+IF(AND($M39="O3/CP",$M$14=E$18),VLOOKUP("O3",$R$63:$T$91,3,FALSE)+VLOOKUP("CP",$R$63:$T$91,3,FALSE),0)+IF(AND($N39&lt;&gt;"",$N39&lt;&gt;"--",$N39&lt;&gt;"O3/CP",$N$14=E$18),IF(LEFT($N39,1)="P",VLOOKUP(CONCATENATE(LEFT($N39,2),"H"),$R$63:$T$91,3,FALSE),VLOOKUP($N39,$R$63:$T$91,3,FALSE)))+IF(AND($N39&lt;&gt;"",$N39&lt;&gt;"O3/CP",$N$15=E$18,MID($N39,4,1)="2",$N$15&lt;&gt;$N$14),VLOOKUP(CONCATENATE(LEFT($N39,2),"L"),$R$63:$T$91,3,FALSE),0)+IF(AND($N39="O3/CP",$N$14=E$18),VLOOKUP("O3",$R$63:$T$91,3,FALSE)+VLOOKUP("CP",$R$63:$T$91,3,FALSE),0)+IF(AND($O39&lt;&gt;"",$O39&lt;&gt;"--",$O39&lt;&gt;"O3/CP",$O$14=E$18),IF(LEFT($O39,1)="P",VLOOKUP(CONCATENATE(LEFT($O39,2),"H"),$R$63:$T$91,3,FALSE),VLOOKUP($O39,$R$63:$T$91,3,FALSE)))+IF(AND($O39&lt;&gt;"",$O39&lt;&gt;"O3/CP",$O$15=E$18,MID($O39,4,1)="2",$O$15&lt;&gt;$O$14),VLOOKUP(CONCATENATE(LEFT($O39,2),"L"),$R$63:$T$91,3,FALSE),0)+IF(AND($O39="O3/CP",$O$14=E$18),VLOOKUP("O3",$R$63:$T$91,3,FALSE)+VLOOKUP("CP",$R$63:$T$91,3,FALSE),0)+IF(AND($P39&lt;&gt;"",$P39&lt;&gt;"--",$P39&lt;&gt;"O3/CP",$P$14=E$18),IF(LEFT($P39,1)="P",VLOOKUP(CONCATENATE(LEFT($P39,2),"H"),$R$63:$T$91,3,FALSE),VLOOKUP($P39,$R$63:$T$91,3,FALSE)))+IF(AND($P39&lt;&gt;"",$P39&lt;&gt;"O3/CP",$P$15=E$18,MID($P39,4,1)="2",$P$15&lt;&gt;$P$14),VLOOKUP(CONCATENATE(LEFT($P39,2),"L"),$R$63:$T$91,3,FALSE),0)+IF(AND($P39="O3/CP",$P$14=E$18),VLOOKUP("O3",$R$63:$T$91,3,FALSE)+VLOOKUP("CP",$R$63:$T$91,3,FALSE),0)+IF(AND($Q39&lt;&gt;"",$Q39&lt;&gt;"--",$Q39&lt;&gt;"O3/CP",$Q$14=E$18),IF(LEFT($Q39,1)="P",VLOOKUP(CONCATENATE(LEFT($Q39,2),"H"),$R$63:$T$91,3,FALSE),VLOOKUP($Q39,$R$63:$T$91,3,FALSE)))+IF(AND($Q39&lt;&gt;"",$Q39&lt;&gt;"O3/CP",$Q$15=E$18,MID($Q39,4,1)="2",$Q$15&lt;&gt;$Q$14),VLOOKUP(CONCATENATE(LEFT($Q39,2),"L"),$R$63:$T$91,3,FALSE),0)+IF(AND($Q39="O3/CP",$Q$14=E$18),VLOOKUP("O3",$R$63:$T$91,3,FALSE)+VLOOKUP("CP",$R$63:$T$91,3,FALSE),0)+IF(AND($R39&lt;&gt;"",$R39&lt;&gt;"--",$R39&lt;&gt;"O3/CP",$R$14=E$18),IF(LEFT($R39,1)="P",VLOOKUP(CONCATENATE(LEFT($R39,2),"H"),$R$63:$T$91,3,FALSE),VLOOKUP($R39,$R$63:$T$91,3,FALSE)))+IF(AND($R39&lt;&gt;"",$R39&lt;&gt;"O3/CP",$R$15=E$18,MID($R39,4,1)="2",$R$15&lt;&gt;$R$14),VLOOKUP(CONCATENATE(LEFT($R39,2),"L"),$R$63:$T$91,3,FALSE),0)+IF(AND($R39="O3/CP",$R$14=E$18),VLOOKUP("O3",$R$63:$T$91,3,FALSE)+VLOOKUP("CP",$R$63:$T$91,3,FALSE),0)+IF(AND($S39&lt;&gt;"",$S39&lt;&gt;"--",$S39&lt;&gt;"O3/CP",$S$14=E$18),IF(LEFT($S39,1)="P",VLOOKUP(CONCATENATE(LEFT($S39,2),"H"),$R$63:$T$91,3,FALSE),VLOOKUP($S39,$R$63:$T$91,3,FALSE)))+IF(AND($S39&lt;&gt;"",$S39&lt;&gt;"O3/CP",$S$15=E$18,MID($S39,4,1)="2",$S$15&lt;&gt;$S$14),VLOOKUP(CONCATENATE(LEFT($S39,2),"L"),$R$63:$T$91,3,FALSE),0)+IF(AND($S39="O3/CP",$S$14=E$18),VLOOKUP("O3",$R$63:$T$91,3,FALSE)+VLOOKUP("CP",$R$63:$T$91,3,FALSE),0)+IF(AND($T39&lt;&gt;"",$T39&lt;&gt;"--",$T39&lt;&gt;"O3/CP",$T$14=E$18),IF(LEFT($T39,1)="P",VLOOKUP(CONCATENATE(LEFT($T39,2),"H"),$R$63:$T$91,3,FALSE),VLOOKUP($T39,$R$63:$T$91,3,FALSE)))+IF(AND($T39&lt;&gt;"",$T39&lt;&gt;"O3/CP",$T$15=E$18,MID($T39,4,1)="2",$T$15&lt;&gt;$T$14),VLOOKUP(CONCATENATE(LEFT($T39,2),"L"),$R$63:$T$91,3,FALSE),0)+IF(AND($T39="O3/CP",$T$14=E$18),VLOOKUP("O3",$R$63:$T$91,3,FALSE)+VLOOKUP("CP",$R$63:$T$91,3,FALSE),0)+IF(AND($U39&lt;&gt;"",$U39&lt;&gt;"--",$U39&lt;&gt;"O3/CP",$U$14=E$18),IF(LEFT($U39,1)="P",VLOOKUP(CONCATENATE(LEFT($U39,2),"H"),$R$63:$T$91,3,FALSE),VLOOKUP($U39,$R$63:$T$91,3,FALSE)))+IF(AND($U39&lt;&gt;"",$U39&lt;&gt;"O3/CP",$U$15=E$18,MID($U39,4,1)="2",$U$15&lt;&gt;$U$14),VLOOKUP(CONCATENATE(LEFT($U39,2),"L"),$R$63:$T$91,3,FALSE),0)+IF(AND($U39="O3/CP",$T$14=E$18),VLOOKUP("O3",$R$63:$T$91,3,FALSE)+VLOOKUP("CP",$R$63:$T$91,3,FALSE),0)+IF(AND($V39&lt;&gt;"",$V39&lt;&gt;"--",$V39&lt;&gt;"O3/CP",$V$14=E$18),IF(LEFT($V39,1)="P",VLOOKUP(CONCATENATE(LEFT($V39,2),"H"),$R$63:$T$91,3,FALSE),VLOOKUP($V39,$R$63:$T$91,3,FALSE)))+IF(AND($V39&lt;&gt;"",$V39&lt;&gt;"O3/CP",$V$15=E$18,MID($V39,4,1)="2",$V$15&lt;&gt;$V$14),VLOOKUP(CONCATENATE(LEFT($V39,2),"L"),$R$63:$T$91,3,FALSE),0)+IF(AND($V39="O3/CP",$V$14=E$18),VLOOKUP("O3",$R$63:$T$91,3,FALSE)+VLOOKUP("CP",$R$63:$T$91,3,FALSE),0)+IF(AND($W39&lt;&gt;"",$W39&lt;&gt;"--",$W39&lt;&gt;"O3/CP",$W$14=E$18),IF(LEFT($W39,1)="P",VLOOKUP(CONCATENATE(LEFT($W39,2),"H"),$R$63:$T$91,3,FALSE),VLOOKUP($W39,$R$63:$T$91,3,FALSE)))+IF(AND($W39&lt;&gt;"",$W39&lt;&gt;"O3/CP",$W$15=E$18,MID($W39,4,1)="2",$W$15&lt;&gt;$W$14),VLOOKUP(CONCATENATE(LEFT($W39,2),"L"),$R$63:$T$91,3,FALSE),0)+IF(AND($W39="O3/CP",$W$14=E$18),VLOOKUP("O3",$R$63:$T$91,3,FALSE)+VLOOKUP("CP",$R$63:$T$91,3,FALSE),0)+IF(AND($X39&lt;&gt;"",$X39&lt;&gt;"--",$X39&lt;&gt;"O3/CP",$X$14=E$18),IF(LEFT($X39,1)="P",VLOOKUP(CONCATENATE(LEFT($X39,2),"H"),$R$63:$T$91,3,FALSE),VLOOKUP($X39,$R$63:$T$91,3,FALSE)))+IF(AND($X39&lt;&gt;"",$X39&lt;&gt;"O3/CP",$X$15=E$18,MID($X39,4,1)="2",$X$15&lt;&gt;$X$14),VLOOKUP(CONCATENATE(LEFT($X39,2),"L"),$R$63:$T$91,3,FALSE),0)+IF(AND($X39="O3/CP",$X$14=E$18),VLOOKUP("O3",$R$63:$T$91,3,FALSE)+VLOOKUP("CP",$R$63:$T$91,3,FALSE),0)+IF(AND($Y39&lt;&gt;"",$Y39&lt;&gt;"--",$Y39&lt;&gt;"O3/CP",$Y$14=E$18),IF(LEFT($Y39,1)="P",VLOOKUP(CONCATENATE(LEFT($Y39,2),"H"),$R$63:$T$91,3,FALSE),VLOOKUP($Y39,$R$63:$T$91,3,FALSE)))+IF(AND($Y39&lt;&gt;"",$Y39&lt;&gt;"O3/CP",$Y$15=E$18,MID($Y39,4,1)="2",$Y$15&lt;&gt;$Y$14),VLOOKUP(CONCATENATE(LEFT($Y39,2),"L"),$R$63:$T$91,3,FALSE),0)+IF(AND($Y39="O3/CP",$Y$14=E$18),VLOOKUP("O3",$R$63:$T$91,3,FALSE)+VLOOKUP("CP",$R$63:$T$91,3,FALSE),0)+IF(AND($K$6="CE",'[3]Supply Attribution'!$G$20=E$18),LEFT($S$90,2),0)+IF(AND($X$86&lt;&gt;"Not Set",$X$87=E$18),$X$86,0)</f>
        <v>0</v>
      </c>
      <c r="F39" s="272">
        <f>IF(AND($K39&lt;&gt;"",$K39&lt;&gt;"--",$K39&lt;&gt;"O3/CP",$K$14=F$18),IF(LEFT($K39,1)="P",VLOOKUP(CONCATENATE(LEFT($K39,2),"H"),$R$63:$T$91,3,FALSE),VLOOKUP($K39,$R$63:$T$91,3,FALSE)))+IF(AND($K39&lt;&gt;"",$K39&lt;&gt;"O3/CP",$K$15=F$18,MID($K39,4,1)="2",$K$15&lt;&gt;$K$14),VLOOKUP(CONCATENATE(LEFT($K39,2),"L"),$R$63:$T$91,3,FALSE),0)+IF(AND($K39="O3/CP",$K$14=F$18),VLOOKUP("O3",$R$63:$T$91,3,FALSE)+VLOOKUP("CP",$R$63:$T$91,3,FALSE),0)+IF(AND($L39&lt;&gt;"",$L39&lt;&gt;"--",$L39&lt;&gt;"O3/CP",$L$14=F$18),IF(LEFT($L39,1)="P",VLOOKUP(CONCATENATE(LEFT($L39,2),"H"),$R$63:$T$91,3,FALSE),VLOOKUP($L39,$R$63:$T$91,3,FALSE)))+IF(AND($L39&lt;&gt;"",$L39&lt;&gt;"O3/CP",$L$15=F$18,MID($L39,4,1)="2",$L$15&lt;&gt;$L$14),VLOOKUP(CONCATENATE(LEFT($L39,2),"L"),$R$63:$T$91,3,FALSE),0)+IF(AND($L39="O3/CP",$L$14=F$18),VLOOKUP("O3",$R$63:$T$91,3,FALSE)+VLOOKUP("CP",$R$63:$T$91,3,FALSE),0)+IF(AND($M39&lt;&gt;"",$M39&lt;&gt;"--",$M39&lt;&gt;"O3/CP",$M$14=F$18),IF(LEFT($M39,1)="P",VLOOKUP(CONCATENATE(LEFT($M39,2),"H"),$R$63:$T$91,3,FALSE),VLOOKUP($M39,$R$63:$T$91,3,FALSE)))+IF(AND($M39&lt;&gt;"",$M39&lt;&gt;"O3/CP",$M$15=F$18,MID($M39,4,1)="2",$M$15&lt;&gt;$M$14),VLOOKUP(CONCATENATE(LEFT($M39,2),"L"),$R$63:$T$91,3,FALSE),0)+IF(AND($M39="O3/CP",$M$14=F$18),VLOOKUP("O3",$R$63:$T$91,3,FALSE)+VLOOKUP("CP",$R$63:$T$91,3,FALSE),0)+IF(AND($N39&lt;&gt;"",$N39&lt;&gt;"--",$N39&lt;&gt;"O3/CP",$N$14=F$18),IF(LEFT($N39,1)="P",VLOOKUP(CONCATENATE(LEFT($N39,2),"H"),$R$63:$T$91,3,FALSE),VLOOKUP($N39,$R$63:$T$91,3,FALSE)))+IF(AND($N39&lt;&gt;"",$N39&lt;&gt;"O3/CP",$N$15=F$18,MID($N39,4,1)="2",$N$15&lt;&gt;$N$14),VLOOKUP(CONCATENATE(LEFT($N39,2),"L"),$R$63:$T$91,3,FALSE),0)+IF(AND($N39="O3/CP",$N$14=F$18),VLOOKUP("O3",$R$63:$T$91,3,FALSE)+VLOOKUP("CP",$R$63:$T$91,3,FALSE),0)+IF(AND($O39&lt;&gt;"",$O39&lt;&gt;"--",$O39&lt;&gt;"O3/CP",$O$14=F$18),IF(LEFT($O39,1)="P",VLOOKUP(CONCATENATE(LEFT($O39,2),"H"),$R$63:$T$91,3,FALSE),VLOOKUP($O39,$R$63:$T$91,3,FALSE)))+IF(AND($O39&lt;&gt;"",$O39&lt;&gt;"O3/CP",$O$15=F$18,MID($O39,4,1)="2",$O$15&lt;&gt;$O$14),VLOOKUP(CONCATENATE(LEFT($O39,2),"L"),$R$63:$T$91,3,FALSE),0)+IF(AND($O39="O3/CP",$O$14=F$18),VLOOKUP("O3",$R$63:$T$91,3,FALSE)+VLOOKUP("CP",$R$63:$T$91,3,FALSE),0)+IF(AND($P39&lt;&gt;"",$P39&lt;&gt;"--",$P39&lt;&gt;"O3/CP",$P$14=F$18),IF(LEFT($P39,1)="P",VLOOKUP(CONCATENATE(LEFT($P39,2),"H"),$R$63:$T$91,3,FALSE),VLOOKUP($P39,$R$63:$T$91,3,FALSE)))+IF(AND($P39&lt;&gt;"",$P39&lt;&gt;"O3/CP",$P$15=F$18,MID($P39,4,1)="2",$P$15&lt;&gt;$P$14),VLOOKUP(CONCATENATE(LEFT($P39,2),"L"),$R$63:$T$91,3,FALSE),0)+IF(AND($P39="O3/CP",$P$14=F$18),VLOOKUP("O3",$R$63:$T$91,3,FALSE)+VLOOKUP("CP",$R$63:$T$91,3,FALSE),0)+IF(AND($Q39&lt;&gt;"",$Q39&lt;&gt;"--",$Q39&lt;&gt;"O3/CP",$Q$14=F$18),IF(LEFT($Q39,1)="P",VLOOKUP(CONCATENATE(LEFT($Q39,2),"H"),$R$63:$T$91,3,FALSE),VLOOKUP($Q39,$R$63:$T$91,3,FALSE)))+IF(AND($Q39&lt;&gt;"",$Q39&lt;&gt;"O3/CP",$Q$15=F$18,MID($Q39,4,1)="2",$Q$15&lt;&gt;$Q$14),VLOOKUP(CONCATENATE(LEFT($Q39,2),"L"),$R$63:$T$91,3,FALSE),0)+IF(AND($Q39="O3/CP",$Q$14=F$18),VLOOKUP("O3",$R$63:$T$91,3,FALSE)+VLOOKUP("CP",$R$63:$T$91,3,FALSE),0)+IF(AND($R39&lt;&gt;"",$R39&lt;&gt;"--",$R39&lt;&gt;"O3/CP",$R$14=F$18),IF(LEFT($R39,1)="P",VLOOKUP(CONCATENATE(LEFT($R39,2),"H"),$R$63:$T$91,3,FALSE),VLOOKUP($R39,$R$63:$T$91,3,FALSE)))+IF(AND($R39&lt;&gt;"",$R39&lt;&gt;"O3/CP",$R$15=F$18,MID($R39,4,1)="2",$R$15&lt;&gt;$R$14),VLOOKUP(CONCATENATE(LEFT($R39,2),"L"),$R$63:$T$91,3,FALSE),0)+IF(AND($R39="O3/CP",$R$14=F$18),VLOOKUP("O3",$R$63:$T$91,3,FALSE)+VLOOKUP("CP",$R$63:$T$91,3,FALSE),0)+IF(AND($S39&lt;&gt;"",$S39&lt;&gt;"--",$S39&lt;&gt;"O3/CP",$S$14=F$18),IF(LEFT($S39,1)="P",VLOOKUP(CONCATENATE(LEFT($S39,2),"H"),$R$63:$T$91,3,FALSE),VLOOKUP($S39,$R$63:$T$91,3,FALSE)))+IF(AND($S39&lt;&gt;"",$S39&lt;&gt;"O3/CP",$S$15=F$18,MID($S39,4,1)="2",$S$15&lt;&gt;$S$14),VLOOKUP(CONCATENATE(LEFT($S39,2),"L"),$R$63:$T$91,3,FALSE),0)+IF(AND($S39="O3/CP",$S$14=F$18),VLOOKUP("O3",$R$63:$T$91,3,FALSE)+VLOOKUP("CP",$R$63:$T$91,3,FALSE),0)+IF(AND($T39&lt;&gt;"",$T39&lt;&gt;"--",$T39&lt;&gt;"O3/CP",$T$14=F$18),IF(LEFT($T39,1)="P",VLOOKUP(CONCATENATE(LEFT($T39,2),"H"),$R$63:$T$91,3,FALSE),VLOOKUP($T39,$R$63:$T$91,3,FALSE)))+IF(AND($T39&lt;&gt;"",$T39&lt;&gt;"O3/CP",$T$15=F$18,MID($T39,4,1)="2",$T$15&lt;&gt;$T$14),VLOOKUP(CONCATENATE(LEFT($T39,2),"L"),$R$63:$T$91,3,FALSE),0)+IF(AND($T39="O3/CP",$T$14=F$18),VLOOKUP("O3",$R$63:$T$91,3,FALSE)+VLOOKUP("CP",$R$63:$T$91,3,FALSE),0)+IF(AND($U39&lt;&gt;"",$U39&lt;&gt;"--",$U39&lt;&gt;"O3/CP",$U$14=F$18),IF(LEFT($U39,1)="P",VLOOKUP(CONCATENATE(LEFT($U39,2),"H"),$R$63:$T$91,3,FALSE),VLOOKUP($U39,$R$63:$T$91,3,FALSE)))+IF(AND($U39&lt;&gt;"",$U39&lt;&gt;"O3/CP",$U$15=F$18,MID($U39,4,1)="2",$U$15&lt;&gt;$U$14),VLOOKUP(CONCATENATE(LEFT($U39,2),"L"),$R$63:$T$91,3,FALSE),0)+IF(AND($U39="O3/CP",$T$14=F$18),VLOOKUP("O3",$R$63:$T$91,3,FALSE)+VLOOKUP("CP",$R$63:$T$91,3,FALSE),0)+IF(AND($V39&lt;&gt;"",$V39&lt;&gt;"--",$V39&lt;&gt;"O3/CP",$V$14=F$18),IF(LEFT($V39,1)="P",VLOOKUP(CONCATENATE(LEFT($V39,2),"H"),$R$63:$T$91,3,FALSE),VLOOKUP($V39,$R$63:$T$91,3,FALSE)))+IF(AND($V39&lt;&gt;"",$V39&lt;&gt;"O3/CP",$V$15=F$18,MID($V39,4,1)="2",$V$15&lt;&gt;$V$14),VLOOKUP(CONCATENATE(LEFT($V39,2),"L"),$R$63:$T$91,3,FALSE),0)+IF(AND($V39="O3/CP",$V$14=F$18),VLOOKUP("O3",$R$63:$T$91,3,FALSE)+VLOOKUP("CP",$R$63:$T$91,3,FALSE),0)+IF(AND($W39&lt;&gt;"",$W39&lt;&gt;"--",$W39&lt;&gt;"O3/CP",$W$14=F$18),IF(LEFT($W39,1)="P",VLOOKUP(CONCATENATE(LEFT($W39,2),"H"),$R$63:$T$91,3,FALSE),VLOOKUP($W39,$R$63:$T$91,3,FALSE)))+IF(AND($W39&lt;&gt;"",$W39&lt;&gt;"O3/CP",$W$15=F$18,MID($W39,4,1)="2",$W$15&lt;&gt;$W$14),VLOOKUP(CONCATENATE(LEFT($W39,2),"L"),$R$63:$T$91,3,FALSE),0)+IF(AND($W39="O3/CP",$W$14=F$18),VLOOKUP("O3",$R$63:$T$91,3,FALSE)+VLOOKUP("CP",$R$63:$T$91,3,FALSE),0)+IF(AND($X39&lt;&gt;"",$X39&lt;&gt;"--",$X39&lt;&gt;"O3/CP",$X$14=F$18),IF(LEFT($X39,1)="P",VLOOKUP(CONCATENATE(LEFT($X39,2),"H"),$R$63:$T$91,3,FALSE),VLOOKUP($X39,$R$63:$T$91,3,FALSE)))+IF(AND($X39&lt;&gt;"",$X39&lt;&gt;"O3/CP",$X$15=F$18,MID($X39,4,1)="2",$X$15&lt;&gt;$X$14),VLOOKUP(CONCATENATE(LEFT($X39,2),"L"),$R$63:$T$91,3,FALSE),0)+IF(AND($X39="O3/CP",$X$14=F$18),VLOOKUP("O3",$R$63:$T$91,3,FALSE)+VLOOKUP("CP",$R$63:$T$91,3,FALSE),0)+IF(AND($Y39&lt;&gt;"",$Y39&lt;&gt;"--",$Y39&lt;&gt;"O3/CP",$Y$14=F$18),IF(LEFT($Y39,1)="P",VLOOKUP(CONCATENATE(LEFT($Y39,2),"H"),$R$63:$T$91,3,FALSE),VLOOKUP($Y39,$R$63:$T$91,3,FALSE)))+IF(AND($Y39&lt;&gt;"",$Y39&lt;&gt;"O3/CP",$Y$15=F$18,MID($Y39,4,1)="2",$Y$15&lt;&gt;$Y$14),VLOOKUP(CONCATENATE(LEFT($Y39,2),"L"),$R$63:$T$91,3,FALSE),0)+IF(AND($Y39="O3/CP",$Y$14=F$18),VLOOKUP("O3",$R$63:$T$91,3,FALSE)+VLOOKUP("CP",$R$63:$T$91,3,FALSE),0)+IF(AND($K$6="CE",'[3]Supply Attribution'!$G$20=F$18),LEFT($S$90,2),0)+IF(AND($X$86&lt;&gt;"Not Set",$X$87=F$18),$X$86,0)</f>
        <v>0</v>
      </c>
      <c r="G39" s="271">
        <f>IF(AND($K$6="CE",$T$59="1 Phase"),SUM(A39:F39)-IF(AND($K$14&lt;&gt;$K$15,RIGHT($K39,3)="2SP"),VLOOKUP(CONCATENATE(LEFT($K39,2),"L"),$R$63:$T$90,3,FALSE),0)-IF(AND($L$14&lt;&gt;$L$15,RIGHT($L39,3)="2SP"),VLOOKUP(CONCATENATE(LEFT($L39,2),"L"),$R$63:$T$90,3,FALSE),0)-IF(AND($M$14&lt;&gt;$M$15,RIGHT($M39,3)="2SP"),VLOOKUP(CONCATENATE(LEFT($M39,2),"L"),$R$63:$T$90,3,FALSE),0)-IF(AND($N$14&lt;&gt;$N$15,RIGHT($N39,3)="2SP"),VLOOKUP(CONCATENATE(LEFT($N39,2),"L"),$R$63:$T$90,3,FALSE),0)-IF(AND($O$14&lt;&gt;$O$15,RIGHT($O39,3)="2SP"),VLOOKUP(CONCATENATE(LEFT($O39,2),"L"),$R$63:$T$90,3,FALSE),0)-IF(AND($P$14&lt;&gt;$P$15,RIGHT($P39,3)="2SP"),VLOOKUP(CONCATENATE(LEFT($P39,2),"L"),$R$63:$T$90,3,FALSE),0)-IF(AND($Q$14&lt;&gt;$Q$15,RIGHT($Q39,3)="2SP"),VLOOKUP(CONCATENATE(LEFT($Q39,2),"L"),$R$63:$T$90,3,FALSE),0)-IF(AND($R$14&lt;&gt;$R$15,RIGHT($T39,3)="2SP"),VLOOKUP(CONCATENATE(LEFT($R39,2),"L"),$R$63:$T$90,3,FALSE),0)-IF(AND($S$14&lt;&gt;$S$15,RIGHT($T39,3)="2SP"),VLOOKUP(CONCATENATE(LEFT($S39,2),"L"),$R$63:$T$90,3,FALSE),0)-IF(AND($T$14&lt;&gt;$T$15,RIGHT($T39,3)="2SP"),VLOOKUP(CONCATENATE(LEFT($T39,2),"L"),$R$63:$T$90,3,FALSE),0)-IF(AND($U$14&lt;&gt;$U$15,RIGHT($U39,3)="2SP"),VLOOKUP(CONCATENATE(LEFT($U39,2),"L"),$R$63:$T$90,3,FALSE),0)-IF(AND($V$14&lt;&gt;$V$15,RIGHT($V39,3)="2SP"),VLOOKUP(CONCATENATE(LEFT($V39,2),"L"),$R$63:$T$90,3,FALSE),0)-IF(AND($W$14&lt;&gt;$W$15,RIGHT($W39,3)="2SP"),VLOOKUP(CONCATENATE(LEFT($W39,2),"L"),$R$63:$T$90,3,FALSE),0)-IF(AND($X$14&lt;&gt;$X$15,RIGHT($X39,3)="2SP"),VLOOKUP(CONCATENATE(LEFT($X39,2),"L"),$R$63:$T$90,3,FALSE),0)-IF(AND($Y$14&lt;&gt;$Y$15,RIGHT($Y39,3)="2SP"),VLOOKUP(CONCATENATE(LEFT($Y39,2),"L"),$R$63:$T$90,3,FALSE),0),IF(VLOOKUP(CONCATENATE($A$18,"Line"),'[3]Supply Attribution'!$F$31:$G$37,2,FALSE)=G$18,$A39,0)+IF(VLOOKUP(CONCATENATE($B$18,"Line"),'[3]Supply Attribution'!$F$31:$G$37,2,FALSE)=G$18,$B39,0)+IF(VLOOKUP(CONCATENATE($C$18,"Line"),'[3]Supply Attribution'!$F$31:$G$37,2,FALSE)=G$18,$C39,0)+IF(VLOOKUP(CONCATENATE($D$18,"Line"),'[3]Supply Attribution'!$F$31:$G$37,2,FALSE)=G$18,$D39,0)+IF(VLOOKUP(CONCATENATE($E$18,"Line"),'[3]Supply Attribution'!$F$31:$G$37,2,FALSE)=G$18,$E39,0)+IF(VLOOKUP(CONCATENATE($F$18,"Line"),'[3]Supply Attribution'!$F$31:$G$37,2,FALSE)=G$18,$F39,0)+IF($K$6="UL",LEFT($S$90,2),0)-IF(AND($K$16=G$18,$K$14&lt;&gt;$K$15,$K$16=$K$17,RIGHT($K39,3)="2SP"),VLOOKUP(CONCATENATE(LEFT($K39,2),"L"),$R$63:$T$90,3,FALSE),0)-IF(AND($L$16=G$18,$L$14&lt;&gt;$L$15,$L$16=$L$17,RIGHT($L39,3)="2SP"),VLOOKUP(CONCATENATE(LEFT($L39,2),"L"),$R$63:$T$90,3,FALSE),0)-IF(AND($M$16=G$18,$M$14&lt;&gt;$M$15,$M$16=$M$17,RIGHT($M39,3)="2SP"),VLOOKUP(CONCATENATE(LEFT($M39,2),"L"),$R$63:$T$90,3,FALSE),0)-IF(AND($N$16=G$18,$N$14&lt;&gt;$N$15,$N$16=$N$17,RIGHT($N39,3)="2SP"),VLOOKUP(CONCATENATE(LEFT($N39,2),"L"),$R$63:$T$90,3,FALSE),0)-IF(AND($O$16=G$18,$O$14&lt;&gt;$O$15,$O$16=$O$17,RIGHT($O39,3)="2SP"),VLOOKUP(CONCATENATE(LEFT($O39,2),"L"),$R$63:$T$90,3,FALSE),0)-IF(AND($P$16=G$18,$P$14&lt;&gt;$P$15,$P$16=$P$17,RIGHT($P39,3)="2SP"),VLOOKUP(CONCATENATE(LEFT($P39,2),"L"),$R$63:$T$90,3,FALSE),0)-IF(AND($Q$16=G$18,$Q$14&lt;&gt;$Q$15,$Q$16=$Q$17,RIGHT($Q39,3)="2SP"),VLOOKUP(CONCATENATE(LEFT($Q39,2),"L"),$R$63:$T$90,3,FALSE),0)-IF(AND($R$16=G$18,$R$14&lt;&gt;$R$15,$R$16=$R$17,RIGHT($R39,3)="2SP"),VLOOKUP(CONCATENATE(LEFT($R39,2),"L"),$R$63:$T$90,3,FALSE),0)-IF(AND($S$16=G$18,$S$14&lt;&gt;$S$15,$S$16=$S$17,RIGHT($S39,3)="2SP"),VLOOKUP(CONCATENATE(LEFT($S39,2),"L"),$R$63:$T$90,3,FALSE),0)-IF(AND($T$16=G$18,$T$14&lt;&gt;$T$15,$T$16=$T$17,RIGHT($T39,3)="2SP"),VLOOKUP(CONCATENATE(LEFT($T39,2),"L"),$R$63:$T$90,3,FALSE),0)-IF(AND($U$16=G$18,$U$14&lt;&gt;$U$15,$U$16=$U$17,RIGHT($U39,3)="2SP"),VLOOKUP(CONCATENATE(LEFT($U39,2),"L"),$R$63:$T$90,3,FALSE),0)-IF(AND($V$16=G$18,$V$14&lt;&gt;$V$15,$V$16=$V$17,RIGHT($V39,3)="2SP"),VLOOKUP(CONCATENATE(LEFT($V39,2),"L"),$R$63:$T$90,3,FALSE),0)-IF(AND($W$16=G$18,$W$14&lt;&gt;$W$15,$W$16=$W$17,RIGHT($W39,3)="2SP"),VLOOKUP(CONCATENATE(LEFT($W39,2),"L"),$R$63:$T$90,3,FALSE),0)-IF(AND($X$16=G$18,$X$14&lt;&gt;$X$15,$X$16=$X$17,RIGHT($X39,3)="2SP"),VLOOKUP(CONCATENATE(LEFT($X39,2),"L"),$R$63:$T$90,3,FALSE),0)-IF(AND($Y$16=G$18,$Y$14&lt;&gt;$Y$15,$Y$16=$Y$17,RIGHT($Y39,3)="2SP"),VLOOKUP(CONCATENATE(LEFT($Y39,2),"L"),$R$63:$T$90,3,FALSE),0))</f>
        <v>17</v>
      </c>
      <c r="H39" s="271" t="str">
        <f>IF(H$18&lt;&gt;"",IF(VLOOKUP(CONCATENATE($A$18,"Line"),'Supply Attribution'!$F$31:$G$37,2,FALSE)=H$18,$A39,0)+IF(VLOOKUP(CONCATENATE($B$18,"Line"),'Supply Attribution'!$F$31:$G$37,2,FALSE)=H$18,$B39,0)+IF(VLOOKUP(CONCATENATE($C$18,"Line"),'Supply Attribution'!$F$31:$G$37,2,FALSE)=H$18,$C39,0)+IF(VLOOKUP(CONCATENATE($D$18,"Line"),'Supply Attribution'!$F$31:$G$37,2,FALSE)=H$18,$D39,0)+IF(VLOOKUP(CONCATENATE($E$18,"Line"),'Supply Attribution'!$F$31:$G$37,2,FALSE)=H$18,$E39,0)+IF(VLOOKUP(CONCATENATE($F$18,"Line"),'Supply Attribution'!$F$31:$G$37,2,FALSE)=H$18,$F39,0)+IF($K$6="UL",LEFT($S$90,2),0)-IF(AND($K$16=H$18,$K$14&lt;&gt;$K$15,$K$16=$K$17,RIGHT($K39,3)="2SP"),VLOOKUP(CONCATENATE(LEFT($K39,2),"L"),$R$63:$T$90,3,FALSE),0)-IF(AND($L$16=H$18,$L$14&lt;&gt;$L$15,$L$16=$L$17,RIGHT($L39,3)="2SP"),VLOOKUP(CONCATENATE(LEFT($L39,2),"L"),$R$63:$T$90,3,FALSE),0)-IF(AND($M$16=H$18,$M$14&lt;&gt;$M$15,$M$16=$M$17,RIGHT($M39,3)="2SP"),VLOOKUP(CONCATENATE(LEFT($M39,2),"L"),$R$63:$T$90,3,FALSE),0)-IF(AND($N$16=H$18,$N$14&lt;&gt;$N$15,$N$16=$N$17,RIGHT($N39,3)="2SP"),VLOOKUP(CONCATENATE(LEFT($N39,2),"L"),$R$63:$T$90,3,FALSE),0)-IF(AND($O$16=H$18,$O$14&lt;&gt;$O$15,$O$16=$O$17,RIGHT($O39,3)="2SP"),VLOOKUP(CONCATENATE(LEFT($O39,2),"L"),$R$63:$T$90,3,FALSE),0)-IF(AND($P$16=H$18,$P$14&lt;&gt;$P$15,$P$16=$P$17,RIGHT($P39,3)="2SP"),VLOOKUP(CONCATENATE(LEFT($P39,2),"L"),$R$63:$T$90,3,FALSE),0)-IF(AND($Q$16=H$18,$Q$14&lt;&gt;$Q$15,$Q$16=$Q$17,RIGHT($Q39,3)="2SP"),VLOOKUP(CONCATENATE(LEFT($Q39,2),"L"),$R$63:$T$90,3,FALSE),0)-IF(AND($T$16=H$18,$T$14&lt;&gt;$T$15,$T$16=$T$17,RIGHT($T39,3)="2SP"),VLOOKUP(CONCATENATE(LEFT($T39,2),"L"),$R$63:$T$90,3,FALSE),0)-IF(AND($U$16=H$18,$U$14&lt;&gt;$U$15,$U$16=$U$17,RIGHT($U39,3)="2SP"),VLOOKUP(CONCATENATE(LEFT($U39,2),"L"),$R$63:$T$90,3,FALSE),0)-IF(AND($V$16=H$18,$V$14&lt;&gt;$V$15,$V$16=$V$17,RIGHT($V39,3)="2SP"),VLOOKUP(CONCATENATE(LEFT($V39,2),"L"),$R$63:$T$90,3,FALSE),0)-IF(AND($W$16=H$18,$W$14&lt;&gt;$W$15,$W$16=$W$17,RIGHT($W39,3)="2SP"),VLOOKUP(CONCATENATE(LEFT($W39,2),"L"),$R$63:$T$90,3,FALSE),0)-IF(AND($X$16=H$18,$X$14&lt;&gt;$X$15,$X$16=$X$17,RIGHT($X39,3)="2SP"),VLOOKUP(CONCATENATE(LEFT($X39,2),"L"),$R$63:$T$90,3,FALSE),0)-IF(AND($Y$16=H$18,$Y$14&lt;&gt;$Y$15,$Y$16=$Y$17,RIGHT($Y39,3)="2SP"),VLOOKUP(CONCATENATE(LEFT($Y39,2),"L"),$R$63:$T$90,3,FALSE),0)+IF(AND($K$6="CE",$T$59="2 Phases",H$18&lt;&gt;""),IF(VLOOKUP(CONCATENATE($A$18,"Line"),'Supply Attribution'!$F$31:$G$37,2,FALSE)="Line3",$A39,0)+IF(VLOOKUP(CONCATENATE($B$18,"Line"),'Supply Attribution'!$F$31:$G$37,2,FALSE)="Line3",$B39,0)+IF(VLOOKUP(CONCATENATE($C$18,"Line"),'Supply Attribution'!$F$31:$G$37,2,FALSE)="Line3",$C39,0)+IF(VLOOKUP(CONCATENATE($D$18,"Line"),'Supply Attribution'!$F$31:$G$37,2,FALSE)="Line3",$D39,0)+IF(VLOOKUP(CONCATENATE($E$18,"Line"),'Supply Attribution'!$F$31:$G$37,2,FALSE)="Line3",$E39,0)+IF(VLOOKUP(CONCATENATE($F$18,"Line"),'Supply Attribution'!$F$31:$G$37,2,FALSE)="Line3",$F39,0)-IF(AND($K$16=I$18,$K$14&lt;&gt;$K$15,$K$16=$K$17,RIGHT($K39,3)="2SP"),VLOOKUP(CONCATENATE(LEFT($K39,2),"L"),$R$63:$T$90,3,FALSE),0)-IF(AND($L$16=I$18,$L$14&lt;&gt;$L$15,$L$16=$L$17,RIGHT($L39,3)="2SP"),VLOOKUP(CONCATENATE(LEFT($L39,2),"L"),$R$63:$T$90,3,FALSE),0)-IF(AND($M$16=I$18,$M$14&lt;&gt;$M$15,$M$16=$M$17,RIGHT($M39,3)="2SP"),VLOOKUP(CONCATENATE(LEFT($M39,2),"L"),$R$63:$T$90,3,FALSE),0)-IF(AND($N$16=I$18,$N$14&lt;&gt;$N$15,$N$16=$N$17,RIGHT($N39,3)="2SP"),VLOOKUP(CONCATENATE(LEFT($N39,2),"L"),$R$63:$T$90,3,FALSE),0)-IF(AND($O$16=I$18,$O$14&lt;&gt;$O$15,$O$16=$O$17,RIGHT($O39,3)="2SP"),VLOOKUP(CONCATENATE(LEFT($O39,2),"L"),$R$63:$T$90,3,FALSE),0)-IF(AND($P$16=I$18,$P$14&lt;&gt;$P$15,$P$16=$P$17,RIGHT($P39,3)="2SP"),VLOOKUP(CONCATENATE(LEFT($P39,2),"L"),$R$63:$T$90,3,FALSE),0)-IF(AND($Q$16=I$18,$Q$14&lt;&gt;$Q$15,$Q$16=$Q$17,RIGHT($Q39,3)="2SP"),VLOOKUP(CONCATENATE(LEFT($Q39,2),"L"),$R$63:$T$90,3,FALSE),0)-IF(AND($T$16=I$18,$T$14&lt;&gt;$T$15,$T$16=$T$17,RIGHT($T39,3)="2SP"),VLOOKUP(CONCATENATE(LEFT($T39,2),"L"),$R$63:$T$90,3,FALSE),0)-IF(AND($U$16=I$18,$U$14&lt;&gt;$U$15,$U$16=$U$17,RIGHT($U39,3)="2SP"),VLOOKUP(CONCATENATE(LEFT($U39,2),"L"),$R$63:$T$90,3,FALSE),0)-IF(AND($V$16=I$18,$V$14&lt;&gt;$V$15,$V$16=$V$17,RIGHT($V39,3)="2SP"),VLOOKUP(CONCATENATE(LEFT($V39,2),"L"),$R$63:$T$90,3,FALSE),0)-IF(AND($W$16=I$18,$W$14&lt;&gt;$W$15,$W$16=$W$17,RIGHT($W39,3)="2SP"),VLOOKUP(CONCATENATE(LEFT($W39,2),"L"),$R$63:$T$90,3,FALSE),0)-IF(AND($X$16=I$18,$X$14&lt;&gt;$X$15,$X$16=$X$17,RIGHT($X39,3)="2SP"),VLOOKUP(CONCATENATE(LEFT($X39,2),"L"),$R$63:$T$90,3,FALSE),0)-IF(AND($Y$16=I$18,$Y$14&lt;&gt;$Y$15,$Y$16=$Y$17,RIGHT($Y39,3)="2SP"),VLOOKUP(CONCATENATE(LEFT($Y39,2),"L"),$R$63:$T$90,3,FALSE),0),0),"")</f>
        <v/>
      </c>
      <c r="I39" s="271" t="str">
        <f>IF(I$18&lt;&gt;"",IF(VLOOKUP(CONCATENATE($A$18,"Line"),'Supply Attribution'!$F$31:$G$37,2,FALSE)=I$18,$A39,0)+IF(VLOOKUP(CONCATENATE($B$18,"Line"),'Supply Attribution'!$F$31:$G$37,2,FALSE)=I$18,$B39,0)+IF(VLOOKUP(CONCATENATE($C$18,"Line"),'Supply Attribution'!$F$31:$G$37,2,FALSE)=I$18,$C39,0)+IF(VLOOKUP(CONCATENATE($D$18,"Line"),'Supply Attribution'!$F$31:$G$37,2,FALSE)=I$18,$D39,0)+IF(VLOOKUP(CONCATENATE($E$18,"Line"),'Supply Attribution'!$F$31:$G$37,2,FALSE)=I$18,$E39,0)+IF(VLOOKUP(CONCATENATE($F$18,"Line"),'Supply Attribution'!$F$31:$G$37,2,FALSE)=I$18,$F39,0)+IF($K$6="UL",LEFT($S$90,2),0)-IF(AND($K$16=I$18,$K$14&lt;&gt;$K$15,$K$16=$K$17,RIGHT($K39,3)="2SP"),VLOOKUP(CONCATENATE(LEFT($K39,2),"L"),$R$63:$T$90,3,FALSE),0)-IF(AND($L$16=I$18,$L$14&lt;&gt;$L$15,$L$16=$L$17,RIGHT($L39,3)="2SP"),VLOOKUP(CONCATENATE(LEFT($L39,2),"L"),$R$63:$T$90,3,FALSE),0)-IF(AND($M$16=I$18,$M$14&lt;&gt;$M$15,$M$16=$M$17,RIGHT($M39,3)="2SP"),VLOOKUP(CONCATENATE(LEFT($M39,2),"L"),$R$63:$T$90,3,FALSE),0)-IF(AND($N$16=I$18,$N$14&lt;&gt;$N$15,$N$16=$N$17,RIGHT($N39,3)="2SP"),VLOOKUP(CONCATENATE(LEFT($N39,2),"L"),$R$63:$T$90,3,FALSE),0)-IF(AND($O$16=I$18,$O$14&lt;&gt;$O$15,$O$16=$O$17,RIGHT($O39,3)="2SP"),VLOOKUP(CONCATENATE(LEFT($O39,2),"L"),$R$63:$T$90,3,FALSE),0)-IF(AND($P$16=I$18,$P$14&lt;&gt;$P$15,$P$16=$P$17,RIGHT($P39,3)="2SP"),VLOOKUP(CONCATENATE(LEFT($P39,2),"L"),$R$63:$T$90,3,FALSE),0)-IF(AND($Q$16=I$18,$Q$14&lt;&gt;$Q$15,$Q$16=$Q$17,RIGHT($Q39,3)="2SP"),VLOOKUP(CONCATENATE(LEFT($Q39,2),"L"),$R$63:$T$90,3,FALSE),0)-IF(AND($T$16=I$18,$T$14&lt;&gt;$T$15,$T$16=$T$17,RIGHT($T39,3)="2SP"),VLOOKUP(CONCATENATE(LEFT($T39,2),"L"),$R$63:$T$90,3,FALSE),0)-IF(AND($U$16=I$18,$U$14&lt;&gt;$U$15,$U$16=$U$17,RIGHT($U39,3)="2SP"),VLOOKUP(CONCATENATE(LEFT($U39,2),"L"),$R$63:$T$90,3,FALSE),0)-IF(AND($V$16=I$18,$V$14&lt;&gt;$V$15,$V$16=$V$17,RIGHT($V39,3)="2SP"),VLOOKUP(CONCATENATE(LEFT($V39,2),"L"),$R$63:$T$90,3,FALSE),0)-IF(AND($W$16=I$18,$W$14&lt;&gt;$W$15,$W$16=$W$17,RIGHT($W39,3)="2SP"),VLOOKUP(CONCATENATE(LEFT($W39,2),"L"),$R$63:$T$90,3,FALSE),0)-IF(AND($X$16=I$18,$X$14&lt;&gt;$X$15,$X$16=$X$17,RIGHT($X39,3)="2SP"),VLOOKUP(CONCATENATE(LEFT($X39,2),"L"),$R$63:$T$90,3,FALSE),0)-IF(AND($Y$16=I$18,$Y$14&lt;&gt;$Y$15,$Y$16=$Y$17,RIGHT($Y39,3)="2SP"),VLOOKUP(CONCATENATE(LEFT($Y39,2),"L"),$R$63:$T$90,3,FALSE),0),"")</f>
        <v/>
      </c>
      <c r="J39" s="129"/>
      <c r="K39" s="130"/>
      <c r="L39" s="130"/>
      <c r="M39" s="130"/>
      <c r="N39" s="130"/>
      <c r="O39" s="130"/>
      <c r="P39" s="130"/>
      <c r="Q39" s="130"/>
      <c r="R39" s="130"/>
      <c r="S39" s="130"/>
      <c r="T39" s="130"/>
      <c r="U39" s="130"/>
      <c r="V39" s="130"/>
      <c r="W39" s="130"/>
      <c r="X39" s="130"/>
      <c r="Y39" s="130"/>
      <c r="Z39" s="131"/>
      <c r="AA39" s="131"/>
      <c r="AB39" s="132"/>
      <c r="AC39" s="132"/>
      <c r="AD39" s="132"/>
      <c r="AE39" s="133">
        <f t="shared" si="0"/>
        <v>0</v>
      </c>
      <c r="AF39" s="78"/>
    </row>
    <row r="40" spans="1:32" ht="13.15" customHeight="1">
      <c r="A40" s="270">
        <f>IF(AND($K40&lt;&gt;"",$K40&lt;&gt;"--",$K40&lt;&gt;"O3/CP",$K$14=A$18),IF(LEFT($K40,1)="P",VLOOKUP(CONCATENATE(LEFT($K40,2),"H"),$R$63:$T$91,3,FALSE),VLOOKUP($K40,$R$63:$T$91,3,FALSE)))+IF(AND($K40&lt;&gt;"",$K40&lt;&gt;"O3/CP",$K$15=A$18,MID($K40,4,1)="2",$K$15&lt;&gt;$K$14),VLOOKUP(CONCATENATE(LEFT($K40,2),"L"),$R$63:$T$91,3,FALSE),0)+IF(AND($K40="O3/CP",$K$14=A$18),VLOOKUP("O3",$R$63:$T$91,3,FALSE)+VLOOKUP("CP",$R$63:$T$91,3,FALSE),0)+IF(AND($L40&lt;&gt;"",$L40&lt;&gt;"--",$L40&lt;&gt;"O3/CP",$L$14=A$18),IF(LEFT($L40,1)="P",VLOOKUP(CONCATENATE(LEFT($L40,2),"H"),$R$63:$T$91,3,FALSE),VLOOKUP($L40,$R$63:$T$91,3,FALSE)))+IF(AND($L40&lt;&gt;"",$L40&lt;&gt;"O3/CP",$L$15=A$18,MID($L40,4,1)="2",$L$15&lt;&gt;$L$14),VLOOKUP(CONCATENATE(LEFT($L40,2),"L"),$R$63:$T$91,3,FALSE),0)+IF(AND($L40="O3/CP",$L$14=A$18),VLOOKUP("O3",$R$63:$T$91,3,FALSE)+VLOOKUP("CP",$R$63:$T$91,3,FALSE),0)+IF(AND($M40&lt;&gt;"",$M40&lt;&gt;"--",$M40&lt;&gt;"O3/CP",$M$14=A$18),IF(LEFT($M40,1)="P",VLOOKUP(CONCATENATE(LEFT($M40,2),"H"),$R$63:$T$91,3,FALSE),VLOOKUP($M40,$R$63:$T$91,3,FALSE)))+IF(AND($M40&lt;&gt;"",$M40&lt;&gt;"O3/CP",$M$15=A$18,MID($M40,4,1)="2",$M$15&lt;&gt;$M$14),VLOOKUP(CONCATENATE(LEFT($M40,2),"L"),$R$63:$T$91,3,FALSE),0)+IF(AND($M40="O3/CP",$M$14=A$18),VLOOKUP("O3",$R$63:$T$91,3,FALSE)+VLOOKUP("CP",$R$63:$T$91,3,FALSE),0)+IF(AND($N40&lt;&gt;"",$N40&lt;&gt;"--",$N40&lt;&gt;"O3/CP",$N$14=A$18),IF(LEFT($N40,1)="P",VLOOKUP(CONCATENATE(LEFT($N40,2),"H"),$R$63:$T$91,3,FALSE),VLOOKUP($N40,$R$63:$T$91,3,FALSE)))+IF(AND($N40&lt;&gt;"",$N40&lt;&gt;"O3/CP",$N$15=A$18,MID($N40,4,1)="2",$N$15&lt;&gt;$N$14),VLOOKUP(CONCATENATE(LEFT($N40,2),"L"),$R$63:$T$91,3,FALSE),0)+IF(AND($N40="O3/CP",$N$14=A$18),VLOOKUP("O3",$R$63:$T$91,3,FALSE)+VLOOKUP("CP",$R$63:$T$91,3,FALSE),0)+IF(AND($O40&lt;&gt;"",$O40&lt;&gt;"--",$O40&lt;&gt;"O3/CP",$O$14=A$18),IF(LEFT($O40,1)="P",VLOOKUP(CONCATENATE(LEFT($O40,2),"H"),$R$63:$T$91,3,FALSE),VLOOKUP($O40,$R$63:$T$91,3,FALSE)))+IF(AND($O40&lt;&gt;"",$O40&lt;&gt;"O3/CP",$O$15=A$18,MID($O40,4,1)="2",$O$15&lt;&gt;$O$14),VLOOKUP(CONCATENATE(LEFT($O40,2),"L"),$R$63:$T$91,3,FALSE),0)+IF(AND($O40="O3/CP",$O$14=A$18),VLOOKUP("O3",$R$63:$T$91,3,FALSE)+VLOOKUP("CP",$R$63:$T$91,3,FALSE),0)+IF(AND($P40&lt;&gt;"",$P40&lt;&gt;"--",$P40&lt;&gt;"O3/CP",$P$14=A$18),IF(LEFT($P40,1)="P",VLOOKUP(CONCATENATE(LEFT($P40,2),"H"),$R$63:$T$91,3,FALSE),VLOOKUP($P40,$R$63:$T$91,3,FALSE)))+IF(AND($P40&lt;&gt;"",$P40&lt;&gt;"O3/CP",$P$15=A$18,MID($P40,4,1)="2",$P$15&lt;&gt;$P$14),VLOOKUP(CONCATENATE(LEFT($P40,2),"L"),$R$63:$T$91,3,FALSE),0)+IF(AND($P40="O3/CP",$P$14=A$18),VLOOKUP("O3",$R$63:$T$91,3,FALSE)+VLOOKUP("CP",$R$63:$T$91,3,FALSE),0)+IF(AND($Q40&lt;&gt;"",$Q40&lt;&gt;"--",$Q40&lt;&gt;"O3/CP",$Q$14=A$18),IF(LEFT($Q40,1)="P",VLOOKUP(CONCATENATE(LEFT($Q40,2),"H"),$R$63:$T$91,3,FALSE),VLOOKUP($Q40,$R$63:$T$91,3,FALSE)))+IF(AND($Q40&lt;&gt;"",$Q40&lt;&gt;"O3/CP",$Q$15=A$18,MID($Q40,4,1)="2",$Q$15&lt;&gt;$Q$14),VLOOKUP(CONCATENATE(LEFT($Q40,2),"L"),$R$63:$T$91,3,FALSE),0)+IF(AND($Q40="O3/CP",$Q$14=A$18),VLOOKUP("O3",$R$63:$T$91,3,FALSE)+VLOOKUP("CP",$R$63:$T$91,3,FALSE),0)+IF(AND($R40&lt;&gt;"",$R40&lt;&gt;"--",$R40&lt;&gt;"O3/CP",$R$14=A$18),IF(LEFT($R40,1)="P",VLOOKUP(CONCATENATE(LEFT($R40,2),"H"),$R$63:$T$91,3,FALSE),VLOOKUP($R40,$R$63:$T$91,3,FALSE)))+IF(AND($R40&lt;&gt;"",$R40&lt;&gt;"O3/CP",$R$15=A$18,MID($R40,4,1)="2",$R$15&lt;&gt;$R$14),VLOOKUP(CONCATENATE(LEFT($R40,2),"L"),$R$63:$T$91,3,FALSE),0)+IF(AND($R40="O3/CP",$R$14=A$18),VLOOKUP("O3",$R$63:$T$91,3,FALSE)+VLOOKUP("CP",$R$63:$T$91,3,FALSE),0)+IF(AND($S40&lt;&gt;"",$S40&lt;&gt;"--",$S40&lt;&gt;"O3/CP",$S$14=A$18),IF(LEFT($S40,1)="P",VLOOKUP(CONCATENATE(LEFT($S40,2),"H"),$R$63:$T$91,3,FALSE),VLOOKUP($S40,$R$63:$T$91,3,FALSE)))+IF(AND($S40&lt;&gt;"",$S40&lt;&gt;"O3/CP",$S$15=A$18,MID($S40,4,1)="2",$S$15&lt;&gt;$S$14),VLOOKUP(CONCATENATE(LEFT($S40,2),"L"),$R$63:$T$91,3,FALSE),0)+IF(AND($S40="O3/CP",$S$14=A$18),VLOOKUP("O3",$R$63:$T$91,3,FALSE)+VLOOKUP("CP",$R$63:$T$91,3,FALSE),0)+IF(AND($T40&lt;&gt;"",$T40&lt;&gt;"--",$T40&lt;&gt;"O3/CP",$T$14=A$18),IF(LEFT($T40,1)="P",VLOOKUP(CONCATENATE(LEFT($T40,2),"H"),$R$63:$T$91,3,FALSE),VLOOKUP($T40,$R$63:$T$91,3,FALSE)))+IF(AND($T40&lt;&gt;"",$T40&lt;&gt;"O3/CP",$T$15=A$18,MID($T40,4,1)="2",$T$15&lt;&gt;$T$14),VLOOKUP(CONCATENATE(LEFT($T40,2),"L"),$R$63:$T$91,3,FALSE),0)+IF(AND($T40="O3/CP",$T$14=A$18),VLOOKUP("O3",$R$63:$T$91,3,FALSE)+VLOOKUP("CP",$R$63:$T$91,3,FALSE),0)+IF(AND($U40&lt;&gt;"",$U40&lt;&gt;"--",$U40&lt;&gt;"O3/CP",$U$14=A$18),IF(LEFT($U40,1)="P",VLOOKUP(CONCATENATE(LEFT($U40,2),"H"),$R$63:$T$91,3,FALSE),VLOOKUP($U40,$R$63:$T$91,3,FALSE)))+IF(AND($U40&lt;&gt;"",$U40&lt;&gt;"O3/CP",$U$15=A$18,MID($U40,4,1)="2",$U$15&lt;&gt;$U$14),VLOOKUP(CONCATENATE(LEFT($U40,2),"L"),$R$63:$T$91,3,FALSE),0)+IF(AND($U40="O3/CP",$T$14=A$18),VLOOKUP("O3",$R$63:$T$91,3,FALSE)+VLOOKUP("CP",$R$63:$T$91,3,FALSE),0)+IF(AND($V40&lt;&gt;"",$V40&lt;&gt;"--",$V40&lt;&gt;"O3/CP",$V$14=A$18),IF(LEFT($V40,1)="P",VLOOKUP(CONCATENATE(LEFT($V40,2),"H"),$R$63:$T$91,3,FALSE),VLOOKUP($V40,$R$63:$T$91,3,FALSE)))+IF(AND($V40&lt;&gt;"",$V40&lt;&gt;"O3/CP",$V$15=A$18,MID($V40,4,1)="2",$V$15&lt;&gt;$V$14),VLOOKUP(CONCATENATE(LEFT($V40,2),"L"),$R$63:$T$91,3,FALSE),0)+IF(AND($V40="O3/CP",$V$14=A$18),VLOOKUP("O3",$R$63:$T$91,3,FALSE)+VLOOKUP("CP",$R$63:$T$91,3,FALSE),0)+IF(AND($W40&lt;&gt;"",$W40&lt;&gt;"--",$W40&lt;&gt;"O3/CP",$W$14=A$18),IF(LEFT($W40,1)="P",VLOOKUP(CONCATENATE(LEFT($W40,2),"H"),$R$63:$T$91,3,FALSE),VLOOKUP($W40,$R$63:$T$91,3,FALSE)))+IF(AND($W40&lt;&gt;"",$W40&lt;&gt;"O3/CP",$W$15=A$18,MID($W40,4,1)="2",$W$15&lt;&gt;$W$14),VLOOKUP(CONCATENATE(LEFT($W40,2),"L"),$R$63:$T$91,3,FALSE),0)+IF(AND($W40="O3/CP",$W$14=A$18),VLOOKUP("O3",$R$63:$T$91,3,FALSE)+VLOOKUP("CP",$R$63:$T$91,3,FALSE),0)+IF(AND($X40&lt;&gt;"",$X40&lt;&gt;"--",$X40&lt;&gt;"O3/CP",$X$14=A$18),IF(LEFT($X40,1)="P",VLOOKUP(CONCATENATE(LEFT($X40,2),"H"),$R$63:$T$91,3,FALSE),VLOOKUP($X40,$R$63:$T$91,3,FALSE)))+IF(AND($X40&lt;&gt;"",$X40&lt;&gt;"O3/CP",$X$15=A$18,MID($X40,4,1)="2",$X$15&lt;&gt;$X$14),VLOOKUP(CONCATENATE(LEFT($X40,2),"L"),$R$63:$T$91,3,FALSE),0)+IF(AND($X40="O3/CP",$X$14=A$18),VLOOKUP("O3",$R$63:$T$91,3,FALSE)+VLOOKUP("CP",$R$63:$T$91,3,FALSE),0)+IF(AND($Y40&lt;&gt;"",$Y40&lt;&gt;"--",$Y40&lt;&gt;"O3/CP",$Y$14=A$18),IF(LEFT($Y40,1)="P",VLOOKUP(CONCATENATE(LEFT($Y40,2),"H"),$R$63:$T$91,3,FALSE),VLOOKUP($Y40,$R$63:$T$91,3,FALSE)))+IF(AND($Y40&lt;&gt;"",$Y40&lt;&gt;"O3/CP",$Y$15=A$18,MID($Y40,4,1)="2",$Y$15&lt;&gt;$Y$14),VLOOKUP(CONCATENATE(LEFT($Y40,2),"L"),$R$63:$T$91,3,FALSE),0)+IF(AND($Y40="O3/CP",$Y$14=A$18),VLOOKUP("O3",$R$63:$T$91,3,FALSE)+VLOOKUP("CP",$R$63:$T$91,3,FALSE),0)+IF(AND($K$6="CE",'[3]Supply Attribution'!$G$20=A$18),LEFT($S$90,2),0)+IF(AND($X$86&lt;&gt;"Not Set",$X$87=A$18),$X$86,0)</f>
        <v>0</v>
      </c>
      <c r="B40" s="269">
        <f>IF(AND($K40&lt;&gt;"",$K40&lt;&gt;"--",$K40&lt;&gt;"O3/CP",$K$14=B$18),IF(LEFT($K40,1)="P",VLOOKUP(CONCATENATE(LEFT($K40,2),"H"),$R$63:$T$91,3,FALSE),VLOOKUP($K40,$R$63:$T$91,3,FALSE)))+IF(AND($K40&lt;&gt;"",$K40&lt;&gt;"O3/CP",$K$15=B$18,MID($K40,4,1)="2",$K$15&lt;&gt;$K$14),VLOOKUP(CONCATENATE(LEFT($K40,2),"L"),$R$63:$T$91,3,FALSE),0)+IF(AND($K40="O3/CP",$K$14=B$18),VLOOKUP("O3",$R$63:$T$91,3,FALSE)+VLOOKUP("CP",$R$63:$T$91,3,FALSE),0)+IF(AND($L40&lt;&gt;"",$L40&lt;&gt;"--",$L40&lt;&gt;"O3/CP",$L$14=B$18),IF(LEFT($L40,1)="P",VLOOKUP(CONCATENATE(LEFT($L40,2),"H"),$R$63:$T$91,3,FALSE),VLOOKUP($L40,$R$63:$T$91,3,FALSE)))+IF(AND($L40&lt;&gt;"",$L40&lt;&gt;"O3/CP",$L$15=B$18,MID($L40,4,1)="2",$L$15&lt;&gt;$L$14),VLOOKUP(CONCATENATE(LEFT($L40,2),"L"),$R$63:$T$91,3,FALSE),0)+IF(AND($L40="O3/CP",$L$14=B$18),VLOOKUP("O3",$R$63:$T$91,3,FALSE)+VLOOKUP("CP",$R$63:$T$91,3,FALSE),0)+IF(AND($M40&lt;&gt;"",$M40&lt;&gt;"--",$M40&lt;&gt;"O3/CP",$M$14=B$18),IF(LEFT($M40,1)="P",VLOOKUP(CONCATENATE(LEFT($M40,2),"H"),$R$63:$T$91,3,FALSE),VLOOKUP($M40,$R$63:$T$91,3,FALSE)))+IF(AND($M40&lt;&gt;"",$M40&lt;&gt;"O3/CP",$M$15=B$18,MID($M40,4,1)="2",$M$15&lt;&gt;$M$14),VLOOKUP(CONCATENATE(LEFT($M40,2),"L"),$R$63:$T$91,3,FALSE),0)+IF(AND($M40="O3/CP",$M$14=B$18),VLOOKUP("O3",$R$63:$T$91,3,FALSE)+VLOOKUP("CP",$R$63:$T$91,3,FALSE),0)+IF(AND($N40&lt;&gt;"",$N40&lt;&gt;"--",$N40&lt;&gt;"O3/CP",$N$14=B$18),IF(LEFT($N40,1)="P",VLOOKUP(CONCATENATE(LEFT($N40,2),"H"),$R$63:$T$91,3,FALSE),VLOOKUP($N40,$R$63:$T$91,3,FALSE)))+IF(AND($N40&lt;&gt;"",$N40&lt;&gt;"O3/CP",$N$15=B$18,MID($N40,4,1)="2",$N$15&lt;&gt;$N$14),VLOOKUP(CONCATENATE(LEFT($N40,2),"L"),$R$63:$T$91,3,FALSE),0)+IF(AND($N40="O3/CP",$N$14=B$18),VLOOKUP("O3",$R$63:$T$91,3,FALSE)+VLOOKUP("CP",$R$63:$T$91,3,FALSE),0)+IF(AND($O40&lt;&gt;"",$O40&lt;&gt;"--",$O40&lt;&gt;"O3/CP",$O$14=B$18),IF(LEFT($O40,1)="P",VLOOKUP(CONCATENATE(LEFT($O40,2),"H"),$R$63:$T$91,3,FALSE),VLOOKUP($O40,$R$63:$T$91,3,FALSE)))+IF(AND($O40&lt;&gt;"",$O40&lt;&gt;"O3/CP",$O$15=B$18,MID($O40,4,1)="2",$O$15&lt;&gt;$O$14),VLOOKUP(CONCATENATE(LEFT($O40,2),"L"),$R$63:$T$91,3,FALSE),0)+IF(AND($O40="O3/CP",$O$14=B$18),VLOOKUP("O3",$R$63:$T$91,3,FALSE)+VLOOKUP("CP",$R$63:$T$91,3,FALSE),0)+IF(AND($P40&lt;&gt;"",$P40&lt;&gt;"--",$P40&lt;&gt;"O3/CP",$P$14=B$18),IF(LEFT($P40,1)="P",VLOOKUP(CONCATENATE(LEFT($P40,2),"H"),$R$63:$T$91,3,FALSE),VLOOKUP($P40,$R$63:$T$91,3,FALSE)))+IF(AND($P40&lt;&gt;"",$P40&lt;&gt;"O3/CP",$P$15=B$18,MID($P40,4,1)="2",$P$15&lt;&gt;$P$14),VLOOKUP(CONCATENATE(LEFT($P40,2),"L"),$R$63:$T$91,3,FALSE),0)+IF(AND($P40="O3/CP",$P$14=B$18),VLOOKUP("O3",$R$63:$T$91,3,FALSE)+VLOOKUP("CP",$R$63:$T$91,3,FALSE),0)+IF(AND($Q40&lt;&gt;"",$Q40&lt;&gt;"--",$Q40&lt;&gt;"O3/CP",$Q$14=B$18),IF(LEFT($Q40,1)="P",VLOOKUP(CONCATENATE(LEFT($Q40,2),"H"),$R$63:$T$91,3,FALSE),VLOOKUP($Q40,$R$63:$T$91,3,FALSE)))+IF(AND($Q40&lt;&gt;"",$Q40&lt;&gt;"O3/CP",$Q$15=B$18,MID($Q40,4,1)="2",$Q$15&lt;&gt;$Q$14),VLOOKUP(CONCATENATE(LEFT($Q40,2),"L"),$R$63:$T$91,3,FALSE),0)+IF(AND($Q40="O3/CP",$Q$14=B$18),VLOOKUP("O3",$R$63:$T$91,3,FALSE)+VLOOKUP("CP",$R$63:$T$91,3,FALSE),0)+IF(AND($R40&lt;&gt;"",$R40&lt;&gt;"--",$R40&lt;&gt;"O3/CP",$R$14=B$18),IF(LEFT($R40,1)="P",VLOOKUP(CONCATENATE(LEFT($R40,2),"H"),$R$63:$T$91,3,FALSE),VLOOKUP($R40,$R$63:$T$91,3,FALSE)))+IF(AND($R40&lt;&gt;"",$R40&lt;&gt;"O3/CP",$R$15=B$18,MID($R40,4,1)="2",$R$15&lt;&gt;$R$14),VLOOKUP(CONCATENATE(LEFT($R40,2),"L"),$R$63:$T$91,3,FALSE),0)+IF(AND($R40="O3/CP",$R$14=B$18),VLOOKUP("O3",$R$63:$T$91,3,FALSE)+VLOOKUP("CP",$R$63:$T$91,3,FALSE),0)+IF(AND($S40&lt;&gt;"",$S40&lt;&gt;"--",$S40&lt;&gt;"O3/CP",$S$14=B$18),IF(LEFT($S40,1)="P",VLOOKUP(CONCATENATE(LEFT($S40,2),"H"),$R$63:$T$91,3,FALSE),VLOOKUP($S40,$R$63:$T$91,3,FALSE)))+IF(AND($S40&lt;&gt;"",$S40&lt;&gt;"O3/CP",$S$15=B$18,MID($S40,4,1)="2",$S$15&lt;&gt;$S$14),VLOOKUP(CONCATENATE(LEFT($S40,2),"L"),$R$63:$T$91,3,FALSE),0)+IF(AND($S40="O3/CP",$S$14=B$18),VLOOKUP("O3",$R$63:$T$91,3,FALSE)+VLOOKUP("CP",$R$63:$T$91,3,FALSE),0)+IF(AND($T40&lt;&gt;"",$T40&lt;&gt;"--",$T40&lt;&gt;"O3/CP",$T$14=B$18),IF(LEFT($T40,1)="P",VLOOKUP(CONCATENATE(LEFT($T40,2),"H"),$R$63:$T$91,3,FALSE),VLOOKUP($T40,$R$63:$T$91,3,FALSE)))+IF(AND($T40&lt;&gt;"",$T40&lt;&gt;"O3/CP",$T$15=B$18,MID($T40,4,1)="2",$T$15&lt;&gt;$T$14),VLOOKUP(CONCATENATE(LEFT($T40,2),"L"),$R$63:$T$91,3,FALSE),0)+IF(AND($T40="O3/CP",$T$14=B$18),VLOOKUP("O3",$R$63:$T$91,3,FALSE)+VLOOKUP("CP",$R$63:$T$91,3,FALSE),0)+IF(AND($U40&lt;&gt;"",$U40&lt;&gt;"--",$U40&lt;&gt;"O3/CP",$U$14=B$18),IF(LEFT($U40,1)="P",VLOOKUP(CONCATENATE(LEFT($U40,2),"H"),$R$63:$T$91,3,FALSE),VLOOKUP($U40,$R$63:$T$91,3,FALSE)))+IF(AND($U40&lt;&gt;"",$U40&lt;&gt;"O3/CP",$U$15=B$18,MID($U40,4,1)="2",$U$15&lt;&gt;$U$14),VLOOKUP(CONCATENATE(LEFT($U40,2),"L"),$R$63:$T$91,3,FALSE),0)+IF(AND($U40="O3/CP",$T$14=B$18),VLOOKUP("O3",$R$63:$T$91,3,FALSE)+VLOOKUP("CP",$R$63:$T$91,3,FALSE),0)+IF(AND($V40&lt;&gt;"",$V40&lt;&gt;"--",$V40&lt;&gt;"O3/CP",$V$14=B$18),IF(LEFT($V40,1)="P",VLOOKUP(CONCATENATE(LEFT($V40,2),"H"),$R$63:$T$91,3,FALSE),VLOOKUP($V40,$R$63:$T$91,3,FALSE)))+IF(AND($V40&lt;&gt;"",$V40&lt;&gt;"O3/CP",$V$15=B$18,MID($V40,4,1)="2",$V$15&lt;&gt;$V$14),VLOOKUP(CONCATENATE(LEFT($V40,2),"L"),$R$63:$T$91,3,FALSE),0)+IF(AND($V40="O3/CP",$V$14=B$18),VLOOKUP("O3",$R$63:$T$91,3,FALSE)+VLOOKUP("CP",$R$63:$T$91,3,FALSE),0)+IF(AND($W40&lt;&gt;"",$W40&lt;&gt;"--",$W40&lt;&gt;"O3/CP",$W$14=B$18),IF(LEFT($W40,1)="P",VLOOKUP(CONCATENATE(LEFT($W40,2),"H"),$R$63:$T$91,3,FALSE),VLOOKUP($W40,$R$63:$T$91,3,FALSE)))+IF(AND($W40&lt;&gt;"",$W40&lt;&gt;"O3/CP",$W$15=B$18,MID($W40,4,1)="2",$W$15&lt;&gt;$W$14),VLOOKUP(CONCATENATE(LEFT($W40,2),"L"),$R$63:$T$91,3,FALSE),0)+IF(AND($W40="O3/CP",$W$14=B$18),VLOOKUP("O3",$R$63:$T$91,3,FALSE)+VLOOKUP("CP",$R$63:$T$91,3,FALSE),0)+IF(AND($X40&lt;&gt;"",$X40&lt;&gt;"--",$X40&lt;&gt;"O3/CP",$X$14=B$18),IF(LEFT($X40,1)="P",VLOOKUP(CONCATENATE(LEFT($X40,2),"H"),$R$63:$T$91,3,FALSE),VLOOKUP($X40,$R$63:$T$91,3,FALSE)))+IF(AND($X40&lt;&gt;"",$X40&lt;&gt;"O3/CP",$X$15=B$18,MID($X40,4,1)="2",$X$15&lt;&gt;$X$14),VLOOKUP(CONCATENATE(LEFT($X40,2),"L"),$R$63:$T$91,3,FALSE),0)+IF(AND($X40="O3/CP",$X$14=B$18),VLOOKUP("O3",$R$63:$T$91,3,FALSE)+VLOOKUP("CP",$R$63:$T$91,3,FALSE),0)+IF(AND($Y40&lt;&gt;"",$Y40&lt;&gt;"--",$Y40&lt;&gt;"O3/CP",$Y$14=B$18),IF(LEFT($Y40,1)="P",VLOOKUP(CONCATENATE(LEFT($Y40,2),"H"),$R$63:$T$91,3,FALSE),VLOOKUP($Y40,$R$63:$T$91,3,FALSE)))+IF(AND($Y40&lt;&gt;"",$Y40&lt;&gt;"O3/CP",$Y$15=B$18,MID($Y40,4,1)="2",$Y$15&lt;&gt;$Y$14),VLOOKUP(CONCATENATE(LEFT($Y40,2),"L"),$R$63:$T$91,3,FALSE),0)+IF(AND($Y40="O3/CP",$Y$14=B$18),VLOOKUP("O3",$R$63:$T$91,3,FALSE)+VLOOKUP("CP",$R$63:$T$91,3,FALSE),0)+IF(AND($K$6="CE",'[3]Supply Attribution'!$G$20=B$18),LEFT($S$90,2),0)+IF(AND($X$86&lt;&gt;"Not Set",$X$87=B$18),$X$86,0)</f>
        <v>0</v>
      </c>
      <c r="C40" s="269">
        <f>IF(AND($K40&lt;&gt;"",$K40&lt;&gt;"--",$K40&lt;&gt;"O3/CP",$K$14=C$18),IF(LEFT($K40,1)="P",VLOOKUP(CONCATENATE(LEFT($K40,2),"H"),$R$63:$T$91,3,FALSE),VLOOKUP($K40,$R$63:$T$91,3,FALSE)))+IF(AND($K40&lt;&gt;"",$K40&lt;&gt;"O3/CP",$K$15=C$18,MID($K40,4,1)="2",$K$15&lt;&gt;$K$14),VLOOKUP(CONCATENATE(LEFT($K40,2),"L"),$R$63:$T$91,3,FALSE),0)+IF(AND($K40="O3/CP",$K$14=C$18),VLOOKUP("O3",$R$63:$T$91,3,FALSE)+VLOOKUP("CP",$R$63:$T$91,3,FALSE),0)+IF(AND($L40&lt;&gt;"",$L40&lt;&gt;"--",$L40&lt;&gt;"O3/CP",$L$14=C$18),IF(LEFT($L40,1)="P",VLOOKUP(CONCATENATE(LEFT($L40,2),"H"),$R$63:$T$91,3,FALSE),VLOOKUP($L40,$R$63:$T$91,3,FALSE)))+IF(AND($L40&lt;&gt;"",$L40&lt;&gt;"O3/CP",$L$15=C$18,MID($L40,4,1)="2",$L$15&lt;&gt;$L$14),VLOOKUP(CONCATENATE(LEFT($L40,2),"L"),$R$63:$T$91,3,FALSE),0)+IF(AND($L40="O3/CP",$L$14=C$18),VLOOKUP("O3",$R$63:$T$91,3,FALSE)+VLOOKUP("CP",$R$63:$T$91,3,FALSE),0)+IF(AND($M40&lt;&gt;"",$M40&lt;&gt;"--",$M40&lt;&gt;"O3/CP",$M$14=C$18),IF(LEFT($M40,1)="P",VLOOKUP(CONCATENATE(LEFT($M40,2),"H"),$R$63:$T$91,3,FALSE),VLOOKUP($M40,$R$63:$T$91,3,FALSE)))+IF(AND($M40&lt;&gt;"",$M40&lt;&gt;"O3/CP",$M$15=C$18,MID($M40,4,1)="2",$M$15&lt;&gt;$M$14),VLOOKUP(CONCATENATE(LEFT($M40,2),"L"),$R$63:$T$91,3,FALSE),0)+IF(AND($M40="O3/CP",$M$14=C$18),VLOOKUP("O3",$R$63:$T$91,3,FALSE)+VLOOKUP("CP",$R$63:$T$91,3,FALSE),0)+IF(AND($N40&lt;&gt;"",$N40&lt;&gt;"--",$N40&lt;&gt;"O3/CP",$N$14=C$18),IF(LEFT($N40,1)="P",VLOOKUP(CONCATENATE(LEFT($N40,2),"H"),$R$63:$T$91,3,FALSE),VLOOKUP($N40,$R$63:$T$91,3,FALSE)))+IF(AND($N40&lt;&gt;"",$N40&lt;&gt;"O3/CP",$N$15=C$18,MID($N40,4,1)="2",$N$15&lt;&gt;$N$14),VLOOKUP(CONCATENATE(LEFT($N40,2),"L"),$R$63:$T$91,3,FALSE),0)+IF(AND($N40="O3/CP",$N$14=C$18),VLOOKUP("O3",$R$63:$T$91,3,FALSE)+VLOOKUP("CP",$R$63:$T$91,3,FALSE),0)+IF(AND($O40&lt;&gt;"",$O40&lt;&gt;"--",$O40&lt;&gt;"O3/CP",$O$14=C$18),IF(LEFT($O40,1)="P",VLOOKUP(CONCATENATE(LEFT($O40,2),"H"),$R$63:$T$91,3,FALSE),VLOOKUP($O40,$R$63:$T$91,3,FALSE)))+IF(AND($O40&lt;&gt;"",$O40&lt;&gt;"O3/CP",$O$15=C$18,MID($O40,4,1)="2",$O$15&lt;&gt;$O$14),VLOOKUP(CONCATENATE(LEFT($O40,2),"L"),$R$63:$T$91,3,FALSE),0)+IF(AND($O40="O3/CP",$O$14=C$18),VLOOKUP("O3",$R$63:$T$91,3,FALSE)+VLOOKUP("CP",$R$63:$T$91,3,FALSE),0)+IF(AND($P40&lt;&gt;"",$P40&lt;&gt;"--",$P40&lt;&gt;"O3/CP",$P$14=C$18),IF(LEFT($P40,1)="P",VLOOKUP(CONCATENATE(LEFT($P40,2),"H"),$R$63:$T$91,3,FALSE),VLOOKUP($P40,$R$63:$T$91,3,FALSE)))+IF(AND($P40&lt;&gt;"",$P40&lt;&gt;"O3/CP",$P$15=C$18,MID($P40,4,1)="2",$P$15&lt;&gt;$P$14),VLOOKUP(CONCATENATE(LEFT($P40,2),"L"),$R$63:$T$91,3,FALSE),0)+IF(AND($P40="O3/CP",$P$14=C$18),VLOOKUP("O3",$R$63:$T$91,3,FALSE)+VLOOKUP("CP",$R$63:$T$91,3,FALSE),0)+IF(AND($Q40&lt;&gt;"",$Q40&lt;&gt;"--",$Q40&lt;&gt;"O3/CP",$Q$14=C$18),IF(LEFT($Q40,1)="P",VLOOKUP(CONCATENATE(LEFT($Q40,2),"H"),$R$63:$T$91,3,FALSE),VLOOKUP($Q40,$R$63:$T$91,3,FALSE)))+IF(AND($Q40&lt;&gt;"",$Q40&lt;&gt;"O3/CP",$Q$15=C$18,MID($Q40,4,1)="2",$Q$15&lt;&gt;$Q$14),VLOOKUP(CONCATENATE(LEFT($Q40,2),"L"),$R$63:$T$91,3,FALSE),0)+IF(AND($Q40="O3/CP",$Q$14=C$18),VLOOKUP("O3",$R$63:$T$91,3,FALSE)+VLOOKUP("CP",$R$63:$T$91,3,FALSE),0)+IF(AND($R40&lt;&gt;"",$R40&lt;&gt;"--",$R40&lt;&gt;"O3/CP",$R$14=C$18),IF(LEFT($R40,1)="P",VLOOKUP(CONCATENATE(LEFT($R40,2),"H"),$R$63:$T$91,3,FALSE),VLOOKUP($R40,$R$63:$T$91,3,FALSE)))+IF(AND($R40&lt;&gt;"",$R40&lt;&gt;"O3/CP",$R$15=C$18,MID($R40,4,1)="2",$R$15&lt;&gt;$R$14),VLOOKUP(CONCATENATE(LEFT($R40,2),"L"),$R$63:$T$91,3,FALSE),0)+IF(AND($R40="O3/CP",$R$14=C$18),VLOOKUP("O3",$R$63:$T$91,3,FALSE)+VLOOKUP("CP",$R$63:$T$91,3,FALSE),0)+IF(AND($S40&lt;&gt;"",$S40&lt;&gt;"--",$S40&lt;&gt;"O3/CP",$S$14=C$18),IF(LEFT($S40,1)="P",VLOOKUP(CONCATENATE(LEFT($S40,2),"H"),$R$63:$T$91,3,FALSE),VLOOKUP($S40,$R$63:$T$91,3,FALSE)))+IF(AND($S40&lt;&gt;"",$S40&lt;&gt;"O3/CP",$S$15=C$18,MID($S40,4,1)="2",$S$15&lt;&gt;$S$14),VLOOKUP(CONCATENATE(LEFT($S40,2),"L"),$R$63:$T$91,3,FALSE),0)+IF(AND($S40="O3/CP",$S$14=C$18),VLOOKUP("O3",$R$63:$T$91,3,FALSE)+VLOOKUP("CP",$R$63:$T$91,3,FALSE),0)+IF(AND($T40&lt;&gt;"",$T40&lt;&gt;"--",$T40&lt;&gt;"O3/CP",$T$14=C$18),IF(LEFT($T40,1)="P",VLOOKUP(CONCATENATE(LEFT($T40,2),"H"),$R$63:$T$91,3,FALSE),VLOOKUP($T40,$R$63:$T$91,3,FALSE)))+IF(AND($T40&lt;&gt;"",$T40&lt;&gt;"O3/CP",$T$15=C$18,MID($T40,4,1)="2",$T$15&lt;&gt;$T$14),VLOOKUP(CONCATENATE(LEFT($T40,2),"L"),$R$63:$T$91,3,FALSE),0)+IF(AND($T40="O3/CP",$T$14=C$18),VLOOKUP("O3",$R$63:$T$91,3,FALSE)+VLOOKUP("CP",$R$63:$T$91,3,FALSE),0)+IF(AND($U40&lt;&gt;"",$U40&lt;&gt;"--",$U40&lt;&gt;"O3/CP",$U$14=C$18),IF(LEFT($U40,1)="P",VLOOKUP(CONCATENATE(LEFT($U40,2),"H"),$R$63:$T$91,3,FALSE),VLOOKUP($U40,$R$63:$T$91,3,FALSE)))+IF(AND($U40&lt;&gt;"",$U40&lt;&gt;"O3/CP",$U$15=C$18,MID($U40,4,1)="2",$U$15&lt;&gt;$U$14),VLOOKUP(CONCATENATE(LEFT($U40,2),"L"),$R$63:$T$91,3,FALSE),0)+IF(AND($U40="O3/CP",$T$14=C$18),VLOOKUP("O3",$R$63:$T$91,3,FALSE)+VLOOKUP("CP",$R$63:$T$91,3,FALSE),0)+IF(AND($V40&lt;&gt;"",$V40&lt;&gt;"--",$V40&lt;&gt;"O3/CP",$V$14=C$18),IF(LEFT($V40,1)="P",VLOOKUP(CONCATENATE(LEFT($V40,2),"H"),$R$63:$T$91,3,FALSE),VLOOKUP($V40,$R$63:$T$91,3,FALSE)))+IF(AND($V40&lt;&gt;"",$V40&lt;&gt;"O3/CP",$V$15=C$18,MID($V40,4,1)="2",$V$15&lt;&gt;$V$14),VLOOKUP(CONCATENATE(LEFT($V40,2),"L"),$R$63:$T$91,3,FALSE),0)+IF(AND($V40="O3/CP",$V$14=C$18),VLOOKUP("O3",$R$63:$T$91,3,FALSE)+VLOOKUP("CP",$R$63:$T$91,3,FALSE),0)+IF(AND($W40&lt;&gt;"",$W40&lt;&gt;"--",$W40&lt;&gt;"O3/CP",$W$14=C$18),IF(LEFT($W40,1)="P",VLOOKUP(CONCATENATE(LEFT($W40,2),"H"),$R$63:$T$91,3,FALSE),VLOOKUP($W40,$R$63:$T$91,3,FALSE)))+IF(AND($W40&lt;&gt;"",$W40&lt;&gt;"O3/CP",$W$15=C$18,MID($W40,4,1)="2",$W$15&lt;&gt;$W$14),VLOOKUP(CONCATENATE(LEFT($W40,2),"L"),$R$63:$T$91,3,FALSE),0)+IF(AND($W40="O3/CP",$W$14=C$18),VLOOKUP("O3",$R$63:$T$91,3,FALSE)+VLOOKUP("CP",$R$63:$T$91,3,FALSE),0)+IF(AND($X40&lt;&gt;"",$X40&lt;&gt;"--",$X40&lt;&gt;"O3/CP",$X$14=C$18),IF(LEFT($X40,1)="P",VLOOKUP(CONCATENATE(LEFT($X40,2),"H"),$R$63:$T$91,3,FALSE),VLOOKUP($X40,$R$63:$T$91,3,FALSE)))+IF(AND($X40&lt;&gt;"",$X40&lt;&gt;"O3/CP",$X$15=C$18,MID($X40,4,1)="2",$X$15&lt;&gt;$X$14),VLOOKUP(CONCATENATE(LEFT($X40,2),"L"),$R$63:$T$91,3,FALSE),0)+IF(AND($X40="O3/CP",$X$14=C$18),VLOOKUP("O3",$R$63:$T$91,3,FALSE)+VLOOKUP("CP",$R$63:$T$91,3,FALSE),0)+IF(AND($Y40&lt;&gt;"",$Y40&lt;&gt;"--",$Y40&lt;&gt;"O3/CP",$Y$14=C$18),IF(LEFT($Y40,1)="P",VLOOKUP(CONCATENATE(LEFT($Y40,2),"H"),$R$63:$T$91,3,FALSE),VLOOKUP($Y40,$R$63:$T$91,3,FALSE)))+IF(AND($Y40&lt;&gt;"",$Y40&lt;&gt;"O3/CP",$Y$15=C$18,MID($Y40,4,1)="2",$Y$15&lt;&gt;$Y$14),VLOOKUP(CONCATENATE(LEFT($Y40,2),"L"),$R$63:$T$91,3,FALSE),0)+IF(AND($Y40="O3/CP",$Y$14=C$18),VLOOKUP("O3",$R$63:$T$91,3,FALSE)+VLOOKUP("CP",$R$63:$T$91,3,FALSE),0)+IF(AND($K$6="CE",'[3]Supply Attribution'!$G$20=C$18),LEFT($S$90,2),0)+IF(AND($X$86&lt;&gt;"Not Set",$X$87=C$18),$X$86,0)</f>
        <v>0</v>
      </c>
      <c r="D40" s="269">
        <f>IF(AND($K40&lt;&gt;"",$K40&lt;&gt;"--",$K40&lt;&gt;"O3/CP",$K$14=D$18),IF(LEFT($K40,1)="P",VLOOKUP(CONCATENATE(LEFT($K40,2),"H"),$R$63:$T$91,3,FALSE),VLOOKUP($K40,$R$63:$T$91,3,FALSE)))+IF(AND($K40&lt;&gt;"",$K40&lt;&gt;"O3/CP",$K$15=D$18,MID($K40,4,1)="2",$K$15&lt;&gt;$K$14),VLOOKUP(CONCATENATE(LEFT($K40,2),"L"),$R$63:$T$91,3,FALSE),0)+IF(AND($K40="O3/CP",$K$14=D$18),VLOOKUP("O3",$R$63:$T$91,3,FALSE)+VLOOKUP("CP",$R$63:$T$91,3,FALSE),0)+IF(AND($L40&lt;&gt;"",$L40&lt;&gt;"--",$L40&lt;&gt;"O3/CP",$L$14=D$18),IF(LEFT($L40,1)="P",VLOOKUP(CONCATENATE(LEFT($L40,2),"H"),$R$63:$T$91,3,FALSE),VLOOKUP($L40,$R$63:$T$91,3,FALSE)))+IF(AND($L40&lt;&gt;"",$L40&lt;&gt;"O3/CP",$L$15=D$18,MID($L40,4,1)="2",$L$15&lt;&gt;$L$14),VLOOKUP(CONCATENATE(LEFT($L40,2),"L"),$R$63:$T$91,3,FALSE),0)+IF(AND($L40="O3/CP",$L$14=D$18),VLOOKUP("O3",$R$63:$T$91,3,FALSE)+VLOOKUP("CP",$R$63:$T$91,3,FALSE),0)+IF(AND($M40&lt;&gt;"",$M40&lt;&gt;"--",$M40&lt;&gt;"O3/CP",$M$14=D$18),IF(LEFT($M40,1)="P",VLOOKUP(CONCATENATE(LEFT($M40,2),"H"),$R$63:$T$91,3,FALSE),VLOOKUP($M40,$R$63:$T$91,3,FALSE)))+IF(AND($M40&lt;&gt;"",$M40&lt;&gt;"O3/CP",$M$15=D$18,MID($M40,4,1)="2",$M$15&lt;&gt;$M$14),VLOOKUP(CONCATENATE(LEFT($M40,2),"L"),$R$63:$T$91,3,FALSE),0)+IF(AND($M40="O3/CP",$M$14=D$18),VLOOKUP("O3",$R$63:$T$91,3,FALSE)+VLOOKUP("CP",$R$63:$T$91,3,FALSE),0)+IF(AND($N40&lt;&gt;"",$N40&lt;&gt;"--",$N40&lt;&gt;"O3/CP",$N$14=D$18),IF(LEFT($N40,1)="P",VLOOKUP(CONCATENATE(LEFT($N40,2),"H"),$R$63:$T$91,3,FALSE),VLOOKUP($N40,$R$63:$T$91,3,FALSE)))+IF(AND($N40&lt;&gt;"",$N40&lt;&gt;"O3/CP",$N$15=D$18,MID($N40,4,1)="2",$N$15&lt;&gt;$N$14),VLOOKUP(CONCATENATE(LEFT($N40,2),"L"),$R$63:$T$91,3,FALSE),0)+IF(AND($N40="O3/CP",$N$14=D$18),VLOOKUP("O3",$R$63:$T$91,3,FALSE)+VLOOKUP("CP",$R$63:$T$91,3,FALSE),0)+IF(AND($O40&lt;&gt;"",$O40&lt;&gt;"--",$O40&lt;&gt;"O3/CP",$O$14=D$18),IF(LEFT($O40,1)="P",VLOOKUP(CONCATENATE(LEFT($O40,2),"H"),$R$63:$T$91,3,FALSE),VLOOKUP($O40,$R$63:$T$91,3,FALSE)))+IF(AND($O40&lt;&gt;"",$O40&lt;&gt;"O3/CP",$O$15=D$18,MID($O40,4,1)="2",$O$15&lt;&gt;$O$14),VLOOKUP(CONCATENATE(LEFT($O40,2),"L"),$R$63:$T$91,3,FALSE),0)+IF(AND($O40="O3/CP",$O$14=D$18),VLOOKUP("O3",$R$63:$T$91,3,FALSE)+VLOOKUP("CP",$R$63:$T$91,3,FALSE),0)+IF(AND($P40&lt;&gt;"",$P40&lt;&gt;"--",$P40&lt;&gt;"O3/CP",$P$14=D$18),IF(LEFT($P40,1)="P",VLOOKUP(CONCATENATE(LEFT($P40,2),"H"),$R$63:$T$91,3,FALSE),VLOOKUP($P40,$R$63:$T$91,3,FALSE)))+IF(AND($P40&lt;&gt;"",$P40&lt;&gt;"O3/CP",$P$15=D$18,MID($P40,4,1)="2",$P$15&lt;&gt;$P$14),VLOOKUP(CONCATENATE(LEFT($P40,2),"L"),$R$63:$T$91,3,FALSE),0)+IF(AND($P40="O3/CP",$P$14=D$18),VLOOKUP("O3",$R$63:$T$91,3,FALSE)+VLOOKUP("CP",$R$63:$T$91,3,FALSE),0)+IF(AND($Q40&lt;&gt;"",$Q40&lt;&gt;"--",$Q40&lt;&gt;"O3/CP",$Q$14=D$18),IF(LEFT($Q40,1)="P",VLOOKUP(CONCATENATE(LEFT($Q40,2),"H"),$R$63:$T$91,3,FALSE),VLOOKUP($Q40,$R$63:$T$91,3,FALSE)))+IF(AND($Q40&lt;&gt;"",$Q40&lt;&gt;"O3/CP",$Q$15=D$18,MID($Q40,4,1)="2",$Q$15&lt;&gt;$Q$14),VLOOKUP(CONCATENATE(LEFT($Q40,2),"L"),$R$63:$T$91,3,FALSE),0)+IF(AND($Q40="O3/CP",$Q$14=D$18),VLOOKUP("O3",$R$63:$T$91,3,FALSE)+VLOOKUP("CP",$R$63:$T$91,3,FALSE),0)+IF(AND($R40&lt;&gt;"",$R40&lt;&gt;"--",$R40&lt;&gt;"O3/CP",$R$14=D$18),IF(LEFT($R40,1)="P",VLOOKUP(CONCATENATE(LEFT($R40,2),"H"),$R$63:$T$91,3,FALSE),VLOOKUP($R40,$R$63:$T$91,3,FALSE)))+IF(AND($R40&lt;&gt;"",$R40&lt;&gt;"O3/CP",$R$15=D$18,MID($R40,4,1)="2",$R$15&lt;&gt;$R$14),VLOOKUP(CONCATENATE(LEFT($R40,2),"L"),$R$63:$T$91,3,FALSE),0)+IF(AND($R40="O3/CP",$R$14=D$18),VLOOKUP("O3",$R$63:$T$91,3,FALSE)+VLOOKUP("CP",$R$63:$T$91,3,FALSE),0)+IF(AND($S40&lt;&gt;"",$S40&lt;&gt;"--",$S40&lt;&gt;"O3/CP",$S$14=D$18),IF(LEFT($S40,1)="P",VLOOKUP(CONCATENATE(LEFT($S40,2),"H"),$R$63:$T$91,3,FALSE),VLOOKUP($S40,$R$63:$T$91,3,FALSE)))+IF(AND($S40&lt;&gt;"",$S40&lt;&gt;"O3/CP",$S$15=D$18,MID($S40,4,1)="2",$S$15&lt;&gt;$S$14),VLOOKUP(CONCATENATE(LEFT($S40,2),"L"),$R$63:$T$91,3,FALSE),0)+IF(AND($S40="O3/CP",$S$14=D$18),VLOOKUP("O3",$R$63:$T$91,3,FALSE)+VLOOKUP("CP",$R$63:$T$91,3,FALSE),0)+IF(AND($T40&lt;&gt;"",$T40&lt;&gt;"--",$T40&lt;&gt;"O3/CP",$T$14=D$18),IF(LEFT($T40,1)="P",VLOOKUP(CONCATENATE(LEFT($T40,2),"H"),$R$63:$T$91,3,FALSE),VLOOKUP($T40,$R$63:$T$91,3,FALSE)))+IF(AND($T40&lt;&gt;"",$T40&lt;&gt;"O3/CP",$T$15=D$18,MID($T40,4,1)="2",$T$15&lt;&gt;$T$14),VLOOKUP(CONCATENATE(LEFT($T40,2),"L"),$R$63:$T$91,3,FALSE),0)+IF(AND($T40="O3/CP",$T$14=D$18),VLOOKUP("O3",$R$63:$T$91,3,FALSE)+VLOOKUP("CP",$R$63:$T$91,3,FALSE),0)+IF(AND($U40&lt;&gt;"",$U40&lt;&gt;"--",$U40&lt;&gt;"O3/CP",$U$14=D$18),IF(LEFT($U40,1)="P",VLOOKUP(CONCATENATE(LEFT($U40,2),"H"),$R$63:$T$91,3,FALSE),VLOOKUP($U40,$R$63:$T$91,3,FALSE)))+IF(AND($U40&lt;&gt;"",$U40&lt;&gt;"O3/CP",$U$15=D$18,MID($U40,4,1)="2",$U$15&lt;&gt;$U$14),VLOOKUP(CONCATENATE(LEFT($U40,2),"L"),$R$63:$T$91,3,FALSE),0)+IF(AND($U40="O3/CP",$T$14=D$18),VLOOKUP("O3",$R$63:$T$91,3,FALSE)+VLOOKUP("CP",$R$63:$T$91,3,FALSE),0)+IF(AND($V40&lt;&gt;"",$V40&lt;&gt;"--",$V40&lt;&gt;"O3/CP",$V$14=D$18),IF(LEFT($V40,1)="P",VLOOKUP(CONCATENATE(LEFT($V40,2),"H"),$R$63:$T$91,3,FALSE),VLOOKUP($V40,$R$63:$T$91,3,FALSE)))+IF(AND($V40&lt;&gt;"",$V40&lt;&gt;"O3/CP",$V$15=D$18,MID($V40,4,1)="2",$V$15&lt;&gt;$V$14),VLOOKUP(CONCATENATE(LEFT($V40,2),"L"),$R$63:$T$91,3,FALSE),0)+IF(AND($V40="O3/CP",$V$14=D$18),VLOOKUP("O3",$R$63:$T$91,3,FALSE)+VLOOKUP("CP",$R$63:$T$91,3,FALSE),0)+IF(AND($W40&lt;&gt;"",$W40&lt;&gt;"--",$W40&lt;&gt;"O3/CP",$W$14=D$18),IF(LEFT($W40,1)="P",VLOOKUP(CONCATENATE(LEFT($W40,2),"H"),$R$63:$T$91,3,FALSE),VLOOKUP($W40,$R$63:$T$91,3,FALSE)))+IF(AND($W40&lt;&gt;"",$W40&lt;&gt;"O3/CP",$W$15=D$18,MID($W40,4,1)="2",$W$15&lt;&gt;$W$14),VLOOKUP(CONCATENATE(LEFT($W40,2),"L"),$R$63:$T$91,3,FALSE),0)+IF(AND($W40="O3/CP",$W$14=D$18),VLOOKUP("O3",$R$63:$T$91,3,FALSE)+VLOOKUP("CP",$R$63:$T$91,3,FALSE),0)+IF(AND($X40&lt;&gt;"",$X40&lt;&gt;"--",$X40&lt;&gt;"O3/CP",$X$14=D$18),IF(LEFT($X40,1)="P",VLOOKUP(CONCATENATE(LEFT($X40,2),"H"),$R$63:$T$91,3,FALSE),VLOOKUP($X40,$R$63:$T$91,3,FALSE)))+IF(AND($X40&lt;&gt;"",$X40&lt;&gt;"O3/CP",$X$15=D$18,MID($X40,4,1)="2",$X$15&lt;&gt;$X$14),VLOOKUP(CONCATENATE(LEFT($X40,2),"L"),$R$63:$T$91,3,FALSE),0)+IF(AND($X40="O3/CP",$X$14=D$18),VLOOKUP("O3",$R$63:$T$91,3,FALSE)+VLOOKUP("CP",$R$63:$T$91,3,FALSE),0)+IF(AND($Y40&lt;&gt;"",$Y40&lt;&gt;"--",$Y40&lt;&gt;"O3/CP",$Y$14=D$18),IF(LEFT($Y40,1)="P",VLOOKUP(CONCATENATE(LEFT($Y40,2),"H"),$R$63:$T$91,3,FALSE),VLOOKUP($Y40,$R$63:$T$91,3,FALSE)))+IF(AND($Y40&lt;&gt;"",$Y40&lt;&gt;"O3/CP",$Y$15=D$18,MID($Y40,4,1)="2",$Y$15&lt;&gt;$Y$14),VLOOKUP(CONCATENATE(LEFT($Y40,2),"L"),$R$63:$T$91,3,FALSE),0)+IF(AND($Y40="O3/CP",$Y$14=D$18),VLOOKUP("O3",$R$63:$T$91,3,FALSE)+VLOOKUP("CP",$R$63:$T$91,3,FALSE),0)+IF(AND($K$6="CE",'[3]Supply Attribution'!$G$20=D$18),LEFT($S$90,2),0)+IF(AND($X$86&lt;&gt;"Not Set",$X$87=D$18),$X$86,0)</f>
        <v>0</v>
      </c>
      <c r="E40" s="269">
        <f>IF(AND($K40&lt;&gt;"",$K40&lt;&gt;"--",$K40&lt;&gt;"O3/CP",$K$14=E$18),IF(LEFT($K40,1)="P",VLOOKUP(CONCATENATE(LEFT($K40,2),"H"),$R$63:$T$91,3,FALSE),VLOOKUP($K40,$R$63:$T$91,3,FALSE)))+IF(AND($K40&lt;&gt;"",$K40&lt;&gt;"O3/CP",$K$15=E$18,MID($K40,4,1)="2",$K$15&lt;&gt;$K$14),VLOOKUP(CONCATENATE(LEFT($K40,2),"L"),$R$63:$T$91,3,FALSE),0)+IF(AND($K40="O3/CP",$K$14=E$18),VLOOKUP("O3",$R$63:$T$91,3,FALSE)+VLOOKUP("CP",$R$63:$T$91,3,FALSE),0)+IF(AND($L40&lt;&gt;"",$L40&lt;&gt;"--",$L40&lt;&gt;"O3/CP",$L$14=E$18),IF(LEFT($L40,1)="P",VLOOKUP(CONCATENATE(LEFT($L40,2),"H"),$R$63:$T$91,3,FALSE),VLOOKUP($L40,$R$63:$T$91,3,FALSE)))+IF(AND($L40&lt;&gt;"",$L40&lt;&gt;"O3/CP",$L$15=E$18,MID($L40,4,1)="2",$L$15&lt;&gt;$L$14),VLOOKUP(CONCATENATE(LEFT($L40,2),"L"),$R$63:$T$91,3,FALSE),0)+IF(AND($L40="O3/CP",$L$14=E$18),VLOOKUP("O3",$R$63:$T$91,3,FALSE)+VLOOKUP("CP",$R$63:$T$91,3,FALSE),0)+IF(AND($M40&lt;&gt;"",$M40&lt;&gt;"--",$M40&lt;&gt;"O3/CP",$M$14=E$18),IF(LEFT($M40,1)="P",VLOOKUP(CONCATENATE(LEFT($M40,2),"H"),$R$63:$T$91,3,FALSE),VLOOKUP($M40,$R$63:$T$91,3,FALSE)))+IF(AND($M40&lt;&gt;"",$M40&lt;&gt;"O3/CP",$M$15=E$18,MID($M40,4,1)="2",$M$15&lt;&gt;$M$14),VLOOKUP(CONCATENATE(LEFT($M40,2),"L"),$R$63:$T$91,3,FALSE),0)+IF(AND($M40="O3/CP",$M$14=E$18),VLOOKUP("O3",$R$63:$T$91,3,FALSE)+VLOOKUP("CP",$R$63:$T$91,3,FALSE),0)+IF(AND($N40&lt;&gt;"",$N40&lt;&gt;"--",$N40&lt;&gt;"O3/CP",$N$14=E$18),IF(LEFT($N40,1)="P",VLOOKUP(CONCATENATE(LEFT($N40,2),"H"),$R$63:$T$91,3,FALSE),VLOOKUP($N40,$R$63:$T$91,3,FALSE)))+IF(AND($N40&lt;&gt;"",$N40&lt;&gt;"O3/CP",$N$15=E$18,MID($N40,4,1)="2",$N$15&lt;&gt;$N$14),VLOOKUP(CONCATENATE(LEFT($N40,2),"L"),$R$63:$T$91,3,FALSE),0)+IF(AND($N40="O3/CP",$N$14=E$18),VLOOKUP("O3",$R$63:$T$91,3,FALSE)+VLOOKUP("CP",$R$63:$T$91,3,FALSE),0)+IF(AND($O40&lt;&gt;"",$O40&lt;&gt;"--",$O40&lt;&gt;"O3/CP",$O$14=E$18),IF(LEFT($O40,1)="P",VLOOKUP(CONCATENATE(LEFT($O40,2),"H"),$R$63:$T$91,3,FALSE),VLOOKUP($O40,$R$63:$T$91,3,FALSE)))+IF(AND($O40&lt;&gt;"",$O40&lt;&gt;"O3/CP",$O$15=E$18,MID($O40,4,1)="2",$O$15&lt;&gt;$O$14),VLOOKUP(CONCATENATE(LEFT($O40,2),"L"),$R$63:$T$91,3,FALSE),0)+IF(AND($O40="O3/CP",$O$14=E$18),VLOOKUP("O3",$R$63:$T$91,3,FALSE)+VLOOKUP("CP",$R$63:$T$91,3,FALSE),0)+IF(AND($P40&lt;&gt;"",$P40&lt;&gt;"--",$P40&lt;&gt;"O3/CP",$P$14=E$18),IF(LEFT($P40,1)="P",VLOOKUP(CONCATENATE(LEFT($P40,2),"H"),$R$63:$T$91,3,FALSE),VLOOKUP($P40,$R$63:$T$91,3,FALSE)))+IF(AND($P40&lt;&gt;"",$P40&lt;&gt;"O3/CP",$P$15=E$18,MID($P40,4,1)="2",$P$15&lt;&gt;$P$14),VLOOKUP(CONCATENATE(LEFT($P40,2),"L"),$R$63:$T$91,3,FALSE),0)+IF(AND($P40="O3/CP",$P$14=E$18),VLOOKUP("O3",$R$63:$T$91,3,FALSE)+VLOOKUP("CP",$R$63:$T$91,3,FALSE),0)+IF(AND($Q40&lt;&gt;"",$Q40&lt;&gt;"--",$Q40&lt;&gt;"O3/CP",$Q$14=E$18),IF(LEFT($Q40,1)="P",VLOOKUP(CONCATENATE(LEFT($Q40,2),"H"),$R$63:$T$91,3,FALSE),VLOOKUP($Q40,$R$63:$T$91,3,FALSE)))+IF(AND($Q40&lt;&gt;"",$Q40&lt;&gt;"O3/CP",$Q$15=E$18,MID($Q40,4,1)="2",$Q$15&lt;&gt;$Q$14),VLOOKUP(CONCATENATE(LEFT($Q40,2),"L"),$R$63:$T$91,3,FALSE),0)+IF(AND($Q40="O3/CP",$Q$14=E$18),VLOOKUP("O3",$R$63:$T$91,3,FALSE)+VLOOKUP("CP",$R$63:$T$91,3,FALSE),0)+IF(AND($R40&lt;&gt;"",$R40&lt;&gt;"--",$R40&lt;&gt;"O3/CP",$R$14=E$18),IF(LEFT($R40,1)="P",VLOOKUP(CONCATENATE(LEFT($R40,2),"H"),$R$63:$T$91,3,FALSE),VLOOKUP($R40,$R$63:$T$91,3,FALSE)))+IF(AND($R40&lt;&gt;"",$R40&lt;&gt;"O3/CP",$R$15=E$18,MID($R40,4,1)="2",$R$15&lt;&gt;$R$14),VLOOKUP(CONCATENATE(LEFT($R40,2),"L"),$R$63:$T$91,3,FALSE),0)+IF(AND($R40="O3/CP",$R$14=E$18),VLOOKUP("O3",$R$63:$T$91,3,FALSE)+VLOOKUP("CP",$R$63:$T$91,3,FALSE),0)+IF(AND($S40&lt;&gt;"",$S40&lt;&gt;"--",$S40&lt;&gt;"O3/CP",$S$14=E$18),IF(LEFT($S40,1)="P",VLOOKUP(CONCATENATE(LEFT($S40,2),"H"),$R$63:$T$91,3,FALSE),VLOOKUP($S40,$R$63:$T$91,3,FALSE)))+IF(AND($S40&lt;&gt;"",$S40&lt;&gt;"O3/CP",$S$15=E$18,MID($S40,4,1)="2",$S$15&lt;&gt;$S$14),VLOOKUP(CONCATENATE(LEFT($S40,2),"L"),$R$63:$T$91,3,FALSE),0)+IF(AND($S40="O3/CP",$S$14=E$18),VLOOKUP("O3",$R$63:$T$91,3,FALSE)+VLOOKUP("CP",$R$63:$T$91,3,FALSE),0)+IF(AND($T40&lt;&gt;"",$T40&lt;&gt;"--",$T40&lt;&gt;"O3/CP",$T$14=E$18),IF(LEFT($T40,1)="P",VLOOKUP(CONCATENATE(LEFT($T40,2),"H"),$R$63:$T$91,3,FALSE),VLOOKUP($T40,$R$63:$T$91,3,FALSE)))+IF(AND($T40&lt;&gt;"",$T40&lt;&gt;"O3/CP",$T$15=E$18,MID($T40,4,1)="2",$T$15&lt;&gt;$T$14),VLOOKUP(CONCATENATE(LEFT($T40,2),"L"),$R$63:$T$91,3,FALSE),0)+IF(AND($T40="O3/CP",$T$14=E$18),VLOOKUP("O3",$R$63:$T$91,3,FALSE)+VLOOKUP("CP",$R$63:$T$91,3,FALSE),0)+IF(AND($U40&lt;&gt;"",$U40&lt;&gt;"--",$U40&lt;&gt;"O3/CP",$U$14=E$18),IF(LEFT($U40,1)="P",VLOOKUP(CONCATENATE(LEFT($U40,2),"H"),$R$63:$T$91,3,FALSE),VLOOKUP($U40,$R$63:$T$91,3,FALSE)))+IF(AND($U40&lt;&gt;"",$U40&lt;&gt;"O3/CP",$U$15=E$18,MID($U40,4,1)="2",$U$15&lt;&gt;$U$14),VLOOKUP(CONCATENATE(LEFT($U40,2),"L"),$R$63:$T$91,3,FALSE),0)+IF(AND($U40="O3/CP",$T$14=E$18),VLOOKUP("O3",$R$63:$T$91,3,FALSE)+VLOOKUP("CP",$R$63:$T$91,3,FALSE),0)+IF(AND($V40&lt;&gt;"",$V40&lt;&gt;"--",$V40&lt;&gt;"O3/CP",$V$14=E$18),IF(LEFT($V40,1)="P",VLOOKUP(CONCATENATE(LEFT($V40,2),"H"),$R$63:$T$91,3,FALSE),VLOOKUP($V40,$R$63:$T$91,3,FALSE)))+IF(AND($V40&lt;&gt;"",$V40&lt;&gt;"O3/CP",$V$15=E$18,MID($V40,4,1)="2",$V$15&lt;&gt;$V$14),VLOOKUP(CONCATENATE(LEFT($V40,2),"L"),$R$63:$T$91,3,FALSE),0)+IF(AND($V40="O3/CP",$V$14=E$18),VLOOKUP("O3",$R$63:$T$91,3,FALSE)+VLOOKUP("CP",$R$63:$T$91,3,FALSE),0)+IF(AND($W40&lt;&gt;"",$W40&lt;&gt;"--",$W40&lt;&gt;"O3/CP",$W$14=E$18),IF(LEFT($W40,1)="P",VLOOKUP(CONCATENATE(LEFT($W40,2),"H"),$R$63:$T$91,3,FALSE),VLOOKUP($W40,$R$63:$T$91,3,FALSE)))+IF(AND($W40&lt;&gt;"",$W40&lt;&gt;"O3/CP",$W$15=E$18,MID($W40,4,1)="2",$W$15&lt;&gt;$W$14),VLOOKUP(CONCATENATE(LEFT($W40,2),"L"),$R$63:$T$91,3,FALSE),0)+IF(AND($W40="O3/CP",$W$14=E$18),VLOOKUP("O3",$R$63:$T$91,3,FALSE)+VLOOKUP("CP",$R$63:$T$91,3,FALSE),0)+IF(AND($X40&lt;&gt;"",$X40&lt;&gt;"--",$X40&lt;&gt;"O3/CP",$X$14=E$18),IF(LEFT($X40,1)="P",VLOOKUP(CONCATENATE(LEFT($X40,2),"H"),$R$63:$T$91,3,FALSE),VLOOKUP($X40,$R$63:$T$91,3,FALSE)))+IF(AND($X40&lt;&gt;"",$X40&lt;&gt;"O3/CP",$X$15=E$18,MID($X40,4,1)="2",$X$15&lt;&gt;$X$14),VLOOKUP(CONCATENATE(LEFT($X40,2),"L"),$R$63:$T$91,3,FALSE),0)+IF(AND($X40="O3/CP",$X$14=E$18),VLOOKUP("O3",$R$63:$T$91,3,FALSE)+VLOOKUP("CP",$R$63:$T$91,3,FALSE),0)+IF(AND($Y40&lt;&gt;"",$Y40&lt;&gt;"--",$Y40&lt;&gt;"O3/CP",$Y$14=E$18),IF(LEFT($Y40,1)="P",VLOOKUP(CONCATENATE(LEFT($Y40,2),"H"),$R$63:$T$91,3,FALSE),VLOOKUP($Y40,$R$63:$T$91,3,FALSE)))+IF(AND($Y40&lt;&gt;"",$Y40&lt;&gt;"O3/CP",$Y$15=E$18,MID($Y40,4,1)="2",$Y$15&lt;&gt;$Y$14),VLOOKUP(CONCATENATE(LEFT($Y40,2),"L"),$R$63:$T$91,3,FALSE),0)+IF(AND($Y40="O3/CP",$Y$14=E$18),VLOOKUP("O3",$R$63:$T$91,3,FALSE)+VLOOKUP("CP",$R$63:$T$91,3,FALSE),0)+IF(AND($K$6="CE",'[3]Supply Attribution'!$G$20=E$18),LEFT($S$90,2),0)+IF(AND($X$86&lt;&gt;"Not Set",$X$87=E$18),$X$86,0)</f>
        <v>0</v>
      </c>
      <c r="F40" s="268">
        <f>IF(AND($K40&lt;&gt;"",$K40&lt;&gt;"--",$K40&lt;&gt;"O3/CP",$K$14=F$18),IF(LEFT($K40,1)="P",VLOOKUP(CONCATENATE(LEFT($K40,2),"H"),$R$63:$T$91,3,FALSE),VLOOKUP($K40,$R$63:$T$91,3,FALSE)))+IF(AND($K40&lt;&gt;"",$K40&lt;&gt;"O3/CP",$K$15=F$18,MID($K40,4,1)="2",$K$15&lt;&gt;$K$14),VLOOKUP(CONCATENATE(LEFT($K40,2),"L"),$R$63:$T$91,3,FALSE),0)+IF(AND($K40="O3/CP",$K$14=F$18),VLOOKUP("O3",$R$63:$T$91,3,FALSE)+VLOOKUP("CP",$R$63:$T$91,3,FALSE),0)+IF(AND($L40&lt;&gt;"",$L40&lt;&gt;"--",$L40&lt;&gt;"O3/CP",$L$14=F$18),IF(LEFT($L40,1)="P",VLOOKUP(CONCATENATE(LEFT($L40,2),"H"),$R$63:$T$91,3,FALSE),VLOOKUP($L40,$R$63:$T$91,3,FALSE)))+IF(AND($L40&lt;&gt;"",$L40&lt;&gt;"O3/CP",$L$15=F$18,MID($L40,4,1)="2",$L$15&lt;&gt;$L$14),VLOOKUP(CONCATENATE(LEFT($L40,2),"L"),$R$63:$T$91,3,FALSE),0)+IF(AND($L40="O3/CP",$L$14=F$18),VLOOKUP("O3",$R$63:$T$91,3,FALSE)+VLOOKUP("CP",$R$63:$T$91,3,FALSE),0)+IF(AND($M40&lt;&gt;"",$M40&lt;&gt;"--",$M40&lt;&gt;"O3/CP",$M$14=F$18),IF(LEFT($M40,1)="P",VLOOKUP(CONCATENATE(LEFT($M40,2),"H"),$R$63:$T$91,3,FALSE),VLOOKUP($M40,$R$63:$T$91,3,FALSE)))+IF(AND($M40&lt;&gt;"",$M40&lt;&gt;"O3/CP",$M$15=F$18,MID($M40,4,1)="2",$M$15&lt;&gt;$M$14),VLOOKUP(CONCATENATE(LEFT($M40,2),"L"),$R$63:$T$91,3,FALSE),0)+IF(AND($M40="O3/CP",$M$14=F$18),VLOOKUP("O3",$R$63:$T$91,3,FALSE)+VLOOKUP("CP",$R$63:$T$91,3,FALSE),0)+IF(AND($N40&lt;&gt;"",$N40&lt;&gt;"--",$N40&lt;&gt;"O3/CP",$N$14=F$18),IF(LEFT($N40,1)="P",VLOOKUP(CONCATENATE(LEFT($N40,2),"H"),$R$63:$T$91,3,FALSE),VLOOKUP($N40,$R$63:$T$91,3,FALSE)))+IF(AND($N40&lt;&gt;"",$N40&lt;&gt;"O3/CP",$N$15=F$18,MID($N40,4,1)="2",$N$15&lt;&gt;$N$14),VLOOKUP(CONCATENATE(LEFT($N40,2),"L"),$R$63:$T$91,3,FALSE),0)+IF(AND($N40="O3/CP",$N$14=F$18),VLOOKUP("O3",$R$63:$T$91,3,FALSE)+VLOOKUP("CP",$R$63:$T$91,3,FALSE),0)+IF(AND($O40&lt;&gt;"",$O40&lt;&gt;"--",$O40&lt;&gt;"O3/CP",$O$14=F$18),IF(LEFT($O40,1)="P",VLOOKUP(CONCATENATE(LEFT($O40,2),"H"),$R$63:$T$91,3,FALSE),VLOOKUP($O40,$R$63:$T$91,3,FALSE)))+IF(AND($O40&lt;&gt;"",$O40&lt;&gt;"O3/CP",$O$15=F$18,MID($O40,4,1)="2",$O$15&lt;&gt;$O$14),VLOOKUP(CONCATENATE(LEFT($O40,2),"L"),$R$63:$T$91,3,FALSE),0)+IF(AND($O40="O3/CP",$O$14=F$18),VLOOKUP("O3",$R$63:$T$91,3,FALSE)+VLOOKUP("CP",$R$63:$T$91,3,FALSE),0)+IF(AND($P40&lt;&gt;"",$P40&lt;&gt;"--",$P40&lt;&gt;"O3/CP",$P$14=F$18),IF(LEFT($P40,1)="P",VLOOKUP(CONCATENATE(LEFT($P40,2),"H"),$R$63:$T$91,3,FALSE),VLOOKUP($P40,$R$63:$T$91,3,FALSE)))+IF(AND($P40&lt;&gt;"",$P40&lt;&gt;"O3/CP",$P$15=F$18,MID($P40,4,1)="2",$P$15&lt;&gt;$P$14),VLOOKUP(CONCATENATE(LEFT($P40,2),"L"),$R$63:$T$91,3,FALSE),0)+IF(AND($P40="O3/CP",$P$14=F$18),VLOOKUP("O3",$R$63:$T$91,3,FALSE)+VLOOKUP("CP",$R$63:$T$91,3,FALSE),0)+IF(AND($Q40&lt;&gt;"",$Q40&lt;&gt;"--",$Q40&lt;&gt;"O3/CP",$Q$14=F$18),IF(LEFT($Q40,1)="P",VLOOKUP(CONCATENATE(LEFT($Q40,2),"H"),$R$63:$T$91,3,FALSE),VLOOKUP($Q40,$R$63:$T$91,3,FALSE)))+IF(AND($Q40&lt;&gt;"",$Q40&lt;&gt;"O3/CP",$Q$15=F$18,MID($Q40,4,1)="2",$Q$15&lt;&gt;$Q$14),VLOOKUP(CONCATENATE(LEFT($Q40,2),"L"),$R$63:$T$91,3,FALSE),0)+IF(AND($Q40="O3/CP",$Q$14=F$18),VLOOKUP("O3",$R$63:$T$91,3,FALSE)+VLOOKUP("CP",$R$63:$T$91,3,FALSE),0)+IF(AND($R40&lt;&gt;"",$R40&lt;&gt;"--",$R40&lt;&gt;"O3/CP",$R$14=F$18),IF(LEFT($R40,1)="P",VLOOKUP(CONCATENATE(LEFT($R40,2),"H"),$R$63:$T$91,3,FALSE),VLOOKUP($R40,$R$63:$T$91,3,FALSE)))+IF(AND($R40&lt;&gt;"",$R40&lt;&gt;"O3/CP",$R$15=F$18,MID($R40,4,1)="2",$R$15&lt;&gt;$R$14),VLOOKUP(CONCATENATE(LEFT($R40,2),"L"),$R$63:$T$91,3,FALSE),0)+IF(AND($R40="O3/CP",$R$14=F$18),VLOOKUP("O3",$R$63:$T$91,3,FALSE)+VLOOKUP("CP",$R$63:$T$91,3,FALSE),0)+IF(AND($S40&lt;&gt;"",$S40&lt;&gt;"--",$S40&lt;&gt;"O3/CP",$S$14=F$18),IF(LEFT($S40,1)="P",VLOOKUP(CONCATENATE(LEFT($S40,2),"H"),$R$63:$T$91,3,FALSE),VLOOKUP($S40,$R$63:$T$91,3,FALSE)))+IF(AND($S40&lt;&gt;"",$S40&lt;&gt;"O3/CP",$S$15=F$18,MID($S40,4,1)="2",$S$15&lt;&gt;$S$14),VLOOKUP(CONCATENATE(LEFT($S40,2),"L"),$R$63:$T$91,3,FALSE),0)+IF(AND($S40="O3/CP",$S$14=F$18),VLOOKUP("O3",$R$63:$T$91,3,FALSE)+VLOOKUP("CP",$R$63:$T$91,3,FALSE),0)+IF(AND($T40&lt;&gt;"",$T40&lt;&gt;"--",$T40&lt;&gt;"O3/CP",$T$14=F$18),IF(LEFT($T40,1)="P",VLOOKUP(CONCATENATE(LEFT($T40,2),"H"),$R$63:$T$91,3,FALSE),VLOOKUP($T40,$R$63:$T$91,3,FALSE)))+IF(AND($T40&lt;&gt;"",$T40&lt;&gt;"O3/CP",$T$15=F$18,MID($T40,4,1)="2",$T$15&lt;&gt;$T$14),VLOOKUP(CONCATENATE(LEFT($T40,2),"L"),$R$63:$T$91,3,FALSE),0)+IF(AND($T40="O3/CP",$T$14=F$18),VLOOKUP("O3",$R$63:$T$91,3,FALSE)+VLOOKUP("CP",$R$63:$T$91,3,FALSE),0)+IF(AND($U40&lt;&gt;"",$U40&lt;&gt;"--",$U40&lt;&gt;"O3/CP",$U$14=F$18),IF(LEFT($U40,1)="P",VLOOKUP(CONCATENATE(LEFT($U40,2),"H"),$R$63:$T$91,3,FALSE),VLOOKUP($U40,$R$63:$T$91,3,FALSE)))+IF(AND($U40&lt;&gt;"",$U40&lt;&gt;"O3/CP",$U$15=F$18,MID($U40,4,1)="2",$U$15&lt;&gt;$U$14),VLOOKUP(CONCATENATE(LEFT($U40,2),"L"),$R$63:$T$91,3,FALSE),0)+IF(AND($U40="O3/CP",$T$14=F$18),VLOOKUP("O3",$R$63:$T$91,3,FALSE)+VLOOKUP("CP",$R$63:$T$91,3,FALSE),0)+IF(AND($V40&lt;&gt;"",$V40&lt;&gt;"--",$V40&lt;&gt;"O3/CP",$V$14=F$18),IF(LEFT($V40,1)="P",VLOOKUP(CONCATENATE(LEFT($V40,2),"H"),$R$63:$T$91,3,FALSE),VLOOKUP($V40,$R$63:$T$91,3,FALSE)))+IF(AND($V40&lt;&gt;"",$V40&lt;&gt;"O3/CP",$V$15=F$18,MID($V40,4,1)="2",$V$15&lt;&gt;$V$14),VLOOKUP(CONCATENATE(LEFT($V40,2),"L"),$R$63:$T$91,3,FALSE),0)+IF(AND($V40="O3/CP",$V$14=F$18),VLOOKUP("O3",$R$63:$T$91,3,FALSE)+VLOOKUP("CP",$R$63:$T$91,3,FALSE),0)+IF(AND($W40&lt;&gt;"",$W40&lt;&gt;"--",$W40&lt;&gt;"O3/CP",$W$14=F$18),IF(LEFT($W40,1)="P",VLOOKUP(CONCATENATE(LEFT($W40,2),"H"),$R$63:$T$91,3,FALSE),VLOOKUP($W40,$R$63:$T$91,3,FALSE)))+IF(AND($W40&lt;&gt;"",$W40&lt;&gt;"O3/CP",$W$15=F$18,MID($W40,4,1)="2",$W$15&lt;&gt;$W$14),VLOOKUP(CONCATENATE(LEFT($W40,2),"L"),$R$63:$T$91,3,FALSE),0)+IF(AND($W40="O3/CP",$W$14=F$18),VLOOKUP("O3",$R$63:$T$91,3,FALSE)+VLOOKUP("CP",$R$63:$T$91,3,FALSE),0)+IF(AND($X40&lt;&gt;"",$X40&lt;&gt;"--",$X40&lt;&gt;"O3/CP",$X$14=F$18),IF(LEFT($X40,1)="P",VLOOKUP(CONCATENATE(LEFT($X40,2),"H"),$R$63:$T$91,3,FALSE),VLOOKUP($X40,$R$63:$T$91,3,FALSE)))+IF(AND($X40&lt;&gt;"",$X40&lt;&gt;"O3/CP",$X$15=F$18,MID($X40,4,1)="2",$X$15&lt;&gt;$X$14),VLOOKUP(CONCATENATE(LEFT($X40,2),"L"),$R$63:$T$91,3,FALSE),0)+IF(AND($X40="O3/CP",$X$14=F$18),VLOOKUP("O3",$R$63:$T$91,3,FALSE)+VLOOKUP("CP",$R$63:$T$91,3,FALSE),0)+IF(AND($Y40&lt;&gt;"",$Y40&lt;&gt;"--",$Y40&lt;&gt;"O3/CP",$Y$14=F$18),IF(LEFT($Y40,1)="P",VLOOKUP(CONCATENATE(LEFT($Y40,2),"H"),$R$63:$T$91,3,FALSE),VLOOKUP($Y40,$R$63:$T$91,3,FALSE)))+IF(AND($Y40&lt;&gt;"",$Y40&lt;&gt;"O3/CP",$Y$15=F$18,MID($Y40,4,1)="2",$Y$15&lt;&gt;$Y$14),VLOOKUP(CONCATENATE(LEFT($Y40,2),"L"),$R$63:$T$91,3,FALSE),0)+IF(AND($Y40="O3/CP",$Y$14=F$18),VLOOKUP("O3",$R$63:$T$91,3,FALSE)+VLOOKUP("CP",$R$63:$T$91,3,FALSE),0)+IF(AND($K$6="CE",'[3]Supply Attribution'!$G$20=F$18),LEFT($S$90,2),0)+IF(AND($X$86&lt;&gt;"Not Set",$X$87=F$18),$X$86,0)</f>
        <v>0</v>
      </c>
      <c r="G40" s="269">
        <f>IF(AND($K$6="CE",$T$59="1 Phase"),SUM(A40:F40)-IF(AND($K$14&lt;&gt;$K$15,RIGHT($K40,3)="2SP"),VLOOKUP(CONCATENATE(LEFT($K40,2),"L"),$R$63:$T$90,3,FALSE),0)-IF(AND($L$14&lt;&gt;$L$15,RIGHT($L40,3)="2SP"),VLOOKUP(CONCATENATE(LEFT($L40,2),"L"),$R$63:$T$90,3,FALSE),0)-IF(AND($M$14&lt;&gt;$M$15,RIGHT($M40,3)="2SP"),VLOOKUP(CONCATENATE(LEFT($M40,2),"L"),$R$63:$T$90,3,FALSE),0)-IF(AND($N$14&lt;&gt;$N$15,RIGHT($N40,3)="2SP"),VLOOKUP(CONCATENATE(LEFT($N40,2),"L"),$R$63:$T$90,3,FALSE),0)-IF(AND($O$14&lt;&gt;$O$15,RIGHT($O40,3)="2SP"),VLOOKUP(CONCATENATE(LEFT($O40,2),"L"),$R$63:$T$90,3,FALSE),0)-IF(AND($P$14&lt;&gt;$P$15,RIGHT($P40,3)="2SP"),VLOOKUP(CONCATENATE(LEFT($P40,2),"L"),$R$63:$T$90,3,FALSE),0)-IF(AND($Q$14&lt;&gt;$Q$15,RIGHT($Q40,3)="2SP"),VLOOKUP(CONCATENATE(LEFT($Q40,2),"L"),$R$63:$T$90,3,FALSE),0)-IF(AND($R$14&lt;&gt;$R$15,RIGHT($T40,3)="2SP"),VLOOKUP(CONCATENATE(LEFT($R40,2),"L"),$R$63:$T$90,3,FALSE),0)-IF(AND($S$14&lt;&gt;$S$15,RIGHT($T40,3)="2SP"),VLOOKUP(CONCATENATE(LEFT($S40,2),"L"),$R$63:$T$90,3,FALSE),0)-IF(AND($T$14&lt;&gt;$T$15,RIGHT($T40,3)="2SP"),VLOOKUP(CONCATENATE(LEFT($T40,2),"L"),$R$63:$T$90,3,FALSE),0)-IF(AND($U$14&lt;&gt;$U$15,RIGHT($U40,3)="2SP"),VLOOKUP(CONCATENATE(LEFT($U40,2),"L"),$R$63:$T$90,3,FALSE),0)-IF(AND($V$14&lt;&gt;$V$15,RIGHT($V40,3)="2SP"),VLOOKUP(CONCATENATE(LEFT($V40,2),"L"),$R$63:$T$90,3,FALSE),0)-IF(AND($W$14&lt;&gt;$W$15,RIGHT($W40,3)="2SP"),VLOOKUP(CONCATENATE(LEFT($W40,2),"L"),$R$63:$T$90,3,FALSE),0)-IF(AND($X$14&lt;&gt;$X$15,RIGHT($X40,3)="2SP"),VLOOKUP(CONCATENATE(LEFT($X40,2),"L"),$R$63:$T$90,3,FALSE),0)-IF(AND($Y$14&lt;&gt;$Y$15,RIGHT($Y40,3)="2SP"),VLOOKUP(CONCATENATE(LEFT($Y40,2),"L"),$R$63:$T$90,3,FALSE),0),IF(VLOOKUP(CONCATENATE($A$18,"Line"),'[3]Supply Attribution'!$F$31:$G$37,2,FALSE)=G$18,$A40,0)+IF(VLOOKUP(CONCATENATE($B$18,"Line"),'[3]Supply Attribution'!$F$31:$G$37,2,FALSE)=G$18,$B40,0)+IF(VLOOKUP(CONCATENATE($C$18,"Line"),'[3]Supply Attribution'!$F$31:$G$37,2,FALSE)=G$18,$C40,0)+IF(VLOOKUP(CONCATENATE($D$18,"Line"),'[3]Supply Attribution'!$F$31:$G$37,2,FALSE)=G$18,$D40,0)+IF(VLOOKUP(CONCATENATE($E$18,"Line"),'[3]Supply Attribution'!$F$31:$G$37,2,FALSE)=G$18,$E40,0)+IF(VLOOKUP(CONCATENATE($F$18,"Line"),'[3]Supply Attribution'!$F$31:$G$37,2,FALSE)=G$18,$F40,0)+IF($K$6="UL",LEFT($S$90,2),0)-IF(AND($K$16=G$18,$K$14&lt;&gt;$K$15,$K$16=$K$17,RIGHT($K40,3)="2SP"),VLOOKUP(CONCATENATE(LEFT($K40,2),"L"),$R$63:$T$90,3,FALSE),0)-IF(AND($L$16=G$18,$L$14&lt;&gt;$L$15,$L$16=$L$17,RIGHT($L40,3)="2SP"),VLOOKUP(CONCATENATE(LEFT($L40,2),"L"),$R$63:$T$90,3,FALSE),0)-IF(AND($M$16=G$18,$M$14&lt;&gt;$M$15,$M$16=$M$17,RIGHT($M40,3)="2SP"),VLOOKUP(CONCATENATE(LEFT($M40,2),"L"),$R$63:$T$90,3,FALSE),0)-IF(AND($N$16=G$18,$N$14&lt;&gt;$N$15,$N$16=$N$17,RIGHT($N40,3)="2SP"),VLOOKUP(CONCATENATE(LEFT($N40,2),"L"),$R$63:$T$90,3,FALSE),0)-IF(AND($O$16=G$18,$O$14&lt;&gt;$O$15,$O$16=$O$17,RIGHT($O40,3)="2SP"),VLOOKUP(CONCATENATE(LEFT($O40,2),"L"),$R$63:$T$90,3,FALSE),0)-IF(AND($P$16=G$18,$P$14&lt;&gt;$P$15,$P$16=$P$17,RIGHT($P40,3)="2SP"),VLOOKUP(CONCATENATE(LEFT($P40,2),"L"),$R$63:$T$90,3,FALSE),0)-IF(AND($Q$16=G$18,$Q$14&lt;&gt;$Q$15,$Q$16=$Q$17,RIGHT($Q40,3)="2SP"),VLOOKUP(CONCATENATE(LEFT($Q40,2),"L"),$R$63:$T$90,3,FALSE),0)-IF(AND($R$16=G$18,$R$14&lt;&gt;$R$15,$R$16=$R$17,RIGHT($R40,3)="2SP"),VLOOKUP(CONCATENATE(LEFT($R40,2),"L"),$R$63:$T$90,3,FALSE),0)-IF(AND($S$16=G$18,$S$14&lt;&gt;$S$15,$S$16=$S$17,RIGHT($S40,3)="2SP"),VLOOKUP(CONCATENATE(LEFT($S40,2),"L"),$R$63:$T$90,3,FALSE),0)-IF(AND($T$16=G$18,$T$14&lt;&gt;$T$15,$T$16=$T$17,RIGHT($T40,3)="2SP"),VLOOKUP(CONCATENATE(LEFT($T40,2),"L"),$R$63:$T$90,3,FALSE),0)-IF(AND($U$16=G$18,$U$14&lt;&gt;$U$15,$U$16=$U$17,RIGHT($U40,3)="2SP"),VLOOKUP(CONCATENATE(LEFT($U40,2),"L"),$R$63:$T$90,3,FALSE),0)-IF(AND($V$16=G$18,$V$14&lt;&gt;$V$15,$V$16=$V$17,RIGHT($V40,3)="2SP"),VLOOKUP(CONCATENATE(LEFT($V40,2),"L"),$R$63:$T$90,3,FALSE),0)-IF(AND($W$16=G$18,$W$14&lt;&gt;$W$15,$W$16=$W$17,RIGHT($W40,3)="2SP"),VLOOKUP(CONCATENATE(LEFT($W40,2),"L"),$R$63:$T$90,3,FALSE),0)-IF(AND($X$16=G$18,$X$14&lt;&gt;$X$15,$X$16=$X$17,RIGHT($X40,3)="2SP"),VLOOKUP(CONCATENATE(LEFT($X40,2),"L"),$R$63:$T$90,3,FALSE),0)-IF(AND($Y$16=G$18,$Y$14&lt;&gt;$Y$15,$Y$16=$Y$17,RIGHT($Y40,3)="2SP"),VLOOKUP(CONCATENATE(LEFT($Y40,2),"L"),$R$63:$T$90,3,FALSE),0))</f>
        <v>17</v>
      </c>
      <c r="H40" s="269" t="str">
        <f>IF(H$18&lt;&gt;"",IF(VLOOKUP(CONCATENATE($A$18,"Line"),'Supply Attribution'!$F$31:$G$37,2,FALSE)=H$18,$A40,0)+IF(VLOOKUP(CONCATENATE($B$18,"Line"),'Supply Attribution'!$F$31:$G$37,2,FALSE)=H$18,$B40,0)+IF(VLOOKUP(CONCATENATE($C$18,"Line"),'Supply Attribution'!$F$31:$G$37,2,FALSE)=H$18,$C40,0)+IF(VLOOKUP(CONCATENATE($D$18,"Line"),'Supply Attribution'!$F$31:$G$37,2,FALSE)=H$18,$D40,0)+IF(VLOOKUP(CONCATENATE($E$18,"Line"),'Supply Attribution'!$F$31:$G$37,2,FALSE)=H$18,$E40,0)+IF(VLOOKUP(CONCATENATE($F$18,"Line"),'Supply Attribution'!$F$31:$G$37,2,FALSE)=H$18,$F40,0)+IF($K$6="UL",LEFT($S$90,2),0)-IF(AND($K$16=H$18,$K$14&lt;&gt;$K$15,$K$16=$K$17,RIGHT($K40,3)="2SP"),VLOOKUP(CONCATENATE(LEFT($K40,2),"L"),$R$63:$T$90,3,FALSE),0)-IF(AND($L$16=H$18,$L$14&lt;&gt;$L$15,$L$16=$L$17,RIGHT($L40,3)="2SP"),VLOOKUP(CONCATENATE(LEFT($L40,2),"L"),$R$63:$T$90,3,FALSE),0)-IF(AND($M$16=H$18,$M$14&lt;&gt;$M$15,$M$16=$M$17,RIGHT($M40,3)="2SP"),VLOOKUP(CONCATENATE(LEFT($M40,2),"L"),$R$63:$T$90,3,FALSE),0)-IF(AND($N$16=H$18,$N$14&lt;&gt;$N$15,$N$16=$N$17,RIGHT($N40,3)="2SP"),VLOOKUP(CONCATENATE(LEFT($N40,2),"L"),$R$63:$T$90,3,FALSE),0)-IF(AND($O$16=H$18,$O$14&lt;&gt;$O$15,$O$16=$O$17,RIGHT($O40,3)="2SP"),VLOOKUP(CONCATENATE(LEFT($O40,2),"L"),$R$63:$T$90,3,FALSE),0)-IF(AND($P$16=H$18,$P$14&lt;&gt;$P$15,$P$16=$P$17,RIGHT($P40,3)="2SP"),VLOOKUP(CONCATENATE(LEFT($P40,2),"L"),$R$63:$T$90,3,FALSE),0)-IF(AND($Q$16=H$18,$Q$14&lt;&gt;$Q$15,$Q$16=$Q$17,RIGHT($Q40,3)="2SP"),VLOOKUP(CONCATENATE(LEFT($Q40,2),"L"),$R$63:$T$90,3,FALSE),0)-IF(AND($T$16=H$18,$T$14&lt;&gt;$T$15,$T$16=$T$17,RIGHT($T40,3)="2SP"),VLOOKUP(CONCATENATE(LEFT($T40,2),"L"),$R$63:$T$90,3,FALSE),0)-IF(AND($U$16=H$18,$U$14&lt;&gt;$U$15,$U$16=$U$17,RIGHT($U40,3)="2SP"),VLOOKUP(CONCATENATE(LEFT($U40,2),"L"),$R$63:$T$90,3,FALSE),0)-IF(AND($V$16=H$18,$V$14&lt;&gt;$V$15,$V$16=$V$17,RIGHT($V40,3)="2SP"),VLOOKUP(CONCATENATE(LEFT($V40,2),"L"),$R$63:$T$90,3,FALSE),0)-IF(AND($W$16=H$18,$W$14&lt;&gt;$W$15,$W$16=$W$17,RIGHT($W40,3)="2SP"),VLOOKUP(CONCATENATE(LEFT($W40,2),"L"),$R$63:$T$90,3,FALSE),0)-IF(AND($X$16=H$18,$X$14&lt;&gt;$X$15,$X$16=$X$17,RIGHT($X40,3)="2SP"),VLOOKUP(CONCATENATE(LEFT($X40,2),"L"),$R$63:$T$90,3,FALSE),0)-IF(AND($Y$16=H$18,$Y$14&lt;&gt;$Y$15,$Y$16=$Y$17,RIGHT($Y40,3)="2SP"),VLOOKUP(CONCATENATE(LEFT($Y40,2),"L"),$R$63:$T$90,3,FALSE),0)+IF(AND($K$6="CE",$T$59="2 Phases",H$18&lt;&gt;""),IF(VLOOKUP(CONCATENATE($A$18,"Line"),'Supply Attribution'!$F$31:$G$37,2,FALSE)="Line3",$A40,0)+IF(VLOOKUP(CONCATENATE($B$18,"Line"),'Supply Attribution'!$F$31:$G$37,2,FALSE)="Line3",$B40,0)+IF(VLOOKUP(CONCATENATE($C$18,"Line"),'Supply Attribution'!$F$31:$G$37,2,FALSE)="Line3",$C40,0)+IF(VLOOKUP(CONCATENATE($D$18,"Line"),'Supply Attribution'!$F$31:$G$37,2,FALSE)="Line3",$D40,0)+IF(VLOOKUP(CONCATENATE($E$18,"Line"),'Supply Attribution'!$F$31:$G$37,2,FALSE)="Line3",$E40,0)+IF(VLOOKUP(CONCATENATE($F$18,"Line"),'Supply Attribution'!$F$31:$G$37,2,FALSE)="Line3",$F40,0)-IF(AND($K$16=I$18,$K$14&lt;&gt;$K$15,$K$16=$K$17,RIGHT($K40,3)="2SP"),VLOOKUP(CONCATENATE(LEFT($K40,2),"L"),$R$63:$T$90,3,FALSE),0)-IF(AND($L$16=I$18,$L$14&lt;&gt;$L$15,$L$16=$L$17,RIGHT($L40,3)="2SP"),VLOOKUP(CONCATENATE(LEFT($L40,2),"L"),$R$63:$T$90,3,FALSE),0)-IF(AND($M$16=I$18,$M$14&lt;&gt;$M$15,$M$16=$M$17,RIGHT($M40,3)="2SP"),VLOOKUP(CONCATENATE(LEFT($M40,2),"L"),$R$63:$T$90,3,FALSE),0)-IF(AND($N$16=I$18,$N$14&lt;&gt;$N$15,$N$16=$N$17,RIGHT($N40,3)="2SP"),VLOOKUP(CONCATENATE(LEFT($N40,2),"L"),$R$63:$T$90,3,FALSE),0)-IF(AND($O$16=I$18,$O$14&lt;&gt;$O$15,$O$16=$O$17,RIGHT($O40,3)="2SP"),VLOOKUP(CONCATENATE(LEFT($O40,2),"L"),$R$63:$T$90,3,FALSE),0)-IF(AND($P$16=I$18,$P$14&lt;&gt;$P$15,$P$16=$P$17,RIGHT($P40,3)="2SP"),VLOOKUP(CONCATENATE(LEFT($P40,2),"L"),$R$63:$T$90,3,FALSE),0)-IF(AND($Q$16=I$18,$Q$14&lt;&gt;$Q$15,$Q$16=$Q$17,RIGHT($Q40,3)="2SP"),VLOOKUP(CONCATENATE(LEFT($Q40,2),"L"),$R$63:$T$90,3,FALSE),0)-IF(AND($T$16=I$18,$T$14&lt;&gt;$T$15,$T$16=$T$17,RIGHT($T40,3)="2SP"),VLOOKUP(CONCATENATE(LEFT($T40,2),"L"),$R$63:$T$90,3,FALSE),0)-IF(AND($U$16=I$18,$U$14&lt;&gt;$U$15,$U$16=$U$17,RIGHT($U40,3)="2SP"),VLOOKUP(CONCATENATE(LEFT($U40,2),"L"),$R$63:$T$90,3,FALSE),0)-IF(AND($V$16=I$18,$V$14&lt;&gt;$V$15,$V$16=$V$17,RIGHT($V40,3)="2SP"),VLOOKUP(CONCATENATE(LEFT($V40,2),"L"),$R$63:$T$90,3,FALSE),0)-IF(AND($W$16=I$18,$W$14&lt;&gt;$W$15,$W$16=$W$17,RIGHT($W40,3)="2SP"),VLOOKUP(CONCATENATE(LEFT($W40,2),"L"),$R$63:$T$90,3,FALSE),0)-IF(AND($X$16=I$18,$X$14&lt;&gt;$X$15,$X$16=$X$17,RIGHT($X40,3)="2SP"),VLOOKUP(CONCATENATE(LEFT($X40,2),"L"),$R$63:$T$90,3,FALSE),0)-IF(AND($Y$16=I$18,$Y$14&lt;&gt;$Y$15,$Y$16=$Y$17,RIGHT($Y40,3)="2SP"),VLOOKUP(CONCATENATE(LEFT($Y40,2),"L"),$R$63:$T$90,3,FALSE),0),0),"")</f>
        <v/>
      </c>
      <c r="I40" s="269" t="str">
        <f>IF(I$18&lt;&gt;"",IF(VLOOKUP(CONCATENATE($A$18,"Line"),'Supply Attribution'!$F$31:$G$37,2,FALSE)=I$18,$A40,0)+IF(VLOOKUP(CONCATENATE($B$18,"Line"),'Supply Attribution'!$F$31:$G$37,2,FALSE)=I$18,$B40,0)+IF(VLOOKUP(CONCATENATE($C$18,"Line"),'Supply Attribution'!$F$31:$G$37,2,FALSE)=I$18,$C40,0)+IF(VLOOKUP(CONCATENATE($D$18,"Line"),'Supply Attribution'!$F$31:$G$37,2,FALSE)=I$18,$D40,0)+IF(VLOOKUP(CONCATENATE($E$18,"Line"),'Supply Attribution'!$F$31:$G$37,2,FALSE)=I$18,$E40,0)+IF(VLOOKUP(CONCATENATE($F$18,"Line"),'Supply Attribution'!$F$31:$G$37,2,FALSE)=I$18,$F40,0)+IF($K$6="UL",LEFT($S$90,2),0)-IF(AND($K$16=I$18,$K$14&lt;&gt;$K$15,$K$16=$K$17,RIGHT($K40,3)="2SP"),VLOOKUP(CONCATENATE(LEFT($K40,2),"L"),$R$63:$T$90,3,FALSE),0)-IF(AND($L$16=I$18,$L$14&lt;&gt;$L$15,$L$16=$L$17,RIGHT($L40,3)="2SP"),VLOOKUP(CONCATENATE(LEFT($L40,2),"L"),$R$63:$T$90,3,FALSE),0)-IF(AND($M$16=I$18,$M$14&lt;&gt;$M$15,$M$16=$M$17,RIGHT($M40,3)="2SP"),VLOOKUP(CONCATENATE(LEFT($M40,2),"L"),$R$63:$T$90,3,FALSE),0)-IF(AND($N$16=I$18,$N$14&lt;&gt;$N$15,$N$16=$N$17,RIGHT($N40,3)="2SP"),VLOOKUP(CONCATENATE(LEFT($N40,2),"L"),$R$63:$T$90,3,FALSE),0)-IF(AND($O$16=I$18,$O$14&lt;&gt;$O$15,$O$16=$O$17,RIGHT($O40,3)="2SP"),VLOOKUP(CONCATENATE(LEFT($O40,2),"L"),$R$63:$T$90,3,FALSE),0)-IF(AND($P$16=I$18,$P$14&lt;&gt;$P$15,$P$16=$P$17,RIGHT($P40,3)="2SP"),VLOOKUP(CONCATENATE(LEFT($P40,2),"L"),$R$63:$T$90,3,FALSE),0)-IF(AND($Q$16=I$18,$Q$14&lt;&gt;$Q$15,$Q$16=$Q$17,RIGHT($Q40,3)="2SP"),VLOOKUP(CONCATENATE(LEFT($Q40,2),"L"),$R$63:$T$90,3,FALSE),0)-IF(AND($T$16=I$18,$T$14&lt;&gt;$T$15,$T$16=$T$17,RIGHT($T40,3)="2SP"),VLOOKUP(CONCATENATE(LEFT($T40,2),"L"),$R$63:$T$90,3,FALSE),0)-IF(AND($U$16=I$18,$U$14&lt;&gt;$U$15,$U$16=$U$17,RIGHT($U40,3)="2SP"),VLOOKUP(CONCATENATE(LEFT($U40,2),"L"),$R$63:$T$90,3,FALSE),0)-IF(AND($V$16=I$18,$V$14&lt;&gt;$V$15,$V$16=$V$17,RIGHT($V40,3)="2SP"),VLOOKUP(CONCATENATE(LEFT($V40,2),"L"),$R$63:$T$90,3,FALSE),0)-IF(AND($W$16=I$18,$W$14&lt;&gt;$W$15,$W$16=$W$17,RIGHT($W40,3)="2SP"),VLOOKUP(CONCATENATE(LEFT($W40,2),"L"),$R$63:$T$90,3,FALSE),0)-IF(AND($X$16=I$18,$X$14&lt;&gt;$X$15,$X$16=$X$17,RIGHT($X40,3)="2SP"),VLOOKUP(CONCATENATE(LEFT($X40,2),"L"),$R$63:$T$90,3,FALSE),0)-IF(AND($Y$16=I$18,$Y$14&lt;&gt;$Y$15,$Y$16=$Y$17,RIGHT($Y40,3)="2SP"),VLOOKUP(CONCATENATE(LEFT($Y40,2),"L"),$R$63:$T$90,3,FALSE),0),"")</f>
        <v/>
      </c>
      <c r="J40" s="134"/>
      <c r="K40" s="135"/>
      <c r="L40" s="135"/>
      <c r="M40" s="135"/>
      <c r="N40" s="135"/>
      <c r="O40" s="135"/>
      <c r="P40" s="135"/>
      <c r="Q40" s="135"/>
      <c r="R40" s="135"/>
      <c r="S40" s="135"/>
      <c r="T40" s="135"/>
      <c r="U40" s="135"/>
      <c r="V40" s="135"/>
      <c r="W40" s="135"/>
      <c r="X40" s="135"/>
      <c r="Y40" s="135"/>
      <c r="Z40" s="136"/>
      <c r="AA40" s="136"/>
      <c r="AB40" s="137"/>
      <c r="AC40" s="137"/>
      <c r="AD40" s="137"/>
      <c r="AE40" s="138">
        <f t="shared" si="0"/>
        <v>0</v>
      </c>
      <c r="AF40" s="78"/>
    </row>
    <row r="41" spans="1:32" ht="13.15" customHeight="1">
      <c r="A41" s="264">
        <f>IF(AND($K41&lt;&gt;"",$K41&lt;&gt;"--",$K41&lt;&gt;"O3/CP",$K$14=A$18),IF(LEFT($K41,1)="P",VLOOKUP(CONCATENATE(LEFT($K41,2),"H"),$R$63:$T$91,3,FALSE),VLOOKUP($K41,$R$63:$T$91,3,FALSE)))+IF(AND($K41&lt;&gt;"",$K41&lt;&gt;"O3/CP",$K$15=A$18,MID($K41,4,1)="2",$K$15&lt;&gt;$K$14),VLOOKUP(CONCATENATE(LEFT($K41,2),"L"),$R$63:$T$91,3,FALSE),0)+IF(AND($K41="O3/CP",$K$14=A$18),VLOOKUP("O3",$R$63:$T$91,3,FALSE)+VLOOKUP("CP",$R$63:$T$91,3,FALSE),0)+IF(AND($L41&lt;&gt;"",$L41&lt;&gt;"--",$L41&lt;&gt;"O3/CP",$L$14=A$18),IF(LEFT($L41,1)="P",VLOOKUP(CONCATENATE(LEFT($L41,2),"H"),$R$63:$T$91,3,FALSE),VLOOKUP($L41,$R$63:$T$91,3,FALSE)))+IF(AND($L41&lt;&gt;"",$L41&lt;&gt;"O3/CP",$L$15=A$18,MID($L41,4,1)="2",$L$15&lt;&gt;$L$14),VLOOKUP(CONCATENATE(LEFT($L41,2),"L"),$R$63:$T$91,3,FALSE),0)+IF(AND($L41="O3/CP",$L$14=A$18),VLOOKUP("O3",$R$63:$T$91,3,FALSE)+VLOOKUP("CP",$R$63:$T$91,3,FALSE),0)+IF(AND($M41&lt;&gt;"",$M41&lt;&gt;"--",$M41&lt;&gt;"O3/CP",$M$14=A$18),IF(LEFT($M41,1)="P",VLOOKUP(CONCATENATE(LEFT($M41,2),"H"),$R$63:$T$91,3,FALSE),VLOOKUP($M41,$R$63:$T$91,3,FALSE)))+IF(AND($M41&lt;&gt;"",$M41&lt;&gt;"O3/CP",$M$15=A$18,MID($M41,4,1)="2",$M$15&lt;&gt;$M$14),VLOOKUP(CONCATENATE(LEFT($M41,2),"L"),$R$63:$T$91,3,FALSE),0)+IF(AND($M41="O3/CP",$M$14=A$18),VLOOKUP("O3",$R$63:$T$91,3,FALSE)+VLOOKUP("CP",$R$63:$T$91,3,FALSE),0)+IF(AND($N41&lt;&gt;"",$N41&lt;&gt;"--",$N41&lt;&gt;"O3/CP",$N$14=A$18),IF(LEFT($N41,1)="P",VLOOKUP(CONCATENATE(LEFT($N41,2),"H"),$R$63:$T$91,3,FALSE),VLOOKUP($N41,$R$63:$T$91,3,FALSE)))+IF(AND($N41&lt;&gt;"",$N41&lt;&gt;"O3/CP",$N$15=A$18,MID($N41,4,1)="2",$N$15&lt;&gt;$N$14),VLOOKUP(CONCATENATE(LEFT($N41,2),"L"),$R$63:$T$91,3,FALSE),0)+IF(AND($N41="O3/CP",$N$14=A$18),VLOOKUP("O3",$R$63:$T$91,3,FALSE)+VLOOKUP("CP",$R$63:$T$91,3,FALSE),0)+IF(AND($O41&lt;&gt;"",$O41&lt;&gt;"--",$O41&lt;&gt;"O3/CP",$O$14=A$18),IF(LEFT($O41,1)="P",VLOOKUP(CONCATENATE(LEFT($O41,2),"H"),$R$63:$T$91,3,FALSE),VLOOKUP($O41,$R$63:$T$91,3,FALSE)))+IF(AND($O41&lt;&gt;"",$O41&lt;&gt;"O3/CP",$O$15=A$18,MID($O41,4,1)="2",$O$15&lt;&gt;$O$14),VLOOKUP(CONCATENATE(LEFT($O41,2),"L"),$R$63:$T$91,3,FALSE),0)+IF(AND($O41="O3/CP",$O$14=A$18),VLOOKUP("O3",$R$63:$T$91,3,FALSE)+VLOOKUP("CP",$R$63:$T$91,3,FALSE),0)+IF(AND($P41&lt;&gt;"",$P41&lt;&gt;"--",$P41&lt;&gt;"O3/CP",$P$14=A$18),IF(LEFT($P41,1)="P",VLOOKUP(CONCATENATE(LEFT($P41,2),"H"),$R$63:$T$91,3,FALSE),VLOOKUP($P41,$R$63:$T$91,3,FALSE)))+IF(AND($P41&lt;&gt;"",$P41&lt;&gt;"O3/CP",$P$15=A$18,MID($P41,4,1)="2",$P$15&lt;&gt;$P$14),VLOOKUP(CONCATENATE(LEFT($P41,2),"L"),$R$63:$T$91,3,FALSE),0)+IF(AND($P41="O3/CP",$P$14=A$18),VLOOKUP("O3",$R$63:$T$91,3,FALSE)+VLOOKUP("CP",$R$63:$T$91,3,FALSE),0)+IF(AND($Q41&lt;&gt;"",$Q41&lt;&gt;"--",$Q41&lt;&gt;"O3/CP",$Q$14=A$18),IF(LEFT($Q41,1)="P",VLOOKUP(CONCATENATE(LEFT($Q41,2),"H"),$R$63:$T$91,3,FALSE),VLOOKUP($Q41,$R$63:$T$91,3,FALSE)))+IF(AND($Q41&lt;&gt;"",$Q41&lt;&gt;"O3/CP",$Q$15=A$18,MID($Q41,4,1)="2",$Q$15&lt;&gt;$Q$14),VLOOKUP(CONCATENATE(LEFT($Q41,2),"L"),$R$63:$T$91,3,FALSE),0)+IF(AND($Q41="O3/CP",$Q$14=A$18),VLOOKUP("O3",$R$63:$T$91,3,FALSE)+VLOOKUP("CP",$R$63:$T$91,3,FALSE),0)+IF(AND($R41&lt;&gt;"",$R41&lt;&gt;"--",$R41&lt;&gt;"O3/CP",$R$14=A$18),IF(LEFT($R41,1)="P",VLOOKUP(CONCATENATE(LEFT($R41,2),"H"),$R$63:$T$91,3,FALSE),VLOOKUP($R41,$R$63:$T$91,3,FALSE)))+IF(AND($R41&lt;&gt;"",$R41&lt;&gt;"O3/CP",$R$15=A$18,MID($R41,4,1)="2",$R$15&lt;&gt;$R$14),VLOOKUP(CONCATENATE(LEFT($R41,2),"L"),$R$63:$T$91,3,FALSE),0)+IF(AND($R41="O3/CP",$R$14=A$18),VLOOKUP("O3",$R$63:$T$91,3,FALSE)+VLOOKUP("CP",$R$63:$T$91,3,FALSE),0)+IF(AND($S41&lt;&gt;"",$S41&lt;&gt;"--",$S41&lt;&gt;"O3/CP",$S$14=A$18),IF(LEFT($S41,1)="P",VLOOKUP(CONCATENATE(LEFT($S41,2),"H"),$R$63:$T$91,3,FALSE),VLOOKUP($S41,$R$63:$T$91,3,FALSE)))+IF(AND($S41&lt;&gt;"",$S41&lt;&gt;"O3/CP",$S$15=A$18,MID($S41,4,1)="2",$S$15&lt;&gt;$S$14),VLOOKUP(CONCATENATE(LEFT($S41,2),"L"),$R$63:$T$91,3,FALSE),0)+IF(AND($S41="O3/CP",$S$14=A$18),VLOOKUP("O3",$R$63:$T$91,3,FALSE)+VLOOKUP("CP",$R$63:$T$91,3,FALSE),0)+IF(AND($T41&lt;&gt;"",$T41&lt;&gt;"--",$T41&lt;&gt;"O3/CP",$T$14=A$18),IF(LEFT($T41,1)="P",VLOOKUP(CONCATENATE(LEFT($T41,2),"H"),$R$63:$T$91,3,FALSE),VLOOKUP($T41,$R$63:$T$91,3,FALSE)))+IF(AND($T41&lt;&gt;"",$T41&lt;&gt;"O3/CP",$T$15=A$18,MID($T41,4,1)="2",$T$15&lt;&gt;$T$14),VLOOKUP(CONCATENATE(LEFT($T41,2),"L"),$R$63:$T$91,3,FALSE),0)+IF(AND($T41="O3/CP",$T$14=A$18),VLOOKUP("O3",$R$63:$T$91,3,FALSE)+VLOOKUP("CP",$R$63:$T$91,3,FALSE),0)+IF(AND($U41&lt;&gt;"",$U41&lt;&gt;"--",$U41&lt;&gt;"O3/CP",$U$14=A$18),IF(LEFT($U41,1)="P",VLOOKUP(CONCATENATE(LEFT($U41,2),"H"),$R$63:$T$91,3,FALSE),VLOOKUP($U41,$R$63:$T$91,3,FALSE)))+IF(AND($U41&lt;&gt;"",$U41&lt;&gt;"O3/CP",$U$15=A$18,MID($U41,4,1)="2",$U$15&lt;&gt;$U$14),VLOOKUP(CONCATENATE(LEFT($U41,2),"L"),$R$63:$T$91,3,FALSE),0)+IF(AND($U41="O3/CP",$T$14=A$18),VLOOKUP("O3",$R$63:$T$91,3,FALSE)+VLOOKUP("CP",$R$63:$T$91,3,FALSE),0)+IF(AND($V41&lt;&gt;"",$V41&lt;&gt;"--",$V41&lt;&gt;"O3/CP",$V$14=A$18),IF(LEFT($V41,1)="P",VLOOKUP(CONCATENATE(LEFT($V41,2),"H"),$R$63:$T$91,3,FALSE),VLOOKUP($V41,$R$63:$T$91,3,FALSE)))+IF(AND($V41&lt;&gt;"",$V41&lt;&gt;"O3/CP",$V$15=A$18,MID($V41,4,1)="2",$V$15&lt;&gt;$V$14),VLOOKUP(CONCATENATE(LEFT($V41,2),"L"),$R$63:$T$91,3,FALSE),0)+IF(AND($V41="O3/CP",$V$14=A$18),VLOOKUP("O3",$R$63:$T$91,3,FALSE)+VLOOKUP("CP",$R$63:$T$91,3,FALSE),0)+IF(AND($W41&lt;&gt;"",$W41&lt;&gt;"--",$W41&lt;&gt;"O3/CP",$W$14=A$18),IF(LEFT($W41,1)="P",VLOOKUP(CONCATENATE(LEFT($W41,2),"H"),$R$63:$T$91,3,FALSE),VLOOKUP($W41,$R$63:$T$91,3,FALSE)))+IF(AND($W41&lt;&gt;"",$W41&lt;&gt;"O3/CP",$W$15=A$18,MID($W41,4,1)="2",$W$15&lt;&gt;$W$14),VLOOKUP(CONCATENATE(LEFT($W41,2),"L"),$R$63:$T$91,3,FALSE),0)+IF(AND($W41="O3/CP",$W$14=A$18),VLOOKUP("O3",$R$63:$T$91,3,FALSE)+VLOOKUP("CP",$R$63:$T$91,3,FALSE),0)+IF(AND($X41&lt;&gt;"",$X41&lt;&gt;"--",$X41&lt;&gt;"O3/CP",$X$14=A$18),IF(LEFT($X41,1)="P",VLOOKUP(CONCATENATE(LEFT($X41,2),"H"),$R$63:$T$91,3,FALSE),VLOOKUP($X41,$R$63:$T$91,3,FALSE)))+IF(AND($X41&lt;&gt;"",$X41&lt;&gt;"O3/CP",$X$15=A$18,MID($X41,4,1)="2",$X$15&lt;&gt;$X$14),VLOOKUP(CONCATENATE(LEFT($X41,2),"L"),$R$63:$T$91,3,FALSE),0)+IF(AND($X41="O3/CP",$X$14=A$18),VLOOKUP("O3",$R$63:$T$91,3,FALSE)+VLOOKUP("CP",$R$63:$T$91,3,FALSE),0)+IF(AND($Y41&lt;&gt;"",$Y41&lt;&gt;"--",$Y41&lt;&gt;"O3/CP",$Y$14=A$18),IF(LEFT($Y41,1)="P",VLOOKUP(CONCATENATE(LEFT($Y41,2),"H"),$R$63:$T$91,3,FALSE),VLOOKUP($Y41,$R$63:$T$91,3,FALSE)))+IF(AND($Y41&lt;&gt;"",$Y41&lt;&gt;"O3/CP",$Y$15=A$18,MID($Y41,4,1)="2",$Y$15&lt;&gt;$Y$14),VLOOKUP(CONCATENATE(LEFT($Y41,2),"L"),$R$63:$T$91,3,FALSE),0)+IF(AND($Y41="O3/CP",$Y$14=A$18),VLOOKUP("O3",$R$63:$T$91,3,FALSE)+VLOOKUP("CP",$R$63:$T$91,3,FALSE),0)+IF(AND($K$6="CE",'[3]Supply Attribution'!$G$20=A$18),LEFT($S$90,2),0)+IF(AND($X$86&lt;&gt;"Not Set",$X$87=A$18),$X$86,0)</f>
        <v>0</v>
      </c>
      <c r="B41" s="271">
        <f>IF(AND($K41&lt;&gt;"",$K41&lt;&gt;"--",$K41&lt;&gt;"O3/CP",$K$14=B$18),IF(LEFT($K41,1)="P",VLOOKUP(CONCATENATE(LEFT($K41,2),"H"),$R$63:$T$91,3,FALSE),VLOOKUP($K41,$R$63:$T$91,3,FALSE)))+IF(AND($K41&lt;&gt;"",$K41&lt;&gt;"O3/CP",$K$15=B$18,MID($K41,4,1)="2",$K$15&lt;&gt;$K$14),VLOOKUP(CONCATENATE(LEFT($K41,2),"L"),$R$63:$T$91,3,FALSE),0)+IF(AND($K41="O3/CP",$K$14=B$18),VLOOKUP("O3",$R$63:$T$91,3,FALSE)+VLOOKUP("CP",$R$63:$T$91,3,FALSE),0)+IF(AND($L41&lt;&gt;"",$L41&lt;&gt;"--",$L41&lt;&gt;"O3/CP",$L$14=B$18),IF(LEFT($L41,1)="P",VLOOKUP(CONCATENATE(LEFT($L41,2),"H"),$R$63:$T$91,3,FALSE),VLOOKUP($L41,$R$63:$T$91,3,FALSE)))+IF(AND($L41&lt;&gt;"",$L41&lt;&gt;"O3/CP",$L$15=B$18,MID($L41,4,1)="2",$L$15&lt;&gt;$L$14),VLOOKUP(CONCATENATE(LEFT($L41,2),"L"),$R$63:$T$91,3,FALSE),0)+IF(AND($L41="O3/CP",$L$14=B$18),VLOOKUP("O3",$R$63:$T$91,3,FALSE)+VLOOKUP("CP",$R$63:$T$91,3,FALSE),0)+IF(AND($M41&lt;&gt;"",$M41&lt;&gt;"--",$M41&lt;&gt;"O3/CP",$M$14=B$18),IF(LEFT($M41,1)="P",VLOOKUP(CONCATENATE(LEFT($M41,2),"H"),$R$63:$T$91,3,FALSE),VLOOKUP($M41,$R$63:$T$91,3,FALSE)))+IF(AND($M41&lt;&gt;"",$M41&lt;&gt;"O3/CP",$M$15=B$18,MID($M41,4,1)="2",$M$15&lt;&gt;$M$14),VLOOKUP(CONCATENATE(LEFT($M41,2),"L"),$R$63:$T$91,3,FALSE),0)+IF(AND($M41="O3/CP",$M$14=B$18),VLOOKUP("O3",$R$63:$T$91,3,FALSE)+VLOOKUP("CP",$R$63:$T$91,3,FALSE),0)+IF(AND($N41&lt;&gt;"",$N41&lt;&gt;"--",$N41&lt;&gt;"O3/CP",$N$14=B$18),IF(LEFT($N41,1)="P",VLOOKUP(CONCATENATE(LEFT($N41,2),"H"),$R$63:$T$91,3,FALSE),VLOOKUP($N41,$R$63:$T$91,3,FALSE)))+IF(AND($N41&lt;&gt;"",$N41&lt;&gt;"O3/CP",$N$15=B$18,MID($N41,4,1)="2",$N$15&lt;&gt;$N$14),VLOOKUP(CONCATENATE(LEFT($N41,2),"L"),$R$63:$T$91,3,FALSE),0)+IF(AND($N41="O3/CP",$N$14=B$18),VLOOKUP("O3",$R$63:$T$91,3,FALSE)+VLOOKUP("CP",$R$63:$T$91,3,FALSE),0)+IF(AND($O41&lt;&gt;"",$O41&lt;&gt;"--",$O41&lt;&gt;"O3/CP",$O$14=B$18),IF(LEFT($O41,1)="P",VLOOKUP(CONCATENATE(LEFT($O41,2),"H"),$R$63:$T$91,3,FALSE),VLOOKUP($O41,$R$63:$T$91,3,FALSE)))+IF(AND($O41&lt;&gt;"",$O41&lt;&gt;"O3/CP",$O$15=B$18,MID($O41,4,1)="2",$O$15&lt;&gt;$O$14),VLOOKUP(CONCATENATE(LEFT($O41,2),"L"),$R$63:$T$91,3,FALSE),0)+IF(AND($O41="O3/CP",$O$14=B$18),VLOOKUP("O3",$R$63:$T$91,3,FALSE)+VLOOKUP("CP",$R$63:$T$91,3,FALSE),0)+IF(AND($P41&lt;&gt;"",$P41&lt;&gt;"--",$P41&lt;&gt;"O3/CP",$P$14=B$18),IF(LEFT($P41,1)="P",VLOOKUP(CONCATENATE(LEFT($P41,2),"H"),$R$63:$T$91,3,FALSE),VLOOKUP($P41,$R$63:$T$91,3,FALSE)))+IF(AND($P41&lt;&gt;"",$P41&lt;&gt;"O3/CP",$P$15=B$18,MID($P41,4,1)="2",$P$15&lt;&gt;$P$14),VLOOKUP(CONCATENATE(LEFT($P41,2),"L"),$R$63:$T$91,3,FALSE),0)+IF(AND($P41="O3/CP",$P$14=B$18),VLOOKUP("O3",$R$63:$T$91,3,FALSE)+VLOOKUP("CP",$R$63:$T$91,3,FALSE),0)+IF(AND($Q41&lt;&gt;"",$Q41&lt;&gt;"--",$Q41&lt;&gt;"O3/CP",$Q$14=B$18),IF(LEFT($Q41,1)="P",VLOOKUP(CONCATENATE(LEFT($Q41,2),"H"),$R$63:$T$91,3,FALSE),VLOOKUP($Q41,$R$63:$T$91,3,FALSE)))+IF(AND($Q41&lt;&gt;"",$Q41&lt;&gt;"O3/CP",$Q$15=B$18,MID($Q41,4,1)="2",$Q$15&lt;&gt;$Q$14),VLOOKUP(CONCATENATE(LEFT($Q41,2),"L"),$R$63:$T$91,3,FALSE),0)+IF(AND($Q41="O3/CP",$Q$14=B$18),VLOOKUP("O3",$R$63:$T$91,3,FALSE)+VLOOKUP("CP",$R$63:$T$91,3,FALSE),0)+IF(AND($R41&lt;&gt;"",$R41&lt;&gt;"--",$R41&lt;&gt;"O3/CP",$R$14=B$18),IF(LEFT($R41,1)="P",VLOOKUP(CONCATENATE(LEFT($R41,2),"H"),$R$63:$T$91,3,FALSE),VLOOKUP($R41,$R$63:$T$91,3,FALSE)))+IF(AND($R41&lt;&gt;"",$R41&lt;&gt;"O3/CP",$R$15=B$18,MID($R41,4,1)="2",$R$15&lt;&gt;$R$14),VLOOKUP(CONCATENATE(LEFT($R41,2),"L"),$R$63:$T$91,3,FALSE),0)+IF(AND($R41="O3/CP",$R$14=B$18),VLOOKUP("O3",$R$63:$T$91,3,FALSE)+VLOOKUP("CP",$R$63:$T$91,3,FALSE),0)+IF(AND($S41&lt;&gt;"",$S41&lt;&gt;"--",$S41&lt;&gt;"O3/CP",$S$14=B$18),IF(LEFT($S41,1)="P",VLOOKUP(CONCATENATE(LEFT($S41,2),"H"),$R$63:$T$91,3,FALSE),VLOOKUP($S41,$R$63:$T$91,3,FALSE)))+IF(AND($S41&lt;&gt;"",$S41&lt;&gt;"O3/CP",$S$15=B$18,MID($S41,4,1)="2",$S$15&lt;&gt;$S$14),VLOOKUP(CONCATENATE(LEFT($S41,2),"L"),$R$63:$T$91,3,FALSE),0)+IF(AND($S41="O3/CP",$S$14=B$18),VLOOKUP("O3",$R$63:$T$91,3,FALSE)+VLOOKUP("CP",$R$63:$T$91,3,FALSE),0)+IF(AND($T41&lt;&gt;"",$T41&lt;&gt;"--",$T41&lt;&gt;"O3/CP",$T$14=B$18),IF(LEFT($T41,1)="P",VLOOKUP(CONCATENATE(LEFT($T41,2),"H"),$R$63:$T$91,3,FALSE),VLOOKUP($T41,$R$63:$T$91,3,FALSE)))+IF(AND($T41&lt;&gt;"",$T41&lt;&gt;"O3/CP",$T$15=B$18,MID($T41,4,1)="2",$T$15&lt;&gt;$T$14),VLOOKUP(CONCATENATE(LEFT($T41,2),"L"),$R$63:$T$91,3,FALSE),0)+IF(AND($T41="O3/CP",$T$14=B$18),VLOOKUP("O3",$R$63:$T$91,3,FALSE)+VLOOKUP("CP",$R$63:$T$91,3,FALSE),0)+IF(AND($U41&lt;&gt;"",$U41&lt;&gt;"--",$U41&lt;&gt;"O3/CP",$U$14=B$18),IF(LEFT($U41,1)="P",VLOOKUP(CONCATENATE(LEFT($U41,2),"H"),$R$63:$T$91,3,FALSE),VLOOKUP($U41,$R$63:$T$91,3,FALSE)))+IF(AND($U41&lt;&gt;"",$U41&lt;&gt;"O3/CP",$U$15=B$18,MID($U41,4,1)="2",$U$15&lt;&gt;$U$14),VLOOKUP(CONCATENATE(LEFT($U41,2),"L"),$R$63:$T$91,3,FALSE),0)+IF(AND($U41="O3/CP",$T$14=B$18),VLOOKUP("O3",$R$63:$T$91,3,FALSE)+VLOOKUP("CP",$R$63:$T$91,3,FALSE),0)+IF(AND($V41&lt;&gt;"",$V41&lt;&gt;"--",$V41&lt;&gt;"O3/CP",$V$14=B$18),IF(LEFT($V41,1)="P",VLOOKUP(CONCATENATE(LEFT($V41,2),"H"),$R$63:$T$91,3,FALSE),VLOOKUP($V41,$R$63:$T$91,3,FALSE)))+IF(AND($V41&lt;&gt;"",$V41&lt;&gt;"O3/CP",$V$15=B$18,MID($V41,4,1)="2",$V$15&lt;&gt;$V$14),VLOOKUP(CONCATENATE(LEFT($V41,2),"L"),$R$63:$T$91,3,FALSE),0)+IF(AND($V41="O3/CP",$V$14=B$18),VLOOKUP("O3",$R$63:$T$91,3,FALSE)+VLOOKUP("CP",$R$63:$T$91,3,FALSE),0)+IF(AND($W41&lt;&gt;"",$W41&lt;&gt;"--",$W41&lt;&gt;"O3/CP",$W$14=B$18),IF(LEFT($W41,1)="P",VLOOKUP(CONCATENATE(LEFT($W41,2),"H"),$R$63:$T$91,3,FALSE),VLOOKUP($W41,$R$63:$T$91,3,FALSE)))+IF(AND($W41&lt;&gt;"",$W41&lt;&gt;"O3/CP",$W$15=B$18,MID($W41,4,1)="2",$W$15&lt;&gt;$W$14),VLOOKUP(CONCATENATE(LEFT($W41,2),"L"),$R$63:$T$91,3,FALSE),0)+IF(AND($W41="O3/CP",$W$14=B$18),VLOOKUP("O3",$R$63:$T$91,3,FALSE)+VLOOKUP("CP",$R$63:$T$91,3,FALSE),0)+IF(AND($X41&lt;&gt;"",$X41&lt;&gt;"--",$X41&lt;&gt;"O3/CP",$X$14=B$18),IF(LEFT($X41,1)="P",VLOOKUP(CONCATENATE(LEFT($X41,2),"H"),$R$63:$T$91,3,FALSE),VLOOKUP($X41,$R$63:$T$91,3,FALSE)))+IF(AND($X41&lt;&gt;"",$X41&lt;&gt;"O3/CP",$X$15=B$18,MID($X41,4,1)="2",$X$15&lt;&gt;$X$14),VLOOKUP(CONCATENATE(LEFT($X41,2),"L"),$R$63:$T$91,3,FALSE),0)+IF(AND($X41="O3/CP",$X$14=B$18),VLOOKUP("O3",$R$63:$T$91,3,FALSE)+VLOOKUP("CP",$R$63:$T$91,3,FALSE),0)+IF(AND($Y41&lt;&gt;"",$Y41&lt;&gt;"--",$Y41&lt;&gt;"O3/CP",$Y$14=B$18),IF(LEFT($Y41,1)="P",VLOOKUP(CONCATENATE(LEFT($Y41,2),"H"),$R$63:$T$91,3,FALSE),VLOOKUP($Y41,$R$63:$T$91,3,FALSE)))+IF(AND($Y41&lt;&gt;"",$Y41&lt;&gt;"O3/CP",$Y$15=B$18,MID($Y41,4,1)="2",$Y$15&lt;&gt;$Y$14),VLOOKUP(CONCATENATE(LEFT($Y41,2),"L"),$R$63:$T$91,3,FALSE),0)+IF(AND($Y41="O3/CP",$Y$14=B$18),VLOOKUP("O3",$R$63:$T$91,3,FALSE)+VLOOKUP("CP",$R$63:$T$91,3,FALSE),0)+IF(AND($K$6="CE",'[3]Supply Attribution'!$G$20=B$18),LEFT($S$90,2),0)+IF(AND($X$86&lt;&gt;"Not Set",$X$87=B$18),$X$86,0)</f>
        <v>0</v>
      </c>
      <c r="C41" s="271">
        <f>IF(AND($K41&lt;&gt;"",$K41&lt;&gt;"--",$K41&lt;&gt;"O3/CP",$K$14=C$18),IF(LEFT($K41,1)="P",VLOOKUP(CONCATENATE(LEFT($K41,2),"H"),$R$63:$T$91,3,FALSE),VLOOKUP($K41,$R$63:$T$91,3,FALSE)))+IF(AND($K41&lt;&gt;"",$K41&lt;&gt;"O3/CP",$K$15=C$18,MID($K41,4,1)="2",$K$15&lt;&gt;$K$14),VLOOKUP(CONCATENATE(LEFT($K41,2),"L"),$R$63:$T$91,3,FALSE),0)+IF(AND($K41="O3/CP",$K$14=C$18),VLOOKUP("O3",$R$63:$T$91,3,FALSE)+VLOOKUP("CP",$R$63:$T$91,3,FALSE),0)+IF(AND($L41&lt;&gt;"",$L41&lt;&gt;"--",$L41&lt;&gt;"O3/CP",$L$14=C$18),IF(LEFT($L41,1)="P",VLOOKUP(CONCATENATE(LEFT($L41,2),"H"),$R$63:$T$91,3,FALSE),VLOOKUP($L41,$R$63:$T$91,3,FALSE)))+IF(AND($L41&lt;&gt;"",$L41&lt;&gt;"O3/CP",$L$15=C$18,MID($L41,4,1)="2",$L$15&lt;&gt;$L$14),VLOOKUP(CONCATENATE(LEFT($L41,2),"L"),$R$63:$T$91,3,FALSE),0)+IF(AND($L41="O3/CP",$L$14=C$18),VLOOKUP("O3",$R$63:$T$91,3,FALSE)+VLOOKUP("CP",$R$63:$T$91,3,FALSE),0)+IF(AND($M41&lt;&gt;"",$M41&lt;&gt;"--",$M41&lt;&gt;"O3/CP",$M$14=C$18),IF(LEFT($M41,1)="P",VLOOKUP(CONCATENATE(LEFT($M41,2),"H"),$R$63:$T$91,3,FALSE),VLOOKUP($M41,$R$63:$T$91,3,FALSE)))+IF(AND($M41&lt;&gt;"",$M41&lt;&gt;"O3/CP",$M$15=C$18,MID($M41,4,1)="2",$M$15&lt;&gt;$M$14),VLOOKUP(CONCATENATE(LEFT($M41,2),"L"),$R$63:$T$91,3,FALSE),0)+IF(AND($M41="O3/CP",$M$14=C$18),VLOOKUP("O3",$R$63:$T$91,3,FALSE)+VLOOKUP("CP",$R$63:$T$91,3,FALSE),0)+IF(AND($N41&lt;&gt;"",$N41&lt;&gt;"--",$N41&lt;&gt;"O3/CP",$N$14=C$18),IF(LEFT($N41,1)="P",VLOOKUP(CONCATENATE(LEFT($N41,2),"H"),$R$63:$T$91,3,FALSE),VLOOKUP($N41,$R$63:$T$91,3,FALSE)))+IF(AND($N41&lt;&gt;"",$N41&lt;&gt;"O3/CP",$N$15=C$18,MID($N41,4,1)="2",$N$15&lt;&gt;$N$14),VLOOKUP(CONCATENATE(LEFT($N41,2),"L"),$R$63:$T$91,3,FALSE),0)+IF(AND($N41="O3/CP",$N$14=C$18),VLOOKUP("O3",$R$63:$T$91,3,FALSE)+VLOOKUP("CP",$R$63:$T$91,3,FALSE),0)+IF(AND($O41&lt;&gt;"",$O41&lt;&gt;"--",$O41&lt;&gt;"O3/CP",$O$14=C$18),IF(LEFT($O41,1)="P",VLOOKUP(CONCATENATE(LEFT($O41,2),"H"),$R$63:$T$91,3,FALSE),VLOOKUP($O41,$R$63:$T$91,3,FALSE)))+IF(AND($O41&lt;&gt;"",$O41&lt;&gt;"O3/CP",$O$15=C$18,MID($O41,4,1)="2",$O$15&lt;&gt;$O$14),VLOOKUP(CONCATENATE(LEFT($O41,2),"L"),$R$63:$T$91,3,FALSE),0)+IF(AND($O41="O3/CP",$O$14=C$18),VLOOKUP("O3",$R$63:$T$91,3,FALSE)+VLOOKUP("CP",$R$63:$T$91,3,FALSE),0)+IF(AND($P41&lt;&gt;"",$P41&lt;&gt;"--",$P41&lt;&gt;"O3/CP",$P$14=C$18),IF(LEFT($P41,1)="P",VLOOKUP(CONCATENATE(LEFT($P41,2),"H"),$R$63:$T$91,3,FALSE),VLOOKUP($P41,$R$63:$T$91,3,FALSE)))+IF(AND($P41&lt;&gt;"",$P41&lt;&gt;"O3/CP",$P$15=C$18,MID($P41,4,1)="2",$P$15&lt;&gt;$P$14),VLOOKUP(CONCATENATE(LEFT($P41,2),"L"),$R$63:$T$91,3,FALSE),0)+IF(AND($P41="O3/CP",$P$14=C$18),VLOOKUP("O3",$R$63:$T$91,3,FALSE)+VLOOKUP("CP",$R$63:$T$91,3,FALSE),0)+IF(AND($Q41&lt;&gt;"",$Q41&lt;&gt;"--",$Q41&lt;&gt;"O3/CP",$Q$14=C$18),IF(LEFT($Q41,1)="P",VLOOKUP(CONCATENATE(LEFT($Q41,2),"H"),$R$63:$T$91,3,FALSE),VLOOKUP($Q41,$R$63:$T$91,3,FALSE)))+IF(AND($Q41&lt;&gt;"",$Q41&lt;&gt;"O3/CP",$Q$15=C$18,MID($Q41,4,1)="2",$Q$15&lt;&gt;$Q$14),VLOOKUP(CONCATENATE(LEFT($Q41,2),"L"),$R$63:$T$91,3,FALSE),0)+IF(AND($Q41="O3/CP",$Q$14=C$18),VLOOKUP("O3",$R$63:$T$91,3,FALSE)+VLOOKUP("CP",$R$63:$T$91,3,FALSE),0)+IF(AND($R41&lt;&gt;"",$R41&lt;&gt;"--",$R41&lt;&gt;"O3/CP",$R$14=C$18),IF(LEFT($R41,1)="P",VLOOKUP(CONCATENATE(LEFT($R41,2),"H"),$R$63:$T$91,3,FALSE),VLOOKUP($R41,$R$63:$T$91,3,FALSE)))+IF(AND($R41&lt;&gt;"",$R41&lt;&gt;"O3/CP",$R$15=C$18,MID($R41,4,1)="2",$R$15&lt;&gt;$R$14),VLOOKUP(CONCATENATE(LEFT($R41,2),"L"),$R$63:$T$91,3,FALSE),0)+IF(AND($R41="O3/CP",$R$14=C$18),VLOOKUP("O3",$R$63:$T$91,3,FALSE)+VLOOKUP("CP",$R$63:$T$91,3,FALSE),0)+IF(AND($S41&lt;&gt;"",$S41&lt;&gt;"--",$S41&lt;&gt;"O3/CP",$S$14=C$18),IF(LEFT($S41,1)="P",VLOOKUP(CONCATENATE(LEFT($S41,2),"H"),$R$63:$T$91,3,FALSE),VLOOKUP($S41,$R$63:$T$91,3,FALSE)))+IF(AND($S41&lt;&gt;"",$S41&lt;&gt;"O3/CP",$S$15=C$18,MID($S41,4,1)="2",$S$15&lt;&gt;$S$14),VLOOKUP(CONCATENATE(LEFT($S41,2),"L"),$R$63:$T$91,3,FALSE),0)+IF(AND($S41="O3/CP",$S$14=C$18),VLOOKUP("O3",$R$63:$T$91,3,FALSE)+VLOOKUP("CP",$R$63:$T$91,3,FALSE),0)+IF(AND($T41&lt;&gt;"",$T41&lt;&gt;"--",$T41&lt;&gt;"O3/CP",$T$14=C$18),IF(LEFT($T41,1)="P",VLOOKUP(CONCATENATE(LEFT($T41,2),"H"),$R$63:$T$91,3,FALSE),VLOOKUP($T41,$R$63:$T$91,3,FALSE)))+IF(AND($T41&lt;&gt;"",$T41&lt;&gt;"O3/CP",$T$15=C$18,MID($T41,4,1)="2",$T$15&lt;&gt;$T$14),VLOOKUP(CONCATENATE(LEFT($T41,2),"L"),$R$63:$T$91,3,FALSE),0)+IF(AND($T41="O3/CP",$T$14=C$18),VLOOKUP("O3",$R$63:$T$91,3,FALSE)+VLOOKUP("CP",$R$63:$T$91,3,FALSE),0)+IF(AND($U41&lt;&gt;"",$U41&lt;&gt;"--",$U41&lt;&gt;"O3/CP",$U$14=C$18),IF(LEFT($U41,1)="P",VLOOKUP(CONCATENATE(LEFT($U41,2),"H"),$R$63:$T$91,3,FALSE),VLOOKUP($U41,$R$63:$T$91,3,FALSE)))+IF(AND($U41&lt;&gt;"",$U41&lt;&gt;"O3/CP",$U$15=C$18,MID($U41,4,1)="2",$U$15&lt;&gt;$U$14),VLOOKUP(CONCATENATE(LEFT($U41,2),"L"),$R$63:$T$91,3,FALSE),0)+IF(AND($U41="O3/CP",$T$14=C$18),VLOOKUP("O3",$R$63:$T$91,3,FALSE)+VLOOKUP("CP",$R$63:$T$91,3,FALSE),0)+IF(AND($V41&lt;&gt;"",$V41&lt;&gt;"--",$V41&lt;&gt;"O3/CP",$V$14=C$18),IF(LEFT($V41,1)="P",VLOOKUP(CONCATENATE(LEFT($V41,2),"H"),$R$63:$T$91,3,FALSE),VLOOKUP($V41,$R$63:$T$91,3,FALSE)))+IF(AND($V41&lt;&gt;"",$V41&lt;&gt;"O3/CP",$V$15=C$18,MID($V41,4,1)="2",$V$15&lt;&gt;$V$14),VLOOKUP(CONCATENATE(LEFT($V41,2),"L"),$R$63:$T$91,3,FALSE),0)+IF(AND($V41="O3/CP",$V$14=C$18),VLOOKUP("O3",$R$63:$T$91,3,FALSE)+VLOOKUP("CP",$R$63:$T$91,3,FALSE),0)+IF(AND($W41&lt;&gt;"",$W41&lt;&gt;"--",$W41&lt;&gt;"O3/CP",$W$14=C$18),IF(LEFT($W41,1)="P",VLOOKUP(CONCATENATE(LEFT($W41,2),"H"),$R$63:$T$91,3,FALSE),VLOOKUP($W41,$R$63:$T$91,3,FALSE)))+IF(AND($W41&lt;&gt;"",$W41&lt;&gt;"O3/CP",$W$15=C$18,MID($W41,4,1)="2",$W$15&lt;&gt;$W$14),VLOOKUP(CONCATENATE(LEFT($W41,2),"L"),$R$63:$T$91,3,FALSE),0)+IF(AND($W41="O3/CP",$W$14=C$18),VLOOKUP("O3",$R$63:$T$91,3,FALSE)+VLOOKUP("CP",$R$63:$T$91,3,FALSE),0)+IF(AND($X41&lt;&gt;"",$X41&lt;&gt;"--",$X41&lt;&gt;"O3/CP",$X$14=C$18),IF(LEFT($X41,1)="P",VLOOKUP(CONCATENATE(LEFT($X41,2),"H"),$R$63:$T$91,3,FALSE),VLOOKUP($X41,$R$63:$T$91,3,FALSE)))+IF(AND($X41&lt;&gt;"",$X41&lt;&gt;"O3/CP",$X$15=C$18,MID($X41,4,1)="2",$X$15&lt;&gt;$X$14),VLOOKUP(CONCATENATE(LEFT($X41,2),"L"),$R$63:$T$91,3,FALSE),0)+IF(AND($X41="O3/CP",$X$14=C$18),VLOOKUP("O3",$R$63:$T$91,3,FALSE)+VLOOKUP("CP",$R$63:$T$91,3,FALSE),0)+IF(AND($Y41&lt;&gt;"",$Y41&lt;&gt;"--",$Y41&lt;&gt;"O3/CP",$Y$14=C$18),IF(LEFT($Y41,1)="P",VLOOKUP(CONCATENATE(LEFT($Y41,2),"H"),$R$63:$T$91,3,FALSE),VLOOKUP($Y41,$R$63:$T$91,3,FALSE)))+IF(AND($Y41&lt;&gt;"",$Y41&lt;&gt;"O3/CP",$Y$15=C$18,MID($Y41,4,1)="2",$Y$15&lt;&gt;$Y$14),VLOOKUP(CONCATENATE(LEFT($Y41,2),"L"),$R$63:$T$91,3,FALSE),0)+IF(AND($Y41="O3/CP",$Y$14=C$18),VLOOKUP("O3",$R$63:$T$91,3,FALSE)+VLOOKUP("CP",$R$63:$T$91,3,FALSE),0)+IF(AND($K$6="CE",'[3]Supply Attribution'!$G$20=C$18),LEFT($S$90,2),0)+IF(AND($X$86&lt;&gt;"Not Set",$X$87=C$18),$X$86,0)</f>
        <v>0</v>
      </c>
      <c r="D41" s="271">
        <f>IF(AND($K41&lt;&gt;"",$K41&lt;&gt;"--",$K41&lt;&gt;"O3/CP",$K$14=D$18),IF(LEFT($K41,1)="P",VLOOKUP(CONCATENATE(LEFT($K41,2),"H"),$R$63:$T$91,3,FALSE),VLOOKUP($K41,$R$63:$T$91,3,FALSE)))+IF(AND($K41&lt;&gt;"",$K41&lt;&gt;"O3/CP",$K$15=D$18,MID($K41,4,1)="2",$K$15&lt;&gt;$K$14),VLOOKUP(CONCATENATE(LEFT($K41,2),"L"),$R$63:$T$91,3,FALSE),0)+IF(AND($K41="O3/CP",$K$14=D$18),VLOOKUP("O3",$R$63:$T$91,3,FALSE)+VLOOKUP("CP",$R$63:$T$91,3,FALSE),0)+IF(AND($L41&lt;&gt;"",$L41&lt;&gt;"--",$L41&lt;&gt;"O3/CP",$L$14=D$18),IF(LEFT($L41,1)="P",VLOOKUP(CONCATENATE(LEFT($L41,2),"H"),$R$63:$T$91,3,FALSE),VLOOKUP($L41,$R$63:$T$91,3,FALSE)))+IF(AND($L41&lt;&gt;"",$L41&lt;&gt;"O3/CP",$L$15=D$18,MID($L41,4,1)="2",$L$15&lt;&gt;$L$14),VLOOKUP(CONCATENATE(LEFT($L41,2),"L"),$R$63:$T$91,3,FALSE),0)+IF(AND($L41="O3/CP",$L$14=D$18),VLOOKUP("O3",$R$63:$T$91,3,FALSE)+VLOOKUP("CP",$R$63:$T$91,3,FALSE),0)+IF(AND($M41&lt;&gt;"",$M41&lt;&gt;"--",$M41&lt;&gt;"O3/CP",$M$14=D$18),IF(LEFT($M41,1)="P",VLOOKUP(CONCATENATE(LEFT($M41,2),"H"),$R$63:$T$91,3,FALSE),VLOOKUP($M41,$R$63:$T$91,3,FALSE)))+IF(AND($M41&lt;&gt;"",$M41&lt;&gt;"O3/CP",$M$15=D$18,MID($M41,4,1)="2",$M$15&lt;&gt;$M$14),VLOOKUP(CONCATENATE(LEFT($M41,2),"L"),$R$63:$T$91,3,FALSE),0)+IF(AND($M41="O3/CP",$M$14=D$18),VLOOKUP("O3",$R$63:$T$91,3,FALSE)+VLOOKUP("CP",$R$63:$T$91,3,FALSE),0)+IF(AND($N41&lt;&gt;"",$N41&lt;&gt;"--",$N41&lt;&gt;"O3/CP",$N$14=D$18),IF(LEFT($N41,1)="P",VLOOKUP(CONCATENATE(LEFT($N41,2),"H"),$R$63:$T$91,3,FALSE),VLOOKUP($N41,$R$63:$T$91,3,FALSE)))+IF(AND($N41&lt;&gt;"",$N41&lt;&gt;"O3/CP",$N$15=D$18,MID($N41,4,1)="2",$N$15&lt;&gt;$N$14),VLOOKUP(CONCATENATE(LEFT($N41,2),"L"),$R$63:$T$91,3,FALSE),0)+IF(AND($N41="O3/CP",$N$14=D$18),VLOOKUP("O3",$R$63:$T$91,3,FALSE)+VLOOKUP("CP",$R$63:$T$91,3,FALSE),0)+IF(AND($O41&lt;&gt;"",$O41&lt;&gt;"--",$O41&lt;&gt;"O3/CP",$O$14=D$18),IF(LEFT($O41,1)="P",VLOOKUP(CONCATENATE(LEFT($O41,2),"H"),$R$63:$T$91,3,FALSE),VLOOKUP($O41,$R$63:$T$91,3,FALSE)))+IF(AND($O41&lt;&gt;"",$O41&lt;&gt;"O3/CP",$O$15=D$18,MID($O41,4,1)="2",$O$15&lt;&gt;$O$14),VLOOKUP(CONCATENATE(LEFT($O41,2),"L"),$R$63:$T$91,3,FALSE),0)+IF(AND($O41="O3/CP",$O$14=D$18),VLOOKUP("O3",$R$63:$T$91,3,FALSE)+VLOOKUP("CP",$R$63:$T$91,3,FALSE),0)+IF(AND($P41&lt;&gt;"",$P41&lt;&gt;"--",$P41&lt;&gt;"O3/CP",$P$14=D$18),IF(LEFT($P41,1)="P",VLOOKUP(CONCATENATE(LEFT($P41,2),"H"),$R$63:$T$91,3,FALSE),VLOOKUP($P41,$R$63:$T$91,3,FALSE)))+IF(AND($P41&lt;&gt;"",$P41&lt;&gt;"O3/CP",$P$15=D$18,MID($P41,4,1)="2",$P$15&lt;&gt;$P$14),VLOOKUP(CONCATENATE(LEFT($P41,2),"L"),$R$63:$T$91,3,FALSE),0)+IF(AND($P41="O3/CP",$P$14=D$18),VLOOKUP("O3",$R$63:$T$91,3,FALSE)+VLOOKUP("CP",$R$63:$T$91,3,FALSE),0)+IF(AND($Q41&lt;&gt;"",$Q41&lt;&gt;"--",$Q41&lt;&gt;"O3/CP",$Q$14=D$18),IF(LEFT($Q41,1)="P",VLOOKUP(CONCATENATE(LEFT($Q41,2),"H"),$R$63:$T$91,3,FALSE),VLOOKUP($Q41,$R$63:$T$91,3,FALSE)))+IF(AND($Q41&lt;&gt;"",$Q41&lt;&gt;"O3/CP",$Q$15=D$18,MID($Q41,4,1)="2",$Q$15&lt;&gt;$Q$14),VLOOKUP(CONCATENATE(LEFT($Q41,2),"L"),$R$63:$T$91,3,FALSE),0)+IF(AND($Q41="O3/CP",$Q$14=D$18),VLOOKUP("O3",$R$63:$T$91,3,FALSE)+VLOOKUP("CP",$R$63:$T$91,3,FALSE),0)+IF(AND($R41&lt;&gt;"",$R41&lt;&gt;"--",$R41&lt;&gt;"O3/CP",$R$14=D$18),IF(LEFT($R41,1)="P",VLOOKUP(CONCATENATE(LEFT($R41,2),"H"),$R$63:$T$91,3,FALSE),VLOOKUP($R41,$R$63:$T$91,3,FALSE)))+IF(AND($R41&lt;&gt;"",$R41&lt;&gt;"O3/CP",$R$15=D$18,MID($R41,4,1)="2",$R$15&lt;&gt;$R$14),VLOOKUP(CONCATENATE(LEFT($R41,2),"L"),$R$63:$T$91,3,FALSE),0)+IF(AND($R41="O3/CP",$R$14=D$18),VLOOKUP("O3",$R$63:$T$91,3,FALSE)+VLOOKUP("CP",$R$63:$T$91,3,FALSE),0)+IF(AND($S41&lt;&gt;"",$S41&lt;&gt;"--",$S41&lt;&gt;"O3/CP",$S$14=D$18),IF(LEFT($S41,1)="P",VLOOKUP(CONCATENATE(LEFT($S41,2),"H"),$R$63:$T$91,3,FALSE),VLOOKUP($S41,$R$63:$T$91,3,FALSE)))+IF(AND($S41&lt;&gt;"",$S41&lt;&gt;"O3/CP",$S$15=D$18,MID($S41,4,1)="2",$S$15&lt;&gt;$S$14),VLOOKUP(CONCATENATE(LEFT($S41,2),"L"),$R$63:$T$91,3,FALSE),0)+IF(AND($S41="O3/CP",$S$14=D$18),VLOOKUP("O3",$R$63:$T$91,3,FALSE)+VLOOKUP("CP",$R$63:$T$91,3,FALSE),0)+IF(AND($T41&lt;&gt;"",$T41&lt;&gt;"--",$T41&lt;&gt;"O3/CP",$T$14=D$18),IF(LEFT($T41,1)="P",VLOOKUP(CONCATENATE(LEFT($T41,2),"H"),$R$63:$T$91,3,FALSE),VLOOKUP($T41,$R$63:$T$91,3,FALSE)))+IF(AND($T41&lt;&gt;"",$T41&lt;&gt;"O3/CP",$T$15=D$18,MID($T41,4,1)="2",$T$15&lt;&gt;$T$14),VLOOKUP(CONCATENATE(LEFT($T41,2),"L"),$R$63:$T$91,3,FALSE),0)+IF(AND($T41="O3/CP",$T$14=D$18),VLOOKUP("O3",$R$63:$T$91,3,FALSE)+VLOOKUP("CP",$R$63:$T$91,3,FALSE),0)+IF(AND($U41&lt;&gt;"",$U41&lt;&gt;"--",$U41&lt;&gt;"O3/CP",$U$14=D$18),IF(LEFT($U41,1)="P",VLOOKUP(CONCATENATE(LEFT($U41,2),"H"),$R$63:$T$91,3,FALSE),VLOOKUP($U41,$R$63:$T$91,3,FALSE)))+IF(AND($U41&lt;&gt;"",$U41&lt;&gt;"O3/CP",$U$15=D$18,MID($U41,4,1)="2",$U$15&lt;&gt;$U$14),VLOOKUP(CONCATENATE(LEFT($U41,2),"L"),$R$63:$T$91,3,FALSE),0)+IF(AND($U41="O3/CP",$T$14=D$18),VLOOKUP("O3",$R$63:$T$91,3,FALSE)+VLOOKUP("CP",$R$63:$T$91,3,FALSE),0)+IF(AND($V41&lt;&gt;"",$V41&lt;&gt;"--",$V41&lt;&gt;"O3/CP",$V$14=D$18),IF(LEFT($V41,1)="P",VLOOKUP(CONCATENATE(LEFT($V41,2),"H"),$R$63:$T$91,3,FALSE),VLOOKUP($V41,$R$63:$T$91,3,FALSE)))+IF(AND($V41&lt;&gt;"",$V41&lt;&gt;"O3/CP",$V$15=D$18,MID($V41,4,1)="2",$V$15&lt;&gt;$V$14),VLOOKUP(CONCATENATE(LEFT($V41,2),"L"),$R$63:$T$91,3,FALSE),0)+IF(AND($V41="O3/CP",$V$14=D$18),VLOOKUP("O3",$R$63:$T$91,3,FALSE)+VLOOKUP("CP",$R$63:$T$91,3,FALSE),0)+IF(AND($W41&lt;&gt;"",$W41&lt;&gt;"--",$W41&lt;&gt;"O3/CP",$W$14=D$18),IF(LEFT($W41,1)="P",VLOOKUP(CONCATENATE(LEFT($W41,2),"H"),$R$63:$T$91,3,FALSE),VLOOKUP($W41,$R$63:$T$91,3,FALSE)))+IF(AND($W41&lt;&gt;"",$W41&lt;&gt;"O3/CP",$W$15=D$18,MID($W41,4,1)="2",$W$15&lt;&gt;$W$14),VLOOKUP(CONCATENATE(LEFT($W41,2),"L"),$R$63:$T$91,3,FALSE),0)+IF(AND($W41="O3/CP",$W$14=D$18),VLOOKUP("O3",$R$63:$T$91,3,FALSE)+VLOOKUP("CP",$R$63:$T$91,3,FALSE),0)+IF(AND($X41&lt;&gt;"",$X41&lt;&gt;"--",$X41&lt;&gt;"O3/CP",$X$14=D$18),IF(LEFT($X41,1)="P",VLOOKUP(CONCATENATE(LEFT($X41,2),"H"),$R$63:$T$91,3,FALSE),VLOOKUP($X41,$R$63:$T$91,3,FALSE)))+IF(AND($X41&lt;&gt;"",$X41&lt;&gt;"O3/CP",$X$15=D$18,MID($X41,4,1)="2",$X$15&lt;&gt;$X$14),VLOOKUP(CONCATENATE(LEFT($X41,2),"L"),$R$63:$T$91,3,FALSE),0)+IF(AND($X41="O3/CP",$X$14=D$18),VLOOKUP("O3",$R$63:$T$91,3,FALSE)+VLOOKUP("CP",$R$63:$T$91,3,FALSE),0)+IF(AND($Y41&lt;&gt;"",$Y41&lt;&gt;"--",$Y41&lt;&gt;"O3/CP",$Y$14=D$18),IF(LEFT($Y41,1)="P",VLOOKUP(CONCATENATE(LEFT($Y41,2),"H"),$R$63:$T$91,3,FALSE),VLOOKUP($Y41,$R$63:$T$91,3,FALSE)))+IF(AND($Y41&lt;&gt;"",$Y41&lt;&gt;"O3/CP",$Y$15=D$18,MID($Y41,4,1)="2",$Y$15&lt;&gt;$Y$14),VLOOKUP(CONCATENATE(LEFT($Y41,2),"L"),$R$63:$T$91,3,FALSE),0)+IF(AND($Y41="O3/CP",$Y$14=D$18),VLOOKUP("O3",$R$63:$T$91,3,FALSE)+VLOOKUP("CP",$R$63:$T$91,3,FALSE),0)+IF(AND($K$6="CE",'[3]Supply Attribution'!$G$20=D$18),LEFT($S$90,2),0)+IF(AND($X$86&lt;&gt;"Not Set",$X$87=D$18),$X$86,0)</f>
        <v>0</v>
      </c>
      <c r="E41" s="271">
        <f>IF(AND($K41&lt;&gt;"",$K41&lt;&gt;"--",$K41&lt;&gt;"O3/CP",$K$14=E$18),IF(LEFT($K41,1)="P",VLOOKUP(CONCATENATE(LEFT($K41,2),"H"),$R$63:$T$91,3,FALSE),VLOOKUP($K41,$R$63:$T$91,3,FALSE)))+IF(AND($K41&lt;&gt;"",$K41&lt;&gt;"O3/CP",$K$15=E$18,MID($K41,4,1)="2",$K$15&lt;&gt;$K$14),VLOOKUP(CONCATENATE(LEFT($K41,2),"L"),$R$63:$T$91,3,FALSE),0)+IF(AND($K41="O3/CP",$K$14=E$18),VLOOKUP("O3",$R$63:$T$91,3,FALSE)+VLOOKUP("CP",$R$63:$T$91,3,FALSE),0)+IF(AND($L41&lt;&gt;"",$L41&lt;&gt;"--",$L41&lt;&gt;"O3/CP",$L$14=E$18),IF(LEFT($L41,1)="P",VLOOKUP(CONCATENATE(LEFT($L41,2),"H"),$R$63:$T$91,3,FALSE),VLOOKUP($L41,$R$63:$T$91,3,FALSE)))+IF(AND($L41&lt;&gt;"",$L41&lt;&gt;"O3/CP",$L$15=E$18,MID($L41,4,1)="2",$L$15&lt;&gt;$L$14),VLOOKUP(CONCATENATE(LEFT($L41,2),"L"),$R$63:$T$91,3,FALSE),0)+IF(AND($L41="O3/CP",$L$14=E$18),VLOOKUP("O3",$R$63:$T$91,3,FALSE)+VLOOKUP("CP",$R$63:$T$91,3,FALSE),0)+IF(AND($M41&lt;&gt;"",$M41&lt;&gt;"--",$M41&lt;&gt;"O3/CP",$M$14=E$18),IF(LEFT($M41,1)="P",VLOOKUP(CONCATENATE(LEFT($M41,2),"H"),$R$63:$T$91,3,FALSE),VLOOKUP($M41,$R$63:$T$91,3,FALSE)))+IF(AND($M41&lt;&gt;"",$M41&lt;&gt;"O3/CP",$M$15=E$18,MID($M41,4,1)="2",$M$15&lt;&gt;$M$14),VLOOKUP(CONCATENATE(LEFT($M41,2),"L"),$R$63:$T$91,3,FALSE),0)+IF(AND($M41="O3/CP",$M$14=E$18),VLOOKUP("O3",$R$63:$T$91,3,FALSE)+VLOOKUP("CP",$R$63:$T$91,3,FALSE),0)+IF(AND($N41&lt;&gt;"",$N41&lt;&gt;"--",$N41&lt;&gt;"O3/CP",$N$14=E$18),IF(LEFT($N41,1)="P",VLOOKUP(CONCATENATE(LEFT($N41,2),"H"),$R$63:$T$91,3,FALSE),VLOOKUP($N41,$R$63:$T$91,3,FALSE)))+IF(AND($N41&lt;&gt;"",$N41&lt;&gt;"O3/CP",$N$15=E$18,MID($N41,4,1)="2",$N$15&lt;&gt;$N$14),VLOOKUP(CONCATENATE(LEFT($N41,2),"L"),$R$63:$T$91,3,FALSE),0)+IF(AND($N41="O3/CP",$N$14=E$18),VLOOKUP("O3",$R$63:$T$91,3,FALSE)+VLOOKUP("CP",$R$63:$T$91,3,FALSE),0)+IF(AND($O41&lt;&gt;"",$O41&lt;&gt;"--",$O41&lt;&gt;"O3/CP",$O$14=E$18),IF(LEFT($O41,1)="P",VLOOKUP(CONCATENATE(LEFT($O41,2),"H"),$R$63:$T$91,3,FALSE),VLOOKUP($O41,$R$63:$T$91,3,FALSE)))+IF(AND($O41&lt;&gt;"",$O41&lt;&gt;"O3/CP",$O$15=E$18,MID($O41,4,1)="2",$O$15&lt;&gt;$O$14),VLOOKUP(CONCATENATE(LEFT($O41,2),"L"),$R$63:$T$91,3,FALSE),0)+IF(AND($O41="O3/CP",$O$14=E$18),VLOOKUP("O3",$R$63:$T$91,3,FALSE)+VLOOKUP("CP",$R$63:$T$91,3,FALSE),0)+IF(AND($P41&lt;&gt;"",$P41&lt;&gt;"--",$P41&lt;&gt;"O3/CP",$P$14=E$18),IF(LEFT($P41,1)="P",VLOOKUP(CONCATENATE(LEFT($P41,2),"H"),$R$63:$T$91,3,FALSE),VLOOKUP($P41,$R$63:$T$91,3,FALSE)))+IF(AND($P41&lt;&gt;"",$P41&lt;&gt;"O3/CP",$P$15=E$18,MID($P41,4,1)="2",$P$15&lt;&gt;$P$14),VLOOKUP(CONCATENATE(LEFT($P41,2),"L"),$R$63:$T$91,3,FALSE),0)+IF(AND($P41="O3/CP",$P$14=E$18),VLOOKUP("O3",$R$63:$T$91,3,FALSE)+VLOOKUP("CP",$R$63:$T$91,3,FALSE),0)+IF(AND($Q41&lt;&gt;"",$Q41&lt;&gt;"--",$Q41&lt;&gt;"O3/CP",$Q$14=E$18),IF(LEFT($Q41,1)="P",VLOOKUP(CONCATENATE(LEFT($Q41,2),"H"),$R$63:$T$91,3,FALSE),VLOOKUP($Q41,$R$63:$T$91,3,FALSE)))+IF(AND($Q41&lt;&gt;"",$Q41&lt;&gt;"O3/CP",$Q$15=E$18,MID($Q41,4,1)="2",$Q$15&lt;&gt;$Q$14),VLOOKUP(CONCATENATE(LEFT($Q41,2),"L"),$R$63:$T$91,3,FALSE),0)+IF(AND($Q41="O3/CP",$Q$14=E$18),VLOOKUP("O3",$R$63:$T$91,3,FALSE)+VLOOKUP("CP",$R$63:$T$91,3,FALSE),0)+IF(AND($R41&lt;&gt;"",$R41&lt;&gt;"--",$R41&lt;&gt;"O3/CP",$R$14=E$18),IF(LEFT($R41,1)="P",VLOOKUP(CONCATENATE(LEFT($R41,2),"H"),$R$63:$T$91,3,FALSE),VLOOKUP($R41,$R$63:$T$91,3,FALSE)))+IF(AND($R41&lt;&gt;"",$R41&lt;&gt;"O3/CP",$R$15=E$18,MID($R41,4,1)="2",$R$15&lt;&gt;$R$14),VLOOKUP(CONCATENATE(LEFT($R41,2),"L"),$R$63:$T$91,3,FALSE),0)+IF(AND($R41="O3/CP",$R$14=E$18),VLOOKUP("O3",$R$63:$T$91,3,FALSE)+VLOOKUP("CP",$R$63:$T$91,3,FALSE),0)+IF(AND($S41&lt;&gt;"",$S41&lt;&gt;"--",$S41&lt;&gt;"O3/CP",$S$14=E$18),IF(LEFT($S41,1)="P",VLOOKUP(CONCATENATE(LEFT($S41,2),"H"),$R$63:$T$91,3,FALSE),VLOOKUP($S41,$R$63:$T$91,3,FALSE)))+IF(AND($S41&lt;&gt;"",$S41&lt;&gt;"O3/CP",$S$15=E$18,MID($S41,4,1)="2",$S$15&lt;&gt;$S$14),VLOOKUP(CONCATENATE(LEFT($S41,2),"L"),$R$63:$T$91,3,FALSE),0)+IF(AND($S41="O3/CP",$S$14=E$18),VLOOKUP("O3",$R$63:$T$91,3,FALSE)+VLOOKUP("CP",$R$63:$T$91,3,FALSE),0)+IF(AND($T41&lt;&gt;"",$T41&lt;&gt;"--",$T41&lt;&gt;"O3/CP",$T$14=E$18),IF(LEFT($T41,1)="P",VLOOKUP(CONCATENATE(LEFT($T41,2),"H"),$R$63:$T$91,3,FALSE),VLOOKUP($T41,$R$63:$T$91,3,FALSE)))+IF(AND($T41&lt;&gt;"",$T41&lt;&gt;"O3/CP",$T$15=E$18,MID($T41,4,1)="2",$T$15&lt;&gt;$T$14),VLOOKUP(CONCATENATE(LEFT($T41,2),"L"),$R$63:$T$91,3,FALSE),0)+IF(AND($T41="O3/CP",$T$14=E$18),VLOOKUP("O3",$R$63:$T$91,3,FALSE)+VLOOKUP("CP",$R$63:$T$91,3,FALSE),0)+IF(AND($U41&lt;&gt;"",$U41&lt;&gt;"--",$U41&lt;&gt;"O3/CP",$U$14=E$18),IF(LEFT($U41,1)="P",VLOOKUP(CONCATENATE(LEFT($U41,2),"H"),$R$63:$T$91,3,FALSE),VLOOKUP($U41,$R$63:$T$91,3,FALSE)))+IF(AND($U41&lt;&gt;"",$U41&lt;&gt;"O3/CP",$U$15=E$18,MID($U41,4,1)="2",$U$15&lt;&gt;$U$14),VLOOKUP(CONCATENATE(LEFT($U41,2),"L"),$R$63:$T$91,3,FALSE),0)+IF(AND($U41="O3/CP",$T$14=E$18),VLOOKUP("O3",$R$63:$T$91,3,FALSE)+VLOOKUP("CP",$R$63:$T$91,3,FALSE),0)+IF(AND($V41&lt;&gt;"",$V41&lt;&gt;"--",$V41&lt;&gt;"O3/CP",$V$14=E$18),IF(LEFT($V41,1)="P",VLOOKUP(CONCATENATE(LEFT($V41,2),"H"),$R$63:$T$91,3,FALSE),VLOOKUP($V41,$R$63:$T$91,3,FALSE)))+IF(AND($V41&lt;&gt;"",$V41&lt;&gt;"O3/CP",$V$15=E$18,MID($V41,4,1)="2",$V$15&lt;&gt;$V$14),VLOOKUP(CONCATENATE(LEFT($V41,2),"L"),$R$63:$T$91,3,FALSE),0)+IF(AND($V41="O3/CP",$V$14=E$18),VLOOKUP("O3",$R$63:$T$91,3,FALSE)+VLOOKUP("CP",$R$63:$T$91,3,FALSE),0)+IF(AND($W41&lt;&gt;"",$W41&lt;&gt;"--",$W41&lt;&gt;"O3/CP",$W$14=E$18),IF(LEFT($W41,1)="P",VLOOKUP(CONCATENATE(LEFT($W41,2),"H"),$R$63:$T$91,3,FALSE),VLOOKUP($W41,$R$63:$T$91,3,FALSE)))+IF(AND($W41&lt;&gt;"",$W41&lt;&gt;"O3/CP",$W$15=E$18,MID($W41,4,1)="2",$W$15&lt;&gt;$W$14),VLOOKUP(CONCATENATE(LEFT($W41,2),"L"),$R$63:$T$91,3,FALSE),0)+IF(AND($W41="O3/CP",$W$14=E$18),VLOOKUP("O3",$R$63:$T$91,3,FALSE)+VLOOKUP("CP",$R$63:$T$91,3,FALSE),0)+IF(AND($X41&lt;&gt;"",$X41&lt;&gt;"--",$X41&lt;&gt;"O3/CP",$X$14=E$18),IF(LEFT($X41,1)="P",VLOOKUP(CONCATENATE(LEFT($X41,2),"H"),$R$63:$T$91,3,FALSE),VLOOKUP($X41,$R$63:$T$91,3,FALSE)))+IF(AND($X41&lt;&gt;"",$X41&lt;&gt;"O3/CP",$X$15=E$18,MID($X41,4,1)="2",$X$15&lt;&gt;$X$14),VLOOKUP(CONCATENATE(LEFT($X41,2),"L"),$R$63:$T$91,3,FALSE),0)+IF(AND($X41="O3/CP",$X$14=E$18),VLOOKUP("O3",$R$63:$T$91,3,FALSE)+VLOOKUP("CP",$R$63:$T$91,3,FALSE),0)+IF(AND($Y41&lt;&gt;"",$Y41&lt;&gt;"--",$Y41&lt;&gt;"O3/CP",$Y$14=E$18),IF(LEFT($Y41,1)="P",VLOOKUP(CONCATENATE(LEFT($Y41,2),"H"),$R$63:$T$91,3,FALSE),VLOOKUP($Y41,$R$63:$T$91,3,FALSE)))+IF(AND($Y41&lt;&gt;"",$Y41&lt;&gt;"O3/CP",$Y$15=E$18,MID($Y41,4,1)="2",$Y$15&lt;&gt;$Y$14),VLOOKUP(CONCATENATE(LEFT($Y41,2),"L"),$R$63:$T$91,3,FALSE),0)+IF(AND($Y41="O3/CP",$Y$14=E$18),VLOOKUP("O3",$R$63:$T$91,3,FALSE)+VLOOKUP("CP",$R$63:$T$91,3,FALSE),0)+IF(AND($K$6="CE",'[3]Supply Attribution'!$G$20=E$18),LEFT($S$90,2),0)+IF(AND($X$86&lt;&gt;"Not Set",$X$87=E$18),$X$86,0)</f>
        <v>0</v>
      </c>
      <c r="F41" s="272">
        <f>IF(AND($K41&lt;&gt;"",$K41&lt;&gt;"--",$K41&lt;&gt;"O3/CP",$K$14=F$18),IF(LEFT($K41,1)="P",VLOOKUP(CONCATENATE(LEFT($K41,2),"H"),$R$63:$T$91,3,FALSE),VLOOKUP($K41,$R$63:$T$91,3,FALSE)))+IF(AND($K41&lt;&gt;"",$K41&lt;&gt;"O3/CP",$K$15=F$18,MID($K41,4,1)="2",$K$15&lt;&gt;$K$14),VLOOKUP(CONCATENATE(LEFT($K41,2),"L"),$R$63:$T$91,3,FALSE),0)+IF(AND($K41="O3/CP",$K$14=F$18),VLOOKUP("O3",$R$63:$T$91,3,FALSE)+VLOOKUP("CP",$R$63:$T$91,3,FALSE),0)+IF(AND($L41&lt;&gt;"",$L41&lt;&gt;"--",$L41&lt;&gt;"O3/CP",$L$14=F$18),IF(LEFT($L41,1)="P",VLOOKUP(CONCATENATE(LEFT($L41,2),"H"),$R$63:$T$91,3,FALSE),VLOOKUP($L41,$R$63:$T$91,3,FALSE)))+IF(AND($L41&lt;&gt;"",$L41&lt;&gt;"O3/CP",$L$15=F$18,MID($L41,4,1)="2",$L$15&lt;&gt;$L$14),VLOOKUP(CONCATENATE(LEFT($L41,2),"L"),$R$63:$T$91,3,FALSE),0)+IF(AND($L41="O3/CP",$L$14=F$18),VLOOKUP("O3",$R$63:$T$91,3,FALSE)+VLOOKUP("CP",$R$63:$T$91,3,FALSE),0)+IF(AND($M41&lt;&gt;"",$M41&lt;&gt;"--",$M41&lt;&gt;"O3/CP",$M$14=F$18),IF(LEFT($M41,1)="P",VLOOKUP(CONCATENATE(LEFT($M41,2),"H"),$R$63:$T$91,3,FALSE),VLOOKUP($M41,$R$63:$T$91,3,FALSE)))+IF(AND($M41&lt;&gt;"",$M41&lt;&gt;"O3/CP",$M$15=F$18,MID($M41,4,1)="2",$M$15&lt;&gt;$M$14),VLOOKUP(CONCATENATE(LEFT($M41,2),"L"),$R$63:$T$91,3,FALSE),0)+IF(AND($M41="O3/CP",$M$14=F$18),VLOOKUP("O3",$R$63:$T$91,3,FALSE)+VLOOKUP("CP",$R$63:$T$91,3,FALSE),0)+IF(AND($N41&lt;&gt;"",$N41&lt;&gt;"--",$N41&lt;&gt;"O3/CP",$N$14=F$18),IF(LEFT($N41,1)="P",VLOOKUP(CONCATENATE(LEFT($N41,2),"H"),$R$63:$T$91,3,FALSE),VLOOKUP($N41,$R$63:$T$91,3,FALSE)))+IF(AND($N41&lt;&gt;"",$N41&lt;&gt;"O3/CP",$N$15=F$18,MID($N41,4,1)="2",$N$15&lt;&gt;$N$14),VLOOKUP(CONCATENATE(LEFT($N41,2),"L"),$R$63:$T$91,3,FALSE),0)+IF(AND($N41="O3/CP",$N$14=F$18),VLOOKUP("O3",$R$63:$T$91,3,FALSE)+VLOOKUP("CP",$R$63:$T$91,3,FALSE),0)+IF(AND($O41&lt;&gt;"",$O41&lt;&gt;"--",$O41&lt;&gt;"O3/CP",$O$14=F$18),IF(LEFT($O41,1)="P",VLOOKUP(CONCATENATE(LEFT($O41,2),"H"),$R$63:$T$91,3,FALSE),VLOOKUP($O41,$R$63:$T$91,3,FALSE)))+IF(AND($O41&lt;&gt;"",$O41&lt;&gt;"O3/CP",$O$15=F$18,MID($O41,4,1)="2",$O$15&lt;&gt;$O$14),VLOOKUP(CONCATENATE(LEFT($O41,2),"L"),$R$63:$T$91,3,FALSE),0)+IF(AND($O41="O3/CP",$O$14=F$18),VLOOKUP("O3",$R$63:$T$91,3,FALSE)+VLOOKUP("CP",$R$63:$T$91,3,FALSE),0)+IF(AND($P41&lt;&gt;"",$P41&lt;&gt;"--",$P41&lt;&gt;"O3/CP",$P$14=F$18),IF(LEFT($P41,1)="P",VLOOKUP(CONCATENATE(LEFT($P41,2),"H"),$R$63:$T$91,3,FALSE),VLOOKUP($P41,$R$63:$T$91,3,FALSE)))+IF(AND($P41&lt;&gt;"",$P41&lt;&gt;"O3/CP",$P$15=F$18,MID($P41,4,1)="2",$P$15&lt;&gt;$P$14),VLOOKUP(CONCATENATE(LEFT($P41,2),"L"),$R$63:$T$91,3,FALSE),0)+IF(AND($P41="O3/CP",$P$14=F$18),VLOOKUP("O3",$R$63:$T$91,3,FALSE)+VLOOKUP("CP",$R$63:$T$91,3,FALSE),0)+IF(AND($Q41&lt;&gt;"",$Q41&lt;&gt;"--",$Q41&lt;&gt;"O3/CP",$Q$14=F$18),IF(LEFT($Q41,1)="P",VLOOKUP(CONCATENATE(LEFT($Q41,2),"H"),$R$63:$T$91,3,FALSE),VLOOKUP($Q41,$R$63:$T$91,3,FALSE)))+IF(AND($Q41&lt;&gt;"",$Q41&lt;&gt;"O3/CP",$Q$15=F$18,MID($Q41,4,1)="2",$Q$15&lt;&gt;$Q$14),VLOOKUP(CONCATENATE(LEFT($Q41,2),"L"),$R$63:$T$91,3,FALSE),0)+IF(AND($Q41="O3/CP",$Q$14=F$18),VLOOKUP("O3",$R$63:$T$91,3,FALSE)+VLOOKUP("CP",$R$63:$T$91,3,FALSE),0)+IF(AND($R41&lt;&gt;"",$R41&lt;&gt;"--",$R41&lt;&gt;"O3/CP",$R$14=F$18),IF(LEFT($R41,1)="P",VLOOKUP(CONCATENATE(LEFT($R41,2),"H"),$R$63:$T$91,3,FALSE),VLOOKUP($R41,$R$63:$T$91,3,FALSE)))+IF(AND($R41&lt;&gt;"",$R41&lt;&gt;"O3/CP",$R$15=F$18,MID($R41,4,1)="2",$R$15&lt;&gt;$R$14),VLOOKUP(CONCATENATE(LEFT($R41,2),"L"),$R$63:$T$91,3,FALSE),0)+IF(AND($R41="O3/CP",$R$14=F$18),VLOOKUP("O3",$R$63:$T$91,3,FALSE)+VLOOKUP("CP",$R$63:$T$91,3,FALSE),0)+IF(AND($S41&lt;&gt;"",$S41&lt;&gt;"--",$S41&lt;&gt;"O3/CP",$S$14=F$18),IF(LEFT($S41,1)="P",VLOOKUP(CONCATENATE(LEFT($S41,2),"H"),$R$63:$T$91,3,FALSE),VLOOKUP($S41,$R$63:$T$91,3,FALSE)))+IF(AND($S41&lt;&gt;"",$S41&lt;&gt;"O3/CP",$S$15=F$18,MID($S41,4,1)="2",$S$15&lt;&gt;$S$14),VLOOKUP(CONCATENATE(LEFT($S41,2),"L"),$R$63:$T$91,3,FALSE),0)+IF(AND($S41="O3/CP",$S$14=F$18),VLOOKUP("O3",$R$63:$T$91,3,FALSE)+VLOOKUP("CP",$R$63:$T$91,3,FALSE),0)+IF(AND($T41&lt;&gt;"",$T41&lt;&gt;"--",$T41&lt;&gt;"O3/CP",$T$14=F$18),IF(LEFT($T41,1)="P",VLOOKUP(CONCATENATE(LEFT($T41,2),"H"),$R$63:$T$91,3,FALSE),VLOOKUP($T41,$R$63:$T$91,3,FALSE)))+IF(AND($T41&lt;&gt;"",$T41&lt;&gt;"O3/CP",$T$15=F$18,MID($T41,4,1)="2",$T$15&lt;&gt;$T$14),VLOOKUP(CONCATENATE(LEFT($T41,2),"L"),$R$63:$T$91,3,FALSE),0)+IF(AND($T41="O3/CP",$T$14=F$18),VLOOKUP("O3",$R$63:$T$91,3,FALSE)+VLOOKUP("CP",$R$63:$T$91,3,FALSE),0)+IF(AND($U41&lt;&gt;"",$U41&lt;&gt;"--",$U41&lt;&gt;"O3/CP",$U$14=F$18),IF(LEFT($U41,1)="P",VLOOKUP(CONCATENATE(LEFT($U41,2),"H"),$R$63:$T$91,3,FALSE),VLOOKUP($U41,$R$63:$T$91,3,FALSE)))+IF(AND($U41&lt;&gt;"",$U41&lt;&gt;"O3/CP",$U$15=F$18,MID($U41,4,1)="2",$U$15&lt;&gt;$U$14),VLOOKUP(CONCATENATE(LEFT($U41,2),"L"),$R$63:$T$91,3,FALSE),0)+IF(AND($U41="O3/CP",$T$14=F$18),VLOOKUP("O3",$R$63:$T$91,3,FALSE)+VLOOKUP("CP",$R$63:$T$91,3,FALSE),0)+IF(AND($V41&lt;&gt;"",$V41&lt;&gt;"--",$V41&lt;&gt;"O3/CP",$V$14=F$18),IF(LEFT($V41,1)="P",VLOOKUP(CONCATENATE(LEFT($V41,2),"H"),$R$63:$T$91,3,FALSE),VLOOKUP($V41,$R$63:$T$91,3,FALSE)))+IF(AND($V41&lt;&gt;"",$V41&lt;&gt;"O3/CP",$V$15=F$18,MID($V41,4,1)="2",$V$15&lt;&gt;$V$14),VLOOKUP(CONCATENATE(LEFT($V41,2),"L"),$R$63:$T$91,3,FALSE),0)+IF(AND($V41="O3/CP",$V$14=F$18),VLOOKUP("O3",$R$63:$T$91,3,FALSE)+VLOOKUP("CP",$R$63:$T$91,3,FALSE),0)+IF(AND($W41&lt;&gt;"",$W41&lt;&gt;"--",$W41&lt;&gt;"O3/CP",$W$14=F$18),IF(LEFT($W41,1)="P",VLOOKUP(CONCATENATE(LEFT($W41,2),"H"),$R$63:$T$91,3,FALSE),VLOOKUP($W41,$R$63:$T$91,3,FALSE)))+IF(AND($W41&lt;&gt;"",$W41&lt;&gt;"O3/CP",$W$15=F$18,MID($W41,4,1)="2",$W$15&lt;&gt;$W$14),VLOOKUP(CONCATENATE(LEFT($W41,2),"L"),$R$63:$T$91,3,FALSE),0)+IF(AND($W41="O3/CP",$W$14=F$18),VLOOKUP("O3",$R$63:$T$91,3,FALSE)+VLOOKUP("CP",$R$63:$T$91,3,FALSE),0)+IF(AND($X41&lt;&gt;"",$X41&lt;&gt;"--",$X41&lt;&gt;"O3/CP",$X$14=F$18),IF(LEFT($X41,1)="P",VLOOKUP(CONCATENATE(LEFT($X41,2),"H"),$R$63:$T$91,3,FALSE),VLOOKUP($X41,$R$63:$T$91,3,FALSE)))+IF(AND($X41&lt;&gt;"",$X41&lt;&gt;"O3/CP",$X$15=F$18,MID($X41,4,1)="2",$X$15&lt;&gt;$X$14),VLOOKUP(CONCATENATE(LEFT($X41,2),"L"),$R$63:$T$91,3,FALSE),0)+IF(AND($X41="O3/CP",$X$14=F$18),VLOOKUP("O3",$R$63:$T$91,3,FALSE)+VLOOKUP("CP",$R$63:$T$91,3,FALSE),0)+IF(AND($Y41&lt;&gt;"",$Y41&lt;&gt;"--",$Y41&lt;&gt;"O3/CP",$Y$14=F$18),IF(LEFT($Y41,1)="P",VLOOKUP(CONCATENATE(LEFT($Y41,2),"H"),$R$63:$T$91,3,FALSE),VLOOKUP($Y41,$R$63:$T$91,3,FALSE)))+IF(AND($Y41&lt;&gt;"",$Y41&lt;&gt;"O3/CP",$Y$15=F$18,MID($Y41,4,1)="2",$Y$15&lt;&gt;$Y$14),VLOOKUP(CONCATENATE(LEFT($Y41,2),"L"),$R$63:$T$91,3,FALSE),0)+IF(AND($Y41="O3/CP",$Y$14=F$18),VLOOKUP("O3",$R$63:$T$91,3,FALSE)+VLOOKUP("CP",$R$63:$T$91,3,FALSE),0)+IF(AND($K$6="CE",'[3]Supply Attribution'!$G$20=F$18),LEFT($S$90,2),0)+IF(AND($X$86&lt;&gt;"Not Set",$X$87=F$18),$X$86,0)</f>
        <v>0</v>
      </c>
      <c r="G41" s="271">
        <f>IF(AND($K$6="CE",$T$59="1 Phase"),SUM(A41:F41)-IF(AND($K$14&lt;&gt;$K$15,RIGHT($K41,3)="2SP"),VLOOKUP(CONCATENATE(LEFT($K41,2),"L"),$R$63:$T$90,3,FALSE),0)-IF(AND($L$14&lt;&gt;$L$15,RIGHT($L41,3)="2SP"),VLOOKUP(CONCATENATE(LEFT($L41,2),"L"),$R$63:$T$90,3,FALSE),0)-IF(AND($M$14&lt;&gt;$M$15,RIGHT($M41,3)="2SP"),VLOOKUP(CONCATENATE(LEFT($M41,2),"L"),$R$63:$T$90,3,FALSE),0)-IF(AND($N$14&lt;&gt;$N$15,RIGHT($N41,3)="2SP"),VLOOKUP(CONCATENATE(LEFT($N41,2),"L"),$R$63:$T$90,3,FALSE),0)-IF(AND($O$14&lt;&gt;$O$15,RIGHT($O41,3)="2SP"),VLOOKUP(CONCATENATE(LEFT($O41,2),"L"),$R$63:$T$90,3,FALSE),0)-IF(AND($P$14&lt;&gt;$P$15,RIGHT($P41,3)="2SP"),VLOOKUP(CONCATENATE(LEFT($P41,2),"L"),$R$63:$T$90,3,FALSE),0)-IF(AND($Q$14&lt;&gt;$Q$15,RIGHT($Q41,3)="2SP"),VLOOKUP(CONCATENATE(LEFT($Q41,2),"L"),$R$63:$T$90,3,FALSE),0)-IF(AND($R$14&lt;&gt;$R$15,RIGHT($T41,3)="2SP"),VLOOKUP(CONCATENATE(LEFT($R41,2),"L"),$R$63:$T$90,3,FALSE),0)-IF(AND($S$14&lt;&gt;$S$15,RIGHT($T41,3)="2SP"),VLOOKUP(CONCATENATE(LEFT($S41,2),"L"),$R$63:$T$90,3,FALSE),0)-IF(AND($T$14&lt;&gt;$T$15,RIGHT($T41,3)="2SP"),VLOOKUP(CONCATENATE(LEFT($T41,2),"L"),$R$63:$T$90,3,FALSE),0)-IF(AND($U$14&lt;&gt;$U$15,RIGHT($U41,3)="2SP"),VLOOKUP(CONCATENATE(LEFT($U41,2),"L"),$R$63:$T$90,3,FALSE),0)-IF(AND($V$14&lt;&gt;$V$15,RIGHT($V41,3)="2SP"),VLOOKUP(CONCATENATE(LEFT($V41,2),"L"),$R$63:$T$90,3,FALSE),0)-IF(AND($W$14&lt;&gt;$W$15,RIGHT($W41,3)="2SP"),VLOOKUP(CONCATENATE(LEFT($W41,2),"L"),$R$63:$T$90,3,FALSE),0)-IF(AND($X$14&lt;&gt;$X$15,RIGHT($X41,3)="2SP"),VLOOKUP(CONCATENATE(LEFT($X41,2),"L"),$R$63:$T$90,3,FALSE),0)-IF(AND($Y$14&lt;&gt;$Y$15,RIGHT($Y41,3)="2SP"),VLOOKUP(CONCATENATE(LEFT($Y41,2),"L"),$R$63:$T$90,3,FALSE),0),IF(VLOOKUP(CONCATENATE($A$18,"Line"),'[3]Supply Attribution'!$F$31:$G$37,2,FALSE)=G$18,$A41,0)+IF(VLOOKUP(CONCATENATE($B$18,"Line"),'[3]Supply Attribution'!$F$31:$G$37,2,FALSE)=G$18,$B41,0)+IF(VLOOKUP(CONCATENATE($C$18,"Line"),'[3]Supply Attribution'!$F$31:$G$37,2,FALSE)=G$18,$C41,0)+IF(VLOOKUP(CONCATENATE($D$18,"Line"),'[3]Supply Attribution'!$F$31:$G$37,2,FALSE)=G$18,$D41,0)+IF(VLOOKUP(CONCATENATE($E$18,"Line"),'[3]Supply Attribution'!$F$31:$G$37,2,FALSE)=G$18,$E41,0)+IF(VLOOKUP(CONCATENATE($F$18,"Line"),'[3]Supply Attribution'!$F$31:$G$37,2,FALSE)=G$18,$F41,0)+IF($K$6="UL",LEFT($S$90,2),0)-IF(AND($K$16=G$18,$K$14&lt;&gt;$K$15,$K$16=$K$17,RIGHT($K41,3)="2SP"),VLOOKUP(CONCATENATE(LEFT($K41,2),"L"),$R$63:$T$90,3,FALSE),0)-IF(AND($L$16=G$18,$L$14&lt;&gt;$L$15,$L$16=$L$17,RIGHT($L41,3)="2SP"),VLOOKUP(CONCATENATE(LEFT($L41,2),"L"),$R$63:$T$90,3,FALSE),0)-IF(AND($M$16=G$18,$M$14&lt;&gt;$M$15,$M$16=$M$17,RIGHT($M41,3)="2SP"),VLOOKUP(CONCATENATE(LEFT($M41,2),"L"),$R$63:$T$90,3,FALSE),0)-IF(AND($N$16=G$18,$N$14&lt;&gt;$N$15,$N$16=$N$17,RIGHT($N41,3)="2SP"),VLOOKUP(CONCATENATE(LEFT($N41,2),"L"),$R$63:$T$90,3,FALSE),0)-IF(AND($O$16=G$18,$O$14&lt;&gt;$O$15,$O$16=$O$17,RIGHT($O41,3)="2SP"),VLOOKUP(CONCATENATE(LEFT($O41,2),"L"),$R$63:$T$90,3,FALSE),0)-IF(AND($P$16=G$18,$P$14&lt;&gt;$P$15,$P$16=$P$17,RIGHT($P41,3)="2SP"),VLOOKUP(CONCATENATE(LEFT($P41,2),"L"),$R$63:$T$90,3,FALSE),0)-IF(AND($Q$16=G$18,$Q$14&lt;&gt;$Q$15,$Q$16=$Q$17,RIGHT($Q41,3)="2SP"),VLOOKUP(CONCATENATE(LEFT($Q41,2),"L"),$R$63:$T$90,3,FALSE),0)-IF(AND($R$16=G$18,$R$14&lt;&gt;$R$15,$R$16=$R$17,RIGHT($R41,3)="2SP"),VLOOKUP(CONCATENATE(LEFT($R41,2),"L"),$R$63:$T$90,3,FALSE),0)-IF(AND($S$16=G$18,$S$14&lt;&gt;$S$15,$S$16=$S$17,RIGHT($S41,3)="2SP"),VLOOKUP(CONCATENATE(LEFT($S41,2),"L"),$R$63:$T$90,3,FALSE),0)-IF(AND($T$16=G$18,$T$14&lt;&gt;$T$15,$T$16=$T$17,RIGHT($T41,3)="2SP"),VLOOKUP(CONCATENATE(LEFT($T41,2),"L"),$R$63:$T$90,3,FALSE),0)-IF(AND($U$16=G$18,$U$14&lt;&gt;$U$15,$U$16=$U$17,RIGHT($U41,3)="2SP"),VLOOKUP(CONCATENATE(LEFT($U41,2),"L"),$R$63:$T$90,3,FALSE),0)-IF(AND($V$16=G$18,$V$14&lt;&gt;$V$15,$V$16=$V$17,RIGHT($V41,3)="2SP"),VLOOKUP(CONCATENATE(LEFT($V41,2),"L"),$R$63:$T$90,3,FALSE),0)-IF(AND($W$16=G$18,$W$14&lt;&gt;$W$15,$W$16=$W$17,RIGHT($W41,3)="2SP"),VLOOKUP(CONCATENATE(LEFT($W41,2),"L"),$R$63:$T$90,3,FALSE),0)-IF(AND($X$16=G$18,$X$14&lt;&gt;$X$15,$X$16=$X$17,RIGHT($X41,3)="2SP"),VLOOKUP(CONCATENATE(LEFT($X41,2),"L"),$R$63:$T$90,3,FALSE),0)-IF(AND($Y$16=G$18,$Y$14&lt;&gt;$Y$15,$Y$16=$Y$17,RIGHT($Y41,3)="2SP"),VLOOKUP(CONCATENATE(LEFT($Y41,2),"L"),$R$63:$T$90,3,FALSE),0))</f>
        <v>17</v>
      </c>
      <c r="H41" s="271" t="str">
        <f>IF(H$18&lt;&gt;"",IF(VLOOKUP(CONCATENATE($A$18,"Line"),'Supply Attribution'!$F$31:$G$37,2,FALSE)=H$18,$A41,0)+IF(VLOOKUP(CONCATENATE($B$18,"Line"),'Supply Attribution'!$F$31:$G$37,2,FALSE)=H$18,$B41,0)+IF(VLOOKUP(CONCATENATE($C$18,"Line"),'Supply Attribution'!$F$31:$G$37,2,FALSE)=H$18,$C41,0)+IF(VLOOKUP(CONCATENATE($D$18,"Line"),'Supply Attribution'!$F$31:$G$37,2,FALSE)=H$18,$D41,0)+IF(VLOOKUP(CONCATENATE($E$18,"Line"),'Supply Attribution'!$F$31:$G$37,2,FALSE)=H$18,$E41,0)+IF(VLOOKUP(CONCATENATE($F$18,"Line"),'Supply Attribution'!$F$31:$G$37,2,FALSE)=H$18,$F41,0)+IF($K$6="UL",LEFT($S$90,2),0)-IF(AND($K$16=H$18,$K$14&lt;&gt;$K$15,$K$16=$K$17,RIGHT($K41,3)="2SP"),VLOOKUP(CONCATENATE(LEFT($K41,2),"L"),$R$63:$T$90,3,FALSE),0)-IF(AND($L$16=H$18,$L$14&lt;&gt;$L$15,$L$16=$L$17,RIGHT($L41,3)="2SP"),VLOOKUP(CONCATENATE(LEFT($L41,2),"L"),$R$63:$T$90,3,FALSE),0)-IF(AND($M$16=H$18,$M$14&lt;&gt;$M$15,$M$16=$M$17,RIGHT($M41,3)="2SP"),VLOOKUP(CONCATENATE(LEFT($M41,2),"L"),$R$63:$T$90,3,FALSE),0)-IF(AND($N$16=H$18,$N$14&lt;&gt;$N$15,$N$16=$N$17,RIGHT($N41,3)="2SP"),VLOOKUP(CONCATENATE(LEFT($N41,2),"L"),$R$63:$T$90,3,FALSE),0)-IF(AND($O$16=H$18,$O$14&lt;&gt;$O$15,$O$16=$O$17,RIGHT($O41,3)="2SP"),VLOOKUP(CONCATENATE(LEFT($O41,2),"L"),$R$63:$T$90,3,FALSE),0)-IF(AND($P$16=H$18,$P$14&lt;&gt;$P$15,$P$16=$P$17,RIGHT($P41,3)="2SP"),VLOOKUP(CONCATENATE(LEFT($P41,2),"L"),$R$63:$T$90,3,FALSE),0)-IF(AND($Q$16=H$18,$Q$14&lt;&gt;$Q$15,$Q$16=$Q$17,RIGHT($Q41,3)="2SP"),VLOOKUP(CONCATENATE(LEFT($Q41,2),"L"),$R$63:$T$90,3,FALSE),0)-IF(AND($T$16=H$18,$T$14&lt;&gt;$T$15,$T$16=$T$17,RIGHT($T41,3)="2SP"),VLOOKUP(CONCATENATE(LEFT($T41,2),"L"),$R$63:$T$90,3,FALSE),0)-IF(AND($U$16=H$18,$U$14&lt;&gt;$U$15,$U$16=$U$17,RIGHT($U41,3)="2SP"),VLOOKUP(CONCATENATE(LEFT($U41,2),"L"),$R$63:$T$90,3,FALSE),0)-IF(AND($V$16=H$18,$V$14&lt;&gt;$V$15,$V$16=$V$17,RIGHT($V41,3)="2SP"),VLOOKUP(CONCATENATE(LEFT($V41,2),"L"),$R$63:$T$90,3,FALSE),0)-IF(AND($W$16=H$18,$W$14&lt;&gt;$W$15,$W$16=$W$17,RIGHT($W41,3)="2SP"),VLOOKUP(CONCATENATE(LEFT($W41,2),"L"),$R$63:$T$90,3,FALSE),0)-IF(AND($X$16=H$18,$X$14&lt;&gt;$X$15,$X$16=$X$17,RIGHT($X41,3)="2SP"),VLOOKUP(CONCATENATE(LEFT($X41,2),"L"),$R$63:$T$90,3,FALSE),0)-IF(AND($Y$16=H$18,$Y$14&lt;&gt;$Y$15,$Y$16=$Y$17,RIGHT($Y41,3)="2SP"),VLOOKUP(CONCATENATE(LEFT($Y41,2),"L"),$R$63:$T$90,3,FALSE),0)+IF(AND($K$6="CE",$T$59="2 Phases",H$18&lt;&gt;""),IF(VLOOKUP(CONCATENATE($A$18,"Line"),'Supply Attribution'!$F$31:$G$37,2,FALSE)="Line3",$A41,0)+IF(VLOOKUP(CONCATENATE($B$18,"Line"),'Supply Attribution'!$F$31:$G$37,2,FALSE)="Line3",$B41,0)+IF(VLOOKUP(CONCATENATE($C$18,"Line"),'Supply Attribution'!$F$31:$G$37,2,FALSE)="Line3",$C41,0)+IF(VLOOKUP(CONCATENATE($D$18,"Line"),'Supply Attribution'!$F$31:$G$37,2,FALSE)="Line3",$D41,0)+IF(VLOOKUP(CONCATENATE($E$18,"Line"),'Supply Attribution'!$F$31:$G$37,2,FALSE)="Line3",$E41,0)+IF(VLOOKUP(CONCATENATE($F$18,"Line"),'Supply Attribution'!$F$31:$G$37,2,FALSE)="Line3",$F41,0)-IF(AND($K$16=I$18,$K$14&lt;&gt;$K$15,$K$16=$K$17,RIGHT($K41,3)="2SP"),VLOOKUP(CONCATENATE(LEFT($K41,2),"L"),$R$63:$T$90,3,FALSE),0)-IF(AND($L$16=I$18,$L$14&lt;&gt;$L$15,$L$16=$L$17,RIGHT($L41,3)="2SP"),VLOOKUP(CONCATENATE(LEFT($L41,2),"L"),$R$63:$T$90,3,FALSE),0)-IF(AND($M$16=I$18,$M$14&lt;&gt;$M$15,$M$16=$M$17,RIGHT($M41,3)="2SP"),VLOOKUP(CONCATENATE(LEFT($M41,2),"L"),$R$63:$T$90,3,FALSE),0)-IF(AND($N$16=I$18,$N$14&lt;&gt;$N$15,$N$16=$N$17,RIGHT($N41,3)="2SP"),VLOOKUP(CONCATENATE(LEFT($N41,2),"L"),$R$63:$T$90,3,FALSE),0)-IF(AND($O$16=I$18,$O$14&lt;&gt;$O$15,$O$16=$O$17,RIGHT($O41,3)="2SP"),VLOOKUP(CONCATENATE(LEFT($O41,2),"L"),$R$63:$T$90,3,FALSE),0)-IF(AND($P$16=I$18,$P$14&lt;&gt;$P$15,$P$16=$P$17,RIGHT($P41,3)="2SP"),VLOOKUP(CONCATENATE(LEFT($P41,2),"L"),$R$63:$T$90,3,FALSE),0)-IF(AND($Q$16=I$18,$Q$14&lt;&gt;$Q$15,$Q$16=$Q$17,RIGHT($Q41,3)="2SP"),VLOOKUP(CONCATENATE(LEFT($Q41,2),"L"),$R$63:$T$90,3,FALSE),0)-IF(AND($T$16=I$18,$T$14&lt;&gt;$T$15,$T$16=$T$17,RIGHT($T41,3)="2SP"),VLOOKUP(CONCATENATE(LEFT($T41,2),"L"),$R$63:$T$90,3,FALSE),0)-IF(AND($U$16=I$18,$U$14&lt;&gt;$U$15,$U$16=$U$17,RIGHT($U41,3)="2SP"),VLOOKUP(CONCATENATE(LEFT($U41,2),"L"),$R$63:$T$90,3,FALSE),0)-IF(AND($V$16=I$18,$V$14&lt;&gt;$V$15,$V$16=$V$17,RIGHT($V41,3)="2SP"),VLOOKUP(CONCATENATE(LEFT($V41,2),"L"),$R$63:$T$90,3,FALSE),0)-IF(AND($W$16=I$18,$W$14&lt;&gt;$W$15,$W$16=$W$17,RIGHT($W41,3)="2SP"),VLOOKUP(CONCATENATE(LEFT($W41,2),"L"),$R$63:$T$90,3,FALSE),0)-IF(AND($X$16=I$18,$X$14&lt;&gt;$X$15,$X$16=$X$17,RIGHT($X41,3)="2SP"),VLOOKUP(CONCATENATE(LEFT($X41,2),"L"),$R$63:$T$90,3,FALSE),0)-IF(AND($Y$16=I$18,$Y$14&lt;&gt;$Y$15,$Y$16=$Y$17,RIGHT($Y41,3)="2SP"),VLOOKUP(CONCATENATE(LEFT($Y41,2),"L"),$R$63:$T$90,3,FALSE),0),0),"")</f>
        <v/>
      </c>
      <c r="I41" s="271" t="str">
        <f>IF(I$18&lt;&gt;"",IF(VLOOKUP(CONCATENATE($A$18,"Line"),'Supply Attribution'!$F$31:$G$37,2,FALSE)=I$18,$A41,0)+IF(VLOOKUP(CONCATENATE($B$18,"Line"),'Supply Attribution'!$F$31:$G$37,2,FALSE)=I$18,$B41,0)+IF(VLOOKUP(CONCATENATE($C$18,"Line"),'Supply Attribution'!$F$31:$G$37,2,FALSE)=I$18,$C41,0)+IF(VLOOKUP(CONCATENATE($D$18,"Line"),'Supply Attribution'!$F$31:$G$37,2,FALSE)=I$18,$D41,0)+IF(VLOOKUP(CONCATENATE($E$18,"Line"),'Supply Attribution'!$F$31:$G$37,2,FALSE)=I$18,$E41,0)+IF(VLOOKUP(CONCATENATE($F$18,"Line"),'Supply Attribution'!$F$31:$G$37,2,FALSE)=I$18,$F41,0)+IF($K$6="UL",LEFT($S$90,2),0)-IF(AND($K$16=I$18,$K$14&lt;&gt;$K$15,$K$16=$K$17,RIGHT($K41,3)="2SP"),VLOOKUP(CONCATENATE(LEFT($K41,2),"L"),$R$63:$T$90,3,FALSE),0)-IF(AND($L$16=I$18,$L$14&lt;&gt;$L$15,$L$16=$L$17,RIGHT($L41,3)="2SP"),VLOOKUP(CONCATENATE(LEFT($L41,2),"L"),$R$63:$T$90,3,FALSE),0)-IF(AND($M$16=I$18,$M$14&lt;&gt;$M$15,$M$16=$M$17,RIGHT($M41,3)="2SP"),VLOOKUP(CONCATENATE(LEFT($M41,2),"L"),$R$63:$T$90,3,FALSE),0)-IF(AND($N$16=I$18,$N$14&lt;&gt;$N$15,$N$16=$N$17,RIGHT($N41,3)="2SP"),VLOOKUP(CONCATENATE(LEFT($N41,2),"L"),$R$63:$T$90,3,FALSE),0)-IF(AND($O$16=I$18,$O$14&lt;&gt;$O$15,$O$16=$O$17,RIGHT($O41,3)="2SP"),VLOOKUP(CONCATENATE(LEFT($O41,2),"L"),$R$63:$T$90,3,FALSE),0)-IF(AND($P$16=I$18,$P$14&lt;&gt;$P$15,$P$16=$P$17,RIGHT($P41,3)="2SP"),VLOOKUP(CONCATENATE(LEFT($P41,2),"L"),$R$63:$T$90,3,FALSE),0)-IF(AND($Q$16=I$18,$Q$14&lt;&gt;$Q$15,$Q$16=$Q$17,RIGHT($Q41,3)="2SP"),VLOOKUP(CONCATENATE(LEFT($Q41,2),"L"),$R$63:$T$90,3,FALSE),0)-IF(AND($T$16=I$18,$T$14&lt;&gt;$T$15,$T$16=$T$17,RIGHT($T41,3)="2SP"),VLOOKUP(CONCATENATE(LEFT($T41,2),"L"),$R$63:$T$90,3,FALSE),0)-IF(AND($U$16=I$18,$U$14&lt;&gt;$U$15,$U$16=$U$17,RIGHT($U41,3)="2SP"),VLOOKUP(CONCATENATE(LEFT($U41,2),"L"),$R$63:$T$90,3,FALSE),0)-IF(AND($V$16=I$18,$V$14&lt;&gt;$V$15,$V$16=$V$17,RIGHT($V41,3)="2SP"),VLOOKUP(CONCATENATE(LEFT($V41,2),"L"),$R$63:$T$90,3,FALSE),0)-IF(AND($W$16=I$18,$W$14&lt;&gt;$W$15,$W$16=$W$17,RIGHT($W41,3)="2SP"),VLOOKUP(CONCATENATE(LEFT($W41,2),"L"),$R$63:$T$90,3,FALSE),0)-IF(AND($X$16=I$18,$X$14&lt;&gt;$X$15,$X$16=$X$17,RIGHT($X41,3)="2SP"),VLOOKUP(CONCATENATE(LEFT($X41,2),"L"),$R$63:$T$90,3,FALSE),0)-IF(AND($Y$16=I$18,$Y$14&lt;&gt;$Y$15,$Y$16=$Y$17,RIGHT($Y41,3)="2SP"),VLOOKUP(CONCATENATE(LEFT($Y41,2),"L"),$R$63:$T$90,3,FALSE),0),"")</f>
        <v/>
      </c>
      <c r="J41" s="129"/>
      <c r="K41" s="130"/>
      <c r="L41" s="130"/>
      <c r="M41" s="130"/>
      <c r="N41" s="130"/>
      <c r="O41" s="130"/>
      <c r="P41" s="130"/>
      <c r="Q41" s="130"/>
      <c r="R41" s="130"/>
      <c r="S41" s="130"/>
      <c r="T41" s="130"/>
      <c r="U41" s="130"/>
      <c r="V41" s="130"/>
      <c r="W41" s="130"/>
      <c r="X41" s="130"/>
      <c r="Y41" s="130"/>
      <c r="Z41" s="131"/>
      <c r="AA41" s="131"/>
      <c r="AB41" s="132"/>
      <c r="AC41" s="132"/>
      <c r="AD41" s="132"/>
      <c r="AE41" s="133">
        <f t="shared" si="0"/>
        <v>0</v>
      </c>
      <c r="AF41" s="78"/>
    </row>
    <row r="42" spans="1:32" ht="12.95" customHeight="1">
      <c r="A42" s="270">
        <f>IF(AND($K42&lt;&gt;"",$K42&lt;&gt;"--",$K42&lt;&gt;"O3/CP",$K$14=A$18),IF(LEFT($K42,1)="P",VLOOKUP(CONCATENATE(LEFT($K42,2),"H"),$R$63:$T$91,3,FALSE),VLOOKUP($K42,$R$63:$T$91,3,FALSE)))+IF(AND($K42&lt;&gt;"",$K42&lt;&gt;"O3/CP",$K$15=A$18,MID($K42,4,1)="2",$K$15&lt;&gt;$K$14),VLOOKUP(CONCATENATE(LEFT($K42,2),"L"),$R$63:$T$91,3,FALSE),0)+IF(AND($K42="O3/CP",$K$14=A$18),VLOOKUP("O3",$R$63:$T$91,3,FALSE)+VLOOKUP("CP",$R$63:$T$91,3,FALSE),0)+IF(AND($L42&lt;&gt;"",$L42&lt;&gt;"--",$L42&lt;&gt;"O3/CP",$L$14=A$18),IF(LEFT($L42,1)="P",VLOOKUP(CONCATENATE(LEFT($L42,2),"H"),$R$63:$T$91,3,FALSE),VLOOKUP($L42,$R$63:$T$91,3,FALSE)))+IF(AND($L42&lt;&gt;"",$L42&lt;&gt;"O3/CP",$L$15=A$18,MID($L42,4,1)="2",$L$15&lt;&gt;$L$14),VLOOKUP(CONCATENATE(LEFT($L42,2),"L"),$R$63:$T$91,3,FALSE),0)+IF(AND($L42="O3/CP",$L$14=A$18),VLOOKUP("O3",$R$63:$T$91,3,FALSE)+VLOOKUP("CP",$R$63:$T$91,3,FALSE),0)+IF(AND($M42&lt;&gt;"",$M42&lt;&gt;"--",$M42&lt;&gt;"O3/CP",$M$14=A$18),IF(LEFT($M42,1)="P",VLOOKUP(CONCATENATE(LEFT($M42,2),"H"),$R$63:$T$91,3,FALSE),VLOOKUP($M42,$R$63:$T$91,3,FALSE)))+IF(AND($M42&lt;&gt;"",$M42&lt;&gt;"O3/CP",$M$15=A$18,MID($M42,4,1)="2",$M$15&lt;&gt;$M$14),VLOOKUP(CONCATENATE(LEFT($M42,2),"L"),$R$63:$T$91,3,FALSE),0)+IF(AND($M42="O3/CP",$M$14=A$18),VLOOKUP("O3",$R$63:$T$91,3,FALSE)+VLOOKUP("CP",$R$63:$T$91,3,FALSE),0)+IF(AND($N42&lt;&gt;"",$N42&lt;&gt;"--",$N42&lt;&gt;"O3/CP",$N$14=A$18),IF(LEFT($N42,1)="P",VLOOKUP(CONCATENATE(LEFT($N42,2),"H"),$R$63:$T$91,3,FALSE),VLOOKUP($N42,$R$63:$T$91,3,FALSE)))+IF(AND($N42&lt;&gt;"",$N42&lt;&gt;"O3/CP",$N$15=A$18,MID($N42,4,1)="2",$N$15&lt;&gt;$N$14),VLOOKUP(CONCATENATE(LEFT($N42,2),"L"),$R$63:$T$91,3,FALSE),0)+IF(AND($N42="O3/CP",$N$14=A$18),VLOOKUP("O3",$R$63:$T$91,3,FALSE)+VLOOKUP("CP",$R$63:$T$91,3,FALSE),0)+IF(AND($O42&lt;&gt;"",$O42&lt;&gt;"--",$O42&lt;&gt;"O3/CP",$O$14=A$18),IF(LEFT($O42,1)="P",VLOOKUP(CONCATENATE(LEFT($O42,2),"H"),$R$63:$T$91,3,FALSE),VLOOKUP($O42,$R$63:$T$91,3,FALSE)))+IF(AND($O42&lt;&gt;"",$O42&lt;&gt;"O3/CP",$O$15=A$18,MID($O42,4,1)="2",$O$15&lt;&gt;$O$14),VLOOKUP(CONCATENATE(LEFT($O42,2),"L"),$R$63:$T$91,3,FALSE),0)+IF(AND($O42="O3/CP",$O$14=A$18),VLOOKUP("O3",$R$63:$T$91,3,FALSE)+VLOOKUP("CP",$R$63:$T$91,3,FALSE),0)+IF(AND($P42&lt;&gt;"",$P42&lt;&gt;"--",$P42&lt;&gt;"O3/CP",$P$14=A$18),IF(LEFT($P42,1)="P",VLOOKUP(CONCATENATE(LEFT($P42,2),"H"),$R$63:$T$91,3,FALSE),VLOOKUP($P42,$R$63:$T$91,3,FALSE)))+IF(AND($P42&lt;&gt;"",$P42&lt;&gt;"O3/CP",$P$15=A$18,MID($P42,4,1)="2",$P$15&lt;&gt;$P$14),VLOOKUP(CONCATENATE(LEFT($P42,2),"L"),$R$63:$T$91,3,FALSE),0)+IF(AND($P42="O3/CP",$P$14=A$18),VLOOKUP("O3",$R$63:$T$91,3,FALSE)+VLOOKUP("CP",$R$63:$T$91,3,FALSE),0)+IF(AND($Q42&lt;&gt;"",$Q42&lt;&gt;"--",$Q42&lt;&gt;"O3/CP",$Q$14=A$18),IF(LEFT($Q42,1)="P",VLOOKUP(CONCATENATE(LEFT($Q42,2),"H"),$R$63:$T$91,3,FALSE),VLOOKUP($Q42,$R$63:$T$91,3,FALSE)))+IF(AND($Q42&lt;&gt;"",$Q42&lt;&gt;"O3/CP",$Q$15=A$18,MID($Q42,4,1)="2",$Q$15&lt;&gt;$Q$14),VLOOKUP(CONCATENATE(LEFT($Q42,2),"L"),$R$63:$T$91,3,FALSE),0)+IF(AND($Q42="O3/CP",$Q$14=A$18),VLOOKUP("O3",$R$63:$T$91,3,FALSE)+VLOOKUP("CP",$R$63:$T$91,3,FALSE),0)+IF(AND($R42&lt;&gt;"",$R42&lt;&gt;"--",$R42&lt;&gt;"O3/CP",$R$14=A$18),IF(LEFT($R42,1)="P",VLOOKUP(CONCATENATE(LEFT($R42,2),"H"),$R$63:$T$91,3,FALSE),VLOOKUP($R42,$R$63:$T$91,3,FALSE)))+IF(AND($R42&lt;&gt;"",$R42&lt;&gt;"O3/CP",$R$15=A$18,MID($R42,4,1)="2",$R$15&lt;&gt;$R$14),VLOOKUP(CONCATENATE(LEFT($R42,2),"L"),$R$63:$T$91,3,FALSE),0)+IF(AND($R42="O3/CP",$R$14=A$18),VLOOKUP("O3",$R$63:$T$91,3,FALSE)+VLOOKUP("CP",$R$63:$T$91,3,FALSE),0)+IF(AND($S42&lt;&gt;"",$S42&lt;&gt;"--",$S42&lt;&gt;"O3/CP",$S$14=A$18),IF(LEFT($S42,1)="P",VLOOKUP(CONCATENATE(LEFT($S42,2),"H"),$R$63:$T$91,3,FALSE),VLOOKUP($S42,$R$63:$T$91,3,FALSE)))+IF(AND($S42&lt;&gt;"",$S42&lt;&gt;"O3/CP",$S$15=A$18,MID($S42,4,1)="2",$S$15&lt;&gt;$S$14),VLOOKUP(CONCATENATE(LEFT($S42,2),"L"),$R$63:$T$91,3,FALSE),0)+IF(AND($S42="O3/CP",$S$14=A$18),VLOOKUP("O3",$R$63:$T$91,3,FALSE)+VLOOKUP("CP",$R$63:$T$91,3,FALSE),0)+IF(AND($T42&lt;&gt;"",$T42&lt;&gt;"--",$T42&lt;&gt;"O3/CP",$T$14=A$18),IF(LEFT($T42,1)="P",VLOOKUP(CONCATENATE(LEFT($T42,2),"H"),$R$63:$T$91,3,FALSE),VLOOKUP($T42,$R$63:$T$91,3,FALSE)))+IF(AND($T42&lt;&gt;"",$T42&lt;&gt;"O3/CP",$T$15=A$18,MID($T42,4,1)="2",$T$15&lt;&gt;$T$14),VLOOKUP(CONCATENATE(LEFT($T42,2),"L"),$R$63:$T$91,3,FALSE),0)+IF(AND($T42="O3/CP",$T$14=A$18),VLOOKUP("O3",$R$63:$T$91,3,FALSE)+VLOOKUP("CP",$R$63:$T$91,3,FALSE),0)+IF(AND($U42&lt;&gt;"",$U42&lt;&gt;"--",$U42&lt;&gt;"O3/CP",$U$14=A$18),IF(LEFT($U42,1)="P",VLOOKUP(CONCATENATE(LEFT($U42,2),"H"),$R$63:$T$91,3,FALSE),VLOOKUP($U42,$R$63:$T$91,3,FALSE)))+IF(AND($U42&lt;&gt;"",$U42&lt;&gt;"O3/CP",$U$15=A$18,MID($U42,4,1)="2",$U$15&lt;&gt;$U$14),VLOOKUP(CONCATENATE(LEFT($U42,2),"L"),$R$63:$T$91,3,FALSE),0)+IF(AND($U42="O3/CP",$T$14=A$18),VLOOKUP("O3",$R$63:$T$91,3,FALSE)+VLOOKUP("CP",$R$63:$T$91,3,FALSE),0)+IF(AND($V42&lt;&gt;"",$V42&lt;&gt;"--",$V42&lt;&gt;"O3/CP",$V$14=A$18),IF(LEFT($V42,1)="P",VLOOKUP(CONCATENATE(LEFT($V42,2),"H"),$R$63:$T$91,3,FALSE),VLOOKUP($V42,$R$63:$T$91,3,FALSE)))+IF(AND($V42&lt;&gt;"",$V42&lt;&gt;"O3/CP",$V$15=A$18,MID($V42,4,1)="2",$V$15&lt;&gt;$V$14),VLOOKUP(CONCATENATE(LEFT($V42,2),"L"),$R$63:$T$91,3,FALSE),0)+IF(AND($V42="O3/CP",$V$14=A$18),VLOOKUP("O3",$R$63:$T$91,3,FALSE)+VLOOKUP("CP",$R$63:$T$91,3,FALSE),0)+IF(AND($W42&lt;&gt;"",$W42&lt;&gt;"--",$W42&lt;&gt;"O3/CP",$W$14=A$18),IF(LEFT($W42,1)="P",VLOOKUP(CONCATENATE(LEFT($W42,2),"H"),$R$63:$T$91,3,FALSE),VLOOKUP($W42,$R$63:$T$91,3,FALSE)))+IF(AND($W42&lt;&gt;"",$W42&lt;&gt;"O3/CP",$W$15=A$18,MID($W42,4,1)="2",$W$15&lt;&gt;$W$14),VLOOKUP(CONCATENATE(LEFT($W42,2),"L"),$R$63:$T$91,3,FALSE),0)+IF(AND($W42="O3/CP",$W$14=A$18),VLOOKUP("O3",$R$63:$T$91,3,FALSE)+VLOOKUP("CP",$R$63:$T$91,3,FALSE),0)+IF(AND($X42&lt;&gt;"",$X42&lt;&gt;"--",$X42&lt;&gt;"O3/CP",$X$14=A$18),IF(LEFT($X42,1)="P",VLOOKUP(CONCATENATE(LEFT($X42,2),"H"),$R$63:$T$91,3,FALSE),VLOOKUP($X42,$R$63:$T$91,3,FALSE)))+IF(AND($X42&lt;&gt;"",$X42&lt;&gt;"O3/CP",$X$15=A$18,MID($X42,4,1)="2",$X$15&lt;&gt;$X$14),VLOOKUP(CONCATENATE(LEFT($X42,2),"L"),$R$63:$T$91,3,FALSE),0)+IF(AND($X42="O3/CP",$X$14=A$18),VLOOKUP("O3",$R$63:$T$91,3,FALSE)+VLOOKUP("CP",$R$63:$T$91,3,FALSE),0)+IF(AND($Y42&lt;&gt;"",$Y42&lt;&gt;"--",$Y42&lt;&gt;"O3/CP",$Y$14=A$18),IF(LEFT($Y42,1)="P",VLOOKUP(CONCATENATE(LEFT($Y42,2),"H"),$R$63:$T$91,3,FALSE),VLOOKUP($Y42,$R$63:$T$91,3,FALSE)))+IF(AND($Y42&lt;&gt;"",$Y42&lt;&gt;"O3/CP",$Y$15=A$18,MID($Y42,4,1)="2",$Y$15&lt;&gt;$Y$14),VLOOKUP(CONCATENATE(LEFT($Y42,2),"L"),$R$63:$T$91,3,FALSE),0)+IF(AND($Y42="O3/CP",$Y$14=A$18),VLOOKUP("O3",$R$63:$T$91,3,FALSE)+VLOOKUP("CP",$R$63:$T$91,3,FALSE),0)+IF(AND($K$6="CE",'[3]Supply Attribution'!$G$20=A$18),LEFT($S$90,2),0)+IF(AND($X$86&lt;&gt;"Not Set",$X$87=A$18),$X$86,0)</f>
        <v>0</v>
      </c>
      <c r="B42" s="269">
        <f>IF(AND($K42&lt;&gt;"",$K42&lt;&gt;"--",$K42&lt;&gt;"O3/CP",$K$14=B$18),IF(LEFT($K42,1)="P",VLOOKUP(CONCATENATE(LEFT($K42,2),"H"),$R$63:$T$91,3,FALSE),VLOOKUP($K42,$R$63:$T$91,3,FALSE)))+IF(AND($K42&lt;&gt;"",$K42&lt;&gt;"O3/CP",$K$15=B$18,MID($K42,4,1)="2",$K$15&lt;&gt;$K$14),VLOOKUP(CONCATENATE(LEFT($K42,2),"L"),$R$63:$T$91,3,FALSE),0)+IF(AND($K42="O3/CP",$K$14=B$18),VLOOKUP("O3",$R$63:$T$91,3,FALSE)+VLOOKUP("CP",$R$63:$T$91,3,FALSE),0)+IF(AND($L42&lt;&gt;"",$L42&lt;&gt;"--",$L42&lt;&gt;"O3/CP",$L$14=B$18),IF(LEFT($L42,1)="P",VLOOKUP(CONCATENATE(LEFT($L42,2),"H"),$R$63:$T$91,3,FALSE),VLOOKUP($L42,$R$63:$T$91,3,FALSE)))+IF(AND($L42&lt;&gt;"",$L42&lt;&gt;"O3/CP",$L$15=B$18,MID($L42,4,1)="2",$L$15&lt;&gt;$L$14),VLOOKUP(CONCATENATE(LEFT($L42,2),"L"),$R$63:$T$91,3,FALSE),0)+IF(AND($L42="O3/CP",$L$14=B$18),VLOOKUP("O3",$R$63:$T$91,3,FALSE)+VLOOKUP("CP",$R$63:$T$91,3,FALSE),0)+IF(AND($M42&lt;&gt;"",$M42&lt;&gt;"--",$M42&lt;&gt;"O3/CP",$M$14=B$18),IF(LEFT($M42,1)="P",VLOOKUP(CONCATENATE(LEFT($M42,2),"H"),$R$63:$T$91,3,FALSE),VLOOKUP($M42,$R$63:$T$91,3,FALSE)))+IF(AND($M42&lt;&gt;"",$M42&lt;&gt;"O3/CP",$M$15=B$18,MID($M42,4,1)="2",$M$15&lt;&gt;$M$14),VLOOKUP(CONCATENATE(LEFT($M42,2),"L"),$R$63:$T$91,3,FALSE),0)+IF(AND($M42="O3/CP",$M$14=B$18),VLOOKUP("O3",$R$63:$T$91,3,FALSE)+VLOOKUP("CP",$R$63:$T$91,3,FALSE),0)+IF(AND($N42&lt;&gt;"",$N42&lt;&gt;"--",$N42&lt;&gt;"O3/CP",$N$14=B$18),IF(LEFT($N42,1)="P",VLOOKUP(CONCATENATE(LEFT($N42,2),"H"),$R$63:$T$91,3,FALSE),VLOOKUP($N42,$R$63:$T$91,3,FALSE)))+IF(AND($N42&lt;&gt;"",$N42&lt;&gt;"O3/CP",$N$15=B$18,MID($N42,4,1)="2",$N$15&lt;&gt;$N$14),VLOOKUP(CONCATENATE(LEFT($N42,2),"L"),$R$63:$T$91,3,FALSE),0)+IF(AND($N42="O3/CP",$N$14=B$18),VLOOKUP("O3",$R$63:$T$91,3,FALSE)+VLOOKUP("CP",$R$63:$T$91,3,FALSE),0)+IF(AND($O42&lt;&gt;"",$O42&lt;&gt;"--",$O42&lt;&gt;"O3/CP",$O$14=B$18),IF(LEFT($O42,1)="P",VLOOKUP(CONCATENATE(LEFT($O42,2),"H"),$R$63:$T$91,3,FALSE),VLOOKUP($O42,$R$63:$T$91,3,FALSE)))+IF(AND($O42&lt;&gt;"",$O42&lt;&gt;"O3/CP",$O$15=B$18,MID($O42,4,1)="2",$O$15&lt;&gt;$O$14),VLOOKUP(CONCATENATE(LEFT($O42,2),"L"),$R$63:$T$91,3,FALSE),0)+IF(AND($O42="O3/CP",$O$14=B$18),VLOOKUP("O3",$R$63:$T$91,3,FALSE)+VLOOKUP("CP",$R$63:$T$91,3,FALSE),0)+IF(AND($P42&lt;&gt;"",$P42&lt;&gt;"--",$P42&lt;&gt;"O3/CP",$P$14=B$18),IF(LEFT($P42,1)="P",VLOOKUP(CONCATENATE(LEFT($P42,2),"H"),$R$63:$T$91,3,FALSE),VLOOKUP($P42,$R$63:$T$91,3,FALSE)))+IF(AND($P42&lt;&gt;"",$P42&lt;&gt;"O3/CP",$P$15=B$18,MID($P42,4,1)="2",$P$15&lt;&gt;$P$14),VLOOKUP(CONCATENATE(LEFT($P42,2),"L"),$R$63:$T$91,3,FALSE),0)+IF(AND($P42="O3/CP",$P$14=B$18),VLOOKUP("O3",$R$63:$T$91,3,FALSE)+VLOOKUP("CP",$R$63:$T$91,3,FALSE),0)+IF(AND($Q42&lt;&gt;"",$Q42&lt;&gt;"--",$Q42&lt;&gt;"O3/CP",$Q$14=B$18),IF(LEFT($Q42,1)="P",VLOOKUP(CONCATENATE(LEFT($Q42,2),"H"),$R$63:$T$91,3,FALSE),VLOOKUP($Q42,$R$63:$T$91,3,FALSE)))+IF(AND($Q42&lt;&gt;"",$Q42&lt;&gt;"O3/CP",$Q$15=B$18,MID($Q42,4,1)="2",$Q$15&lt;&gt;$Q$14),VLOOKUP(CONCATENATE(LEFT($Q42,2),"L"),$R$63:$T$91,3,FALSE),0)+IF(AND($Q42="O3/CP",$Q$14=B$18),VLOOKUP("O3",$R$63:$T$91,3,FALSE)+VLOOKUP("CP",$R$63:$T$91,3,FALSE),0)+IF(AND($R42&lt;&gt;"",$R42&lt;&gt;"--",$R42&lt;&gt;"O3/CP",$R$14=B$18),IF(LEFT($R42,1)="P",VLOOKUP(CONCATENATE(LEFT($R42,2),"H"),$R$63:$T$91,3,FALSE),VLOOKUP($R42,$R$63:$T$91,3,FALSE)))+IF(AND($R42&lt;&gt;"",$R42&lt;&gt;"O3/CP",$R$15=B$18,MID($R42,4,1)="2",$R$15&lt;&gt;$R$14),VLOOKUP(CONCATENATE(LEFT($R42,2),"L"),$R$63:$T$91,3,FALSE),0)+IF(AND($R42="O3/CP",$R$14=B$18),VLOOKUP("O3",$R$63:$T$91,3,FALSE)+VLOOKUP("CP",$R$63:$T$91,3,FALSE),0)+IF(AND($S42&lt;&gt;"",$S42&lt;&gt;"--",$S42&lt;&gt;"O3/CP",$S$14=B$18),IF(LEFT($S42,1)="P",VLOOKUP(CONCATENATE(LEFT($S42,2),"H"),$R$63:$T$91,3,FALSE),VLOOKUP($S42,$R$63:$T$91,3,FALSE)))+IF(AND($S42&lt;&gt;"",$S42&lt;&gt;"O3/CP",$S$15=B$18,MID($S42,4,1)="2",$S$15&lt;&gt;$S$14),VLOOKUP(CONCATENATE(LEFT($S42,2),"L"),$R$63:$T$91,3,FALSE),0)+IF(AND($S42="O3/CP",$S$14=B$18),VLOOKUP("O3",$R$63:$T$91,3,FALSE)+VLOOKUP("CP",$R$63:$T$91,3,FALSE),0)+IF(AND($T42&lt;&gt;"",$T42&lt;&gt;"--",$T42&lt;&gt;"O3/CP",$T$14=B$18),IF(LEFT($T42,1)="P",VLOOKUP(CONCATENATE(LEFT($T42,2),"H"),$R$63:$T$91,3,FALSE),VLOOKUP($T42,$R$63:$T$91,3,FALSE)))+IF(AND($T42&lt;&gt;"",$T42&lt;&gt;"O3/CP",$T$15=B$18,MID($T42,4,1)="2",$T$15&lt;&gt;$T$14),VLOOKUP(CONCATENATE(LEFT($T42,2),"L"),$R$63:$T$91,3,FALSE),0)+IF(AND($T42="O3/CP",$T$14=B$18),VLOOKUP("O3",$R$63:$T$91,3,FALSE)+VLOOKUP("CP",$R$63:$T$91,3,FALSE),0)+IF(AND($U42&lt;&gt;"",$U42&lt;&gt;"--",$U42&lt;&gt;"O3/CP",$U$14=B$18),IF(LEFT($U42,1)="P",VLOOKUP(CONCATENATE(LEFT($U42,2),"H"),$R$63:$T$91,3,FALSE),VLOOKUP($U42,$R$63:$T$91,3,FALSE)))+IF(AND($U42&lt;&gt;"",$U42&lt;&gt;"O3/CP",$U$15=B$18,MID($U42,4,1)="2",$U$15&lt;&gt;$U$14),VLOOKUP(CONCATENATE(LEFT($U42,2),"L"),$R$63:$T$91,3,FALSE),0)+IF(AND($U42="O3/CP",$T$14=B$18),VLOOKUP("O3",$R$63:$T$91,3,FALSE)+VLOOKUP("CP",$R$63:$T$91,3,FALSE),0)+IF(AND($V42&lt;&gt;"",$V42&lt;&gt;"--",$V42&lt;&gt;"O3/CP",$V$14=B$18),IF(LEFT($V42,1)="P",VLOOKUP(CONCATENATE(LEFT($V42,2),"H"),$R$63:$T$91,3,FALSE),VLOOKUP($V42,$R$63:$T$91,3,FALSE)))+IF(AND($V42&lt;&gt;"",$V42&lt;&gt;"O3/CP",$V$15=B$18,MID($V42,4,1)="2",$V$15&lt;&gt;$V$14),VLOOKUP(CONCATENATE(LEFT($V42,2),"L"),$R$63:$T$91,3,FALSE),0)+IF(AND($V42="O3/CP",$V$14=B$18),VLOOKUP("O3",$R$63:$T$91,3,FALSE)+VLOOKUP("CP",$R$63:$T$91,3,FALSE),0)+IF(AND($W42&lt;&gt;"",$W42&lt;&gt;"--",$W42&lt;&gt;"O3/CP",$W$14=B$18),IF(LEFT($W42,1)="P",VLOOKUP(CONCATENATE(LEFT($W42,2),"H"),$R$63:$T$91,3,FALSE),VLOOKUP($W42,$R$63:$T$91,3,FALSE)))+IF(AND($W42&lt;&gt;"",$W42&lt;&gt;"O3/CP",$W$15=B$18,MID($W42,4,1)="2",$W$15&lt;&gt;$W$14),VLOOKUP(CONCATENATE(LEFT($W42,2),"L"),$R$63:$T$91,3,FALSE),0)+IF(AND($W42="O3/CP",$W$14=B$18),VLOOKUP("O3",$R$63:$T$91,3,FALSE)+VLOOKUP("CP",$R$63:$T$91,3,FALSE),0)+IF(AND($X42&lt;&gt;"",$X42&lt;&gt;"--",$X42&lt;&gt;"O3/CP",$X$14=B$18),IF(LEFT($X42,1)="P",VLOOKUP(CONCATENATE(LEFT($X42,2),"H"),$R$63:$T$91,3,FALSE),VLOOKUP($X42,$R$63:$T$91,3,FALSE)))+IF(AND($X42&lt;&gt;"",$X42&lt;&gt;"O3/CP",$X$15=B$18,MID($X42,4,1)="2",$X$15&lt;&gt;$X$14),VLOOKUP(CONCATENATE(LEFT($X42,2),"L"),$R$63:$T$91,3,FALSE),0)+IF(AND($X42="O3/CP",$X$14=B$18),VLOOKUP("O3",$R$63:$T$91,3,FALSE)+VLOOKUP("CP",$R$63:$T$91,3,FALSE),0)+IF(AND($Y42&lt;&gt;"",$Y42&lt;&gt;"--",$Y42&lt;&gt;"O3/CP",$Y$14=B$18),IF(LEFT($Y42,1)="P",VLOOKUP(CONCATENATE(LEFT($Y42,2),"H"),$R$63:$T$91,3,FALSE),VLOOKUP($Y42,$R$63:$T$91,3,FALSE)))+IF(AND($Y42&lt;&gt;"",$Y42&lt;&gt;"O3/CP",$Y$15=B$18,MID($Y42,4,1)="2",$Y$15&lt;&gt;$Y$14),VLOOKUP(CONCATENATE(LEFT($Y42,2),"L"),$R$63:$T$91,3,FALSE),0)+IF(AND($Y42="O3/CP",$Y$14=B$18),VLOOKUP("O3",$R$63:$T$91,3,FALSE)+VLOOKUP("CP",$R$63:$T$91,3,FALSE),0)+IF(AND($K$6="CE",'[3]Supply Attribution'!$G$20=B$18),LEFT($S$90,2),0)+IF(AND($X$86&lt;&gt;"Not Set",$X$87=B$18),$X$86,0)</f>
        <v>0</v>
      </c>
      <c r="C42" s="269">
        <f>IF(AND($K42&lt;&gt;"",$K42&lt;&gt;"--",$K42&lt;&gt;"O3/CP",$K$14=C$18),IF(LEFT($K42,1)="P",VLOOKUP(CONCATENATE(LEFT($K42,2),"H"),$R$63:$T$91,3,FALSE),VLOOKUP($K42,$R$63:$T$91,3,FALSE)))+IF(AND($K42&lt;&gt;"",$K42&lt;&gt;"O3/CP",$K$15=C$18,MID($K42,4,1)="2",$K$15&lt;&gt;$K$14),VLOOKUP(CONCATENATE(LEFT($K42,2),"L"),$R$63:$T$91,3,FALSE),0)+IF(AND($K42="O3/CP",$K$14=C$18),VLOOKUP("O3",$R$63:$T$91,3,FALSE)+VLOOKUP("CP",$R$63:$T$91,3,FALSE),0)+IF(AND($L42&lt;&gt;"",$L42&lt;&gt;"--",$L42&lt;&gt;"O3/CP",$L$14=C$18),IF(LEFT($L42,1)="P",VLOOKUP(CONCATENATE(LEFT($L42,2),"H"),$R$63:$T$91,3,FALSE),VLOOKUP($L42,$R$63:$T$91,3,FALSE)))+IF(AND($L42&lt;&gt;"",$L42&lt;&gt;"O3/CP",$L$15=C$18,MID($L42,4,1)="2",$L$15&lt;&gt;$L$14),VLOOKUP(CONCATENATE(LEFT($L42,2),"L"),$R$63:$T$91,3,FALSE),0)+IF(AND($L42="O3/CP",$L$14=C$18),VLOOKUP("O3",$R$63:$T$91,3,FALSE)+VLOOKUP("CP",$R$63:$T$91,3,FALSE),0)+IF(AND($M42&lt;&gt;"",$M42&lt;&gt;"--",$M42&lt;&gt;"O3/CP",$M$14=C$18),IF(LEFT($M42,1)="P",VLOOKUP(CONCATENATE(LEFT($M42,2),"H"),$R$63:$T$91,3,FALSE),VLOOKUP($M42,$R$63:$T$91,3,FALSE)))+IF(AND($M42&lt;&gt;"",$M42&lt;&gt;"O3/CP",$M$15=C$18,MID($M42,4,1)="2",$M$15&lt;&gt;$M$14),VLOOKUP(CONCATENATE(LEFT($M42,2),"L"),$R$63:$T$91,3,FALSE),0)+IF(AND($M42="O3/CP",$M$14=C$18),VLOOKUP("O3",$R$63:$T$91,3,FALSE)+VLOOKUP("CP",$R$63:$T$91,3,FALSE),0)+IF(AND($N42&lt;&gt;"",$N42&lt;&gt;"--",$N42&lt;&gt;"O3/CP",$N$14=C$18),IF(LEFT($N42,1)="P",VLOOKUP(CONCATENATE(LEFT($N42,2),"H"),$R$63:$T$91,3,FALSE),VLOOKUP($N42,$R$63:$T$91,3,FALSE)))+IF(AND($N42&lt;&gt;"",$N42&lt;&gt;"O3/CP",$N$15=C$18,MID($N42,4,1)="2",$N$15&lt;&gt;$N$14),VLOOKUP(CONCATENATE(LEFT($N42,2),"L"),$R$63:$T$91,3,FALSE),0)+IF(AND($N42="O3/CP",$N$14=C$18),VLOOKUP("O3",$R$63:$T$91,3,FALSE)+VLOOKUP("CP",$R$63:$T$91,3,FALSE),0)+IF(AND($O42&lt;&gt;"",$O42&lt;&gt;"--",$O42&lt;&gt;"O3/CP",$O$14=C$18),IF(LEFT($O42,1)="P",VLOOKUP(CONCATENATE(LEFT($O42,2),"H"),$R$63:$T$91,3,FALSE),VLOOKUP($O42,$R$63:$T$91,3,FALSE)))+IF(AND($O42&lt;&gt;"",$O42&lt;&gt;"O3/CP",$O$15=C$18,MID($O42,4,1)="2",$O$15&lt;&gt;$O$14),VLOOKUP(CONCATENATE(LEFT($O42,2),"L"),$R$63:$T$91,3,FALSE),0)+IF(AND($O42="O3/CP",$O$14=C$18),VLOOKUP("O3",$R$63:$T$91,3,FALSE)+VLOOKUP("CP",$R$63:$T$91,3,FALSE),0)+IF(AND($P42&lt;&gt;"",$P42&lt;&gt;"--",$P42&lt;&gt;"O3/CP",$P$14=C$18),IF(LEFT($P42,1)="P",VLOOKUP(CONCATENATE(LEFT($P42,2),"H"),$R$63:$T$91,3,FALSE),VLOOKUP($P42,$R$63:$T$91,3,FALSE)))+IF(AND($P42&lt;&gt;"",$P42&lt;&gt;"O3/CP",$P$15=C$18,MID($P42,4,1)="2",$P$15&lt;&gt;$P$14),VLOOKUP(CONCATENATE(LEFT($P42,2),"L"),$R$63:$T$91,3,FALSE),0)+IF(AND($P42="O3/CP",$P$14=C$18),VLOOKUP("O3",$R$63:$T$91,3,FALSE)+VLOOKUP("CP",$R$63:$T$91,3,FALSE),0)+IF(AND($Q42&lt;&gt;"",$Q42&lt;&gt;"--",$Q42&lt;&gt;"O3/CP",$Q$14=C$18),IF(LEFT($Q42,1)="P",VLOOKUP(CONCATENATE(LEFT($Q42,2),"H"),$R$63:$T$91,3,FALSE),VLOOKUP($Q42,$R$63:$T$91,3,FALSE)))+IF(AND($Q42&lt;&gt;"",$Q42&lt;&gt;"O3/CP",$Q$15=C$18,MID($Q42,4,1)="2",$Q$15&lt;&gt;$Q$14),VLOOKUP(CONCATENATE(LEFT($Q42,2),"L"),$R$63:$T$91,3,FALSE),0)+IF(AND($Q42="O3/CP",$Q$14=C$18),VLOOKUP("O3",$R$63:$T$91,3,FALSE)+VLOOKUP("CP",$R$63:$T$91,3,FALSE),0)+IF(AND($R42&lt;&gt;"",$R42&lt;&gt;"--",$R42&lt;&gt;"O3/CP",$R$14=C$18),IF(LEFT($R42,1)="P",VLOOKUP(CONCATENATE(LEFT($R42,2),"H"),$R$63:$T$91,3,FALSE),VLOOKUP($R42,$R$63:$T$91,3,FALSE)))+IF(AND($R42&lt;&gt;"",$R42&lt;&gt;"O3/CP",$R$15=C$18,MID($R42,4,1)="2",$R$15&lt;&gt;$R$14),VLOOKUP(CONCATENATE(LEFT($R42,2),"L"),$R$63:$T$91,3,FALSE),0)+IF(AND($R42="O3/CP",$R$14=C$18),VLOOKUP("O3",$R$63:$T$91,3,FALSE)+VLOOKUP("CP",$R$63:$T$91,3,FALSE),0)+IF(AND($S42&lt;&gt;"",$S42&lt;&gt;"--",$S42&lt;&gt;"O3/CP",$S$14=C$18),IF(LEFT($S42,1)="P",VLOOKUP(CONCATENATE(LEFT($S42,2),"H"),$R$63:$T$91,3,FALSE),VLOOKUP($S42,$R$63:$T$91,3,FALSE)))+IF(AND($S42&lt;&gt;"",$S42&lt;&gt;"O3/CP",$S$15=C$18,MID($S42,4,1)="2",$S$15&lt;&gt;$S$14),VLOOKUP(CONCATENATE(LEFT($S42,2),"L"),$R$63:$T$91,3,FALSE),0)+IF(AND($S42="O3/CP",$S$14=C$18),VLOOKUP("O3",$R$63:$T$91,3,FALSE)+VLOOKUP("CP",$R$63:$T$91,3,FALSE),0)+IF(AND($T42&lt;&gt;"",$T42&lt;&gt;"--",$T42&lt;&gt;"O3/CP",$T$14=C$18),IF(LEFT($T42,1)="P",VLOOKUP(CONCATENATE(LEFT($T42,2),"H"),$R$63:$T$91,3,FALSE),VLOOKUP($T42,$R$63:$T$91,3,FALSE)))+IF(AND($T42&lt;&gt;"",$T42&lt;&gt;"O3/CP",$T$15=C$18,MID($T42,4,1)="2",$T$15&lt;&gt;$T$14),VLOOKUP(CONCATENATE(LEFT($T42,2),"L"),$R$63:$T$91,3,FALSE),0)+IF(AND($T42="O3/CP",$T$14=C$18),VLOOKUP("O3",$R$63:$T$91,3,FALSE)+VLOOKUP("CP",$R$63:$T$91,3,FALSE),0)+IF(AND($U42&lt;&gt;"",$U42&lt;&gt;"--",$U42&lt;&gt;"O3/CP",$U$14=C$18),IF(LEFT($U42,1)="P",VLOOKUP(CONCATENATE(LEFT($U42,2),"H"),$R$63:$T$91,3,FALSE),VLOOKUP($U42,$R$63:$T$91,3,FALSE)))+IF(AND($U42&lt;&gt;"",$U42&lt;&gt;"O3/CP",$U$15=C$18,MID($U42,4,1)="2",$U$15&lt;&gt;$U$14),VLOOKUP(CONCATENATE(LEFT($U42,2),"L"),$R$63:$T$91,3,FALSE),0)+IF(AND($U42="O3/CP",$T$14=C$18),VLOOKUP("O3",$R$63:$T$91,3,FALSE)+VLOOKUP("CP",$R$63:$T$91,3,FALSE),0)+IF(AND($V42&lt;&gt;"",$V42&lt;&gt;"--",$V42&lt;&gt;"O3/CP",$V$14=C$18),IF(LEFT($V42,1)="P",VLOOKUP(CONCATENATE(LEFT($V42,2),"H"),$R$63:$T$91,3,FALSE),VLOOKUP($V42,$R$63:$T$91,3,FALSE)))+IF(AND($V42&lt;&gt;"",$V42&lt;&gt;"O3/CP",$V$15=C$18,MID($V42,4,1)="2",$V$15&lt;&gt;$V$14),VLOOKUP(CONCATENATE(LEFT($V42,2),"L"),$R$63:$T$91,3,FALSE),0)+IF(AND($V42="O3/CP",$V$14=C$18),VLOOKUP("O3",$R$63:$T$91,3,FALSE)+VLOOKUP("CP",$R$63:$T$91,3,FALSE),0)+IF(AND($W42&lt;&gt;"",$W42&lt;&gt;"--",$W42&lt;&gt;"O3/CP",$W$14=C$18),IF(LEFT($W42,1)="P",VLOOKUP(CONCATENATE(LEFT($W42,2),"H"),$R$63:$T$91,3,FALSE),VLOOKUP($W42,$R$63:$T$91,3,FALSE)))+IF(AND($W42&lt;&gt;"",$W42&lt;&gt;"O3/CP",$W$15=C$18,MID($W42,4,1)="2",$W$15&lt;&gt;$W$14),VLOOKUP(CONCATENATE(LEFT($W42,2),"L"),$R$63:$T$91,3,FALSE),0)+IF(AND($W42="O3/CP",$W$14=C$18),VLOOKUP("O3",$R$63:$T$91,3,FALSE)+VLOOKUP("CP",$R$63:$T$91,3,FALSE),0)+IF(AND($X42&lt;&gt;"",$X42&lt;&gt;"--",$X42&lt;&gt;"O3/CP",$X$14=C$18),IF(LEFT($X42,1)="P",VLOOKUP(CONCATENATE(LEFT($X42,2),"H"),$R$63:$T$91,3,FALSE),VLOOKUP($X42,$R$63:$T$91,3,FALSE)))+IF(AND($X42&lt;&gt;"",$X42&lt;&gt;"O3/CP",$X$15=C$18,MID($X42,4,1)="2",$X$15&lt;&gt;$X$14),VLOOKUP(CONCATENATE(LEFT($X42,2),"L"),$R$63:$T$91,3,FALSE),0)+IF(AND($X42="O3/CP",$X$14=C$18),VLOOKUP("O3",$R$63:$T$91,3,FALSE)+VLOOKUP("CP",$R$63:$T$91,3,FALSE),0)+IF(AND($Y42&lt;&gt;"",$Y42&lt;&gt;"--",$Y42&lt;&gt;"O3/CP",$Y$14=C$18),IF(LEFT($Y42,1)="P",VLOOKUP(CONCATENATE(LEFT($Y42,2),"H"),$R$63:$T$91,3,FALSE),VLOOKUP($Y42,$R$63:$T$91,3,FALSE)))+IF(AND($Y42&lt;&gt;"",$Y42&lt;&gt;"O3/CP",$Y$15=C$18,MID($Y42,4,1)="2",$Y$15&lt;&gt;$Y$14),VLOOKUP(CONCATENATE(LEFT($Y42,2),"L"),$R$63:$T$91,3,FALSE),0)+IF(AND($Y42="O3/CP",$Y$14=C$18),VLOOKUP("O3",$R$63:$T$91,3,FALSE)+VLOOKUP("CP",$R$63:$T$91,3,FALSE),0)+IF(AND($K$6="CE",'[3]Supply Attribution'!$G$20=C$18),LEFT($S$90,2),0)+IF(AND($X$86&lt;&gt;"Not Set",$X$87=C$18),$X$86,0)</f>
        <v>0</v>
      </c>
      <c r="D42" s="269">
        <f>IF(AND($K42&lt;&gt;"",$K42&lt;&gt;"--",$K42&lt;&gt;"O3/CP",$K$14=D$18),IF(LEFT($K42,1)="P",VLOOKUP(CONCATENATE(LEFT($K42,2),"H"),$R$63:$T$91,3,FALSE),VLOOKUP($K42,$R$63:$T$91,3,FALSE)))+IF(AND($K42&lt;&gt;"",$K42&lt;&gt;"O3/CP",$K$15=D$18,MID($K42,4,1)="2",$K$15&lt;&gt;$K$14),VLOOKUP(CONCATENATE(LEFT($K42,2),"L"),$R$63:$T$91,3,FALSE),0)+IF(AND($K42="O3/CP",$K$14=D$18),VLOOKUP("O3",$R$63:$T$91,3,FALSE)+VLOOKUP("CP",$R$63:$T$91,3,FALSE),0)+IF(AND($L42&lt;&gt;"",$L42&lt;&gt;"--",$L42&lt;&gt;"O3/CP",$L$14=D$18),IF(LEFT($L42,1)="P",VLOOKUP(CONCATENATE(LEFT($L42,2),"H"),$R$63:$T$91,3,FALSE),VLOOKUP($L42,$R$63:$T$91,3,FALSE)))+IF(AND($L42&lt;&gt;"",$L42&lt;&gt;"O3/CP",$L$15=D$18,MID($L42,4,1)="2",$L$15&lt;&gt;$L$14),VLOOKUP(CONCATENATE(LEFT($L42,2),"L"),$R$63:$T$91,3,FALSE),0)+IF(AND($L42="O3/CP",$L$14=D$18),VLOOKUP("O3",$R$63:$T$91,3,FALSE)+VLOOKUP("CP",$R$63:$T$91,3,FALSE),0)+IF(AND($M42&lt;&gt;"",$M42&lt;&gt;"--",$M42&lt;&gt;"O3/CP",$M$14=D$18),IF(LEFT($M42,1)="P",VLOOKUP(CONCATENATE(LEFT($M42,2),"H"),$R$63:$T$91,3,FALSE),VLOOKUP($M42,$R$63:$T$91,3,FALSE)))+IF(AND($M42&lt;&gt;"",$M42&lt;&gt;"O3/CP",$M$15=D$18,MID($M42,4,1)="2",$M$15&lt;&gt;$M$14),VLOOKUP(CONCATENATE(LEFT($M42,2),"L"),$R$63:$T$91,3,FALSE),0)+IF(AND($M42="O3/CP",$M$14=D$18),VLOOKUP("O3",$R$63:$T$91,3,FALSE)+VLOOKUP("CP",$R$63:$T$91,3,FALSE),0)+IF(AND($N42&lt;&gt;"",$N42&lt;&gt;"--",$N42&lt;&gt;"O3/CP",$N$14=D$18),IF(LEFT($N42,1)="P",VLOOKUP(CONCATENATE(LEFT($N42,2),"H"),$R$63:$T$91,3,FALSE),VLOOKUP($N42,$R$63:$T$91,3,FALSE)))+IF(AND($N42&lt;&gt;"",$N42&lt;&gt;"O3/CP",$N$15=D$18,MID($N42,4,1)="2",$N$15&lt;&gt;$N$14),VLOOKUP(CONCATENATE(LEFT($N42,2),"L"),$R$63:$T$91,3,FALSE),0)+IF(AND($N42="O3/CP",$N$14=D$18),VLOOKUP("O3",$R$63:$T$91,3,FALSE)+VLOOKUP("CP",$R$63:$T$91,3,FALSE),0)+IF(AND($O42&lt;&gt;"",$O42&lt;&gt;"--",$O42&lt;&gt;"O3/CP",$O$14=D$18),IF(LEFT($O42,1)="P",VLOOKUP(CONCATENATE(LEFT($O42,2),"H"),$R$63:$T$91,3,FALSE),VLOOKUP($O42,$R$63:$T$91,3,FALSE)))+IF(AND($O42&lt;&gt;"",$O42&lt;&gt;"O3/CP",$O$15=D$18,MID($O42,4,1)="2",$O$15&lt;&gt;$O$14),VLOOKUP(CONCATENATE(LEFT($O42,2),"L"),$R$63:$T$91,3,FALSE),0)+IF(AND($O42="O3/CP",$O$14=D$18),VLOOKUP("O3",$R$63:$T$91,3,FALSE)+VLOOKUP("CP",$R$63:$T$91,3,FALSE),0)+IF(AND($P42&lt;&gt;"",$P42&lt;&gt;"--",$P42&lt;&gt;"O3/CP",$P$14=D$18),IF(LEFT($P42,1)="P",VLOOKUP(CONCATENATE(LEFT($P42,2),"H"),$R$63:$T$91,3,FALSE),VLOOKUP($P42,$R$63:$T$91,3,FALSE)))+IF(AND($P42&lt;&gt;"",$P42&lt;&gt;"O3/CP",$P$15=D$18,MID($P42,4,1)="2",$P$15&lt;&gt;$P$14),VLOOKUP(CONCATENATE(LEFT($P42,2),"L"),$R$63:$T$91,3,FALSE),0)+IF(AND($P42="O3/CP",$P$14=D$18),VLOOKUP("O3",$R$63:$T$91,3,FALSE)+VLOOKUP("CP",$R$63:$T$91,3,FALSE),0)+IF(AND($Q42&lt;&gt;"",$Q42&lt;&gt;"--",$Q42&lt;&gt;"O3/CP",$Q$14=D$18),IF(LEFT($Q42,1)="P",VLOOKUP(CONCATENATE(LEFT($Q42,2),"H"),$R$63:$T$91,3,FALSE),VLOOKUP($Q42,$R$63:$T$91,3,FALSE)))+IF(AND($Q42&lt;&gt;"",$Q42&lt;&gt;"O3/CP",$Q$15=D$18,MID($Q42,4,1)="2",$Q$15&lt;&gt;$Q$14),VLOOKUP(CONCATENATE(LEFT($Q42,2),"L"),$R$63:$T$91,3,FALSE),0)+IF(AND($Q42="O3/CP",$Q$14=D$18),VLOOKUP("O3",$R$63:$T$91,3,FALSE)+VLOOKUP("CP",$R$63:$T$91,3,FALSE),0)+IF(AND($R42&lt;&gt;"",$R42&lt;&gt;"--",$R42&lt;&gt;"O3/CP",$R$14=D$18),IF(LEFT($R42,1)="P",VLOOKUP(CONCATENATE(LEFT($R42,2),"H"),$R$63:$T$91,3,FALSE),VLOOKUP($R42,$R$63:$T$91,3,FALSE)))+IF(AND($R42&lt;&gt;"",$R42&lt;&gt;"O3/CP",$R$15=D$18,MID($R42,4,1)="2",$R$15&lt;&gt;$R$14),VLOOKUP(CONCATENATE(LEFT($R42,2),"L"),$R$63:$T$91,3,FALSE),0)+IF(AND($R42="O3/CP",$R$14=D$18),VLOOKUP("O3",$R$63:$T$91,3,FALSE)+VLOOKUP("CP",$R$63:$T$91,3,FALSE),0)+IF(AND($S42&lt;&gt;"",$S42&lt;&gt;"--",$S42&lt;&gt;"O3/CP",$S$14=D$18),IF(LEFT($S42,1)="P",VLOOKUP(CONCATENATE(LEFT($S42,2),"H"),$R$63:$T$91,3,FALSE),VLOOKUP($S42,$R$63:$T$91,3,FALSE)))+IF(AND($S42&lt;&gt;"",$S42&lt;&gt;"O3/CP",$S$15=D$18,MID($S42,4,1)="2",$S$15&lt;&gt;$S$14),VLOOKUP(CONCATENATE(LEFT($S42,2),"L"),$R$63:$T$91,3,FALSE),0)+IF(AND($S42="O3/CP",$S$14=D$18),VLOOKUP("O3",$R$63:$T$91,3,FALSE)+VLOOKUP("CP",$R$63:$T$91,3,FALSE),0)+IF(AND($T42&lt;&gt;"",$T42&lt;&gt;"--",$T42&lt;&gt;"O3/CP",$T$14=D$18),IF(LEFT($T42,1)="P",VLOOKUP(CONCATENATE(LEFT($T42,2),"H"),$R$63:$T$91,3,FALSE),VLOOKUP($T42,$R$63:$T$91,3,FALSE)))+IF(AND($T42&lt;&gt;"",$T42&lt;&gt;"O3/CP",$T$15=D$18,MID($T42,4,1)="2",$T$15&lt;&gt;$T$14),VLOOKUP(CONCATENATE(LEFT($T42,2),"L"),$R$63:$T$91,3,FALSE),0)+IF(AND($T42="O3/CP",$T$14=D$18),VLOOKUP("O3",$R$63:$T$91,3,FALSE)+VLOOKUP("CP",$R$63:$T$91,3,FALSE),0)+IF(AND($U42&lt;&gt;"",$U42&lt;&gt;"--",$U42&lt;&gt;"O3/CP",$U$14=D$18),IF(LEFT($U42,1)="P",VLOOKUP(CONCATENATE(LEFT($U42,2),"H"),$R$63:$T$91,3,FALSE),VLOOKUP($U42,$R$63:$T$91,3,FALSE)))+IF(AND($U42&lt;&gt;"",$U42&lt;&gt;"O3/CP",$U$15=D$18,MID($U42,4,1)="2",$U$15&lt;&gt;$U$14),VLOOKUP(CONCATENATE(LEFT($U42,2),"L"),$R$63:$T$91,3,FALSE),0)+IF(AND($U42="O3/CP",$T$14=D$18),VLOOKUP("O3",$R$63:$T$91,3,FALSE)+VLOOKUP("CP",$R$63:$T$91,3,FALSE),0)+IF(AND($V42&lt;&gt;"",$V42&lt;&gt;"--",$V42&lt;&gt;"O3/CP",$V$14=D$18),IF(LEFT($V42,1)="P",VLOOKUP(CONCATENATE(LEFT($V42,2),"H"),$R$63:$T$91,3,FALSE),VLOOKUP($V42,$R$63:$T$91,3,FALSE)))+IF(AND($V42&lt;&gt;"",$V42&lt;&gt;"O3/CP",$V$15=D$18,MID($V42,4,1)="2",$V$15&lt;&gt;$V$14),VLOOKUP(CONCATENATE(LEFT($V42,2),"L"),$R$63:$T$91,3,FALSE),0)+IF(AND($V42="O3/CP",$V$14=D$18),VLOOKUP("O3",$R$63:$T$91,3,FALSE)+VLOOKUP("CP",$R$63:$T$91,3,FALSE),0)+IF(AND($W42&lt;&gt;"",$W42&lt;&gt;"--",$W42&lt;&gt;"O3/CP",$W$14=D$18),IF(LEFT($W42,1)="P",VLOOKUP(CONCATENATE(LEFT($W42,2),"H"),$R$63:$T$91,3,FALSE),VLOOKUP($W42,$R$63:$T$91,3,FALSE)))+IF(AND($W42&lt;&gt;"",$W42&lt;&gt;"O3/CP",$W$15=D$18,MID($W42,4,1)="2",$W$15&lt;&gt;$W$14),VLOOKUP(CONCATENATE(LEFT($W42,2),"L"),$R$63:$T$91,3,FALSE),0)+IF(AND($W42="O3/CP",$W$14=D$18),VLOOKUP("O3",$R$63:$T$91,3,FALSE)+VLOOKUP("CP",$R$63:$T$91,3,FALSE),0)+IF(AND($X42&lt;&gt;"",$X42&lt;&gt;"--",$X42&lt;&gt;"O3/CP",$X$14=D$18),IF(LEFT($X42,1)="P",VLOOKUP(CONCATENATE(LEFT($X42,2),"H"),$R$63:$T$91,3,FALSE),VLOOKUP($X42,$R$63:$T$91,3,FALSE)))+IF(AND($X42&lt;&gt;"",$X42&lt;&gt;"O3/CP",$X$15=D$18,MID($X42,4,1)="2",$X$15&lt;&gt;$X$14),VLOOKUP(CONCATENATE(LEFT($X42,2),"L"),$R$63:$T$91,3,FALSE),0)+IF(AND($X42="O3/CP",$X$14=D$18),VLOOKUP("O3",$R$63:$T$91,3,FALSE)+VLOOKUP("CP",$R$63:$T$91,3,FALSE),0)+IF(AND($Y42&lt;&gt;"",$Y42&lt;&gt;"--",$Y42&lt;&gt;"O3/CP",$Y$14=D$18),IF(LEFT($Y42,1)="P",VLOOKUP(CONCATENATE(LEFT($Y42,2),"H"),$R$63:$T$91,3,FALSE),VLOOKUP($Y42,$R$63:$T$91,3,FALSE)))+IF(AND($Y42&lt;&gt;"",$Y42&lt;&gt;"O3/CP",$Y$15=D$18,MID($Y42,4,1)="2",$Y$15&lt;&gt;$Y$14),VLOOKUP(CONCATENATE(LEFT($Y42,2),"L"),$R$63:$T$91,3,FALSE),0)+IF(AND($Y42="O3/CP",$Y$14=D$18),VLOOKUP("O3",$R$63:$T$91,3,FALSE)+VLOOKUP("CP",$R$63:$T$91,3,FALSE),0)+IF(AND($K$6="CE",'[3]Supply Attribution'!$G$20=D$18),LEFT($S$90,2),0)+IF(AND($X$86&lt;&gt;"Not Set",$X$87=D$18),$X$86,0)</f>
        <v>0</v>
      </c>
      <c r="E42" s="269">
        <f>IF(AND($K42&lt;&gt;"",$K42&lt;&gt;"--",$K42&lt;&gt;"O3/CP",$K$14=E$18),IF(LEFT($K42,1)="P",VLOOKUP(CONCATENATE(LEFT($K42,2),"H"),$R$63:$T$91,3,FALSE),VLOOKUP($K42,$R$63:$T$91,3,FALSE)))+IF(AND($K42&lt;&gt;"",$K42&lt;&gt;"O3/CP",$K$15=E$18,MID($K42,4,1)="2",$K$15&lt;&gt;$K$14),VLOOKUP(CONCATENATE(LEFT($K42,2),"L"),$R$63:$T$91,3,FALSE),0)+IF(AND($K42="O3/CP",$K$14=E$18),VLOOKUP("O3",$R$63:$T$91,3,FALSE)+VLOOKUP("CP",$R$63:$T$91,3,FALSE),0)+IF(AND($L42&lt;&gt;"",$L42&lt;&gt;"--",$L42&lt;&gt;"O3/CP",$L$14=E$18),IF(LEFT($L42,1)="P",VLOOKUP(CONCATENATE(LEFT($L42,2),"H"),$R$63:$T$91,3,FALSE),VLOOKUP($L42,$R$63:$T$91,3,FALSE)))+IF(AND($L42&lt;&gt;"",$L42&lt;&gt;"O3/CP",$L$15=E$18,MID($L42,4,1)="2",$L$15&lt;&gt;$L$14),VLOOKUP(CONCATENATE(LEFT($L42,2),"L"),$R$63:$T$91,3,FALSE),0)+IF(AND($L42="O3/CP",$L$14=E$18),VLOOKUP("O3",$R$63:$T$91,3,FALSE)+VLOOKUP("CP",$R$63:$T$91,3,FALSE),0)+IF(AND($M42&lt;&gt;"",$M42&lt;&gt;"--",$M42&lt;&gt;"O3/CP",$M$14=E$18),IF(LEFT($M42,1)="P",VLOOKUP(CONCATENATE(LEFT($M42,2),"H"),$R$63:$T$91,3,FALSE),VLOOKUP($M42,$R$63:$T$91,3,FALSE)))+IF(AND($M42&lt;&gt;"",$M42&lt;&gt;"O3/CP",$M$15=E$18,MID($M42,4,1)="2",$M$15&lt;&gt;$M$14),VLOOKUP(CONCATENATE(LEFT($M42,2),"L"),$R$63:$T$91,3,FALSE),0)+IF(AND($M42="O3/CP",$M$14=E$18),VLOOKUP("O3",$R$63:$T$91,3,FALSE)+VLOOKUP("CP",$R$63:$T$91,3,FALSE),0)+IF(AND($N42&lt;&gt;"",$N42&lt;&gt;"--",$N42&lt;&gt;"O3/CP",$N$14=E$18),IF(LEFT($N42,1)="P",VLOOKUP(CONCATENATE(LEFT($N42,2),"H"),$R$63:$T$91,3,FALSE),VLOOKUP($N42,$R$63:$T$91,3,FALSE)))+IF(AND($N42&lt;&gt;"",$N42&lt;&gt;"O3/CP",$N$15=E$18,MID($N42,4,1)="2",$N$15&lt;&gt;$N$14),VLOOKUP(CONCATENATE(LEFT($N42,2),"L"),$R$63:$T$91,3,FALSE),0)+IF(AND($N42="O3/CP",$N$14=E$18),VLOOKUP("O3",$R$63:$T$91,3,FALSE)+VLOOKUP("CP",$R$63:$T$91,3,FALSE),0)+IF(AND($O42&lt;&gt;"",$O42&lt;&gt;"--",$O42&lt;&gt;"O3/CP",$O$14=E$18),IF(LEFT($O42,1)="P",VLOOKUP(CONCATENATE(LEFT($O42,2),"H"),$R$63:$T$91,3,FALSE),VLOOKUP($O42,$R$63:$T$91,3,FALSE)))+IF(AND($O42&lt;&gt;"",$O42&lt;&gt;"O3/CP",$O$15=E$18,MID($O42,4,1)="2",$O$15&lt;&gt;$O$14),VLOOKUP(CONCATENATE(LEFT($O42,2),"L"),$R$63:$T$91,3,FALSE),0)+IF(AND($O42="O3/CP",$O$14=E$18),VLOOKUP("O3",$R$63:$T$91,3,FALSE)+VLOOKUP("CP",$R$63:$T$91,3,FALSE),0)+IF(AND($P42&lt;&gt;"",$P42&lt;&gt;"--",$P42&lt;&gt;"O3/CP",$P$14=E$18),IF(LEFT($P42,1)="P",VLOOKUP(CONCATENATE(LEFT($P42,2),"H"),$R$63:$T$91,3,FALSE),VLOOKUP($P42,$R$63:$T$91,3,FALSE)))+IF(AND($P42&lt;&gt;"",$P42&lt;&gt;"O3/CP",$P$15=E$18,MID($P42,4,1)="2",$P$15&lt;&gt;$P$14),VLOOKUP(CONCATENATE(LEFT($P42,2),"L"),$R$63:$T$91,3,FALSE),0)+IF(AND($P42="O3/CP",$P$14=E$18),VLOOKUP("O3",$R$63:$T$91,3,FALSE)+VLOOKUP("CP",$R$63:$T$91,3,FALSE),0)+IF(AND($Q42&lt;&gt;"",$Q42&lt;&gt;"--",$Q42&lt;&gt;"O3/CP",$Q$14=E$18),IF(LEFT($Q42,1)="P",VLOOKUP(CONCATENATE(LEFT($Q42,2),"H"),$R$63:$T$91,3,FALSE),VLOOKUP($Q42,$R$63:$T$91,3,FALSE)))+IF(AND($Q42&lt;&gt;"",$Q42&lt;&gt;"O3/CP",$Q$15=E$18,MID($Q42,4,1)="2",$Q$15&lt;&gt;$Q$14),VLOOKUP(CONCATENATE(LEFT($Q42,2),"L"),$R$63:$T$91,3,FALSE),0)+IF(AND($Q42="O3/CP",$Q$14=E$18),VLOOKUP("O3",$R$63:$T$91,3,FALSE)+VLOOKUP("CP",$R$63:$T$91,3,FALSE),0)+IF(AND($R42&lt;&gt;"",$R42&lt;&gt;"--",$R42&lt;&gt;"O3/CP",$R$14=E$18),IF(LEFT($R42,1)="P",VLOOKUP(CONCATENATE(LEFT($R42,2),"H"),$R$63:$T$91,3,FALSE),VLOOKUP($R42,$R$63:$T$91,3,FALSE)))+IF(AND($R42&lt;&gt;"",$R42&lt;&gt;"O3/CP",$R$15=E$18,MID($R42,4,1)="2",$R$15&lt;&gt;$R$14),VLOOKUP(CONCATENATE(LEFT($R42,2),"L"),$R$63:$T$91,3,FALSE),0)+IF(AND($R42="O3/CP",$R$14=E$18),VLOOKUP("O3",$R$63:$T$91,3,FALSE)+VLOOKUP("CP",$R$63:$T$91,3,FALSE),0)+IF(AND($S42&lt;&gt;"",$S42&lt;&gt;"--",$S42&lt;&gt;"O3/CP",$S$14=E$18),IF(LEFT($S42,1)="P",VLOOKUP(CONCATENATE(LEFT($S42,2),"H"),$R$63:$T$91,3,FALSE),VLOOKUP($S42,$R$63:$T$91,3,FALSE)))+IF(AND($S42&lt;&gt;"",$S42&lt;&gt;"O3/CP",$S$15=E$18,MID($S42,4,1)="2",$S$15&lt;&gt;$S$14),VLOOKUP(CONCATENATE(LEFT($S42,2),"L"),$R$63:$T$91,3,FALSE),0)+IF(AND($S42="O3/CP",$S$14=E$18),VLOOKUP("O3",$R$63:$T$91,3,FALSE)+VLOOKUP("CP",$R$63:$T$91,3,FALSE),0)+IF(AND($T42&lt;&gt;"",$T42&lt;&gt;"--",$T42&lt;&gt;"O3/CP",$T$14=E$18),IF(LEFT($T42,1)="P",VLOOKUP(CONCATENATE(LEFT($T42,2),"H"),$R$63:$T$91,3,FALSE),VLOOKUP($T42,$R$63:$T$91,3,FALSE)))+IF(AND($T42&lt;&gt;"",$T42&lt;&gt;"O3/CP",$T$15=E$18,MID($T42,4,1)="2",$T$15&lt;&gt;$T$14),VLOOKUP(CONCATENATE(LEFT($T42,2),"L"),$R$63:$T$91,3,FALSE),0)+IF(AND($T42="O3/CP",$T$14=E$18),VLOOKUP("O3",$R$63:$T$91,3,FALSE)+VLOOKUP("CP",$R$63:$T$91,3,FALSE),0)+IF(AND($U42&lt;&gt;"",$U42&lt;&gt;"--",$U42&lt;&gt;"O3/CP",$U$14=E$18),IF(LEFT($U42,1)="P",VLOOKUP(CONCATENATE(LEFT($U42,2),"H"),$R$63:$T$91,3,FALSE),VLOOKUP($U42,$R$63:$T$91,3,FALSE)))+IF(AND($U42&lt;&gt;"",$U42&lt;&gt;"O3/CP",$U$15=E$18,MID($U42,4,1)="2",$U$15&lt;&gt;$U$14),VLOOKUP(CONCATENATE(LEFT($U42,2),"L"),$R$63:$T$91,3,FALSE),0)+IF(AND($U42="O3/CP",$T$14=E$18),VLOOKUP("O3",$R$63:$T$91,3,FALSE)+VLOOKUP("CP",$R$63:$T$91,3,FALSE),0)+IF(AND($V42&lt;&gt;"",$V42&lt;&gt;"--",$V42&lt;&gt;"O3/CP",$V$14=E$18),IF(LEFT($V42,1)="P",VLOOKUP(CONCATENATE(LEFT($V42,2),"H"),$R$63:$T$91,3,FALSE),VLOOKUP($V42,$R$63:$T$91,3,FALSE)))+IF(AND($V42&lt;&gt;"",$V42&lt;&gt;"O3/CP",$V$15=E$18,MID($V42,4,1)="2",$V$15&lt;&gt;$V$14),VLOOKUP(CONCATENATE(LEFT($V42,2),"L"),$R$63:$T$91,3,FALSE),0)+IF(AND($V42="O3/CP",$V$14=E$18),VLOOKUP("O3",$R$63:$T$91,3,FALSE)+VLOOKUP("CP",$R$63:$T$91,3,FALSE),0)+IF(AND($W42&lt;&gt;"",$W42&lt;&gt;"--",$W42&lt;&gt;"O3/CP",$W$14=E$18),IF(LEFT($W42,1)="P",VLOOKUP(CONCATENATE(LEFT($W42,2),"H"),$R$63:$T$91,3,FALSE),VLOOKUP($W42,$R$63:$T$91,3,FALSE)))+IF(AND($W42&lt;&gt;"",$W42&lt;&gt;"O3/CP",$W$15=E$18,MID($W42,4,1)="2",$W$15&lt;&gt;$W$14),VLOOKUP(CONCATENATE(LEFT($W42,2),"L"),$R$63:$T$91,3,FALSE),0)+IF(AND($W42="O3/CP",$W$14=E$18),VLOOKUP("O3",$R$63:$T$91,3,FALSE)+VLOOKUP("CP",$R$63:$T$91,3,FALSE),0)+IF(AND($X42&lt;&gt;"",$X42&lt;&gt;"--",$X42&lt;&gt;"O3/CP",$X$14=E$18),IF(LEFT($X42,1)="P",VLOOKUP(CONCATENATE(LEFT($X42,2),"H"),$R$63:$T$91,3,FALSE),VLOOKUP($X42,$R$63:$T$91,3,FALSE)))+IF(AND($X42&lt;&gt;"",$X42&lt;&gt;"O3/CP",$X$15=E$18,MID($X42,4,1)="2",$X$15&lt;&gt;$X$14),VLOOKUP(CONCATENATE(LEFT($X42,2),"L"),$R$63:$T$91,3,FALSE),0)+IF(AND($X42="O3/CP",$X$14=E$18),VLOOKUP("O3",$R$63:$T$91,3,FALSE)+VLOOKUP("CP",$R$63:$T$91,3,FALSE),0)+IF(AND($Y42&lt;&gt;"",$Y42&lt;&gt;"--",$Y42&lt;&gt;"O3/CP",$Y$14=E$18),IF(LEFT($Y42,1)="P",VLOOKUP(CONCATENATE(LEFT($Y42,2),"H"),$R$63:$T$91,3,FALSE),VLOOKUP($Y42,$R$63:$T$91,3,FALSE)))+IF(AND($Y42&lt;&gt;"",$Y42&lt;&gt;"O3/CP",$Y$15=E$18,MID($Y42,4,1)="2",$Y$15&lt;&gt;$Y$14),VLOOKUP(CONCATENATE(LEFT($Y42,2),"L"),$R$63:$T$91,3,FALSE),0)+IF(AND($Y42="O3/CP",$Y$14=E$18),VLOOKUP("O3",$R$63:$T$91,3,FALSE)+VLOOKUP("CP",$R$63:$T$91,3,FALSE),0)+IF(AND($K$6="CE",'[3]Supply Attribution'!$G$20=E$18),LEFT($S$90,2),0)+IF(AND($X$86&lt;&gt;"Not Set",$X$87=E$18),$X$86,0)</f>
        <v>0</v>
      </c>
      <c r="F42" s="268">
        <f>IF(AND($K42&lt;&gt;"",$K42&lt;&gt;"--",$K42&lt;&gt;"O3/CP",$K$14=F$18),IF(LEFT($K42,1)="P",VLOOKUP(CONCATENATE(LEFT($K42,2),"H"),$R$63:$T$91,3,FALSE),VLOOKUP($K42,$R$63:$T$91,3,FALSE)))+IF(AND($K42&lt;&gt;"",$K42&lt;&gt;"O3/CP",$K$15=F$18,MID($K42,4,1)="2",$K$15&lt;&gt;$K$14),VLOOKUP(CONCATENATE(LEFT($K42,2),"L"),$R$63:$T$91,3,FALSE),0)+IF(AND($K42="O3/CP",$K$14=F$18),VLOOKUP("O3",$R$63:$T$91,3,FALSE)+VLOOKUP("CP",$R$63:$T$91,3,FALSE),0)+IF(AND($L42&lt;&gt;"",$L42&lt;&gt;"--",$L42&lt;&gt;"O3/CP",$L$14=F$18),IF(LEFT($L42,1)="P",VLOOKUP(CONCATENATE(LEFT($L42,2),"H"),$R$63:$T$91,3,FALSE),VLOOKUP($L42,$R$63:$T$91,3,FALSE)))+IF(AND($L42&lt;&gt;"",$L42&lt;&gt;"O3/CP",$L$15=F$18,MID($L42,4,1)="2",$L$15&lt;&gt;$L$14),VLOOKUP(CONCATENATE(LEFT($L42,2),"L"),$R$63:$T$91,3,FALSE),0)+IF(AND($L42="O3/CP",$L$14=F$18),VLOOKUP("O3",$R$63:$T$91,3,FALSE)+VLOOKUP("CP",$R$63:$T$91,3,FALSE),0)+IF(AND($M42&lt;&gt;"",$M42&lt;&gt;"--",$M42&lt;&gt;"O3/CP",$M$14=F$18),IF(LEFT($M42,1)="P",VLOOKUP(CONCATENATE(LEFT($M42,2),"H"),$R$63:$T$91,3,FALSE),VLOOKUP($M42,$R$63:$T$91,3,FALSE)))+IF(AND($M42&lt;&gt;"",$M42&lt;&gt;"O3/CP",$M$15=F$18,MID($M42,4,1)="2",$M$15&lt;&gt;$M$14),VLOOKUP(CONCATENATE(LEFT($M42,2),"L"),$R$63:$T$91,3,FALSE),0)+IF(AND($M42="O3/CP",$M$14=F$18),VLOOKUP("O3",$R$63:$T$91,3,FALSE)+VLOOKUP("CP",$R$63:$T$91,3,FALSE),0)+IF(AND($N42&lt;&gt;"",$N42&lt;&gt;"--",$N42&lt;&gt;"O3/CP",$N$14=F$18),IF(LEFT($N42,1)="P",VLOOKUP(CONCATENATE(LEFT($N42,2),"H"),$R$63:$T$91,3,FALSE),VLOOKUP($N42,$R$63:$T$91,3,FALSE)))+IF(AND($N42&lt;&gt;"",$N42&lt;&gt;"O3/CP",$N$15=F$18,MID($N42,4,1)="2",$N$15&lt;&gt;$N$14),VLOOKUP(CONCATENATE(LEFT($N42,2),"L"),$R$63:$T$91,3,FALSE),0)+IF(AND($N42="O3/CP",$N$14=F$18),VLOOKUP("O3",$R$63:$T$91,3,FALSE)+VLOOKUP("CP",$R$63:$T$91,3,FALSE),0)+IF(AND($O42&lt;&gt;"",$O42&lt;&gt;"--",$O42&lt;&gt;"O3/CP",$O$14=F$18),IF(LEFT($O42,1)="P",VLOOKUP(CONCATENATE(LEFT($O42,2),"H"),$R$63:$T$91,3,FALSE),VLOOKUP($O42,$R$63:$T$91,3,FALSE)))+IF(AND($O42&lt;&gt;"",$O42&lt;&gt;"O3/CP",$O$15=F$18,MID($O42,4,1)="2",$O$15&lt;&gt;$O$14),VLOOKUP(CONCATENATE(LEFT($O42,2),"L"),$R$63:$T$91,3,FALSE),0)+IF(AND($O42="O3/CP",$O$14=F$18),VLOOKUP("O3",$R$63:$T$91,3,FALSE)+VLOOKUP("CP",$R$63:$T$91,3,FALSE),0)+IF(AND($P42&lt;&gt;"",$P42&lt;&gt;"--",$P42&lt;&gt;"O3/CP",$P$14=F$18),IF(LEFT($P42,1)="P",VLOOKUP(CONCATENATE(LEFT($P42,2),"H"),$R$63:$T$91,3,FALSE),VLOOKUP($P42,$R$63:$T$91,3,FALSE)))+IF(AND($P42&lt;&gt;"",$P42&lt;&gt;"O3/CP",$P$15=F$18,MID($P42,4,1)="2",$P$15&lt;&gt;$P$14),VLOOKUP(CONCATENATE(LEFT($P42,2),"L"),$R$63:$T$91,3,FALSE),0)+IF(AND($P42="O3/CP",$P$14=F$18),VLOOKUP("O3",$R$63:$T$91,3,FALSE)+VLOOKUP("CP",$R$63:$T$91,3,FALSE),0)+IF(AND($Q42&lt;&gt;"",$Q42&lt;&gt;"--",$Q42&lt;&gt;"O3/CP",$Q$14=F$18),IF(LEFT($Q42,1)="P",VLOOKUP(CONCATENATE(LEFT($Q42,2),"H"),$R$63:$T$91,3,FALSE),VLOOKUP($Q42,$R$63:$T$91,3,FALSE)))+IF(AND($Q42&lt;&gt;"",$Q42&lt;&gt;"O3/CP",$Q$15=F$18,MID($Q42,4,1)="2",$Q$15&lt;&gt;$Q$14),VLOOKUP(CONCATENATE(LEFT($Q42,2),"L"),$R$63:$T$91,3,FALSE),0)+IF(AND($Q42="O3/CP",$Q$14=F$18),VLOOKUP("O3",$R$63:$T$91,3,FALSE)+VLOOKUP("CP",$R$63:$T$91,3,FALSE),0)+IF(AND($R42&lt;&gt;"",$R42&lt;&gt;"--",$R42&lt;&gt;"O3/CP",$R$14=F$18),IF(LEFT($R42,1)="P",VLOOKUP(CONCATENATE(LEFT($R42,2),"H"),$R$63:$T$91,3,FALSE),VLOOKUP($R42,$R$63:$T$91,3,FALSE)))+IF(AND($R42&lt;&gt;"",$R42&lt;&gt;"O3/CP",$R$15=F$18,MID($R42,4,1)="2",$R$15&lt;&gt;$R$14),VLOOKUP(CONCATENATE(LEFT($R42,2),"L"),$R$63:$T$91,3,FALSE),0)+IF(AND($R42="O3/CP",$R$14=F$18),VLOOKUP("O3",$R$63:$T$91,3,FALSE)+VLOOKUP("CP",$R$63:$T$91,3,FALSE),0)+IF(AND($S42&lt;&gt;"",$S42&lt;&gt;"--",$S42&lt;&gt;"O3/CP",$S$14=F$18),IF(LEFT($S42,1)="P",VLOOKUP(CONCATENATE(LEFT($S42,2),"H"),$R$63:$T$91,3,FALSE),VLOOKUP($S42,$R$63:$T$91,3,FALSE)))+IF(AND($S42&lt;&gt;"",$S42&lt;&gt;"O3/CP",$S$15=F$18,MID($S42,4,1)="2",$S$15&lt;&gt;$S$14),VLOOKUP(CONCATENATE(LEFT($S42,2),"L"),$R$63:$T$91,3,FALSE),0)+IF(AND($S42="O3/CP",$S$14=F$18),VLOOKUP("O3",$R$63:$T$91,3,FALSE)+VLOOKUP("CP",$R$63:$T$91,3,FALSE),0)+IF(AND($T42&lt;&gt;"",$T42&lt;&gt;"--",$T42&lt;&gt;"O3/CP",$T$14=F$18),IF(LEFT($T42,1)="P",VLOOKUP(CONCATENATE(LEFT($T42,2),"H"),$R$63:$T$91,3,FALSE),VLOOKUP($T42,$R$63:$T$91,3,FALSE)))+IF(AND($T42&lt;&gt;"",$T42&lt;&gt;"O3/CP",$T$15=F$18,MID($T42,4,1)="2",$T$15&lt;&gt;$T$14),VLOOKUP(CONCATENATE(LEFT($T42,2),"L"),$R$63:$T$91,3,FALSE),0)+IF(AND($T42="O3/CP",$T$14=F$18),VLOOKUP("O3",$R$63:$T$91,3,FALSE)+VLOOKUP("CP",$R$63:$T$91,3,FALSE),0)+IF(AND($U42&lt;&gt;"",$U42&lt;&gt;"--",$U42&lt;&gt;"O3/CP",$U$14=F$18),IF(LEFT($U42,1)="P",VLOOKUP(CONCATENATE(LEFT($U42,2),"H"),$R$63:$T$91,3,FALSE),VLOOKUP($U42,$R$63:$T$91,3,FALSE)))+IF(AND($U42&lt;&gt;"",$U42&lt;&gt;"O3/CP",$U$15=F$18,MID($U42,4,1)="2",$U$15&lt;&gt;$U$14),VLOOKUP(CONCATENATE(LEFT($U42,2),"L"),$R$63:$T$91,3,FALSE),0)+IF(AND($U42="O3/CP",$T$14=F$18),VLOOKUP("O3",$R$63:$T$91,3,FALSE)+VLOOKUP("CP",$R$63:$T$91,3,FALSE),0)+IF(AND($V42&lt;&gt;"",$V42&lt;&gt;"--",$V42&lt;&gt;"O3/CP",$V$14=F$18),IF(LEFT($V42,1)="P",VLOOKUP(CONCATENATE(LEFT($V42,2),"H"),$R$63:$T$91,3,FALSE),VLOOKUP($V42,$R$63:$T$91,3,FALSE)))+IF(AND($V42&lt;&gt;"",$V42&lt;&gt;"O3/CP",$V$15=F$18,MID($V42,4,1)="2",$V$15&lt;&gt;$V$14),VLOOKUP(CONCATENATE(LEFT($V42,2),"L"),$R$63:$T$91,3,FALSE),0)+IF(AND($V42="O3/CP",$V$14=F$18),VLOOKUP("O3",$R$63:$T$91,3,FALSE)+VLOOKUP("CP",$R$63:$T$91,3,FALSE),0)+IF(AND($W42&lt;&gt;"",$W42&lt;&gt;"--",$W42&lt;&gt;"O3/CP",$W$14=F$18),IF(LEFT($W42,1)="P",VLOOKUP(CONCATENATE(LEFT($W42,2),"H"),$R$63:$T$91,3,FALSE),VLOOKUP($W42,$R$63:$T$91,3,FALSE)))+IF(AND($W42&lt;&gt;"",$W42&lt;&gt;"O3/CP",$W$15=F$18,MID($W42,4,1)="2",$W$15&lt;&gt;$W$14),VLOOKUP(CONCATENATE(LEFT($W42,2),"L"),$R$63:$T$91,3,FALSE),0)+IF(AND($W42="O3/CP",$W$14=F$18),VLOOKUP("O3",$R$63:$T$91,3,FALSE)+VLOOKUP("CP",$R$63:$T$91,3,FALSE),0)+IF(AND($X42&lt;&gt;"",$X42&lt;&gt;"--",$X42&lt;&gt;"O3/CP",$X$14=F$18),IF(LEFT($X42,1)="P",VLOOKUP(CONCATENATE(LEFT($X42,2),"H"),$R$63:$T$91,3,FALSE),VLOOKUP($X42,$R$63:$T$91,3,FALSE)))+IF(AND($X42&lt;&gt;"",$X42&lt;&gt;"O3/CP",$X$15=F$18,MID($X42,4,1)="2",$X$15&lt;&gt;$X$14),VLOOKUP(CONCATENATE(LEFT($X42,2),"L"),$R$63:$T$91,3,FALSE),0)+IF(AND($X42="O3/CP",$X$14=F$18),VLOOKUP("O3",$R$63:$T$91,3,FALSE)+VLOOKUP("CP",$R$63:$T$91,3,FALSE),0)+IF(AND($Y42&lt;&gt;"",$Y42&lt;&gt;"--",$Y42&lt;&gt;"O3/CP",$Y$14=F$18),IF(LEFT($Y42,1)="P",VLOOKUP(CONCATENATE(LEFT($Y42,2),"H"),$R$63:$T$91,3,FALSE),VLOOKUP($Y42,$R$63:$T$91,3,FALSE)))+IF(AND($Y42&lt;&gt;"",$Y42&lt;&gt;"O3/CP",$Y$15=F$18,MID($Y42,4,1)="2",$Y$15&lt;&gt;$Y$14),VLOOKUP(CONCATENATE(LEFT($Y42,2),"L"),$R$63:$T$91,3,FALSE),0)+IF(AND($Y42="O3/CP",$Y$14=F$18),VLOOKUP("O3",$R$63:$T$91,3,FALSE)+VLOOKUP("CP",$R$63:$T$91,3,FALSE),0)+IF(AND($K$6="CE",'[3]Supply Attribution'!$G$20=F$18),LEFT($S$90,2),0)+IF(AND($X$86&lt;&gt;"Not Set",$X$87=F$18),$X$86,0)</f>
        <v>0</v>
      </c>
      <c r="G42" s="269">
        <f>IF(AND($K$6="CE",$T$59="1 Phase"),SUM(A42:F42)-IF(AND($K$14&lt;&gt;$K$15,RIGHT($K42,3)="2SP"),VLOOKUP(CONCATENATE(LEFT($K42,2),"L"),$R$63:$T$90,3,FALSE),0)-IF(AND($L$14&lt;&gt;$L$15,RIGHT($L42,3)="2SP"),VLOOKUP(CONCATENATE(LEFT($L42,2),"L"),$R$63:$T$90,3,FALSE),0)-IF(AND($M$14&lt;&gt;$M$15,RIGHT($M42,3)="2SP"),VLOOKUP(CONCATENATE(LEFT($M42,2),"L"),$R$63:$T$90,3,FALSE),0)-IF(AND($N$14&lt;&gt;$N$15,RIGHT($N42,3)="2SP"),VLOOKUP(CONCATENATE(LEFT($N42,2),"L"),$R$63:$T$90,3,FALSE),0)-IF(AND($O$14&lt;&gt;$O$15,RIGHT($O42,3)="2SP"),VLOOKUP(CONCATENATE(LEFT($O42,2),"L"),$R$63:$T$90,3,FALSE),0)-IF(AND($P$14&lt;&gt;$P$15,RIGHT($P42,3)="2SP"),VLOOKUP(CONCATENATE(LEFT($P42,2),"L"),$R$63:$T$90,3,FALSE),0)-IF(AND($Q$14&lt;&gt;$Q$15,RIGHT($Q42,3)="2SP"),VLOOKUP(CONCATENATE(LEFT($Q42,2),"L"),$R$63:$T$90,3,FALSE),0)-IF(AND($R$14&lt;&gt;$R$15,RIGHT($T42,3)="2SP"),VLOOKUP(CONCATENATE(LEFT($R42,2),"L"),$R$63:$T$90,3,FALSE),0)-IF(AND($S$14&lt;&gt;$S$15,RIGHT($T42,3)="2SP"),VLOOKUP(CONCATENATE(LEFT($S42,2),"L"),$R$63:$T$90,3,FALSE),0)-IF(AND($T$14&lt;&gt;$T$15,RIGHT($T42,3)="2SP"),VLOOKUP(CONCATENATE(LEFT($T42,2),"L"),$R$63:$T$90,3,FALSE),0)-IF(AND($U$14&lt;&gt;$U$15,RIGHT($U42,3)="2SP"),VLOOKUP(CONCATENATE(LEFT($U42,2),"L"),$R$63:$T$90,3,FALSE),0)-IF(AND($V$14&lt;&gt;$V$15,RIGHT($V42,3)="2SP"),VLOOKUP(CONCATENATE(LEFT($V42,2),"L"),$R$63:$T$90,3,FALSE),0)-IF(AND($W$14&lt;&gt;$W$15,RIGHT($W42,3)="2SP"),VLOOKUP(CONCATENATE(LEFT($W42,2),"L"),$R$63:$T$90,3,FALSE),0)-IF(AND($X$14&lt;&gt;$X$15,RIGHT($X42,3)="2SP"),VLOOKUP(CONCATENATE(LEFT($X42,2),"L"),$R$63:$T$90,3,FALSE),0)-IF(AND($Y$14&lt;&gt;$Y$15,RIGHT($Y42,3)="2SP"),VLOOKUP(CONCATENATE(LEFT($Y42,2),"L"),$R$63:$T$90,3,FALSE),0),IF(VLOOKUP(CONCATENATE($A$18,"Line"),'[3]Supply Attribution'!$F$31:$G$37,2,FALSE)=G$18,$A42,0)+IF(VLOOKUP(CONCATENATE($B$18,"Line"),'[3]Supply Attribution'!$F$31:$G$37,2,FALSE)=G$18,$B42,0)+IF(VLOOKUP(CONCATENATE($C$18,"Line"),'[3]Supply Attribution'!$F$31:$G$37,2,FALSE)=G$18,$C42,0)+IF(VLOOKUP(CONCATENATE($D$18,"Line"),'[3]Supply Attribution'!$F$31:$G$37,2,FALSE)=G$18,$D42,0)+IF(VLOOKUP(CONCATENATE($E$18,"Line"),'[3]Supply Attribution'!$F$31:$G$37,2,FALSE)=G$18,$E42,0)+IF(VLOOKUP(CONCATENATE($F$18,"Line"),'[3]Supply Attribution'!$F$31:$G$37,2,FALSE)=G$18,$F42,0)+IF($K$6="UL",LEFT($S$90,2),0)-IF(AND($K$16=G$18,$K$14&lt;&gt;$K$15,$K$16=$K$17,RIGHT($K42,3)="2SP"),VLOOKUP(CONCATENATE(LEFT($K42,2),"L"),$R$63:$T$90,3,FALSE),0)-IF(AND($L$16=G$18,$L$14&lt;&gt;$L$15,$L$16=$L$17,RIGHT($L42,3)="2SP"),VLOOKUP(CONCATENATE(LEFT($L42,2),"L"),$R$63:$T$90,3,FALSE),0)-IF(AND($M$16=G$18,$M$14&lt;&gt;$M$15,$M$16=$M$17,RIGHT($M42,3)="2SP"),VLOOKUP(CONCATENATE(LEFT($M42,2),"L"),$R$63:$T$90,3,FALSE),0)-IF(AND($N$16=G$18,$N$14&lt;&gt;$N$15,$N$16=$N$17,RIGHT($N42,3)="2SP"),VLOOKUP(CONCATENATE(LEFT($N42,2),"L"),$R$63:$T$90,3,FALSE),0)-IF(AND($O$16=G$18,$O$14&lt;&gt;$O$15,$O$16=$O$17,RIGHT($O42,3)="2SP"),VLOOKUP(CONCATENATE(LEFT($O42,2),"L"),$R$63:$T$90,3,FALSE),0)-IF(AND($P$16=G$18,$P$14&lt;&gt;$P$15,$P$16=$P$17,RIGHT($P42,3)="2SP"),VLOOKUP(CONCATENATE(LEFT($P42,2),"L"),$R$63:$T$90,3,FALSE),0)-IF(AND($Q$16=G$18,$Q$14&lt;&gt;$Q$15,$Q$16=$Q$17,RIGHT($Q42,3)="2SP"),VLOOKUP(CONCATENATE(LEFT($Q42,2),"L"),$R$63:$T$90,3,FALSE),0)-IF(AND($R$16=G$18,$R$14&lt;&gt;$R$15,$R$16=$R$17,RIGHT($R42,3)="2SP"),VLOOKUP(CONCATENATE(LEFT($R42,2),"L"),$R$63:$T$90,3,FALSE),0)-IF(AND($S$16=G$18,$S$14&lt;&gt;$S$15,$S$16=$S$17,RIGHT($S42,3)="2SP"),VLOOKUP(CONCATENATE(LEFT($S42,2),"L"),$R$63:$T$90,3,FALSE),0)-IF(AND($T$16=G$18,$T$14&lt;&gt;$T$15,$T$16=$T$17,RIGHT($T42,3)="2SP"),VLOOKUP(CONCATENATE(LEFT($T42,2),"L"),$R$63:$T$90,3,FALSE),0)-IF(AND($U$16=G$18,$U$14&lt;&gt;$U$15,$U$16=$U$17,RIGHT($U42,3)="2SP"),VLOOKUP(CONCATENATE(LEFT($U42,2),"L"),$R$63:$T$90,3,FALSE),0)-IF(AND($V$16=G$18,$V$14&lt;&gt;$V$15,$V$16=$V$17,RIGHT($V42,3)="2SP"),VLOOKUP(CONCATENATE(LEFT($V42,2),"L"),$R$63:$T$90,3,FALSE),0)-IF(AND($W$16=G$18,$W$14&lt;&gt;$W$15,$W$16=$W$17,RIGHT($W42,3)="2SP"),VLOOKUP(CONCATENATE(LEFT($W42,2),"L"),$R$63:$T$90,3,FALSE),0)-IF(AND($X$16=G$18,$X$14&lt;&gt;$X$15,$X$16=$X$17,RIGHT($X42,3)="2SP"),VLOOKUP(CONCATENATE(LEFT($X42,2),"L"),$R$63:$T$90,3,FALSE),0)-IF(AND($Y$16=G$18,$Y$14&lt;&gt;$Y$15,$Y$16=$Y$17,RIGHT($Y42,3)="2SP"),VLOOKUP(CONCATENATE(LEFT($Y42,2),"L"),$R$63:$T$90,3,FALSE),0))</f>
        <v>17</v>
      </c>
      <c r="H42" s="269" t="str">
        <f>IF(H$18&lt;&gt;"",IF(VLOOKUP(CONCATENATE($A$18,"Line"),'Supply Attribution'!$F$31:$G$37,2,FALSE)=H$18,$A42,0)+IF(VLOOKUP(CONCATENATE($B$18,"Line"),'Supply Attribution'!$F$31:$G$37,2,FALSE)=H$18,$B42,0)+IF(VLOOKUP(CONCATENATE($C$18,"Line"),'Supply Attribution'!$F$31:$G$37,2,FALSE)=H$18,$C42,0)+IF(VLOOKUP(CONCATENATE($D$18,"Line"),'Supply Attribution'!$F$31:$G$37,2,FALSE)=H$18,$D42,0)+IF(VLOOKUP(CONCATENATE($E$18,"Line"),'Supply Attribution'!$F$31:$G$37,2,FALSE)=H$18,$E42,0)+IF(VLOOKUP(CONCATENATE($F$18,"Line"),'Supply Attribution'!$F$31:$G$37,2,FALSE)=H$18,$F42,0)+IF($K$6="UL",LEFT($S$90,2),0)-IF(AND($K$16=H$18,$K$14&lt;&gt;$K$15,$K$16=$K$17,RIGHT($K42,3)="2SP"),VLOOKUP(CONCATENATE(LEFT($K42,2),"L"),$R$63:$T$90,3,FALSE),0)-IF(AND($L$16=H$18,$L$14&lt;&gt;$L$15,$L$16=$L$17,RIGHT($L42,3)="2SP"),VLOOKUP(CONCATENATE(LEFT($L42,2),"L"),$R$63:$T$90,3,FALSE),0)-IF(AND($M$16=H$18,$M$14&lt;&gt;$M$15,$M$16=$M$17,RIGHT($M42,3)="2SP"),VLOOKUP(CONCATENATE(LEFT($M42,2),"L"),$R$63:$T$90,3,FALSE),0)-IF(AND($N$16=H$18,$N$14&lt;&gt;$N$15,$N$16=$N$17,RIGHT($N42,3)="2SP"),VLOOKUP(CONCATENATE(LEFT($N42,2),"L"),$R$63:$T$90,3,FALSE),0)-IF(AND($O$16=H$18,$O$14&lt;&gt;$O$15,$O$16=$O$17,RIGHT($O42,3)="2SP"),VLOOKUP(CONCATENATE(LEFT($O42,2),"L"),$R$63:$T$90,3,FALSE),0)-IF(AND($P$16=H$18,$P$14&lt;&gt;$P$15,$P$16=$P$17,RIGHT($P42,3)="2SP"),VLOOKUP(CONCATENATE(LEFT($P42,2),"L"),$R$63:$T$90,3,FALSE),0)-IF(AND($Q$16=H$18,$Q$14&lt;&gt;$Q$15,$Q$16=$Q$17,RIGHT($Q42,3)="2SP"),VLOOKUP(CONCATENATE(LEFT($Q42,2),"L"),$R$63:$T$90,3,FALSE),0)-IF(AND($T$16=H$18,$T$14&lt;&gt;$T$15,$T$16=$T$17,RIGHT($T42,3)="2SP"),VLOOKUP(CONCATENATE(LEFT($T42,2),"L"),$R$63:$T$90,3,FALSE),0)-IF(AND($U$16=H$18,$U$14&lt;&gt;$U$15,$U$16=$U$17,RIGHT($U42,3)="2SP"),VLOOKUP(CONCATENATE(LEFT($U42,2),"L"),$R$63:$T$90,3,FALSE),0)-IF(AND($V$16=H$18,$V$14&lt;&gt;$V$15,$V$16=$V$17,RIGHT($V42,3)="2SP"),VLOOKUP(CONCATENATE(LEFT($V42,2),"L"),$R$63:$T$90,3,FALSE),0)-IF(AND($W$16=H$18,$W$14&lt;&gt;$W$15,$W$16=$W$17,RIGHT($W42,3)="2SP"),VLOOKUP(CONCATENATE(LEFT($W42,2),"L"),$R$63:$T$90,3,FALSE),0)-IF(AND($X$16=H$18,$X$14&lt;&gt;$X$15,$X$16=$X$17,RIGHT($X42,3)="2SP"),VLOOKUP(CONCATENATE(LEFT($X42,2),"L"),$R$63:$T$90,3,FALSE),0)-IF(AND($Y$16=H$18,$Y$14&lt;&gt;$Y$15,$Y$16=$Y$17,RIGHT($Y42,3)="2SP"),VLOOKUP(CONCATENATE(LEFT($Y42,2),"L"),$R$63:$T$90,3,FALSE),0)+IF(AND($K$6="CE",$T$59="2 Phases",H$18&lt;&gt;""),IF(VLOOKUP(CONCATENATE($A$18,"Line"),'Supply Attribution'!$F$31:$G$37,2,FALSE)="Line3",$A42,0)+IF(VLOOKUP(CONCATENATE($B$18,"Line"),'Supply Attribution'!$F$31:$G$37,2,FALSE)="Line3",$B42,0)+IF(VLOOKUP(CONCATENATE($C$18,"Line"),'Supply Attribution'!$F$31:$G$37,2,FALSE)="Line3",$C42,0)+IF(VLOOKUP(CONCATENATE($D$18,"Line"),'Supply Attribution'!$F$31:$G$37,2,FALSE)="Line3",$D42,0)+IF(VLOOKUP(CONCATENATE($E$18,"Line"),'Supply Attribution'!$F$31:$G$37,2,FALSE)="Line3",$E42,0)+IF(VLOOKUP(CONCATENATE($F$18,"Line"),'Supply Attribution'!$F$31:$G$37,2,FALSE)="Line3",$F42,0)-IF(AND($K$16=I$18,$K$14&lt;&gt;$K$15,$K$16=$K$17,RIGHT($K42,3)="2SP"),VLOOKUP(CONCATENATE(LEFT($K42,2),"L"),$R$63:$T$90,3,FALSE),0)-IF(AND($L$16=I$18,$L$14&lt;&gt;$L$15,$L$16=$L$17,RIGHT($L42,3)="2SP"),VLOOKUP(CONCATENATE(LEFT($L42,2),"L"),$R$63:$T$90,3,FALSE),0)-IF(AND($M$16=I$18,$M$14&lt;&gt;$M$15,$M$16=$M$17,RIGHT($M42,3)="2SP"),VLOOKUP(CONCATENATE(LEFT($M42,2),"L"),$R$63:$T$90,3,FALSE),0)-IF(AND($N$16=I$18,$N$14&lt;&gt;$N$15,$N$16=$N$17,RIGHT($N42,3)="2SP"),VLOOKUP(CONCATENATE(LEFT($N42,2),"L"),$R$63:$T$90,3,FALSE),0)-IF(AND($O$16=I$18,$O$14&lt;&gt;$O$15,$O$16=$O$17,RIGHT($O42,3)="2SP"),VLOOKUP(CONCATENATE(LEFT($O42,2),"L"),$R$63:$T$90,3,FALSE),0)-IF(AND($P$16=I$18,$P$14&lt;&gt;$P$15,$P$16=$P$17,RIGHT($P42,3)="2SP"),VLOOKUP(CONCATENATE(LEFT($P42,2),"L"),$R$63:$T$90,3,FALSE),0)-IF(AND($Q$16=I$18,$Q$14&lt;&gt;$Q$15,$Q$16=$Q$17,RIGHT($Q42,3)="2SP"),VLOOKUP(CONCATENATE(LEFT($Q42,2),"L"),$R$63:$T$90,3,FALSE),0)-IF(AND($T$16=I$18,$T$14&lt;&gt;$T$15,$T$16=$T$17,RIGHT($T42,3)="2SP"),VLOOKUP(CONCATENATE(LEFT($T42,2),"L"),$R$63:$T$90,3,FALSE),0)-IF(AND($U$16=I$18,$U$14&lt;&gt;$U$15,$U$16=$U$17,RIGHT($U42,3)="2SP"),VLOOKUP(CONCATENATE(LEFT($U42,2),"L"),$R$63:$T$90,3,FALSE),0)-IF(AND($V$16=I$18,$V$14&lt;&gt;$V$15,$V$16=$V$17,RIGHT($V42,3)="2SP"),VLOOKUP(CONCATENATE(LEFT($V42,2),"L"),$R$63:$T$90,3,FALSE),0)-IF(AND($W$16=I$18,$W$14&lt;&gt;$W$15,$W$16=$W$17,RIGHT($W42,3)="2SP"),VLOOKUP(CONCATENATE(LEFT($W42,2),"L"),$R$63:$T$90,3,FALSE),0)-IF(AND($X$16=I$18,$X$14&lt;&gt;$X$15,$X$16=$X$17,RIGHT($X42,3)="2SP"),VLOOKUP(CONCATENATE(LEFT($X42,2),"L"),$R$63:$T$90,3,FALSE),0)-IF(AND($Y$16=I$18,$Y$14&lt;&gt;$Y$15,$Y$16=$Y$17,RIGHT($Y42,3)="2SP"),VLOOKUP(CONCATENATE(LEFT($Y42,2),"L"),$R$63:$T$90,3,FALSE),0),0),"")</f>
        <v/>
      </c>
      <c r="I42" s="269" t="str">
        <f>IF(I$18&lt;&gt;"",IF(VLOOKUP(CONCATENATE($A$18,"Line"),'Supply Attribution'!$F$31:$G$37,2,FALSE)=I$18,$A42,0)+IF(VLOOKUP(CONCATENATE($B$18,"Line"),'Supply Attribution'!$F$31:$G$37,2,FALSE)=I$18,$B42,0)+IF(VLOOKUP(CONCATENATE($C$18,"Line"),'Supply Attribution'!$F$31:$G$37,2,FALSE)=I$18,$C42,0)+IF(VLOOKUP(CONCATENATE($D$18,"Line"),'Supply Attribution'!$F$31:$G$37,2,FALSE)=I$18,$D42,0)+IF(VLOOKUP(CONCATENATE($E$18,"Line"),'Supply Attribution'!$F$31:$G$37,2,FALSE)=I$18,$E42,0)+IF(VLOOKUP(CONCATENATE($F$18,"Line"),'Supply Attribution'!$F$31:$G$37,2,FALSE)=I$18,$F42,0)+IF($K$6="UL",LEFT($S$90,2),0)-IF(AND($K$16=I$18,$K$14&lt;&gt;$K$15,$K$16=$K$17,RIGHT($K42,3)="2SP"),VLOOKUP(CONCATENATE(LEFT($K42,2),"L"),$R$63:$T$90,3,FALSE),0)-IF(AND($L$16=I$18,$L$14&lt;&gt;$L$15,$L$16=$L$17,RIGHT($L42,3)="2SP"),VLOOKUP(CONCATENATE(LEFT($L42,2),"L"),$R$63:$T$90,3,FALSE),0)-IF(AND($M$16=I$18,$M$14&lt;&gt;$M$15,$M$16=$M$17,RIGHT($M42,3)="2SP"),VLOOKUP(CONCATENATE(LEFT($M42,2),"L"),$R$63:$T$90,3,FALSE),0)-IF(AND($N$16=I$18,$N$14&lt;&gt;$N$15,$N$16=$N$17,RIGHT($N42,3)="2SP"),VLOOKUP(CONCATENATE(LEFT($N42,2),"L"),$R$63:$T$90,3,FALSE),0)-IF(AND($O$16=I$18,$O$14&lt;&gt;$O$15,$O$16=$O$17,RIGHT($O42,3)="2SP"),VLOOKUP(CONCATENATE(LEFT($O42,2),"L"),$R$63:$T$90,3,FALSE),0)-IF(AND($P$16=I$18,$P$14&lt;&gt;$P$15,$P$16=$P$17,RIGHT($P42,3)="2SP"),VLOOKUP(CONCATENATE(LEFT($P42,2),"L"),$R$63:$T$90,3,FALSE),0)-IF(AND($Q$16=I$18,$Q$14&lt;&gt;$Q$15,$Q$16=$Q$17,RIGHT($Q42,3)="2SP"),VLOOKUP(CONCATENATE(LEFT($Q42,2),"L"),$R$63:$T$90,3,FALSE),0)-IF(AND($T$16=I$18,$T$14&lt;&gt;$T$15,$T$16=$T$17,RIGHT($T42,3)="2SP"),VLOOKUP(CONCATENATE(LEFT($T42,2),"L"),$R$63:$T$90,3,FALSE),0)-IF(AND($U$16=I$18,$U$14&lt;&gt;$U$15,$U$16=$U$17,RIGHT($U42,3)="2SP"),VLOOKUP(CONCATENATE(LEFT($U42,2),"L"),$R$63:$T$90,3,FALSE),0)-IF(AND($V$16=I$18,$V$14&lt;&gt;$V$15,$V$16=$V$17,RIGHT($V42,3)="2SP"),VLOOKUP(CONCATENATE(LEFT($V42,2),"L"),$R$63:$T$90,3,FALSE),0)-IF(AND($W$16=I$18,$W$14&lt;&gt;$W$15,$W$16=$W$17,RIGHT($W42,3)="2SP"),VLOOKUP(CONCATENATE(LEFT($W42,2),"L"),$R$63:$T$90,3,FALSE),0)-IF(AND($X$16=I$18,$X$14&lt;&gt;$X$15,$X$16=$X$17,RIGHT($X42,3)="2SP"),VLOOKUP(CONCATENATE(LEFT($X42,2),"L"),$R$63:$T$90,3,FALSE),0)-IF(AND($Y$16=I$18,$Y$14&lt;&gt;$Y$15,$Y$16=$Y$17,RIGHT($Y42,3)="2SP"),VLOOKUP(CONCATENATE(LEFT($Y42,2),"L"),$R$63:$T$90,3,FALSE),0),"")</f>
        <v/>
      </c>
      <c r="J42" s="134"/>
      <c r="K42" s="135"/>
      <c r="L42" s="135"/>
      <c r="M42" s="135"/>
      <c r="N42" s="135"/>
      <c r="O42" s="135"/>
      <c r="P42" s="135"/>
      <c r="Q42" s="135"/>
      <c r="R42" s="135"/>
      <c r="S42" s="135"/>
      <c r="T42" s="135"/>
      <c r="U42" s="135"/>
      <c r="V42" s="135"/>
      <c r="W42" s="135"/>
      <c r="X42" s="135"/>
      <c r="Y42" s="135"/>
      <c r="Z42" s="136"/>
      <c r="AA42" s="136"/>
      <c r="AB42" s="137"/>
      <c r="AC42" s="137"/>
      <c r="AD42" s="137"/>
      <c r="AE42" s="138">
        <f t="shared" si="0"/>
        <v>0</v>
      </c>
      <c r="AF42" s="78"/>
    </row>
    <row r="43" spans="1:32" ht="13.15" customHeight="1">
      <c r="A43" s="264">
        <f>IF(AND($K43&lt;&gt;"",$K43&lt;&gt;"--",$K43&lt;&gt;"O3/CP",$K$14=A$18),IF(LEFT($K43,1)="P",VLOOKUP(CONCATENATE(LEFT($K43,2),"H"),$R$63:$T$91,3,FALSE),VLOOKUP($K43,$R$63:$T$91,3,FALSE)))+IF(AND($K43&lt;&gt;"",$K43&lt;&gt;"O3/CP",$K$15=A$18,MID($K43,4,1)="2",$K$15&lt;&gt;$K$14),VLOOKUP(CONCATENATE(LEFT($K43,2),"L"),$R$63:$T$91,3,FALSE),0)+IF(AND($K43="O3/CP",$K$14=A$18),VLOOKUP("O3",$R$63:$T$91,3,FALSE)+VLOOKUP("CP",$R$63:$T$91,3,FALSE),0)+IF(AND($L43&lt;&gt;"",$L43&lt;&gt;"--",$L43&lt;&gt;"O3/CP",$L$14=A$18),IF(LEFT($L43,1)="P",VLOOKUP(CONCATENATE(LEFT($L43,2),"H"),$R$63:$T$91,3,FALSE),VLOOKUP($L43,$R$63:$T$91,3,FALSE)))+IF(AND($L43&lt;&gt;"",$L43&lt;&gt;"O3/CP",$L$15=A$18,MID($L43,4,1)="2",$L$15&lt;&gt;$L$14),VLOOKUP(CONCATENATE(LEFT($L43,2),"L"),$R$63:$T$91,3,FALSE),0)+IF(AND($L43="O3/CP",$L$14=A$18),VLOOKUP("O3",$R$63:$T$91,3,FALSE)+VLOOKUP("CP",$R$63:$T$91,3,FALSE),0)+IF(AND($M43&lt;&gt;"",$M43&lt;&gt;"--",$M43&lt;&gt;"O3/CP",$M$14=A$18),IF(LEFT($M43,1)="P",VLOOKUP(CONCATENATE(LEFT($M43,2),"H"),$R$63:$T$91,3,FALSE),VLOOKUP($M43,$R$63:$T$91,3,FALSE)))+IF(AND($M43&lt;&gt;"",$M43&lt;&gt;"O3/CP",$M$15=A$18,MID($M43,4,1)="2",$M$15&lt;&gt;$M$14),VLOOKUP(CONCATENATE(LEFT($M43,2),"L"),$R$63:$T$91,3,FALSE),0)+IF(AND($M43="O3/CP",$M$14=A$18),VLOOKUP("O3",$R$63:$T$91,3,FALSE)+VLOOKUP("CP",$R$63:$T$91,3,FALSE),0)+IF(AND($N43&lt;&gt;"",$N43&lt;&gt;"--",$N43&lt;&gt;"O3/CP",$N$14=A$18),IF(LEFT($N43,1)="P",VLOOKUP(CONCATENATE(LEFT($N43,2),"H"),$R$63:$T$91,3,FALSE),VLOOKUP($N43,$R$63:$T$91,3,FALSE)))+IF(AND($N43&lt;&gt;"",$N43&lt;&gt;"O3/CP",$N$15=A$18,MID($N43,4,1)="2",$N$15&lt;&gt;$N$14),VLOOKUP(CONCATENATE(LEFT($N43,2),"L"),$R$63:$T$91,3,FALSE),0)+IF(AND($N43="O3/CP",$N$14=A$18),VLOOKUP("O3",$R$63:$T$91,3,FALSE)+VLOOKUP("CP",$R$63:$T$91,3,FALSE),0)+IF(AND($O43&lt;&gt;"",$O43&lt;&gt;"--",$O43&lt;&gt;"O3/CP",$O$14=A$18),IF(LEFT($O43,1)="P",VLOOKUP(CONCATENATE(LEFT($O43,2),"H"),$R$63:$T$91,3,FALSE),VLOOKUP($O43,$R$63:$T$91,3,FALSE)))+IF(AND($O43&lt;&gt;"",$O43&lt;&gt;"O3/CP",$O$15=A$18,MID($O43,4,1)="2",$O$15&lt;&gt;$O$14),VLOOKUP(CONCATENATE(LEFT($O43,2),"L"),$R$63:$T$91,3,FALSE),0)+IF(AND($O43="O3/CP",$O$14=A$18),VLOOKUP("O3",$R$63:$T$91,3,FALSE)+VLOOKUP("CP",$R$63:$T$91,3,FALSE),0)+IF(AND($P43&lt;&gt;"",$P43&lt;&gt;"--",$P43&lt;&gt;"O3/CP",$P$14=A$18),IF(LEFT($P43,1)="P",VLOOKUP(CONCATENATE(LEFT($P43,2),"H"),$R$63:$T$91,3,FALSE),VLOOKUP($P43,$R$63:$T$91,3,FALSE)))+IF(AND($P43&lt;&gt;"",$P43&lt;&gt;"O3/CP",$P$15=A$18,MID($P43,4,1)="2",$P$15&lt;&gt;$P$14),VLOOKUP(CONCATENATE(LEFT($P43,2),"L"),$R$63:$T$91,3,FALSE),0)+IF(AND($P43="O3/CP",$P$14=A$18),VLOOKUP("O3",$R$63:$T$91,3,FALSE)+VLOOKUP("CP",$R$63:$T$91,3,FALSE),0)+IF(AND($Q43&lt;&gt;"",$Q43&lt;&gt;"--",$Q43&lt;&gt;"O3/CP",$Q$14=A$18),IF(LEFT($Q43,1)="P",VLOOKUP(CONCATENATE(LEFT($Q43,2),"H"),$R$63:$T$91,3,FALSE),VLOOKUP($Q43,$R$63:$T$91,3,FALSE)))+IF(AND($Q43&lt;&gt;"",$Q43&lt;&gt;"O3/CP",$Q$15=A$18,MID($Q43,4,1)="2",$Q$15&lt;&gt;$Q$14),VLOOKUP(CONCATENATE(LEFT($Q43,2),"L"),$R$63:$T$91,3,FALSE),0)+IF(AND($Q43="O3/CP",$Q$14=A$18),VLOOKUP("O3",$R$63:$T$91,3,FALSE)+VLOOKUP("CP",$R$63:$T$91,3,FALSE),0)+IF(AND($R43&lt;&gt;"",$R43&lt;&gt;"--",$R43&lt;&gt;"O3/CP",$R$14=A$18),IF(LEFT($R43,1)="P",VLOOKUP(CONCATENATE(LEFT($R43,2),"H"),$R$63:$T$91,3,FALSE),VLOOKUP($R43,$R$63:$T$91,3,FALSE)))+IF(AND($R43&lt;&gt;"",$R43&lt;&gt;"O3/CP",$R$15=A$18,MID($R43,4,1)="2",$R$15&lt;&gt;$R$14),VLOOKUP(CONCATENATE(LEFT($R43,2),"L"),$R$63:$T$91,3,FALSE),0)+IF(AND($R43="O3/CP",$R$14=A$18),VLOOKUP("O3",$R$63:$T$91,3,FALSE)+VLOOKUP("CP",$R$63:$T$91,3,FALSE),0)+IF(AND($S43&lt;&gt;"",$S43&lt;&gt;"--",$S43&lt;&gt;"O3/CP",$S$14=A$18),IF(LEFT($S43,1)="P",VLOOKUP(CONCATENATE(LEFT($S43,2),"H"),$R$63:$T$91,3,FALSE),VLOOKUP($S43,$R$63:$T$91,3,FALSE)))+IF(AND($S43&lt;&gt;"",$S43&lt;&gt;"O3/CP",$S$15=A$18,MID($S43,4,1)="2",$S$15&lt;&gt;$S$14),VLOOKUP(CONCATENATE(LEFT($S43,2),"L"),$R$63:$T$91,3,FALSE),0)+IF(AND($S43="O3/CP",$S$14=A$18),VLOOKUP("O3",$R$63:$T$91,3,FALSE)+VLOOKUP("CP",$R$63:$T$91,3,FALSE),0)+IF(AND($T43&lt;&gt;"",$T43&lt;&gt;"--",$T43&lt;&gt;"O3/CP",$T$14=A$18),IF(LEFT($T43,1)="P",VLOOKUP(CONCATENATE(LEFT($T43,2),"H"),$R$63:$T$91,3,FALSE),VLOOKUP($T43,$R$63:$T$91,3,FALSE)))+IF(AND($T43&lt;&gt;"",$T43&lt;&gt;"O3/CP",$T$15=A$18,MID($T43,4,1)="2",$T$15&lt;&gt;$T$14),VLOOKUP(CONCATENATE(LEFT($T43,2),"L"),$R$63:$T$91,3,FALSE),0)+IF(AND($T43="O3/CP",$T$14=A$18),VLOOKUP("O3",$R$63:$T$91,3,FALSE)+VLOOKUP("CP",$R$63:$T$91,3,FALSE),0)+IF(AND($U43&lt;&gt;"",$U43&lt;&gt;"--",$U43&lt;&gt;"O3/CP",$U$14=A$18),IF(LEFT($U43,1)="P",VLOOKUP(CONCATENATE(LEFT($U43,2),"H"),$R$63:$T$91,3,FALSE),VLOOKUP($U43,$R$63:$T$91,3,FALSE)))+IF(AND($U43&lt;&gt;"",$U43&lt;&gt;"O3/CP",$U$15=A$18,MID($U43,4,1)="2",$U$15&lt;&gt;$U$14),VLOOKUP(CONCATENATE(LEFT($U43,2),"L"),$R$63:$T$91,3,FALSE),0)+IF(AND($U43="O3/CP",$T$14=A$18),VLOOKUP("O3",$R$63:$T$91,3,FALSE)+VLOOKUP("CP",$R$63:$T$91,3,FALSE),0)+IF(AND($V43&lt;&gt;"",$V43&lt;&gt;"--",$V43&lt;&gt;"O3/CP",$V$14=A$18),IF(LEFT($V43,1)="P",VLOOKUP(CONCATENATE(LEFT($V43,2),"H"),$R$63:$T$91,3,FALSE),VLOOKUP($V43,$R$63:$T$91,3,FALSE)))+IF(AND($V43&lt;&gt;"",$V43&lt;&gt;"O3/CP",$V$15=A$18,MID($V43,4,1)="2",$V$15&lt;&gt;$V$14),VLOOKUP(CONCATENATE(LEFT($V43,2),"L"),$R$63:$T$91,3,FALSE),0)+IF(AND($V43="O3/CP",$V$14=A$18),VLOOKUP("O3",$R$63:$T$91,3,FALSE)+VLOOKUP("CP",$R$63:$T$91,3,FALSE),0)+IF(AND($W43&lt;&gt;"",$W43&lt;&gt;"--",$W43&lt;&gt;"O3/CP",$W$14=A$18),IF(LEFT($W43,1)="P",VLOOKUP(CONCATENATE(LEFT($W43,2),"H"),$R$63:$T$91,3,FALSE),VLOOKUP($W43,$R$63:$T$91,3,FALSE)))+IF(AND($W43&lt;&gt;"",$W43&lt;&gt;"O3/CP",$W$15=A$18,MID($W43,4,1)="2",$W$15&lt;&gt;$W$14),VLOOKUP(CONCATENATE(LEFT($W43,2),"L"),$R$63:$T$91,3,FALSE),0)+IF(AND($W43="O3/CP",$W$14=A$18),VLOOKUP("O3",$R$63:$T$91,3,FALSE)+VLOOKUP("CP",$R$63:$T$91,3,FALSE),0)+IF(AND($X43&lt;&gt;"",$X43&lt;&gt;"--",$X43&lt;&gt;"O3/CP",$X$14=A$18),IF(LEFT($X43,1)="P",VLOOKUP(CONCATENATE(LEFT($X43,2),"H"),$R$63:$T$91,3,FALSE),VLOOKUP($X43,$R$63:$T$91,3,FALSE)))+IF(AND($X43&lt;&gt;"",$X43&lt;&gt;"O3/CP",$X$15=A$18,MID($X43,4,1)="2",$X$15&lt;&gt;$X$14),VLOOKUP(CONCATENATE(LEFT($X43,2),"L"),$R$63:$T$91,3,FALSE),0)+IF(AND($X43="O3/CP",$X$14=A$18),VLOOKUP("O3",$R$63:$T$91,3,FALSE)+VLOOKUP("CP",$R$63:$T$91,3,FALSE),0)+IF(AND($Y43&lt;&gt;"",$Y43&lt;&gt;"--",$Y43&lt;&gt;"O3/CP",$Y$14=A$18),IF(LEFT($Y43,1)="P",VLOOKUP(CONCATENATE(LEFT($Y43,2),"H"),$R$63:$T$91,3,FALSE),VLOOKUP($Y43,$R$63:$T$91,3,FALSE)))+IF(AND($Y43&lt;&gt;"",$Y43&lt;&gt;"O3/CP",$Y$15=A$18,MID($Y43,4,1)="2",$Y$15&lt;&gt;$Y$14),VLOOKUP(CONCATENATE(LEFT($Y43,2),"L"),$R$63:$T$91,3,FALSE),0)+IF(AND($Y43="O3/CP",$Y$14=A$18),VLOOKUP("O3",$R$63:$T$91,3,FALSE)+VLOOKUP("CP",$R$63:$T$91,3,FALSE),0)+IF(AND($K$6="CE",'[3]Supply Attribution'!$G$20=A$18),LEFT($S$90,2),0)+IF(AND($X$86&lt;&gt;"Not Set",$X$87=A$18),$X$86,0)</f>
        <v>0</v>
      </c>
      <c r="B43" s="271">
        <f>IF(AND($K43&lt;&gt;"",$K43&lt;&gt;"--",$K43&lt;&gt;"O3/CP",$K$14=B$18),IF(LEFT($K43,1)="P",VLOOKUP(CONCATENATE(LEFT($K43,2),"H"),$R$63:$T$91,3,FALSE),VLOOKUP($K43,$R$63:$T$91,3,FALSE)))+IF(AND($K43&lt;&gt;"",$K43&lt;&gt;"O3/CP",$K$15=B$18,MID($K43,4,1)="2",$K$15&lt;&gt;$K$14),VLOOKUP(CONCATENATE(LEFT($K43,2),"L"),$R$63:$T$91,3,FALSE),0)+IF(AND($K43="O3/CP",$K$14=B$18),VLOOKUP("O3",$R$63:$T$91,3,FALSE)+VLOOKUP("CP",$R$63:$T$91,3,FALSE),0)+IF(AND($L43&lt;&gt;"",$L43&lt;&gt;"--",$L43&lt;&gt;"O3/CP",$L$14=B$18),IF(LEFT($L43,1)="P",VLOOKUP(CONCATENATE(LEFT($L43,2),"H"),$R$63:$T$91,3,FALSE),VLOOKUP($L43,$R$63:$T$91,3,FALSE)))+IF(AND($L43&lt;&gt;"",$L43&lt;&gt;"O3/CP",$L$15=B$18,MID($L43,4,1)="2",$L$15&lt;&gt;$L$14),VLOOKUP(CONCATENATE(LEFT($L43,2),"L"),$R$63:$T$91,3,FALSE),0)+IF(AND($L43="O3/CP",$L$14=B$18),VLOOKUP("O3",$R$63:$T$91,3,FALSE)+VLOOKUP("CP",$R$63:$T$91,3,FALSE),0)+IF(AND($M43&lt;&gt;"",$M43&lt;&gt;"--",$M43&lt;&gt;"O3/CP",$M$14=B$18),IF(LEFT($M43,1)="P",VLOOKUP(CONCATENATE(LEFT($M43,2),"H"),$R$63:$T$91,3,FALSE),VLOOKUP($M43,$R$63:$T$91,3,FALSE)))+IF(AND($M43&lt;&gt;"",$M43&lt;&gt;"O3/CP",$M$15=B$18,MID($M43,4,1)="2",$M$15&lt;&gt;$M$14),VLOOKUP(CONCATENATE(LEFT($M43,2),"L"),$R$63:$T$91,3,FALSE),0)+IF(AND($M43="O3/CP",$M$14=B$18),VLOOKUP("O3",$R$63:$T$91,3,FALSE)+VLOOKUP("CP",$R$63:$T$91,3,FALSE),0)+IF(AND($N43&lt;&gt;"",$N43&lt;&gt;"--",$N43&lt;&gt;"O3/CP",$N$14=B$18),IF(LEFT($N43,1)="P",VLOOKUP(CONCATENATE(LEFT($N43,2),"H"),$R$63:$T$91,3,FALSE),VLOOKUP($N43,$R$63:$T$91,3,FALSE)))+IF(AND($N43&lt;&gt;"",$N43&lt;&gt;"O3/CP",$N$15=B$18,MID($N43,4,1)="2",$N$15&lt;&gt;$N$14),VLOOKUP(CONCATENATE(LEFT($N43,2),"L"),$R$63:$T$91,3,FALSE),0)+IF(AND($N43="O3/CP",$N$14=B$18),VLOOKUP("O3",$R$63:$T$91,3,FALSE)+VLOOKUP("CP",$R$63:$T$91,3,FALSE),0)+IF(AND($O43&lt;&gt;"",$O43&lt;&gt;"--",$O43&lt;&gt;"O3/CP",$O$14=B$18),IF(LEFT($O43,1)="P",VLOOKUP(CONCATENATE(LEFT($O43,2),"H"),$R$63:$T$91,3,FALSE),VLOOKUP($O43,$R$63:$T$91,3,FALSE)))+IF(AND($O43&lt;&gt;"",$O43&lt;&gt;"O3/CP",$O$15=B$18,MID($O43,4,1)="2",$O$15&lt;&gt;$O$14),VLOOKUP(CONCATENATE(LEFT($O43,2),"L"),$R$63:$T$91,3,FALSE),0)+IF(AND($O43="O3/CP",$O$14=B$18),VLOOKUP("O3",$R$63:$T$91,3,FALSE)+VLOOKUP("CP",$R$63:$T$91,3,FALSE),0)+IF(AND($P43&lt;&gt;"",$P43&lt;&gt;"--",$P43&lt;&gt;"O3/CP",$P$14=B$18),IF(LEFT($P43,1)="P",VLOOKUP(CONCATENATE(LEFT($P43,2),"H"),$R$63:$T$91,3,FALSE),VLOOKUP($P43,$R$63:$T$91,3,FALSE)))+IF(AND($P43&lt;&gt;"",$P43&lt;&gt;"O3/CP",$P$15=B$18,MID($P43,4,1)="2",$P$15&lt;&gt;$P$14),VLOOKUP(CONCATENATE(LEFT($P43,2),"L"),$R$63:$T$91,3,FALSE),0)+IF(AND($P43="O3/CP",$P$14=B$18),VLOOKUP("O3",$R$63:$T$91,3,FALSE)+VLOOKUP("CP",$R$63:$T$91,3,FALSE),0)+IF(AND($Q43&lt;&gt;"",$Q43&lt;&gt;"--",$Q43&lt;&gt;"O3/CP",$Q$14=B$18),IF(LEFT($Q43,1)="P",VLOOKUP(CONCATENATE(LEFT($Q43,2),"H"),$R$63:$T$91,3,FALSE),VLOOKUP($Q43,$R$63:$T$91,3,FALSE)))+IF(AND($Q43&lt;&gt;"",$Q43&lt;&gt;"O3/CP",$Q$15=B$18,MID($Q43,4,1)="2",$Q$15&lt;&gt;$Q$14),VLOOKUP(CONCATENATE(LEFT($Q43,2),"L"),$R$63:$T$91,3,FALSE),0)+IF(AND($Q43="O3/CP",$Q$14=B$18),VLOOKUP("O3",$R$63:$T$91,3,FALSE)+VLOOKUP("CP",$R$63:$T$91,3,FALSE),0)+IF(AND($R43&lt;&gt;"",$R43&lt;&gt;"--",$R43&lt;&gt;"O3/CP",$R$14=B$18),IF(LEFT($R43,1)="P",VLOOKUP(CONCATENATE(LEFT($R43,2),"H"),$R$63:$T$91,3,FALSE),VLOOKUP($R43,$R$63:$T$91,3,FALSE)))+IF(AND($R43&lt;&gt;"",$R43&lt;&gt;"O3/CP",$R$15=B$18,MID($R43,4,1)="2",$R$15&lt;&gt;$R$14),VLOOKUP(CONCATENATE(LEFT($R43,2),"L"),$R$63:$T$91,3,FALSE),0)+IF(AND($R43="O3/CP",$R$14=B$18),VLOOKUP("O3",$R$63:$T$91,3,FALSE)+VLOOKUP("CP",$R$63:$T$91,3,FALSE),0)+IF(AND($S43&lt;&gt;"",$S43&lt;&gt;"--",$S43&lt;&gt;"O3/CP",$S$14=B$18),IF(LEFT($S43,1)="P",VLOOKUP(CONCATENATE(LEFT($S43,2),"H"),$R$63:$T$91,3,FALSE),VLOOKUP($S43,$R$63:$T$91,3,FALSE)))+IF(AND($S43&lt;&gt;"",$S43&lt;&gt;"O3/CP",$S$15=B$18,MID($S43,4,1)="2",$S$15&lt;&gt;$S$14),VLOOKUP(CONCATENATE(LEFT($S43,2),"L"),$R$63:$T$91,3,FALSE),0)+IF(AND($S43="O3/CP",$S$14=B$18),VLOOKUP("O3",$R$63:$T$91,3,FALSE)+VLOOKUP("CP",$R$63:$T$91,3,FALSE),0)+IF(AND($T43&lt;&gt;"",$T43&lt;&gt;"--",$T43&lt;&gt;"O3/CP",$T$14=B$18),IF(LEFT($T43,1)="P",VLOOKUP(CONCATENATE(LEFT($T43,2),"H"),$R$63:$T$91,3,FALSE),VLOOKUP($T43,$R$63:$T$91,3,FALSE)))+IF(AND($T43&lt;&gt;"",$T43&lt;&gt;"O3/CP",$T$15=B$18,MID($T43,4,1)="2",$T$15&lt;&gt;$T$14),VLOOKUP(CONCATENATE(LEFT($T43,2),"L"),$R$63:$T$91,3,FALSE),0)+IF(AND($T43="O3/CP",$T$14=B$18),VLOOKUP("O3",$R$63:$T$91,3,FALSE)+VLOOKUP("CP",$R$63:$T$91,3,FALSE),0)+IF(AND($U43&lt;&gt;"",$U43&lt;&gt;"--",$U43&lt;&gt;"O3/CP",$U$14=B$18),IF(LEFT($U43,1)="P",VLOOKUP(CONCATENATE(LEFT($U43,2),"H"),$R$63:$T$91,3,FALSE),VLOOKUP($U43,$R$63:$T$91,3,FALSE)))+IF(AND($U43&lt;&gt;"",$U43&lt;&gt;"O3/CP",$U$15=B$18,MID($U43,4,1)="2",$U$15&lt;&gt;$U$14),VLOOKUP(CONCATENATE(LEFT($U43,2),"L"),$R$63:$T$91,3,FALSE),0)+IF(AND($U43="O3/CP",$T$14=B$18),VLOOKUP("O3",$R$63:$T$91,3,FALSE)+VLOOKUP("CP",$R$63:$T$91,3,FALSE),0)+IF(AND($V43&lt;&gt;"",$V43&lt;&gt;"--",$V43&lt;&gt;"O3/CP",$V$14=B$18),IF(LEFT($V43,1)="P",VLOOKUP(CONCATENATE(LEFT($V43,2),"H"),$R$63:$T$91,3,FALSE),VLOOKUP($V43,$R$63:$T$91,3,FALSE)))+IF(AND($V43&lt;&gt;"",$V43&lt;&gt;"O3/CP",$V$15=B$18,MID($V43,4,1)="2",$V$15&lt;&gt;$V$14),VLOOKUP(CONCATENATE(LEFT($V43,2),"L"),$R$63:$T$91,3,FALSE),0)+IF(AND($V43="O3/CP",$V$14=B$18),VLOOKUP("O3",$R$63:$T$91,3,FALSE)+VLOOKUP("CP",$R$63:$T$91,3,FALSE),0)+IF(AND($W43&lt;&gt;"",$W43&lt;&gt;"--",$W43&lt;&gt;"O3/CP",$W$14=B$18),IF(LEFT($W43,1)="P",VLOOKUP(CONCATENATE(LEFT($W43,2),"H"),$R$63:$T$91,3,FALSE),VLOOKUP($W43,$R$63:$T$91,3,FALSE)))+IF(AND($W43&lt;&gt;"",$W43&lt;&gt;"O3/CP",$W$15=B$18,MID($W43,4,1)="2",$W$15&lt;&gt;$W$14),VLOOKUP(CONCATENATE(LEFT($W43,2),"L"),$R$63:$T$91,3,FALSE),0)+IF(AND($W43="O3/CP",$W$14=B$18),VLOOKUP("O3",$R$63:$T$91,3,FALSE)+VLOOKUP("CP",$R$63:$T$91,3,FALSE),0)+IF(AND($X43&lt;&gt;"",$X43&lt;&gt;"--",$X43&lt;&gt;"O3/CP",$X$14=B$18),IF(LEFT($X43,1)="P",VLOOKUP(CONCATENATE(LEFT($X43,2),"H"),$R$63:$T$91,3,FALSE),VLOOKUP($X43,$R$63:$T$91,3,FALSE)))+IF(AND($X43&lt;&gt;"",$X43&lt;&gt;"O3/CP",$X$15=B$18,MID($X43,4,1)="2",$X$15&lt;&gt;$X$14),VLOOKUP(CONCATENATE(LEFT($X43,2),"L"),$R$63:$T$91,3,FALSE),0)+IF(AND($X43="O3/CP",$X$14=B$18),VLOOKUP("O3",$R$63:$T$91,3,FALSE)+VLOOKUP("CP",$R$63:$T$91,3,FALSE),0)+IF(AND($Y43&lt;&gt;"",$Y43&lt;&gt;"--",$Y43&lt;&gt;"O3/CP",$Y$14=B$18),IF(LEFT($Y43,1)="P",VLOOKUP(CONCATENATE(LEFT($Y43,2),"H"),$R$63:$T$91,3,FALSE),VLOOKUP($Y43,$R$63:$T$91,3,FALSE)))+IF(AND($Y43&lt;&gt;"",$Y43&lt;&gt;"O3/CP",$Y$15=B$18,MID($Y43,4,1)="2",$Y$15&lt;&gt;$Y$14),VLOOKUP(CONCATENATE(LEFT($Y43,2),"L"),$R$63:$T$91,3,FALSE),0)+IF(AND($Y43="O3/CP",$Y$14=B$18),VLOOKUP("O3",$R$63:$T$91,3,FALSE)+VLOOKUP("CP",$R$63:$T$91,3,FALSE),0)+IF(AND($K$6="CE",'[3]Supply Attribution'!$G$20=B$18),LEFT($S$90,2),0)+IF(AND($X$86&lt;&gt;"Not Set",$X$87=B$18),$X$86,0)</f>
        <v>0</v>
      </c>
      <c r="C43" s="271">
        <f>IF(AND($K43&lt;&gt;"",$K43&lt;&gt;"--",$K43&lt;&gt;"O3/CP",$K$14=C$18),IF(LEFT($K43,1)="P",VLOOKUP(CONCATENATE(LEFT($K43,2),"H"),$R$63:$T$91,3,FALSE),VLOOKUP($K43,$R$63:$T$91,3,FALSE)))+IF(AND($K43&lt;&gt;"",$K43&lt;&gt;"O3/CP",$K$15=C$18,MID($K43,4,1)="2",$K$15&lt;&gt;$K$14),VLOOKUP(CONCATENATE(LEFT($K43,2),"L"),$R$63:$T$91,3,FALSE),0)+IF(AND($K43="O3/CP",$K$14=C$18),VLOOKUP("O3",$R$63:$T$91,3,FALSE)+VLOOKUP("CP",$R$63:$T$91,3,FALSE),0)+IF(AND($L43&lt;&gt;"",$L43&lt;&gt;"--",$L43&lt;&gt;"O3/CP",$L$14=C$18),IF(LEFT($L43,1)="P",VLOOKUP(CONCATENATE(LEFT($L43,2),"H"),$R$63:$T$91,3,FALSE),VLOOKUP($L43,$R$63:$T$91,3,FALSE)))+IF(AND($L43&lt;&gt;"",$L43&lt;&gt;"O3/CP",$L$15=C$18,MID($L43,4,1)="2",$L$15&lt;&gt;$L$14),VLOOKUP(CONCATENATE(LEFT($L43,2),"L"),$R$63:$T$91,3,FALSE),0)+IF(AND($L43="O3/CP",$L$14=C$18),VLOOKUP("O3",$R$63:$T$91,3,FALSE)+VLOOKUP("CP",$R$63:$T$91,3,FALSE),0)+IF(AND($M43&lt;&gt;"",$M43&lt;&gt;"--",$M43&lt;&gt;"O3/CP",$M$14=C$18),IF(LEFT($M43,1)="P",VLOOKUP(CONCATENATE(LEFT($M43,2),"H"),$R$63:$T$91,3,FALSE),VLOOKUP($M43,$R$63:$T$91,3,FALSE)))+IF(AND($M43&lt;&gt;"",$M43&lt;&gt;"O3/CP",$M$15=C$18,MID($M43,4,1)="2",$M$15&lt;&gt;$M$14),VLOOKUP(CONCATENATE(LEFT($M43,2),"L"),$R$63:$T$91,3,FALSE),0)+IF(AND($M43="O3/CP",$M$14=C$18),VLOOKUP("O3",$R$63:$T$91,3,FALSE)+VLOOKUP("CP",$R$63:$T$91,3,FALSE),0)+IF(AND($N43&lt;&gt;"",$N43&lt;&gt;"--",$N43&lt;&gt;"O3/CP",$N$14=C$18),IF(LEFT($N43,1)="P",VLOOKUP(CONCATENATE(LEFT($N43,2),"H"),$R$63:$T$91,3,FALSE),VLOOKUP($N43,$R$63:$T$91,3,FALSE)))+IF(AND($N43&lt;&gt;"",$N43&lt;&gt;"O3/CP",$N$15=C$18,MID($N43,4,1)="2",$N$15&lt;&gt;$N$14),VLOOKUP(CONCATENATE(LEFT($N43,2),"L"),$R$63:$T$91,3,FALSE),0)+IF(AND($N43="O3/CP",$N$14=C$18),VLOOKUP("O3",$R$63:$T$91,3,FALSE)+VLOOKUP("CP",$R$63:$T$91,3,FALSE),0)+IF(AND($O43&lt;&gt;"",$O43&lt;&gt;"--",$O43&lt;&gt;"O3/CP",$O$14=C$18),IF(LEFT($O43,1)="P",VLOOKUP(CONCATENATE(LEFT($O43,2),"H"),$R$63:$T$91,3,FALSE),VLOOKUP($O43,$R$63:$T$91,3,FALSE)))+IF(AND($O43&lt;&gt;"",$O43&lt;&gt;"O3/CP",$O$15=C$18,MID($O43,4,1)="2",$O$15&lt;&gt;$O$14),VLOOKUP(CONCATENATE(LEFT($O43,2),"L"),$R$63:$T$91,3,FALSE),0)+IF(AND($O43="O3/CP",$O$14=C$18),VLOOKUP("O3",$R$63:$T$91,3,FALSE)+VLOOKUP("CP",$R$63:$T$91,3,FALSE),0)+IF(AND($P43&lt;&gt;"",$P43&lt;&gt;"--",$P43&lt;&gt;"O3/CP",$P$14=C$18),IF(LEFT($P43,1)="P",VLOOKUP(CONCATENATE(LEFT($P43,2),"H"),$R$63:$T$91,3,FALSE),VLOOKUP($P43,$R$63:$T$91,3,FALSE)))+IF(AND($P43&lt;&gt;"",$P43&lt;&gt;"O3/CP",$P$15=C$18,MID($P43,4,1)="2",$P$15&lt;&gt;$P$14),VLOOKUP(CONCATENATE(LEFT($P43,2),"L"),$R$63:$T$91,3,FALSE),0)+IF(AND($P43="O3/CP",$P$14=C$18),VLOOKUP("O3",$R$63:$T$91,3,FALSE)+VLOOKUP("CP",$R$63:$T$91,3,FALSE),0)+IF(AND($Q43&lt;&gt;"",$Q43&lt;&gt;"--",$Q43&lt;&gt;"O3/CP",$Q$14=C$18),IF(LEFT($Q43,1)="P",VLOOKUP(CONCATENATE(LEFT($Q43,2),"H"),$R$63:$T$91,3,FALSE),VLOOKUP($Q43,$R$63:$T$91,3,FALSE)))+IF(AND($Q43&lt;&gt;"",$Q43&lt;&gt;"O3/CP",$Q$15=C$18,MID($Q43,4,1)="2",$Q$15&lt;&gt;$Q$14),VLOOKUP(CONCATENATE(LEFT($Q43,2),"L"),$R$63:$T$91,3,FALSE),0)+IF(AND($Q43="O3/CP",$Q$14=C$18),VLOOKUP("O3",$R$63:$T$91,3,FALSE)+VLOOKUP("CP",$R$63:$T$91,3,FALSE),0)+IF(AND($R43&lt;&gt;"",$R43&lt;&gt;"--",$R43&lt;&gt;"O3/CP",$R$14=C$18),IF(LEFT($R43,1)="P",VLOOKUP(CONCATENATE(LEFT($R43,2),"H"),$R$63:$T$91,3,FALSE),VLOOKUP($R43,$R$63:$T$91,3,FALSE)))+IF(AND($R43&lt;&gt;"",$R43&lt;&gt;"O3/CP",$R$15=C$18,MID($R43,4,1)="2",$R$15&lt;&gt;$R$14),VLOOKUP(CONCATENATE(LEFT($R43,2),"L"),$R$63:$T$91,3,FALSE),0)+IF(AND($R43="O3/CP",$R$14=C$18),VLOOKUP("O3",$R$63:$T$91,3,FALSE)+VLOOKUP("CP",$R$63:$T$91,3,FALSE),0)+IF(AND($S43&lt;&gt;"",$S43&lt;&gt;"--",$S43&lt;&gt;"O3/CP",$S$14=C$18),IF(LEFT($S43,1)="P",VLOOKUP(CONCATENATE(LEFT($S43,2),"H"),$R$63:$T$91,3,FALSE),VLOOKUP($S43,$R$63:$T$91,3,FALSE)))+IF(AND($S43&lt;&gt;"",$S43&lt;&gt;"O3/CP",$S$15=C$18,MID($S43,4,1)="2",$S$15&lt;&gt;$S$14),VLOOKUP(CONCATENATE(LEFT($S43,2),"L"),$R$63:$T$91,3,FALSE),0)+IF(AND($S43="O3/CP",$S$14=C$18),VLOOKUP("O3",$R$63:$T$91,3,FALSE)+VLOOKUP("CP",$R$63:$T$91,3,FALSE),0)+IF(AND($T43&lt;&gt;"",$T43&lt;&gt;"--",$T43&lt;&gt;"O3/CP",$T$14=C$18),IF(LEFT($T43,1)="P",VLOOKUP(CONCATENATE(LEFT($T43,2),"H"),$R$63:$T$91,3,FALSE),VLOOKUP($T43,$R$63:$T$91,3,FALSE)))+IF(AND($T43&lt;&gt;"",$T43&lt;&gt;"O3/CP",$T$15=C$18,MID($T43,4,1)="2",$T$15&lt;&gt;$T$14),VLOOKUP(CONCATENATE(LEFT($T43,2),"L"),$R$63:$T$91,3,FALSE),0)+IF(AND($T43="O3/CP",$T$14=C$18),VLOOKUP("O3",$R$63:$T$91,3,FALSE)+VLOOKUP("CP",$R$63:$T$91,3,FALSE),0)+IF(AND($U43&lt;&gt;"",$U43&lt;&gt;"--",$U43&lt;&gt;"O3/CP",$U$14=C$18),IF(LEFT($U43,1)="P",VLOOKUP(CONCATENATE(LEFT($U43,2),"H"),$R$63:$T$91,3,FALSE),VLOOKUP($U43,$R$63:$T$91,3,FALSE)))+IF(AND($U43&lt;&gt;"",$U43&lt;&gt;"O3/CP",$U$15=C$18,MID($U43,4,1)="2",$U$15&lt;&gt;$U$14),VLOOKUP(CONCATENATE(LEFT($U43,2),"L"),$R$63:$T$91,3,FALSE),0)+IF(AND($U43="O3/CP",$T$14=C$18),VLOOKUP("O3",$R$63:$T$91,3,FALSE)+VLOOKUP("CP",$R$63:$T$91,3,FALSE),0)+IF(AND($V43&lt;&gt;"",$V43&lt;&gt;"--",$V43&lt;&gt;"O3/CP",$V$14=C$18),IF(LEFT($V43,1)="P",VLOOKUP(CONCATENATE(LEFT($V43,2),"H"),$R$63:$T$91,3,FALSE),VLOOKUP($V43,$R$63:$T$91,3,FALSE)))+IF(AND($V43&lt;&gt;"",$V43&lt;&gt;"O3/CP",$V$15=C$18,MID($V43,4,1)="2",$V$15&lt;&gt;$V$14),VLOOKUP(CONCATENATE(LEFT($V43,2),"L"),$R$63:$T$91,3,FALSE),0)+IF(AND($V43="O3/CP",$V$14=C$18),VLOOKUP("O3",$R$63:$T$91,3,FALSE)+VLOOKUP("CP",$R$63:$T$91,3,FALSE),0)+IF(AND($W43&lt;&gt;"",$W43&lt;&gt;"--",$W43&lt;&gt;"O3/CP",$W$14=C$18),IF(LEFT($W43,1)="P",VLOOKUP(CONCATENATE(LEFT($W43,2),"H"),$R$63:$T$91,3,FALSE),VLOOKUP($W43,$R$63:$T$91,3,FALSE)))+IF(AND($W43&lt;&gt;"",$W43&lt;&gt;"O3/CP",$W$15=C$18,MID($W43,4,1)="2",$W$15&lt;&gt;$W$14),VLOOKUP(CONCATENATE(LEFT($W43,2),"L"),$R$63:$T$91,3,FALSE),0)+IF(AND($W43="O3/CP",$W$14=C$18),VLOOKUP("O3",$R$63:$T$91,3,FALSE)+VLOOKUP("CP",$R$63:$T$91,3,FALSE),0)+IF(AND($X43&lt;&gt;"",$X43&lt;&gt;"--",$X43&lt;&gt;"O3/CP",$X$14=C$18),IF(LEFT($X43,1)="P",VLOOKUP(CONCATENATE(LEFT($X43,2),"H"),$R$63:$T$91,3,FALSE),VLOOKUP($X43,$R$63:$T$91,3,FALSE)))+IF(AND($X43&lt;&gt;"",$X43&lt;&gt;"O3/CP",$X$15=C$18,MID($X43,4,1)="2",$X$15&lt;&gt;$X$14),VLOOKUP(CONCATENATE(LEFT($X43,2),"L"),$R$63:$T$91,3,FALSE),0)+IF(AND($X43="O3/CP",$X$14=C$18),VLOOKUP("O3",$R$63:$T$91,3,FALSE)+VLOOKUP("CP",$R$63:$T$91,3,FALSE),0)+IF(AND($Y43&lt;&gt;"",$Y43&lt;&gt;"--",$Y43&lt;&gt;"O3/CP",$Y$14=C$18),IF(LEFT($Y43,1)="P",VLOOKUP(CONCATENATE(LEFT($Y43,2),"H"),$R$63:$T$91,3,FALSE),VLOOKUP($Y43,$R$63:$T$91,3,FALSE)))+IF(AND($Y43&lt;&gt;"",$Y43&lt;&gt;"O3/CP",$Y$15=C$18,MID($Y43,4,1)="2",$Y$15&lt;&gt;$Y$14),VLOOKUP(CONCATENATE(LEFT($Y43,2),"L"),$R$63:$T$91,3,FALSE),0)+IF(AND($Y43="O3/CP",$Y$14=C$18),VLOOKUP("O3",$R$63:$T$91,3,FALSE)+VLOOKUP("CP",$R$63:$T$91,3,FALSE),0)+IF(AND($K$6="CE",'[3]Supply Attribution'!$G$20=C$18),LEFT($S$90,2),0)+IF(AND($X$86&lt;&gt;"Not Set",$X$87=C$18),$X$86,0)</f>
        <v>0</v>
      </c>
      <c r="D43" s="271">
        <f>IF(AND($K43&lt;&gt;"",$K43&lt;&gt;"--",$K43&lt;&gt;"O3/CP",$K$14=D$18),IF(LEFT($K43,1)="P",VLOOKUP(CONCATENATE(LEFT($K43,2),"H"),$R$63:$T$91,3,FALSE),VLOOKUP($K43,$R$63:$T$91,3,FALSE)))+IF(AND($K43&lt;&gt;"",$K43&lt;&gt;"O3/CP",$K$15=D$18,MID($K43,4,1)="2",$K$15&lt;&gt;$K$14),VLOOKUP(CONCATENATE(LEFT($K43,2),"L"),$R$63:$T$91,3,FALSE),0)+IF(AND($K43="O3/CP",$K$14=D$18),VLOOKUP("O3",$R$63:$T$91,3,FALSE)+VLOOKUP("CP",$R$63:$T$91,3,FALSE),0)+IF(AND($L43&lt;&gt;"",$L43&lt;&gt;"--",$L43&lt;&gt;"O3/CP",$L$14=D$18),IF(LEFT($L43,1)="P",VLOOKUP(CONCATENATE(LEFT($L43,2),"H"),$R$63:$T$91,3,FALSE),VLOOKUP($L43,$R$63:$T$91,3,FALSE)))+IF(AND($L43&lt;&gt;"",$L43&lt;&gt;"O3/CP",$L$15=D$18,MID($L43,4,1)="2",$L$15&lt;&gt;$L$14),VLOOKUP(CONCATENATE(LEFT($L43,2),"L"),$R$63:$T$91,3,FALSE),0)+IF(AND($L43="O3/CP",$L$14=D$18),VLOOKUP("O3",$R$63:$T$91,3,FALSE)+VLOOKUP("CP",$R$63:$T$91,3,FALSE),0)+IF(AND($M43&lt;&gt;"",$M43&lt;&gt;"--",$M43&lt;&gt;"O3/CP",$M$14=D$18),IF(LEFT($M43,1)="P",VLOOKUP(CONCATENATE(LEFT($M43,2),"H"),$R$63:$T$91,3,FALSE),VLOOKUP($M43,$R$63:$T$91,3,FALSE)))+IF(AND($M43&lt;&gt;"",$M43&lt;&gt;"O3/CP",$M$15=D$18,MID($M43,4,1)="2",$M$15&lt;&gt;$M$14),VLOOKUP(CONCATENATE(LEFT($M43,2),"L"),$R$63:$T$91,3,FALSE),0)+IF(AND($M43="O3/CP",$M$14=D$18),VLOOKUP("O3",$R$63:$T$91,3,FALSE)+VLOOKUP("CP",$R$63:$T$91,3,FALSE),0)+IF(AND($N43&lt;&gt;"",$N43&lt;&gt;"--",$N43&lt;&gt;"O3/CP",$N$14=D$18),IF(LEFT($N43,1)="P",VLOOKUP(CONCATENATE(LEFT($N43,2),"H"),$R$63:$T$91,3,FALSE),VLOOKUP($N43,$R$63:$T$91,3,FALSE)))+IF(AND($N43&lt;&gt;"",$N43&lt;&gt;"O3/CP",$N$15=D$18,MID($N43,4,1)="2",$N$15&lt;&gt;$N$14),VLOOKUP(CONCATENATE(LEFT($N43,2),"L"),$R$63:$T$91,3,FALSE),0)+IF(AND($N43="O3/CP",$N$14=D$18),VLOOKUP("O3",$R$63:$T$91,3,FALSE)+VLOOKUP("CP",$R$63:$T$91,3,FALSE),0)+IF(AND($O43&lt;&gt;"",$O43&lt;&gt;"--",$O43&lt;&gt;"O3/CP",$O$14=D$18),IF(LEFT($O43,1)="P",VLOOKUP(CONCATENATE(LEFT($O43,2),"H"),$R$63:$T$91,3,FALSE),VLOOKUP($O43,$R$63:$T$91,3,FALSE)))+IF(AND($O43&lt;&gt;"",$O43&lt;&gt;"O3/CP",$O$15=D$18,MID($O43,4,1)="2",$O$15&lt;&gt;$O$14),VLOOKUP(CONCATENATE(LEFT($O43,2),"L"),$R$63:$T$91,3,FALSE),0)+IF(AND($O43="O3/CP",$O$14=D$18),VLOOKUP("O3",$R$63:$T$91,3,FALSE)+VLOOKUP("CP",$R$63:$T$91,3,FALSE),0)+IF(AND($P43&lt;&gt;"",$P43&lt;&gt;"--",$P43&lt;&gt;"O3/CP",$P$14=D$18),IF(LEFT($P43,1)="P",VLOOKUP(CONCATENATE(LEFT($P43,2),"H"),$R$63:$T$91,3,FALSE),VLOOKUP($P43,$R$63:$T$91,3,FALSE)))+IF(AND($P43&lt;&gt;"",$P43&lt;&gt;"O3/CP",$P$15=D$18,MID($P43,4,1)="2",$P$15&lt;&gt;$P$14),VLOOKUP(CONCATENATE(LEFT($P43,2),"L"),$R$63:$T$91,3,FALSE),0)+IF(AND($P43="O3/CP",$P$14=D$18),VLOOKUP("O3",$R$63:$T$91,3,FALSE)+VLOOKUP("CP",$R$63:$T$91,3,FALSE),0)+IF(AND($Q43&lt;&gt;"",$Q43&lt;&gt;"--",$Q43&lt;&gt;"O3/CP",$Q$14=D$18),IF(LEFT($Q43,1)="P",VLOOKUP(CONCATENATE(LEFT($Q43,2),"H"),$R$63:$T$91,3,FALSE),VLOOKUP($Q43,$R$63:$T$91,3,FALSE)))+IF(AND($Q43&lt;&gt;"",$Q43&lt;&gt;"O3/CP",$Q$15=D$18,MID($Q43,4,1)="2",$Q$15&lt;&gt;$Q$14),VLOOKUP(CONCATENATE(LEFT($Q43,2),"L"),$R$63:$T$91,3,FALSE),0)+IF(AND($Q43="O3/CP",$Q$14=D$18),VLOOKUP("O3",$R$63:$T$91,3,FALSE)+VLOOKUP("CP",$R$63:$T$91,3,FALSE),0)+IF(AND($R43&lt;&gt;"",$R43&lt;&gt;"--",$R43&lt;&gt;"O3/CP",$R$14=D$18),IF(LEFT($R43,1)="P",VLOOKUP(CONCATENATE(LEFT($R43,2),"H"),$R$63:$T$91,3,FALSE),VLOOKUP($R43,$R$63:$T$91,3,FALSE)))+IF(AND($R43&lt;&gt;"",$R43&lt;&gt;"O3/CP",$R$15=D$18,MID($R43,4,1)="2",$R$15&lt;&gt;$R$14),VLOOKUP(CONCATENATE(LEFT($R43,2),"L"),$R$63:$T$91,3,FALSE),0)+IF(AND($R43="O3/CP",$R$14=D$18),VLOOKUP("O3",$R$63:$T$91,3,FALSE)+VLOOKUP("CP",$R$63:$T$91,3,FALSE),0)+IF(AND($S43&lt;&gt;"",$S43&lt;&gt;"--",$S43&lt;&gt;"O3/CP",$S$14=D$18),IF(LEFT($S43,1)="P",VLOOKUP(CONCATENATE(LEFT($S43,2),"H"),$R$63:$T$91,3,FALSE),VLOOKUP($S43,$R$63:$T$91,3,FALSE)))+IF(AND($S43&lt;&gt;"",$S43&lt;&gt;"O3/CP",$S$15=D$18,MID($S43,4,1)="2",$S$15&lt;&gt;$S$14),VLOOKUP(CONCATENATE(LEFT($S43,2),"L"),$R$63:$T$91,3,FALSE),0)+IF(AND($S43="O3/CP",$S$14=D$18),VLOOKUP("O3",$R$63:$T$91,3,FALSE)+VLOOKUP("CP",$R$63:$T$91,3,FALSE),0)+IF(AND($T43&lt;&gt;"",$T43&lt;&gt;"--",$T43&lt;&gt;"O3/CP",$T$14=D$18),IF(LEFT($T43,1)="P",VLOOKUP(CONCATENATE(LEFT($T43,2),"H"),$R$63:$T$91,3,FALSE),VLOOKUP($T43,$R$63:$T$91,3,FALSE)))+IF(AND($T43&lt;&gt;"",$T43&lt;&gt;"O3/CP",$T$15=D$18,MID($T43,4,1)="2",$T$15&lt;&gt;$T$14),VLOOKUP(CONCATENATE(LEFT($T43,2),"L"),$R$63:$T$91,3,FALSE),0)+IF(AND($T43="O3/CP",$T$14=D$18),VLOOKUP("O3",$R$63:$T$91,3,FALSE)+VLOOKUP("CP",$R$63:$T$91,3,FALSE),0)+IF(AND($U43&lt;&gt;"",$U43&lt;&gt;"--",$U43&lt;&gt;"O3/CP",$U$14=D$18),IF(LEFT($U43,1)="P",VLOOKUP(CONCATENATE(LEFT($U43,2),"H"),$R$63:$T$91,3,FALSE),VLOOKUP($U43,$R$63:$T$91,3,FALSE)))+IF(AND($U43&lt;&gt;"",$U43&lt;&gt;"O3/CP",$U$15=D$18,MID($U43,4,1)="2",$U$15&lt;&gt;$U$14),VLOOKUP(CONCATENATE(LEFT($U43,2),"L"),$R$63:$T$91,3,FALSE),0)+IF(AND($U43="O3/CP",$T$14=D$18),VLOOKUP("O3",$R$63:$T$91,3,FALSE)+VLOOKUP("CP",$R$63:$T$91,3,FALSE),0)+IF(AND($V43&lt;&gt;"",$V43&lt;&gt;"--",$V43&lt;&gt;"O3/CP",$V$14=D$18),IF(LEFT($V43,1)="P",VLOOKUP(CONCATENATE(LEFT($V43,2),"H"),$R$63:$T$91,3,FALSE),VLOOKUP($V43,$R$63:$T$91,3,FALSE)))+IF(AND($V43&lt;&gt;"",$V43&lt;&gt;"O3/CP",$V$15=D$18,MID($V43,4,1)="2",$V$15&lt;&gt;$V$14),VLOOKUP(CONCATENATE(LEFT($V43,2),"L"),$R$63:$T$91,3,FALSE),0)+IF(AND($V43="O3/CP",$V$14=D$18),VLOOKUP("O3",$R$63:$T$91,3,FALSE)+VLOOKUP("CP",$R$63:$T$91,3,FALSE),0)+IF(AND($W43&lt;&gt;"",$W43&lt;&gt;"--",$W43&lt;&gt;"O3/CP",$W$14=D$18),IF(LEFT($W43,1)="P",VLOOKUP(CONCATENATE(LEFT($W43,2),"H"),$R$63:$T$91,3,FALSE),VLOOKUP($W43,$R$63:$T$91,3,FALSE)))+IF(AND($W43&lt;&gt;"",$W43&lt;&gt;"O3/CP",$W$15=D$18,MID($W43,4,1)="2",$W$15&lt;&gt;$W$14),VLOOKUP(CONCATENATE(LEFT($W43,2),"L"),$R$63:$T$91,3,FALSE),0)+IF(AND($W43="O3/CP",$W$14=D$18),VLOOKUP("O3",$R$63:$T$91,3,FALSE)+VLOOKUP("CP",$R$63:$T$91,3,FALSE),0)+IF(AND($X43&lt;&gt;"",$X43&lt;&gt;"--",$X43&lt;&gt;"O3/CP",$X$14=D$18),IF(LEFT($X43,1)="P",VLOOKUP(CONCATENATE(LEFT($X43,2),"H"),$R$63:$T$91,3,FALSE),VLOOKUP($X43,$R$63:$T$91,3,FALSE)))+IF(AND($X43&lt;&gt;"",$X43&lt;&gt;"O3/CP",$X$15=D$18,MID($X43,4,1)="2",$X$15&lt;&gt;$X$14),VLOOKUP(CONCATENATE(LEFT($X43,2),"L"),$R$63:$T$91,3,FALSE),0)+IF(AND($X43="O3/CP",$X$14=D$18),VLOOKUP("O3",$R$63:$T$91,3,FALSE)+VLOOKUP("CP",$R$63:$T$91,3,FALSE),0)+IF(AND($Y43&lt;&gt;"",$Y43&lt;&gt;"--",$Y43&lt;&gt;"O3/CP",$Y$14=D$18),IF(LEFT($Y43,1)="P",VLOOKUP(CONCATENATE(LEFT($Y43,2),"H"),$R$63:$T$91,3,FALSE),VLOOKUP($Y43,$R$63:$T$91,3,FALSE)))+IF(AND($Y43&lt;&gt;"",$Y43&lt;&gt;"O3/CP",$Y$15=D$18,MID($Y43,4,1)="2",$Y$15&lt;&gt;$Y$14),VLOOKUP(CONCATENATE(LEFT($Y43,2),"L"),$R$63:$T$91,3,FALSE),0)+IF(AND($Y43="O3/CP",$Y$14=D$18),VLOOKUP("O3",$R$63:$T$91,3,FALSE)+VLOOKUP("CP",$R$63:$T$91,3,FALSE),0)+IF(AND($K$6="CE",'[3]Supply Attribution'!$G$20=D$18),LEFT($S$90,2),0)+IF(AND($X$86&lt;&gt;"Not Set",$X$87=D$18),$X$86,0)</f>
        <v>0</v>
      </c>
      <c r="E43" s="271">
        <f>IF(AND($K43&lt;&gt;"",$K43&lt;&gt;"--",$K43&lt;&gt;"O3/CP",$K$14=E$18),IF(LEFT($K43,1)="P",VLOOKUP(CONCATENATE(LEFT($K43,2),"H"),$R$63:$T$91,3,FALSE),VLOOKUP($K43,$R$63:$T$91,3,FALSE)))+IF(AND($K43&lt;&gt;"",$K43&lt;&gt;"O3/CP",$K$15=E$18,MID($K43,4,1)="2",$K$15&lt;&gt;$K$14),VLOOKUP(CONCATENATE(LEFT($K43,2),"L"),$R$63:$T$91,3,FALSE),0)+IF(AND($K43="O3/CP",$K$14=E$18),VLOOKUP("O3",$R$63:$T$91,3,FALSE)+VLOOKUP("CP",$R$63:$T$91,3,FALSE),0)+IF(AND($L43&lt;&gt;"",$L43&lt;&gt;"--",$L43&lt;&gt;"O3/CP",$L$14=E$18),IF(LEFT($L43,1)="P",VLOOKUP(CONCATENATE(LEFT($L43,2),"H"),$R$63:$T$91,3,FALSE),VLOOKUP($L43,$R$63:$T$91,3,FALSE)))+IF(AND($L43&lt;&gt;"",$L43&lt;&gt;"O3/CP",$L$15=E$18,MID($L43,4,1)="2",$L$15&lt;&gt;$L$14),VLOOKUP(CONCATENATE(LEFT($L43,2),"L"),$R$63:$T$91,3,FALSE),0)+IF(AND($L43="O3/CP",$L$14=E$18),VLOOKUP("O3",$R$63:$T$91,3,FALSE)+VLOOKUP("CP",$R$63:$T$91,3,FALSE),0)+IF(AND($M43&lt;&gt;"",$M43&lt;&gt;"--",$M43&lt;&gt;"O3/CP",$M$14=E$18),IF(LEFT($M43,1)="P",VLOOKUP(CONCATENATE(LEFT($M43,2),"H"),$R$63:$T$91,3,FALSE),VLOOKUP($M43,$R$63:$T$91,3,FALSE)))+IF(AND($M43&lt;&gt;"",$M43&lt;&gt;"O3/CP",$M$15=E$18,MID($M43,4,1)="2",$M$15&lt;&gt;$M$14),VLOOKUP(CONCATENATE(LEFT($M43,2),"L"),$R$63:$T$91,3,FALSE),0)+IF(AND($M43="O3/CP",$M$14=E$18),VLOOKUP("O3",$R$63:$T$91,3,FALSE)+VLOOKUP("CP",$R$63:$T$91,3,FALSE),0)+IF(AND($N43&lt;&gt;"",$N43&lt;&gt;"--",$N43&lt;&gt;"O3/CP",$N$14=E$18),IF(LEFT($N43,1)="P",VLOOKUP(CONCATENATE(LEFT($N43,2),"H"),$R$63:$T$91,3,FALSE),VLOOKUP($N43,$R$63:$T$91,3,FALSE)))+IF(AND($N43&lt;&gt;"",$N43&lt;&gt;"O3/CP",$N$15=E$18,MID($N43,4,1)="2",$N$15&lt;&gt;$N$14),VLOOKUP(CONCATENATE(LEFT($N43,2),"L"),$R$63:$T$91,3,FALSE),0)+IF(AND($N43="O3/CP",$N$14=E$18),VLOOKUP("O3",$R$63:$T$91,3,FALSE)+VLOOKUP("CP",$R$63:$T$91,3,FALSE),0)+IF(AND($O43&lt;&gt;"",$O43&lt;&gt;"--",$O43&lt;&gt;"O3/CP",$O$14=E$18),IF(LEFT($O43,1)="P",VLOOKUP(CONCATENATE(LEFT($O43,2),"H"),$R$63:$T$91,3,FALSE),VLOOKUP($O43,$R$63:$T$91,3,FALSE)))+IF(AND($O43&lt;&gt;"",$O43&lt;&gt;"O3/CP",$O$15=E$18,MID($O43,4,1)="2",$O$15&lt;&gt;$O$14),VLOOKUP(CONCATENATE(LEFT($O43,2),"L"),$R$63:$T$91,3,FALSE),0)+IF(AND($O43="O3/CP",$O$14=E$18),VLOOKUP("O3",$R$63:$T$91,3,FALSE)+VLOOKUP("CP",$R$63:$T$91,3,FALSE),0)+IF(AND($P43&lt;&gt;"",$P43&lt;&gt;"--",$P43&lt;&gt;"O3/CP",$P$14=E$18),IF(LEFT($P43,1)="P",VLOOKUP(CONCATENATE(LEFT($P43,2),"H"),$R$63:$T$91,3,FALSE),VLOOKUP($P43,$R$63:$T$91,3,FALSE)))+IF(AND($P43&lt;&gt;"",$P43&lt;&gt;"O3/CP",$P$15=E$18,MID($P43,4,1)="2",$P$15&lt;&gt;$P$14),VLOOKUP(CONCATENATE(LEFT($P43,2),"L"),$R$63:$T$91,3,FALSE),0)+IF(AND($P43="O3/CP",$P$14=E$18),VLOOKUP("O3",$R$63:$T$91,3,FALSE)+VLOOKUP("CP",$R$63:$T$91,3,FALSE),0)+IF(AND($Q43&lt;&gt;"",$Q43&lt;&gt;"--",$Q43&lt;&gt;"O3/CP",$Q$14=E$18),IF(LEFT($Q43,1)="P",VLOOKUP(CONCATENATE(LEFT($Q43,2),"H"),$R$63:$T$91,3,FALSE),VLOOKUP($Q43,$R$63:$T$91,3,FALSE)))+IF(AND($Q43&lt;&gt;"",$Q43&lt;&gt;"O3/CP",$Q$15=E$18,MID($Q43,4,1)="2",$Q$15&lt;&gt;$Q$14),VLOOKUP(CONCATENATE(LEFT($Q43,2),"L"),$R$63:$T$91,3,FALSE),0)+IF(AND($Q43="O3/CP",$Q$14=E$18),VLOOKUP("O3",$R$63:$T$91,3,FALSE)+VLOOKUP("CP",$R$63:$T$91,3,FALSE),0)+IF(AND($R43&lt;&gt;"",$R43&lt;&gt;"--",$R43&lt;&gt;"O3/CP",$R$14=E$18),IF(LEFT($R43,1)="P",VLOOKUP(CONCATENATE(LEFT($R43,2),"H"),$R$63:$T$91,3,FALSE),VLOOKUP($R43,$R$63:$T$91,3,FALSE)))+IF(AND($R43&lt;&gt;"",$R43&lt;&gt;"O3/CP",$R$15=E$18,MID($R43,4,1)="2",$R$15&lt;&gt;$R$14),VLOOKUP(CONCATENATE(LEFT($R43,2),"L"),$R$63:$T$91,3,FALSE),0)+IF(AND($R43="O3/CP",$R$14=E$18),VLOOKUP("O3",$R$63:$T$91,3,FALSE)+VLOOKUP("CP",$R$63:$T$91,3,FALSE),0)+IF(AND($S43&lt;&gt;"",$S43&lt;&gt;"--",$S43&lt;&gt;"O3/CP",$S$14=E$18),IF(LEFT($S43,1)="P",VLOOKUP(CONCATENATE(LEFT($S43,2),"H"),$R$63:$T$91,3,FALSE),VLOOKUP($S43,$R$63:$T$91,3,FALSE)))+IF(AND($S43&lt;&gt;"",$S43&lt;&gt;"O3/CP",$S$15=E$18,MID($S43,4,1)="2",$S$15&lt;&gt;$S$14),VLOOKUP(CONCATENATE(LEFT($S43,2),"L"),$R$63:$T$91,3,FALSE),0)+IF(AND($S43="O3/CP",$S$14=E$18),VLOOKUP("O3",$R$63:$T$91,3,FALSE)+VLOOKUP("CP",$R$63:$T$91,3,FALSE),0)+IF(AND($T43&lt;&gt;"",$T43&lt;&gt;"--",$T43&lt;&gt;"O3/CP",$T$14=E$18),IF(LEFT($T43,1)="P",VLOOKUP(CONCATENATE(LEFT($T43,2),"H"),$R$63:$T$91,3,FALSE),VLOOKUP($T43,$R$63:$T$91,3,FALSE)))+IF(AND($T43&lt;&gt;"",$T43&lt;&gt;"O3/CP",$T$15=E$18,MID($T43,4,1)="2",$T$15&lt;&gt;$T$14),VLOOKUP(CONCATENATE(LEFT($T43,2),"L"),$R$63:$T$91,3,FALSE),0)+IF(AND($T43="O3/CP",$T$14=E$18),VLOOKUP("O3",$R$63:$T$91,3,FALSE)+VLOOKUP("CP",$R$63:$T$91,3,FALSE),0)+IF(AND($U43&lt;&gt;"",$U43&lt;&gt;"--",$U43&lt;&gt;"O3/CP",$U$14=E$18),IF(LEFT($U43,1)="P",VLOOKUP(CONCATENATE(LEFT($U43,2),"H"),$R$63:$T$91,3,FALSE),VLOOKUP($U43,$R$63:$T$91,3,FALSE)))+IF(AND($U43&lt;&gt;"",$U43&lt;&gt;"O3/CP",$U$15=E$18,MID($U43,4,1)="2",$U$15&lt;&gt;$U$14),VLOOKUP(CONCATENATE(LEFT($U43,2),"L"),$R$63:$T$91,3,FALSE),0)+IF(AND($U43="O3/CP",$T$14=E$18),VLOOKUP("O3",$R$63:$T$91,3,FALSE)+VLOOKUP("CP",$R$63:$T$91,3,FALSE),0)+IF(AND($V43&lt;&gt;"",$V43&lt;&gt;"--",$V43&lt;&gt;"O3/CP",$V$14=E$18),IF(LEFT($V43,1)="P",VLOOKUP(CONCATENATE(LEFT($V43,2),"H"),$R$63:$T$91,3,FALSE),VLOOKUP($V43,$R$63:$T$91,3,FALSE)))+IF(AND($V43&lt;&gt;"",$V43&lt;&gt;"O3/CP",$V$15=E$18,MID($V43,4,1)="2",$V$15&lt;&gt;$V$14),VLOOKUP(CONCATENATE(LEFT($V43,2),"L"),$R$63:$T$91,3,FALSE),0)+IF(AND($V43="O3/CP",$V$14=E$18),VLOOKUP("O3",$R$63:$T$91,3,FALSE)+VLOOKUP("CP",$R$63:$T$91,3,FALSE),0)+IF(AND($W43&lt;&gt;"",$W43&lt;&gt;"--",$W43&lt;&gt;"O3/CP",$W$14=E$18),IF(LEFT($W43,1)="P",VLOOKUP(CONCATENATE(LEFT($W43,2),"H"),$R$63:$T$91,3,FALSE),VLOOKUP($W43,$R$63:$T$91,3,FALSE)))+IF(AND($W43&lt;&gt;"",$W43&lt;&gt;"O3/CP",$W$15=E$18,MID($W43,4,1)="2",$W$15&lt;&gt;$W$14),VLOOKUP(CONCATENATE(LEFT($W43,2),"L"),$R$63:$T$91,3,FALSE),0)+IF(AND($W43="O3/CP",$W$14=E$18),VLOOKUP("O3",$R$63:$T$91,3,FALSE)+VLOOKUP("CP",$R$63:$T$91,3,FALSE),0)+IF(AND($X43&lt;&gt;"",$X43&lt;&gt;"--",$X43&lt;&gt;"O3/CP",$X$14=E$18),IF(LEFT($X43,1)="P",VLOOKUP(CONCATENATE(LEFT($X43,2),"H"),$R$63:$T$91,3,FALSE),VLOOKUP($X43,$R$63:$T$91,3,FALSE)))+IF(AND($X43&lt;&gt;"",$X43&lt;&gt;"O3/CP",$X$15=E$18,MID($X43,4,1)="2",$X$15&lt;&gt;$X$14),VLOOKUP(CONCATENATE(LEFT($X43,2),"L"),$R$63:$T$91,3,FALSE),0)+IF(AND($X43="O3/CP",$X$14=E$18),VLOOKUP("O3",$R$63:$T$91,3,FALSE)+VLOOKUP("CP",$R$63:$T$91,3,FALSE),0)+IF(AND($Y43&lt;&gt;"",$Y43&lt;&gt;"--",$Y43&lt;&gt;"O3/CP",$Y$14=E$18),IF(LEFT($Y43,1)="P",VLOOKUP(CONCATENATE(LEFT($Y43,2),"H"),$R$63:$T$91,3,FALSE),VLOOKUP($Y43,$R$63:$T$91,3,FALSE)))+IF(AND($Y43&lt;&gt;"",$Y43&lt;&gt;"O3/CP",$Y$15=E$18,MID($Y43,4,1)="2",$Y$15&lt;&gt;$Y$14),VLOOKUP(CONCATENATE(LEFT($Y43,2),"L"),$R$63:$T$91,3,FALSE),0)+IF(AND($Y43="O3/CP",$Y$14=E$18),VLOOKUP("O3",$R$63:$T$91,3,FALSE)+VLOOKUP("CP",$R$63:$T$91,3,FALSE),0)+IF(AND($K$6="CE",'[3]Supply Attribution'!$G$20=E$18),LEFT($S$90,2),0)+IF(AND($X$86&lt;&gt;"Not Set",$X$87=E$18),$X$86,0)</f>
        <v>0</v>
      </c>
      <c r="F43" s="272">
        <f>IF(AND($K43&lt;&gt;"",$K43&lt;&gt;"--",$K43&lt;&gt;"O3/CP",$K$14=F$18),IF(LEFT($K43,1)="P",VLOOKUP(CONCATENATE(LEFT($K43,2),"H"),$R$63:$T$91,3,FALSE),VLOOKUP($K43,$R$63:$T$91,3,FALSE)))+IF(AND($K43&lt;&gt;"",$K43&lt;&gt;"O3/CP",$K$15=F$18,MID($K43,4,1)="2",$K$15&lt;&gt;$K$14),VLOOKUP(CONCATENATE(LEFT($K43,2),"L"),$R$63:$T$91,3,FALSE),0)+IF(AND($K43="O3/CP",$K$14=F$18),VLOOKUP("O3",$R$63:$T$91,3,FALSE)+VLOOKUP("CP",$R$63:$T$91,3,FALSE),0)+IF(AND($L43&lt;&gt;"",$L43&lt;&gt;"--",$L43&lt;&gt;"O3/CP",$L$14=F$18),IF(LEFT($L43,1)="P",VLOOKUP(CONCATENATE(LEFT($L43,2),"H"),$R$63:$T$91,3,FALSE),VLOOKUP($L43,$R$63:$T$91,3,FALSE)))+IF(AND($L43&lt;&gt;"",$L43&lt;&gt;"O3/CP",$L$15=F$18,MID($L43,4,1)="2",$L$15&lt;&gt;$L$14),VLOOKUP(CONCATENATE(LEFT($L43,2),"L"),$R$63:$T$91,3,FALSE),0)+IF(AND($L43="O3/CP",$L$14=F$18),VLOOKUP("O3",$R$63:$T$91,3,FALSE)+VLOOKUP("CP",$R$63:$T$91,3,FALSE),0)+IF(AND($M43&lt;&gt;"",$M43&lt;&gt;"--",$M43&lt;&gt;"O3/CP",$M$14=F$18),IF(LEFT($M43,1)="P",VLOOKUP(CONCATENATE(LEFT($M43,2),"H"),$R$63:$T$91,3,FALSE),VLOOKUP($M43,$R$63:$T$91,3,FALSE)))+IF(AND($M43&lt;&gt;"",$M43&lt;&gt;"O3/CP",$M$15=F$18,MID($M43,4,1)="2",$M$15&lt;&gt;$M$14),VLOOKUP(CONCATENATE(LEFT($M43,2),"L"),$R$63:$T$91,3,FALSE),0)+IF(AND($M43="O3/CP",$M$14=F$18),VLOOKUP("O3",$R$63:$T$91,3,FALSE)+VLOOKUP("CP",$R$63:$T$91,3,FALSE),0)+IF(AND($N43&lt;&gt;"",$N43&lt;&gt;"--",$N43&lt;&gt;"O3/CP",$N$14=F$18),IF(LEFT($N43,1)="P",VLOOKUP(CONCATENATE(LEFT($N43,2),"H"),$R$63:$T$91,3,FALSE),VLOOKUP($N43,$R$63:$T$91,3,FALSE)))+IF(AND($N43&lt;&gt;"",$N43&lt;&gt;"O3/CP",$N$15=F$18,MID($N43,4,1)="2",$N$15&lt;&gt;$N$14),VLOOKUP(CONCATENATE(LEFT($N43,2),"L"),$R$63:$T$91,3,FALSE),0)+IF(AND($N43="O3/CP",$N$14=F$18),VLOOKUP("O3",$R$63:$T$91,3,FALSE)+VLOOKUP("CP",$R$63:$T$91,3,FALSE),0)+IF(AND($O43&lt;&gt;"",$O43&lt;&gt;"--",$O43&lt;&gt;"O3/CP",$O$14=F$18),IF(LEFT($O43,1)="P",VLOOKUP(CONCATENATE(LEFT($O43,2),"H"),$R$63:$T$91,3,FALSE),VLOOKUP($O43,$R$63:$T$91,3,FALSE)))+IF(AND($O43&lt;&gt;"",$O43&lt;&gt;"O3/CP",$O$15=F$18,MID($O43,4,1)="2",$O$15&lt;&gt;$O$14),VLOOKUP(CONCATENATE(LEFT($O43,2),"L"),$R$63:$T$91,3,FALSE),0)+IF(AND($O43="O3/CP",$O$14=F$18),VLOOKUP("O3",$R$63:$T$91,3,FALSE)+VLOOKUP("CP",$R$63:$T$91,3,FALSE),0)+IF(AND($P43&lt;&gt;"",$P43&lt;&gt;"--",$P43&lt;&gt;"O3/CP",$P$14=F$18),IF(LEFT($P43,1)="P",VLOOKUP(CONCATENATE(LEFT($P43,2),"H"),$R$63:$T$91,3,FALSE),VLOOKUP($P43,$R$63:$T$91,3,FALSE)))+IF(AND($P43&lt;&gt;"",$P43&lt;&gt;"O3/CP",$P$15=F$18,MID($P43,4,1)="2",$P$15&lt;&gt;$P$14),VLOOKUP(CONCATENATE(LEFT($P43,2),"L"),$R$63:$T$91,3,FALSE),0)+IF(AND($P43="O3/CP",$P$14=F$18),VLOOKUP("O3",$R$63:$T$91,3,FALSE)+VLOOKUP("CP",$R$63:$T$91,3,FALSE),0)+IF(AND($Q43&lt;&gt;"",$Q43&lt;&gt;"--",$Q43&lt;&gt;"O3/CP",$Q$14=F$18),IF(LEFT($Q43,1)="P",VLOOKUP(CONCATENATE(LEFT($Q43,2),"H"),$R$63:$T$91,3,FALSE),VLOOKUP($Q43,$R$63:$T$91,3,FALSE)))+IF(AND($Q43&lt;&gt;"",$Q43&lt;&gt;"O3/CP",$Q$15=F$18,MID($Q43,4,1)="2",$Q$15&lt;&gt;$Q$14),VLOOKUP(CONCATENATE(LEFT($Q43,2),"L"),$R$63:$T$91,3,FALSE),0)+IF(AND($Q43="O3/CP",$Q$14=F$18),VLOOKUP("O3",$R$63:$T$91,3,FALSE)+VLOOKUP("CP",$R$63:$T$91,3,FALSE),0)+IF(AND($R43&lt;&gt;"",$R43&lt;&gt;"--",$R43&lt;&gt;"O3/CP",$R$14=F$18),IF(LEFT($R43,1)="P",VLOOKUP(CONCATENATE(LEFT($R43,2),"H"),$R$63:$T$91,3,FALSE),VLOOKUP($R43,$R$63:$T$91,3,FALSE)))+IF(AND($R43&lt;&gt;"",$R43&lt;&gt;"O3/CP",$R$15=F$18,MID($R43,4,1)="2",$R$15&lt;&gt;$R$14),VLOOKUP(CONCATENATE(LEFT($R43,2),"L"),$R$63:$T$91,3,FALSE),0)+IF(AND($R43="O3/CP",$R$14=F$18),VLOOKUP("O3",$R$63:$T$91,3,FALSE)+VLOOKUP("CP",$R$63:$T$91,3,FALSE),0)+IF(AND($S43&lt;&gt;"",$S43&lt;&gt;"--",$S43&lt;&gt;"O3/CP",$S$14=F$18),IF(LEFT($S43,1)="P",VLOOKUP(CONCATENATE(LEFT($S43,2),"H"),$R$63:$T$91,3,FALSE),VLOOKUP($S43,$R$63:$T$91,3,FALSE)))+IF(AND($S43&lt;&gt;"",$S43&lt;&gt;"O3/CP",$S$15=F$18,MID($S43,4,1)="2",$S$15&lt;&gt;$S$14),VLOOKUP(CONCATENATE(LEFT($S43,2),"L"),$R$63:$T$91,3,FALSE),0)+IF(AND($S43="O3/CP",$S$14=F$18),VLOOKUP("O3",$R$63:$T$91,3,FALSE)+VLOOKUP("CP",$R$63:$T$91,3,FALSE),0)+IF(AND($T43&lt;&gt;"",$T43&lt;&gt;"--",$T43&lt;&gt;"O3/CP",$T$14=F$18),IF(LEFT($T43,1)="P",VLOOKUP(CONCATENATE(LEFT($T43,2),"H"),$R$63:$T$91,3,FALSE),VLOOKUP($T43,$R$63:$T$91,3,FALSE)))+IF(AND($T43&lt;&gt;"",$T43&lt;&gt;"O3/CP",$T$15=F$18,MID($T43,4,1)="2",$T$15&lt;&gt;$T$14),VLOOKUP(CONCATENATE(LEFT($T43,2),"L"),$R$63:$T$91,3,FALSE),0)+IF(AND($T43="O3/CP",$T$14=F$18),VLOOKUP("O3",$R$63:$T$91,3,FALSE)+VLOOKUP("CP",$R$63:$T$91,3,FALSE),0)+IF(AND($U43&lt;&gt;"",$U43&lt;&gt;"--",$U43&lt;&gt;"O3/CP",$U$14=F$18),IF(LEFT($U43,1)="P",VLOOKUP(CONCATENATE(LEFT($U43,2),"H"),$R$63:$T$91,3,FALSE),VLOOKUP($U43,$R$63:$T$91,3,FALSE)))+IF(AND($U43&lt;&gt;"",$U43&lt;&gt;"O3/CP",$U$15=F$18,MID($U43,4,1)="2",$U$15&lt;&gt;$U$14),VLOOKUP(CONCATENATE(LEFT($U43,2),"L"),$R$63:$T$91,3,FALSE),0)+IF(AND($U43="O3/CP",$T$14=F$18),VLOOKUP("O3",$R$63:$T$91,3,FALSE)+VLOOKUP("CP",$R$63:$T$91,3,FALSE),0)+IF(AND($V43&lt;&gt;"",$V43&lt;&gt;"--",$V43&lt;&gt;"O3/CP",$V$14=F$18),IF(LEFT($V43,1)="P",VLOOKUP(CONCATENATE(LEFT($V43,2),"H"),$R$63:$T$91,3,FALSE),VLOOKUP($V43,$R$63:$T$91,3,FALSE)))+IF(AND($V43&lt;&gt;"",$V43&lt;&gt;"O3/CP",$V$15=F$18,MID($V43,4,1)="2",$V$15&lt;&gt;$V$14),VLOOKUP(CONCATENATE(LEFT($V43,2),"L"),$R$63:$T$91,3,FALSE),0)+IF(AND($V43="O3/CP",$V$14=F$18),VLOOKUP("O3",$R$63:$T$91,3,FALSE)+VLOOKUP("CP",$R$63:$T$91,3,FALSE),0)+IF(AND($W43&lt;&gt;"",$W43&lt;&gt;"--",$W43&lt;&gt;"O3/CP",$W$14=F$18),IF(LEFT($W43,1)="P",VLOOKUP(CONCATENATE(LEFT($W43,2),"H"),$R$63:$T$91,3,FALSE),VLOOKUP($W43,$R$63:$T$91,3,FALSE)))+IF(AND($W43&lt;&gt;"",$W43&lt;&gt;"O3/CP",$W$15=F$18,MID($W43,4,1)="2",$W$15&lt;&gt;$W$14),VLOOKUP(CONCATENATE(LEFT($W43,2),"L"),$R$63:$T$91,3,FALSE),0)+IF(AND($W43="O3/CP",$W$14=F$18),VLOOKUP("O3",$R$63:$T$91,3,FALSE)+VLOOKUP("CP",$R$63:$T$91,3,FALSE),0)+IF(AND($X43&lt;&gt;"",$X43&lt;&gt;"--",$X43&lt;&gt;"O3/CP",$X$14=F$18),IF(LEFT($X43,1)="P",VLOOKUP(CONCATENATE(LEFT($X43,2),"H"),$R$63:$T$91,3,FALSE),VLOOKUP($X43,$R$63:$T$91,3,FALSE)))+IF(AND($X43&lt;&gt;"",$X43&lt;&gt;"O3/CP",$X$15=F$18,MID($X43,4,1)="2",$X$15&lt;&gt;$X$14),VLOOKUP(CONCATENATE(LEFT($X43,2),"L"),$R$63:$T$91,3,FALSE),0)+IF(AND($X43="O3/CP",$X$14=F$18),VLOOKUP("O3",$R$63:$T$91,3,FALSE)+VLOOKUP("CP",$R$63:$T$91,3,FALSE),0)+IF(AND($Y43&lt;&gt;"",$Y43&lt;&gt;"--",$Y43&lt;&gt;"O3/CP",$Y$14=F$18),IF(LEFT($Y43,1)="P",VLOOKUP(CONCATENATE(LEFT($Y43,2),"H"),$R$63:$T$91,3,FALSE),VLOOKUP($Y43,$R$63:$T$91,3,FALSE)))+IF(AND($Y43&lt;&gt;"",$Y43&lt;&gt;"O3/CP",$Y$15=F$18,MID($Y43,4,1)="2",$Y$15&lt;&gt;$Y$14),VLOOKUP(CONCATENATE(LEFT($Y43,2),"L"),$R$63:$T$91,3,FALSE),0)+IF(AND($Y43="O3/CP",$Y$14=F$18),VLOOKUP("O3",$R$63:$T$91,3,FALSE)+VLOOKUP("CP",$R$63:$T$91,3,FALSE),0)+IF(AND($K$6="CE",'[3]Supply Attribution'!$G$20=F$18),LEFT($S$90,2),0)+IF(AND($X$86&lt;&gt;"Not Set",$X$87=F$18),$X$86,0)</f>
        <v>0</v>
      </c>
      <c r="G43" s="271">
        <f>IF(AND($K$6="CE",$T$59="1 Phase"),SUM(A43:F43)-IF(AND($K$14&lt;&gt;$K$15,RIGHT($K43,3)="2SP"),VLOOKUP(CONCATENATE(LEFT($K43,2),"L"),$R$63:$T$90,3,FALSE),0)-IF(AND($L$14&lt;&gt;$L$15,RIGHT($L43,3)="2SP"),VLOOKUP(CONCATENATE(LEFT($L43,2),"L"),$R$63:$T$90,3,FALSE),0)-IF(AND($M$14&lt;&gt;$M$15,RIGHT($M43,3)="2SP"),VLOOKUP(CONCATENATE(LEFT($M43,2),"L"),$R$63:$T$90,3,FALSE),0)-IF(AND($N$14&lt;&gt;$N$15,RIGHT($N43,3)="2SP"),VLOOKUP(CONCATENATE(LEFT($N43,2),"L"),$R$63:$T$90,3,FALSE),0)-IF(AND($O$14&lt;&gt;$O$15,RIGHT($O43,3)="2SP"),VLOOKUP(CONCATENATE(LEFT($O43,2),"L"),$R$63:$T$90,3,FALSE),0)-IF(AND($P$14&lt;&gt;$P$15,RIGHT($P43,3)="2SP"),VLOOKUP(CONCATENATE(LEFT($P43,2),"L"),$R$63:$T$90,3,FALSE),0)-IF(AND($Q$14&lt;&gt;$Q$15,RIGHT($Q43,3)="2SP"),VLOOKUP(CONCATENATE(LEFT($Q43,2),"L"),$R$63:$T$90,3,FALSE),0)-IF(AND($R$14&lt;&gt;$R$15,RIGHT($T43,3)="2SP"),VLOOKUP(CONCATENATE(LEFT($R43,2),"L"),$R$63:$T$90,3,FALSE),0)-IF(AND($S$14&lt;&gt;$S$15,RIGHT($T43,3)="2SP"),VLOOKUP(CONCATENATE(LEFT($S43,2),"L"),$R$63:$T$90,3,FALSE),0)-IF(AND($T$14&lt;&gt;$T$15,RIGHT($T43,3)="2SP"),VLOOKUP(CONCATENATE(LEFT($T43,2),"L"),$R$63:$T$90,3,FALSE),0)-IF(AND($U$14&lt;&gt;$U$15,RIGHT($U43,3)="2SP"),VLOOKUP(CONCATENATE(LEFT($U43,2),"L"),$R$63:$T$90,3,FALSE),0)-IF(AND($V$14&lt;&gt;$V$15,RIGHT($V43,3)="2SP"),VLOOKUP(CONCATENATE(LEFT($V43,2),"L"),$R$63:$T$90,3,FALSE),0)-IF(AND($W$14&lt;&gt;$W$15,RIGHT($W43,3)="2SP"),VLOOKUP(CONCATENATE(LEFT($W43,2),"L"),$R$63:$T$90,3,FALSE),0)-IF(AND($X$14&lt;&gt;$X$15,RIGHT($X43,3)="2SP"),VLOOKUP(CONCATENATE(LEFT($X43,2),"L"),$R$63:$T$90,3,FALSE),0)-IF(AND($Y$14&lt;&gt;$Y$15,RIGHT($Y43,3)="2SP"),VLOOKUP(CONCATENATE(LEFT($Y43,2),"L"),$R$63:$T$90,3,FALSE),0),IF(VLOOKUP(CONCATENATE($A$18,"Line"),'[3]Supply Attribution'!$F$31:$G$37,2,FALSE)=G$18,$A43,0)+IF(VLOOKUP(CONCATENATE($B$18,"Line"),'[3]Supply Attribution'!$F$31:$G$37,2,FALSE)=G$18,$B43,0)+IF(VLOOKUP(CONCATENATE($C$18,"Line"),'[3]Supply Attribution'!$F$31:$G$37,2,FALSE)=G$18,$C43,0)+IF(VLOOKUP(CONCATENATE($D$18,"Line"),'[3]Supply Attribution'!$F$31:$G$37,2,FALSE)=G$18,$D43,0)+IF(VLOOKUP(CONCATENATE($E$18,"Line"),'[3]Supply Attribution'!$F$31:$G$37,2,FALSE)=G$18,$E43,0)+IF(VLOOKUP(CONCATENATE($F$18,"Line"),'[3]Supply Attribution'!$F$31:$G$37,2,FALSE)=G$18,$F43,0)+IF($K$6="UL",LEFT($S$90,2),0)-IF(AND($K$16=G$18,$K$14&lt;&gt;$K$15,$K$16=$K$17,RIGHT($K43,3)="2SP"),VLOOKUP(CONCATENATE(LEFT($K43,2),"L"),$R$63:$T$90,3,FALSE),0)-IF(AND($L$16=G$18,$L$14&lt;&gt;$L$15,$L$16=$L$17,RIGHT($L43,3)="2SP"),VLOOKUP(CONCATENATE(LEFT($L43,2),"L"),$R$63:$T$90,3,FALSE),0)-IF(AND($M$16=G$18,$M$14&lt;&gt;$M$15,$M$16=$M$17,RIGHT($M43,3)="2SP"),VLOOKUP(CONCATENATE(LEFT($M43,2),"L"),$R$63:$T$90,3,FALSE),0)-IF(AND($N$16=G$18,$N$14&lt;&gt;$N$15,$N$16=$N$17,RIGHT($N43,3)="2SP"),VLOOKUP(CONCATENATE(LEFT($N43,2),"L"),$R$63:$T$90,3,FALSE),0)-IF(AND($O$16=G$18,$O$14&lt;&gt;$O$15,$O$16=$O$17,RIGHT($O43,3)="2SP"),VLOOKUP(CONCATENATE(LEFT($O43,2),"L"),$R$63:$T$90,3,FALSE),0)-IF(AND($P$16=G$18,$P$14&lt;&gt;$P$15,$P$16=$P$17,RIGHT($P43,3)="2SP"),VLOOKUP(CONCATENATE(LEFT($P43,2),"L"),$R$63:$T$90,3,FALSE),0)-IF(AND($Q$16=G$18,$Q$14&lt;&gt;$Q$15,$Q$16=$Q$17,RIGHT($Q43,3)="2SP"),VLOOKUP(CONCATENATE(LEFT($Q43,2),"L"),$R$63:$T$90,3,FALSE),0)-IF(AND($R$16=G$18,$R$14&lt;&gt;$R$15,$R$16=$R$17,RIGHT($R43,3)="2SP"),VLOOKUP(CONCATENATE(LEFT($R43,2),"L"),$R$63:$T$90,3,FALSE),0)-IF(AND($S$16=G$18,$S$14&lt;&gt;$S$15,$S$16=$S$17,RIGHT($S43,3)="2SP"),VLOOKUP(CONCATENATE(LEFT($S43,2),"L"),$R$63:$T$90,3,FALSE),0)-IF(AND($T$16=G$18,$T$14&lt;&gt;$T$15,$T$16=$T$17,RIGHT($T43,3)="2SP"),VLOOKUP(CONCATENATE(LEFT($T43,2),"L"),$R$63:$T$90,3,FALSE),0)-IF(AND($U$16=G$18,$U$14&lt;&gt;$U$15,$U$16=$U$17,RIGHT($U43,3)="2SP"),VLOOKUP(CONCATENATE(LEFT($U43,2),"L"),$R$63:$T$90,3,FALSE),0)-IF(AND($V$16=G$18,$V$14&lt;&gt;$V$15,$V$16=$V$17,RIGHT($V43,3)="2SP"),VLOOKUP(CONCATENATE(LEFT($V43,2),"L"),$R$63:$T$90,3,FALSE),0)-IF(AND($W$16=G$18,$W$14&lt;&gt;$W$15,$W$16=$W$17,RIGHT($W43,3)="2SP"),VLOOKUP(CONCATENATE(LEFT($W43,2),"L"),$R$63:$T$90,3,FALSE),0)-IF(AND($X$16=G$18,$X$14&lt;&gt;$X$15,$X$16=$X$17,RIGHT($X43,3)="2SP"),VLOOKUP(CONCATENATE(LEFT($X43,2),"L"),$R$63:$T$90,3,FALSE),0)-IF(AND($Y$16=G$18,$Y$14&lt;&gt;$Y$15,$Y$16=$Y$17,RIGHT($Y43,3)="2SP"),VLOOKUP(CONCATENATE(LEFT($Y43,2),"L"),$R$63:$T$90,3,FALSE),0))</f>
        <v>17</v>
      </c>
      <c r="H43" s="271" t="str">
        <f>IF(H$18&lt;&gt;"",IF(VLOOKUP(CONCATENATE($A$18,"Line"),'Supply Attribution'!$F$31:$G$37,2,FALSE)=H$18,$A43,0)+IF(VLOOKUP(CONCATENATE($B$18,"Line"),'Supply Attribution'!$F$31:$G$37,2,FALSE)=H$18,$B43,0)+IF(VLOOKUP(CONCATENATE($C$18,"Line"),'Supply Attribution'!$F$31:$G$37,2,FALSE)=H$18,$C43,0)+IF(VLOOKUP(CONCATENATE($D$18,"Line"),'Supply Attribution'!$F$31:$G$37,2,FALSE)=H$18,$D43,0)+IF(VLOOKUP(CONCATENATE($E$18,"Line"),'Supply Attribution'!$F$31:$G$37,2,FALSE)=H$18,$E43,0)+IF(VLOOKUP(CONCATENATE($F$18,"Line"),'Supply Attribution'!$F$31:$G$37,2,FALSE)=H$18,$F43,0)+IF($K$6="UL",LEFT($S$90,2),0)-IF(AND($K$16=H$18,$K$14&lt;&gt;$K$15,$K$16=$K$17,RIGHT($K43,3)="2SP"),VLOOKUP(CONCATENATE(LEFT($K43,2),"L"),$R$63:$T$90,3,FALSE),0)-IF(AND($L$16=H$18,$L$14&lt;&gt;$L$15,$L$16=$L$17,RIGHT($L43,3)="2SP"),VLOOKUP(CONCATENATE(LEFT($L43,2),"L"),$R$63:$T$90,3,FALSE),0)-IF(AND($M$16=H$18,$M$14&lt;&gt;$M$15,$M$16=$M$17,RIGHT($M43,3)="2SP"),VLOOKUP(CONCATENATE(LEFT($M43,2),"L"),$R$63:$T$90,3,FALSE),0)-IF(AND($N$16=H$18,$N$14&lt;&gt;$N$15,$N$16=$N$17,RIGHT($N43,3)="2SP"),VLOOKUP(CONCATENATE(LEFT($N43,2),"L"),$R$63:$T$90,3,FALSE),0)-IF(AND($O$16=H$18,$O$14&lt;&gt;$O$15,$O$16=$O$17,RIGHT($O43,3)="2SP"),VLOOKUP(CONCATENATE(LEFT($O43,2),"L"),$R$63:$T$90,3,FALSE),0)-IF(AND($P$16=H$18,$P$14&lt;&gt;$P$15,$P$16=$P$17,RIGHT($P43,3)="2SP"),VLOOKUP(CONCATENATE(LEFT($P43,2),"L"),$R$63:$T$90,3,FALSE),0)-IF(AND($Q$16=H$18,$Q$14&lt;&gt;$Q$15,$Q$16=$Q$17,RIGHT($Q43,3)="2SP"),VLOOKUP(CONCATENATE(LEFT($Q43,2),"L"),$R$63:$T$90,3,FALSE),0)-IF(AND($T$16=H$18,$T$14&lt;&gt;$T$15,$T$16=$T$17,RIGHT($T43,3)="2SP"),VLOOKUP(CONCATENATE(LEFT($T43,2),"L"),$R$63:$T$90,3,FALSE),0)-IF(AND($U$16=H$18,$U$14&lt;&gt;$U$15,$U$16=$U$17,RIGHT($U43,3)="2SP"),VLOOKUP(CONCATENATE(LEFT($U43,2),"L"),$R$63:$T$90,3,FALSE),0)-IF(AND($V$16=H$18,$V$14&lt;&gt;$V$15,$V$16=$V$17,RIGHT($V43,3)="2SP"),VLOOKUP(CONCATENATE(LEFT($V43,2),"L"),$R$63:$T$90,3,FALSE),0)-IF(AND($W$16=H$18,$W$14&lt;&gt;$W$15,$W$16=$W$17,RIGHT($W43,3)="2SP"),VLOOKUP(CONCATENATE(LEFT($W43,2),"L"),$R$63:$T$90,3,FALSE),0)-IF(AND($X$16=H$18,$X$14&lt;&gt;$X$15,$X$16=$X$17,RIGHT($X43,3)="2SP"),VLOOKUP(CONCATENATE(LEFT($X43,2),"L"),$R$63:$T$90,3,FALSE),0)-IF(AND($Y$16=H$18,$Y$14&lt;&gt;$Y$15,$Y$16=$Y$17,RIGHT($Y43,3)="2SP"),VLOOKUP(CONCATENATE(LEFT($Y43,2),"L"),$R$63:$T$90,3,FALSE),0)+IF(AND($K$6="CE",$T$59="2 Phases",H$18&lt;&gt;""),IF(VLOOKUP(CONCATENATE($A$18,"Line"),'Supply Attribution'!$F$31:$G$37,2,FALSE)="Line3",$A43,0)+IF(VLOOKUP(CONCATENATE($B$18,"Line"),'Supply Attribution'!$F$31:$G$37,2,FALSE)="Line3",$B43,0)+IF(VLOOKUP(CONCATENATE($C$18,"Line"),'Supply Attribution'!$F$31:$G$37,2,FALSE)="Line3",$C43,0)+IF(VLOOKUP(CONCATENATE($D$18,"Line"),'Supply Attribution'!$F$31:$G$37,2,FALSE)="Line3",$D43,0)+IF(VLOOKUP(CONCATENATE($E$18,"Line"),'Supply Attribution'!$F$31:$G$37,2,FALSE)="Line3",$E43,0)+IF(VLOOKUP(CONCATENATE($F$18,"Line"),'Supply Attribution'!$F$31:$G$37,2,FALSE)="Line3",$F43,0)-IF(AND($K$16=I$18,$K$14&lt;&gt;$K$15,$K$16=$K$17,RIGHT($K43,3)="2SP"),VLOOKUP(CONCATENATE(LEFT($K43,2),"L"),$R$63:$T$90,3,FALSE),0)-IF(AND($L$16=I$18,$L$14&lt;&gt;$L$15,$L$16=$L$17,RIGHT($L43,3)="2SP"),VLOOKUP(CONCATENATE(LEFT($L43,2),"L"),$R$63:$T$90,3,FALSE),0)-IF(AND($M$16=I$18,$M$14&lt;&gt;$M$15,$M$16=$M$17,RIGHT($M43,3)="2SP"),VLOOKUP(CONCATENATE(LEFT($M43,2),"L"),$R$63:$T$90,3,FALSE),0)-IF(AND($N$16=I$18,$N$14&lt;&gt;$N$15,$N$16=$N$17,RIGHT($N43,3)="2SP"),VLOOKUP(CONCATENATE(LEFT($N43,2),"L"),$R$63:$T$90,3,FALSE),0)-IF(AND($O$16=I$18,$O$14&lt;&gt;$O$15,$O$16=$O$17,RIGHT($O43,3)="2SP"),VLOOKUP(CONCATENATE(LEFT($O43,2),"L"),$R$63:$T$90,3,FALSE),0)-IF(AND($P$16=I$18,$P$14&lt;&gt;$P$15,$P$16=$P$17,RIGHT($P43,3)="2SP"),VLOOKUP(CONCATENATE(LEFT($P43,2),"L"),$R$63:$T$90,3,FALSE),0)-IF(AND($Q$16=I$18,$Q$14&lt;&gt;$Q$15,$Q$16=$Q$17,RIGHT($Q43,3)="2SP"),VLOOKUP(CONCATENATE(LEFT($Q43,2),"L"),$R$63:$T$90,3,FALSE),0)-IF(AND($T$16=I$18,$T$14&lt;&gt;$T$15,$T$16=$T$17,RIGHT($T43,3)="2SP"),VLOOKUP(CONCATENATE(LEFT($T43,2),"L"),$R$63:$T$90,3,FALSE),0)-IF(AND($U$16=I$18,$U$14&lt;&gt;$U$15,$U$16=$U$17,RIGHT($U43,3)="2SP"),VLOOKUP(CONCATENATE(LEFT($U43,2),"L"),$R$63:$T$90,3,FALSE),0)-IF(AND($V$16=I$18,$V$14&lt;&gt;$V$15,$V$16=$V$17,RIGHT($V43,3)="2SP"),VLOOKUP(CONCATENATE(LEFT($V43,2),"L"),$R$63:$T$90,3,FALSE),0)-IF(AND($W$16=I$18,$W$14&lt;&gt;$W$15,$W$16=$W$17,RIGHT($W43,3)="2SP"),VLOOKUP(CONCATENATE(LEFT($W43,2),"L"),$R$63:$T$90,3,FALSE),0)-IF(AND($X$16=I$18,$X$14&lt;&gt;$X$15,$X$16=$X$17,RIGHT($X43,3)="2SP"),VLOOKUP(CONCATENATE(LEFT($X43,2),"L"),$R$63:$T$90,3,FALSE),0)-IF(AND($Y$16=I$18,$Y$14&lt;&gt;$Y$15,$Y$16=$Y$17,RIGHT($Y43,3)="2SP"),VLOOKUP(CONCATENATE(LEFT($Y43,2),"L"),$R$63:$T$90,3,FALSE),0),0),"")</f>
        <v/>
      </c>
      <c r="I43" s="271" t="str">
        <f>IF(I$18&lt;&gt;"",IF(VLOOKUP(CONCATENATE($A$18,"Line"),'Supply Attribution'!$F$31:$G$37,2,FALSE)=I$18,$A43,0)+IF(VLOOKUP(CONCATENATE($B$18,"Line"),'Supply Attribution'!$F$31:$G$37,2,FALSE)=I$18,$B43,0)+IF(VLOOKUP(CONCATENATE($C$18,"Line"),'Supply Attribution'!$F$31:$G$37,2,FALSE)=I$18,$C43,0)+IF(VLOOKUP(CONCATENATE($D$18,"Line"),'Supply Attribution'!$F$31:$G$37,2,FALSE)=I$18,$D43,0)+IF(VLOOKUP(CONCATENATE($E$18,"Line"),'Supply Attribution'!$F$31:$G$37,2,FALSE)=I$18,$E43,0)+IF(VLOOKUP(CONCATENATE($F$18,"Line"),'Supply Attribution'!$F$31:$G$37,2,FALSE)=I$18,$F43,0)+IF($K$6="UL",LEFT($S$90,2),0)-IF(AND($K$16=I$18,$K$14&lt;&gt;$K$15,$K$16=$K$17,RIGHT($K43,3)="2SP"),VLOOKUP(CONCATENATE(LEFT($K43,2),"L"),$R$63:$T$90,3,FALSE),0)-IF(AND($L$16=I$18,$L$14&lt;&gt;$L$15,$L$16=$L$17,RIGHT($L43,3)="2SP"),VLOOKUP(CONCATENATE(LEFT($L43,2),"L"),$R$63:$T$90,3,FALSE),0)-IF(AND($M$16=I$18,$M$14&lt;&gt;$M$15,$M$16=$M$17,RIGHT($M43,3)="2SP"),VLOOKUP(CONCATENATE(LEFT($M43,2),"L"),$R$63:$T$90,3,FALSE),0)-IF(AND($N$16=I$18,$N$14&lt;&gt;$N$15,$N$16=$N$17,RIGHT($N43,3)="2SP"),VLOOKUP(CONCATENATE(LEFT($N43,2),"L"),$R$63:$T$90,3,FALSE),0)-IF(AND($O$16=I$18,$O$14&lt;&gt;$O$15,$O$16=$O$17,RIGHT($O43,3)="2SP"),VLOOKUP(CONCATENATE(LEFT($O43,2),"L"),$R$63:$T$90,3,FALSE),0)-IF(AND($P$16=I$18,$P$14&lt;&gt;$P$15,$P$16=$P$17,RIGHT($P43,3)="2SP"),VLOOKUP(CONCATENATE(LEFT($P43,2),"L"),$R$63:$T$90,3,FALSE),0)-IF(AND($Q$16=I$18,$Q$14&lt;&gt;$Q$15,$Q$16=$Q$17,RIGHT($Q43,3)="2SP"),VLOOKUP(CONCATENATE(LEFT($Q43,2),"L"),$R$63:$T$90,3,FALSE),0)-IF(AND($T$16=I$18,$T$14&lt;&gt;$T$15,$T$16=$T$17,RIGHT($T43,3)="2SP"),VLOOKUP(CONCATENATE(LEFT($T43,2),"L"),$R$63:$T$90,3,FALSE),0)-IF(AND($U$16=I$18,$U$14&lt;&gt;$U$15,$U$16=$U$17,RIGHT($U43,3)="2SP"),VLOOKUP(CONCATENATE(LEFT($U43,2),"L"),$R$63:$T$90,3,FALSE),0)-IF(AND($V$16=I$18,$V$14&lt;&gt;$V$15,$V$16=$V$17,RIGHT($V43,3)="2SP"),VLOOKUP(CONCATENATE(LEFT($V43,2),"L"),$R$63:$T$90,3,FALSE),0)-IF(AND($W$16=I$18,$W$14&lt;&gt;$W$15,$W$16=$W$17,RIGHT($W43,3)="2SP"),VLOOKUP(CONCATENATE(LEFT($W43,2),"L"),$R$63:$T$90,3,FALSE),0)-IF(AND($X$16=I$18,$X$14&lt;&gt;$X$15,$X$16=$X$17,RIGHT($X43,3)="2SP"),VLOOKUP(CONCATENATE(LEFT($X43,2),"L"),$R$63:$T$90,3,FALSE),0)-IF(AND($Y$16=I$18,$Y$14&lt;&gt;$Y$15,$Y$16=$Y$17,RIGHT($Y43,3)="2SP"),VLOOKUP(CONCATENATE(LEFT($Y43,2),"L"),$R$63:$T$90,3,FALSE),0),"")</f>
        <v/>
      </c>
      <c r="J43" s="129"/>
      <c r="K43" s="130"/>
      <c r="L43" s="130"/>
      <c r="M43" s="130"/>
      <c r="N43" s="130"/>
      <c r="O43" s="130"/>
      <c r="P43" s="130"/>
      <c r="Q43" s="130"/>
      <c r="R43" s="130"/>
      <c r="S43" s="130"/>
      <c r="T43" s="130"/>
      <c r="U43" s="130"/>
      <c r="V43" s="130"/>
      <c r="W43" s="130"/>
      <c r="X43" s="130"/>
      <c r="Y43" s="130"/>
      <c r="Z43" s="131"/>
      <c r="AA43" s="131"/>
      <c r="AB43" s="132"/>
      <c r="AC43" s="132"/>
      <c r="AD43" s="132"/>
      <c r="AE43" s="133">
        <f t="shared" si="0"/>
        <v>0</v>
      </c>
      <c r="AF43" s="78"/>
    </row>
    <row r="44" spans="1:32" ht="13.15" customHeight="1">
      <c r="A44" s="270">
        <f>IF(AND($K44&lt;&gt;"",$K44&lt;&gt;"--",$K44&lt;&gt;"O3/CP",$K$14=A$18),IF(LEFT($K44,1)="P",VLOOKUP(CONCATENATE(LEFT($K44,2),"H"),$R$63:$T$91,3,FALSE),VLOOKUP($K44,$R$63:$T$91,3,FALSE)))+IF(AND($K44&lt;&gt;"",$K44&lt;&gt;"O3/CP",$K$15=A$18,MID($K44,4,1)="2",$K$15&lt;&gt;$K$14),VLOOKUP(CONCATENATE(LEFT($K44,2),"L"),$R$63:$T$91,3,FALSE),0)+IF(AND($K44="O3/CP",$K$14=A$18),VLOOKUP("O3",$R$63:$T$91,3,FALSE)+VLOOKUP("CP",$R$63:$T$91,3,FALSE),0)+IF(AND($L44&lt;&gt;"",$L44&lt;&gt;"--",$L44&lt;&gt;"O3/CP",$L$14=A$18),IF(LEFT($L44,1)="P",VLOOKUP(CONCATENATE(LEFT($L44,2),"H"),$R$63:$T$91,3,FALSE),VLOOKUP($L44,$R$63:$T$91,3,FALSE)))+IF(AND($L44&lt;&gt;"",$L44&lt;&gt;"O3/CP",$L$15=A$18,MID($L44,4,1)="2",$L$15&lt;&gt;$L$14),VLOOKUP(CONCATENATE(LEFT($L44,2),"L"),$R$63:$T$91,3,FALSE),0)+IF(AND($L44="O3/CP",$L$14=A$18),VLOOKUP("O3",$R$63:$T$91,3,FALSE)+VLOOKUP("CP",$R$63:$T$91,3,FALSE),0)+IF(AND($M44&lt;&gt;"",$M44&lt;&gt;"--",$M44&lt;&gt;"O3/CP",$M$14=A$18),IF(LEFT($M44,1)="P",VLOOKUP(CONCATENATE(LEFT($M44,2),"H"),$R$63:$T$91,3,FALSE),VLOOKUP($M44,$R$63:$T$91,3,FALSE)))+IF(AND($M44&lt;&gt;"",$M44&lt;&gt;"O3/CP",$M$15=A$18,MID($M44,4,1)="2",$M$15&lt;&gt;$M$14),VLOOKUP(CONCATENATE(LEFT($M44,2),"L"),$R$63:$T$91,3,FALSE),0)+IF(AND($M44="O3/CP",$M$14=A$18),VLOOKUP("O3",$R$63:$T$91,3,FALSE)+VLOOKUP("CP",$R$63:$T$91,3,FALSE),0)+IF(AND($N44&lt;&gt;"",$N44&lt;&gt;"--",$N44&lt;&gt;"O3/CP",$N$14=A$18),IF(LEFT($N44,1)="P",VLOOKUP(CONCATENATE(LEFT($N44,2),"H"),$R$63:$T$91,3,FALSE),VLOOKUP($N44,$R$63:$T$91,3,FALSE)))+IF(AND($N44&lt;&gt;"",$N44&lt;&gt;"O3/CP",$N$15=A$18,MID($N44,4,1)="2",$N$15&lt;&gt;$N$14),VLOOKUP(CONCATENATE(LEFT($N44,2),"L"),$R$63:$T$91,3,FALSE),0)+IF(AND($N44="O3/CP",$N$14=A$18),VLOOKUP("O3",$R$63:$T$91,3,FALSE)+VLOOKUP("CP",$R$63:$T$91,3,FALSE),0)+IF(AND($O44&lt;&gt;"",$O44&lt;&gt;"--",$O44&lt;&gt;"O3/CP",$O$14=A$18),IF(LEFT($O44,1)="P",VLOOKUP(CONCATENATE(LEFT($O44,2),"H"),$R$63:$T$91,3,FALSE),VLOOKUP($O44,$R$63:$T$91,3,FALSE)))+IF(AND($O44&lt;&gt;"",$O44&lt;&gt;"O3/CP",$O$15=A$18,MID($O44,4,1)="2",$O$15&lt;&gt;$O$14),VLOOKUP(CONCATENATE(LEFT($O44,2),"L"),$R$63:$T$91,3,FALSE),0)+IF(AND($O44="O3/CP",$O$14=A$18),VLOOKUP("O3",$R$63:$T$91,3,FALSE)+VLOOKUP("CP",$R$63:$T$91,3,FALSE),0)+IF(AND($P44&lt;&gt;"",$P44&lt;&gt;"--",$P44&lt;&gt;"O3/CP",$P$14=A$18),IF(LEFT($P44,1)="P",VLOOKUP(CONCATENATE(LEFT($P44,2),"H"),$R$63:$T$91,3,FALSE),VLOOKUP($P44,$R$63:$T$91,3,FALSE)))+IF(AND($P44&lt;&gt;"",$P44&lt;&gt;"O3/CP",$P$15=A$18,MID($P44,4,1)="2",$P$15&lt;&gt;$P$14),VLOOKUP(CONCATENATE(LEFT($P44,2),"L"),$R$63:$T$91,3,FALSE),0)+IF(AND($P44="O3/CP",$P$14=A$18),VLOOKUP("O3",$R$63:$T$91,3,FALSE)+VLOOKUP("CP",$R$63:$T$91,3,FALSE),0)+IF(AND($Q44&lt;&gt;"",$Q44&lt;&gt;"--",$Q44&lt;&gt;"O3/CP",$Q$14=A$18),IF(LEFT($Q44,1)="P",VLOOKUP(CONCATENATE(LEFT($Q44,2),"H"),$R$63:$T$91,3,FALSE),VLOOKUP($Q44,$R$63:$T$91,3,FALSE)))+IF(AND($Q44&lt;&gt;"",$Q44&lt;&gt;"O3/CP",$Q$15=A$18,MID($Q44,4,1)="2",$Q$15&lt;&gt;$Q$14),VLOOKUP(CONCATENATE(LEFT($Q44,2),"L"),$R$63:$T$91,3,FALSE),0)+IF(AND($Q44="O3/CP",$Q$14=A$18),VLOOKUP("O3",$R$63:$T$91,3,FALSE)+VLOOKUP("CP",$R$63:$T$91,3,FALSE),0)+IF(AND($R44&lt;&gt;"",$R44&lt;&gt;"--",$R44&lt;&gt;"O3/CP",$R$14=A$18),IF(LEFT($R44,1)="P",VLOOKUP(CONCATENATE(LEFT($R44,2),"H"),$R$63:$T$91,3,FALSE),VLOOKUP($R44,$R$63:$T$91,3,FALSE)))+IF(AND($R44&lt;&gt;"",$R44&lt;&gt;"O3/CP",$R$15=A$18,MID($R44,4,1)="2",$R$15&lt;&gt;$R$14),VLOOKUP(CONCATENATE(LEFT($R44,2),"L"),$R$63:$T$91,3,FALSE),0)+IF(AND($R44="O3/CP",$R$14=A$18),VLOOKUP("O3",$R$63:$T$91,3,FALSE)+VLOOKUP("CP",$R$63:$T$91,3,FALSE),0)+IF(AND($S44&lt;&gt;"",$S44&lt;&gt;"--",$S44&lt;&gt;"O3/CP",$S$14=A$18),IF(LEFT($S44,1)="P",VLOOKUP(CONCATENATE(LEFT($S44,2),"H"),$R$63:$T$91,3,FALSE),VLOOKUP($S44,$R$63:$T$91,3,FALSE)))+IF(AND($S44&lt;&gt;"",$S44&lt;&gt;"O3/CP",$S$15=A$18,MID($S44,4,1)="2",$S$15&lt;&gt;$S$14),VLOOKUP(CONCATENATE(LEFT($S44,2),"L"),$R$63:$T$91,3,FALSE),0)+IF(AND($S44="O3/CP",$S$14=A$18),VLOOKUP("O3",$R$63:$T$91,3,FALSE)+VLOOKUP("CP",$R$63:$T$91,3,FALSE),0)+IF(AND($T44&lt;&gt;"",$T44&lt;&gt;"--",$T44&lt;&gt;"O3/CP",$T$14=A$18),IF(LEFT($T44,1)="P",VLOOKUP(CONCATENATE(LEFT($T44,2),"H"),$R$63:$T$91,3,FALSE),VLOOKUP($T44,$R$63:$T$91,3,FALSE)))+IF(AND($T44&lt;&gt;"",$T44&lt;&gt;"O3/CP",$T$15=A$18,MID($T44,4,1)="2",$T$15&lt;&gt;$T$14),VLOOKUP(CONCATENATE(LEFT($T44,2),"L"),$R$63:$T$91,3,FALSE),0)+IF(AND($T44="O3/CP",$T$14=A$18),VLOOKUP("O3",$R$63:$T$91,3,FALSE)+VLOOKUP("CP",$R$63:$T$91,3,FALSE),0)+IF(AND($U44&lt;&gt;"",$U44&lt;&gt;"--",$U44&lt;&gt;"O3/CP",$U$14=A$18),IF(LEFT($U44,1)="P",VLOOKUP(CONCATENATE(LEFT($U44,2),"H"),$R$63:$T$91,3,FALSE),VLOOKUP($U44,$R$63:$T$91,3,FALSE)))+IF(AND($U44&lt;&gt;"",$U44&lt;&gt;"O3/CP",$U$15=A$18,MID($U44,4,1)="2",$U$15&lt;&gt;$U$14),VLOOKUP(CONCATENATE(LEFT($U44,2),"L"),$R$63:$T$91,3,FALSE),0)+IF(AND($U44="O3/CP",$T$14=A$18),VLOOKUP("O3",$R$63:$T$91,3,FALSE)+VLOOKUP("CP",$R$63:$T$91,3,FALSE),0)+IF(AND($V44&lt;&gt;"",$V44&lt;&gt;"--",$V44&lt;&gt;"O3/CP",$V$14=A$18),IF(LEFT($V44,1)="P",VLOOKUP(CONCATENATE(LEFT($V44,2),"H"),$R$63:$T$91,3,FALSE),VLOOKUP($V44,$R$63:$T$91,3,FALSE)))+IF(AND($V44&lt;&gt;"",$V44&lt;&gt;"O3/CP",$V$15=A$18,MID($V44,4,1)="2",$V$15&lt;&gt;$V$14),VLOOKUP(CONCATENATE(LEFT($V44,2),"L"),$R$63:$T$91,3,FALSE),0)+IF(AND($V44="O3/CP",$V$14=A$18),VLOOKUP("O3",$R$63:$T$91,3,FALSE)+VLOOKUP("CP",$R$63:$T$91,3,FALSE),0)+IF(AND($W44&lt;&gt;"",$W44&lt;&gt;"--",$W44&lt;&gt;"O3/CP",$W$14=A$18),IF(LEFT($W44,1)="P",VLOOKUP(CONCATENATE(LEFT($W44,2),"H"),$R$63:$T$91,3,FALSE),VLOOKUP($W44,$R$63:$T$91,3,FALSE)))+IF(AND($W44&lt;&gt;"",$W44&lt;&gt;"O3/CP",$W$15=A$18,MID($W44,4,1)="2",$W$15&lt;&gt;$W$14),VLOOKUP(CONCATENATE(LEFT($W44,2),"L"),$R$63:$T$91,3,FALSE),0)+IF(AND($W44="O3/CP",$W$14=A$18),VLOOKUP("O3",$R$63:$T$91,3,FALSE)+VLOOKUP("CP",$R$63:$T$91,3,FALSE),0)+IF(AND($X44&lt;&gt;"",$X44&lt;&gt;"--",$X44&lt;&gt;"O3/CP",$X$14=A$18),IF(LEFT($X44,1)="P",VLOOKUP(CONCATENATE(LEFT($X44,2),"H"),$R$63:$T$91,3,FALSE),VLOOKUP($X44,$R$63:$T$91,3,FALSE)))+IF(AND($X44&lt;&gt;"",$X44&lt;&gt;"O3/CP",$X$15=A$18,MID($X44,4,1)="2",$X$15&lt;&gt;$X$14),VLOOKUP(CONCATENATE(LEFT($X44,2),"L"),$R$63:$T$91,3,FALSE),0)+IF(AND($X44="O3/CP",$X$14=A$18),VLOOKUP("O3",$R$63:$T$91,3,FALSE)+VLOOKUP("CP",$R$63:$T$91,3,FALSE),0)+IF(AND($Y44&lt;&gt;"",$Y44&lt;&gt;"--",$Y44&lt;&gt;"O3/CP",$Y$14=A$18),IF(LEFT($Y44,1)="P",VLOOKUP(CONCATENATE(LEFT($Y44,2),"H"),$R$63:$T$91,3,FALSE),VLOOKUP($Y44,$R$63:$T$91,3,FALSE)))+IF(AND($Y44&lt;&gt;"",$Y44&lt;&gt;"O3/CP",$Y$15=A$18,MID($Y44,4,1)="2",$Y$15&lt;&gt;$Y$14),VLOOKUP(CONCATENATE(LEFT($Y44,2),"L"),$R$63:$T$91,3,FALSE),0)+IF(AND($Y44="O3/CP",$Y$14=A$18),VLOOKUP("O3",$R$63:$T$91,3,FALSE)+VLOOKUP("CP",$R$63:$T$91,3,FALSE),0)+IF(AND($K$6="CE",'[3]Supply Attribution'!$G$20=A$18),LEFT($S$90,2),0)+IF(AND($X$86&lt;&gt;"Not Set",$X$87=A$18),$X$86,0)</f>
        <v>0</v>
      </c>
      <c r="B44" s="269">
        <f>IF(AND($K44&lt;&gt;"",$K44&lt;&gt;"--",$K44&lt;&gt;"O3/CP",$K$14=B$18),IF(LEFT($K44,1)="P",VLOOKUP(CONCATENATE(LEFT($K44,2),"H"),$R$63:$T$91,3,FALSE),VLOOKUP($K44,$R$63:$T$91,3,FALSE)))+IF(AND($K44&lt;&gt;"",$K44&lt;&gt;"O3/CP",$K$15=B$18,MID($K44,4,1)="2",$K$15&lt;&gt;$K$14),VLOOKUP(CONCATENATE(LEFT($K44,2),"L"),$R$63:$T$91,3,FALSE),0)+IF(AND($K44="O3/CP",$K$14=B$18),VLOOKUP("O3",$R$63:$T$91,3,FALSE)+VLOOKUP("CP",$R$63:$T$91,3,FALSE),0)+IF(AND($L44&lt;&gt;"",$L44&lt;&gt;"--",$L44&lt;&gt;"O3/CP",$L$14=B$18),IF(LEFT($L44,1)="P",VLOOKUP(CONCATENATE(LEFT($L44,2),"H"),$R$63:$T$91,3,FALSE),VLOOKUP($L44,$R$63:$T$91,3,FALSE)))+IF(AND($L44&lt;&gt;"",$L44&lt;&gt;"O3/CP",$L$15=B$18,MID($L44,4,1)="2",$L$15&lt;&gt;$L$14),VLOOKUP(CONCATENATE(LEFT($L44,2),"L"),$R$63:$T$91,3,FALSE),0)+IF(AND($L44="O3/CP",$L$14=B$18),VLOOKUP("O3",$R$63:$T$91,3,FALSE)+VLOOKUP("CP",$R$63:$T$91,3,FALSE),0)+IF(AND($M44&lt;&gt;"",$M44&lt;&gt;"--",$M44&lt;&gt;"O3/CP",$M$14=B$18),IF(LEFT($M44,1)="P",VLOOKUP(CONCATENATE(LEFT($M44,2),"H"),$R$63:$T$91,3,FALSE),VLOOKUP($M44,$R$63:$T$91,3,FALSE)))+IF(AND($M44&lt;&gt;"",$M44&lt;&gt;"O3/CP",$M$15=B$18,MID($M44,4,1)="2",$M$15&lt;&gt;$M$14),VLOOKUP(CONCATENATE(LEFT($M44,2),"L"),$R$63:$T$91,3,FALSE),0)+IF(AND($M44="O3/CP",$M$14=B$18),VLOOKUP("O3",$R$63:$T$91,3,FALSE)+VLOOKUP("CP",$R$63:$T$91,3,FALSE),0)+IF(AND($N44&lt;&gt;"",$N44&lt;&gt;"--",$N44&lt;&gt;"O3/CP",$N$14=B$18),IF(LEFT($N44,1)="P",VLOOKUP(CONCATENATE(LEFT($N44,2),"H"),$R$63:$T$91,3,FALSE),VLOOKUP($N44,$R$63:$T$91,3,FALSE)))+IF(AND($N44&lt;&gt;"",$N44&lt;&gt;"O3/CP",$N$15=B$18,MID($N44,4,1)="2",$N$15&lt;&gt;$N$14),VLOOKUP(CONCATENATE(LEFT($N44,2),"L"),$R$63:$T$91,3,FALSE),0)+IF(AND($N44="O3/CP",$N$14=B$18),VLOOKUP("O3",$R$63:$T$91,3,FALSE)+VLOOKUP("CP",$R$63:$T$91,3,FALSE),0)+IF(AND($O44&lt;&gt;"",$O44&lt;&gt;"--",$O44&lt;&gt;"O3/CP",$O$14=B$18),IF(LEFT($O44,1)="P",VLOOKUP(CONCATENATE(LEFT($O44,2),"H"),$R$63:$T$91,3,FALSE),VLOOKUP($O44,$R$63:$T$91,3,FALSE)))+IF(AND($O44&lt;&gt;"",$O44&lt;&gt;"O3/CP",$O$15=B$18,MID($O44,4,1)="2",$O$15&lt;&gt;$O$14),VLOOKUP(CONCATENATE(LEFT($O44,2),"L"),$R$63:$T$91,3,FALSE),0)+IF(AND($O44="O3/CP",$O$14=B$18),VLOOKUP("O3",$R$63:$T$91,3,FALSE)+VLOOKUP("CP",$R$63:$T$91,3,FALSE),0)+IF(AND($P44&lt;&gt;"",$P44&lt;&gt;"--",$P44&lt;&gt;"O3/CP",$P$14=B$18),IF(LEFT($P44,1)="P",VLOOKUP(CONCATENATE(LEFT($P44,2),"H"),$R$63:$T$91,3,FALSE),VLOOKUP($P44,$R$63:$T$91,3,FALSE)))+IF(AND($P44&lt;&gt;"",$P44&lt;&gt;"O3/CP",$P$15=B$18,MID($P44,4,1)="2",$P$15&lt;&gt;$P$14),VLOOKUP(CONCATENATE(LEFT($P44,2),"L"),$R$63:$T$91,3,FALSE),0)+IF(AND($P44="O3/CP",$P$14=B$18),VLOOKUP("O3",$R$63:$T$91,3,FALSE)+VLOOKUP("CP",$R$63:$T$91,3,FALSE),0)+IF(AND($Q44&lt;&gt;"",$Q44&lt;&gt;"--",$Q44&lt;&gt;"O3/CP",$Q$14=B$18),IF(LEFT($Q44,1)="P",VLOOKUP(CONCATENATE(LEFT($Q44,2),"H"),$R$63:$T$91,3,FALSE),VLOOKUP($Q44,$R$63:$T$91,3,FALSE)))+IF(AND($Q44&lt;&gt;"",$Q44&lt;&gt;"O3/CP",$Q$15=B$18,MID($Q44,4,1)="2",$Q$15&lt;&gt;$Q$14),VLOOKUP(CONCATENATE(LEFT($Q44,2),"L"),$R$63:$T$91,3,FALSE),0)+IF(AND($Q44="O3/CP",$Q$14=B$18),VLOOKUP("O3",$R$63:$T$91,3,FALSE)+VLOOKUP("CP",$R$63:$T$91,3,FALSE),0)+IF(AND($R44&lt;&gt;"",$R44&lt;&gt;"--",$R44&lt;&gt;"O3/CP",$R$14=B$18),IF(LEFT($R44,1)="P",VLOOKUP(CONCATENATE(LEFT($R44,2),"H"),$R$63:$T$91,3,FALSE),VLOOKUP($R44,$R$63:$T$91,3,FALSE)))+IF(AND($R44&lt;&gt;"",$R44&lt;&gt;"O3/CP",$R$15=B$18,MID($R44,4,1)="2",$R$15&lt;&gt;$R$14),VLOOKUP(CONCATENATE(LEFT($R44,2),"L"),$R$63:$T$91,3,FALSE),0)+IF(AND($R44="O3/CP",$R$14=B$18),VLOOKUP("O3",$R$63:$T$91,3,FALSE)+VLOOKUP("CP",$R$63:$T$91,3,FALSE),0)+IF(AND($S44&lt;&gt;"",$S44&lt;&gt;"--",$S44&lt;&gt;"O3/CP",$S$14=B$18),IF(LEFT($S44,1)="P",VLOOKUP(CONCATENATE(LEFT($S44,2),"H"),$R$63:$T$91,3,FALSE),VLOOKUP($S44,$R$63:$T$91,3,FALSE)))+IF(AND($S44&lt;&gt;"",$S44&lt;&gt;"O3/CP",$S$15=B$18,MID($S44,4,1)="2",$S$15&lt;&gt;$S$14),VLOOKUP(CONCATENATE(LEFT($S44,2),"L"),$R$63:$T$91,3,FALSE),0)+IF(AND($S44="O3/CP",$S$14=B$18),VLOOKUP("O3",$R$63:$T$91,3,FALSE)+VLOOKUP("CP",$R$63:$T$91,3,FALSE),0)+IF(AND($T44&lt;&gt;"",$T44&lt;&gt;"--",$T44&lt;&gt;"O3/CP",$T$14=B$18),IF(LEFT($T44,1)="P",VLOOKUP(CONCATENATE(LEFT($T44,2),"H"),$R$63:$T$91,3,FALSE),VLOOKUP($T44,$R$63:$T$91,3,FALSE)))+IF(AND($T44&lt;&gt;"",$T44&lt;&gt;"O3/CP",$T$15=B$18,MID($T44,4,1)="2",$T$15&lt;&gt;$T$14),VLOOKUP(CONCATENATE(LEFT($T44,2),"L"),$R$63:$T$91,3,FALSE),0)+IF(AND($T44="O3/CP",$T$14=B$18),VLOOKUP("O3",$R$63:$T$91,3,FALSE)+VLOOKUP("CP",$R$63:$T$91,3,FALSE),0)+IF(AND($U44&lt;&gt;"",$U44&lt;&gt;"--",$U44&lt;&gt;"O3/CP",$U$14=B$18),IF(LEFT($U44,1)="P",VLOOKUP(CONCATENATE(LEFT($U44,2),"H"),$R$63:$T$91,3,FALSE),VLOOKUP($U44,$R$63:$T$91,3,FALSE)))+IF(AND($U44&lt;&gt;"",$U44&lt;&gt;"O3/CP",$U$15=B$18,MID($U44,4,1)="2",$U$15&lt;&gt;$U$14),VLOOKUP(CONCATENATE(LEFT($U44,2),"L"),$R$63:$T$91,3,FALSE),0)+IF(AND($U44="O3/CP",$T$14=B$18),VLOOKUP("O3",$R$63:$T$91,3,FALSE)+VLOOKUP("CP",$R$63:$T$91,3,FALSE),0)+IF(AND($V44&lt;&gt;"",$V44&lt;&gt;"--",$V44&lt;&gt;"O3/CP",$V$14=B$18),IF(LEFT($V44,1)="P",VLOOKUP(CONCATENATE(LEFT($V44,2),"H"),$R$63:$T$91,3,FALSE),VLOOKUP($V44,$R$63:$T$91,3,FALSE)))+IF(AND($V44&lt;&gt;"",$V44&lt;&gt;"O3/CP",$V$15=B$18,MID($V44,4,1)="2",$V$15&lt;&gt;$V$14),VLOOKUP(CONCATENATE(LEFT($V44,2),"L"),$R$63:$T$91,3,FALSE),0)+IF(AND($V44="O3/CP",$V$14=B$18),VLOOKUP("O3",$R$63:$T$91,3,FALSE)+VLOOKUP("CP",$R$63:$T$91,3,FALSE),0)+IF(AND($W44&lt;&gt;"",$W44&lt;&gt;"--",$W44&lt;&gt;"O3/CP",$W$14=B$18),IF(LEFT($W44,1)="P",VLOOKUP(CONCATENATE(LEFT($W44,2),"H"),$R$63:$T$91,3,FALSE),VLOOKUP($W44,$R$63:$T$91,3,FALSE)))+IF(AND($W44&lt;&gt;"",$W44&lt;&gt;"O3/CP",$W$15=B$18,MID($W44,4,1)="2",$W$15&lt;&gt;$W$14),VLOOKUP(CONCATENATE(LEFT($W44,2),"L"),$R$63:$T$91,3,FALSE),0)+IF(AND($W44="O3/CP",$W$14=B$18),VLOOKUP("O3",$R$63:$T$91,3,FALSE)+VLOOKUP("CP",$R$63:$T$91,3,FALSE),0)+IF(AND($X44&lt;&gt;"",$X44&lt;&gt;"--",$X44&lt;&gt;"O3/CP",$X$14=B$18),IF(LEFT($X44,1)="P",VLOOKUP(CONCATENATE(LEFT($X44,2),"H"),$R$63:$T$91,3,FALSE),VLOOKUP($X44,$R$63:$T$91,3,FALSE)))+IF(AND($X44&lt;&gt;"",$X44&lt;&gt;"O3/CP",$X$15=B$18,MID($X44,4,1)="2",$X$15&lt;&gt;$X$14),VLOOKUP(CONCATENATE(LEFT($X44,2),"L"),$R$63:$T$91,3,FALSE),0)+IF(AND($X44="O3/CP",$X$14=B$18),VLOOKUP("O3",$R$63:$T$91,3,FALSE)+VLOOKUP("CP",$R$63:$T$91,3,FALSE),0)+IF(AND($Y44&lt;&gt;"",$Y44&lt;&gt;"--",$Y44&lt;&gt;"O3/CP",$Y$14=B$18),IF(LEFT($Y44,1)="P",VLOOKUP(CONCATENATE(LEFT($Y44,2),"H"),$R$63:$T$91,3,FALSE),VLOOKUP($Y44,$R$63:$T$91,3,FALSE)))+IF(AND($Y44&lt;&gt;"",$Y44&lt;&gt;"O3/CP",$Y$15=B$18,MID($Y44,4,1)="2",$Y$15&lt;&gt;$Y$14),VLOOKUP(CONCATENATE(LEFT($Y44,2),"L"),$R$63:$T$91,3,FALSE),0)+IF(AND($Y44="O3/CP",$Y$14=B$18),VLOOKUP("O3",$R$63:$T$91,3,FALSE)+VLOOKUP("CP",$R$63:$T$91,3,FALSE),0)+IF(AND($K$6="CE",'[3]Supply Attribution'!$G$20=B$18),LEFT($S$90,2),0)+IF(AND($X$86&lt;&gt;"Not Set",$X$87=B$18),$X$86,0)</f>
        <v>0</v>
      </c>
      <c r="C44" s="269">
        <f>IF(AND($K44&lt;&gt;"",$K44&lt;&gt;"--",$K44&lt;&gt;"O3/CP",$K$14=C$18),IF(LEFT($K44,1)="P",VLOOKUP(CONCATENATE(LEFT($K44,2),"H"),$R$63:$T$91,3,FALSE),VLOOKUP($K44,$R$63:$T$91,3,FALSE)))+IF(AND($K44&lt;&gt;"",$K44&lt;&gt;"O3/CP",$K$15=C$18,MID($K44,4,1)="2",$K$15&lt;&gt;$K$14),VLOOKUP(CONCATENATE(LEFT($K44,2),"L"),$R$63:$T$91,3,FALSE),0)+IF(AND($K44="O3/CP",$K$14=C$18),VLOOKUP("O3",$R$63:$T$91,3,FALSE)+VLOOKUP("CP",$R$63:$T$91,3,FALSE),0)+IF(AND($L44&lt;&gt;"",$L44&lt;&gt;"--",$L44&lt;&gt;"O3/CP",$L$14=C$18),IF(LEFT($L44,1)="P",VLOOKUP(CONCATENATE(LEFT($L44,2),"H"),$R$63:$T$91,3,FALSE),VLOOKUP($L44,$R$63:$T$91,3,FALSE)))+IF(AND($L44&lt;&gt;"",$L44&lt;&gt;"O3/CP",$L$15=C$18,MID($L44,4,1)="2",$L$15&lt;&gt;$L$14),VLOOKUP(CONCATENATE(LEFT($L44,2),"L"),$R$63:$T$91,3,FALSE),0)+IF(AND($L44="O3/CP",$L$14=C$18),VLOOKUP("O3",$R$63:$T$91,3,FALSE)+VLOOKUP("CP",$R$63:$T$91,3,FALSE),0)+IF(AND($M44&lt;&gt;"",$M44&lt;&gt;"--",$M44&lt;&gt;"O3/CP",$M$14=C$18),IF(LEFT($M44,1)="P",VLOOKUP(CONCATENATE(LEFT($M44,2),"H"),$R$63:$T$91,3,FALSE),VLOOKUP($M44,$R$63:$T$91,3,FALSE)))+IF(AND($M44&lt;&gt;"",$M44&lt;&gt;"O3/CP",$M$15=C$18,MID($M44,4,1)="2",$M$15&lt;&gt;$M$14),VLOOKUP(CONCATENATE(LEFT($M44,2),"L"),$R$63:$T$91,3,FALSE),0)+IF(AND($M44="O3/CP",$M$14=C$18),VLOOKUP("O3",$R$63:$T$91,3,FALSE)+VLOOKUP("CP",$R$63:$T$91,3,FALSE),0)+IF(AND($N44&lt;&gt;"",$N44&lt;&gt;"--",$N44&lt;&gt;"O3/CP",$N$14=C$18),IF(LEFT($N44,1)="P",VLOOKUP(CONCATENATE(LEFT($N44,2),"H"),$R$63:$T$91,3,FALSE),VLOOKUP($N44,$R$63:$T$91,3,FALSE)))+IF(AND($N44&lt;&gt;"",$N44&lt;&gt;"O3/CP",$N$15=C$18,MID($N44,4,1)="2",$N$15&lt;&gt;$N$14),VLOOKUP(CONCATENATE(LEFT($N44,2),"L"),$R$63:$T$91,3,FALSE),0)+IF(AND($N44="O3/CP",$N$14=C$18),VLOOKUP("O3",$R$63:$T$91,3,FALSE)+VLOOKUP("CP",$R$63:$T$91,3,FALSE),0)+IF(AND($O44&lt;&gt;"",$O44&lt;&gt;"--",$O44&lt;&gt;"O3/CP",$O$14=C$18),IF(LEFT($O44,1)="P",VLOOKUP(CONCATENATE(LEFT($O44,2),"H"),$R$63:$T$91,3,FALSE),VLOOKUP($O44,$R$63:$T$91,3,FALSE)))+IF(AND($O44&lt;&gt;"",$O44&lt;&gt;"O3/CP",$O$15=C$18,MID($O44,4,1)="2",$O$15&lt;&gt;$O$14),VLOOKUP(CONCATENATE(LEFT($O44,2),"L"),$R$63:$T$91,3,FALSE),0)+IF(AND($O44="O3/CP",$O$14=C$18),VLOOKUP("O3",$R$63:$T$91,3,FALSE)+VLOOKUP("CP",$R$63:$T$91,3,FALSE),0)+IF(AND($P44&lt;&gt;"",$P44&lt;&gt;"--",$P44&lt;&gt;"O3/CP",$P$14=C$18),IF(LEFT($P44,1)="P",VLOOKUP(CONCATENATE(LEFT($P44,2),"H"),$R$63:$T$91,3,FALSE),VLOOKUP($P44,$R$63:$T$91,3,FALSE)))+IF(AND($P44&lt;&gt;"",$P44&lt;&gt;"O3/CP",$P$15=C$18,MID($P44,4,1)="2",$P$15&lt;&gt;$P$14),VLOOKUP(CONCATENATE(LEFT($P44,2),"L"),$R$63:$T$91,3,FALSE),0)+IF(AND($P44="O3/CP",$P$14=C$18),VLOOKUP("O3",$R$63:$T$91,3,FALSE)+VLOOKUP("CP",$R$63:$T$91,3,FALSE),0)+IF(AND($Q44&lt;&gt;"",$Q44&lt;&gt;"--",$Q44&lt;&gt;"O3/CP",$Q$14=C$18),IF(LEFT($Q44,1)="P",VLOOKUP(CONCATENATE(LEFT($Q44,2),"H"),$R$63:$T$91,3,FALSE),VLOOKUP($Q44,$R$63:$T$91,3,FALSE)))+IF(AND($Q44&lt;&gt;"",$Q44&lt;&gt;"O3/CP",$Q$15=C$18,MID($Q44,4,1)="2",$Q$15&lt;&gt;$Q$14),VLOOKUP(CONCATENATE(LEFT($Q44,2),"L"),$R$63:$T$91,3,FALSE),0)+IF(AND($Q44="O3/CP",$Q$14=C$18),VLOOKUP("O3",$R$63:$T$91,3,FALSE)+VLOOKUP("CP",$R$63:$T$91,3,FALSE),0)+IF(AND($R44&lt;&gt;"",$R44&lt;&gt;"--",$R44&lt;&gt;"O3/CP",$R$14=C$18),IF(LEFT($R44,1)="P",VLOOKUP(CONCATENATE(LEFT($R44,2),"H"),$R$63:$T$91,3,FALSE),VLOOKUP($R44,$R$63:$T$91,3,FALSE)))+IF(AND($R44&lt;&gt;"",$R44&lt;&gt;"O3/CP",$R$15=C$18,MID($R44,4,1)="2",$R$15&lt;&gt;$R$14),VLOOKUP(CONCATENATE(LEFT($R44,2),"L"),$R$63:$T$91,3,FALSE),0)+IF(AND($R44="O3/CP",$R$14=C$18),VLOOKUP("O3",$R$63:$T$91,3,FALSE)+VLOOKUP("CP",$R$63:$T$91,3,FALSE),0)+IF(AND($S44&lt;&gt;"",$S44&lt;&gt;"--",$S44&lt;&gt;"O3/CP",$S$14=C$18),IF(LEFT($S44,1)="P",VLOOKUP(CONCATENATE(LEFT($S44,2),"H"),$R$63:$T$91,3,FALSE),VLOOKUP($S44,$R$63:$T$91,3,FALSE)))+IF(AND($S44&lt;&gt;"",$S44&lt;&gt;"O3/CP",$S$15=C$18,MID($S44,4,1)="2",$S$15&lt;&gt;$S$14),VLOOKUP(CONCATENATE(LEFT($S44,2),"L"),$R$63:$T$91,3,FALSE),0)+IF(AND($S44="O3/CP",$S$14=C$18),VLOOKUP("O3",$R$63:$T$91,3,FALSE)+VLOOKUP("CP",$R$63:$T$91,3,FALSE),0)+IF(AND($T44&lt;&gt;"",$T44&lt;&gt;"--",$T44&lt;&gt;"O3/CP",$T$14=C$18),IF(LEFT($T44,1)="P",VLOOKUP(CONCATENATE(LEFT($T44,2),"H"),$R$63:$T$91,3,FALSE),VLOOKUP($T44,$R$63:$T$91,3,FALSE)))+IF(AND($T44&lt;&gt;"",$T44&lt;&gt;"O3/CP",$T$15=C$18,MID($T44,4,1)="2",$T$15&lt;&gt;$T$14),VLOOKUP(CONCATENATE(LEFT($T44,2),"L"),$R$63:$T$91,3,FALSE),0)+IF(AND($T44="O3/CP",$T$14=C$18),VLOOKUP("O3",$R$63:$T$91,3,FALSE)+VLOOKUP("CP",$R$63:$T$91,3,FALSE),0)+IF(AND($U44&lt;&gt;"",$U44&lt;&gt;"--",$U44&lt;&gt;"O3/CP",$U$14=C$18),IF(LEFT($U44,1)="P",VLOOKUP(CONCATENATE(LEFT($U44,2),"H"),$R$63:$T$91,3,FALSE),VLOOKUP($U44,$R$63:$T$91,3,FALSE)))+IF(AND($U44&lt;&gt;"",$U44&lt;&gt;"O3/CP",$U$15=C$18,MID($U44,4,1)="2",$U$15&lt;&gt;$U$14),VLOOKUP(CONCATENATE(LEFT($U44,2),"L"),$R$63:$T$91,3,FALSE),0)+IF(AND($U44="O3/CP",$T$14=C$18),VLOOKUP("O3",$R$63:$T$91,3,FALSE)+VLOOKUP("CP",$R$63:$T$91,3,FALSE),0)+IF(AND($V44&lt;&gt;"",$V44&lt;&gt;"--",$V44&lt;&gt;"O3/CP",$V$14=C$18),IF(LEFT($V44,1)="P",VLOOKUP(CONCATENATE(LEFT($V44,2),"H"),$R$63:$T$91,3,FALSE),VLOOKUP($V44,$R$63:$T$91,3,FALSE)))+IF(AND($V44&lt;&gt;"",$V44&lt;&gt;"O3/CP",$V$15=C$18,MID($V44,4,1)="2",$V$15&lt;&gt;$V$14),VLOOKUP(CONCATENATE(LEFT($V44,2),"L"),$R$63:$T$91,3,FALSE),0)+IF(AND($V44="O3/CP",$V$14=C$18),VLOOKUP("O3",$R$63:$T$91,3,FALSE)+VLOOKUP("CP",$R$63:$T$91,3,FALSE),0)+IF(AND($W44&lt;&gt;"",$W44&lt;&gt;"--",$W44&lt;&gt;"O3/CP",$W$14=C$18),IF(LEFT($W44,1)="P",VLOOKUP(CONCATENATE(LEFT($W44,2),"H"),$R$63:$T$91,3,FALSE),VLOOKUP($W44,$R$63:$T$91,3,FALSE)))+IF(AND($W44&lt;&gt;"",$W44&lt;&gt;"O3/CP",$W$15=C$18,MID($W44,4,1)="2",$W$15&lt;&gt;$W$14),VLOOKUP(CONCATENATE(LEFT($W44,2),"L"),$R$63:$T$91,3,FALSE),0)+IF(AND($W44="O3/CP",$W$14=C$18),VLOOKUP("O3",$R$63:$T$91,3,FALSE)+VLOOKUP("CP",$R$63:$T$91,3,FALSE),0)+IF(AND($X44&lt;&gt;"",$X44&lt;&gt;"--",$X44&lt;&gt;"O3/CP",$X$14=C$18),IF(LEFT($X44,1)="P",VLOOKUP(CONCATENATE(LEFT($X44,2),"H"),$R$63:$T$91,3,FALSE),VLOOKUP($X44,$R$63:$T$91,3,FALSE)))+IF(AND($X44&lt;&gt;"",$X44&lt;&gt;"O3/CP",$X$15=C$18,MID($X44,4,1)="2",$X$15&lt;&gt;$X$14),VLOOKUP(CONCATENATE(LEFT($X44,2),"L"),$R$63:$T$91,3,FALSE),0)+IF(AND($X44="O3/CP",$X$14=C$18),VLOOKUP("O3",$R$63:$T$91,3,FALSE)+VLOOKUP("CP",$R$63:$T$91,3,FALSE),0)+IF(AND($Y44&lt;&gt;"",$Y44&lt;&gt;"--",$Y44&lt;&gt;"O3/CP",$Y$14=C$18),IF(LEFT($Y44,1)="P",VLOOKUP(CONCATENATE(LEFT($Y44,2),"H"),$R$63:$T$91,3,FALSE),VLOOKUP($Y44,$R$63:$T$91,3,FALSE)))+IF(AND($Y44&lt;&gt;"",$Y44&lt;&gt;"O3/CP",$Y$15=C$18,MID($Y44,4,1)="2",$Y$15&lt;&gt;$Y$14),VLOOKUP(CONCATENATE(LEFT($Y44,2),"L"),$R$63:$T$91,3,FALSE),0)+IF(AND($Y44="O3/CP",$Y$14=C$18),VLOOKUP("O3",$R$63:$T$91,3,FALSE)+VLOOKUP("CP",$R$63:$T$91,3,FALSE),0)+IF(AND($K$6="CE",'[3]Supply Attribution'!$G$20=C$18),LEFT($S$90,2),0)+IF(AND($X$86&lt;&gt;"Not Set",$X$87=C$18),$X$86,0)</f>
        <v>0</v>
      </c>
      <c r="D44" s="269">
        <f>IF(AND($K44&lt;&gt;"",$K44&lt;&gt;"--",$K44&lt;&gt;"O3/CP",$K$14=D$18),IF(LEFT($K44,1)="P",VLOOKUP(CONCATENATE(LEFT($K44,2),"H"),$R$63:$T$91,3,FALSE),VLOOKUP($K44,$R$63:$T$91,3,FALSE)))+IF(AND($K44&lt;&gt;"",$K44&lt;&gt;"O3/CP",$K$15=D$18,MID($K44,4,1)="2",$K$15&lt;&gt;$K$14),VLOOKUP(CONCATENATE(LEFT($K44,2),"L"),$R$63:$T$91,3,FALSE),0)+IF(AND($K44="O3/CP",$K$14=D$18),VLOOKUP("O3",$R$63:$T$91,3,FALSE)+VLOOKUP("CP",$R$63:$T$91,3,FALSE),0)+IF(AND($L44&lt;&gt;"",$L44&lt;&gt;"--",$L44&lt;&gt;"O3/CP",$L$14=D$18),IF(LEFT($L44,1)="P",VLOOKUP(CONCATENATE(LEFT($L44,2),"H"),$R$63:$T$91,3,FALSE),VLOOKUP($L44,$R$63:$T$91,3,FALSE)))+IF(AND($L44&lt;&gt;"",$L44&lt;&gt;"O3/CP",$L$15=D$18,MID($L44,4,1)="2",$L$15&lt;&gt;$L$14),VLOOKUP(CONCATENATE(LEFT($L44,2),"L"),$R$63:$T$91,3,FALSE),0)+IF(AND($L44="O3/CP",$L$14=D$18),VLOOKUP("O3",$R$63:$T$91,3,FALSE)+VLOOKUP("CP",$R$63:$T$91,3,FALSE),0)+IF(AND($M44&lt;&gt;"",$M44&lt;&gt;"--",$M44&lt;&gt;"O3/CP",$M$14=D$18),IF(LEFT($M44,1)="P",VLOOKUP(CONCATENATE(LEFT($M44,2),"H"),$R$63:$T$91,3,FALSE),VLOOKUP($M44,$R$63:$T$91,3,FALSE)))+IF(AND($M44&lt;&gt;"",$M44&lt;&gt;"O3/CP",$M$15=D$18,MID($M44,4,1)="2",$M$15&lt;&gt;$M$14),VLOOKUP(CONCATENATE(LEFT($M44,2),"L"),$R$63:$T$91,3,FALSE),0)+IF(AND($M44="O3/CP",$M$14=D$18),VLOOKUP("O3",$R$63:$T$91,3,FALSE)+VLOOKUP("CP",$R$63:$T$91,3,FALSE),0)+IF(AND($N44&lt;&gt;"",$N44&lt;&gt;"--",$N44&lt;&gt;"O3/CP",$N$14=D$18),IF(LEFT($N44,1)="P",VLOOKUP(CONCATENATE(LEFT($N44,2),"H"),$R$63:$T$91,3,FALSE),VLOOKUP($N44,$R$63:$T$91,3,FALSE)))+IF(AND($N44&lt;&gt;"",$N44&lt;&gt;"O3/CP",$N$15=D$18,MID($N44,4,1)="2",$N$15&lt;&gt;$N$14),VLOOKUP(CONCATENATE(LEFT($N44,2),"L"),$R$63:$T$91,3,FALSE),0)+IF(AND($N44="O3/CP",$N$14=D$18),VLOOKUP("O3",$R$63:$T$91,3,FALSE)+VLOOKUP("CP",$R$63:$T$91,3,FALSE),0)+IF(AND($O44&lt;&gt;"",$O44&lt;&gt;"--",$O44&lt;&gt;"O3/CP",$O$14=D$18),IF(LEFT($O44,1)="P",VLOOKUP(CONCATENATE(LEFT($O44,2),"H"),$R$63:$T$91,3,FALSE),VLOOKUP($O44,$R$63:$T$91,3,FALSE)))+IF(AND($O44&lt;&gt;"",$O44&lt;&gt;"O3/CP",$O$15=D$18,MID($O44,4,1)="2",$O$15&lt;&gt;$O$14),VLOOKUP(CONCATENATE(LEFT($O44,2),"L"),$R$63:$T$91,3,FALSE),0)+IF(AND($O44="O3/CP",$O$14=D$18),VLOOKUP("O3",$R$63:$T$91,3,FALSE)+VLOOKUP("CP",$R$63:$T$91,3,FALSE),0)+IF(AND($P44&lt;&gt;"",$P44&lt;&gt;"--",$P44&lt;&gt;"O3/CP",$P$14=D$18),IF(LEFT($P44,1)="P",VLOOKUP(CONCATENATE(LEFT($P44,2),"H"),$R$63:$T$91,3,FALSE),VLOOKUP($P44,$R$63:$T$91,3,FALSE)))+IF(AND($P44&lt;&gt;"",$P44&lt;&gt;"O3/CP",$P$15=D$18,MID($P44,4,1)="2",$P$15&lt;&gt;$P$14),VLOOKUP(CONCATENATE(LEFT($P44,2),"L"),$R$63:$T$91,3,FALSE),0)+IF(AND($P44="O3/CP",$P$14=D$18),VLOOKUP("O3",$R$63:$T$91,3,FALSE)+VLOOKUP("CP",$R$63:$T$91,3,FALSE),0)+IF(AND($Q44&lt;&gt;"",$Q44&lt;&gt;"--",$Q44&lt;&gt;"O3/CP",$Q$14=D$18),IF(LEFT($Q44,1)="P",VLOOKUP(CONCATENATE(LEFT($Q44,2),"H"),$R$63:$T$91,3,FALSE),VLOOKUP($Q44,$R$63:$T$91,3,FALSE)))+IF(AND($Q44&lt;&gt;"",$Q44&lt;&gt;"O3/CP",$Q$15=D$18,MID($Q44,4,1)="2",$Q$15&lt;&gt;$Q$14),VLOOKUP(CONCATENATE(LEFT($Q44,2),"L"),$R$63:$T$91,3,FALSE),0)+IF(AND($Q44="O3/CP",$Q$14=D$18),VLOOKUP("O3",$R$63:$T$91,3,FALSE)+VLOOKUP("CP",$R$63:$T$91,3,FALSE),0)+IF(AND($R44&lt;&gt;"",$R44&lt;&gt;"--",$R44&lt;&gt;"O3/CP",$R$14=D$18),IF(LEFT($R44,1)="P",VLOOKUP(CONCATENATE(LEFT($R44,2),"H"),$R$63:$T$91,3,FALSE),VLOOKUP($R44,$R$63:$T$91,3,FALSE)))+IF(AND($R44&lt;&gt;"",$R44&lt;&gt;"O3/CP",$R$15=D$18,MID($R44,4,1)="2",$R$15&lt;&gt;$R$14),VLOOKUP(CONCATENATE(LEFT($R44,2),"L"),$R$63:$T$91,3,FALSE),0)+IF(AND($R44="O3/CP",$R$14=D$18),VLOOKUP("O3",$R$63:$T$91,3,FALSE)+VLOOKUP("CP",$R$63:$T$91,3,FALSE),0)+IF(AND($S44&lt;&gt;"",$S44&lt;&gt;"--",$S44&lt;&gt;"O3/CP",$S$14=D$18),IF(LEFT($S44,1)="P",VLOOKUP(CONCATENATE(LEFT($S44,2),"H"),$R$63:$T$91,3,FALSE),VLOOKUP($S44,$R$63:$T$91,3,FALSE)))+IF(AND($S44&lt;&gt;"",$S44&lt;&gt;"O3/CP",$S$15=D$18,MID($S44,4,1)="2",$S$15&lt;&gt;$S$14),VLOOKUP(CONCATENATE(LEFT($S44,2),"L"),$R$63:$T$91,3,FALSE),0)+IF(AND($S44="O3/CP",$S$14=D$18),VLOOKUP("O3",$R$63:$T$91,3,FALSE)+VLOOKUP("CP",$R$63:$T$91,3,FALSE),0)+IF(AND($T44&lt;&gt;"",$T44&lt;&gt;"--",$T44&lt;&gt;"O3/CP",$T$14=D$18),IF(LEFT($T44,1)="P",VLOOKUP(CONCATENATE(LEFT($T44,2),"H"),$R$63:$T$91,3,FALSE),VLOOKUP($T44,$R$63:$T$91,3,FALSE)))+IF(AND($T44&lt;&gt;"",$T44&lt;&gt;"O3/CP",$T$15=D$18,MID($T44,4,1)="2",$T$15&lt;&gt;$T$14),VLOOKUP(CONCATENATE(LEFT($T44,2),"L"),$R$63:$T$91,3,FALSE),0)+IF(AND($T44="O3/CP",$T$14=D$18),VLOOKUP("O3",$R$63:$T$91,3,FALSE)+VLOOKUP("CP",$R$63:$T$91,3,FALSE),0)+IF(AND($U44&lt;&gt;"",$U44&lt;&gt;"--",$U44&lt;&gt;"O3/CP",$U$14=D$18),IF(LEFT($U44,1)="P",VLOOKUP(CONCATENATE(LEFT($U44,2),"H"),$R$63:$T$91,3,FALSE),VLOOKUP($U44,$R$63:$T$91,3,FALSE)))+IF(AND($U44&lt;&gt;"",$U44&lt;&gt;"O3/CP",$U$15=D$18,MID($U44,4,1)="2",$U$15&lt;&gt;$U$14),VLOOKUP(CONCATENATE(LEFT($U44,2),"L"),$R$63:$T$91,3,FALSE),0)+IF(AND($U44="O3/CP",$T$14=D$18),VLOOKUP("O3",$R$63:$T$91,3,FALSE)+VLOOKUP("CP",$R$63:$T$91,3,FALSE),0)+IF(AND($V44&lt;&gt;"",$V44&lt;&gt;"--",$V44&lt;&gt;"O3/CP",$V$14=D$18),IF(LEFT($V44,1)="P",VLOOKUP(CONCATENATE(LEFT($V44,2),"H"),$R$63:$T$91,3,FALSE),VLOOKUP($V44,$R$63:$T$91,3,FALSE)))+IF(AND($V44&lt;&gt;"",$V44&lt;&gt;"O3/CP",$V$15=D$18,MID($V44,4,1)="2",$V$15&lt;&gt;$V$14),VLOOKUP(CONCATENATE(LEFT($V44,2),"L"),$R$63:$T$91,3,FALSE),0)+IF(AND($V44="O3/CP",$V$14=D$18),VLOOKUP("O3",$R$63:$T$91,3,FALSE)+VLOOKUP("CP",$R$63:$T$91,3,FALSE),0)+IF(AND($W44&lt;&gt;"",$W44&lt;&gt;"--",$W44&lt;&gt;"O3/CP",$W$14=D$18),IF(LEFT($W44,1)="P",VLOOKUP(CONCATENATE(LEFT($W44,2),"H"),$R$63:$T$91,3,FALSE),VLOOKUP($W44,$R$63:$T$91,3,FALSE)))+IF(AND($W44&lt;&gt;"",$W44&lt;&gt;"O3/CP",$W$15=D$18,MID($W44,4,1)="2",$W$15&lt;&gt;$W$14),VLOOKUP(CONCATENATE(LEFT($W44,2),"L"),$R$63:$T$91,3,FALSE),0)+IF(AND($W44="O3/CP",$W$14=D$18),VLOOKUP("O3",$R$63:$T$91,3,FALSE)+VLOOKUP("CP",$R$63:$T$91,3,FALSE),0)+IF(AND($X44&lt;&gt;"",$X44&lt;&gt;"--",$X44&lt;&gt;"O3/CP",$X$14=D$18),IF(LEFT($X44,1)="P",VLOOKUP(CONCATENATE(LEFT($X44,2),"H"),$R$63:$T$91,3,FALSE),VLOOKUP($X44,$R$63:$T$91,3,FALSE)))+IF(AND($X44&lt;&gt;"",$X44&lt;&gt;"O3/CP",$X$15=D$18,MID($X44,4,1)="2",$X$15&lt;&gt;$X$14),VLOOKUP(CONCATENATE(LEFT($X44,2),"L"),$R$63:$T$91,3,FALSE),0)+IF(AND($X44="O3/CP",$X$14=D$18),VLOOKUP("O3",$R$63:$T$91,3,FALSE)+VLOOKUP("CP",$R$63:$T$91,3,FALSE),0)+IF(AND($Y44&lt;&gt;"",$Y44&lt;&gt;"--",$Y44&lt;&gt;"O3/CP",$Y$14=D$18),IF(LEFT($Y44,1)="P",VLOOKUP(CONCATENATE(LEFT($Y44,2),"H"),$R$63:$T$91,3,FALSE),VLOOKUP($Y44,$R$63:$T$91,3,FALSE)))+IF(AND($Y44&lt;&gt;"",$Y44&lt;&gt;"O3/CP",$Y$15=D$18,MID($Y44,4,1)="2",$Y$15&lt;&gt;$Y$14),VLOOKUP(CONCATENATE(LEFT($Y44,2),"L"),$R$63:$T$91,3,FALSE),0)+IF(AND($Y44="O3/CP",$Y$14=D$18),VLOOKUP("O3",$R$63:$T$91,3,FALSE)+VLOOKUP("CP",$R$63:$T$91,3,FALSE),0)+IF(AND($K$6="CE",'[3]Supply Attribution'!$G$20=D$18),LEFT($S$90,2),0)+IF(AND($X$86&lt;&gt;"Not Set",$X$87=D$18),$X$86,0)</f>
        <v>0</v>
      </c>
      <c r="E44" s="269">
        <f>IF(AND($K44&lt;&gt;"",$K44&lt;&gt;"--",$K44&lt;&gt;"O3/CP",$K$14=E$18),IF(LEFT($K44,1)="P",VLOOKUP(CONCATENATE(LEFT($K44,2),"H"),$R$63:$T$91,3,FALSE),VLOOKUP($K44,$R$63:$T$91,3,FALSE)))+IF(AND($K44&lt;&gt;"",$K44&lt;&gt;"O3/CP",$K$15=E$18,MID($K44,4,1)="2",$K$15&lt;&gt;$K$14),VLOOKUP(CONCATENATE(LEFT($K44,2),"L"),$R$63:$T$91,3,FALSE),0)+IF(AND($K44="O3/CP",$K$14=E$18),VLOOKUP("O3",$R$63:$T$91,3,FALSE)+VLOOKUP("CP",$R$63:$T$91,3,FALSE),0)+IF(AND($L44&lt;&gt;"",$L44&lt;&gt;"--",$L44&lt;&gt;"O3/CP",$L$14=E$18),IF(LEFT($L44,1)="P",VLOOKUP(CONCATENATE(LEFT($L44,2),"H"),$R$63:$T$91,3,FALSE),VLOOKUP($L44,$R$63:$T$91,3,FALSE)))+IF(AND($L44&lt;&gt;"",$L44&lt;&gt;"O3/CP",$L$15=E$18,MID($L44,4,1)="2",$L$15&lt;&gt;$L$14),VLOOKUP(CONCATENATE(LEFT($L44,2),"L"),$R$63:$T$91,3,FALSE),0)+IF(AND($L44="O3/CP",$L$14=E$18),VLOOKUP("O3",$R$63:$T$91,3,FALSE)+VLOOKUP("CP",$R$63:$T$91,3,FALSE),0)+IF(AND($M44&lt;&gt;"",$M44&lt;&gt;"--",$M44&lt;&gt;"O3/CP",$M$14=E$18),IF(LEFT($M44,1)="P",VLOOKUP(CONCATENATE(LEFT($M44,2),"H"),$R$63:$T$91,3,FALSE),VLOOKUP($M44,$R$63:$T$91,3,FALSE)))+IF(AND($M44&lt;&gt;"",$M44&lt;&gt;"O3/CP",$M$15=E$18,MID($M44,4,1)="2",$M$15&lt;&gt;$M$14),VLOOKUP(CONCATENATE(LEFT($M44,2),"L"),$R$63:$T$91,3,FALSE),0)+IF(AND($M44="O3/CP",$M$14=E$18),VLOOKUP("O3",$R$63:$T$91,3,FALSE)+VLOOKUP("CP",$R$63:$T$91,3,FALSE),0)+IF(AND($N44&lt;&gt;"",$N44&lt;&gt;"--",$N44&lt;&gt;"O3/CP",$N$14=E$18),IF(LEFT($N44,1)="P",VLOOKUP(CONCATENATE(LEFT($N44,2),"H"),$R$63:$T$91,3,FALSE),VLOOKUP($N44,$R$63:$T$91,3,FALSE)))+IF(AND($N44&lt;&gt;"",$N44&lt;&gt;"O3/CP",$N$15=E$18,MID($N44,4,1)="2",$N$15&lt;&gt;$N$14),VLOOKUP(CONCATENATE(LEFT($N44,2),"L"),$R$63:$T$91,3,FALSE),0)+IF(AND($N44="O3/CP",$N$14=E$18),VLOOKUP("O3",$R$63:$T$91,3,FALSE)+VLOOKUP("CP",$R$63:$T$91,3,FALSE),0)+IF(AND($O44&lt;&gt;"",$O44&lt;&gt;"--",$O44&lt;&gt;"O3/CP",$O$14=E$18),IF(LEFT($O44,1)="P",VLOOKUP(CONCATENATE(LEFT($O44,2),"H"),$R$63:$T$91,3,FALSE),VLOOKUP($O44,$R$63:$T$91,3,FALSE)))+IF(AND($O44&lt;&gt;"",$O44&lt;&gt;"O3/CP",$O$15=E$18,MID($O44,4,1)="2",$O$15&lt;&gt;$O$14),VLOOKUP(CONCATENATE(LEFT($O44,2),"L"),$R$63:$T$91,3,FALSE),0)+IF(AND($O44="O3/CP",$O$14=E$18),VLOOKUP("O3",$R$63:$T$91,3,FALSE)+VLOOKUP("CP",$R$63:$T$91,3,FALSE),0)+IF(AND($P44&lt;&gt;"",$P44&lt;&gt;"--",$P44&lt;&gt;"O3/CP",$P$14=E$18),IF(LEFT($P44,1)="P",VLOOKUP(CONCATENATE(LEFT($P44,2),"H"),$R$63:$T$91,3,FALSE),VLOOKUP($P44,$R$63:$T$91,3,FALSE)))+IF(AND($P44&lt;&gt;"",$P44&lt;&gt;"O3/CP",$P$15=E$18,MID($P44,4,1)="2",$P$15&lt;&gt;$P$14),VLOOKUP(CONCATENATE(LEFT($P44,2),"L"),$R$63:$T$91,3,FALSE),0)+IF(AND($P44="O3/CP",$P$14=E$18),VLOOKUP("O3",$R$63:$T$91,3,FALSE)+VLOOKUP("CP",$R$63:$T$91,3,FALSE),0)+IF(AND($Q44&lt;&gt;"",$Q44&lt;&gt;"--",$Q44&lt;&gt;"O3/CP",$Q$14=E$18),IF(LEFT($Q44,1)="P",VLOOKUP(CONCATENATE(LEFT($Q44,2),"H"),$R$63:$T$91,3,FALSE),VLOOKUP($Q44,$R$63:$T$91,3,FALSE)))+IF(AND($Q44&lt;&gt;"",$Q44&lt;&gt;"O3/CP",$Q$15=E$18,MID($Q44,4,1)="2",$Q$15&lt;&gt;$Q$14),VLOOKUP(CONCATENATE(LEFT($Q44,2),"L"),$R$63:$T$91,3,FALSE),0)+IF(AND($Q44="O3/CP",$Q$14=E$18),VLOOKUP("O3",$R$63:$T$91,3,FALSE)+VLOOKUP("CP",$R$63:$T$91,3,FALSE),0)+IF(AND($R44&lt;&gt;"",$R44&lt;&gt;"--",$R44&lt;&gt;"O3/CP",$R$14=E$18),IF(LEFT($R44,1)="P",VLOOKUP(CONCATENATE(LEFT($R44,2),"H"),$R$63:$T$91,3,FALSE),VLOOKUP($R44,$R$63:$T$91,3,FALSE)))+IF(AND($R44&lt;&gt;"",$R44&lt;&gt;"O3/CP",$R$15=E$18,MID($R44,4,1)="2",$R$15&lt;&gt;$R$14),VLOOKUP(CONCATENATE(LEFT($R44,2),"L"),$R$63:$T$91,3,FALSE),0)+IF(AND($R44="O3/CP",$R$14=E$18),VLOOKUP("O3",$R$63:$T$91,3,FALSE)+VLOOKUP("CP",$R$63:$T$91,3,FALSE),0)+IF(AND($S44&lt;&gt;"",$S44&lt;&gt;"--",$S44&lt;&gt;"O3/CP",$S$14=E$18),IF(LEFT($S44,1)="P",VLOOKUP(CONCATENATE(LEFT($S44,2),"H"),$R$63:$T$91,3,FALSE),VLOOKUP($S44,$R$63:$T$91,3,FALSE)))+IF(AND($S44&lt;&gt;"",$S44&lt;&gt;"O3/CP",$S$15=E$18,MID($S44,4,1)="2",$S$15&lt;&gt;$S$14),VLOOKUP(CONCATENATE(LEFT($S44,2),"L"),$R$63:$T$91,3,FALSE),0)+IF(AND($S44="O3/CP",$S$14=E$18),VLOOKUP("O3",$R$63:$T$91,3,FALSE)+VLOOKUP("CP",$R$63:$T$91,3,FALSE),0)+IF(AND($T44&lt;&gt;"",$T44&lt;&gt;"--",$T44&lt;&gt;"O3/CP",$T$14=E$18),IF(LEFT($T44,1)="P",VLOOKUP(CONCATENATE(LEFT($T44,2),"H"),$R$63:$T$91,3,FALSE),VLOOKUP($T44,$R$63:$T$91,3,FALSE)))+IF(AND($T44&lt;&gt;"",$T44&lt;&gt;"O3/CP",$T$15=E$18,MID($T44,4,1)="2",$T$15&lt;&gt;$T$14),VLOOKUP(CONCATENATE(LEFT($T44,2),"L"),$R$63:$T$91,3,FALSE),0)+IF(AND($T44="O3/CP",$T$14=E$18),VLOOKUP("O3",$R$63:$T$91,3,FALSE)+VLOOKUP("CP",$R$63:$T$91,3,FALSE),0)+IF(AND($U44&lt;&gt;"",$U44&lt;&gt;"--",$U44&lt;&gt;"O3/CP",$U$14=E$18),IF(LEFT($U44,1)="P",VLOOKUP(CONCATENATE(LEFT($U44,2),"H"),$R$63:$T$91,3,FALSE),VLOOKUP($U44,$R$63:$T$91,3,FALSE)))+IF(AND($U44&lt;&gt;"",$U44&lt;&gt;"O3/CP",$U$15=E$18,MID($U44,4,1)="2",$U$15&lt;&gt;$U$14),VLOOKUP(CONCATENATE(LEFT($U44,2),"L"),$R$63:$T$91,3,FALSE),0)+IF(AND($U44="O3/CP",$T$14=E$18),VLOOKUP("O3",$R$63:$T$91,3,FALSE)+VLOOKUP("CP",$R$63:$T$91,3,FALSE),0)+IF(AND($V44&lt;&gt;"",$V44&lt;&gt;"--",$V44&lt;&gt;"O3/CP",$V$14=E$18),IF(LEFT($V44,1)="P",VLOOKUP(CONCATENATE(LEFT($V44,2),"H"),$R$63:$T$91,3,FALSE),VLOOKUP($V44,$R$63:$T$91,3,FALSE)))+IF(AND($V44&lt;&gt;"",$V44&lt;&gt;"O3/CP",$V$15=E$18,MID($V44,4,1)="2",$V$15&lt;&gt;$V$14),VLOOKUP(CONCATENATE(LEFT($V44,2),"L"),$R$63:$T$91,3,FALSE),0)+IF(AND($V44="O3/CP",$V$14=E$18),VLOOKUP("O3",$R$63:$T$91,3,FALSE)+VLOOKUP("CP",$R$63:$T$91,3,FALSE),0)+IF(AND($W44&lt;&gt;"",$W44&lt;&gt;"--",$W44&lt;&gt;"O3/CP",$W$14=E$18),IF(LEFT($W44,1)="P",VLOOKUP(CONCATENATE(LEFT($W44,2),"H"),$R$63:$T$91,3,FALSE),VLOOKUP($W44,$R$63:$T$91,3,FALSE)))+IF(AND($W44&lt;&gt;"",$W44&lt;&gt;"O3/CP",$W$15=E$18,MID($W44,4,1)="2",$W$15&lt;&gt;$W$14),VLOOKUP(CONCATENATE(LEFT($W44,2),"L"),$R$63:$T$91,3,FALSE),0)+IF(AND($W44="O3/CP",$W$14=E$18),VLOOKUP("O3",$R$63:$T$91,3,FALSE)+VLOOKUP("CP",$R$63:$T$91,3,FALSE),0)+IF(AND($X44&lt;&gt;"",$X44&lt;&gt;"--",$X44&lt;&gt;"O3/CP",$X$14=E$18),IF(LEFT($X44,1)="P",VLOOKUP(CONCATENATE(LEFT($X44,2),"H"),$R$63:$T$91,3,FALSE),VLOOKUP($X44,$R$63:$T$91,3,FALSE)))+IF(AND($X44&lt;&gt;"",$X44&lt;&gt;"O3/CP",$X$15=E$18,MID($X44,4,1)="2",$X$15&lt;&gt;$X$14),VLOOKUP(CONCATENATE(LEFT($X44,2),"L"),$R$63:$T$91,3,FALSE),0)+IF(AND($X44="O3/CP",$X$14=E$18),VLOOKUP("O3",$R$63:$T$91,3,FALSE)+VLOOKUP("CP",$R$63:$T$91,3,FALSE),0)+IF(AND($Y44&lt;&gt;"",$Y44&lt;&gt;"--",$Y44&lt;&gt;"O3/CP",$Y$14=E$18),IF(LEFT($Y44,1)="P",VLOOKUP(CONCATENATE(LEFT($Y44,2),"H"),$R$63:$T$91,3,FALSE),VLOOKUP($Y44,$R$63:$T$91,3,FALSE)))+IF(AND($Y44&lt;&gt;"",$Y44&lt;&gt;"O3/CP",$Y$15=E$18,MID($Y44,4,1)="2",$Y$15&lt;&gt;$Y$14),VLOOKUP(CONCATENATE(LEFT($Y44,2),"L"),$R$63:$T$91,3,FALSE),0)+IF(AND($Y44="O3/CP",$Y$14=E$18),VLOOKUP("O3",$R$63:$T$91,3,FALSE)+VLOOKUP("CP",$R$63:$T$91,3,FALSE),0)+IF(AND($K$6="CE",'[3]Supply Attribution'!$G$20=E$18),LEFT($S$90,2),0)+IF(AND($X$86&lt;&gt;"Not Set",$X$87=E$18),$X$86,0)</f>
        <v>0</v>
      </c>
      <c r="F44" s="268">
        <f>IF(AND($K44&lt;&gt;"",$K44&lt;&gt;"--",$K44&lt;&gt;"O3/CP",$K$14=F$18),IF(LEFT($K44,1)="P",VLOOKUP(CONCATENATE(LEFT($K44,2),"H"),$R$63:$T$91,3,FALSE),VLOOKUP($K44,$R$63:$T$91,3,FALSE)))+IF(AND($K44&lt;&gt;"",$K44&lt;&gt;"O3/CP",$K$15=F$18,MID($K44,4,1)="2",$K$15&lt;&gt;$K$14),VLOOKUP(CONCATENATE(LEFT($K44,2),"L"),$R$63:$T$91,3,FALSE),0)+IF(AND($K44="O3/CP",$K$14=F$18),VLOOKUP("O3",$R$63:$T$91,3,FALSE)+VLOOKUP("CP",$R$63:$T$91,3,FALSE),0)+IF(AND($L44&lt;&gt;"",$L44&lt;&gt;"--",$L44&lt;&gt;"O3/CP",$L$14=F$18),IF(LEFT($L44,1)="P",VLOOKUP(CONCATENATE(LEFT($L44,2),"H"),$R$63:$T$91,3,FALSE),VLOOKUP($L44,$R$63:$T$91,3,FALSE)))+IF(AND($L44&lt;&gt;"",$L44&lt;&gt;"O3/CP",$L$15=F$18,MID($L44,4,1)="2",$L$15&lt;&gt;$L$14),VLOOKUP(CONCATENATE(LEFT($L44,2),"L"),$R$63:$T$91,3,FALSE),0)+IF(AND($L44="O3/CP",$L$14=F$18),VLOOKUP("O3",$R$63:$T$91,3,FALSE)+VLOOKUP("CP",$R$63:$T$91,3,FALSE),0)+IF(AND($M44&lt;&gt;"",$M44&lt;&gt;"--",$M44&lt;&gt;"O3/CP",$M$14=F$18),IF(LEFT($M44,1)="P",VLOOKUP(CONCATENATE(LEFT($M44,2),"H"),$R$63:$T$91,3,FALSE),VLOOKUP($M44,$R$63:$T$91,3,FALSE)))+IF(AND($M44&lt;&gt;"",$M44&lt;&gt;"O3/CP",$M$15=F$18,MID($M44,4,1)="2",$M$15&lt;&gt;$M$14),VLOOKUP(CONCATENATE(LEFT($M44,2),"L"),$R$63:$T$91,3,FALSE),0)+IF(AND($M44="O3/CP",$M$14=F$18),VLOOKUP("O3",$R$63:$T$91,3,FALSE)+VLOOKUP("CP",$R$63:$T$91,3,FALSE),0)+IF(AND($N44&lt;&gt;"",$N44&lt;&gt;"--",$N44&lt;&gt;"O3/CP",$N$14=F$18),IF(LEFT($N44,1)="P",VLOOKUP(CONCATENATE(LEFT($N44,2),"H"),$R$63:$T$91,3,FALSE),VLOOKUP($N44,$R$63:$T$91,3,FALSE)))+IF(AND($N44&lt;&gt;"",$N44&lt;&gt;"O3/CP",$N$15=F$18,MID($N44,4,1)="2",$N$15&lt;&gt;$N$14),VLOOKUP(CONCATENATE(LEFT($N44,2),"L"),$R$63:$T$91,3,FALSE),0)+IF(AND($N44="O3/CP",$N$14=F$18),VLOOKUP("O3",$R$63:$T$91,3,FALSE)+VLOOKUP("CP",$R$63:$T$91,3,FALSE),0)+IF(AND($O44&lt;&gt;"",$O44&lt;&gt;"--",$O44&lt;&gt;"O3/CP",$O$14=F$18),IF(LEFT($O44,1)="P",VLOOKUP(CONCATENATE(LEFT($O44,2),"H"),$R$63:$T$91,3,FALSE),VLOOKUP($O44,$R$63:$T$91,3,FALSE)))+IF(AND($O44&lt;&gt;"",$O44&lt;&gt;"O3/CP",$O$15=F$18,MID($O44,4,1)="2",$O$15&lt;&gt;$O$14),VLOOKUP(CONCATENATE(LEFT($O44,2),"L"),$R$63:$T$91,3,FALSE),0)+IF(AND($O44="O3/CP",$O$14=F$18),VLOOKUP("O3",$R$63:$T$91,3,FALSE)+VLOOKUP("CP",$R$63:$T$91,3,FALSE),0)+IF(AND($P44&lt;&gt;"",$P44&lt;&gt;"--",$P44&lt;&gt;"O3/CP",$P$14=F$18),IF(LEFT($P44,1)="P",VLOOKUP(CONCATENATE(LEFT($P44,2),"H"),$R$63:$T$91,3,FALSE),VLOOKUP($P44,$R$63:$T$91,3,FALSE)))+IF(AND($P44&lt;&gt;"",$P44&lt;&gt;"O3/CP",$P$15=F$18,MID($P44,4,1)="2",$P$15&lt;&gt;$P$14),VLOOKUP(CONCATENATE(LEFT($P44,2),"L"),$R$63:$T$91,3,FALSE),0)+IF(AND($P44="O3/CP",$P$14=F$18),VLOOKUP("O3",$R$63:$T$91,3,FALSE)+VLOOKUP("CP",$R$63:$T$91,3,FALSE),0)+IF(AND($Q44&lt;&gt;"",$Q44&lt;&gt;"--",$Q44&lt;&gt;"O3/CP",$Q$14=F$18),IF(LEFT($Q44,1)="P",VLOOKUP(CONCATENATE(LEFT($Q44,2),"H"),$R$63:$T$91,3,FALSE),VLOOKUP($Q44,$R$63:$T$91,3,FALSE)))+IF(AND($Q44&lt;&gt;"",$Q44&lt;&gt;"O3/CP",$Q$15=F$18,MID($Q44,4,1)="2",$Q$15&lt;&gt;$Q$14),VLOOKUP(CONCATENATE(LEFT($Q44,2),"L"),$R$63:$T$91,3,FALSE),0)+IF(AND($Q44="O3/CP",$Q$14=F$18),VLOOKUP("O3",$R$63:$T$91,3,FALSE)+VLOOKUP("CP",$R$63:$T$91,3,FALSE),0)+IF(AND($R44&lt;&gt;"",$R44&lt;&gt;"--",$R44&lt;&gt;"O3/CP",$R$14=F$18),IF(LEFT($R44,1)="P",VLOOKUP(CONCATENATE(LEFT($R44,2),"H"),$R$63:$T$91,3,FALSE),VLOOKUP($R44,$R$63:$T$91,3,FALSE)))+IF(AND($R44&lt;&gt;"",$R44&lt;&gt;"O3/CP",$R$15=F$18,MID($R44,4,1)="2",$R$15&lt;&gt;$R$14),VLOOKUP(CONCATENATE(LEFT($R44,2),"L"),$R$63:$T$91,3,FALSE),0)+IF(AND($R44="O3/CP",$R$14=F$18),VLOOKUP("O3",$R$63:$T$91,3,FALSE)+VLOOKUP("CP",$R$63:$T$91,3,FALSE),0)+IF(AND($S44&lt;&gt;"",$S44&lt;&gt;"--",$S44&lt;&gt;"O3/CP",$S$14=F$18),IF(LEFT($S44,1)="P",VLOOKUP(CONCATENATE(LEFT($S44,2),"H"),$R$63:$T$91,3,FALSE),VLOOKUP($S44,$R$63:$T$91,3,FALSE)))+IF(AND($S44&lt;&gt;"",$S44&lt;&gt;"O3/CP",$S$15=F$18,MID($S44,4,1)="2",$S$15&lt;&gt;$S$14),VLOOKUP(CONCATENATE(LEFT($S44,2),"L"),$R$63:$T$91,3,FALSE),0)+IF(AND($S44="O3/CP",$S$14=F$18),VLOOKUP("O3",$R$63:$T$91,3,FALSE)+VLOOKUP("CP",$R$63:$T$91,3,FALSE),0)+IF(AND($T44&lt;&gt;"",$T44&lt;&gt;"--",$T44&lt;&gt;"O3/CP",$T$14=F$18),IF(LEFT($T44,1)="P",VLOOKUP(CONCATENATE(LEFT($T44,2),"H"),$R$63:$T$91,3,FALSE),VLOOKUP($T44,$R$63:$T$91,3,FALSE)))+IF(AND($T44&lt;&gt;"",$T44&lt;&gt;"O3/CP",$T$15=F$18,MID($T44,4,1)="2",$T$15&lt;&gt;$T$14),VLOOKUP(CONCATENATE(LEFT($T44,2),"L"),$R$63:$T$91,3,FALSE),0)+IF(AND($T44="O3/CP",$T$14=F$18),VLOOKUP("O3",$R$63:$T$91,3,FALSE)+VLOOKUP("CP",$R$63:$T$91,3,FALSE),0)+IF(AND($U44&lt;&gt;"",$U44&lt;&gt;"--",$U44&lt;&gt;"O3/CP",$U$14=F$18),IF(LEFT($U44,1)="P",VLOOKUP(CONCATENATE(LEFT($U44,2),"H"),$R$63:$T$91,3,FALSE),VLOOKUP($U44,$R$63:$T$91,3,FALSE)))+IF(AND($U44&lt;&gt;"",$U44&lt;&gt;"O3/CP",$U$15=F$18,MID($U44,4,1)="2",$U$15&lt;&gt;$U$14),VLOOKUP(CONCATENATE(LEFT($U44,2),"L"),$R$63:$T$91,3,FALSE),0)+IF(AND($U44="O3/CP",$T$14=F$18),VLOOKUP("O3",$R$63:$T$91,3,FALSE)+VLOOKUP("CP",$R$63:$T$91,3,FALSE),0)+IF(AND($V44&lt;&gt;"",$V44&lt;&gt;"--",$V44&lt;&gt;"O3/CP",$V$14=F$18),IF(LEFT($V44,1)="P",VLOOKUP(CONCATENATE(LEFT($V44,2),"H"),$R$63:$T$91,3,FALSE),VLOOKUP($V44,$R$63:$T$91,3,FALSE)))+IF(AND($V44&lt;&gt;"",$V44&lt;&gt;"O3/CP",$V$15=F$18,MID($V44,4,1)="2",$V$15&lt;&gt;$V$14),VLOOKUP(CONCATENATE(LEFT($V44,2),"L"),$R$63:$T$91,3,FALSE),0)+IF(AND($V44="O3/CP",$V$14=F$18),VLOOKUP("O3",$R$63:$T$91,3,FALSE)+VLOOKUP("CP",$R$63:$T$91,3,FALSE),0)+IF(AND($W44&lt;&gt;"",$W44&lt;&gt;"--",$W44&lt;&gt;"O3/CP",$W$14=F$18),IF(LEFT($W44,1)="P",VLOOKUP(CONCATENATE(LEFT($W44,2),"H"),$R$63:$T$91,3,FALSE),VLOOKUP($W44,$R$63:$T$91,3,FALSE)))+IF(AND($W44&lt;&gt;"",$W44&lt;&gt;"O3/CP",$W$15=F$18,MID($W44,4,1)="2",$W$15&lt;&gt;$W$14),VLOOKUP(CONCATENATE(LEFT($W44,2),"L"),$R$63:$T$91,3,FALSE),0)+IF(AND($W44="O3/CP",$W$14=F$18),VLOOKUP("O3",$R$63:$T$91,3,FALSE)+VLOOKUP("CP",$R$63:$T$91,3,FALSE),0)+IF(AND($X44&lt;&gt;"",$X44&lt;&gt;"--",$X44&lt;&gt;"O3/CP",$X$14=F$18),IF(LEFT($X44,1)="P",VLOOKUP(CONCATENATE(LEFT($X44,2),"H"),$R$63:$T$91,3,FALSE),VLOOKUP($X44,$R$63:$T$91,3,FALSE)))+IF(AND($X44&lt;&gt;"",$X44&lt;&gt;"O3/CP",$X$15=F$18,MID($X44,4,1)="2",$X$15&lt;&gt;$X$14),VLOOKUP(CONCATENATE(LEFT($X44,2),"L"),$R$63:$T$91,3,FALSE),0)+IF(AND($X44="O3/CP",$X$14=F$18),VLOOKUP("O3",$R$63:$T$91,3,FALSE)+VLOOKUP("CP",$R$63:$T$91,3,FALSE),0)+IF(AND($Y44&lt;&gt;"",$Y44&lt;&gt;"--",$Y44&lt;&gt;"O3/CP",$Y$14=F$18),IF(LEFT($Y44,1)="P",VLOOKUP(CONCATENATE(LEFT($Y44,2),"H"),$R$63:$T$91,3,FALSE),VLOOKUP($Y44,$R$63:$T$91,3,FALSE)))+IF(AND($Y44&lt;&gt;"",$Y44&lt;&gt;"O3/CP",$Y$15=F$18,MID($Y44,4,1)="2",$Y$15&lt;&gt;$Y$14),VLOOKUP(CONCATENATE(LEFT($Y44,2),"L"),$R$63:$T$91,3,FALSE),0)+IF(AND($Y44="O3/CP",$Y$14=F$18),VLOOKUP("O3",$R$63:$T$91,3,FALSE)+VLOOKUP("CP",$R$63:$T$91,3,FALSE),0)+IF(AND($K$6="CE",'[3]Supply Attribution'!$G$20=F$18),LEFT($S$90,2),0)+IF(AND($X$86&lt;&gt;"Not Set",$X$87=F$18),$X$86,0)</f>
        <v>0</v>
      </c>
      <c r="G44" s="269">
        <f>IF(AND($K$6="CE",$T$59="1 Phase"),SUM(A44:F44)-IF(AND($K$14&lt;&gt;$K$15,RIGHT($K44,3)="2SP"),VLOOKUP(CONCATENATE(LEFT($K44,2),"L"),$R$63:$T$90,3,FALSE),0)-IF(AND($L$14&lt;&gt;$L$15,RIGHT($L44,3)="2SP"),VLOOKUP(CONCATENATE(LEFT($L44,2),"L"),$R$63:$T$90,3,FALSE),0)-IF(AND($M$14&lt;&gt;$M$15,RIGHT($M44,3)="2SP"),VLOOKUP(CONCATENATE(LEFT($M44,2),"L"),$R$63:$T$90,3,FALSE),0)-IF(AND($N$14&lt;&gt;$N$15,RIGHT($N44,3)="2SP"),VLOOKUP(CONCATENATE(LEFT($N44,2),"L"),$R$63:$T$90,3,FALSE),0)-IF(AND($O$14&lt;&gt;$O$15,RIGHT($O44,3)="2SP"),VLOOKUP(CONCATENATE(LEFT($O44,2),"L"),$R$63:$T$90,3,FALSE),0)-IF(AND($P$14&lt;&gt;$P$15,RIGHT($P44,3)="2SP"),VLOOKUP(CONCATENATE(LEFT($P44,2),"L"),$R$63:$T$90,3,FALSE),0)-IF(AND($Q$14&lt;&gt;$Q$15,RIGHT($Q44,3)="2SP"),VLOOKUP(CONCATENATE(LEFT($Q44,2),"L"),$R$63:$T$90,3,FALSE),0)-IF(AND($R$14&lt;&gt;$R$15,RIGHT($T44,3)="2SP"),VLOOKUP(CONCATENATE(LEFT($R44,2),"L"),$R$63:$T$90,3,FALSE),0)-IF(AND($S$14&lt;&gt;$S$15,RIGHT($T44,3)="2SP"),VLOOKUP(CONCATENATE(LEFT($S44,2),"L"),$R$63:$T$90,3,FALSE),0)-IF(AND($T$14&lt;&gt;$T$15,RIGHT($T44,3)="2SP"),VLOOKUP(CONCATENATE(LEFT($T44,2),"L"),$R$63:$T$90,3,FALSE),0)-IF(AND($U$14&lt;&gt;$U$15,RIGHT($U44,3)="2SP"),VLOOKUP(CONCATENATE(LEFT($U44,2),"L"),$R$63:$T$90,3,FALSE),0)-IF(AND($V$14&lt;&gt;$V$15,RIGHT($V44,3)="2SP"),VLOOKUP(CONCATENATE(LEFT($V44,2),"L"),$R$63:$T$90,3,FALSE),0)-IF(AND($W$14&lt;&gt;$W$15,RIGHT($W44,3)="2SP"),VLOOKUP(CONCATENATE(LEFT($W44,2),"L"),$R$63:$T$90,3,FALSE),0)-IF(AND($X$14&lt;&gt;$X$15,RIGHT($X44,3)="2SP"),VLOOKUP(CONCATENATE(LEFT($X44,2),"L"),$R$63:$T$90,3,FALSE),0)-IF(AND($Y$14&lt;&gt;$Y$15,RIGHT($Y44,3)="2SP"),VLOOKUP(CONCATENATE(LEFT($Y44,2),"L"),$R$63:$T$90,3,FALSE),0),IF(VLOOKUP(CONCATENATE($A$18,"Line"),'[3]Supply Attribution'!$F$31:$G$37,2,FALSE)=G$18,$A44,0)+IF(VLOOKUP(CONCATENATE($B$18,"Line"),'[3]Supply Attribution'!$F$31:$G$37,2,FALSE)=G$18,$B44,0)+IF(VLOOKUP(CONCATENATE($C$18,"Line"),'[3]Supply Attribution'!$F$31:$G$37,2,FALSE)=G$18,$C44,0)+IF(VLOOKUP(CONCATENATE($D$18,"Line"),'[3]Supply Attribution'!$F$31:$G$37,2,FALSE)=G$18,$D44,0)+IF(VLOOKUP(CONCATENATE($E$18,"Line"),'[3]Supply Attribution'!$F$31:$G$37,2,FALSE)=G$18,$E44,0)+IF(VLOOKUP(CONCATENATE($F$18,"Line"),'[3]Supply Attribution'!$F$31:$G$37,2,FALSE)=G$18,$F44,0)+IF($K$6="UL",LEFT($S$90,2),0)-IF(AND($K$16=G$18,$K$14&lt;&gt;$K$15,$K$16=$K$17,RIGHT($K44,3)="2SP"),VLOOKUP(CONCATENATE(LEFT($K44,2),"L"),$R$63:$T$90,3,FALSE),0)-IF(AND($L$16=G$18,$L$14&lt;&gt;$L$15,$L$16=$L$17,RIGHT($L44,3)="2SP"),VLOOKUP(CONCATENATE(LEFT($L44,2),"L"),$R$63:$T$90,3,FALSE),0)-IF(AND($M$16=G$18,$M$14&lt;&gt;$M$15,$M$16=$M$17,RIGHT($M44,3)="2SP"),VLOOKUP(CONCATENATE(LEFT($M44,2),"L"),$R$63:$T$90,3,FALSE),0)-IF(AND($N$16=G$18,$N$14&lt;&gt;$N$15,$N$16=$N$17,RIGHT($N44,3)="2SP"),VLOOKUP(CONCATENATE(LEFT($N44,2),"L"),$R$63:$T$90,3,FALSE),0)-IF(AND($O$16=G$18,$O$14&lt;&gt;$O$15,$O$16=$O$17,RIGHT($O44,3)="2SP"),VLOOKUP(CONCATENATE(LEFT($O44,2),"L"),$R$63:$T$90,3,FALSE),0)-IF(AND($P$16=G$18,$P$14&lt;&gt;$P$15,$P$16=$P$17,RIGHT($P44,3)="2SP"),VLOOKUP(CONCATENATE(LEFT($P44,2),"L"),$R$63:$T$90,3,FALSE),0)-IF(AND($Q$16=G$18,$Q$14&lt;&gt;$Q$15,$Q$16=$Q$17,RIGHT($Q44,3)="2SP"),VLOOKUP(CONCATENATE(LEFT($Q44,2),"L"),$R$63:$T$90,3,FALSE),0)-IF(AND($R$16=G$18,$R$14&lt;&gt;$R$15,$R$16=$R$17,RIGHT($R44,3)="2SP"),VLOOKUP(CONCATENATE(LEFT($R44,2),"L"),$R$63:$T$90,3,FALSE),0)-IF(AND($S$16=G$18,$S$14&lt;&gt;$S$15,$S$16=$S$17,RIGHT($S44,3)="2SP"),VLOOKUP(CONCATENATE(LEFT($S44,2),"L"),$R$63:$T$90,3,FALSE),0)-IF(AND($T$16=G$18,$T$14&lt;&gt;$T$15,$T$16=$T$17,RIGHT($T44,3)="2SP"),VLOOKUP(CONCATENATE(LEFT($T44,2),"L"),$R$63:$T$90,3,FALSE),0)-IF(AND($U$16=G$18,$U$14&lt;&gt;$U$15,$U$16=$U$17,RIGHT($U44,3)="2SP"),VLOOKUP(CONCATENATE(LEFT($U44,2),"L"),$R$63:$T$90,3,FALSE),0)-IF(AND($V$16=G$18,$V$14&lt;&gt;$V$15,$V$16=$V$17,RIGHT($V44,3)="2SP"),VLOOKUP(CONCATENATE(LEFT($V44,2),"L"),$R$63:$T$90,3,FALSE),0)-IF(AND($W$16=G$18,$W$14&lt;&gt;$W$15,$W$16=$W$17,RIGHT($W44,3)="2SP"),VLOOKUP(CONCATENATE(LEFT($W44,2),"L"),$R$63:$T$90,3,FALSE),0)-IF(AND($X$16=G$18,$X$14&lt;&gt;$X$15,$X$16=$X$17,RIGHT($X44,3)="2SP"),VLOOKUP(CONCATENATE(LEFT($X44,2),"L"),$R$63:$T$90,3,FALSE),0)-IF(AND($Y$16=G$18,$Y$14&lt;&gt;$Y$15,$Y$16=$Y$17,RIGHT($Y44,3)="2SP"),VLOOKUP(CONCATENATE(LEFT($Y44,2),"L"),$R$63:$T$90,3,FALSE),0))</f>
        <v>17</v>
      </c>
      <c r="H44" s="269" t="str">
        <f>IF(H$18&lt;&gt;"",IF(VLOOKUP(CONCATENATE($A$18,"Line"),'Supply Attribution'!$F$31:$G$37,2,FALSE)=H$18,$A44,0)+IF(VLOOKUP(CONCATENATE($B$18,"Line"),'Supply Attribution'!$F$31:$G$37,2,FALSE)=H$18,$B44,0)+IF(VLOOKUP(CONCATENATE($C$18,"Line"),'Supply Attribution'!$F$31:$G$37,2,FALSE)=H$18,$C44,0)+IF(VLOOKUP(CONCATENATE($D$18,"Line"),'Supply Attribution'!$F$31:$G$37,2,FALSE)=H$18,$D44,0)+IF(VLOOKUP(CONCATENATE($E$18,"Line"),'Supply Attribution'!$F$31:$G$37,2,FALSE)=H$18,$E44,0)+IF(VLOOKUP(CONCATENATE($F$18,"Line"),'Supply Attribution'!$F$31:$G$37,2,FALSE)=H$18,$F44,0)+IF($K$6="UL",LEFT($S$90,2),0)-IF(AND($K$16=H$18,$K$14&lt;&gt;$K$15,$K$16=$K$17,RIGHT($K44,3)="2SP"),VLOOKUP(CONCATENATE(LEFT($K44,2),"L"),$R$63:$T$90,3,FALSE),0)-IF(AND($L$16=H$18,$L$14&lt;&gt;$L$15,$L$16=$L$17,RIGHT($L44,3)="2SP"),VLOOKUP(CONCATENATE(LEFT($L44,2),"L"),$R$63:$T$90,3,FALSE),0)-IF(AND($M$16=H$18,$M$14&lt;&gt;$M$15,$M$16=$M$17,RIGHT($M44,3)="2SP"),VLOOKUP(CONCATENATE(LEFT($M44,2),"L"),$R$63:$T$90,3,FALSE),0)-IF(AND($N$16=H$18,$N$14&lt;&gt;$N$15,$N$16=$N$17,RIGHT($N44,3)="2SP"),VLOOKUP(CONCATENATE(LEFT($N44,2),"L"),$R$63:$T$90,3,FALSE),0)-IF(AND($O$16=H$18,$O$14&lt;&gt;$O$15,$O$16=$O$17,RIGHT($O44,3)="2SP"),VLOOKUP(CONCATENATE(LEFT($O44,2),"L"),$R$63:$T$90,3,FALSE),0)-IF(AND($P$16=H$18,$P$14&lt;&gt;$P$15,$P$16=$P$17,RIGHT($P44,3)="2SP"),VLOOKUP(CONCATENATE(LEFT($P44,2),"L"),$R$63:$T$90,3,FALSE),0)-IF(AND($Q$16=H$18,$Q$14&lt;&gt;$Q$15,$Q$16=$Q$17,RIGHT($Q44,3)="2SP"),VLOOKUP(CONCATENATE(LEFT($Q44,2),"L"),$R$63:$T$90,3,FALSE),0)-IF(AND($T$16=H$18,$T$14&lt;&gt;$T$15,$T$16=$T$17,RIGHT($T44,3)="2SP"),VLOOKUP(CONCATENATE(LEFT($T44,2),"L"),$R$63:$T$90,3,FALSE),0)-IF(AND($U$16=H$18,$U$14&lt;&gt;$U$15,$U$16=$U$17,RIGHT($U44,3)="2SP"),VLOOKUP(CONCATENATE(LEFT($U44,2),"L"),$R$63:$T$90,3,FALSE),0)-IF(AND($V$16=H$18,$V$14&lt;&gt;$V$15,$V$16=$V$17,RIGHT($V44,3)="2SP"),VLOOKUP(CONCATENATE(LEFT($V44,2),"L"),$R$63:$T$90,3,FALSE),0)-IF(AND($W$16=H$18,$W$14&lt;&gt;$W$15,$W$16=$W$17,RIGHT($W44,3)="2SP"),VLOOKUP(CONCATENATE(LEFT($W44,2),"L"),$R$63:$T$90,3,FALSE),0)-IF(AND($X$16=H$18,$X$14&lt;&gt;$X$15,$X$16=$X$17,RIGHT($X44,3)="2SP"),VLOOKUP(CONCATENATE(LEFT($X44,2),"L"),$R$63:$T$90,3,FALSE),0)-IF(AND($Y$16=H$18,$Y$14&lt;&gt;$Y$15,$Y$16=$Y$17,RIGHT($Y44,3)="2SP"),VLOOKUP(CONCATENATE(LEFT($Y44,2),"L"),$R$63:$T$90,3,FALSE),0)+IF(AND($K$6="CE",$T$59="2 Phases",H$18&lt;&gt;""),IF(VLOOKUP(CONCATENATE($A$18,"Line"),'Supply Attribution'!$F$31:$G$37,2,FALSE)="Line3",$A44,0)+IF(VLOOKUP(CONCATENATE($B$18,"Line"),'Supply Attribution'!$F$31:$G$37,2,FALSE)="Line3",$B44,0)+IF(VLOOKUP(CONCATENATE($C$18,"Line"),'Supply Attribution'!$F$31:$G$37,2,FALSE)="Line3",$C44,0)+IF(VLOOKUP(CONCATENATE($D$18,"Line"),'Supply Attribution'!$F$31:$G$37,2,FALSE)="Line3",$D44,0)+IF(VLOOKUP(CONCATENATE($E$18,"Line"),'Supply Attribution'!$F$31:$G$37,2,FALSE)="Line3",$E44,0)+IF(VLOOKUP(CONCATENATE($F$18,"Line"),'Supply Attribution'!$F$31:$G$37,2,FALSE)="Line3",$F44,0)-IF(AND($K$16=I$18,$K$14&lt;&gt;$K$15,$K$16=$K$17,RIGHT($K44,3)="2SP"),VLOOKUP(CONCATENATE(LEFT($K44,2),"L"),$R$63:$T$90,3,FALSE),0)-IF(AND($L$16=I$18,$L$14&lt;&gt;$L$15,$L$16=$L$17,RIGHT($L44,3)="2SP"),VLOOKUP(CONCATENATE(LEFT($L44,2),"L"),$R$63:$T$90,3,FALSE),0)-IF(AND($M$16=I$18,$M$14&lt;&gt;$M$15,$M$16=$M$17,RIGHT($M44,3)="2SP"),VLOOKUP(CONCATENATE(LEFT($M44,2),"L"),$R$63:$T$90,3,FALSE),0)-IF(AND($N$16=I$18,$N$14&lt;&gt;$N$15,$N$16=$N$17,RIGHT($N44,3)="2SP"),VLOOKUP(CONCATENATE(LEFT($N44,2),"L"),$R$63:$T$90,3,FALSE),0)-IF(AND($O$16=I$18,$O$14&lt;&gt;$O$15,$O$16=$O$17,RIGHT($O44,3)="2SP"),VLOOKUP(CONCATENATE(LEFT($O44,2),"L"),$R$63:$T$90,3,FALSE),0)-IF(AND($P$16=I$18,$P$14&lt;&gt;$P$15,$P$16=$P$17,RIGHT($P44,3)="2SP"),VLOOKUP(CONCATENATE(LEFT($P44,2),"L"),$R$63:$T$90,3,FALSE),0)-IF(AND($Q$16=I$18,$Q$14&lt;&gt;$Q$15,$Q$16=$Q$17,RIGHT($Q44,3)="2SP"),VLOOKUP(CONCATENATE(LEFT($Q44,2),"L"),$R$63:$T$90,3,FALSE),0)-IF(AND($T$16=I$18,$T$14&lt;&gt;$T$15,$T$16=$T$17,RIGHT($T44,3)="2SP"),VLOOKUP(CONCATENATE(LEFT($T44,2),"L"),$R$63:$T$90,3,FALSE),0)-IF(AND($U$16=I$18,$U$14&lt;&gt;$U$15,$U$16=$U$17,RIGHT($U44,3)="2SP"),VLOOKUP(CONCATENATE(LEFT($U44,2),"L"),$R$63:$T$90,3,FALSE),0)-IF(AND($V$16=I$18,$V$14&lt;&gt;$V$15,$V$16=$V$17,RIGHT($V44,3)="2SP"),VLOOKUP(CONCATENATE(LEFT($V44,2),"L"),$R$63:$T$90,3,FALSE),0)-IF(AND($W$16=I$18,$W$14&lt;&gt;$W$15,$W$16=$W$17,RIGHT($W44,3)="2SP"),VLOOKUP(CONCATENATE(LEFT($W44,2),"L"),$R$63:$T$90,3,FALSE),0)-IF(AND($X$16=I$18,$X$14&lt;&gt;$X$15,$X$16=$X$17,RIGHT($X44,3)="2SP"),VLOOKUP(CONCATENATE(LEFT($X44,2),"L"),$R$63:$T$90,3,FALSE),0)-IF(AND($Y$16=I$18,$Y$14&lt;&gt;$Y$15,$Y$16=$Y$17,RIGHT($Y44,3)="2SP"),VLOOKUP(CONCATENATE(LEFT($Y44,2),"L"),$R$63:$T$90,3,FALSE),0),0),"")</f>
        <v/>
      </c>
      <c r="I44" s="269" t="str">
        <f>IF(I$18&lt;&gt;"",IF(VLOOKUP(CONCATENATE($A$18,"Line"),'Supply Attribution'!$F$31:$G$37,2,FALSE)=I$18,$A44,0)+IF(VLOOKUP(CONCATENATE($B$18,"Line"),'Supply Attribution'!$F$31:$G$37,2,FALSE)=I$18,$B44,0)+IF(VLOOKUP(CONCATENATE($C$18,"Line"),'Supply Attribution'!$F$31:$G$37,2,FALSE)=I$18,$C44,0)+IF(VLOOKUP(CONCATENATE($D$18,"Line"),'Supply Attribution'!$F$31:$G$37,2,FALSE)=I$18,$D44,0)+IF(VLOOKUP(CONCATENATE($E$18,"Line"),'Supply Attribution'!$F$31:$G$37,2,FALSE)=I$18,$E44,0)+IF(VLOOKUP(CONCATENATE($F$18,"Line"),'Supply Attribution'!$F$31:$G$37,2,FALSE)=I$18,$F44,0)+IF($K$6="UL",LEFT($S$90,2),0)-IF(AND($K$16=I$18,$K$14&lt;&gt;$K$15,$K$16=$K$17,RIGHT($K44,3)="2SP"),VLOOKUP(CONCATENATE(LEFT($K44,2),"L"),$R$63:$T$90,3,FALSE),0)-IF(AND($L$16=I$18,$L$14&lt;&gt;$L$15,$L$16=$L$17,RIGHT($L44,3)="2SP"),VLOOKUP(CONCATENATE(LEFT($L44,2),"L"),$R$63:$T$90,3,FALSE),0)-IF(AND($M$16=I$18,$M$14&lt;&gt;$M$15,$M$16=$M$17,RIGHT($M44,3)="2SP"),VLOOKUP(CONCATENATE(LEFT($M44,2),"L"),$R$63:$T$90,3,FALSE),0)-IF(AND($N$16=I$18,$N$14&lt;&gt;$N$15,$N$16=$N$17,RIGHT($N44,3)="2SP"),VLOOKUP(CONCATENATE(LEFT($N44,2),"L"),$R$63:$T$90,3,FALSE),0)-IF(AND($O$16=I$18,$O$14&lt;&gt;$O$15,$O$16=$O$17,RIGHT($O44,3)="2SP"),VLOOKUP(CONCATENATE(LEFT($O44,2),"L"),$R$63:$T$90,3,FALSE),0)-IF(AND($P$16=I$18,$P$14&lt;&gt;$P$15,$P$16=$P$17,RIGHT($P44,3)="2SP"),VLOOKUP(CONCATENATE(LEFT($P44,2),"L"),$R$63:$T$90,3,FALSE),0)-IF(AND($Q$16=I$18,$Q$14&lt;&gt;$Q$15,$Q$16=$Q$17,RIGHT($Q44,3)="2SP"),VLOOKUP(CONCATENATE(LEFT($Q44,2),"L"),$R$63:$T$90,3,FALSE),0)-IF(AND($T$16=I$18,$T$14&lt;&gt;$T$15,$T$16=$T$17,RIGHT($T44,3)="2SP"),VLOOKUP(CONCATENATE(LEFT($T44,2),"L"),$R$63:$T$90,3,FALSE),0)-IF(AND($U$16=I$18,$U$14&lt;&gt;$U$15,$U$16=$U$17,RIGHT($U44,3)="2SP"),VLOOKUP(CONCATENATE(LEFT($U44,2),"L"),$R$63:$T$90,3,FALSE),0)-IF(AND($V$16=I$18,$V$14&lt;&gt;$V$15,$V$16=$V$17,RIGHT($V44,3)="2SP"),VLOOKUP(CONCATENATE(LEFT($V44,2),"L"),$R$63:$T$90,3,FALSE),0)-IF(AND($W$16=I$18,$W$14&lt;&gt;$W$15,$W$16=$W$17,RIGHT($W44,3)="2SP"),VLOOKUP(CONCATENATE(LEFT($W44,2),"L"),$R$63:$T$90,3,FALSE),0)-IF(AND($X$16=I$18,$X$14&lt;&gt;$X$15,$X$16=$X$17,RIGHT($X44,3)="2SP"),VLOOKUP(CONCATENATE(LEFT($X44,2),"L"),$R$63:$T$90,3,FALSE),0)-IF(AND($Y$16=I$18,$Y$14&lt;&gt;$Y$15,$Y$16=$Y$17,RIGHT($Y44,3)="2SP"),VLOOKUP(CONCATENATE(LEFT($Y44,2),"L"),$R$63:$T$90,3,FALSE),0),"")</f>
        <v/>
      </c>
      <c r="J44" s="134"/>
      <c r="K44" s="135"/>
      <c r="L44" s="135"/>
      <c r="M44" s="135"/>
      <c r="N44" s="135"/>
      <c r="O44" s="135"/>
      <c r="P44" s="135"/>
      <c r="Q44" s="135"/>
      <c r="R44" s="135"/>
      <c r="S44" s="135"/>
      <c r="T44" s="135"/>
      <c r="U44" s="135"/>
      <c r="V44" s="135"/>
      <c r="W44" s="135"/>
      <c r="X44" s="135"/>
      <c r="Y44" s="135"/>
      <c r="Z44" s="136"/>
      <c r="AA44" s="136"/>
      <c r="AB44" s="137"/>
      <c r="AC44" s="137"/>
      <c r="AD44" s="137"/>
      <c r="AE44" s="138">
        <f t="shared" si="0"/>
        <v>0</v>
      </c>
      <c r="AF44" s="78"/>
    </row>
    <row r="45" spans="1:32" ht="13.15" customHeight="1">
      <c r="A45" s="264">
        <f>IF(AND($K45&lt;&gt;"",$K45&lt;&gt;"--",$K45&lt;&gt;"O3/CP",$K$14=A$18),IF(LEFT($K45,1)="P",VLOOKUP(CONCATENATE(LEFT($K45,2),"H"),$R$63:$T$91,3,FALSE),VLOOKUP($K45,$R$63:$T$91,3,FALSE)))+IF(AND($K45&lt;&gt;"",$K45&lt;&gt;"O3/CP",$K$15=A$18,MID($K45,4,1)="2",$K$15&lt;&gt;$K$14),VLOOKUP(CONCATENATE(LEFT($K45,2),"L"),$R$63:$T$91,3,FALSE),0)+IF(AND($K45="O3/CP",$K$14=A$18),VLOOKUP("O3",$R$63:$T$91,3,FALSE)+VLOOKUP("CP",$R$63:$T$91,3,FALSE),0)+IF(AND($L45&lt;&gt;"",$L45&lt;&gt;"--",$L45&lt;&gt;"O3/CP",$L$14=A$18),IF(LEFT($L45,1)="P",VLOOKUP(CONCATENATE(LEFT($L45,2),"H"),$R$63:$T$91,3,FALSE),VLOOKUP($L45,$R$63:$T$91,3,FALSE)))+IF(AND($L45&lt;&gt;"",$L45&lt;&gt;"O3/CP",$L$15=A$18,MID($L45,4,1)="2",$L$15&lt;&gt;$L$14),VLOOKUP(CONCATENATE(LEFT($L45,2),"L"),$R$63:$T$91,3,FALSE),0)+IF(AND($L45="O3/CP",$L$14=A$18),VLOOKUP("O3",$R$63:$T$91,3,FALSE)+VLOOKUP("CP",$R$63:$T$91,3,FALSE),0)+IF(AND($M45&lt;&gt;"",$M45&lt;&gt;"--",$M45&lt;&gt;"O3/CP",$M$14=A$18),IF(LEFT($M45,1)="P",VLOOKUP(CONCATENATE(LEFT($M45,2),"H"),$R$63:$T$91,3,FALSE),VLOOKUP($M45,$R$63:$T$91,3,FALSE)))+IF(AND($M45&lt;&gt;"",$M45&lt;&gt;"O3/CP",$M$15=A$18,MID($M45,4,1)="2",$M$15&lt;&gt;$M$14),VLOOKUP(CONCATENATE(LEFT($M45,2),"L"),$R$63:$T$91,3,FALSE),0)+IF(AND($M45="O3/CP",$M$14=A$18),VLOOKUP("O3",$R$63:$T$91,3,FALSE)+VLOOKUP("CP",$R$63:$T$91,3,FALSE),0)+IF(AND($N45&lt;&gt;"",$N45&lt;&gt;"--",$N45&lt;&gt;"O3/CP",$N$14=A$18),IF(LEFT($N45,1)="P",VLOOKUP(CONCATENATE(LEFT($N45,2),"H"),$R$63:$T$91,3,FALSE),VLOOKUP($N45,$R$63:$T$91,3,FALSE)))+IF(AND($N45&lt;&gt;"",$N45&lt;&gt;"O3/CP",$N$15=A$18,MID($N45,4,1)="2",$N$15&lt;&gt;$N$14),VLOOKUP(CONCATENATE(LEFT($N45,2),"L"),$R$63:$T$91,3,FALSE),0)+IF(AND($N45="O3/CP",$N$14=A$18),VLOOKUP("O3",$R$63:$T$91,3,FALSE)+VLOOKUP("CP",$R$63:$T$91,3,FALSE),0)+IF(AND($O45&lt;&gt;"",$O45&lt;&gt;"--",$O45&lt;&gt;"O3/CP",$O$14=A$18),IF(LEFT($O45,1)="P",VLOOKUP(CONCATENATE(LEFT($O45,2),"H"),$R$63:$T$91,3,FALSE),VLOOKUP($O45,$R$63:$T$91,3,FALSE)))+IF(AND($O45&lt;&gt;"",$O45&lt;&gt;"O3/CP",$O$15=A$18,MID($O45,4,1)="2",$O$15&lt;&gt;$O$14),VLOOKUP(CONCATENATE(LEFT($O45,2),"L"),$R$63:$T$91,3,FALSE),0)+IF(AND($O45="O3/CP",$O$14=A$18),VLOOKUP("O3",$R$63:$T$91,3,FALSE)+VLOOKUP("CP",$R$63:$T$91,3,FALSE),0)+IF(AND($P45&lt;&gt;"",$P45&lt;&gt;"--",$P45&lt;&gt;"O3/CP",$P$14=A$18),IF(LEFT($P45,1)="P",VLOOKUP(CONCATENATE(LEFT($P45,2),"H"),$R$63:$T$91,3,FALSE),VLOOKUP($P45,$R$63:$T$91,3,FALSE)))+IF(AND($P45&lt;&gt;"",$P45&lt;&gt;"O3/CP",$P$15=A$18,MID($P45,4,1)="2",$P$15&lt;&gt;$P$14),VLOOKUP(CONCATENATE(LEFT($P45,2),"L"),$R$63:$T$91,3,FALSE),0)+IF(AND($P45="O3/CP",$P$14=A$18),VLOOKUP("O3",$R$63:$T$91,3,FALSE)+VLOOKUP("CP",$R$63:$T$91,3,FALSE),0)+IF(AND($Q45&lt;&gt;"",$Q45&lt;&gt;"--",$Q45&lt;&gt;"O3/CP",$Q$14=A$18),IF(LEFT($Q45,1)="P",VLOOKUP(CONCATENATE(LEFT($Q45,2),"H"),$R$63:$T$91,3,FALSE),VLOOKUP($Q45,$R$63:$T$91,3,FALSE)))+IF(AND($Q45&lt;&gt;"",$Q45&lt;&gt;"O3/CP",$Q$15=A$18,MID($Q45,4,1)="2",$Q$15&lt;&gt;$Q$14),VLOOKUP(CONCATENATE(LEFT($Q45,2),"L"),$R$63:$T$91,3,FALSE),0)+IF(AND($Q45="O3/CP",$Q$14=A$18),VLOOKUP("O3",$R$63:$T$91,3,FALSE)+VLOOKUP("CP",$R$63:$T$91,3,FALSE),0)+IF(AND($R45&lt;&gt;"",$R45&lt;&gt;"--",$R45&lt;&gt;"O3/CP",$R$14=A$18),IF(LEFT($R45,1)="P",VLOOKUP(CONCATENATE(LEFT($R45,2),"H"),$R$63:$T$91,3,FALSE),VLOOKUP($R45,$R$63:$T$91,3,FALSE)))+IF(AND($R45&lt;&gt;"",$R45&lt;&gt;"O3/CP",$R$15=A$18,MID($R45,4,1)="2",$R$15&lt;&gt;$R$14),VLOOKUP(CONCATENATE(LEFT($R45,2),"L"),$R$63:$T$91,3,FALSE),0)+IF(AND($R45="O3/CP",$R$14=A$18),VLOOKUP("O3",$R$63:$T$91,3,FALSE)+VLOOKUP("CP",$R$63:$T$91,3,FALSE),0)+IF(AND($S45&lt;&gt;"",$S45&lt;&gt;"--",$S45&lt;&gt;"O3/CP",$S$14=A$18),IF(LEFT($S45,1)="P",VLOOKUP(CONCATENATE(LEFT($S45,2),"H"),$R$63:$T$91,3,FALSE),VLOOKUP($S45,$R$63:$T$91,3,FALSE)))+IF(AND($S45&lt;&gt;"",$S45&lt;&gt;"O3/CP",$S$15=A$18,MID($S45,4,1)="2",$S$15&lt;&gt;$S$14),VLOOKUP(CONCATENATE(LEFT($S45,2),"L"),$R$63:$T$91,3,FALSE),0)+IF(AND($S45="O3/CP",$S$14=A$18),VLOOKUP("O3",$R$63:$T$91,3,FALSE)+VLOOKUP("CP",$R$63:$T$91,3,FALSE),0)+IF(AND($T45&lt;&gt;"",$T45&lt;&gt;"--",$T45&lt;&gt;"O3/CP",$T$14=A$18),IF(LEFT($T45,1)="P",VLOOKUP(CONCATENATE(LEFT($T45,2),"H"),$R$63:$T$91,3,FALSE),VLOOKUP($T45,$R$63:$T$91,3,FALSE)))+IF(AND($T45&lt;&gt;"",$T45&lt;&gt;"O3/CP",$T$15=A$18,MID($T45,4,1)="2",$T$15&lt;&gt;$T$14),VLOOKUP(CONCATENATE(LEFT($T45,2),"L"),$R$63:$T$91,3,FALSE),0)+IF(AND($T45="O3/CP",$T$14=A$18),VLOOKUP("O3",$R$63:$T$91,3,FALSE)+VLOOKUP("CP",$R$63:$T$91,3,FALSE),0)+IF(AND($U45&lt;&gt;"",$U45&lt;&gt;"--",$U45&lt;&gt;"O3/CP",$U$14=A$18),IF(LEFT($U45,1)="P",VLOOKUP(CONCATENATE(LEFT($U45,2),"H"),$R$63:$T$91,3,FALSE),VLOOKUP($U45,$R$63:$T$91,3,FALSE)))+IF(AND($U45&lt;&gt;"",$U45&lt;&gt;"O3/CP",$U$15=A$18,MID($U45,4,1)="2",$U$15&lt;&gt;$U$14),VLOOKUP(CONCATENATE(LEFT($U45,2),"L"),$R$63:$T$91,3,FALSE),0)+IF(AND($U45="O3/CP",$T$14=A$18),VLOOKUP("O3",$R$63:$T$91,3,FALSE)+VLOOKUP("CP",$R$63:$T$91,3,FALSE),0)+IF(AND($V45&lt;&gt;"",$V45&lt;&gt;"--",$V45&lt;&gt;"O3/CP",$V$14=A$18),IF(LEFT($V45,1)="P",VLOOKUP(CONCATENATE(LEFT($V45,2),"H"),$R$63:$T$91,3,FALSE),VLOOKUP($V45,$R$63:$T$91,3,FALSE)))+IF(AND($V45&lt;&gt;"",$V45&lt;&gt;"O3/CP",$V$15=A$18,MID($V45,4,1)="2",$V$15&lt;&gt;$V$14),VLOOKUP(CONCATENATE(LEFT($V45,2),"L"),$R$63:$T$91,3,FALSE),0)+IF(AND($V45="O3/CP",$V$14=A$18),VLOOKUP("O3",$R$63:$T$91,3,FALSE)+VLOOKUP("CP",$R$63:$T$91,3,FALSE),0)+IF(AND($W45&lt;&gt;"",$W45&lt;&gt;"--",$W45&lt;&gt;"O3/CP",$W$14=A$18),IF(LEFT($W45,1)="P",VLOOKUP(CONCATENATE(LEFT($W45,2),"H"),$R$63:$T$91,3,FALSE),VLOOKUP($W45,$R$63:$T$91,3,FALSE)))+IF(AND($W45&lt;&gt;"",$W45&lt;&gt;"O3/CP",$W$15=A$18,MID($W45,4,1)="2",$W$15&lt;&gt;$W$14),VLOOKUP(CONCATENATE(LEFT($W45,2),"L"),$R$63:$T$91,3,FALSE),0)+IF(AND($W45="O3/CP",$W$14=A$18),VLOOKUP("O3",$R$63:$T$91,3,FALSE)+VLOOKUP("CP",$R$63:$T$91,3,FALSE),0)+IF(AND($X45&lt;&gt;"",$X45&lt;&gt;"--",$X45&lt;&gt;"O3/CP",$X$14=A$18),IF(LEFT($X45,1)="P",VLOOKUP(CONCATENATE(LEFT($X45,2),"H"),$R$63:$T$91,3,FALSE),VLOOKUP($X45,$R$63:$T$91,3,FALSE)))+IF(AND($X45&lt;&gt;"",$X45&lt;&gt;"O3/CP",$X$15=A$18,MID($X45,4,1)="2",$X$15&lt;&gt;$X$14),VLOOKUP(CONCATENATE(LEFT($X45,2),"L"),$R$63:$T$91,3,FALSE),0)+IF(AND($X45="O3/CP",$X$14=A$18),VLOOKUP("O3",$R$63:$T$91,3,FALSE)+VLOOKUP("CP",$R$63:$T$91,3,FALSE),0)+IF(AND($Y45&lt;&gt;"",$Y45&lt;&gt;"--",$Y45&lt;&gt;"O3/CP",$Y$14=A$18),IF(LEFT($Y45,1)="P",VLOOKUP(CONCATENATE(LEFT($Y45,2),"H"),$R$63:$T$91,3,FALSE),VLOOKUP($Y45,$R$63:$T$91,3,FALSE)))+IF(AND($Y45&lt;&gt;"",$Y45&lt;&gt;"O3/CP",$Y$15=A$18,MID($Y45,4,1)="2",$Y$15&lt;&gt;$Y$14),VLOOKUP(CONCATENATE(LEFT($Y45,2),"L"),$R$63:$T$91,3,FALSE),0)+IF(AND($Y45="O3/CP",$Y$14=A$18),VLOOKUP("O3",$R$63:$T$91,3,FALSE)+VLOOKUP("CP",$R$63:$T$91,3,FALSE),0)+IF(AND($K$6="CE",'[3]Supply Attribution'!$G$20=A$18),LEFT($S$90,2),0)+IF(AND($X$86&lt;&gt;"Not Set",$X$87=A$18),$X$86,0)</f>
        <v>0</v>
      </c>
      <c r="B45" s="271">
        <f>IF(AND($K45&lt;&gt;"",$K45&lt;&gt;"--",$K45&lt;&gt;"O3/CP",$K$14=B$18),IF(LEFT($K45,1)="P",VLOOKUP(CONCATENATE(LEFT($K45,2),"H"),$R$63:$T$91,3,FALSE),VLOOKUP($K45,$R$63:$T$91,3,FALSE)))+IF(AND($K45&lt;&gt;"",$K45&lt;&gt;"O3/CP",$K$15=B$18,MID($K45,4,1)="2",$K$15&lt;&gt;$K$14),VLOOKUP(CONCATENATE(LEFT($K45,2),"L"),$R$63:$T$91,3,FALSE),0)+IF(AND($K45="O3/CP",$K$14=B$18),VLOOKUP("O3",$R$63:$T$91,3,FALSE)+VLOOKUP("CP",$R$63:$T$91,3,FALSE),0)+IF(AND($L45&lt;&gt;"",$L45&lt;&gt;"--",$L45&lt;&gt;"O3/CP",$L$14=B$18),IF(LEFT($L45,1)="P",VLOOKUP(CONCATENATE(LEFT($L45,2),"H"),$R$63:$T$91,3,FALSE),VLOOKUP($L45,$R$63:$T$91,3,FALSE)))+IF(AND($L45&lt;&gt;"",$L45&lt;&gt;"O3/CP",$L$15=B$18,MID($L45,4,1)="2",$L$15&lt;&gt;$L$14),VLOOKUP(CONCATENATE(LEFT($L45,2),"L"),$R$63:$T$91,3,FALSE),0)+IF(AND($L45="O3/CP",$L$14=B$18),VLOOKUP("O3",$R$63:$T$91,3,FALSE)+VLOOKUP("CP",$R$63:$T$91,3,FALSE),0)+IF(AND($M45&lt;&gt;"",$M45&lt;&gt;"--",$M45&lt;&gt;"O3/CP",$M$14=B$18),IF(LEFT($M45,1)="P",VLOOKUP(CONCATENATE(LEFT($M45,2),"H"),$R$63:$T$91,3,FALSE),VLOOKUP($M45,$R$63:$T$91,3,FALSE)))+IF(AND($M45&lt;&gt;"",$M45&lt;&gt;"O3/CP",$M$15=B$18,MID($M45,4,1)="2",$M$15&lt;&gt;$M$14),VLOOKUP(CONCATENATE(LEFT($M45,2),"L"),$R$63:$T$91,3,FALSE),0)+IF(AND($M45="O3/CP",$M$14=B$18),VLOOKUP("O3",$R$63:$T$91,3,FALSE)+VLOOKUP("CP",$R$63:$T$91,3,FALSE),0)+IF(AND($N45&lt;&gt;"",$N45&lt;&gt;"--",$N45&lt;&gt;"O3/CP",$N$14=B$18),IF(LEFT($N45,1)="P",VLOOKUP(CONCATENATE(LEFT($N45,2),"H"),$R$63:$T$91,3,FALSE),VLOOKUP($N45,$R$63:$T$91,3,FALSE)))+IF(AND($N45&lt;&gt;"",$N45&lt;&gt;"O3/CP",$N$15=B$18,MID($N45,4,1)="2",$N$15&lt;&gt;$N$14),VLOOKUP(CONCATENATE(LEFT($N45,2),"L"),$R$63:$T$91,3,FALSE),0)+IF(AND($N45="O3/CP",$N$14=B$18),VLOOKUP("O3",$R$63:$T$91,3,FALSE)+VLOOKUP("CP",$R$63:$T$91,3,FALSE),0)+IF(AND($O45&lt;&gt;"",$O45&lt;&gt;"--",$O45&lt;&gt;"O3/CP",$O$14=B$18),IF(LEFT($O45,1)="P",VLOOKUP(CONCATENATE(LEFT($O45,2),"H"),$R$63:$T$91,3,FALSE),VLOOKUP($O45,$R$63:$T$91,3,FALSE)))+IF(AND($O45&lt;&gt;"",$O45&lt;&gt;"O3/CP",$O$15=B$18,MID($O45,4,1)="2",$O$15&lt;&gt;$O$14),VLOOKUP(CONCATENATE(LEFT($O45,2),"L"),$R$63:$T$91,3,FALSE),0)+IF(AND($O45="O3/CP",$O$14=B$18),VLOOKUP("O3",$R$63:$T$91,3,FALSE)+VLOOKUP("CP",$R$63:$T$91,3,FALSE),0)+IF(AND($P45&lt;&gt;"",$P45&lt;&gt;"--",$P45&lt;&gt;"O3/CP",$P$14=B$18),IF(LEFT($P45,1)="P",VLOOKUP(CONCATENATE(LEFT($P45,2),"H"),$R$63:$T$91,3,FALSE),VLOOKUP($P45,$R$63:$T$91,3,FALSE)))+IF(AND($P45&lt;&gt;"",$P45&lt;&gt;"O3/CP",$P$15=B$18,MID($P45,4,1)="2",$P$15&lt;&gt;$P$14),VLOOKUP(CONCATENATE(LEFT($P45,2),"L"),$R$63:$T$91,3,FALSE),0)+IF(AND($P45="O3/CP",$P$14=B$18),VLOOKUP("O3",$R$63:$T$91,3,FALSE)+VLOOKUP("CP",$R$63:$T$91,3,FALSE),0)+IF(AND($Q45&lt;&gt;"",$Q45&lt;&gt;"--",$Q45&lt;&gt;"O3/CP",$Q$14=B$18),IF(LEFT($Q45,1)="P",VLOOKUP(CONCATENATE(LEFT($Q45,2),"H"),$R$63:$T$91,3,FALSE),VLOOKUP($Q45,$R$63:$T$91,3,FALSE)))+IF(AND($Q45&lt;&gt;"",$Q45&lt;&gt;"O3/CP",$Q$15=B$18,MID($Q45,4,1)="2",$Q$15&lt;&gt;$Q$14),VLOOKUP(CONCATENATE(LEFT($Q45,2),"L"),$R$63:$T$91,3,FALSE),0)+IF(AND($Q45="O3/CP",$Q$14=B$18),VLOOKUP("O3",$R$63:$T$91,3,FALSE)+VLOOKUP("CP",$R$63:$T$91,3,FALSE),0)+IF(AND($R45&lt;&gt;"",$R45&lt;&gt;"--",$R45&lt;&gt;"O3/CP",$R$14=B$18),IF(LEFT($R45,1)="P",VLOOKUP(CONCATENATE(LEFT($R45,2),"H"),$R$63:$T$91,3,FALSE),VLOOKUP($R45,$R$63:$T$91,3,FALSE)))+IF(AND($R45&lt;&gt;"",$R45&lt;&gt;"O3/CP",$R$15=B$18,MID($R45,4,1)="2",$R$15&lt;&gt;$R$14),VLOOKUP(CONCATENATE(LEFT($R45,2),"L"),$R$63:$T$91,3,FALSE),0)+IF(AND($R45="O3/CP",$R$14=B$18),VLOOKUP("O3",$R$63:$T$91,3,FALSE)+VLOOKUP("CP",$R$63:$T$91,3,FALSE),0)+IF(AND($S45&lt;&gt;"",$S45&lt;&gt;"--",$S45&lt;&gt;"O3/CP",$S$14=B$18),IF(LEFT($S45,1)="P",VLOOKUP(CONCATENATE(LEFT($S45,2),"H"),$R$63:$T$91,3,FALSE),VLOOKUP($S45,$R$63:$T$91,3,FALSE)))+IF(AND($S45&lt;&gt;"",$S45&lt;&gt;"O3/CP",$S$15=B$18,MID($S45,4,1)="2",$S$15&lt;&gt;$S$14),VLOOKUP(CONCATENATE(LEFT($S45,2),"L"),$R$63:$T$91,3,FALSE),0)+IF(AND($S45="O3/CP",$S$14=B$18),VLOOKUP("O3",$R$63:$T$91,3,FALSE)+VLOOKUP("CP",$R$63:$T$91,3,FALSE),0)+IF(AND($T45&lt;&gt;"",$T45&lt;&gt;"--",$T45&lt;&gt;"O3/CP",$T$14=B$18),IF(LEFT($T45,1)="P",VLOOKUP(CONCATENATE(LEFT($T45,2),"H"),$R$63:$T$91,3,FALSE),VLOOKUP($T45,$R$63:$T$91,3,FALSE)))+IF(AND($T45&lt;&gt;"",$T45&lt;&gt;"O3/CP",$T$15=B$18,MID($T45,4,1)="2",$T$15&lt;&gt;$T$14),VLOOKUP(CONCATENATE(LEFT($T45,2),"L"),$R$63:$T$91,3,FALSE),0)+IF(AND($T45="O3/CP",$T$14=B$18),VLOOKUP("O3",$R$63:$T$91,3,FALSE)+VLOOKUP("CP",$R$63:$T$91,3,FALSE),0)+IF(AND($U45&lt;&gt;"",$U45&lt;&gt;"--",$U45&lt;&gt;"O3/CP",$U$14=B$18),IF(LEFT($U45,1)="P",VLOOKUP(CONCATENATE(LEFT($U45,2),"H"),$R$63:$T$91,3,FALSE),VLOOKUP($U45,$R$63:$T$91,3,FALSE)))+IF(AND($U45&lt;&gt;"",$U45&lt;&gt;"O3/CP",$U$15=B$18,MID($U45,4,1)="2",$U$15&lt;&gt;$U$14),VLOOKUP(CONCATENATE(LEFT($U45,2),"L"),$R$63:$T$91,3,FALSE),0)+IF(AND($U45="O3/CP",$T$14=B$18),VLOOKUP("O3",$R$63:$T$91,3,FALSE)+VLOOKUP("CP",$R$63:$T$91,3,FALSE),0)+IF(AND($V45&lt;&gt;"",$V45&lt;&gt;"--",$V45&lt;&gt;"O3/CP",$V$14=B$18),IF(LEFT($V45,1)="P",VLOOKUP(CONCATENATE(LEFT($V45,2),"H"),$R$63:$T$91,3,FALSE),VLOOKUP($V45,$R$63:$T$91,3,FALSE)))+IF(AND($V45&lt;&gt;"",$V45&lt;&gt;"O3/CP",$V$15=B$18,MID($V45,4,1)="2",$V$15&lt;&gt;$V$14),VLOOKUP(CONCATENATE(LEFT($V45,2),"L"),$R$63:$T$91,3,FALSE),0)+IF(AND($V45="O3/CP",$V$14=B$18),VLOOKUP("O3",$R$63:$T$91,3,FALSE)+VLOOKUP("CP",$R$63:$T$91,3,FALSE),0)+IF(AND($W45&lt;&gt;"",$W45&lt;&gt;"--",$W45&lt;&gt;"O3/CP",$W$14=B$18),IF(LEFT($W45,1)="P",VLOOKUP(CONCATENATE(LEFT($W45,2),"H"),$R$63:$T$91,3,FALSE),VLOOKUP($W45,$R$63:$T$91,3,FALSE)))+IF(AND($W45&lt;&gt;"",$W45&lt;&gt;"O3/CP",$W$15=B$18,MID($W45,4,1)="2",$W$15&lt;&gt;$W$14),VLOOKUP(CONCATENATE(LEFT($W45,2),"L"),$R$63:$T$91,3,FALSE),0)+IF(AND($W45="O3/CP",$W$14=B$18),VLOOKUP("O3",$R$63:$T$91,3,FALSE)+VLOOKUP("CP",$R$63:$T$91,3,FALSE),0)+IF(AND($X45&lt;&gt;"",$X45&lt;&gt;"--",$X45&lt;&gt;"O3/CP",$X$14=B$18),IF(LEFT($X45,1)="P",VLOOKUP(CONCATENATE(LEFT($X45,2),"H"),$R$63:$T$91,3,FALSE),VLOOKUP($X45,$R$63:$T$91,3,FALSE)))+IF(AND($X45&lt;&gt;"",$X45&lt;&gt;"O3/CP",$X$15=B$18,MID($X45,4,1)="2",$X$15&lt;&gt;$X$14),VLOOKUP(CONCATENATE(LEFT($X45,2),"L"),$R$63:$T$91,3,FALSE),0)+IF(AND($X45="O3/CP",$X$14=B$18),VLOOKUP("O3",$R$63:$T$91,3,FALSE)+VLOOKUP("CP",$R$63:$T$91,3,FALSE),0)+IF(AND($Y45&lt;&gt;"",$Y45&lt;&gt;"--",$Y45&lt;&gt;"O3/CP",$Y$14=B$18),IF(LEFT($Y45,1)="P",VLOOKUP(CONCATENATE(LEFT($Y45,2),"H"),$R$63:$T$91,3,FALSE),VLOOKUP($Y45,$R$63:$T$91,3,FALSE)))+IF(AND($Y45&lt;&gt;"",$Y45&lt;&gt;"O3/CP",$Y$15=B$18,MID($Y45,4,1)="2",$Y$15&lt;&gt;$Y$14),VLOOKUP(CONCATENATE(LEFT($Y45,2),"L"),$R$63:$T$91,3,FALSE),0)+IF(AND($Y45="O3/CP",$Y$14=B$18),VLOOKUP("O3",$R$63:$T$91,3,FALSE)+VLOOKUP("CP",$R$63:$T$91,3,FALSE),0)+IF(AND($K$6="CE",'[3]Supply Attribution'!$G$20=B$18),LEFT($S$90,2),0)+IF(AND($X$86&lt;&gt;"Not Set",$X$87=B$18),$X$86,0)</f>
        <v>0</v>
      </c>
      <c r="C45" s="271">
        <f>IF(AND($K45&lt;&gt;"",$K45&lt;&gt;"--",$K45&lt;&gt;"O3/CP",$K$14=C$18),IF(LEFT($K45,1)="P",VLOOKUP(CONCATENATE(LEFT($K45,2),"H"),$R$63:$T$91,3,FALSE),VLOOKUP($K45,$R$63:$T$91,3,FALSE)))+IF(AND($K45&lt;&gt;"",$K45&lt;&gt;"O3/CP",$K$15=C$18,MID($K45,4,1)="2",$K$15&lt;&gt;$K$14),VLOOKUP(CONCATENATE(LEFT($K45,2),"L"),$R$63:$T$91,3,FALSE),0)+IF(AND($K45="O3/CP",$K$14=C$18),VLOOKUP("O3",$R$63:$T$91,3,FALSE)+VLOOKUP("CP",$R$63:$T$91,3,FALSE),0)+IF(AND($L45&lt;&gt;"",$L45&lt;&gt;"--",$L45&lt;&gt;"O3/CP",$L$14=C$18),IF(LEFT($L45,1)="P",VLOOKUP(CONCATENATE(LEFT($L45,2),"H"),$R$63:$T$91,3,FALSE),VLOOKUP($L45,$R$63:$T$91,3,FALSE)))+IF(AND($L45&lt;&gt;"",$L45&lt;&gt;"O3/CP",$L$15=C$18,MID($L45,4,1)="2",$L$15&lt;&gt;$L$14),VLOOKUP(CONCATENATE(LEFT($L45,2),"L"),$R$63:$T$91,3,FALSE),0)+IF(AND($L45="O3/CP",$L$14=C$18),VLOOKUP("O3",$R$63:$T$91,3,FALSE)+VLOOKUP("CP",$R$63:$T$91,3,FALSE),0)+IF(AND($M45&lt;&gt;"",$M45&lt;&gt;"--",$M45&lt;&gt;"O3/CP",$M$14=C$18),IF(LEFT($M45,1)="P",VLOOKUP(CONCATENATE(LEFT($M45,2),"H"),$R$63:$T$91,3,FALSE),VLOOKUP($M45,$R$63:$T$91,3,FALSE)))+IF(AND($M45&lt;&gt;"",$M45&lt;&gt;"O3/CP",$M$15=C$18,MID($M45,4,1)="2",$M$15&lt;&gt;$M$14),VLOOKUP(CONCATENATE(LEFT($M45,2),"L"),$R$63:$T$91,3,FALSE),0)+IF(AND($M45="O3/CP",$M$14=C$18),VLOOKUP("O3",$R$63:$T$91,3,FALSE)+VLOOKUP("CP",$R$63:$T$91,3,FALSE),0)+IF(AND($N45&lt;&gt;"",$N45&lt;&gt;"--",$N45&lt;&gt;"O3/CP",$N$14=C$18),IF(LEFT($N45,1)="P",VLOOKUP(CONCATENATE(LEFT($N45,2),"H"),$R$63:$T$91,3,FALSE),VLOOKUP($N45,$R$63:$T$91,3,FALSE)))+IF(AND($N45&lt;&gt;"",$N45&lt;&gt;"O3/CP",$N$15=C$18,MID($N45,4,1)="2",$N$15&lt;&gt;$N$14),VLOOKUP(CONCATENATE(LEFT($N45,2),"L"),$R$63:$T$91,3,FALSE),0)+IF(AND($N45="O3/CP",$N$14=C$18),VLOOKUP("O3",$R$63:$T$91,3,FALSE)+VLOOKUP("CP",$R$63:$T$91,3,FALSE),0)+IF(AND($O45&lt;&gt;"",$O45&lt;&gt;"--",$O45&lt;&gt;"O3/CP",$O$14=C$18),IF(LEFT($O45,1)="P",VLOOKUP(CONCATENATE(LEFT($O45,2),"H"),$R$63:$T$91,3,FALSE),VLOOKUP($O45,$R$63:$T$91,3,FALSE)))+IF(AND($O45&lt;&gt;"",$O45&lt;&gt;"O3/CP",$O$15=C$18,MID($O45,4,1)="2",$O$15&lt;&gt;$O$14),VLOOKUP(CONCATENATE(LEFT($O45,2),"L"),$R$63:$T$91,3,FALSE),0)+IF(AND($O45="O3/CP",$O$14=C$18),VLOOKUP("O3",$R$63:$T$91,3,FALSE)+VLOOKUP("CP",$R$63:$T$91,3,FALSE),0)+IF(AND($P45&lt;&gt;"",$P45&lt;&gt;"--",$P45&lt;&gt;"O3/CP",$P$14=C$18),IF(LEFT($P45,1)="P",VLOOKUP(CONCATENATE(LEFT($P45,2),"H"),$R$63:$T$91,3,FALSE),VLOOKUP($P45,$R$63:$T$91,3,FALSE)))+IF(AND($P45&lt;&gt;"",$P45&lt;&gt;"O3/CP",$P$15=C$18,MID($P45,4,1)="2",$P$15&lt;&gt;$P$14),VLOOKUP(CONCATENATE(LEFT($P45,2),"L"),$R$63:$T$91,3,FALSE),0)+IF(AND($P45="O3/CP",$P$14=C$18),VLOOKUP("O3",$R$63:$T$91,3,FALSE)+VLOOKUP("CP",$R$63:$T$91,3,FALSE),0)+IF(AND($Q45&lt;&gt;"",$Q45&lt;&gt;"--",$Q45&lt;&gt;"O3/CP",$Q$14=C$18),IF(LEFT($Q45,1)="P",VLOOKUP(CONCATENATE(LEFT($Q45,2),"H"),$R$63:$T$91,3,FALSE),VLOOKUP($Q45,$R$63:$T$91,3,FALSE)))+IF(AND($Q45&lt;&gt;"",$Q45&lt;&gt;"O3/CP",$Q$15=C$18,MID($Q45,4,1)="2",$Q$15&lt;&gt;$Q$14),VLOOKUP(CONCATENATE(LEFT($Q45,2),"L"),$R$63:$T$91,3,FALSE),0)+IF(AND($Q45="O3/CP",$Q$14=C$18),VLOOKUP("O3",$R$63:$T$91,3,FALSE)+VLOOKUP("CP",$R$63:$T$91,3,FALSE),0)+IF(AND($R45&lt;&gt;"",$R45&lt;&gt;"--",$R45&lt;&gt;"O3/CP",$R$14=C$18),IF(LEFT($R45,1)="P",VLOOKUP(CONCATENATE(LEFT($R45,2),"H"),$R$63:$T$91,3,FALSE),VLOOKUP($R45,$R$63:$T$91,3,FALSE)))+IF(AND($R45&lt;&gt;"",$R45&lt;&gt;"O3/CP",$R$15=C$18,MID($R45,4,1)="2",$R$15&lt;&gt;$R$14),VLOOKUP(CONCATENATE(LEFT($R45,2),"L"),$R$63:$T$91,3,FALSE),0)+IF(AND($R45="O3/CP",$R$14=C$18),VLOOKUP("O3",$R$63:$T$91,3,FALSE)+VLOOKUP("CP",$R$63:$T$91,3,FALSE),0)+IF(AND($S45&lt;&gt;"",$S45&lt;&gt;"--",$S45&lt;&gt;"O3/CP",$S$14=C$18),IF(LEFT($S45,1)="P",VLOOKUP(CONCATENATE(LEFT($S45,2),"H"),$R$63:$T$91,3,FALSE),VLOOKUP($S45,$R$63:$T$91,3,FALSE)))+IF(AND($S45&lt;&gt;"",$S45&lt;&gt;"O3/CP",$S$15=C$18,MID($S45,4,1)="2",$S$15&lt;&gt;$S$14),VLOOKUP(CONCATENATE(LEFT($S45,2),"L"),$R$63:$T$91,3,FALSE),0)+IF(AND($S45="O3/CP",$S$14=C$18),VLOOKUP("O3",$R$63:$T$91,3,FALSE)+VLOOKUP("CP",$R$63:$T$91,3,FALSE),0)+IF(AND($T45&lt;&gt;"",$T45&lt;&gt;"--",$T45&lt;&gt;"O3/CP",$T$14=C$18),IF(LEFT($T45,1)="P",VLOOKUP(CONCATENATE(LEFT($T45,2),"H"),$R$63:$T$91,3,FALSE),VLOOKUP($T45,$R$63:$T$91,3,FALSE)))+IF(AND($T45&lt;&gt;"",$T45&lt;&gt;"O3/CP",$T$15=C$18,MID($T45,4,1)="2",$T$15&lt;&gt;$T$14),VLOOKUP(CONCATENATE(LEFT($T45,2),"L"),$R$63:$T$91,3,FALSE),0)+IF(AND($T45="O3/CP",$T$14=C$18),VLOOKUP("O3",$R$63:$T$91,3,FALSE)+VLOOKUP("CP",$R$63:$T$91,3,FALSE),0)+IF(AND($U45&lt;&gt;"",$U45&lt;&gt;"--",$U45&lt;&gt;"O3/CP",$U$14=C$18),IF(LEFT($U45,1)="P",VLOOKUP(CONCATENATE(LEFT($U45,2),"H"),$R$63:$T$91,3,FALSE),VLOOKUP($U45,$R$63:$T$91,3,FALSE)))+IF(AND($U45&lt;&gt;"",$U45&lt;&gt;"O3/CP",$U$15=C$18,MID($U45,4,1)="2",$U$15&lt;&gt;$U$14),VLOOKUP(CONCATENATE(LEFT($U45,2),"L"),$R$63:$T$91,3,FALSE),0)+IF(AND($U45="O3/CP",$T$14=C$18),VLOOKUP("O3",$R$63:$T$91,3,FALSE)+VLOOKUP("CP",$R$63:$T$91,3,FALSE),0)+IF(AND($V45&lt;&gt;"",$V45&lt;&gt;"--",$V45&lt;&gt;"O3/CP",$V$14=C$18),IF(LEFT($V45,1)="P",VLOOKUP(CONCATENATE(LEFT($V45,2),"H"),$R$63:$T$91,3,FALSE),VLOOKUP($V45,$R$63:$T$91,3,FALSE)))+IF(AND($V45&lt;&gt;"",$V45&lt;&gt;"O3/CP",$V$15=C$18,MID($V45,4,1)="2",$V$15&lt;&gt;$V$14),VLOOKUP(CONCATENATE(LEFT($V45,2),"L"),$R$63:$T$91,3,FALSE),0)+IF(AND($V45="O3/CP",$V$14=C$18),VLOOKUP("O3",$R$63:$T$91,3,FALSE)+VLOOKUP("CP",$R$63:$T$91,3,FALSE),0)+IF(AND($W45&lt;&gt;"",$W45&lt;&gt;"--",$W45&lt;&gt;"O3/CP",$W$14=C$18),IF(LEFT($W45,1)="P",VLOOKUP(CONCATENATE(LEFT($W45,2),"H"),$R$63:$T$91,3,FALSE),VLOOKUP($W45,$R$63:$T$91,3,FALSE)))+IF(AND($W45&lt;&gt;"",$W45&lt;&gt;"O3/CP",$W$15=C$18,MID($W45,4,1)="2",$W$15&lt;&gt;$W$14),VLOOKUP(CONCATENATE(LEFT($W45,2),"L"),$R$63:$T$91,3,FALSE),0)+IF(AND($W45="O3/CP",$W$14=C$18),VLOOKUP("O3",$R$63:$T$91,3,FALSE)+VLOOKUP("CP",$R$63:$T$91,3,FALSE),0)+IF(AND($X45&lt;&gt;"",$X45&lt;&gt;"--",$X45&lt;&gt;"O3/CP",$X$14=C$18),IF(LEFT($X45,1)="P",VLOOKUP(CONCATENATE(LEFT($X45,2),"H"),$R$63:$T$91,3,FALSE),VLOOKUP($X45,$R$63:$T$91,3,FALSE)))+IF(AND($X45&lt;&gt;"",$X45&lt;&gt;"O3/CP",$X$15=C$18,MID($X45,4,1)="2",$X$15&lt;&gt;$X$14),VLOOKUP(CONCATENATE(LEFT($X45,2),"L"),$R$63:$T$91,3,FALSE),0)+IF(AND($X45="O3/CP",$X$14=C$18),VLOOKUP("O3",$R$63:$T$91,3,FALSE)+VLOOKUP("CP",$R$63:$T$91,3,FALSE),0)+IF(AND($Y45&lt;&gt;"",$Y45&lt;&gt;"--",$Y45&lt;&gt;"O3/CP",$Y$14=C$18),IF(LEFT($Y45,1)="P",VLOOKUP(CONCATENATE(LEFT($Y45,2),"H"),$R$63:$T$91,3,FALSE),VLOOKUP($Y45,$R$63:$T$91,3,FALSE)))+IF(AND($Y45&lt;&gt;"",$Y45&lt;&gt;"O3/CP",$Y$15=C$18,MID($Y45,4,1)="2",$Y$15&lt;&gt;$Y$14),VLOOKUP(CONCATENATE(LEFT($Y45,2),"L"),$R$63:$T$91,3,FALSE),0)+IF(AND($Y45="O3/CP",$Y$14=C$18),VLOOKUP("O3",$R$63:$T$91,3,FALSE)+VLOOKUP("CP",$R$63:$T$91,3,FALSE),0)+IF(AND($K$6="CE",'[3]Supply Attribution'!$G$20=C$18),LEFT($S$90,2),0)+IF(AND($X$86&lt;&gt;"Not Set",$X$87=C$18),$X$86,0)</f>
        <v>0</v>
      </c>
      <c r="D45" s="271">
        <f>IF(AND($K45&lt;&gt;"",$K45&lt;&gt;"--",$K45&lt;&gt;"O3/CP",$K$14=D$18),IF(LEFT($K45,1)="P",VLOOKUP(CONCATENATE(LEFT($K45,2),"H"),$R$63:$T$91,3,FALSE),VLOOKUP($K45,$R$63:$T$91,3,FALSE)))+IF(AND($K45&lt;&gt;"",$K45&lt;&gt;"O3/CP",$K$15=D$18,MID($K45,4,1)="2",$K$15&lt;&gt;$K$14),VLOOKUP(CONCATENATE(LEFT($K45,2),"L"),$R$63:$T$91,3,FALSE),0)+IF(AND($K45="O3/CP",$K$14=D$18),VLOOKUP("O3",$R$63:$T$91,3,FALSE)+VLOOKUP("CP",$R$63:$T$91,3,FALSE),0)+IF(AND($L45&lt;&gt;"",$L45&lt;&gt;"--",$L45&lt;&gt;"O3/CP",$L$14=D$18),IF(LEFT($L45,1)="P",VLOOKUP(CONCATENATE(LEFT($L45,2),"H"),$R$63:$T$91,3,FALSE),VLOOKUP($L45,$R$63:$T$91,3,FALSE)))+IF(AND($L45&lt;&gt;"",$L45&lt;&gt;"O3/CP",$L$15=D$18,MID($L45,4,1)="2",$L$15&lt;&gt;$L$14),VLOOKUP(CONCATENATE(LEFT($L45,2),"L"),$R$63:$T$91,3,FALSE),0)+IF(AND($L45="O3/CP",$L$14=D$18),VLOOKUP("O3",$R$63:$T$91,3,FALSE)+VLOOKUP("CP",$R$63:$T$91,3,FALSE),0)+IF(AND($M45&lt;&gt;"",$M45&lt;&gt;"--",$M45&lt;&gt;"O3/CP",$M$14=D$18),IF(LEFT($M45,1)="P",VLOOKUP(CONCATENATE(LEFT($M45,2),"H"),$R$63:$T$91,3,FALSE),VLOOKUP($M45,$R$63:$T$91,3,FALSE)))+IF(AND($M45&lt;&gt;"",$M45&lt;&gt;"O3/CP",$M$15=D$18,MID($M45,4,1)="2",$M$15&lt;&gt;$M$14),VLOOKUP(CONCATENATE(LEFT($M45,2),"L"),$R$63:$T$91,3,FALSE),0)+IF(AND($M45="O3/CP",$M$14=D$18),VLOOKUP("O3",$R$63:$T$91,3,FALSE)+VLOOKUP("CP",$R$63:$T$91,3,FALSE),0)+IF(AND($N45&lt;&gt;"",$N45&lt;&gt;"--",$N45&lt;&gt;"O3/CP",$N$14=D$18),IF(LEFT($N45,1)="P",VLOOKUP(CONCATENATE(LEFT($N45,2),"H"),$R$63:$T$91,3,FALSE),VLOOKUP($N45,$R$63:$T$91,3,FALSE)))+IF(AND($N45&lt;&gt;"",$N45&lt;&gt;"O3/CP",$N$15=D$18,MID($N45,4,1)="2",$N$15&lt;&gt;$N$14),VLOOKUP(CONCATENATE(LEFT($N45,2),"L"),$R$63:$T$91,3,FALSE),0)+IF(AND($N45="O3/CP",$N$14=D$18),VLOOKUP("O3",$R$63:$T$91,3,FALSE)+VLOOKUP("CP",$R$63:$T$91,3,FALSE),0)+IF(AND($O45&lt;&gt;"",$O45&lt;&gt;"--",$O45&lt;&gt;"O3/CP",$O$14=D$18),IF(LEFT($O45,1)="P",VLOOKUP(CONCATENATE(LEFT($O45,2),"H"),$R$63:$T$91,3,FALSE),VLOOKUP($O45,$R$63:$T$91,3,FALSE)))+IF(AND($O45&lt;&gt;"",$O45&lt;&gt;"O3/CP",$O$15=D$18,MID($O45,4,1)="2",$O$15&lt;&gt;$O$14),VLOOKUP(CONCATENATE(LEFT($O45,2),"L"),$R$63:$T$91,3,FALSE),0)+IF(AND($O45="O3/CP",$O$14=D$18),VLOOKUP("O3",$R$63:$T$91,3,FALSE)+VLOOKUP("CP",$R$63:$T$91,3,FALSE),0)+IF(AND($P45&lt;&gt;"",$P45&lt;&gt;"--",$P45&lt;&gt;"O3/CP",$P$14=D$18),IF(LEFT($P45,1)="P",VLOOKUP(CONCATENATE(LEFT($P45,2),"H"),$R$63:$T$91,3,FALSE),VLOOKUP($P45,$R$63:$T$91,3,FALSE)))+IF(AND($P45&lt;&gt;"",$P45&lt;&gt;"O3/CP",$P$15=D$18,MID($P45,4,1)="2",$P$15&lt;&gt;$P$14),VLOOKUP(CONCATENATE(LEFT($P45,2),"L"),$R$63:$T$91,3,FALSE),0)+IF(AND($P45="O3/CP",$P$14=D$18),VLOOKUP("O3",$R$63:$T$91,3,FALSE)+VLOOKUP("CP",$R$63:$T$91,3,FALSE),0)+IF(AND($Q45&lt;&gt;"",$Q45&lt;&gt;"--",$Q45&lt;&gt;"O3/CP",$Q$14=D$18),IF(LEFT($Q45,1)="P",VLOOKUP(CONCATENATE(LEFT($Q45,2),"H"),$R$63:$T$91,3,FALSE),VLOOKUP($Q45,$R$63:$T$91,3,FALSE)))+IF(AND($Q45&lt;&gt;"",$Q45&lt;&gt;"O3/CP",$Q$15=D$18,MID($Q45,4,1)="2",$Q$15&lt;&gt;$Q$14),VLOOKUP(CONCATENATE(LEFT($Q45,2),"L"),$R$63:$T$91,3,FALSE),0)+IF(AND($Q45="O3/CP",$Q$14=D$18),VLOOKUP("O3",$R$63:$T$91,3,FALSE)+VLOOKUP("CP",$R$63:$T$91,3,FALSE),0)+IF(AND($R45&lt;&gt;"",$R45&lt;&gt;"--",$R45&lt;&gt;"O3/CP",$R$14=D$18),IF(LEFT($R45,1)="P",VLOOKUP(CONCATENATE(LEFT($R45,2),"H"),$R$63:$T$91,3,FALSE),VLOOKUP($R45,$R$63:$T$91,3,FALSE)))+IF(AND($R45&lt;&gt;"",$R45&lt;&gt;"O3/CP",$R$15=D$18,MID($R45,4,1)="2",$R$15&lt;&gt;$R$14),VLOOKUP(CONCATENATE(LEFT($R45,2),"L"),$R$63:$T$91,3,FALSE),0)+IF(AND($R45="O3/CP",$R$14=D$18),VLOOKUP("O3",$R$63:$T$91,3,FALSE)+VLOOKUP("CP",$R$63:$T$91,3,FALSE),0)+IF(AND($S45&lt;&gt;"",$S45&lt;&gt;"--",$S45&lt;&gt;"O3/CP",$S$14=D$18),IF(LEFT($S45,1)="P",VLOOKUP(CONCATENATE(LEFT($S45,2),"H"),$R$63:$T$91,3,FALSE),VLOOKUP($S45,$R$63:$T$91,3,FALSE)))+IF(AND($S45&lt;&gt;"",$S45&lt;&gt;"O3/CP",$S$15=D$18,MID($S45,4,1)="2",$S$15&lt;&gt;$S$14),VLOOKUP(CONCATENATE(LEFT($S45,2),"L"),$R$63:$T$91,3,FALSE),0)+IF(AND($S45="O3/CP",$S$14=D$18),VLOOKUP("O3",$R$63:$T$91,3,FALSE)+VLOOKUP("CP",$R$63:$T$91,3,FALSE),0)+IF(AND($T45&lt;&gt;"",$T45&lt;&gt;"--",$T45&lt;&gt;"O3/CP",$T$14=D$18),IF(LEFT($T45,1)="P",VLOOKUP(CONCATENATE(LEFT($T45,2),"H"),$R$63:$T$91,3,FALSE),VLOOKUP($T45,$R$63:$T$91,3,FALSE)))+IF(AND($T45&lt;&gt;"",$T45&lt;&gt;"O3/CP",$T$15=D$18,MID($T45,4,1)="2",$T$15&lt;&gt;$T$14),VLOOKUP(CONCATENATE(LEFT($T45,2),"L"),$R$63:$T$91,3,FALSE),0)+IF(AND($T45="O3/CP",$T$14=D$18),VLOOKUP("O3",$R$63:$T$91,3,FALSE)+VLOOKUP("CP",$R$63:$T$91,3,FALSE),0)+IF(AND($U45&lt;&gt;"",$U45&lt;&gt;"--",$U45&lt;&gt;"O3/CP",$U$14=D$18),IF(LEFT($U45,1)="P",VLOOKUP(CONCATENATE(LEFT($U45,2),"H"),$R$63:$T$91,3,FALSE),VLOOKUP($U45,$R$63:$T$91,3,FALSE)))+IF(AND($U45&lt;&gt;"",$U45&lt;&gt;"O3/CP",$U$15=D$18,MID($U45,4,1)="2",$U$15&lt;&gt;$U$14),VLOOKUP(CONCATENATE(LEFT($U45,2),"L"),$R$63:$T$91,3,FALSE),0)+IF(AND($U45="O3/CP",$T$14=D$18),VLOOKUP("O3",$R$63:$T$91,3,FALSE)+VLOOKUP("CP",$R$63:$T$91,3,FALSE),0)+IF(AND($V45&lt;&gt;"",$V45&lt;&gt;"--",$V45&lt;&gt;"O3/CP",$V$14=D$18),IF(LEFT($V45,1)="P",VLOOKUP(CONCATENATE(LEFT($V45,2),"H"),$R$63:$T$91,3,FALSE),VLOOKUP($V45,$R$63:$T$91,3,FALSE)))+IF(AND($V45&lt;&gt;"",$V45&lt;&gt;"O3/CP",$V$15=D$18,MID($V45,4,1)="2",$V$15&lt;&gt;$V$14),VLOOKUP(CONCATENATE(LEFT($V45,2),"L"),$R$63:$T$91,3,FALSE),0)+IF(AND($V45="O3/CP",$V$14=D$18),VLOOKUP("O3",$R$63:$T$91,3,FALSE)+VLOOKUP("CP",$R$63:$T$91,3,FALSE),0)+IF(AND($W45&lt;&gt;"",$W45&lt;&gt;"--",$W45&lt;&gt;"O3/CP",$W$14=D$18),IF(LEFT($W45,1)="P",VLOOKUP(CONCATENATE(LEFT($W45,2),"H"),$R$63:$T$91,3,FALSE),VLOOKUP($W45,$R$63:$T$91,3,FALSE)))+IF(AND($W45&lt;&gt;"",$W45&lt;&gt;"O3/CP",$W$15=D$18,MID($W45,4,1)="2",$W$15&lt;&gt;$W$14),VLOOKUP(CONCATENATE(LEFT($W45,2),"L"),$R$63:$T$91,3,FALSE),0)+IF(AND($W45="O3/CP",$W$14=D$18),VLOOKUP("O3",$R$63:$T$91,3,FALSE)+VLOOKUP("CP",$R$63:$T$91,3,FALSE),0)+IF(AND($X45&lt;&gt;"",$X45&lt;&gt;"--",$X45&lt;&gt;"O3/CP",$X$14=D$18),IF(LEFT($X45,1)="P",VLOOKUP(CONCATENATE(LEFT($X45,2),"H"),$R$63:$T$91,3,FALSE),VLOOKUP($X45,$R$63:$T$91,3,FALSE)))+IF(AND($X45&lt;&gt;"",$X45&lt;&gt;"O3/CP",$X$15=D$18,MID($X45,4,1)="2",$X$15&lt;&gt;$X$14),VLOOKUP(CONCATENATE(LEFT($X45,2),"L"),$R$63:$T$91,3,FALSE),0)+IF(AND($X45="O3/CP",$X$14=D$18),VLOOKUP("O3",$R$63:$T$91,3,FALSE)+VLOOKUP("CP",$R$63:$T$91,3,FALSE),0)+IF(AND($Y45&lt;&gt;"",$Y45&lt;&gt;"--",$Y45&lt;&gt;"O3/CP",$Y$14=D$18),IF(LEFT($Y45,1)="P",VLOOKUP(CONCATENATE(LEFT($Y45,2),"H"),$R$63:$T$91,3,FALSE),VLOOKUP($Y45,$R$63:$T$91,3,FALSE)))+IF(AND($Y45&lt;&gt;"",$Y45&lt;&gt;"O3/CP",$Y$15=D$18,MID($Y45,4,1)="2",$Y$15&lt;&gt;$Y$14),VLOOKUP(CONCATENATE(LEFT($Y45,2),"L"),$R$63:$T$91,3,FALSE),0)+IF(AND($Y45="O3/CP",$Y$14=D$18),VLOOKUP("O3",$R$63:$T$91,3,FALSE)+VLOOKUP("CP",$R$63:$T$91,3,FALSE),0)+IF(AND($K$6="CE",'[3]Supply Attribution'!$G$20=D$18),LEFT($S$90,2),0)+IF(AND($X$86&lt;&gt;"Not Set",$X$87=D$18),$X$86,0)</f>
        <v>0</v>
      </c>
      <c r="E45" s="271">
        <f>IF(AND($K45&lt;&gt;"",$K45&lt;&gt;"--",$K45&lt;&gt;"O3/CP",$K$14=E$18),IF(LEFT($K45,1)="P",VLOOKUP(CONCATENATE(LEFT($K45,2),"H"),$R$63:$T$91,3,FALSE),VLOOKUP($K45,$R$63:$T$91,3,FALSE)))+IF(AND($K45&lt;&gt;"",$K45&lt;&gt;"O3/CP",$K$15=E$18,MID($K45,4,1)="2",$K$15&lt;&gt;$K$14),VLOOKUP(CONCATENATE(LEFT($K45,2),"L"),$R$63:$T$91,3,FALSE),0)+IF(AND($K45="O3/CP",$K$14=E$18),VLOOKUP("O3",$R$63:$T$91,3,FALSE)+VLOOKUP("CP",$R$63:$T$91,3,FALSE),0)+IF(AND($L45&lt;&gt;"",$L45&lt;&gt;"--",$L45&lt;&gt;"O3/CP",$L$14=E$18),IF(LEFT($L45,1)="P",VLOOKUP(CONCATENATE(LEFT($L45,2),"H"),$R$63:$T$91,3,FALSE),VLOOKUP($L45,$R$63:$T$91,3,FALSE)))+IF(AND($L45&lt;&gt;"",$L45&lt;&gt;"O3/CP",$L$15=E$18,MID($L45,4,1)="2",$L$15&lt;&gt;$L$14),VLOOKUP(CONCATENATE(LEFT($L45,2),"L"),$R$63:$T$91,3,FALSE),0)+IF(AND($L45="O3/CP",$L$14=E$18),VLOOKUP("O3",$R$63:$T$91,3,FALSE)+VLOOKUP("CP",$R$63:$T$91,3,FALSE),0)+IF(AND($M45&lt;&gt;"",$M45&lt;&gt;"--",$M45&lt;&gt;"O3/CP",$M$14=E$18),IF(LEFT($M45,1)="P",VLOOKUP(CONCATENATE(LEFT($M45,2),"H"),$R$63:$T$91,3,FALSE),VLOOKUP($M45,$R$63:$T$91,3,FALSE)))+IF(AND($M45&lt;&gt;"",$M45&lt;&gt;"O3/CP",$M$15=E$18,MID($M45,4,1)="2",$M$15&lt;&gt;$M$14),VLOOKUP(CONCATENATE(LEFT($M45,2),"L"),$R$63:$T$91,3,FALSE),0)+IF(AND($M45="O3/CP",$M$14=E$18),VLOOKUP("O3",$R$63:$T$91,3,FALSE)+VLOOKUP("CP",$R$63:$T$91,3,FALSE),0)+IF(AND($N45&lt;&gt;"",$N45&lt;&gt;"--",$N45&lt;&gt;"O3/CP",$N$14=E$18),IF(LEFT($N45,1)="P",VLOOKUP(CONCATENATE(LEFT($N45,2),"H"),$R$63:$T$91,3,FALSE),VLOOKUP($N45,$R$63:$T$91,3,FALSE)))+IF(AND($N45&lt;&gt;"",$N45&lt;&gt;"O3/CP",$N$15=E$18,MID($N45,4,1)="2",$N$15&lt;&gt;$N$14),VLOOKUP(CONCATENATE(LEFT($N45,2),"L"),$R$63:$T$91,3,FALSE),0)+IF(AND($N45="O3/CP",$N$14=E$18),VLOOKUP("O3",$R$63:$T$91,3,FALSE)+VLOOKUP("CP",$R$63:$T$91,3,FALSE),0)+IF(AND($O45&lt;&gt;"",$O45&lt;&gt;"--",$O45&lt;&gt;"O3/CP",$O$14=E$18),IF(LEFT($O45,1)="P",VLOOKUP(CONCATENATE(LEFT($O45,2),"H"),$R$63:$T$91,3,FALSE),VLOOKUP($O45,$R$63:$T$91,3,FALSE)))+IF(AND($O45&lt;&gt;"",$O45&lt;&gt;"O3/CP",$O$15=E$18,MID($O45,4,1)="2",$O$15&lt;&gt;$O$14),VLOOKUP(CONCATENATE(LEFT($O45,2),"L"),$R$63:$T$91,3,FALSE),0)+IF(AND($O45="O3/CP",$O$14=E$18),VLOOKUP("O3",$R$63:$T$91,3,FALSE)+VLOOKUP("CP",$R$63:$T$91,3,FALSE),0)+IF(AND($P45&lt;&gt;"",$P45&lt;&gt;"--",$P45&lt;&gt;"O3/CP",$P$14=E$18),IF(LEFT($P45,1)="P",VLOOKUP(CONCATENATE(LEFT($P45,2),"H"),$R$63:$T$91,3,FALSE),VLOOKUP($P45,$R$63:$T$91,3,FALSE)))+IF(AND($P45&lt;&gt;"",$P45&lt;&gt;"O3/CP",$P$15=E$18,MID($P45,4,1)="2",$P$15&lt;&gt;$P$14),VLOOKUP(CONCATENATE(LEFT($P45,2),"L"),$R$63:$T$91,3,FALSE),0)+IF(AND($P45="O3/CP",$P$14=E$18),VLOOKUP("O3",$R$63:$T$91,3,FALSE)+VLOOKUP("CP",$R$63:$T$91,3,FALSE),0)+IF(AND($Q45&lt;&gt;"",$Q45&lt;&gt;"--",$Q45&lt;&gt;"O3/CP",$Q$14=E$18),IF(LEFT($Q45,1)="P",VLOOKUP(CONCATENATE(LEFT($Q45,2),"H"),$R$63:$T$91,3,FALSE),VLOOKUP($Q45,$R$63:$T$91,3,FALSE)))+IF(AND($Q45&lt;&gt;"",$Q45&lt;&gt;"O3/CP",$Q$15=E$18,MID($Q45,4,1)="2",$Q$15&lt;&gt;$Q$14),VLOOKUP(CONCATENATE(LEFT($Q45,2),"L"),$R$63:$T$91,3,FALSE),0)+IF(AND($Q45="O3/CP",$Q$14=E$18),VLOOKUP("O3",$R$63:$T$91,3,FALSE)+VLOOKUP("CP",$R$63:$T$91,3,FALSE),0)+IF(AND($R45&lt;&gt;"",$R45&lt;&gt;"--",$R45&lt;&gt;"O3/CP",$R$14=E$18),IF(LEFT($R45,1)="P",VLOOKUP(CONCATENATE(LEFT($R45,2),"H"),$R$63:$T$91,3,FALSE),VLOOKUP($R45,$R$63:$T$91,3,FALSE)))+IF(AND($R45&lt;&gt;"",$R45&lt;&gt;"O3/CP",$R$15=E$18,MID($R45,4,1)="2",$R$15&lt;&gt;$R$14),VLOOKUP(CONCATENATE(LEFT($R45,2),"L"),$R$63:$T$91,3,FALSE),0)+IF(AND($R45="O3/CP",$R$14=E$18),VLOOKUP("O3",$R$63:$T$91,3,FALSE)+VLOOKUP("CP",$R$63:$T$91,3,FALSE),0)+IF(AND($S45&lt;&gt;"",$S45&lt;&gt;"--",$S45&lt;&gt;"O3/CP",$S$14=E$18),IF(LEFT($S45,1)="P",VLOOKUP(CONCATENATE(LEFT($S45,2),"H"),$R$63:$T$91,3,FALSE),VLOOKUP($S45,$R$63:$T$91,3,FALSE)))+IF(AND($S45&lt;&gt;"",$S45&lt;&gt;"O3/CP",$S$15=E$18,MID($S45,4,1)="2",$S$15&lt;&gt;$S$14),VLOOKUP(CONCATENATE(LEFT($S45,2),"L"),$R$63:$T$91,3,FALSE),0)+IF(AND($S45="O3/CP",$S$14=E$18),VLOOKUP("O3",$R$63:$T$91,3,FALSE)+VLOOKUP("CP",$R$63:$T$91,3,FALSE),0)+IF(AND($T45&lt;&gt;"",$T45&lt;&gt;"--",$T45&lt;&gt;"O3/CP",$T$14=E$18),IF(LEFT($T45,1)="P",VLOOKUP(CONCATENATE(LEFT($T45,2),"H"),$R$63:$T$91,3,FALSE),VLOOKUP($T45,$R$63:$T$91,3,FALSE)))+IF(AND($T45&lt;&gt;"",$T45&lt;&gt;"O3/CP",$T$15=E$18,MID($T45,4,1)="2",$T$15&lt;&gt;$T$14),VLOOKUP(CONCATENATE(LEFT($T45,2),"L"),$R$63:$T$91,3,FALSE),0)+IF(AND($T45="O3/CP",$T$14=E$18),VLOOKUP("O3",$R$63:$T$91,3,FALSE)+VLOOKUP("CP",$R$63:$T$91,3,FALSE),0)+IF(AND($U45&lt;&gt;"",$U45&lt;&gt;"--",$U45&lt;&gt;"O3/CP",$U$14=E$18),IF(LEFT($U45,1)="P",VLOOKUP(CONCATENATE(LEFT($U45,2),"H"),$R$63:$T$91,3,FALSE),VLOOKUP($U45,$R$63:$T$91,3,FALSE)))+IF(AND($U45&lt;&gt;"",$U45&lt;&gt;"O3/CP",$U$15=E$18,MID($U45,4,1)="2",$U$15&lt;&gt;$U$14),VLOOKUP(CONCATENATE(LEFT($U45,2),"L"),$R$63:$T$91,3,FALSE),0)+IF(AND($U45="O3/CP",$T$14=E$18),VLOOKUP("O3",$R$63:$T$91,3,FALSE)+VLOOKUP("CP",$R$63:$T$91,3,FALSE),0)+IF(AND($V45&lt;&gt;"",$V45&lt;&gt;"--",$V45&lt;&gt;"O3/CP",$V$14=E$18),IF(LEFT($V45,1)="P",VLOOKUP(CONCATENATE(LEFT($V45,2),"H"),$R$63:$T$91,3,FALSE),VLOOKUP($V45,$R$63:$T$91,3,FALSE)))+IF(AND($V45&lt;&gt;"",$V45&lt;&gt;"O3/CP",$V$15=E$18,MID($V45,4,1)="2",$V$15&lt;&gt;$V$14),VLOOKUP(CONCATENATE(LEFT($V45,2),"L"),$R$63:$T$91,3,FALSE),0)+IF(AND($V45="O3/CP",$V$14=E$18),VLOOKUP("O3",$R$63:$T$91,3,FALSE)+VLOOKUP("CP",$R$63:$T$91,3,FALSE),0)+IF(AND($W45&lt;&gt;"",$W45&lt;&gt;"--",$W45&lt;&gt;"O3/CP",$W$14=E$18),IF(LEFT($W45,1)="P",VLOOKUP(CONCATENATE(LEFT($W45,2),"H"),$R$63:$T$91,3,FALSE),VLOOKUP($W45,$R$63:$T$91,3,FALSE)))+IF(AND($W45&lt;&gt;"",$W45&lt;&gt;"O3/CP",$W$15=E$18,MID($W45,4,1)="2",$W$15&lt;&gt;$W$14),VLOOKUP(CONCATENATE(LEFT($W45,2),"L"),$R$63:$T$91,3,FALSE),0)+IF(AND($W45="O3/CP",$W$14=E$18),VLOOKUP("O3",$R$63:$T$91,3,FALSE)+VLOOKUP("CP",$R$63:$T$91,3,FALSE),0)+IF(AND($X45&lt;&gt;"",$X45&lt;&gt;"--",$X45&lt;&gt;"O3/CP",$X$14=E$18),IF(LEFT($X45,1)="P",VLOOKUP(CONCATENATE(LEFT($X45,2),"H"),$R$63:$T$91,3,FALSE),VLOOKUP($X45,$R$63:$T$91,3,FALSE)))+IF(AND($X45&lt;&gt;"",$X45&lt;&gt;"O3/CP",$X$15=E$18,MID($X45,4,1)="2",$X$15&lt;&gt;$X$14),VLOOKUP(CONCATENATE(LEFT($X45,2),"L"),$R$63:$T$91,3,FALSE),0)+IF(AND($X45="O3/CP",$X$14=E$18),VLOOKUP("O3",$R$63:$T$91,3,FALSE)+VLOOKUP("CP",$R$63:$T$91,3,FALSE),0)+IF(AND($Y45&lt;&gt;"",$Y45&lt;&gt;"--",$Y45&lt;&gt;"O3/CP",$Y$14=E$18),IF(LEFT($Y45,1)="P",VLOOKUP(CONCATENATE(LEFT($Y45,2),"H"),$R$63:$T$91,3,FALSE),VLOOKUP($Y45,$R$63:$T$91,3,FALSE)))+IF(AND($Y45&lt;&gt;"",$Y45&lt;&gt;"O3/CP",$Y$15=E$18,MID($Y45,4,1)="2",$Y$15&lt;&gt;$Y$14),VLOOKUP(CONCATENATE(LEFT($Y45,2),"L"),$R$63:$T$91,3,FALSE),0)+IF(AND($Y45="O3/CP",$Y$14=E$18),VLOOKUP("O3",$R$63:$T$91,3,FALSE)+VLOOKUP("CP",$R$63:$T$91,3,FALSE),0)+IF(AND($K$6="CE",'[3]Supply Attribution'!$G$20=E$18),LEFT($S$90,2),0)+IF(AND($X$86&lt;&gt;"Not Set",$X$87=E$18),$X$86,0)</f>
        <v>0</v>
      </c>
      <c r="F45" s="272">
        <f>IF(AND($K45&lt;&gt;"",$K45&lt;&gt;"--",$K45&lt;&gt;"O3/CP",$K$14=F$18),IF(LEFT($K45,1)="P",VLOOKUP(CONCATENATE(LEFT($K45,2),"H"),$R$63:$T$91,3,FALSE),VLOOKUP($K45,$R$63:$T$91,3,FALSE)))+IF(AND($K45&lt;&gt;"",$K45&lt;&gt;"O3/CP",$K$15=F$18,MID($K45,4,1)="2",$K$15&lt;&gt;$K$14),VLOOKUP(CONCATENATE(LEFT($K45,2),"L"),$R$63:$T$91,3,FALSE),0)+IF(AND($K45="O3/CP",$K$14=F$18),VLOOKUP("O3",$R$63:$T$91,3,FALSE)+VLOOKUP("CP",$R$63:$T$91,3,FALSE),0)+IF(AND($L45&lt;&gt;"",$L45&lt;&gt;"--",$L45&lt;&gt;"O3/CP",$L$14=F$18),IF(LEFT($L45,1)="P",VLOOKUP(CONCATENATE(LEFT($L45,2),"H"),$R$63:$T$91,3,FALSE),VLOOKUP($L45,$R$63:$T$91,3,FALSE)))+IF(AND($L45&lt;&gt;"",$L45&lt;&gt;"O3/CP",$L$15=F$18,MID($L45,4,1)="2",$L$15&lt;&gt;$L$14),VLOOKUP(CONCATENATE(LEFT($L45,2),"L"),$R$63:$T$91,3,FALSE),0)+IF(AND($L45="O3/CP",$L$14=F$18),VLOOKUP("O3",$R$63:$T$91,3,FALSE)+VLOOKUP("CP",$R$63:$T$91,3,FALSE),0)+IF(AND($M45&lt;&gt;"",$M45&lt;&gt;"--",$M45&lt;&gt;"O3/CP",$M$14=F$18),IF(LEFT($M45,1)="P",VLOOKUP(CONCATENATE(LEFT($M45,2),"H"),$R$63:$T$91,3,FALSE),VLOOKUP($M45,$R$63:$T$91,3,FALSE)))+IF(AND($M45&lt;&gt;"",$M45&lt;&gt;"O3/CP",$M$15=F$18,MID($M45,4,1)="2",$M$15&lt;&gt;$M$14),VLOOKUP(CONCATENATE(LEFT($M45,2),"L"),$R$63:$T$91,3,FALSE),0)+IF(AND($M45="O3/CP",$M$14=F$18),VLOOKUP("O3",$R$63:$T$91,3,FALSE)+VLOOKUP("CP",$R$63:$T$91,3,FALSE),0)+IF(AND($N45&lt;&gt;"",$N45&lt;&gt;"--",$N45&lt;&gt;"O3/CP",$N$14=F$18),IF(LEFT($N45,1)="P",VLOOKUP(CONCATENATE(LEFT($N45,2),"H"),$R$63:$T$91,3,FALSE),VLOOKUP($N45,$R$63:$T$91,3,FALSE)))+IF(AND($N45&lt;&gt;"",$N45&lt;&gt;"O3/CP",$N$15=F$18,MID($N45,4,1)="2",$N$15&lt;&gt;$N$14),VLOOKUP(CONCATENATE(LEFT($N45,2),"L"),$R$63:$T$91,3,FALSE),0)+IF(AND($N45="O3/CP",$N$14=F$18),VLOOKUP("O3",$R$63:$T$91,3,FALSE)+VLOOKUP("CP",$R$63:$T$91,3,FALSE),0)+IF(AND($O45&lt;&gt;"",$O45&lt;&gt;"--",$O45&lt;&gt;"O3/CP",$O$14=F$18),IF(LEFT($O45,1)="P",VLOOKUP(CONCATENATE(LEFT($O45,2),"H"),$R$63:$T$91,3,FALSE),VLOOKUP($O45,$R$63:$T$91,3,FALSE)))+IF(AND($O45&lt;&gt;"",$O45&lt;&gt;"O3/CP",$O$15=F$18,MID($O45,4,1)="2",$O$15&lt;&gt;$O$14),VLOOKUP(CONCATENATE(LEFT($O45,2),"L"),$R$63:$T$91,3,FALSE),0)+IF(AND($O45="O3/CP",$O$14=F$18),VLOOKUP("O3",$R$63:$T$91,3,FALSE)+VLOOKUP("CP",$R$63:$T$91,3,FALSE),0)+IF(AND($P45&lt;&gt;"",$P45&lt;&gt;"--",$P45&lt;&gt;"O3/CP",$P$14=F$18),IF(LEFT($P45,1)="P",VLOOKUP(CONCATENATE(LEFT($P45,2),"H"),$R$63:$T$91,3,FALSE),VLOOKUP($P45,$R$63:$T$91,3,FALSE)))+IF(AND($P45&lt;&gt;"",$P45&lt;&gt;"O3/CP",$P$15=F$18,MID($P45,4,1)="2",$P$15&lt;&gt;$P$14),VLOOKUP(CONCATENATE(LEFT($P45,2),"L"),$R$63:$T$91,3,FALSE),0)+IF(AND($P45="O3/CP",$P$14=F$18),VLOOKUP("O3",$R$63:$T$91,3,FALSE)+VLOOKUP("CP",$R$63:$T$91,3,FALSE),0)+IF(AND($Q45&lt;&gt;"",$Q45&lt;&gt;"--",$Q45&lt;&gt;"O3/CP",$Q$14=F$18),IF(LEFT($Q45,1)="P",VLOOKUP(CONCATENATE(LEFT($Q45,2),"H"),$R$63:$T$91,3,FALSE),VLOOKUP($Q45,$R$63:$T$91,3,FALSE)))+IF(AND($Q45&lt;&gt;"",$Q45&lt;&gt;"O3/CP",$Q$15=F$18,MID($Q45,4,1)="2",$Q$15&lt;&gt;$Q$14),VLOOKUP(CONCATENATE(LEFT($Q45,2),"L"),$R$63:$T$91,3,FALSE),0)+IF(AND($Q45="O3/CP",$Q$14=F$18),VLOOKUP("O3",$R$63:$T$91,3,FALSE)+VLOOKUP("CP",$R$63:$T$91,3,FALSE),0)+IF(AND($R45&lt;&gt;"",$R45&lt;&gt;"--",$R45&lt;&gt;"O3/CP",$R$14=F$18),IF(LEFT($R45,1)="P",VLOOKUP(CONCATENATE(LEFT($R45,2),"H"),$R$63:$T$91,3,FALSE),VLOOKUP($R45,$R$63:$T$91,3,FALSE)))+IF(AND($R45&lt;&gt;"",$R45&lt;&gt;"O3/CP",$R$15=F$18,MID($R45,4,1)="2",$R$15&lt;&gt;$R$14),VLOOKUP(CONCATENATE(LEFT($R45,2),"L"),$R$63:$T$91,3,FALSE),0)+IF(AND($R45="O3/CP",$R$14=F$18),VLOOKUP("O3",$R$63:$T$91,3,FALSE)+VLOOKUP("CP",$R$63:$T$91,3,FALSE),0)+IF(AND($S45&lt;&gt;"",$S45&lt;&gt;"--",$S45&lt;&gt;"O3/CP",$S$14=F$18),IF(LEFT($S45,1)="P",VLOOKUP(CONCATENATE(LEFT($S45,2),"H"),$R$63:$T$91,3,FALSE),VLOOKUP($S45,$R$63:$T$91,3,FALSE)))+IF(AND($S45&lt;&gt;"",$S45&lt;&gt;"O3/CP",$S$15=F$18,MID($S45,4,1)="2",$S$15&lt;&gt;$S$14),VLOOKUP(CONCATENATE(LEFT($S45,2),"L"),$R$63:$T$91,3,FALSE),0)+IF(AND($S45="O3/CP",$S$14=F$18),VLOOKUP("O3",$R$63:$T$91,3,FALSE)+VLOOKUP("CP",$R$63:$T$91,3,FALSE),0)+IF(AND($T45&lt;&gt;"",$T45&lt;&gt;"--",$T45&lt;&gt;"O3/CP",$T$14=F$18),IF(LEFT($T45,1)="P",VLOOKUP(CONCATENATE(LEFT($T45,2),"H"),$R$63:$T$91,3,FALSE),VLOOKUP($T45,$R$63:$T$91,3,FALSE)))+IF(AND($T45&lt;&gt;"",$T45&lt;&gt;"O3/CP",$T$15=F$18,MID($T45,4,1)="2",$T$15&lt;&gt;$T$14),VLOOKUP(CONCATENATE(LEFT($T45,2),"L"),$R$63:$T$91,3,FALSE),0)+IF(AND($T45="O3/CP",$T$14=F$18),VLOOKUP("O3",$R$63:$T$91,3,FALSE)+VLOOKUP("CP",$R$63:$T$91,3,FALSE),0)+IF(AND($U45&lt;&gt;"",$U45&lt;&gt;"--",$U45&lt;&gt;"O3/CP",$U$14=F$18),IF(LEFT($U45,1)="P",VLOOKUP(CONCATENATE(LEFT($U45,2),"H"),$R$63:$T$91,3,FALSE),VLOOKUP($U45,$R$63:$T$91,3,FALSE)))+IF(AND($U45&lt;&gt;"",$U45&lt;&gt;"O3/CP",$U$15=F$18,MID($U45,4,1)="2",$U$15&lt;&gt;$U$14),VLOOKUP(CONCATENATE(LEFT($U45,2),"L"),$R$63:$T$91,3,FALSE),0)+IF(AND($U45="O3/CP",$T$14=F$18),VLOOKUP("O3",$R$63:$T$91,3,FALSE)+VLOOKUP("CP",$R$63:$T$91,3,FALSE),0)+IF(AND($V45&lt;&gt;"",$V45&lt;&gt;"--",$V45&lt;&gt;"O3/CP",$V$14=F$18),IF(LEFT($V45,1)="P",VLOOKUP(CONCATENATE(LEFT($V45,2),"H"),$R$63:$T$91,3,FALSE),VLOOKUP($V45,$R$63:$T$91,3,FALSE)))+IF(AND($V45&lt;&gt;"",$V45&lt;&gt;"O3/CP",$V$15=F$18,MID($V45,4,1)="2",$V$15&lt;&gt;$V$14),VLOOKUP(CONCATENATE(LEFT($V45,2),"L"),$R$63:$T$91,3,FALSE),0)+IF(AND($V45="O3/CP",$V$14=F$18),VLOOKUP("O3",$R$63:$T$91,3,FALSE)+VLOOKUP("CP",$R$63:$T$91,3,FALSE),0)+IF(AND($W45&lt;&gt;"",$W45&lt;&gt;"--",$W45&lt;&gt;"O3/CP",$W$14=F$18),IF(LEFT($W45,1)="P",VLOOKUP(CONCATENATE(LEFT($W45,2),"H"),$R$63:$T$91,3,FALSE),VLOOKUP($W45,$R$63:$T$91,3,FALSE)))+IF(AND($W45&lt;&gt;"",$W45&lt;&gt;"O3/CP",$W$15=F$18,MID($W45,4,1)="2",$W$15&lt;&gt;$W$14),VLOOKUP(CONCATENATE(LEFT($W45,2),"L"),$R$63:$T$91,3,FALSE),0)+IF(AND($W45="O3/CP",$W$14=F$18),VLOOKUP("O3",$R$63:$T$91,3,FALSE)+VLOOKUP("CP",$R$63:$T$91,3,FALSE),0)+IF(AND($X45&lt;&gt;"",$X45&lt;&gt;"--",$X45&lt;&gt;"O3/CP",$X$14=F$18),IF(LEFT($X45,1)="P",VLOOKUP(CONCATENATE(LEFT($X45,2),"H"),$R$63:$T$91,3,FALSE),VLOOKUP($X45,$R$63:$T$91,3,FALSE)))+IF(AND($X45&lt;&gt;"",$X45&lt;&gt;"O3/CP",$X$15=F$18,MID($X45,4,1)="2",$X$15&lt;&gt;$X$14),VLOOKUP(CONCATENATE(LEFT($X45,2),"L"),$R$63:$T$91,3,FALSE),0)+IF(AND($X45="O3/CP",$X$14=F$18),VLOOKUP("O3",$R$63:$T$91,3,FALSE)+VLOOKUP("CP",$R$63:$T$91,3,FALSE),0)+IF(AND($Y45&lt;&gt;"",$Y45&lt;&gt;"--",$Y45&lt;&gt;"O3/CP",$Y$14=F$18),IF(LEFT($Y45,1)="P",VLOOKUP(CONCATENATE(LEFT($Y45,2),"H"),$R$63:$T$91,3,FALSE),VLOOKUP($Y45,$R$63:$T$91,3,FALSE)))+IF(AND($Y45&lt;&gt;"",$Y45&lt;&gt;"O3/CP",$Y$15=F$18,MID($Y45,4,1)="2",$Y$15&lt;&gt;$Y$14),VLOOKUP(CONCATENATE(LEFT($Y45,2),"L"),$R$63:$T$91,3,FALSE),0)+IF(AND($Y45="O3/CP",$Y$14=F$18),VLOOKUP("O3",$R$63:$T$91,3,FALSE)+VLOOKUP("CP",$R$63:$T$91,3,FALSE),0)+IF(AND($K$6="CE",'[3]Supply Attribution'!$G$20=F$18),LEFT($S$90,2),0)+IF(AND($X$86&lt;&gt;"Not Set",$X$87=F$18),$X$86,0)</f>
        <v>0</v>
      </c>
      <c r="G45" s="271">
        <f>IF(AND($K$6="CE",$T$59="1 Phase"),SUM(A45:F45)-IF(AND($K$14&lt;&gt;$K$15,RIGHT($K45,3)="2SP"),VLOOKUP(CONCATENATE(LEFT($K45,2),"L"),$R$63:$T$90,3,FALSE),0)-IF(AND($L$14&lt;&gt;$L$15,RIGHT($L45,3)="2SP"),VLOOKUP(CONCATENATE(LEFT($L45,2),"L"),$R$63:$T$90,3,FALSE),0)-IF(AND($M$14&lt;&gt;$M$15,RIGHT($M45,3)="2SP"),VLOOKUP(CONCATENATE(LEFT($M45,2),"L"),$R$63:$T$90,3,FALSE),0)-IF(AND($N$14&lt;&gt;$N$15,RIGHT($N45,3)="2SP"),VLOOKUP(CONCATENATE(LEFT($N45,2),"L"),$R$63:$T$90,3,FALSE),0)-IF(AND($O$14&lt;&gt;$O$15,RIGHT($O45,3)="2SP"),VLOOKUP(CONCATENATE(LEFT($O45,2),"L"),$R$63:$T$90,3,FALSE),0)-IF(AND($P$14&lt;&gt;$P$15,RIGHT($P45,3)="2SP"),VLOOKUP(CONCATENATE(LEFT($P45,2),"L"),$R$63:$T$90,3,FALSE),0)-IF(AND($Q$14&lt;&gt;$Q$15,RIGHT($Q45,3)="2SP"),VLOOKUP(CONCATENATE(LEFT($Q45,2),"L"),$R$63:$T$90,3,FALSE),0)-IF(AND($R$14&lt;&gt;$R$15,RIGHT($T45,3)="2SP"),VLOOKUP(CONCATENATE(LEFT($R45,2),"L"),$R$63:$T$90,3,FALSE),0)-IF(AND($S$14&lt;&gt;$S$15,RIGHT($T45,3)="2SP"),VLOOKUP(CONCATENATE(LEFT($S45,2),"L"),$R$63:$T$90,3,FALSE),0)-IF(AND($T$14&lt;&gt;$T$15,RIGHT($T45,3)="2SP"),VLOOKUP(CONCATENATE(LEFT($T45,2),"L"),$R$63:$T$90,3,FALSE),0)-IF(AND($U$14&lt;&gt;$U$15,RIGHT($U45,3)="2SP"),VLOOKUP(CONCATENATE(LEFT($U45,2),"L"),$R$63:$T$90,3,FALSE),0)-IF(AND($V$14&lt;&gt;$V$15,RIGHT($V45,3)="2SP"),VLOOKUP(CONCATENATE(LEFT($V45,2),"L"),$R$63:$T$90,3,FALSE),0)-IF(AND($W$14&lt;&gt;$W$15,RIGHT($W45,3)="2SP"),VLOOKUP(CONCATENATE(LEFT($W45,2),"L"),$R$63:$T$90,3,FALSE),0)-IF(AND($X$14&lt;&gt;$X$15,RIGHT($X45,3)="2SP"),VLOOKUP(CONCATENATE(LEFT($X45,2),"L"),$R$63:$T$90,3,FALSE),0)-IF(AND($Y$14&lt;&gt;$Y$15,RIGHT($Y45,3)="2SP"),VLOOKUP(CONCATENATE(LEFT($Y45,2),"L"),$R$63:$T$90,3,FALSE),0),IF(VLOOKUP(CONCATENATE($A$18,"Line"),'[3]Supply Attribution'!$F$31:$G$37,2,FALSE)=G$18,$A45,0)+IF(VLOOKUP(CONCATENATE($B$18,"Line"),'[3]Supply Attribution'!$F$31:$G$37,2,FALSE)=G$18,$B45,0)+IF(VLOOKUP(CONCATENATE($C$18,"Line"),'[3]Supply Attribution'!$F$31:$G$37,2,FALSE)=G$18,$C45,0)+IF(VLOOKUP(CONCATENATE($D$18,"Line"),'[3]Supply Attribution'!$F$31:$G$37,2,FALSE)=G$18,$D45,0)+IF(VLOOKUP(CONCATENATE($E$18,"Line"),'[3]Supply Attribution'!$F$31:$G$37,2,FALSE)=G$18,$E45,0)+IF(VLOOKUP(CONCATENATE($F$18,"Line"),'[3]Supply Attribution'!$F$31:$G$37,2,FALSE)=G$18,$F45,0)+IF($K$6="UL",LEFT($S$90,2),0)-IF(AND($K$16=G$18,$K$14&lt;&gt;$K$15,$K$16=$K$17,RIGHT($K45,3)="2SP"),VLOOKUP(CONCATENATE(LEFT($K45,2),"L"),$R$63:$T$90,3,FALSE),0)-IF(AND($L$16=G$18,$L$14&lt;&gt;$L$15,$L$16=$L$17,RIGHT($L45,3)="2SP"),VLOOKUP(CONCATENATE(LEFT($L45,2),"L"),$R$63:$T$90,3,FALSE),0)-IF(AND($M$16=G$18,$M$14&lt;&gt;$M$15,$M$16=$M$17,RIGHT($M45,3)="2SP"),VLOOKUP(CONCATENATE(LEFT($M45,2),"L"),$R$63:$T$90,3,FALSE),0)-IF(AND($N$16=G$18,$N$14&lt;&gt;$N$15,$N$16=$N$17,RIGHT($N45,3)="2SP"),VLOOKUP(CONCATENATE(LEFT($N45,2),"L"),$R$63:$T$90,3,FALSE),0)-IF(AND($O$16=G$18,$O$14&lt;&gt;$O$15,$O$16=$O$17,RIGHT($O45,3)="2SP"),VLOOKUP(CONCATENATE(LEFT($O45,2),"L"),$R$63:$T$90,3,FALSE),0)-IF(AND($P$16=G$18,$P$14&lt;&gt;$P$15,$P$16=$P$17,RIGHT($P45,3)="2SP"),VLOOKUP(CONCATENATE(LEFT($P45,2),"L"),$R$63:$T$90,3,FALSE),0)-IF(AND($Q$16=G$18,$Q$14&lt;&gt;$Q$15,$Q$16=$Q$17,RIGHT($Q45,3)="2SP"),VLOOKUP(CONCATENATE(LEFT($Q45,2),"L"),$R$63:$T$90,3,FALSE),0)-IF(AND($R$16=G$18,$R$14&lt;&gt;$R$15,$R$16=$R$17,RIGHT($R45,3)="2SP"),VLOOKUP(CONCATENATE(LEFT($R45,2),"L"),$R$63:$T$90,3,FALSE),0)-IF(AND($S$16=G$18,$S$14&lt;&gt;$S$15,$S$16=$S$17,RIGHT($S45,3)="2SP"),VLOOKUP(CONCATENATE(LEFT($S45,2),"L"),$R$63:$T$90,3,FALSE),0)-IF(AND($T$16=G$18,$T$14&lt;&gt;$T$15,$T$16=$T$17,RIGHT($T45,3)="2SP"),VLOOKUP(CONCATENATE(LEFT($T45,2),"L"),$R$63:$T$90,3,FALSE),0)-IF(AND($U$16=G$18,$U$14&lt;&gt;$U$15,$U$16=$U$17,RIGHT($U45,3)="2SP"),VLOOKUP(CONCATENATE(LEFT($U45,2),"L"),$R$63:$T$90,3,FALSE),0)-IF(AND($V$16=G$18,$V$14&lt;&gt;$V$15,$V$16=$V$17,RIGHT($V45,3)="2SP"),VLOOKUP(CONCATENATE(LEFT($V45,2),"L"),$R$63:$T$90,3,FALSE),0)-IF(AND($W$16=G$18,$W$14&lt;&gt;$W$15,$W$16=$W$17,RIGHT($W45,3)="2SP"),VLOOKUP(CONCATENATE(LEFT($W45,2),"L"),$R$63:$T$90,3,FALSE),0)-IF(AND($X$16=G$18,$X$14&lt;&gt;$X$15,$X$16=$X$17,RIGHT($X45,3)="2SP"),VLOOKUP(CONCATENATE(LEFT($X45,2),"L"),$R$63:$T$90,3,FALSE),0)-IF(AND($Y$16=G$18,$Y$14&lt;&gt;$Y$15,$Y$16=$Y$17,RIGHT($Y45,3)="2SP"),VLOOKUP(CONCATENATE(LEFT($Y45,2),"L"),$R$63:$T$90,3,FALSE),0))</f>
        <v>17</v>
      </c>
      <c r="H45" s="271" t="str">
        <f>IF(H$18&lt;&gt;"",IF(VLOOKUP(CONCATENATE($A$18,"Line"),'Supply Attribution'!$F$31:$G$37,2,FALSE)=H$18,$A45,0)+IF(VLOOKUP(CONCATENATE($B$18,"Line"),'Supply Attribution'!$F$31:$G$37,2,FALSE)=H$18,$B45,0)+IF(VLOOKUP(CONCATENATE($C$18,"Line"),'Supply Attribution'!$F$31:$G$37,2,FALSE)=H$18,$C45,0)+IF(VLOOKUP(CONCATENATE($D$18,"Line"),'Supply Attribution'!$F$31:$G$37,2,FALSE)=H$18,$D45,0)+IF(VLOOKUP(CONCATENATE($E$18,"Line"),'Supply Attribution'!$F$31:$G$37,2,FALSE)=H$18,$E45,0)+IF(VLOOKUP(CONCATENATE($F$18,"Line"),'Supply Attribution'!$F$31:$G$37,2,FALSE)=H$18,$F45,0)+IF($K$6="UL",LEFT($S$90,2),0)-IF(AND($K$16=H$18,$K$14&lt;&gt;$K$15,$K$16=$K$17,RIGHT($K45,3)="2SP"),VLOOKUP(CONCATENATE(LEFT($K45,2),"L"),$R$63:$T$90,3,FALSE),0)-IF(AND($L$16=H$18,$L$14&lt;&gt;$L$15,$L$16=$L$17,RIGHT($L45,3)="2SP"),VLOOKUP(CONCATENATE(LEFT($L45,2),"L"),$R$63:$T$90,3,FALSE),0)-IF(AND($M$16=H$18,$M$14&lt;&gt;$M$15,$M$16=$M$17,RIGHT($M45,3)="2SP"),VLOOKUP(CONCATENATE(LEFT($M45,2),"L"),$R$63:$T$90,3,FALSE),0)-IF(AND($N$16=H$18,$N$14&lt;&gt;$N$15,$N$16=$N$17,RIGHT($N45,3)="2SP"),VLOOKUP(CONCATENATE(LEFT($N45,2),"L"),$R$63:$T$90,3,FALSE),0)-IF(AND($O$16=H$18,$O$14&lt;&gt;$O$15,$O$16=$O$17,RIGHT($O45,3)="2SP"),VLOOKUP(CONCATENATE(LEFT($O45,2),"L"),$R$63:$T$90,3,FALSE),0)-IF(AND($P$16=H$18,$P$14&lt;&gt;$P$15,$P$16=$P$17,RIGHT($P45,3)="2SP"),VLOOKUP(CONCATENATE(LEFT($P45,2),"L"),$R$63:$T$90,3,FALSE),0)-IF(AND($Q$16=H$18,$Q$14&lt;&gt;$Q$15,$Q$16=$Q$17,RIGHT($Q45,3)="2SP"),VLOOKUP(CONCATENATE(LEFT($Q45,2),"L"),$R$63:$T$90,3,FALSE),0)-IF(AND($T$16=H$18,$T$14&lt;&gt;$T$15,$T$16=$T$17,RIGHT($T45,3)="2SP"),VLOOKUP(CONCATENATE(LEFT($T45,2),"L"),$R$63:$T$90,3,FALSE),0)-IF(AND($U$16=H$18,$U$14&lt;&gt;$U$15,$U$16=$U$17,RIGHT($U45,3)="2SP"),VLOOKUP(CONCATENATE(LEFT($U45,2),"L"),$R$63:$T$90,3,FALSE),0)-IF(AND($V$16=H$18,$V$14&lt;&gt;$V$15,$V$16=$V$17,RIGHT($V45,3)="2SP"),VLOOKUP(CONCATENATE(LEFT($V45,2),"L"),$R$63:$T$90,3,FALSE),0)-IF(AND($W$16=H$18,$W$14&lt;&gt;$W$15,$W$16=$W$17,RIGHT($W45,3)="2SP"),VLOOKUP(CONCATENATE(LEFT($W45,2),"L"),$R$63:$T$90,3,FALSE),0)-IF(AND($X$16=H$18,$X$14&lt;&gt;$X$15,$X$16=$X$17,RIGHT($X45,3)="2SP"),VLOOKUP(CONCATENATE(LEFT($X45,2),"L"),$R$63:$T$90,3,FALSE),0)-IF(AND($Y$16=H$18,$Y$14&lt;&gt;$Y$15,$Y$16=$Y$17,RIGHT($Y45,3)="2SP"),VLOOKUP(CONCATENATE(LEFT($Y45,2),"L"),$R$63:$T$90,3,FALSE),0)+IF(AND($K$6="CE",$T$59="2 Phases",H$18&lt;&gt;""),IF(VLOOKUP(CONCATENATE($A$18,"Line"),'Supply Attribution'!$F$31:$G$37,2,FALSE)="Line3",$A45,0)+IF(VLOOKUP(CONCATENATE($B$18,"Line"),'Supply Attribution'!$F$31:$G$37,2,FALSE)="Line3",$B45,0)+IF(VLOOKUP(CONCATENATE($C$18,"Line"),'Supply Attribution'!$F$31:$G$37,2,FALSE)="Line3",$C45,0)+IF(VLOOKUP(CONCATENATE($D$18,"Line"),'Supply Attribution'!$F$31:$G$37,2,FALSE)="Line3",$D45,0)+IF(VLOOKUP(CONCATENATE($E$18,"Line"),'Supply Attribution'!$F$31:$G$37,2,FALSE)="Line3",$E45,0)+IF(VLOOKUP(CONCATENATE($F$18,"Line"),'Supply Attribution'!$F$31:$G$37,2,FALSE)="Line3",$F45,0)-IF(AND($K$16=I$18,$K$14&lt;&gt;$K$15,$K$16=$K$17,RIGHT($K45,3)="2SP"),VLOOKUP(CONCATENATE(LEFT($K45,2),"L"),$R$63:$T$90,3,FALSE),0)-IF(AND($L$16=I$18,$L$14&lt;&gt;$L$15,$L$16=$L$17,RIGHT($L45,3)="2SP"),VLOOKUP(CONCATENATE(LEFT($L45,2),"L"),$R$63:$T$90,3,FALSE),0)-IF(AND($M$16=I$18,$M$14&lt;&gt;$M$15,$M$16=$M$17,RIGHT($M45,3)="2SP"),VLOOKUP(CONCATENATE(LEFT($M45,2),"L"),$R$63:$T$90,3,FALSE),0)-IF(AND($N$16=I$18,$N$14&lt;&gt;$N$15,$N$16=$N$17,RIGHT($N45,3)="2SP"),VLOOKUP(CONCATENATE(LEFT($N45,2),"L"),$R$63:$T$90,3,FALSE),0)-IF(AND($O$16=I$18,$O$14&lt;&gt;$O$15,$O$16=$O$17,RIGHT($O45,3)="2SP"),VLOOKUP(CONCATENATE(LEFT($O45,2),"L"),$R$63:$T$90,3,FALSE),0)-IF(AND($P$16=I$18,$P$14&lt;&gt;$P$15,$P$16=$P$17,RIGHT($P45,3)="2SP"),VLOOKUP(CONCATENATE(LEFT($P45,2),"L"),$R$63:$T$90,3,FALSE),0)-IF(AND($Q$16=I$18,$Q$14&lt;&gt;$Q$15,$Q$16=$Q$17,RIGHT($Q45,3)="2SP"),VLOOKUP(CONCATENATE(LEFT($Q45,2),"L"),$R$63:$T$90,3,FALSE),0)-IF(AND($T$16=I$18,$T$14&lt;&gt;$T$15,$T$16=$T$17,RIGHT($T45,3)="2SP"),VLOOKUP(CONCATENATE(LEFT($T45,2),"L"),$R$63:$T$90,3,FALSE),0)-IF(AND($U$16=I$18,$U$14&lt;&gt;$U$15,$U$16=$U$17,RIGHT($U45,3)="2SP"),VLOOKUP(CONCATENATE(LEFT($U45,2),"L"),$R$63:$T$90,3,FALSE),0)-IF(AND($V$16=I$18,$V$14&lt;&gt;$V$15,$V$16=$V$17,RIGHT($V45,3)="2SP"),VLOOKUP(CONCATENATE(LEFT($V45,2),"L"),$R$63:$T$90,3,FALSE),0)-IF(AND($W$16=I$18,$W$14&lt;&gt;$W$15,$W$16=$W$17,RIGHT($W45,3)="2SP"),VLOOKUP(CONCATENATE(LEFT($W45,2),"L"),$R$63:$T$90,3,FALSE),0)-IF(AND($X$16=I$18,$X$14&lt;&gt;$X$15,$X$16=$X$17,RIGHT($X45,3)="2SP"),VLOOKUP(CONCATENATE(LEFT($X45,2),"L"),$R$63:$T$90,3,FALSE),0)-IF(AND($Y$16=I$18,$Y$14&lt;&gt;$Y$15,$Y$16=$Y$17,RIGHT($Y45,3)="2SP"),VLOOKUP(CONCATENATE(LEFT($Y45,2),"L"),$R$63:$T$90,3,FALSE),0),0),"")</f>
        <v/>
      </c>
      <c r="I45" s="271" t="str">
        <f>IF(I$18&lt;&gt;"",IF(VLOOKUP(CONCATENATE($A$18,"Line"),'Supply Attribution'!$F$31:$G$37,2,FALSE)=I$18,$A45,0)+IF(VLOOKUP(CONCATENATE($B$18,"Line"),'Supply Attribution'!$F$31:$G$37,2,FALSE)=I$18,$B45,0)+IF(VLOOKUP(CONCATENATE($C$18,"Line"),'Supply Attribution'!$F$31:$G$37,2,FALSE)=I$18,$C45,0)+IF(VLOOKUP(CONCATENATE($D$18,"Line"),'Supply Attribution'!$F$31:$G$37,2,FALSE)=I$18,$D45,0)+IF(VLOOKUP(CONCATENATE($E$18,"Line"),'Supply Attribution'!$F$31:$G$37,2,FALSE)=I$18,$E45,0)+IF(VLOOKUP(CONCATENATE($F$18,"Line"),'Supply Attribution'!$F$31:$G$37,2,FALSE)=I$18,$F45,0)+IF($K$6="UL",LEFT($S$90,2),0)-IF(AND($K$16=I$18,$K$14&lt;&gt;$K$15,$K$16=$K$17,RIGHT($K45,3)="2SP"),VLOOKUP(CONCATENATE(LEFT($K45,2),"L"),$R$63:$T$90,3,FALSE),0)-IF(AND($L$16=I$18,$L$14&lt;&gt;$L$15,$L$16=$L$17,RIGHT($L45,3)="2SP"),VLOOKUP(CONCATENATE(LEFT($L45,2),"L"),$R$63:$T$90,3,FALSE),0)-IF(AND($M$16=I$18,$M$14&lt;&gt;$M$15,$M$16=$M$17,RIGHT($M45,3)="2SP"),VLOOKUP(CONCATENATE(LEFT($M45,2),"L"),$R$63:$T$90,3,FALSE),0)-IF(AND($N$16=I$18,$N$14&lt;&gt;$N$15,$N$16=$N$17,RIGHT($N45,3)="2SP"),VLOOKUP(CONCATENATE(LEFT($N45,2),"L"),$R$63:$T$90,3,FALSE),0)-IF(AND($O$16=I$18,$O$14&lt;&gt;$O$15,$O$16=$O$17,RIGHT($O45,3)="2SP"),VLOOKUP(CONCATENATE(LEFT($O45,2),"L"),$R$63:$T$90,3,FALSE),0)-IF(AND($P$16=I$18,$P$14&lt;&gt;$P$15,$P$16=$P$17,RIGHT($P45,3)="2SP"),VLOOKUP(CONCATENATE(LEFT($P45,2),"L"),$R$63:$T$90,3,FALSE),0)-IF(AND($Q$16=I$18,$Q$14&lt;&gt;$Q$15,$Q$16=$Q$17,RIGHT($Q45,3)="2SP"),VLOOKUP(CONCATENATE(LEFT($Q45,2),"L"),$R$63:$T$90,3,FALSE),0)-IF(AND($T$16=I$18,$T$14&lt;&gt;$T$15,$T$16=$T$17,RIGHT($T45,3)="2SP"),VLOOKUP(CONCATENATE(LEFT($T45,2),"L"),$R$63:$T$90,3,FALSE),0)-IF(AND($U$16=I$18,$U$14&lt;&gt;$U$15,$U$16=$U$17,RIGHT($U45,3)="2SP"),VLOOKUP(CONCATENATE(LEFT($U45,2),"L"),$R$63:$T$90,3,FALSE),0)-IF(AND($V$16=I$18,$V$14&lt;&gt;$V$15,$V$16=$V$17,RIGHT($V45,3)="2SP"),VLOOKUP(CONCATENATE(LEFT($V45,2),"L"),$R$63:$T$90,3,FALSE),0)-IF(AND($W$16=I$18,$W$14&lt;&gt;$W$15,$W$16=$W$17,RIGHT($W45,3)="2SP"),VLOOKUP(CONCATENATE(LEFT($W45,2),"L"),$R$63:$T$90,3,FALSE),0)-IF(AND($X$16=I$18,$X$14&lt;&gt;$X$15,$X$16=$X$17,RIGHT($X45,3)="2SP"),VLOOKUP(CONCATENATE(LEFT($X45,2),"L"),$R$63:$T$90,3,FALSE),0)-IF(AND($Y$16=I$18,$Y$14&lt;&gt;$Y$15,$Y$16=$Y$17,RIGHT($Y45,3)="2SP"),VLOOKUP(CONCATENATE(LEFT($Y45,2),"L"),$R$63:$T$90,3,FALSE),0),"")</f>
        <v/>
      </c>
      <c r="J45" s="129"/>
      <c r="K45" s="130"/>
      <c r="L45" s="130"/>
      <c r="M45" s="130"/>
      <c r="N45" s="130"/>
      <c r="O45" s="130"/>
      <c r="P45" s="130"/>
      <c r="Q45" s="130"/>
      <c r="R45" s="130"/>
      <c r="S45" s="130"/>
      <c r="T45" s="130"/>
      <c r="U45" s="130"/>
      <c r="V45" s="130"/>
      <c r="W45" s="130"/>
      <c r="X45" s="130"/>
      <c r="Y45" s="130"/>
      <c r="Z45" s="131"/>
      <c r="AA45" s="131"/>
      <c r="AB45" s="132"/>
      <c r="AC45" s="132"/>
      <c r="AD45" s="132"/>
      <c r="AE45" s="133">
        <f t="shared" si="0"/>
        <v>0</v>
      </c>
      <c r="AF45" s="78"/>
    </row>
    <row r="46" spans="1:32" ht="12.95" customHeight="1">
      <c r="A46" s="270">
        <f>IF(AND($K46&lt;&gt;"",$K46&lt;&gt;"--",$K46&lt;&gt;"O3/CP",$K$14=A$18),IF(LEFT($K46,1)="P",VLOOKUP(CONCATENATE(LEFT($K46,2),"H"),$R$63:$T$91,3,FALSE),VLOOKUP($K46,$R$63:$T$91,3,FALSE)))+IF(AND($K46&lt;&gt;"",$K46&lt;&gt;"O3/CP",$K$15=A$18,MID($K46,4,1)="2",$K$15&lt;&gt;$K$14),VLOOKUP(CONCATENATE(LEFT($K46,2),"L"),$R$63:$T$91,3,FALSE),0)+IF(AND($K46="O3/CP",$K$14=A$18),VLOOKUP("O3",$R$63:$T$91,3,FALSE)+VLOOKUP("CP",$R$63:$T$91,3,FALSE),0)+IF(AND($L46&lt;&gt;"",$L46&lt;&gt;"--",$L46&lt;&gt;"O3/CP",$L$14=A$18),IF(LEFT($L46,1)="P",VLOOKUP(CONCATENATE(LEFT($L46,2),"H"),$R$63:$T$91,3,FALSE),VLOOKUP($L46,$R$63:$T$91,3,FALSE)))+IF(AND($L46&lt;&gt;"",$L46&lt;&gt;"O3/CP",$L$15=A$18,MID($L46,4,1)="2",$L$15&lt;&gt;$L$14),VLOOKUP(CONCATENATE(LEFT($L46,2),"L"),$R$63:$T$91,3,FALSE),0)+IF(AND($L46="O3/CP",$L$14=A$18),VLOOKUP("O3",$R$63:$T$91,3,FALSE)+VLOOKUP("CP",$R$63:$T$91,3,FALSE),0)+IF(AND($M46&lt;&gt;"",$M46&lt;&gt;"--",$M46&lt;&gt;"O3/CP",$M$14=A$18),IF(LEFT($M46,1)="P",VLOOKUP(CONCATENATE(LEFT($M46,2),"H"),$R$63:$T$91,3,FALSE),VLOOKUP($M46,$R$63:$T$91,3,FALSE)))+IF(AND($M46&lt;&gt;"",$M46&lt;&gt;"O3/CP",$M$15=A$18,MID($M46,4,1)="2",$M$15&lt;&gt;$M$14),VLOOKUP(CONCATENATE(LEFT($M46,2),"L"),$R$63:$T$91,3,FALSE),0)+IF(AND($M46="O3/CP",$M$14=A$18),VLOOKUP("O3",$R$63:$T$91,3,FALSE)+VLOOKUP("CP",$R$63:$T$91,3,FALSE),0)+IF(AND($N46&lt;&gt;"",$N46&lt;&gt;"--",$N46&lt;&gt;"O3/CP",$N$14=A$18),IF(LEFT($N46,1)="P",VLOOKUP(CONCATENATE(LEFT($N46,2),"H"),$R$63:$T$91,3,FALSE),VLOOKUP($N46,$R$63:$T$91,3,FALSE)))+IF(AND($N46&lt;&gt;"",$N46&lt;&gt;"O3/CP",$N$15=A$18,MID($N46,4,1)="2",$N$15&lt;&gt;$N$14),VLOOKUP(CONCATENATE(LEFT($N46,2),"L"),$R$63:$T$91,3,FALSE),0)+IF(AND($N46="O3/CP",$N$14=A$18),VLOOKUP("O3",$R$63:$T$91,3,FALSE)+VLOOKUP("CP",$R$63:$T$91,3,FALSE),0)+IF(AND($O46&lt;&gt;"",$O46&lt;&gt;"--",$O46&lt;&gt;"O3/CP",$O$14=A$18),IF(LEFT($O46,1)="P",VLOOKUP(CONCATENATE(LEFT($O46,2),"H"),$R$63:$T$91,3,FALSE),VLOOKUP($O46,$R$63:$T$91,3,FALSE)))+IF(AND($O46&lt;&gt;"",$O46&lt;&gt;"O3/CP",$O$15=A$18,MID($O46,4,1)="2",$O$15&lt;&gt;$O$14),VLOOKUP(CONCATENATE(LEFT($O46,2),"L"),$R$63:$T$91,3,FALSE),0)+IF(AND($O46="O3/CP",$O$14=A$18),VLOOKUP("O3",$R$63:$T$91,3,FALSE)+VLOOKUP("CP",$R$63:$T$91,3,FALSE),0)+IF(AND($P46&lt;&gt;"",$P46&lt;&gt;"--",$P46&lt;&gt;"O3/CP",$P$14=A$18),IF(LEFT($P46,1)="P",VLOOKUP(CONCATENATE(LEFT($P46,2),"H"),$R$63:$T$91,3,FALSE),VLOOKUP($P46,$R$63:$T$91,3,FALSE)))+IF(AND($P46&lt;&gt;"",$P46&lt;&gt;"O3/CP",$P$15=A$18,MID($P46,4,1)="2",$P$15&lt;&gt;$P$14),VLOOKUP(CONCATENATE(LEFT($P46,2),"L"),$R$63:$T$91,3,FALSE),0)+IF(AND($P46="O3/CP",$P$14=A$18),VLOOKUP("O3",$R$63:$T$91,3,FALSE)+VLOOKUP("CP",$R$63:$T$91,3,FALSE),0)+IF(AND($Q46&lt;&gt;"",$Q46&lt;&gt;"--",$Q46&lt;&gt;"O3/CP",$Q$14=A$18),IF(LEFT($Q46,1)="P",VLOOKUP(CONCATENATE(LEFT($Q46,2),"H"),$R$63:$T$91,3,FALSE),VLOOKUP($Q46,$R$63:$T$91,3,FALSE)))+IF(AND($Q46&lt;&gt;"",$Q46&lt;&gt;"O3/CP",$Q$15=A$18,MID($Q46,4,1)="2",$Q$15&lt;&gt;$Q$14),VLOOKUP(CONCATENATE(LEFT($Q46,2),"L"),$R$63:$T$91,3,FALSE),0)+IF(AND($Q46="O3/CP",$Q$14=A$18),VLOOKUP("O3",$R$63:$T$91,3,FALSE)+VLOOKUP("CP",$R$63:$T$91,3,FALSE),0)+IF(AND($R46&lt;&gt;"",$R46&lt;&gt;"--",$R46&lt;&gt;"O3/CP",$R$14=A$18),IF(LEFT($R46,1)="P",VLOOKUP(CONCATENATE(LEFT($R46,2),"H"),$R$63:$T$91,3,FALSE),VLOOKUP($R46,$R$63:$T$91,3,FALSE)))+IF(AND($R46&lt;&gt;"",$R46&lt;&gt;"O3/CP",$R$15=A$18,MID($R46,4,1)="2",$R$15&lt;&gt;$R$14),VLOOKUP(CONCATENATE(LEFT($R46,2),"L"),$R$63:$T$91,3,FALSE),0)+IF(AND($R46="O3/CP",$R$14=A$18),VLOOKUP("O3",$R$63:$T$91,3,FALSE)+VLOOKUP("CP",$R$63:$T$91,3,FALSE),0)+IF(AND($S46&lt;&gt;"",$S46&lt;&gt;"--",$S46&lt;&gt;"O3/CP",$S$14=A$18),IF(LEFT($S46,1)="P",VLOOKUP(CONCATENATE(LEFT($S46,2),"H"),$R$63:$T$91,3,FALSE),VLOOKUP($S46,$R$63:$T$91,3,FALSE)))+IF(AND($S46&lt;&gt;"",$S46&lt;&gt;"O3/CP",$S$15=A$18,MID($S46,4,1)="2",$S$15&lt;&gt;$S$14),VLOOKUP(CONCATENATE(LEFT($S46,2),"L"),$R$63:$T$91,3,FALSE),0)+IF(AND($S46="O3/CP",$S$14=A$18),VLOOKUP("O3",$R$63:$T$91,3,FALSE)+VLOOKUP("CP",$R$63:$T$91,3,FALSE),0)+IF(AND($T46&lt;&gt;"",$T46&lt;&gt;"--",$T46&lt;&gt;"O3/CP",$T$14=A$18),IF(LEFT($T46,1)="P",VLOOKUP(CONCATENATE(LEFT($T46,2),"H"),$R$63:$T$91,3,FALSE),VLOOKUP($T46,$R$63:$T$91,3,FALSE)))+IF(AND($T46&lt;&gt;"",$T46&lt;&gt;"O3/CP",$T$15=A$18,MID($T46,4,1)="2",$T$15&lt;&gt;$T$14),VLOOKUP(CONCATENATE(LEFT($T46,2),"L"),$R$63:$T$91,3,FALSE),0)+IF(AND($T46="O3/CP",$T$14=A$18),VLOOKUP("O3",$R$63:$T$91,3,FALSE)+VLOOKUP("CP",$R$63:$T$91,3,FALSE),0)+IF(AND($U46&lt;&gt;"",$U46&lt;&gt;"--",$U46&lt;&gt;"O3/CP",$U$14=A$18),IF(LEFT($U46,1)="P",VLOOKUP(CONCATENATE(LEFT($U46,2),"H"),$R$63:$T$91,3,FALSE),VLOOKUP($U46,$R$63:$T$91,3,FALSE)))+IF(AND($U46&lt;&gt;"",$U46&lt;&gt;"O3/CP",$U$15=A$18,MID($U46,4,1)="2",$U$15&lt;&gt;$U$14),VLOOKUP(CONCATENATE(LEFT($U46,2),"L"),$R$63:$T$91,3,FALSE),0)+IF(AND($U46="O3/CP",$T$14=A$18),VLOOKUP("O3",$R$63:$T$91,3,FALSE)+VLOOKUP("CP",$R$63:$T$91,3,FALSE),0)+IF(AND($V46&lt;&gt;"",$V46&lt;&gt;"--",$V46&lt;&gt;"O3/CP",$V$14=A$18),IF(LEFT($V46,1)="P",VLOOKUP(CONCATENATE(LEFT($V46,2),"H"),$R$63:$T$91,3,FALSE),VLOOKUP($V46,$R$63:$T$91,3,FALSE)))+IF(AND($V46&lt;&gt;"",$V46&lt;&gt;"O3/CP",$V$15=A$18,MID($V46,4,1)="2",$V$15&lt;&gt;$V$14),VLOOKUP(CONCATENATE(LEFT($V46,2),"L"),$R$63:$T$91,3,FALSE),0)+IF(AND($V46="O3/CP",$V$14=A$18),VLOOKUP("O3",$R$63:$T$91,3,FALSE)+VLOOKUP("CP",$R$63:$T$91,3,FALSE),0)+IF(AND($W46&lt;&gt;"",$W46&lt;&gt;"--",$W46&lt;&gt;"O3/CP",$W$14=A$18),IF(LEFT($W46,1)="P",VLOOKUP(CONCATENATE(LEFT($W46,2),"H"),$R$63:$T$91,3,FALSE),VLOOKUP($W46,$R$63:$T$91,3,FALSE)))+IF(AND($W46&lt;&gt;"",$W46&lt;&gt;"O3/CP",$W$15=A$18,MID($W46,4,1)="2",$W$15&lt;&gt;$W$14),VLOOKUP(CONCATENATE(LEFT($W46,2),"L"),$R$63:$T$91,3,FALSE),0)+IF(AND($W46="O3/CP",$W$14=A$18),VLOOKUP("O3",$R$63:$T$91,3,FALSE)+VLOOKUP("CP",$R$63:$T$91,3,FALSE),0)+IF(AND($X46&lt;&gt;"",$X46&lt;&gt;"--",$X46&lt;&gt;"O3/CP",$X$14=A$18),IF(LEFT($X46,1)="P",VLOOKUP(CONCATENATE(LEFT($X46,2),"H"),$R$63:$T$91,3,FALSE),VLOOKUP($X46,$R$63:$T$91,3,FALSE)))+IF(AND($X46&lt;&gt;"",$X46&lt;&gt;"O3/CP",$X$15=A$18,MID($X46,4,1)="2",$X$15&lt;&gt;$X$14),VLOOKUP(CONCATENATE(LEFT($X46,2),"L"),$R$63:$T$91,3,FALSE),0)+IF(AND($X46="O3/CP",$X$14=A$18),VLOOKUP("O3",$R$63:$T$91,3,FALSE)+VLOOKUP("CP",$R$63:$T$91,3,FALSE),0)+IF(AND($Y46&lt;&gt;"",$Y46&lt;&gt;"--",$Y46&lt;&gt;"O3/CP",$Y$14=A$18),IF(LEFT($Y46,1)="P",VLOOKUP(CONCATENATE(LEFT($Y46,2),"H"),$R$63:$T$91,3,FALSE),VLOOKUP($Y46,$R$63:$T$91,3,FALSE)))+IF(AND($Y46&lt;&gt;"",$Y46&lt;&gt;"O3/CP",$Y$15=A$18,MID($Y46,4,1)="2",$Y$15&lt;&gt;$Y$14),VLOOKUP(CONCATENATE(LEFT($Y46,2),"L"),$R$63:$T$91,3,FALSE),0)+IF(AND($Y46="O3/CP",$Y$14=A$18),VLOOKUP("O3",$R$63:$T$91,3,FALSE)+VLOOKUP("CP",$R$63:$T$91,3,FALSE),0)+IF(AND($K$6="CE",'[3]Supply Attribution'!$G$20=A$18),LEFT($S$90,2),0)+IF(AND($X$86&lt;&gt;"Not Set",$X$87=A$18),$X$86,0)</f>
        <v>0</v>
      </c>
      <c r="B46" s="269">
        <f>IF(AND($K46&lt;&gt;"",$K46&lt;&gt;"--",$K46&lt;&gt;"O3/CP",$K$14=B$18),IF(LEFT($K46,1)="P",VLOOKUP(CONCATENATE(LEFT($K46,2),"H"),$R$63:$T$91,3,FALSE),VLOOKUP($K46,$R$63:$T$91,3,FALSE)))+IF(AND($K46&lt;&gt;"",$K46&lt;&gt;"O3/CP",$K$15=B$18,MID($K46,4,1)="2",$K$15&lt;&gt;$K$14),VLOOKUP(CONCATENATE(LEFT($K46,2),"L"),$R$63:$T$91,3,FALSE),0)+IF(AND($K46="O3/CP",$K$14=B$18),VLOOKUP("O3",$R$63:$T$91,3,FALSE)+VLOOKUP("CP",$R$63:$T$91,3,FALSE),0)+IF(AND($L46&lt;&gt;"",$L46&lt;&gt;"--",$L46&lt;&gt;"O3/CP",$L$14=B$18),IF(LEFT($L46,1)="P",VLOOKUP(CONCATENATE(LEFT($L46,2),"H"),$R$63:$T$91,3,FALSE),VLOOKUP($L46,$R$63:$T$91,3,FALSE)))+IF(AND($L46&lt;&gt;"",$L46&lt;&gt;"O3/CP",$L$15=B$18,MID($L46,4,1)="2",$L$15&lt;&gt;$L$14),VLOOKUP(CONCATENATE(LEFT($L46,2),"L"),$R$63:$T$91,3,FALSE),0)+IF(AND($L46="O3/CP",$L$14=B$18),VLOOKUP("O3",$R$63:$T$91,3,FALSE)+VLOOKUP("CP",$R$63:$T$91,3,FALSE),0)+IF(AND($M46&lt;&gt;"",$M46&lt;&gt;"--",$M46&lt;&gt;"O3/CP",$M$14=B$18),IF(LEFT($M46,1)="P",VLOOKUP(CONCATENATE(LEFT($M46,2),"H"),$R$63:$T$91,3,FALSE),VLOOKUP($M46,$R$63:$T$91,3,FALSE)))+IF(AND($M46&lt;&gt;"",$M46&lt;&gt;"O3/CP",$M$15=B$18,MID($M46,4,1)="2",$M$15&lt;&gt;$M$14),VLOOKUP(CONCATENATE(LEFT($M46,2),"L"),$R$63:$T$91,3,FALSE),0)+IF(AND($M46="O3/CP",$M$14=B$18),VLOOKUP("O3",$R$63:$T$91,3,FALSE)+VLOOKUP("CP",$R$63:$T$91,3,FALSE),0)+IF(AND($N46&lt;&gt;"",$N46&lt;&gt;"--",$N46&lt;&gt;"O3/CP",$N$14=B$18),IF(LEFT($N46,1)="P",VLOOKUP(CONCATENATE(LEFT($N46,2),"H"),$R$63:$T$91,3,FALSE),VLOOKUP($N46,$R$63:$T$91,3,FALSE)))+IF(AND($N46&lt;&gt;"",$N46&lt;&gt;"O3/CP",$N$15=B$18,MID($N46,4,1)="2",$N$15&lt;&gt;$N$14),VLOOKUP(CONCATENATE(LEFT($N46,2),"L"),$R$63:$T$91,3,FALSE),0)+IF(AND($N46="O3/CP",$N$14=B$18),VLOOKUP("O3",$R$63:$T$91,3,FALSE)+VLOOKUP("CP",$R$63:$T$91,3,FALSE),0)+IF(AND($O46&lt;&gt;"",$O46&lt;&gt;"--",$O46&lt;&gt;"O3/CP",$O$14=B$18),IF(LEFT($O46,1)="P",VLOOKUP(CONCATENATE(LEFT($O46,2),"H"),$R$63:$T$91,3,FALSE),VLOOKUP($O46,$R$63:$T$91,3,FALSE)))+IF(AND($O46&lt;&gt;"",$O46&lt;&gt;"O3/CP",$O$15=B$18,MID($O46,4,1)="2",$O$15&lt;&gt;$O$14),VLOOKUP(CONCATENATE(LEFT($O46,2),"L"),$R$63:$T$91,3,FALSE),0)+IF(AND($O46="O3/CP",$O$14=B$18),VLOOKUP("O3",$R$63:$T$91,3,FALSE)+VLOOKUP("CP",$R$63:$T$91,3,FALSE),0)+IF(AND($P46&lt;&gt;"",$P46&lt;&gt;"--",$P46&lt;&gt;"O3/CP",$P$14=B$18),IF(LEFT($P46,1)="P",VLOOKUP(CONCATENATE(LEFT($P46,2),"H"),$R$63:$T$91,3,FALSE),VLOOKUP($P46,$R$63:$T$91,3,FALSE)))+IF(AND($P46&lt;&gt;"",$P46&lt;&gt;"O3/CP",$P$15=B$18,MID($P46,4,1)="2",$P$15&lt;&gt;$P$14),VLOOKUP(CONCATENATE(LEFT($P46,2),"L"),$R$63:$T$91,3,FALSE),0)+IF(AND($P46="O3/CP",$P$14=B$18),VLOOKUP("O3",$R$63:$T$91,3,FALSE)+VLOOKUP("CP",$R$63:$T$91,3,FALSE),0)+IF(AND($Q46&lt;&gt;"",$Q46&lt;&gt;"--",$Q46&lt;&gt;"O3/CP",$Q$14=B$18),IF(LEFT($Q46,1)="P",VLOOKUP(CONCATENATE(LEFT($Q46,2),"H"),$R$63:$T$91,3,FALSE),VLOOKUP($Q46,$R$63:$T$91,3,FALSE)))+IF(AND($Q46&lt;&gt;"",$Q46&lt;&gt;"O3/CP",$Q$15=B$18,MID($Q46,4,1)="2",$Q$15&lt;&gt;$Q$14),VLOOKUP(CONCATENATE(LEFT($Q46,2),"L"),$R$63:$T$91,3,FALSE),0)+IF(AND($Q46="O3/CP",$Q$14=B$18),VLOOKUP("O3",$R$63:$T$91,3,FALSE)+VLOOKUP("CP",$R$63:$T$91,3,FALSE),0)+IF(AND($R46&lt;&gt;"",$R46&lt;&gt;"--",$R46&lt;&gt;"O3/CP",$R$14=B$18),IF(LEFT($R46,1)="P",VLOOKUP(CONCATENATE(LEFT($R46,2),"H"),$R$63:$T$91,3,FALSE),VLOOKUP($R46,$R$63:$T$91,3,FALSE)))+IF(AND($R46&lt;&gt;"",$R46&lt;&gt;"O3/CP",$R$15=B$18,MID($R46,4,1)="2",$R$15&lt;&gt;$R$14),VLOOKUP(CONCATENATE(LEFT($R46,2),"L"),$R$63:$T$91,3,FALSE),0)+IF(AND($R46="O3/CP",$R$14=B$18),VLOOKUP("O3",$R$63:$T$91,3,FALSE)+VLOOKUP("CP",$R$63:$T$91,3,FALSE),0)+IF(AND($S46&lt;&gt;"",$S46&lt;&gt;"--",$S46&lt;&gt;"O3/CP",$S$14=B$18),IF(LEFT($S46,1)="P",VLOOKUP(CONCATENATE(LEFT($S46,2),"H"),$R$63:$T$91,3,FALSE),VLOOKUP($S46,$R$63:$T$91,3,FALSE)))+IF(AND($S46&lt;&gt;"",$S46&lt;&gt;"O3/CP",$S$15=B$18,MID($S46,4,1)="2",$S$15&lt;&gt;$S$14),VLOOKUP(CONCATENATE(LEFT($S46,2),"L"),$R$63:$T$91,3,FALSE),0)+IF(AND($S46="O3/CP",$S$14=B$18),VLOOKUP("O3",$R$63:$T$91,3,FALSE)+VLOOKUP("CP",$R$63:$T$91,3,FALSE),0)+IF(AND($T46&lt;&gt;"",$T46&lt;&gt;"--",$T46&lt;&gt;"O3/CP",$T$14=B$18),IF(LEFT($T46,1)="P",VLOOKUP(CONCATENATE(LEFT($T46,2),"H"),$R$63:$T$91,3,FALSE),VLOOKUP($T46,$R$63:$T$91,3,FALSE)))+IF(AND($T46&lt;&gt;"",$T46&lt;&gt;"O3/CP",$T$15=B$18,MID($T46,4,1)="2",$T$15&lt;&gt;$T$14),VLOOKUP(CONCATENATE(LEFT($T46,2),"L"),$R$63:$T$91,3,FALSE),0)+IF(AND($T46="O3/CP",$T$14=B$18),VLOOKUP("O3",$R$63:$T$91,3,FALSE)+VLOOKUP("CP",$R$63:$T$91,3,FALSE),0)+IF(AND($U46&lt;&gt;"",$U46&lt;&gt;"--",$U46&lt;&gt;"O3/CP",$U$14=B$18),IF(LEFT($U46,1)="P",VLOOKUP(CONCATENATE(LEFT($U46,2),"H"),$R$63:$T$91,3,FALSE),VLOOKUP($U46,$R$63:$T$91,3,FALSE)))+IF(AND($U46&lt;&gt;"",$U46&lt;&gt;"O3/CP",$U$15=B$18,MID($U46,4,1)="2",$U$15&lt;&gt;$U$14),VLOOKUP(CONCATENATE(LEFT($U46,2),"L"),$R$63:$T$91,3,FALSE),0)+IF(AND($U46="O3/CP",$T$14=B$18),VLOOKUP("O3",$R$63:$T$91,3,FALSE)+VLOOKUP("CP",$R$63:$T$91,3,FALSE),0)+IF(AND($V46&lt;&gt;"",$V46&lt;&gt;"--",$V46&lt;&gt;"O3/CP",$V$14=B$18),IF(LEFT($V46,1)="P",VLOOKUP(CONCATENATE(LEFT($V46,2),"H"),$R$63:$T$91,3,FALSE),VLOOKUP($V46,$R$63:$T$91,3,FALSE)))+IF(AND($V46&lt;&gt;"",$V46&lt;&gt;"O3/CP",$V$15=B$18,MID($V46,4,1)="2",$V$15&lt;&gt;$V$14),VLOOKUP(CONCATENATE(LEFT($V46,2),"L"),$R$63:$T$91,3,FALSE),0)+IF(AND($V46="O3/CP",$V$14=B$18),VLOOKUP("O3",$R$63:$T$91,3,FALSE)+VLOOKUP("CP",$R$63:$T$91,3,FALSE),0)+IF(AND($W46&lt;&gt;"",$W46&lt;&gt;"--",$W46&lt;&gt;"O3/CP",$W$14=B$18),IF(LEFT($W46,1)="P",VLOOKUP(CONCATENATE(LEFT($W46,2),"H"),$R$63:$T$91,3,FALSE),VLOOKUP($W46,$R$63:$T$91,3,FALSE)))+IF(AND($W46&lt;&gt;"",$W46&lt;&gt;"O3/CP",$W$15=B$18,MID($W46,4,1)="2",$W$15&lt;&gt;$W$14),VLOOKUP(CONCATENATE(LEFT($W46,2),"L"),$R$63:$T$91,3,FALSE),0)+IF(AND($W46="O3/CP",$W$14=B$18),VLOOKUP("O3",$R$63:$T$91,3,FALSE)+VLOOKUP("CP",$R$63:$T$91,3,FALSE),0)+IF(AND($X46&lt;&gt;"",$X46&lt;&gt;"--",$X46&lt;&gt;"O3/CP",$X$14=B$18),IF(LEFT($X46,1)="P",VLOOKUP(CONCATENATE(LEFT($X46,2),"H"),$R$63:$T$91,3,FALSE),VLOOKUP($X46,$R$63:$T$91,3,FALSE)))+IF(AND($X46&lt;&gt;"",$X46&lt;&gt;"O3/CP",$X$15=B$18,MID($X46,4,1)="2",$X$15&lt;&gt;$X$14),VLOOKUP(CONCATENATE(LEFT($X46,2),"L"),$R$63:$T$91,3,FALSE),0)+IF(AND($X46="O3/CP",$X$14=B$18),VLOOKUP("O3",$R$63:$T$91,3,FALSE)+VLOOKUP("CP",$R$63:$T$91,3,FALSE),0)+IF(AND($Y46&lt;&gt;"",$Y46&lt;&gt;"--",$Y46&lt;&gt;"O3/CP",$Y$14=B$18),IF(LEFT($Y46,1)="P",VLOOKUP(CONCATENATE(LEFT($Y46,2),"H"),$R$63:$T$91,3,FALSE),VLOOKUP($Y46,$R$63:$T$91,3,FALSE)))+IF(AND($Y46&lt;&gt;"",$Y46&lt;&gt;"O3/CP",$Y$15=B$18,MID($Y46,4,1)="2",$Y$15&lt;&gt;$Y$14),VLOOKUP(CONCATENATE(LEFT($Y46,2),"L"),$R$63:$T$91,3,FALSE),0)+IF(AND($Y46="O3/CP",$Y$14=B$18),VLOOKUP("O3",$R$63:$T$91,3,FALSE)+VLOOKUP("CP",$R$63:$T$91,3,FALSE),0)+IF(AND($K$6="CE",'[3]Supply Attribution'!$G$20=B$18),LEFT($S$90,2),0)+IF(AND($X$86&lt;&gt;"Not Set",$X$87=B$18),$X$86,0)</f>
        <v>0</v>
      </c>
      <c r="C46" s="269">
        <f>IF(AND($K46&lt;&gt;"",$K46&lt;&gt;"--",$K46&lt;&gt;"O3/CP",$K$14=C$18),IF(LEFT($K46,1)="P",VLOOKUP(CONCATENATE(LEFT($K46,2),"H"),$R$63:$T$91,3,FALSE),VLOOKUP($K46,$R$63:$T$91,3,FALSE)))+IF(AND($K46&lt;&gt;"",$K46&lt;&gt;"O3/CP",$K$15=C$18,MID($K46,4,1)="2",$K$15&lt;&gt;$K$14),VLOOKUP(CONCATENATE(LEFT($K46,2),"L"),$R$63:$T$91,3,FALSE),0)+IF(AND($K46="O3/CP",$K$14=C$18),VLOOKUP("O3",$R$63:$T$91,3,FALSE)+VLOOKUP("CP",$R$63:$T$91,3,FALSE),0)+IF(AND($L46&lt;&gt;"",$L46&lt;&gt;"--",$L46&lt;&gt;"O3/CP",$L$14=C$18),IF(LEFT($L46,1)="P",VLOOKUP(CONCATENATE(LEFT($L46,2),"H"),$R$63:$T$91,3,FALSE),VLOOKUP($L46,$R$63:$T$91,3,FALSE)))+IF(AND($L46&lt;&gt;"",$L46&lt;&gt;"O3/CP",$L$15=C$18,MID($L46,4,1)="2",$L$15&lt;&gt;$L$14),VLOOKUP(CONCATENATE(LEFT($L46,2),"L"),$R$63:$T$91,3,FALSE),0)+IF(AND($L46="O3/CP",$L$14=C$18),VLOOKUP("O3",$R$63:$T$91,3,FALSE)+VLOOKUP("CP",$R$63:$T$91,3,FALSE),0)+IF(AND($M46&lt;&gt;"",$M46&lt;&gt;"--",$M46&lt;&gt;"O3/CP",$M$14=C$18),IF(LEFT($M46,1)="P",VLOOKUP(CONCATENATE(LEFT($M46,2),"H"),$R$63:$T$91,3,FALSE),VLOOKUP($M46,$R$63:$T$91,3,FALSE)))+IF(AND($M46&lt;&gt;"",$M46&lt;&gt;"O3/CP",$M$15=C$18,MID($M46,4,1)="2",$M$15&lt;&gt;$M$14),VLOOKUP(CONCATENATE(LEFT($M46,2),"L"),$R$63:$T$91,3,FALSE),0)+IF(AND($M46="O3/CP",$M$14=C$18),VLOOKUP("O3",$R$63:$T$91,3,FALSE)+VLOOKUP("CP",$R$63:$T$91,3,FALSE),0)+IF(AND($N46&lt;&gt;"",$N46&lt;&gt;"--",$N46&lt;&gt;"O3/CP",$N$14=C$18),IF(LEFT($N46,1)="P",VLOOKUP(CONCATENATE(LEFT($N46,2),"H"),$R$63:$T$91,3,FALSE),VLOOKUP($N46,$R$63:$T$91,3,FALSE)))+IF(AND($N46&lt;&gt;"",$N46&lt;&gt;"O3/CP",$N$15=C$18,MID($N46,4,1)="2",$N$15&lt;&gt;$N$14),VLOOKUP(CONCATENATE(LEFT($N46,2),"L"),$R$63:$T$91,3,FALSE),0)+IF(AND($N46="O3/CP",$N$14=C$18),VLOOKUP("O3",$R$63:$T$91,3,FALSE)+VLOOKUP("CP",$R$63:$T$91,3,FALSE),0)+IF(AND($O46&lt;&gt;"",$O46&lt;&gt;"--",$O46&lt;&gt;"O3/CP",$O$14=C$18),IF(LEFT($O46,1)="P",VLOOKUP(CONCATENATE(LEFT($O46,2),"H"),$R$63:$T$91,3,FALSE),VLOOKUP($O46,$R$63:$T$91,3,FALSE)))+IF(AND($O46&lt;&gt;"",$O46&lt;&gt;"O3/CP",$O$15=C$18,MID($O46,4,1)="2",$O$15&lt;&gt;$O$14),VLOOKUP(CONCATENATE(LEFT($O46,2),"L"),$R$63:$T$91,3,FALSE),0)+IF(AND($O46="O3/CP",$O$14=C$18),VLOOKUP("O3",$R$63:$T$91,3,FALSE)+VLOOKUP("CP",$R$63:$T$91,3,FALSE),0)+IF(AND($P46&lt;&gt;"",$P46&lt;&gt;"--",$P46&lt;&gt;"O3/CP",$P$14=C$18),IF(LEFT($P46,1)="P",VLOOKUP(CONCATENATE(LEFT($P46,2),"H"),$R$63:$T$91,3,FALSE),VLOOKUP($P46,$R$63:$T$91,3,FALSE)))+IF(AND($P46&lt;&gt;"",$P46&lt;&gt;"O3/CP",$P$15=C$18,MID($P46,4,1)="2",$P$15&lt;&gt;$P$14),VLOOKUP(CONCATENATE(LEFT($P46,2),"L"),$R$63:$T$91,3,FALSE),0)+IF(AND($P46="O3/CP",$P$14=C$18),VLOOKUP("O3",$R$63:$T$91,3,FALSE)+VLOOKUP("CP",$R$63:$T$91,3,FALSE),0)+IF(AND($Q46&lt;&gt;"",$Q46&lt;&gt;"--",$Q46&lt;&gt;"O3/CP",$Q$14=C$18),IF(LEFT($Q46,1)="P",VLOOKUP(CONCATENATE(LEFT($Q46,2),"H"),$R$63:$T$91,3,FALSE),VLOOKUP($Q46,$R$63:$T$91,3,FALSE)))+IF(AND($Q46&lt;&gt;"",$Q46&lt;&gt;"O3/CP",$Q$15=C$18,MID($Q46,4,1)="2",$Q$15&lt;&gt;$Q$14),VLOOKUP(CONCATENATE(LEFT($Q46,2),"L"),$R$63:$T$91,3,FALSE),0)+IF(AND($Q46="O3/CP",$Q$14=C$18),VLOOKUP("O3",$R$63:$T$91,3,FALSE)+VLOOKUP("CP",$R$63:$T$91,3,FALSE),0)+IF(AND($R46&lt;&gt;"",$R46&lt;&gt;"--",$R46&lt;&gt;"O3/CP",$R$14=C$18),IF(LEFT($R46,1)="P",VLOOKUP(CONCATENATE(LEFT($R46,2),"H"),$R$63:$T$91,3,FALSE),VLOOKUP($R46,$R$63:$T$91,3,FALSE)))+IF(AND($R46&lt;&gt;"",$R46&lt;&gt;"O3/CP",$R$15=C$18,MID($R46,4,1)="2",$R$15&lt;&gt;$R$14),VLOOKUP(CONCATENATE(LEFT($R46,2),"L"),$R$63:$T$91,3,FALSE),0)+IF(AND($R46="O3/CP",$R$14=C$18),VLOOKUP("O3",$R$63:$T$91,3,FALSE)+VLOOKUP("CP",$R$63:$T$91,3,FALSE),0)+IF(AND($S46&lt;&gt;"",$S46&lt;&gt;"--",$S46&lt;&gt;"O3/CP",$S$14=C$18),IF(LEFT($S46,1)="P",VLOOKUP(CONCATENATE(LEFT($S46,2),"H"),$R$63:$T$91,3,FALSE),VLOOKUP($S46,$R$63:$T$91,3,FALSE)))+IF(AND($S46&lt;&gt;"",$S46&lt;&gt;"O3/CP",$S$15=C$18,MID($S46,4,1)="2",$S$15&lt;&gt;$S$14),VLOOKUP(CONCATENATE(LEFT($S46,2),"L"),$R$63:$T$91,3,FALSE),0)+IF(AND($S46="O3/CP",$S$14=C$18),VLOOKUP("O3",$R$63:$T$91,3,FALSE)+VLOOKUP("CP",$R$63:$T$91,3,FALSE),0)+IF(AND($T46&lt;&gt;"",$T46&lt;&gt;"--",$T46&lt;&gt;"O3/CP",$T$14=C$18),IF(LEFT($T46,1)="P",VLOOKUP(CONCATENATE(LEFT($T46,2),"H"),$R$63:$T$91,3,FALSE),VLOOKUP($T46,$R$63:$T$91,3,FALSE)))+IF(AND($T46&lt;&gt;"",$T46&lt;&gt;"O3/CP",$T$15=C$18,MID($T46,4,1)="2",$T$15&lt;&gt;$T$14),VLOOKUP(CONCATENATE(LEFT($T46,2),"L"),$R$63:$T$91,3,FALSE),0)+IF(AND($T46="O3/CP",$T$14=C$18),VLOOKUP("O3",$R$63:$T$91,3,FALSE)+VLOOKUP("CP",$R$63:$T$91,3,FALSE),0)+IF(AND($U46&lt;&gt;"",$U46&lt;&gt;"--",$U46&lt;&gt;"O3/CP",$U$14=C$18),IF(LEFT($U46,1)="P",VLOOKUP(CONCATENATE(LEFT($U46,2),"H"),$R$63:$T$91,3,FALSE),VLOOKUP($U46,$R$63:$T$91,3,FALSE)))+IF(AND($U46&lt;&gt;"",$U46&lt;&gt;"O3/CP",$U$15=C$18,MID($U46,4,1)="2",$U$15&lt;&gt;$U$14),VLOOKUP(CONCATENATE(LEFT($U46,2),"L"),$R$63:$T$91,3,FALSE),0)+IF(AND($U46="O3/CP",$T$14=C$18),VLOOKUP("O3",$R$63:$T$91,3,FALSE)+VLOOKUP("CP",$R$63:$T$91,3,FALSE),0)+IF(AND($V46&lt;&gt;"",$V46&lt;&gt;"--",$V46&lt;&gt;"O3/CP",$V$14=C$18),IF(LEFT($V46,1)="P",VLOOKUP(CONCATENATE(LEFT($V46,2),"H"),$R$63:$T$91,3,FALSE),VLOOKUP($V46,$R$63:$T$91,3,FALSE)))+IF(AND($V46&lt;&gt;"",$V46&lt;&gt;"O3/CP",$V$15=C$18,MID($V46,4,1)="2",$V$15&lt;&gt;$V$14),VLOOKUP(CONCATENATE(LEFT($V46,2),"L"),$R$63:$T$91,3,FALSE),0)+IF(AND($V46="O3/CP",$V$14=C$18),VLOOKUP("O3",$R$63:$T$91,3,FALSE)+VLOOKUP("CP",$R$63:$T$91,3,FALSE),0)+IF(AND($W46&lt;&gt;"",$W46&lt;&gt;"--",$W46&lt;&gt;"O3/CP",$W$14=C$18),IF(LEFT($W46,1)="P",VLOOKUP(CONCATENATE(LEFT($W46,2),"H"),$R$63:$T$91,3,FALSE),VLOOKUP($W46,$R$63:$T$91,3,FALSE)))+IF(AND($W46&lt;&gt;"",$W46&lt;&gt;"O3/CP",$W$15=C$18,MID($W46,4,1)="2",$W$15&lt;&gt;$W$14),VLOOKUP(CONCATENATE(LEFT($W46,2),"L"),$R$63:$T$91,3,FALSE),0)+IF(AND($W46="O3/CP",$W$14=C$18),VLOOKUP("O3",$R$63:$T$91,3,FALSE)+VLOOKUP("CP",$R$63:$T$91,3,FALSE),0)+IF(AND($X46&lt;&gt;"",$X46&lt;&gt;"--",$X46&lt;&gt;"O3/CP",$X$14=C$18),IF(LEFT($X46,1)="P",VLOOKUP(CONCATENATE(LEFT($X46,2),"H"),$R$63:$T$91,3,FALSE),VLOOKUP($X46,$R$63:$T$91,3,FALSE)))+IF(AND($X46&lt;&gt;"",$X46&lt;&gt;"O3/CP",$X$15=C$18,MID($X46,4,1)="2",$X$15&lt;&gt;$X$14),VLOOKUP(CONCATENATE(LEFT($X46,2),"L"),$R$63:$T$91,3,FALSE),0)+IF(AND($X46="O3/CP",$X$14=C$18),VLOOKUP("O3",$R$63:$T$91,3,FALSE)+VLOOKUP("CP",$R$63:$T$91,3,FALSE),0)+IF(AND($Y46&lt;&gt;"",$Y46&lt;&gt;"--",$Y46&lt;&gt;"O3/CP",$Y$14=C$18),IF(LEFT($Y46,1)="P",VLOOKUP(CONCATENATE(LEFT($Y46,2),"H"),$R$63:$T$91,3,FALSE),VLOOKUP($Y46,$R$63:$T$91,3,FALSE)))+IF(AND($Y46&lt;&gt;"",$Y46&lt;&gt;"O3/CP",$Y$15=C$18,MID($Y46,4,1)="2",$Y$15&lt;&gt;$Y$14),VLOOKUP(CONCATENATE(LEFT($Y46,2),"L"),$R$63:$T$91,3,FALSE),0)+IF(AND($Y46="O3/CP",$Y$14=C$18),VLOOKUP("O3",$R$63:$T$91,3,FALSE)+VLOOKUP("CP",$R$63:$T$91,3,FALSE),0)+IF(AND($K$6="CE",'[3]Supply Attribution'!$G$20=C$18),LEFT($S$90,2),0)+IF(AND($X$86&lt;&gt;"Not Set",$X$87=C$18),$X$86,0)</f>
        <v>0</v>
      </c>
      <c r="D46" s="269">
        <f>IF(AND($K46&lt;&gt;"",$K46&lt;&gt;"--",$K46&lt;&gt;"O3/CP",$K$14=D$18),IF(LEFT($K46,1)="P",VLOOKUP(CONCATENATE(LEFT($K46,2),"H"),$R$63:$T$91,3,FALSE),VLOOKUP($K46,$R$63:$T$91,3,FALSE)))+IF(AND($K46&lt;&gt;"",$K46&lt;&gt;"O3/CP",$K$15=D$18,MID($K46,4,1)="2",$K$15&lt;&gt;$K$14),VLOOKUP(CONCATENATE(LEFT($K46,2),"L"),$R$63:$T$91,3,FALSE),0)+IF(AND($K46="O3/CP",$K$14=D$18),VLOOKUP("O3",$R$63:$T$91,3,FALSE)+VLOOKUP("CP",$R$63:$T$91,3,FALSE),0)+IF(AND($L46&lt;&gt;"",$L46&lt;&gt;"--",$L46&lt;&gt;"O3/CP",$L$14=D$18),IF(LEFT($L46,1)="P",VLOOKUP(CONCATENATE(LEFT($L46,2),"H"),$R$63:$T$91,3,FALSE),VLOOKUP($L46,$R$63:$T$91,3,FALSE)))+IF(AND($L46&lt;&gt;"",$L46&lt;&gt;"O3/CP",$L$15=D$18,MID($L46,4,1)="2",$L$15&lt;&gt;$L$14),VLOOKUP(CONCATENATE(LEFT($L46,2),"L"),$R$63:$T$91,3,FALSE),0)+IF(AND($L46="O3/CP",$L$14=D$18),VLOOKUP("O3",$R$63:$T$91,3,FALSE)+VLOOKUP("CP",$R$63:$T$91,3,FALSE),0)+IF(AND($M46&lt;&gt;"",$M46&lt;&gt;"--",$M46&lt;&gt;"O3/CP",$M$14=D$18),IF(LEFT($M46,1)="P",VLOOKUP(CONCATENATE(LEFT($M46,2),"H"),$R$63:$T$91,3,FALSE),VLOOKUP($M46,$R$63:$T$91,3,FALSE)))+IF(AND($M46&lt;&gt;"",$M46&lt;&gt;"O3/CP",$M$15=D$18,MID($M46,4,1)="2",$M$15&lt;&gt;$M$14),VLOOKUP(CONCATENATE(LEFT($M46,2),"L"),$R$63:$T$91,3,FALSE),0)+IF(AND($M46="O3/CP",$M$14=D$18),VLOOKUP("O3",$R$63:$T$91,3,FALSE)+VLOOKUP("CP",$R$63:$T$91,3,FALSE),0)+IF(AND($N46&lt;&gt;"",$N46&lt;&gt;"--",$N46&lt;&gt;"O3/CP",$N$14=D$18),IF(LEFT($N46,1)="P",VLOOKUP(CONCATENATE(LEFT($N46,2),"H"),$R$63:$T$91,3,FALSE),VLOOKUP($N46,$R$63:$T$91,3,FALSE)))+IF(AND($N46&lt;&gt;"",$N46&lt;&gt;"O3/CP",$N$15=D$18,MID($N46,4,1)="2",$N$15&lt;&gt;$N$14),VLOOKUP(CONCATENATE(LEFT($N46,2),"L"),$R$63:$T$91,3,FALSE),0)+IF(AND($N46="O3/CP",$N$14=D$18),VLOOKUP("O3",$R$63:$T$91,3,FALSE)+VLOOKUP("CP",$R$63:$T$91,3,FALSE),0)+IF(AND($O46&lt;&gt;"",$O46&lt;&gt;"--",$O46&lt;&gt;"O3/CP",$O$14=D$18),IF(LEFT($O46,1)="P",VLOOKUP(CONCATENATE(LEFT($O46,2),"H"),$R$63:$T$91,3,FALSE),VLOOKUP($O46,$R$63:$T$91,3,FALSE)))+IF(AND($O46&lt;&gt;"",$O46&lt;&gt;"O3/CP",$O$15=D$18,MID($O46,4,1)="2",$O$15&lt;&gt;$O$14),VLOOKUP(CONCATENATE(LEFT($O46,2),"L"),$R$63:$T$91,3,FALSE),0)+IF(AND($O46="O3/CP",$O$14=D$18),VLOOKUP("O3",$R$63:$T$91,3,FALSE)+VLOOKUP("CP",$R$63:$T$91,3,FALSE),0)+IF(AND($P46&lt;&gt;"",$P46&lt;&gt;"--",$P46&lt;&gt;"O3/CP",$P$14=D$18),IF(LEFT($P46,1)="P",VLOOKUP(CONCATENATE(LEFT($P46,2),"H"),$R$63:$T$91,3,FALSE),VLOOKUP($P46,$R$63:$T$91,3,FALSE)))+IF(AND($P46&lt;&gt;"",$P46&lt;&gt;"O3/CP",$P$15=D$18,MID($P46,4,1)="2",$P$15&lt;&gt;$P$14),VLOOKUP(CONCATENATE(LEFT($P46,2),"L"),$R$63:$T$91,3,FALSE),0)+IF(AND($P46="O3/CP",$P$14=D$18),VLOOKUP("O3",$R$63:$T$91,3,FALSE)+VLOOKUP("CP",$R$63:$T$91,3,FALSE),0)+IF(AND($Q46&lt;&gt;"",$Q46&lt;&gt;"--",$Q46&lt;&gt;"O3/CP",$Q$14=D$18),IF(LEFT($Q46,1)="P",VLOOKUP(CONCATENATE(LEFT($Q46,2),"H"),$R$63:$T$91,3,FALSE),VLOOKUP($Q46,$R$63:$T$91,3,FALSE)))+IF(AND($Q46&lt;&gt;"",$Q46&lt;&gt;"O3/CP",$Q$15=D$18,MID($Q46,4,1)="2",$Q$15&lt;&gt;$Q$14),VLOOKUP(CONCATENATE(LEFT($Q46,2),"L"),$R$63:$T$91,3,FALSE),0)+IF(AND($Q46="O3/CP",$Q$14=D$18),VLOOKUP("O3",$R$63:$T$91,3,FALSE)+VLOOKUP("CP",$R$63:$T$91,3,FALSE),0)+IF(AND($R46&lt;&gt;"",$R46&lt;&gt;"--",$R46&lt;&gt;"O3/CP",$R$14=D$18),IF(LEFT($R46,1)="P",VLOOKUP(CONCATENATE(LEFT($R46,2),"H"),$R$63:$T$91,3,FALSE),VLOOKUP($R46,$R$63:$T$91,3,FALSE)))+IF(AND($R46&lt;&gt;"",$R46&lt;&gt;"O3/CP",$R$15=D$18,MID($R46,4,1)="2",$R$15&lt;&gt;$R$14),VLOOKUP(CONCATENATE(LEFT($R46,2),"L"),$R$63:$T$91,3,FALSE),0)+IF(AND($R46="O3/CP",$R$14=D$18),VLOOKUP("O3",$R$63:$T$91,3,FALSE)+VLOOKUP("CP",$R$63:$T$91,3,FALSE),0)+IF(AND($S46&lt;&gt;"",$S46&lt;&gt;"--",$S46&lt;&gt;"O3/CP",$S$14=D$18),IF(LEFT($S46,1)="P",VLOOKUP(CONCATENATE(LEFT($S46,2),"H"),$R$63:$T$91,3,FALSE),VLOOKUP($S46,$R$63:$T$91,3,FALSE)))+IF(AND($S46&lt;&gt;"",$S46&lt;&gt;"O3/CP",$S$15=D$18,MID($S46,4,1)="2",$S$15&lt;&gt;$S$14),VLOOKUP(CONCATENATE(LEFT($S46,2),"L"),$R$63:$T$91,3,FALSE),0)+IF(AND($S46="O3/CP",$S$14=D$18),VLOOKUP("O3",$R$63:$T$91,3,FALSE)+VLOOKUP("CP",$R$63:$T$91,3,FALSE),0)+IF(AND($T46&lt;&gt;"",$T46&lt;&gt;"--",$T46&lt;&gt;"O3/CP",$T$14=D$18),IF(LEFT($T46,1)="P",VLOOKUP(CONCATENATE(LEFT($T46,2),"H"),$R$63:$T$91,3,FALSE),VLOOKUP($T46,$R$63:$T$91,3,FALSE)))+IF(AND($T46&lt;&gt;"",$T46&lt;&gt;"O3/CP",$T$15=D$18,MID($T46,4,1)="2",$T$15&lt;&gt;$T$14),VLOOKUP(CONCATENATE(LEFT($T46,2),"L"),$R$63:$T$91,3,FALSE),0)+IF(AND($T46="O3/CP",$T$14=D$18),VLOOKUP("O3",$R$63:$T$91,3,FALSE)+VLOOKUP("CP",$R$63:$T$91,3,FALSE),0)+IF(AND($U46&lt;&gt;"",$U46&lt;&gt;"--",$U46&lt;&gt;"O3/CP",$U$14=D$18),IF(LEFT($U46,1)="P",VLOOKUP(CONCATENATE(LEFT($U46,2),"H"),$R$63:$T$91,3,FALSE),VLOOKUP($U46,$R$63:$T$91,3,FALSE)))+IF(AND($U46&lt;&gt;"",$U46&lt;&gt;"O3/CP",$U$15=D$18,MID($U46,4,1)="2",$U$15&lt;&gt;$U$14),VLOOKUP(CONCATENATE(LEFT($U46,2),"L"),$R$63:$T$91,3,FALSE),0)+IF(AND($U46="O3/CP",$T$14=D$18),VLOOKUP("O3",$R$63:$T$91,3,FALSE)+VLOOKUP("CP",$R$63:$T$91,3,FALSE),0)+IF(AND($V46&lt;&gt;"",$V46&lt;&gt;"--",$V46&lt;&gt;"O3/CP",$V$14=D$18),IF(LEFT($V46,1)="P",VLOOKUP(CONCATENATE(LEFT($V46,2),"H"),$R$63:$T$91,3,FALSE),VLOOKUP($V46,$R$63:$T$91,3,FALSE)))+IF(AND($V46&lt;&gt;"",$V46&lt;&gt;"O3/CP",$V$15=D$18,MID($V46,4,1)="2",$V$15&lt;&gt;$V$14),VLOOKUP(CONCATENATE(LEFT($V46,2),"L"),$R$63:$T$91,3,FALSE),0)+IF(AND($V46="O3/CP",$V$14=D$18),VLOOKUP("O3",$R$63:$T$91,3,FALSE)+VLOOKUP("CP",$R$63:$T$91,3,FALSE),0)+IF(AND($W46&lt;&gt;"",$W46&lt;&gt;"--",$W46&lt;&gt;"O3/CP",$W$14=D$18),IF(LEFT($W46,1)="P",VLOOKUP(CONCATENATE(LEFT($W46,2),"H"),$R$63:$T$91,3,FALSE),VLOOKUP($W46,$R$63:$T$91,3,FALSE)))+IF(AND($W46&lt;&gt;"",$W46&lt;&gt;"O3/CP",$W$15=D$18,MID($W46,4,1)="2",$W$15&lt;&gt;$W$14),VLOOKUP(CONCATENATE(LEFT($W46,2),"L"),$R$63:$T$91,3,FALSE),0)+IF(AND($W46="O3/CP",$W$14=D$18),VLOOKUP("O3",$R$63:$T$91,3,FALSE)+VLOOKUP("CP",$R$63:$T$91,3,FALSE),0)+IF(AND($X46&lt;&gt;"",$X46&lt;&gt;"--",$X46&lt;&gt;"O3/CP",$X$14=D$18),IF(LEFT($X46,1)="P",VLOOKUP(CONCATENATE(LEFT($X46,2),"H"),$R$63:$T$91,3,FALSE),VLOOKUP($X46,$R$63:$T$91,3,FALSE)))+IF(AND($X46&lt;&gt;"",$X46&lt;&gt;"O3/CP",$X$15=D$18,MID($X46,4,1)="2",$X$15&lt;&gt;$X$14),VLOOKUP(CONCATENATE(LEFT($X46,2),"L"),$R$63:$T$91,3,FALSE),0)+IF(AND($X46="O3/CP",$X$14=D$18),VLOOKUP("O3",$R$63:$T$91,3,FALSE)+VLOOKUP("CP",$R$63:$T$91,3,FALSE),0)+IF(AND($Y46&lt;&gt;"",$Y46&lt;&gt;"--",$Y46&lt;&gt;"O3/CP",$Y$14=D$18),IF(LEFT($Y46,1)="P",VLOOKUP(CONCATENATE(LEFT($Y46,2),"H"),$R$63:$T$91,3,FALSE),VLOOKUP($Y46,$R$63:$T$91,3,FALSE)))+IF(AND($Y46&lt;&gt;"",$Y46&lt;&gt;"O3/CP",$Y$15=D$18,MID($Y46,4,1)="2",$Y$15&lt;&gt;$Y$14),VLOOKUP(CONCATENATE(LEFT($Y46,2),"L"),$R$63:$T$91,3,FALSE),0)+IF(AND($Y46="O3/CP",$Y$14=D$18),VLOOKUP("O3",$R$63:$T$91,3,FALSE)+VLOOKUP("CP",$R$63:$T$91,3,FALSE),0)+IF(AND($K$6="CE",'[3]Supply Attribution'!$G$20=D$18),LEFT($S$90,2),0)+IF(AND($X$86&lt;&gt;"Not Set",$X$87=D$18),$X$86,0)</f>
        <v>0</v>
      </c>
      <c r="E46" s="269">
        <f>IF(AND($K46&lt;&gt;"",$K46&lt;&gt;"--",$K46&lt;&gt;"O3/CP",$K$14=E$18),IF(LEFT($K46,1)="P",VLOOKUP(CONCATENATE(LEFT($K46,2),"H"),$R$63:$T$91,3,FALSE),VLOOKUP($K46,$R$63:$T$91,3,FALSE)))+IF(AND($K46&lt;&gt;"",$K46&lt;&gt;"O3/CP",$K$15=E$18,MID($K46,4,1)="2",$K$15&lt;&gt;$K$14),VLOOKUP(CONCATENATE(LEFT($K46,2),"L"),$R$63:$T$91,3,FALSE),0)+IF(AND($K46="O3/CP",$K$14=E$18),VLOOKUP("O3",$R$63:$T$91,3,FALSE)+VLOOKUP("CP",$R$63:$T$91,3,FALSE),0)+IF(AND($L46&lt;&gt;"",$L46&lt;&gt;"--",$L46&lt;&gt;"O3/CP",$L$14=E$18),IF(LEFT($L46,1)="P",VLOOKUP(CONCATENATE(LEFT($L46,2),"H"),$R$63:$T$91,3,FALSE),VLOOKUP($L46,$R$63:$T$91,3,FALSE)))+IF(AND($L46&lt;&gt;"",$L46&lt;&gt;"O3/CP",$L$15=E$18,MID($L46,4,1)="2",$L$15&lt;&gt;$L$14),VLOOKUP(CONCATENATE(LEFT($L46,2),"L"),$R$63:$T$91,3,FALSE),0)+IF(AND($L46="O3/CP",$L$14=E$18),VLOOKUP("O3",$R$63:$T$91,3,FALSE)+VLOOKUP("CP",$R$63:$T$91,3,FALSE),0)+IF(AND($M46&lt;&gt;"",$M46&lt;&gt;"--",$M46&lt;&gt;"O3/CP",$M$14=E$18),IF(LEFT($M46,1)="P",VLOOKUP(CONCATENATE(LEFT($M46,2),"H"),$R$63:$T$91,3,FALSE),VLOOKUP($M46,$R$63:$T$91,3,FALSE)))+IF(AND($M46&lt;&gt;"",$M46&lt;&gt;"O3/CP",$M$15=E$18,MID($M46,4,1)="2",$M$15&lt;&gt;$M$14),VLOOKUP(CONCATENATE(LEFT($M46,2),"L"),$R$63:$T$91,3,FALSE),0)+IF(AND($M46="O3/CP",$M$14=E$18),VLOOKUP("O3",$R$63:$T$91,3,FALSE)+VLOOKUP("CP",$R$63:$T$91,3,FALSE),0)+IF(AND($N46&lt;&gt;"",$N46&lt;&gt;"--",$N46&lt;&gt;"O3/CP",$N$14=E$18),IF(LEFT($N46,1)="P",VLOOKUP(CONCATENATE(LEFT($N46,2),"H"),$R$63:$T$91,3,FALSE),VLOOKUP($N46,$R$63:$T$91,3,FALSE)))+IF(AND($N46&lt;&gt;"",$N46&lt;&gt;"O3/CP",$N$15=E$18,MID($N46,4,1)="2",$N$15&lt;&gt;$N$14),VLOOKUP(CONCATENATE(LEFT($N46,2),"L"),$R$63:$T$91,3,FALSE),0)+IF(AND($N46="O3/CP",$N$14=E$18),VLOOKUP("O3",$R$63:$T$91,3,FALSE)+VLOOKUP("CP",$R$63:$T$91,3,FALSE),0)+IF(AND($O46&lt;&gt;"",$O46&lt;&gt;"--",$O46&lt;&gt;"O3/CP",$O$14=E$18),IF(LEFT($O46,1)="P",VLOOKUP(CONCATENATE(LEFT($O46,2),"H"),$R$63:$T$91,3,FALSE),VLOOKUP($O46,$R$63:$T$91,3,FALSE)))+IF(AND($O46&lt;&gt;"",$O46&lt;&gt;"O3/CP",$O$15=E$18,MID($O46,4,1)="2",$O$15&lt;&gt;$O$14),VLOOKUP(CONCATENATE(LEFT($O46,2),"L"),$R$63:$T$91,3,FALSE),0)+IF(AND($O46="O3/CP",$O$14=E$18),VLOOKUP("O3",$R$63:$T$91,3,FALSE)+VLOOKUP("CP",$R$63:$T$91,3,FALSE),0)+IF(AND($P46&lt;&gt;"",$P46&lt;&gt;"--",$P46&lt;&gt;"O3/CP",$P$14=E$18),IF(LEFT($P46,1)="P",VLOOKUP(CONCATENATE(LEFT($P46,2),"H"),$R$63:$T$91,3,FALSE),VLOOKUP($P46,$R$63:$T$91,3,FALSE)))+IF(AND($P46&lt;&gt;"",$P46&lt;&gt;"O3/CP",$P$15=E$18,MID($P46,4,1)="2",$P$15&lt;&gt;$P$14),VLOOKUP(CONCATENATE(LEFT($P46,2),"L"),$R$63:$T$91,3,FALSE),0)+IF(AND($P46="O3/CP",$P$14=E$18),VLOOKUP("O3",$R$63:$T$91,3,FALSE)+VLOOKUP("CP",$R$63:$T$91,3,FALSE),0)+IF(AND($Q46&lt;&gt;"",$Q46&lt;&gt;"--",$Q46&lt;&gt;"O3/CP",$Q$14=E$18),IF(LEFT($Q46,1)="P",VLOOKUP(CONCATENATE(LEFT($Q46,2),"H"),$R$63:$T$91,3,FALSE),VLOOKUP($Q46,$R$63:$T$91,3,FALSE)))+IF(AND($Q46&lt;&gt;"",$Q46&lt;&gt;"O3/CP",$Q$15=E$18,MID($Q46,4,1)="2",$Q$15&lt;&gt;$Q$14),VLOOKUP(CONCATENATE(LEFT($Q46,2),"L"),$R$63:$T$91,3,FALSE),0)+IF(AND($Q46="O3/CP",$Q$14=E$18),VLOOKUP("O3",$R$63:$T$91,3,FALSE)+VLOOKUP("CP",$R$63:$T$91,3,FALSE),0)+IF(AND($R46&lt;&gt;"",$R46&lt;&gt;"--",$R46&lt;&gt;"O3/CP",$R$14=E$18),IF(LEFT($R46,1)="P",VLOOKUP(CONCATENATE(LEFT($R46,2),"H"),$R$63:$T$91,3,FALSE),VLOOKUP($R46,$R$63:$T$91,3,FALSE)))+IF(AND($R46&lt;&gt;"",$R46&lt;&gt;"O3/CP",$R$15=E$18,MID($R46,4,1)="2",$R$15&lt;&gt;$R$14),VLOOKUP(CONCATENATE(LEFT($R46,2),"L"),$R$63:$T$91,3,FALSE),0)+IF(AND($R46="O3/CP",$R$14=E$18),VLOOKUP("O3",$R$63:$T$91,3,FALSE)+VLOOKUP("CP",$R$63:$T$91,3,FALSE),0)+IF(AND($S46&lt;&gt;"",$S46&lt;&gt;"--",$S46&lt;&gt;"O3/CP",$S$14=E$18),IF(LEFT($S46,1)="P",VLOOKUP(CONCATENATE(LEFT($S46,2),"H"),$R$63:$T$91,3,FALSE),VLOOKUP($S46,$R$63:$T$91,3,FALSE)))+IF(AND($S46&lt;&gt;"",$S46&lt;&gt;"O3/CP",$S$15=E$18,MID($S46,4,1)="2",$S$15&lt;&gt;$S$14),VLOOKUP(CONCATENATE(LEFT($S46,2),"L"),$R$63:$T$91,3,FALSE),0)+IF(AND($S46="O3/CP",$S$14=E$18),VLOOKUP("O3",$R$63:$T$91,3,FALSE)+VLOOKUP("CP",$R$63:$T$91,3,FALSE),0)+IF(AND($T46&lt;&gt;"",$T46&lt;&gt;"--",$T46&lt;&gt;"O3/CP",$T$14=E$18),IF(LEFT($T46,1)="P",VLOOKUP(CONCATENATE(LEFT($T46,2),"H"),$R$63:$T$91,3,FALSE),VLOOKUP($T46,$R$63:$T$91,3,FALSE)))+IF(AND($T46&lt;&gt;"",$T46&lt;&gt;"O3/CP",$T$15=E$18,MID($T46,4,1)="2",$T$15&lt;&gt;$T$14),VLOOKUP(CONCATENATE(LEFT($T46,2),"L"),$R$63:$T$91,3,FALSE),0)+IF(AND($T46="O3/CP",$T$14=E$18),VLOOKUP("O3",$R$63:$T$91,3,FALSE)+VLOOKUP("CP",$R$63:$T$91,3,FALSE),0)+IF(AND($U46&lt;&gt;"",$U46&lt;&gt;"--",$U46&lt;&gt;"O3/CP",$U$14=E$18),IF(LEFT($U46,1)="P",VLOOKUP(CONCATENATE(LEFT($U46,2),"H"),$R$63:$T$91,3,FALSE),VLOOKUP($U46,$R$63:$T$91,3,FALSE)))+IF(AND($U46&lt;&gt;"",$U46&lt;&gt;"O3/CP",$U$15=E$18,MID($U46,4,1)="2",$U$15&lt;&gt;$U$14),VLOOKUP(CONCATENATE(LEFT($U46,2),"L"),$R$63:$T$91,3,FALSE),0)+IF(AND($U46="O3/CP",$T$14=E$18),VLOOKUP("O3",$R$63:$T$91,3,FALSE)+VLOOKUP("CP",$R$63:$T$91,3,FALSE),0)+IF(AND($V46&lt;&gt;"",$V46&lt;&gt;"--",$V46&lt;&gt;"O3/CP",$V$14=E$18),IF(LEFT($V46,1)="P",VLOOKUP(CONCATENATE(LEFT($V46,2),"H"),$R$63:$T$91,3,FALSE),VLOOKUP($V46,$R$63:$T$91,3,FALSE)))+IF(AND($V46&lt;&gt;"",$V46&lt;&gt;"O3/CP",$V$15=E$18,MID($V46,4,1)="2",$V$15&lt;&gt;$V$14),VLOOKUP(CONCATENATE(LEFT($V46,2),"L"),$R$63:$T$91,3,FALSE),0)+IF(AND($V46="O3/CP",$V$14=E$18),VLOOKUP("O3",$R$63:$T$91,3,FALSE)+VLOOKUP("CP",$R$63:$T$91,3,FALSE),0)+IF(AND($W46&lt;&gt;"",$W46&lt;&gt;"--",$W46&lt;&gt;"O3/CP",$W$14=E$18),IF(LEFT($W46,1)="P",VLOOKUP(CONCATENATE(LEFT($W46,2),"H"),$R$63:$T$91,3,FALSE),VLOOKUP($W46,$R$63:$T$91,3,FALSE)))+IF(AND($W46&lt;&gt;"",$W46&lt;&gt;"O3/CP",$W$15=E$18,MID($W46,4,1)="2",$W$15&lt;&gt;$W$14),VLOOKUP(CONCATENATE(LEFT($W46,2),"L"),$R$63:$T$91,3,FALSE),0)+IF(AND($W46="O3/CP",$W$14=E$18),VLOOKUP("O3",$R$63:$T$91,3,FALSE)+VLOOKUP("CP",$R$63:$T$91,3,FALSE),0)+IF(AND($X46&lt;&gt;"",$X46&lt;&gt;"--",$X46&lt;&gt;"O3/CP",$X$14=E$18),IF(LEFT($X46,1)="P",VLOOKUP(CONCATENATE(LEFT($X46,2),"H"),$R$63:$T$91,3,FALSE),VLOOKUP($X46,$R$63:$T$91,3,FALSE)))+IF(AND($X46&lt;&gt;"",$X46&lt;&gt;"O3/CP",$X$15=E$18,MID($X46,4,1)="2",$X$15&lt;&gt;$X$14),VLOOKUP(CONCATENATE(LEFT($X46,2),"L"),$R$63:$T$91,3,FALSE),0)+IF(AND($X46="O3/CP",$X$14=E$18),VLOOKUP("O3",$R$63:$T$91,3,FALSE)+VLOOKUP("CP",$R$63:$T$91,3,FALSE),0)+IF(AND($Y46&lt;&gt;"",$Y46&lt;&gt;"--",$Y46&lt;&gt;"O3/CP",$Y$14=E$18),IF(LEFT($Y46,1)="P",VLOOKUP(CONCATENATE(LEFT($Y46,2),"H"),$R$63:$T$91,3,FALSE),VLOOKUP($Y46,$R$63:$T$91,3,FALSE)))+IF(AND($Y46&lt;&gt;"",$Y46&lt;&gt;"O3/CP",$Y$15=E$18,MID($Y46,4,1)="2",$Y$15&lt;&gt;$Y$14),VLOOKUP(CONCATENATE(LEFT($Y46,2),"L"),$R$63:$T$91,3,FALSE),0)+IF(AND($Y46="O3/CP",$Y$14=E$18),VLOOKUP("O3",$R$63:$T$91,3,FALSE)+VLOOKUP("CP",$R$63:$T$91,3,FALSE),0)+IF(AND($K$6="CE",'[3]Supply Attribution'!$G$20=E$18),LEFT($S$90,2),0)+IF(AND($X$86&lt;&gt;"Not Set",$X$87=E$18),$X$86,0)</f>
        <v>0</v>
      </c>
      <c r="F46" s="268">
        <f>IF(AND($K46&lt;&gt;"",$K46&lt;&gt;"--",$K46&lt;&gt;"O3/CP",$K$14=F$18),IF(LEFT($K46,1)="P",VLOOKUP(CONCATENATE(LEFT($K46,2),"H"),$R$63:$T$91,3,FALSE),VLOOKUP($K46,$R$63:$T$91,3,FALSE)))+IF(AND($K46&lt;&gt;"",$K46&lt;&gt;"O3/CP",$K$15=F$18,MID($K46,4,1)="2",$K$15&lt;&gt;$K$14),VLOOKUP(CONCATENATE(LEFT($K46,2),"L"),$R$63:$T$91,3,FALSE),0)+IF(AND($K46="O3/CP",$K$14=F$18),VLOOKUP("O3",$R$63:$T$91,3,FALSE)+VLOOKUP("CP",$R$63:$T$91,3,FALSE),0)+IF(AND($L46&lt;&gt;"",$L46&lt;&gt;"--",$L46&lt;&gt;"O3/CP",$L$14=F$18),IF(LEFT($L46,1)="P",VLOOKUP(CONCATENATE(LEFT($L46,2),"H"),$R$63:$T$91,3,FALSE),VLOOKUP($L46,$R$63:$T$91,3,FALSE)))+IF(AND($L46&lt;&gt;"",$L46&lt;&gt;"O3/CP",$L$15=F$18,MID($L46,4,1)="2",$L$15&lt;&gt;$L$14),VLOOKUP(CONCATENATE(LEFT($L46,2),"L"),$R$63:$T$91,3,FALSE),0)+IF(AND($L46="O3/CP",$L$14=F$18),VLOOKUP("O3",$R$63:$T$91,3,FALSE)+VLOOKUP("CP",$R$63:$T$91,3,FALSE),0)+IF(AND($M46&lt;&gt;"",$M46&lt;&gt;"--",$M46&lt;&gt;"O3/CP",$M$14=F$18),IF(LEFT($M46,1)="P",VLOOKUP(CONCATENATE(LEFT($M46,2),"H"),$R$63:$T$91,3,FALSE),VLOOKUP($M46,$R$63:$T$91,3,FALSE)))+IF(AND($M46&lt;&gt;"",$M46&lt;&gt;"O3/CP",$M$15=F$18,MID($M46,4,1)="2",$M$15&lt;&gt;$M$14),VLOOKUP(CONCATENATE(LEFT($M46,2),"L"),$R$63:$T$91,3,FALSE),0)+IF(AND($M46="O3/CP",$M$14=F$18),VLOOKUP("O3",$R$63:$T$91,3,FALSE)+VLOOKUP("CP",$R$63:$T$91,3,FALSE),0)+IF(AND($N46&lt;&gt;"",$N46&lt;&gt;"--",$N46&lt;&gt;"O3/CP",$N$14=F$18),IF(LEFT($N46,1)="P",VLOOKUP(CONCATENATE(LEFT($N46,2),"H"),$R$63:$T$91,3,FALSE),VLOOKUP($N46,$R$63:$T$91,3,FALSE)))+IF(AND($N46&lt;&gt;"",$N46&lt;&gt;"O3/CP",$N$15=F$18,MID($N46,4,1)="2",$N$15&lt;&gt;$N$14),VLOOKUP(CONCATENATE(LEFT($N46,2),"L"),$R$63:$T$91,3,FALSE),0)+IF(AND($N46="O3/CP",$N$14=F$18),VLOOKUP("O3",$R$63:$T$91,3,FALSE)+VLOOKUP("CP",$R$63:$T$91,3,FALSE),0)+IF(AND($O46&lt;&gt;"",$O46&lt;&gt;"--",$O46&lt;&gt;"O3/CP",$O$14=F$18),IF(LEFT($O46,1)="P",VLOOKUP(CONCATENATE(LEFT($O46,2),"H"),$R$63:$T$91,3,FALSE),VLOOKUP($O46,$R$63:$T$91,3,FALSE)))+IF(AND($O46&lt;&gt;"",$O46&lt;&gt;"O3/CP",$O$15=F$18,MID($O46,4,1)="2",$O$15&lt;&gt;$O$14),VLOOKUP(CONCATENATE(LEFT($O46,2),"L"),$R$63:$T$91,3,FALSE),0)+IF(AND($O46="O3/CP",$O$14=F$18),VLOOKUP("O3",$R$63:$T$91,3,FALSE)+VLOOKUP("CP",$R$63:$T$91,3,FALSE),0)+IF(AND($P46&lt;&gt;"",$P46&lt;&gt;"--",$P46&lt;&gt;"O3/CP",$P$14=F$18),IF(LEFT($P46,1)="P",VLOOKUP(CONCATENATE(LEFT($P46,2),"H"),$R$63:$T$91,3,FALSE),VLOOKUP($P46,$R$63:$T$91,3,FALSE)))+IF(AND($P46&lt;&gt;"",$P46&lt;&gt;"O3/CP",$P$15=F$18,MID($P46,4,1)="2",$P$15&lt;&gt;$P$14),VLOOKUP(CONCATENATE(LEFT($P46,2),"L"),$R$63:$T$91,3,FALSE),0)+IF(AND($P46="O3/CP",$P$14=F$18),VLOOKUP("O3",$R$63:$T$91,3,FALSE)+VLOOKUP("CP",$R$63:$T$91,3,FALSE),0)+IF(AND($Q46&lt;&gt;"",$Q46&lt;&gt;"--",$Q46&lt;&gt;"O3/CP",$Q$14=F$18),IF(LEFT($Q46,1)="P",VLOOKUP(CONCATENATE(LEFT($Q46,2),"H"),$R$63:$T$91,3,FALSE),VLOOKUP($Q46,$R$63:$T$91,3,FALSE)))+IF(AND($Q46&lt;&gt;"",$Q46&lt;&gt;"O3/CP",$Q$15=F$18,MID($Q46,4,1)="2",$Q$15&lt;&gt;$Q$14),VLOOKUP(CONCATENATE(LEFT($Q46,2),"L"),$R$63:$T$91,3,FALSE),0)+IF(AND($Q46="O3/CP",$Q$14=F$18),VLOOKUP("O3",$R$63:$T$91,3,FALSE)+VLOOKUP("CP",$R$63:$T$91,3,FALSE),0)+IF(AND($R46&lt;&gt;"",$R46&lt;&gt;"--",$R46&lt;&gt;"O3/CP",$R$14=F$18),IF(LEFT($R46,1)="P",VLOOKUP(CONCATENATE(LEFT($R46,2),"H"),$R$63:$T$91,3,FALSE),VLOOKUP($R46,$R$63:$T$91,3,FALSE)))+IF(AND($R46&lt;&gt;"",$R46&lt;&gt;"O3/CP",$R$15=F$18,MID($R46,4,1)="2",$R$15&lt;&gt;$R$14),VLOOKUP(CONCATENATE(LEFT($R46,2),"L"),$R$63:$T$91,3,FALSE),0)+IF(AND($R46="O3/CP",$R$14=F$18),VLOOKUP("O3",$R$63:$T$91,3,FALSE)+VLOOKUP("CP",$R$63:$T$91,3,FALSE),0)+IF(AND($S46&lt;&gt;"",$S46&lt;&gt;"--",$S46&lt;&gt;"O3/CP",$S$14=F$18),IF(LEFT($S46,1)="P",VLOOKUP(CONCATENATE(LEFT($S46,2),"H"),$R$63:$T$91,3,FALSE),VLOOKUP($S46,$R$63:$T$91,3,FALSE)))+IF(AND($S46&lt;&gt;"",$S46&lt;&gt;"O3/CP",$S$15=F$18,MID($S46,4,1)="2",$S$15&lt;&gt;$S$14),VLOOKUP(CONCATENATE(LEFT($S46,2),"L"),$R$63:$T$91,3,FALSE),0)+IF(AND($S46="O3/CP",$S$14=F$18),VLOOKUP("O3",$R$63:$T$91,3,FALSE)+VLOOKUP("CP",$R$63:$T$91,3,FALSE),0)+IF(AND($T46&lt;&gt;"",$T46&lt;&gt;"--",$T46&lt;&gt;"O3/CP",$T$14=F$18),IF(LEFT($T46,1)="P",VLOOKUP(CONCATENATE(LEFT($T46,2),"H"),$R$63:$T$91,3,FALSE),VLOOKUP($T46,$R$63:$T$91,3,FALSE)))+IF(AND($T46&lt;&gt;"",$T46&lt;&gt;"O3/CP",$T$15=F$18,MID($T46,4,1)="2",$T$15&lt;&gt;$T$14),VLOOKUP(CONCATENATE(LEFT($T46,2),"L"),$R$63:$T$91,3,FALSE),0)+IF(AND($T46="O3/CP",$T$14=F$18),VLOOKUP("O3",$R$63:$T$91,3,FALSE)+VLOOKUP("CP",$R$63:$T$91,3,FALSE),0)+IF(AND($U46&lt;&gt;"",$U46&lt;&gt;"--",$U46&lt;&gt;"O3/CP",$U$14=F$18),IF(LEFT($U46,1)="P",VLOOKUP(CONCATENATE(LEFT($U46,2),"H"),$R$63:$T$91,3,FALSE),VLOOKUP($U46,$R$63:$T$91,3,FALSE)))+IF(AND($U46&lt;&gt;"",$U46&lt;&gt;"O3/CP",$U$15=F$18,MID($U46,4,1)="2",$U$15&lt;&gt;$U$14),VLOOKUP(CONCATENATE(LEFT($U46,2),"L"),$R$63:$T$91,3,FALSE),0)+IF(AND($U46="O3/CP",$T$14=F$18),VLOOKUP("O3",$R$63:$T$91,3,FALSE)+VLOOKUP("CP",$R$63:$T$91,3,FALSE),0)+IF(AND($V46&lt;&gt;"",$V46&lt;&gt;"--",$V46&lt;&gt;"O3/CP",$V$14=F$18),IF(LEFT($V46,1)="P",VLOOKUP(CONCATENATE(LEFT($V46,2),"H"),$R$63:$T$91,3,FALSE),VLOOKUP($V46,$R$63:$T$91,3,FALSE)))+IF(AND($V46&lt;&gt;"",$V46&lt;&gt;"O3/CP",$V$15=F$18,MID($V46,4,1)="2",$V$15&lt;&gt;$V$14),VLOOKUP(CONCATENATE(LEFT($V46,2),"L"),$R$63:$T$91,3,FALSE),0)+IF(AND($V46="O3/CP",$V$14=F$18),VLOOKUP("O3",$R$63:$T$91,3,FALSE)+VLOOKUP("CP",$R$63:$T$91,3,FALSE),0)+IF(AND($W46&lt;&gt;"",$W46&lt;&gt;"--",$W46&lt;&gt;"O3/CP",$W$14=F$18),IF(LEFT($W46,1)="P",VLOOKUP(CONCATENATE(LEFT($W46,2),"H"),$R$63:$T$91,3,FALSE),VLOOKUP($W46,$R$63:$T$91,3,FALSE)))+IF(AND($W46&lt;&gt;"",$W46&lt;&gt;"O3/CP",$W$15=F$18,MID($W46,4,1)="2",$W$15&lt;&gt;$W$14),VLOOKUP(CONCATENATE(LEFT($W46,2),"L"),$R$63:$T$91,3,FALSE),0)+IF(AND($W46="O3/CP",$W$14=F$18),VLOOKUP("O3",$R$63:$T$91,3,FALSE)+VLOOKUP("CP",$R$63:$T$91,3,FALSE),0)+IF(AND($X46&lt;&gt;"",$X46&lt;&gt;"--",$X46&lt;&gt;"O3/CP",$X$14=F$18),IF(LEFT($X46,1)="P",VLOOKUP(CONCATENATE(LEFT($X46,2),"H"),$R$63:$T$91,3,FALSE),VLOOKUP($X46,$R$63:$T$91,3,FALSE)))+IF(AND($X46&lt;&gt;"",$X46&lt;&gt;"O3/CP",$X$15=F$18,MID($X46,4,1)="2",$X$15&lt;&gt;$X$14),VLOOKUP(CONCATENATE(LEFT($X46,2),"L"),$R$63:$T$91,3,FALSE),0)+IF(AND($X46="O3/CP",$X$14=F$18),VLOOKUP("O3",$R$63:$T$91,3,FALSE)+VLOOKUP("CP",$R$63:$T$91,3,FALSE),0)+IF(AND($Y46&lt;&gt;"",$Y46&lt;&gt;"--",$Y46&lt;&gt;"O3/CP",$Y$14=F$18),IF(LEFT($Y46,1)="P",VLOOKUP(CONCATENATE(LEFT($Y46,2),"H"),$R$63:$T$91,3,FALSE),VLOOKUP($Y46,$R$63:$T$91,3,FALSE)))+IF(AND($Y46&lt;&gt;"",$Y46&lt;&gt;"O3/CP",$Y$15=F$18,MID($Y46,4,1)="2",$Y$15&lt;&gt;$Y$14),VLOOKUP(CONCATENATE(LEFT($Y46,2),"L"),$R$63:$T$91,3,FALSE),0)+IF(AND($Y46="O3/CP",$Y$14=F$18),VLOOKUP("O3",$R$63:$T$91,3,FALSE)+VLOOKUP("CP",$R$63:$T$91,3,FALSE),0)+IF(AND($K$6="CE",'[3]Supply Attribution'!$G$20=F$18),LEFT($S$90,2),0)+IF(AND($X$86&lt;&gt;"Not Set",$X$87=F$18),$X$86,0)</f>
        <v>0</v>
      </c>
      <c r="G46" s="269">
        <f>IF(AND($K$6="CE",$T$59="1 Phase"),SUM(A46:F46)-IF(AND($K$14&lt;&gt;$K$15,RIGHT($K46,3)="2SP"),VLOOKUP(CONCATENATE(LEFT($K46,2),"L"),$R$63:$T$90,3,FALSE),0)-IF(AND($L$14&lt;&gt;$L$15,RIGHT($L46,3)="2SP"),VLOOKUP(CONCATENATE(LEFT($L46,2),"L"),$R$63:$T$90,3,FALSE),0)-IF(AND($M$14&lt;&gt;$M$15,RIGHT($M46,3)="2SP"),VLOOKUP(CONCATENATE(LEFT($M46,2),"L"),$R$63:$T$90,3,FALSE),0)-IF(AND($N$14&lt;&gt;$N$15,RIGHT($N46,3)="2SP"),VLOOKUP(CONCATENATE(LEFT($N46,2),"L"),$R$63:$T$90,3,FALSE),0)-IF(AND($O$14&lt;&gt;$O$15,RIGHT($O46,3)="2SP"),VLOOKUP(CONCATENATE(LEFT($O46,2),"L"),$R$63:$T$90,3,FALSE),0)-IF(AND($P$14&lt;&gt;$P$15,RIGHT($P46,3)="2SP"),VLOOKUP(CONCATENATE(LEFT($P46,2),"L"),$R$63:$T$90,3,FALSE),0)-IF(AND($Q$14&lt;&gt;$Q$15,RIGHT($Q46,3)="2SP"),VLOOKUP(CONCATENATE(LEFT($Q46,2),"L"),$R$63:$T$90,3,FALSE),0)-IF(AND($R$14&lt;&gt;$R$15,RIGHT($T46,3)="2SP"),VLOOKUP(CONCATENATE(LEFT($R46,2),"L"),$R$63:$T$90,3,FALSE),0)-IF(AND($S$14&lt;&gt;$S$15,RIGHT($T46,3)="2SP"),VLOOKUP(CONCATENATE(LEFT($S46,2),"L"),$R$63:$T$90,3,FALSE),0)-IF(AND($T$14&lt;&gt;$T$15,RIGHT($T46,3)="2SP"),VLOOKUP(CONCATENATE(LEFT($T46,2),"L"),$R$63:$T$90,3,FALSE),0)-IF(AND($U$14&lt;&gt;$U$15,RIGHT($U46,3)="2SP"),VLOOKUP(CONCATENATE(LEFT($U46,2),"L"),$R$63:$T$90,3,FALSE),0)-IF(AND($V$14&lt;&gt;$V$15,RIGHT($V46,3)="2SP"),VLOOKUP(CONCATENATE(LEFT($V46,2),"L"),$R$63:$T$90,3,FALSE),0)-IF(AND($W$14&lt;&gt;$W$15,RIGHT($W46,3)="2SP"),VLOOKUP(CONCATENATE(LEFT($W46,2),"L"),$R$63:$T$90,3,FALSE),0)-IF(AND($X$14&lt;&gt;$X$15,RIGHT($X46,3)="2SP"),VLOOKUP(CONCATENATE(LEFT($X46,2),"L"),$R$63:$T$90,3,FALSE),0)-IF(AND($Y$14&lt;&gt;$Y$15,RIGHT($Y46,3)="2SP"),VLOOKUP(CONCATENATE(LEFT($Y46,2),"L"),$R$63:$T$90,3,FALSE),0),IF(VLOOKUP(CONCATENATE($A$18,"Line"),'[3]Supply Attribution'!$F$31:$G$37,2,FALSE)=G$18,$A46,0)+IF(VLOOKUP(CONCATENATE($B$18,"Line"),'[3]Supply Attribution'!$F$31:$G$37,2,FALSE)=G$18,$B46,0)+IF(VLOOKUP(CONCATENATE($C$18,"Line"),'[3]Supply Attribution'!$F$31:$G$37,2,FALSE)=G$18,$C46,0)+IF(VLOOKUP(CONCATENATE($D$18,"Line"),'[3]Supply Attribution'!$F$31:$G$37,2,FALSE)=G$18,$D46,0)+IF(VLOOKUP(CONCATENATE($E$18,"Line"),'[3]Supply Attribution'!$F$31:$G$37,2,FALSE)=G$18,$E46,0)+IF(VLOOKUP(CONCATENATE($F$18,"Line"),'[3]Supply Attribution'!$F$31:$G$37,2,FALSE)=G$18,$F46,0)+IF($K$6="UL",LEFT($S$90,2),0)-IF(AND($K$16=G$18,$K$14&lt;&gt;$K$15,$K$16=$K$17,RIGHT($K46,3)="2SP"),VLOOKUP(CONCATENATE(LEFT($K46,2),"L"),$R$63:$T$90,3,FALSE),0)-IF(AND($L$16=G$18,$L$14&lt;&gt;$L$15,$L$16=$L$17,RIGHT($L46,3)="2SP"),VLOOKUP(CONCATENATE(LEFT($L46,2),"L"),$R$63:$T$90,3,FALSE),0)-IF(AND($M$16=G$18,$M$14&lt;&gt;$M$15,$M$16=$M$17,RIGHT($M46,3)="2SP"),VLOOKUP(CONCATENATE(LEFT($M46,2),"L"),$R$63:$T$90,3,FALSE),0)-IF(AND($N$16=G$18,$N$14&lt;&gt;$N$15,$N$16=$N$17,RIGHT($N46,3)="2SP"),VLOOKUP(CONCATENATE(LEFT($N46,2),"L"),$R$63:$T$90,3,FALSE),0)-IF(AND($O$16=G$18,$O$14&lt;&gt;$O$15,$O$16=$O$17,RIGHT($O46,3)="2SP"),VLOOKUP(CONCATENATE(LEFT($O46,2),"L"),$R$63:$T$90,3,FALSE),0)-IF(AND($P$16=G$18,$P$14&lt;&gt;$P$15,$P$16=$P$17,RIGHT($P46,3)="2SP"),VLOOKUP(CONCATENATE(LEFT($P46,2),"L"),$R$63:$T$90,3,FALSE),0)-IF(AND($Q$16=G$18,$Q$14&lt;&gt;$Q$15,$Q$16=$Q$17,RIGHT($Q46,3)="2SP"),VLOOKUP(CONCATENATE(LEFT($Q46,2),"L"),$R$63:$T$90,3,FALSE),0)-IF(AND($R$16=G$18,$R$14&lt;&gt;$R$15,$R$16=$R$17,RIGHT($R46,3)="2SP"),VLOOKUP(CONCATENATE(LEFT($R46,2),"L"),$R$63:$T$90,3,FALSE),0)-IF(AND($S$16=G$18,$S$14&lt;&gt;$S$15,$S$16=$S$17,RIGHT($S46,3)="2SP"),VLOOKUP(CONCATENATE(LEFT($S46,2),"L"),$R$63:$T$90,3,FALSE),0)-IF(AND($T$16=G$18,$T$14&lt;&gt;$T$15,$T$16=$T$17,RIGHT($T46,3)="2SP"),VLOOKUP(CONCATENATE(LEFT($T46,2),"L"),$R$63:$T$90,3,FALSE),0)-IF(AND($U$16=G$18,$U$14&lt;&gt;$U$15,$U$16=$U$17,RIGHT($U46,3)="2SP"),VLOOKUP(CONCATENATE(LEFT($U46,2),"L"),$R$63:$T$90,3,FALSE),0)-IF(AND($V$16=G$18,$V$14&lt;&gt;$V$15,$V$16=$V$17,RIGHT($V46,3)="2SP"),VLOOKUP(CONCATENATE(LEFT($V46,2),"L"),$R$63:$T$90,3,FALSE),0)-IF(AND($W$16=G$18,$W$14&lt;&gt;$W$15,$W$16=$W$17,RIGHT($W46,3)="2SP"),VLOOKUP(CONCATENATE(LEFT($W46,2),"L"),$R$63:$T$90,3,FALSE),0)-IF(AND($X$16=G$18,$X$14&lt;&gt;$X$15,$X$16=$X$17,RIGHT($X46,3)="2SP"),VLOOKUP(CONCATENATE(LEFT($X46,2),"L"),$R$63:$T$90,3,FALSE),0)-IF(AND($Y$16=G$18,$Y$14&lt;&gt;$Y$15,$Y$16=$Y$17,RIGHT($Y46,3)="2SP"),VLOOKUP(CONCATENATE(LEFT($Y46,2),"L"),$R$63:$T$90,3,FALSE),0))</f>
        <v>17</v>
      </c>
      <c r="H46" s="269" t="str">
        <f>IF(H$18&lt;&gt;"",IF(VLOOKUP(CONCATENATE($A$18,"Line"),'Supply Attribution'!$F$31:$G$37,2,FALSE)=H$18,$A46,0)+IF(VLOOKUP(CONCATENATE($B$18,"Line"),'Supply Attribution'!$F$31:$G$37,2,FALSE)=H$18,$B46,0)+IF(VLOOKUP(CONCATENATE($C$18,"Line"),'Supply Attribution'!$F$31:$G$37,2,FALSE)=H$18,$C46,0)+IF(VLOOKUP(CONCATENATE($D$18,"Line"),'Supply Attribution'!$F$31:$G$37,2,FALSE)=H$18,$D46,0)+IF(VLOOKUP(CONCATENATE($E$18,"Line"),'Supply Attribution'!$F$31:$G$37,2,FALSE)=H$18,$E46,0)+IF(VLOOKUP(CONCATENATE($F$18,"Line"),'Supply Attribution'!$F$31:$G$37,2,FALSE)=H$18,$F46,0)+IF($K$6="UL",LEFT($S$90,2),0)-IF(AND($K$16=H$18,$K$14&lt;&gt;$K$15,$K$16=$K$17,RIGHT($K46,3)="2SP"),VLOOKUP(CONCATENATE(LEFT($K46,2),"L"),$R$63:$T$90,3,FALSE),0)-IF(AND($L$16=H$18,$L$14&lt;&gt;$L$15,$L$16=$L$17,RIGHT($L46,3)="2SP"),VLOOKUP(CONCATENATE(LEFT($L46,2),"L"),$R$63:$T$90,3,FALSE),0)-IF(AND($M$16=H$18,$M$14&lt;&gt;$M$15,$M$16=$M$17,RIGHT($M46,3)="2SP"),VLOOKUP(CONCATENATE(LEFT($M46,2),"L"),$R$63:$T$90,3,FALSE),0)-IF(AND($N$16=H$18,$N$14&lt;&gt;$N$15,$N$16=$N$17,RIGHT($N46,3)="2SP"),VLOOKUP(CONCATENATE(LEFT($N46,2),"L"),$R$63:$T$90,3,FALSE),0)-IF(AND($O$16=H$18,$O$14&lt;&gt;$O$15,$O$16=$O$17,RIGHT($O46,3)="2SP"),VLOOKUP(CONCATENATE(LEFT($O46,2),"L"),$R$63:$T$90,3,FALSE),0)-IF(AND($P$16=H$18,$P$14&lt;&gt;$P$15,$P$16=$P$17,RIGHT($P46,3)="2SP"),VLOOKUP(CONCATENATE(LEFT($P46,2),"L"),$R$63:$T$90,3,FALSE),0)-IF(AND($Q$16=H$18,$Q$14&lt;&gt;$Q$15,$Q$16=$Q$17,RIGHT($Q46,3)="2SP"),VLOOKUP(CONCATENATE(LEFT($Q46,2),"L"),$R$63:$T$90,3,FALSE),0)-IF(AND($T$16=H$18,$T$14&lt;&gt;$T$15,$T$16=$T$17,RIGHT($T46,3)="2SP"),VLOOKUP(CONCATENATE(LEFT($T46,2),"L"),$R$63:$T$90,3,FALSE),0)-IF(AND($U$16=H$18,$U$14&lt;&gt;$U$15,$U$16=$U$17,RIGHT($U46,3)="2SP"),VLOOKUP(CONCATENATE(LEFT($U46,2),"L"),$R$63:$T$90,3,FALSE),0)-IF(AND($V$16=H$18,$V$14&lt;&gt;$V$15,$V$16=$V$17,RIGHT($V46,3)="2SP"),VLOOKUP(CONCATENATE(LEFT($V46,2),"L"),$R$63:$T$90,3,FALSE),0)-IF(AND($W$16=H$18,$W$14&lt;&gt;$W$15,$W$16=$W$17,RIGHT($W46,3)="2SP"),VLOOKUP(CONCATENATE(LEFT($W46,2),"L"),$R$63:$T$90,3,FALSE),0)-IF(AND($X$16=H$18,$X$14&lt;&gt;$X$15,$X$16=$X$17,RIGHT($X46,3)="2SP"),VLOOKUP(CONCATENATE(LEFT($X46,2),"L"),$R$63:$T$90,3,FALSE),0)-IF(AND($Y$16=H$18,$Y$14&lt;&gt;$Y$15,$Y$16=$Y$17,RIGHT($Y46,3)="2SP"),VLOOKUP(CONCATENATE(LEFT($Y46,2),"L"),$R$63:$T$90,3,FALSE),0)+IF(AND($K$6="CE",$T$59="2 Phases",H$18&lt;&gt;""),IF(VLOOKUP(CONCATENATE($A$18,"Line"),'Supply Attribution'!$F$31:$G$37,2,FALSE)="Line3",$A46,0)+IF(VLOOKUP(CONCATENATE($B$18,"Line"),'Supply Attribution'!$F$31:$G$37,2,FALSE)="Line3",$B46,0)+IF(VLOOKUP(CONCATENATE($C$18,"Line"),'Supply Attribution'!$F$31:$G$37,2,FALSE)="Line3",$C46,0)+IF(VLOOKUP(CONCATENATE($D$18,"Line"),'Supply Attribution'!$F$31:$G$37,2,FALSE)="Line3",$D46,0)+IF(VLOOKUP(CONCATENATE($E$18,"Line"),'Supply Attribution'!$F$31:$G$37,2,FALSE)="Line3",$E46,0)+IF(VLOOKUP(CONCATENATE($F$18,"Line"),'Supply Attribution'!$F$31:$G$37,2,FALSE)="Line3",$F46,0)-IF(AND($K$16=I$18,$K$14&lt;&gt;$K$15,$K$16=$K$17,RIGHT($K46,3)="2SP"),VLOOKUP(CONCATENATE(LEFT($K46,2),"L"),$R$63:$T$90,3,FALSE),0)-IF(AND($L$16=I$18,$L$14&lt;&gt;$L$15,$L$16=$L$17,RIGHT($L46,3)="2SP"),VLOOKUP(CONCATENATE(LEFT($L46,2),"L"),$R$63:$T$90,3,FALSE),0)-IF(AND($M$16=I$18,$M$14&lt;&gt;$M$15,$M$16=$M$17,RIGHT($M46,3)="2SP"),VLOOKUP(CONCATENATE(LEFT($M46,2),"L"),$R$63:$T$90,3,FALSE),0)-IF(AND($N$16=I$18,$N$14&lt;&gt;$N$15,$N$16=$N$17,RIGHT($N46,3)="2SP"),VLOOKUP(CONCATENATE(LEFT($N46,2),"L"),$R$63:$T$90,3,FALSE),0)-IF(AND($O$16=I$18,$O$14&lt;&gt;$O$15,$O$16=$O$17,RIGHT($O46,3)="2SP"),VLOOKUP(CONCATENATE(LEFT($O46,2),"L"),$R$63:$T$90,3,FALSE),0)-IF(AND($P$16=I$18,$P$14&lt;&gt;$P$15,$P$16=$P$17,RIGHT($P46,3)="2SP"),VLOOKUP(CONCATENATE(LEFT($P46,2),"L"),$R$63:$T$90,3,FALSE),0)-IF(AND($Q$16=I$18,$Q$14&lt;&gt;$Q$15,$Q$16=$Q$17,RIGHT($Q46,3)="2SP"),VLOOKUP(CONCATENATE(LEFT($Q46,2),"L"),$R$63:$T$90,3,FALSE),0)-IF(AND($T$16=I$18,$T$14&lt;&gt;$T$15,$T$16=$T$17,RIGHT($T46,3)="2SP"),VLOOKUP(CONCATENATE(LEFT($T46,2),"L"),$R$63:$T$90,3,FALSE),0)-IF(AND($U$16=I$18,$U$14&lt;&gt;$U$15,$U$16=$U$17,RIGHT($U46,3)="2SP"),VLOOKUP(CONCATENATE(LEFT($U46,2),"L"),$R$63:$T$90,3,FALSE),0)-IF(AND($V$16=I$18,$V$14&lt;&gt;$V$15,$V$16=$V$17,RIGHT($V46,3)="2SP"),VLOOKUP(CONCATENATE(LEFT($V46,2),"L"),$R$63:$T$90,3,FALSE),0)-IF(AND($W$16=I$18,$W$14&lt;&gt;$W$15,$W$16=$W$17,RIGHT($W46,3)="2SP"),VLOOKUP(CONCATENATE(LEFT($W46,2),"L"),$R$63:$T$90,3,FALSE),0)-IF(AND($X$16=I$18,$X$14&lt;&gt;$X$15,$X$16=$X$17,RIGHT($X46,3)="2SP"),VLOOKUP(CONCATENATE(LEFT($X46,2),"L"),$R$63:$T$90,3,FALSE),0)-IF(AND($Y$16=I$18,$Y$14&lt;&gt;$Y$15,$Y$16=$Y$17,RIGHT($Y46,3)="2SP"),VLOOKUP(CONCATENATE(LEFT($Y46,2),"L"),$R$63:$T$90,3,FALSE),0),0),"")</f>
        <v/>
      </c>
      <c r="I46" s="269" t="str">
        <f>IF(I$18&lt;&gt;"",IF(VLOOKUP(CONCATENATE($A$18,"Line"),'Supply Attribution'!$F$31:$G$37,2,FALSE)=I$18,$A46,0)+IF(VLOOKUP(CONCATENATE($B$18,"Line"),'Supply Attribution'!$F$31:$G$37,2,FALSE)=I$18,$B46,0)+IF(VLOOKUP(CONCATENATE($C$18,"Line"),'Supply Attribution'!$F$31:$G$37,2,FALSE)=I$18,$C46,0)+IF(VLOOKUP(CONCATENATE($D$18,"Line"),'Supply Attribution'!$F$31:$G$37,2,FALSE)=I$18,$D46,0)+IF(VLOOKUP(CONCATENATE($E$18,"Line"),'Supply Attribution'!$F$31:$G$37,2,FALSE)=I$18,$E46,0)+IF(VLOOKUP(CONCATENATE($F$18,"Line"),'Supply Attribution'!$F$31:$G$37,2,FALSE)=I$18,$F46,0)+IF($K$6="UL",LEFT($S$90,2),0)-IF(AND($K$16=I$18,$K$14&lt;&gt;$K$15,$K$16=$K$17,RIGHT($K46,3)="2SP"),VLOOKUP(CONCATENATE(LEFT($K46,2),"L"),$R$63:$T$90,3,FALSE),0)-IF(AND($L$16=I$18,$L$14&lt;&gt;$L$15,$L$16=$L$17,RIGHT($L46,3)="2SP"),VLOOKUP(CONCATENATE(LEFT($L46,2),"L"),$R$63:$T$90,3,FALSE),0)-IF(AND($M$16=I$18,$M$14&lt;&gt;$M$15,$M$16=$M$17,RIGHT($M46,3)="2SP"),VLOOKUP(CONCATENATE(LEFT($M46,2),"L"),$R$63:$T$90,3,FALSE),0)-IF(AND($N$16=I$18,$N$14&lt;&gt;$N$15,$N$16=$N$17,RIGHT($N46,3)="2SP"),VLOOKUP(CONCATENATE(LEFT($N46,2),"L"),$R$63:$T$90,3,FALSE),0)-IF(AND($O$16=I$18,$O$14&lt;&gt;$O$15,$O$16=$O$17,RIGHT($O46,3)="2SP"),VLOOKUP(CONCATENATE(LEFT($O46,2),"L"),$R$63:$T$90,3,FALSE),0)-IF(AND($P$16=I$18,$P$14&lt;&gt;$P$15,$P$16=$P$17,RIGHT($P46,3)="2SP"),VLOOKUP(CONCATENATE(LEFT($P46,2),"L"),$R$63:$T$90,3,FALSE),0)-IF(AND($Q$16=I$18,$Q$14&lt;&gt;$Q$15,$Q$16=$Q$17,RIGHT($Q46,3)="2SP"),VLOOKUP(CONCATENATE(LEFT($Q46,2),"L"),$R$63:$T$90,3,FALSE),0)-IF(AND($T$16=I$18,$T$14&lt;&gt;$T$15,$T$16=$T$17,RIGHT($T46,3)="2SP"),VLOOKUP(CONCATENATE(LEFT($T46,2),"L"),$R$63:$T$90,3,FALSE),0)-IF(AND($U$16=I$18,$U$14&lt;&gt;$U$15,$U$16=$U$17,RIGHT($U46,3)="2SP"),VLOOKUP(CONCATENATE(LEFT($U46,2),"L"),$R$63:$T$90,3,FALSE),0)-IF(AND($V$16=I$18,$V$14&lt;&gt;$V$15,$V$16=$V$17,RIGHT($V46,3)="2SP"),VLOOKUP(CONCATENATE(LEFT($V46,2),"L"),$R$63:$T$90,3,FALSE),0)-IF(AND($W$16=I$18,$W$14&lt;&gt;$W$15,$W$16=$W$17,RIGHT($W46,3)="2SP"),VLOOKUP(CONCATENATE(LEFT($W46,2),"L"),$R$63:$T$90,3,FALSE),0)-IF(AND($X$16=I$18,$X$14&lt;&gt;$X$15,$X$16=$X$17,RIGHT($X46,3)="2SP"),VLOOKUP(CONCATENATE(LEFT($X46,2),"L"),$R$63:$T$90,3,FALSE),0)-IF(AND($Y$16=I$18,$Y$14&lt;&gt;$Y$15,$Y$16=$Y$17,RIGHT($Y46,3)="2SP"),VLOOKUP(CONCATENATE(LEFT($Y46,2),"L"),$R$63:$T$90,3,FALSE),0),"")</f>
        <v/>
      </c>
      <c r="J46" s="134"/>
      <c r="K46" s="135"/>
      <c r="L46" s="135"/>
      <c r="M46" s="135"/>
      <c r="N46" s="135"/>
      <c r="O46" s="135"/>
      <c r="P46" s="135"/>
      <c r="Q46" s="135"/>
      <c r="R46" s="135"/>
      <c r="S46" s="135"/>
      <c r="T46" s="135"/>
      <c r="U46" s="135"/>
      <c r="V46" s="135"/>
      <c r="W46" s="135"/>
      <c r="X46" s="135"/>
      <c r="Y46" s="135"/>
      <c r="Z46" s="136"/>
      <c r="AA46" s="136"/>
      <c r="AB46" s="137"/>
      <c r="AC46" s="137"/>
      <c r="AD46" s="137"/>
      <c r="AE46" s="138">
        <f t="shared" si="0"/>
        <v>0</v>
      </c>
      <c r="AF46" s="78"/>
    </row>
    <row r="47" spans="1:32" ht="13.15" customHeight="1">
      <c r="A47" s="264">
        <f>IF(AND($K47&lt;&gt;"",$K47&lt;&gt;"--",$K47&lt;&gt;"O3/CP",$K$14=A$18),IF(LEFT($K47,1)="P",VLOOKUP(CONCATENATE(LEFT($K47,2),"H"),$R$63:$T$91,3,FALSE),VLOOKUP($K47,$R$63:$T$91,3,FALSE)))+IF(AND($K47&lt;&gt;"",$K47&lt;&gt;"O3/CP",$K$15=A$18,MID($K47,4,1)="2",$K$15&lt;&gt;$K$14),VLOOKUP(CONCATENATE(LEFT($K47,2),"L"),$R$63:$T$91,3,FALSE),0)+IF(AND($K47="O3/CP",$K$14=A$18),VLOOKUP("O3",$R$63:$T$91,3,FALSE)+VLOOKUP("CP",$R$63:$T$91,3,FALSE),0)+IF(AND($L47&lt;&gt;"",$L47&lt;&gt;"--",$L47&lt;&gt;"O3/CP",$L$14=A$18),IF(LEFT($L47,1)="P",VLOOKUP(CONCATENATE(LEFT($L47,2),"H"),$R$63:$T$91,3,FALSE),VLOOKUP($L47,$R$63:$T$91,3,FALSE)))+IF(AND($L47&lt;&gt;"",$L47&lt;&gt;"O3/CP",$L$15=A$18,MID($L47,4,1)="2",$L$15&lt;&gt;$L$14),VLOOKUP(CONCATENATE(LEFT($L47,2),"L"),$R$63:$T$91,3,FALSE),0)+IF(AND($L47="O3/CP",$L$14=A$18),VLOOKUP("O3",$R$63:$T$91,3,FALSE)+VLOOKUP("CP",$R$63:$T$91,3,FALSE),0)+IF(AND($M47&lt;&gt;"",$M47&lt;&gt;"--",$M47&lt;&gt;"O3/CP",$M$14=A$18),IF(LEFT($M47,1)="P",VLOOKUP(CONCATENATE(LEFT($M47,2),"H"),$R$63:$T$91,3,FALSE),VLOOKUP($M47,$R$63:$T$91,3,FALSE)))+IF(AND($M47&lt;&gt;"",$M47&lt;&gt;"O3/CP",$M$15=A$18,MID($M47,4,1)="2",$M$15&lt;&gt;$M$14),VLOOKUP(CONCATENATE(LEFT($M47,2),"L"),$R$63:$T$91,3,FALSE),0)+IF(AND($M47="O3/CP",$M$14=A$18),VLOOKUP("O3",$R$63:$T$91,3,FALSE)+VLOOKUP("CP",$R$63:$T$91,3,FALSE),0)+IF(AND($N47&lt;&gt;"",$N47&lt;&gt;"--",$N47&lt;&gt;"O3/CP",$N$14=A$18),IF(LEFT($N47,1)="P",VLOOKUP(CONCATENATE(LEFT($N47,2),"H"),$R$63:$T$91,3,FALSE),VLOOKUP($N47,$R$63:$T$91,3,FALSE)))+IF(AND($N47&lt;&gt;"",$N47&lt;&gt;"O3/CP",$N$15=A$18,MID($N47,4,1)="2",$N$15&lt;&gt;$N$14),VLOOKUP(CONCATENATE(LEFT($N47,2),"L"),$R$63:$T$91,3,FALSE),0)+IF(AND($N47="O3/CP",$N$14=A$18),VLOOKUP("O3",$R$63:$T$91,3,FALSE)+VLOOKUP("CP",$R$63:$T$91,3,FALSE),0)+IF(AND($O47&lt;&gt;"",$O47&lt;&gt;"--",$O47&lt;&gt;"O3/CP",$O$14=A$18),IF(LEFT($O47,1)="P",VLOOKUP(CONCATENATE(LEFT($O47,2),"H"),$R$63:$T$91,3,FALSE),VLOOKUP($O47,$R$63:$T$91,3,FALSE)))+IF(AND($O47&lt;&gt;"",$O47&lt;&gt;"O3/CP",$O$15=A$18,MID($O47,4,1)="2",$O$15&lt;&gt;$O$14),VLOOKUP(CONCATENATE(LEFT($O47,2),"L"),$R$63:$T$91,3,FALSE),0)+IF(AND($O47="O3/CP",$O$14=A$18),VLOOKUP("O3",$R$63:$T$91,3,FALSE)+VLOOKUP("CP",$R$63:$T$91,3,FALSE),0)+IF(AND($P47&lt;&gt;"",$P47&lt;&gt;"--",$P47&lt;&gt;"O3/CP",$P$14=A$18),IF(LEFT($P47,1)="P",VLOOKUP(CONCATENATE(LEFT($P47,2),"H"),$R$63:$T$91,3,FALSE),VLOOKUP($P47,$R$63:$T$91,3,FALSE)))+IF(AND($P47&lt;&gt;"",$P47&lt;&gt;"O3/CP",$P$15=A$18,MID($P47,4,1)="2",$P$15&lt;&gt;$P$14),VLOOKUP(CONCATENATE(LEFT($P47,2),"L"),$R$63:$T$91,3,FALSE),0)+IF(AND($P47="O3/CP",$P$14=A$18),VLOOKUP("O3",$R$63:$T$91,3,FALSE)+VLOOKUP("CP",$R$63:$T$91,3,FALSE),0)+IF(AND($Q47&lt;&gt;"",$Q47&lt;&gt;"--",$Q47&lt;&gt;"O3/CP",$Q$14=A$18),IF(LEFT($Q47,1)="P",VLOOKUP(CONCATENATE(LEFT($Q47,2),"H"),$R$63:$T$91,3,FALSE),VLOOKUP($Q47,$R$63:$T$91,3,FALSE)))+IF(AND($Q47&lt;&gt;"",$Q47&lt;&gt;"O3/CP",$Q$15=A$18,MID($Q47,4,1)="2",$Q$15&lt;&gt;$Q$14),VLOOKUP(CONCATENATE(LEFT($Q47,2),"L"),$R$63:$T$91,3,FALSE),0)+IF(AND($Q47="O3/CP",$Q$14=A$18),VLOOKUP("O3",$R$63:$T$91,3,FALSE)+VLOOKUP("CP",$R$63:$T$91,3,FALSE),0)+IF(AND($R47&lt;&gt;"",$R47&lt;&gt;"--",$R47&lt;&gt;"O3/CP",$R$14=A$18),IF(LEFT($R47,1)="P",VLOOKUP(CONCATENATE(LEFT($R47,2),"H"),$R$63:$T$91,3,FALSE),VLOOKUP($R47,$R$63:$T$91,3,FALSE)))+IF(AND($R47&lt;&gt;"",$R47&lt;&gt;"O3/CP",$R$15=A$18,MID($R47,4,1)="2",$R$15&lt;&gt;$R$14),VLOOKUP(CONCATENATE(LEFT($R47,2),"L"),$R$63:$T$91,3,FALSE),0)+IF(AND($R47="O3/CP",$R$14=A$18),VLOOKUP("O3",$R$63:$T$91,3,FALSE)+VLOOKUP("CP",$R$63:$T$91,3,FALSE),0)+IF(AND($S47&lt;&gt;"",$S47&lt;&gt;"--",$S47&lt;&gt;"O3/CP",$S$14=A$18),IF(LEFT($S47,1)="P",VLOOKUP(CONCATENATE(LEFT($S47,2),"H"),$R$63:$T$91,3,FALSE),VLOOKUP($S47,$R$63:$T$91,3,FALSE)))+IF(AND($S47&lt;&gt;"",$S47&lt;&gt;"O3/CP",$S$15=A$18,MID($S47,4,1)="2",$S$15&lt;&gt;$S$14),VLOOKUP(CONCATENATE(LEFT($S47,2),"L"),$R$63:$T$91,3,FALSE),0)+IF(AND($S47="O3/CP",$S$14=A$18),VLOOKUP("O3",$R$63:$T$91,3,FALSE)+VLOOKUP("CP",$R$63:$T$91,3,FALSE),0)+IF(AND($T47&lt;&gt;"",$T47&lt;&gt;"--",$T47&lt;&gt;"O3/CP",$T$14=A$18),IF(LEFT($T47,1)="P",VLOOKUP(CONCATENATE(LEFT($T47,2),"H"),$R$63:$T$91,3,FALSE),VLOOKUP($T47,$R$63:$T$91,3,FALSE)))+IF(AND($T47&lt;&gt;"",$T47&lt;&gt;"O3/CP",$T$15=A$18,MID($T47,4,1)="2",$T$15&lt;&gt;$T$14),VLOOKUP(CONCATENATE(LEFT($T47,2),"L"),$R$63:$T$91,3,FALSE),0)+IF(AND($T47="O3/CP",$T$14=A$18),VLOOKUP("O3",$R$63:$T$91,3,FALSE)+VLOOKUP("CP",$R$63:$T$91,3,FALSE),0)+IF(AND($U47&lt;&gt;"",$U47&lt;&gt;"--",$U47&lt;&gt;"O3/CP",$U$14=A$18),IF(LEFT($U47,1)="P",VLOOKUP(CONCATENATE(LEFT($U47,2),"H"),$R$63:$T$91,3,FALSE),VLOOKUP($U47,$R$63:$T$91,3,FALSE)))+IF(AND($U47&lt;&gt;"",$U47&lt;&gt;"O3/CP",$U$15=A$18,MID($U47,4,1)="2",$U$15&lt;&gt;$U$14),VLOOKUP(CONCATENATE(LEFT($U47,2),"L"),$R$63:$T$91,3,FALSE),0)+IF(AND($U47="O3/CP",$T$14=A$18),VLOOKUP("O3",$R$63:$T$91,3,FALSE)+VLOOKUP("CP",$R$63:$T$91,3,FALSE),0)+IF(AND($V47&lt;&gt;"",$V47&lt;&gt;"--",$V47&lt;&gt;"O3/CP",$V$14=A$18),IF(LEFT($V47,1)="P",VLOOKUP(CONCATENATE(LEFT($V47,2),"H"),$R$63:$T$91,3,FALSE),VLOOKUP($V47,$R$63:$T$91,3,FALSE)))+IF(AND($V47&lt;&gt;"",$V47&lt;&gt;"O3/CP",$V$15=A$18,MID($V47,4,1)="2",$V$15&lt;&gt;$V$14),VLOOKUP(CONCATENATE(LEFT($V47,2),"L"),$R$63:$T$91,3,FALSE),0)+IF(AND($V47="O3/CP",$V$14=A$18),VLOOKUP("O3",$R$63:$T$91,3,FALSE)+VLOOKUP("CP",$R$63:$T$91,3,FALSE),0)+IF(AND($W47&lt;&gt;"",$W47&lt;&gt;"--",$W47&lt;&gt;"O3/CP",$W$14=A$18),IF(LEFT($W47,1)="P",VLOOKUP(CONCATENATE(LEFT($W47,2),"H"),$R$63:$T$91,3,FALSE),VLOOKUP($W47,$R$63:$T$91,3,FALSE)))+IF(AND($W47&lt;&gt;"",$W47&lt;&gt;"O3/CP",$W$15=A$18,MID($W47,4,1)="2",$W$15&lt;&gt;$W$14),VLOOKUP(CONCATENATE(LEFT($W47,2),"L"),$R$63:$T$91,3,FALSE),0)+IF(AND($W47="O3/CP",$W$14=A$18),VLOOKUP("O3",$R$63:$T$91,3,FALSE)+VLOOKUP("CP",$R$63:$T$91,3,FALSE),0)+IF(AND($X47&lt;&gt;"",$X47&lt;&gt;"--",$X47&lt;&gt;"O3/CP",$X$14=A$18),IF(LEFT($X47,1)="P",VLOOKUP(CONCATENATE(LEFT($X47,2),"H"),$R$63:$T$91,3,FALSE),VLOOKUP($X47,$R$63:$T$91,3,FALSE)))+IF(AND($X47&lt;&gt;"",$X47&lt;&gt;"O3/CP",$X$15=A$18,MID($X47,4,1)="2",$X$15&lt;&gt;$X$14),VLOOKUP(CONCATENATE(LEFT($X47,2),"L"),$R$63:$T$91,3,FALSE),0)+IF(AND($X47="O3/CP",$X$14=A$18),VLOOKUP("O3",$R$63:$T$91,3,FALSE)+VLOOKUP("CP",$R$63:$T$91,3,FALSE),0)+IF(AND($Y47&lt;&gt;"",$Y47&lt;&gt;"--",$Y47&lt;&gt;"O3/CP",$Y$14=A$18),IF(LEFT($Y47,1)="P",VLOOKUP(CONCATENATE(LEFT($Y47,2),"H"),$R$63:$T$91,3,FALSE),VLOOKUP($Y47,$R$63:$T$91,3,FALSE)))+IF(AND($Y47&lt;&gt;"",$Y47&lt;&gt;"O3/CP",$Y$15=A$18,MID($Y47,4,1)="2",$Y$15&lt;&gt;$Y$14),VLOOKUP(CONCATENATE(LEFT($Y47,2),"L"),$R$63:$T$91,3,FALSE),0)+IF(AND($Y47="O3/CP",$Y$14=A$18),VLOOKUP("O3",$R$63:$T$91,3,FALSE)+VLOOKUP("CP",$R$63:$T$91,3,FALSE),0)+IF(AND($K$6="CE",'[3]Supply Attribution'!$G$20=A$18),LEFT($S$90,2),0)+IF(AND($X$86&lt;&gt;"Not Set",$X$87=A$18),$X$86,0)</f>
        <v>0</v>
      </c>
      <c r="B47" s="271">
        <f>IF(AND($K47&lt;&gt;"",$K47&lt;&gt;"--",$K47&lt;&gt;"O3/CP",$K$14=B$18),IF(LEFT($K47,1)="P",VLOOKUP(CONCATENATE(LEFT($K47,2),"H"),$R$63:$T$91,3,FALSE),VLOOKUP($K47,$R$63:$T$91,3,FALSE)))+IF(AND($K47&lt;&gt;"",$K47&lt;&gt;"O3/CP",$K$15=B$18,MID($K47,4,1)="2",$K$15&lt;&gt;$K$14),VLOOKUP(CONCATENATE(LEFT($K47,2),"L"),$R$63:$T$91,3,FALSE),0)+IF(AND($K47="O3/CP",$K$14=B$18),VLOOKUP("O3",$R$63:$T$91,3,FALSE)+VLOOKUP("CP",$R$63:$T$91,3,FALSE),0)+IF(AND($L47&lt;&gt;"",$L47&lt;&gt;"--",$L47&lt;&gt;"O3/CP",$L$14=B$18),IF(LEFT($L47,1)="P",VLOOKUP(CONCATENATE(LEFT($L47,2),"H"),$R$63:$T$91,3,FALSE),VLOOKUP($L47,$R$63:$T$91,3,FALSE)))+IF(AND($L47&lt;&gt;"",$L47&lt;&gt;"O3/CP",$L$15=B$18,MID($L47,4,1)="2",$L$15&lt;&gt;$L$14),VLOOKUP(CONCATENATE(LEFT($L47,2),"L"),$R$63:$T$91,3,FALSE),0)+IF(AND($L47="O3/CP",$L$14=B$18),VLOOKUP("O3",$R$63:$T$91,3,FALSE)+VLOOKUP("CP",$R$63:$T$91,3,FALSE),0)+IF(AND($M47&lt;&gt;"",$M47&lt;&gt;"--",$M47&lt;&gt;"O3/CP",$M$14=B$18),IF(LEFT($M47,1)="P",VLOOKUP(CONCATENATE(LEFT($M47,2),"H"),$R$63:$T$91,3,FALSE),VLOOKUP($M47,$R$63:$T$91,3,FALSE)))+IF(AND($M47&lt;&gt;"",$M47&lt;&gt;"O3/CP",$M$15=B$18,MID($M47,4,1)="2",$M$15&lt;&gt;$M$14),VLOOKUP(CONCATENATE(LEFT($M47,2),"L"),$R$63:$T$91,3,FALSE),0)+IF(AND($M47="O3/CP",$M$14=B$18),VLOOKUP("O3",$R$63:$T$91,3,FALSE)+VLOOKUP("CP",$R$63:$T$91,3,FALSE),0)+IF(AND($N47&lt;&gt;"",$N47&lt;&gt;"--",$N47&lt;&gt;"O3/CP",$N$14=B$18),IF(LEFT($N47,1)="P",VLOOKUP(CONCATENATE(LEFT($N47,2),"H"),$R$63:$T$91,3,FALSE),VLOOKUP($N47,$R$63:$T$91,3,FALSE)))+IF(AND($N47&lt;&gt;"",$N47&lt;&gt;"O3/CP",$N$15=B$18,MID($N47,4,1)="2",$N$15&lt;&gt;$N$14),VLOOKUP(CONCATENATE(LEFT($N47,2),"L"),$R$63:$T$91,3,FALSE),0)+IF(AND($N47="O3/CP",$N$14=B$18),VLOOKUP("O3",$R$63:$T$91,3,FALSE)+VLOOKUP("CP",$R$63:$T$91,3,FALSE),0)+IF(AND($O47&lt;&gt;"",$O47&lt;&gt;"--",$O47&lt;&gt;"O3/CP",$O$14=B$18),IF(LEFT($O47,1)="P",VLOOKUP(CONCATENATE(LEFT($O47,2),"H"),$R$63:$T$91,3,FALSE),VLOOKUP($O47,$R$63:$T$91,3,FALSE)))+IF(AND($O47&lt;&gt;"",$O47&lt;&gt;"O3/CP",$O$15=B$18,MID($O47,4,1)="2",$O$15&lt;&gt;$O$14),VLOOKUP(CONCATENATE(LEFT($O47,2),"L"),$R$63:$T$91,3,FALSE),0)+IF(AND($O47="O3/CP",$O$14=B$18),VLOOKUP("O3",$R$63:$T$91,3,FALSE)+VLOOKUP("CP",$R$63:$T$91,3,FALSE),0)+IF(AND($P47&lt;&gt;"",$P47&lt;&gt;"--",$P47&lt;&gt;"O3/CP",$P$14=B$18),IF(LEFT($P47,1)="P",VLOOKUP(CONCATENATE(LEFT($P47,2),"H"),$R$63:$T$91,3,FALSE),VLOOKUP($P47,$R$63:$T$91,3,FALSE)))+IF(AND($P47&lt;&gt;"",$P47&lt;&gt;"O3/CP",$P$15=B$18,MID($P47,4,1)="2",$P$15&lt;&gt;$P$14),VLOOKUP(CONCATENATE(LEFT($P47,2),"L"),$R$63:$T$91,3,FALSE),0)+IF(AND($P47="O3/CP",$P$14=B$18),VLOOKUP("O3",$R$63:$T$91,3,FALSE)+VLOOKUP("CP",$R$63:$T$91,3,FALSE),0)+IF(AND($Q47&lt;&gt;"",$Q47&lt;&gt;"--",$Q47&lt;&gt;"O3/CP",$Q$14=B$18),IF(LEFT($Q47,1)="P",VLOOKUP(CONCATENATE(LEFT($Q47,2),"H"),$R$63:$T$91,3,FALSE),VLOOKUP($Q47,$R$63:$T$91,3,FALSE)))+IF(AND($Q47&lt;&gt;"",$Q47&lt;&gt;"O3/CP",$Q$15=B$18,MID($Q47,4,1)="2",$Q$15&lt;&gt;$Q$14),VLOOKUP(CONCATENATE(LEFT($Q47,2),"L"),$R$63:$T$91,3,FALSE),0)+IF(AND($Q47="O3/CP",$Q$14=B$18),VLOOKUP("O3",$R$63:$T$91,3,FALSE)+VLOOKUP("CP",$R$63:$T$91,3,FALSE),0)+IF(AND($R47&lt;&gt;"",$R47&lt;&gt;"--",$R47&lt;&gt;"O3/CP",$R$14=B$18),IF(LEFT($R47,1)="P",VLOOKUP(CONCATENATE(LEFT($R47,2),"H"),$R$63:$T$91,3,FALSE),VLOOKUP($R47,$R$63:$T$91,3,FALSE)))+IF(AND($R47&lt;&gt;"",$R47&lt;&gt;"O3/CP",$R$15=B$18,MID($R47,4,1)="2",$R$15&lt;&gt;$R$14),VLOOKUP(CONCATENATE(LEFT($R47,2),"L"),$R$63:$T$91,3,FALSE),0)+IF(AND($R47="O3/CP",$R$14=B$18),VLOOKUP("O3",$R$63:$T$91,3,FALSE)+VLOOKUP("CP",$R$63:$T$91,3,FALSE),0)+IF(AND($S47&lt;&gt;"",$S47&lt;&gt;"--",$S47&lt;&gt;"O3/CP",$S$14=B$18),IF(LEFT($S47,1)="P",VLOOKUP(CONCATENATE(LEFT($S47,2),"H"),$R$63:$T$91,3,FALSE),VLOOKUP($S47,$R$63:$T$91,3,FALSE)))+IF(AND($S47&lt;&gt;"",$S47&lt;&gt;"O3/CP",$S$15=B$18,MID($S47,4,1)="2",$S$15&lt;&gt;$S$14),VLOOKUP(CONCATENATE(LEFT($S47,2),"L"),$R$63:$T$91,3,FALSE),0)+IF(AND($S47="O3/CP",$S$14=B$18),VLOOKUP("O3",$R$63:$T$91,3,FALSE)+VLOOKUP("CP",$R$63:$T$91,3,FALSE),0)+IF(AND($T47&lt;&gt;"",$T47&lt;&gt;"--",$T47&lt;&gt;"O3/CP",$T$14=B$18),IF(LEFT($T47,1)="P",VLOOKUP(CONCATENATE(LEFT($T47,2),"H"),$R$63:$T$91,3,FALSE),VLOOKUP($T47,$R$63:$T$91,3,FALSE)))+IF(AND($T47&lt;&gt;"",$T47&lt;&gt;"O3/CP",$T$15=B$18,MID($T47,4,1)="2",$T$15&lt;&gt;$T$14),VLOOKUP(CONCATENATE(LEFT($T47,2),"L"),$R$63:$T$91,3,FALSE),0)+IF(AND($T47="O3/CP",$T$14=B$18),VLOOKUP("O3",$R$63:$T$91,3,FALSE)+VLOOKUP("CP",$R$63:$T$91,3,FALSE),0)+IF(AND($U47&lt;&gt;"",$U47&lt;&gt;"--",$U47&lt;&gt;"O3/CP",$U$14=B$18),IF(LEFT($U47,1)="P",VLOOKUP(CONCATENATE(LEFT($U47,2),"H"),$R$63:$T$91,3,FALSE),VLOOKUP($U47,$R$63:$T$91,3,FALSE)))+IF(AND($U47&lt;&gt;"",$U47&lt;&gt;"O3/CP",$U$15=B$18,MID($U47,4,1)="2",$U$15&lt;&gt;$U$14),VLOOKUP(CONCATENATE(LEFT($U47,2),"L"),$R$63:$T$91,3,FALSE),0)+IF(AND($U47="O3/CP",$T$14=B$18),VLOOKUP("O3",$R$63:$T$91,3,FALSE)+VLOOKUP("CP",$R$63:$T$91,3,FALSE),0)+IF(AND($V47&lt;&gt;"",$V47&lt;&gt;"--",$V47&lt;&gt;"O3/CP",$V$14=B$18),IF(LEFT($V47,1)="P",VLOOKUP(CONCATENATE(LEFT($V47,2),"H"),$R$63:$T$91,3,FALSE),VLOOKUP($V47,$R$63:$T$91,3,FALSE)))+IF(AND($V47&lt;&gt;"",$V47&lt;&gt;"O3/CP",$V$15=B$18,MID($V47,4,1)="2",$V$15&lt;&gt;$V$14),VLOOKUP(CONCATENATE(LEFT($V47,2),"L"),$R$63:$T$91,3,FALSE),0)+IF(AND($V47="O3/CP",$V$14=B$18),VLOOKUP("O3",$R$63:$T$91,3,FALSE)+VLOOKUP("CP",$R$63:$T$91,3,FALSE),0)+IF(AND($W47&lt;&gt;"",$W47&lt;&gt;"--",$W47&lt;&gt;"O3/CP",$W$14=B$18),IF(LEFT($W47,1)="P",VLOOKUP(CONCATENATE(LEFT($W47,2),"H"),$R$63:$T$91,3,FALSE),VLOOKUP($W47,$R$63:$T$91,3,FALSE)))+IF(AND($W47&lt;&gt;"",$W47&lt;&gt;"O3/CP",$W$15=B$18,MID($W47,4,1)="2",$W$15&lt;&gt;$W$14),VLOOKUP(CONCATENATE(LEFT($W47,2),"L"),$R$63:$T$91,3,FALSE),0)+IF(AND($W47="O3/CP",$W$14=B$18),VLOOKUP("O3",$R$63:$T$91,3,FALSE)+VLOOKUP("CP",$R$63:$T$91,3,FALSE),0)+IF(AND($X47&lt;&gt;"",$X47&lt;&gt;"--",$X47&lt;&gt;"O3/CP",$X$14=B$18),IF(LEFT($X47,1)="P",VLOOKUP(CONCATENATE(LEFT($X47,2),"H"),$R$63:$T$91,3,FALSE),VLOOKUP($X47,$R$63:$T$91,3,FALSE)))+IF(AND($X47&lt;&gt;"",$X47&lt;&gt;"O3/CP",$X$15=B$18,MID($X47,4,1)="2",$X$15&lt;&gt;$X$14),VLOOKUP(CONCATENATE(LEFT($X47,2),"L"),$R$63:$T$91,3,FALSE),0)+IF(AND($X47="O3/CP",$X$14=B$18),VLOOKUP("O3",$R$63:$T$91,3,FALSE)+VLOOKUP("CP",$R$63:$T$91,3,FALSE),0)+IF(AND($Y47&lt;&gt;"",$Y47&lt;&gt;"--",$Y47&lt;&gt;"O3/CP",$Y$14=B$18),IF(LEFT($Y47,1)="P",VLOOKUP(CONCATENATE(LEFT($Y47,2),"H"),$R$63:$T$91,3,FALSE),VLOOKUP($Y47,$R$63:$T$91,3,FALSE)))+IF(AND($Y47&lt;&gt;"",$Y47&lt;&gt;"O3/CP",$Y$15=B$18,MID($Y47,4,1)="2",$Y$15&lt;&gt;$Y$14),VLOOKUP(CONCATENATE(LEFT($Y47,2),"L"),$R$63:$T$91,3,FALSE),0)+IF(AND($Y47="O3/CP",$Y$14=B$18),VLOOKUP("O3",$R$63:$T$91,3,FALSE)+VLOOKUP("CP",$R$63:$T$91,3,FALSE),0)+IF(AND($K$6="CE",'[3]Supply Attribution'!$G$20=B$18),LEFT($S$90,2),0)+IF(AND($X$86&lt;&gt;"Not Set",$X$87=B$18),$X$86,0)</f>
        <v>0</v>
      </c>
      <c r="C47" s="271">
        <f>IF(AND($K47&lt;&gt;"",$K47&lt;&gt;"--",$K47&lt;&gt;"O3/CP",$K$14=C$18),IF(LEFT($K47,1)="P",VLOOKUP(CONCATENATE(LEFT($K47,2),"H"),$R$63:$T$91,3,FALSE),VLOOKUP($K47,$R$63:$T$91,3,FALSE)))+IF(AND($K47&lt;&gt;"",$K47&lt;&gt;"O3/CP",$K$15=C$18,MID($K47,4,1)="2",$K$15&lt;&gt;$K$14),VLOOKUP(CONCATENATE(LEFT($K47,2),"L"),$R$63:$T$91,3,FALSE),0)+IF(AND($K47="O3/CP",$K$14=C$18),VLOOKUP("O3",$R$63:$T$91,3,FALSE)+VLOOKUP("CP",$R$63:$T$91,3,FALSE),0)+IF(AND($L47&lt;&gt;"",$L47&lt;&gt;"--",$L47&lt;&gt;"O3/CP",$L$14=C$18),IF(LEFT($L47,1)="P",VLOOKUP(CONCATENATE(LEFT($L47,2),"H"),$R$63:$T$91,3,FALSE),VLOOKUP($L47,$R$63:$T$91,3,FALSE)))+IF(AND($L47&lt;&gt;"",$L47&lt;&gt;"O3/CP",$L$15=C$18,MID($L47,4,1)="2",$L$15&lt;&gt;$L$14),VLOOKUP(CONCATENATE(LEFT($L47,2),"L"),$R$63:$T$91,3,FALSE),0)+IF(AND($L47="O3/CP",$L$14=C$18),VLOOKUP("O3",$R$63:$T$91,3,FALSE)+VLOOKUP("CP",$R$63:$T$91,3,FALSE),0)+IF(AND($M47&lt;&gt;"",$M47&lt;&gt;"--",$M47&lt;&gt;"O3/CP",$M$14=C$18),IF(LEFT($M47,1)="P",VLOOKUP(CONCATENATE(LEFT($M47,2),"H"),$R$63:$T$91,3,FALSE),VLOOKUP($M47,$R$63:$T$91,3,FALSE)))+IF(AND($M47&lt;&gt;"",$M47&lt;&gt;"O3/CP",$M$15=C$18,MID($M47,4,1)="2",$M$15&lt;&gt;$M$14),VLOOKUP(CONCATENATE(LEFT($M47,2),"L"),$R$63:$T$91,3,FALSE),0)+IF(AND($M47="O3/CP",$M$14=C$18),VLOOKUP("O3",$R$63:$T$91,3,FALSE)+VLOOKUP("CP",$R$63:$T$91,3,FALSE),0)+IF(AND($N47&lt;&gt;"",$N47&lt;&gt;"--",$N47&lt;&gt;"O3/CP",$N$14=C$18),IF(LEFT($N47,1)="P",VLOOKUP(CONCATENATE(LEFT($N47,2),"H"),$R$63:$T$91,3,FALSE),VLOOKUP($N47,$R$63:$T$91,3,FALSE)))+IF(AND($N47&lt;&gt;"",$N47&lt;&gt;"O3/CP",$N$15=C$18,MID($N47,4,1)="2",$N$15&lt;&gt;$N$14),VLOOKUP(CONCATENATE(LEFT($N47,2),"L"),$R$63:$T$91,3,FALSE),0)+IF(AND($N47="O3/CP",$N$14=C$18),VLOOKUP("O3",$R$63:$T$91,3,FALSE)+VLOOKUP("CP",$R$63:$T$91,3,FALSE),0)+IF(AND($O47&lt;&gt;"",$O47&lt;&gt;"--",$O47&lt;&gt;"O3/CP",$O$14=C$18),IF(LEFT($O47,1)="P",VLOOKUP(CONCATENATE(LEFT($O47,2),"H"),$R$63:$T$91,3,FALSE),VLOOKUP($O47,$R$63:$T$91,3,FALSE)))+IF(AND($O47&lt;&gt;"",$O47&lt;&gt;"O3/CP",$O$15=C$18,MID($O47,4,1)="2",$O$15&lt;&gt;$O$14),VLOOKUP(CONCATENATE(LEFT($O47,2),"L"),$R$63:$T$91,3,FALSE),0)+IF(AND($O47="O3/CP",$O$14=C$18),VLOOKUP("O3",$R$63:$T$91,3,FALSE)+VLOOKUP("CP",$R$63:$T$91,3,FALSE),0)+IF(AND($P47&lt;&gt;"",$P47&lt;&gt;"--",$P47&lt;&gt;"O3/CP",$P$14=C$18),IF(LEFT($P47,1)="P",VLOOKUP(CONCATENATE(LEFT($P47,2),"H"),$R$63:$T$91,3,FALSE),VLOOKUP($P47,$R$63:$T$91,3,FALSE)))+IF(AND($P47&lt;&gt;"",$P47&lt;&gt;"O3/CP",$P$15=C$18,MID($P47,4,1)="2",$P$15&lt;&gt;$P$14),VLOOKUP(CONCATENATE(LEFT($P47,2),"L"),$R$63:$T$91,3,FALSE),0)+IF(AND($P47="O3/CP",$P$14=C$18),VLOOKUP("O3",$R$63:$T$91,3,FALSE)+VLOOKUP("CP",$R$63:$T$91,3,FALSE),0)+IF(AND($Q47&lt;&gt;"",$Q47&lt;&gt;"--",$Q47&lt;&gt;"O3/CP",$Q$14=C$18),IF(LEFT($Q47,1)="P",VLOOKUP(CONCATENATE(LEFT($Q47,2),"H"),$R$63:$T$91,3,FALSE),VLOOKUP($Q47,$R$63:$T$91,3,FALSE)))+IF(AND($Q47&lt;&gt;"",$Q47&lt;&gt;"O3/CP",$Q$15=C$18,MID($Q47,4,1)="2",$Q$15&lt;&gt;$Q$14),VLOOKUP(CONCATENATE(LEFT($Q47,2),"L"),$R$63:$T$91,3,FALSE),0)+IF(AND($Q47="O3/CP",$Q$14=C$18),VLOOKUP("O3",$R$63:$T$91,3,FALSE)+VLOOKUP("CP",$R$63:$T$91,3,FALSE),0)+IF(AND($R47&lt;&gt;"",$R47&lt;&gt;"--",$R47&lt;&gt;"O3/CP",$R$14=C$18),IF(LEFT($R47,1)="P",VLOOKUP(CONCATENATE(LEFT($R47,2),"H"),$R$63:$T$91,3,FALSE),VLOOKUP($R47,$R$63:$T$91,3,FALSE)))+IF(AND($R47&lt;&gt;"",$R47&lt;&gt;"O3/CP",$R$15=C$18,MID($R47,4,1)="2",$R$15&lt;&gt;$R$14),VLOOKUP(CONCATENATE(LEFT($R47,2),"L"),$R$63:$T$91,3,FALSE),0)+IF(AND($R47="O3/CP",$R$14=C$18),VLOOKUP("O3",$R$63:$T$91,3,FALSE)+VLOOKUP("CP",$R$63:$T$91,3,FALSE),0)+IF(AND($S47&lt;&gt;"",$S47&lt;&gt;"--",$S47&lt;&gt;"O3/CP",$S$14=C$18),IF(LEFT($S47,1)="P",VLOOKUP(CONCATENATE(LEFT($S47,2),"H"),$R$63:$T$91,3,FALSE),VLOOKUP($S47,$R$63:$T$91,3,FALSE)))+IF(AND($S47&lt;&gt;"",$S47&lt;&gt;"O3/CP",$S$15=C$18,MID($S47,4,1)="2",$S$15&lt;&gt;$S$14),VLOOKUP(CONCATENATE(LEFT($S47,2),"L"),$R$63:$T$91,3,FALSE),0)+IF(AND($S47="O3/CP",$S$14=C$18),VLOOKUP("O3",$R$63:$T$91,3,FALSE)+VLOOKUP("CP",$R$63:$T$91,3,FALSE),0)+IF(AND($T47&lt;&gt;"",$T47&lt;&gt;"--",$T47&lt;&gt;"O3/CP",$T$14=C$18),IF(LEFT($T47,1)="P",VLOOKUP(CONCATENATE(LEFT($T47,2),"H"),$R$63:$T$91,3,FALSE),VLOOKUP($T47,$R$63:$T$91,3,FALSE)))+IF(AND($T47&lt;&gt;"",$T47&lt;&gt;"O3/CP",$T$15=C$18,MID($T47,4,1)="2",$T$15&lt;&gt;$T$14),VLOOKUP(CONCATENATE(LEFT($T47,2),"L"),$R$63:$T$91,3,FALSE),0)+IF(AND($T47="O3/CP",$T$14=C$18),VLOOKUP("O3",$R$63:$T$91,3,FALSE)+VLOOKUP("CP",$R$63:$T$91,3,FALSE),0)+IF(AND($U47&lt;&gt;"",$U47&lt;&gt;"--",$U47&lt;&gt;"O3/CP",$U$14=C$18),IF(LEFT($U47,1)="P",VLOOKUP(CONCATENATE(LEFT($U47,2),"H"),$R$63:$T$91,3,FALSE),VLOOKUP($U47,$R$63:$T$91,3,FALSE)))+IF(AND($U47&lt;&gt;"",$U47&lt;&gt;"O3/CP",$U$15=C$18,MID($U47,4,1)="2",$U$15&lt;&gt;$U$14),VLOOKUP(CONCATENATE(LEFT($U47,2),"L"),$R$63:$T$91,3,FALSE),0)+IF(AND($U47="O3/CP",$T$14=C$18),VLOOKUP("O3",$R$63:$T$91,3,FALSE)+VLOOKUP("CP",$R$63:$T$91,3,FALSE),0)+IF(AND($V47&lt;&gt;"",$V47&lt;&gt;"--",$V47&lt;&gt;"O3/CP",$V$14=C$18),IF(LEFT($V47,1)="P",VLOOKUP(CONCATENATE(LEFT($V47,2),"H"),$R$63:$T$91,3,FALSE),VLOOKUP($V47,$R$63:$T$91,3,FALSE)))+IF(AND($V47&lt;&gt;"",$V47&lt;&gt;"O3/CP",$V$15=C$18,MID($V47,4,1)="2",$V$15&lt;&gt;$V$14),VLOOKUP(CONCATENATE(LEFT($V47,2),"L"),$R$63:$T$91,3,FALSE),0)+IF(AND($V47="O3/CP",$V$14=C$18),VLOOKUP("O3",$R$63:$T$91,3,FALSE)+VLOOKUP("CP",$R$63:$T$91,3,FALSE),0)+IF(AND($W47&lt;&gt;"",$W47&lt;&gt;"--",$W47&lt;&gt;"O3/CP",$W$14=C$18),IF(LEFT($W47,1)="P",VLOOKUP(CONCATENATE(LEFT($W47,2),"H"),$R$63:$T$91,3,FALSE),VLOOKUP($W47,$R$63:$T$91,3,FALSE)))+IF(AND($W47&lt;&gt;"",$W47&lt;&gt;"O3/CP",$W$15=C$18,MID($W47,4,1)="2",$W$15&lt;&gt;$W$14),VLOOKUP(CONCATENATE(LEFT($W47,2),"L"),$R$63:$T$91,3,FALSE),0)+IF(AND($W47="O3/CP",$W$14=C$18),VLOOKUP("O3",$R$63:$T$91,3,FALSE)+VLOOKUP("CP",$R$63:$T$91,3,FALSE),0)+IF(AND($X47&lt;&gt;"",$X47&lt;&gt;"--",$X47&lt;&gt;"O3/CP",$X$14=C$18),IF(LEFT($X47,1)="P",VLOOKUP(CONCATENATE(LEFT($X47,2),"H"),$R$63:$T$91,3,FALSE),VLOOKUP($X47,$R$63:$T$91,3,FALSE)))+IF(AND($X47&lt;&gt;"",$X47&lt;&gt;"O3/CP",$X$15=C$18,MID($X47,4,1)="2",$X$15&lt;&gt;$X$14),VLOOKUP(CONCATENATE(LEFT($X47,2),"L"),$R$63:$T$91,3,FALSE),0)+IF(AND($X47="O3/CP",$X$14=C$18),VLOOKUP("O3",$R$63:$T$91,3,FALSE)+VLOOKUP("CP",$R$63:$T$91,3,FALSE),0)+IF(AND($Y47&lt;&gt;"",$Y47&lt;&gt;"--",$Y47&lt;&gt;"O3/CP",$Y$14=C$18),IF(LEFT($Y47,1)="P",VLOOKUP(CONCATENATE(LEFT($Y47,2),"H"),$R$63:$T$91,3,FALSE),VLOOKUP($Y47,$R$63:$T$91,3,FALSE)))+IF(AND($Y47&lt;&gt;"",$Y47&lt;&gt;"O3/CP",$Y$15=C$18,MID($Y47,4,1)="2",$Y$15&lt;&gt;$Y$14),VLOOKUP(CONCATENATE(LEFT($Y47,2),"L"),$R$63:$T$91,3,FALSE),0)+IF(AND($Y47="O3/CP",$Y$14=C$18),VLOOKUP("O3",$R$63:$T$91,3,FALSE)+VLOOKUP("CP",$R$63:$T$91,3,FALSE),0)+IF(AND($K$6="CE",'[3]Supply Attribution'!$G$20=C$18),LEFT($S$90,2),0)+IF(AND($X$86&lt;&gt;"Not Set",$X$87=C$18),$X$86,0)</f>
        <v>0</v>
      </c>
      <c r="D47" s="271">
        <f>IF(AND($K47&lt;&gt;"",$K47&lt;&gt;"--",$K47&lt;&gt;"O3/CP",$K$14=D$18),IF(LEFT($K47,1)="P",VLOOKUP(CONCATENATE(LEFT($K47,2),"H"),$R$63:$T$91,3,FALSE),VLOOKUP($K47,$R$63:$T$91,3,FALSE)))+IF(AND($K47&lt;&gt;"",$K47&lt;&gt;"O3/CP",$K$15=D$18,MID($K47,4,1)="2",$K$15&lt;&gt;$K$14),VLOOKUP(CONCATENATE(LEFT($K47,2),"L"),$R$63:$T$91,3,FALSE),0)+IF(AND($K47="O3/CP",$K$14=D$18),VLOOKUP("O3",$R$63:$T$91,3,FALSE)+VLOOKUP("CP",$R$63:$T$91,3,FALSE),0)+IF(AND($L47&lt;&gt;"",$L47&lt;&gt;"--",$L47&lt;&gt;"O3/CP",$L$14=D$18),IF(LEFT($L47,1)="P",VLOOKUP(CONCATENATE(LEFT($L47,2),"H"),$R$63:$T$91,3,FALSE),VLOOKUP($L47,$R$63:$T$91,3,FALSE)))+IF(AND($L47&lt;&gt;"",$L47&lt;&gt;"O3/CP",$L$15=D$18,MID($L47,4,1)="2",$L$15&lt;&gt;$L$14),VLOOKUP(CONCATENATE(LEFT($L47,2),"L"),$R$63:$T$91,3,FALSE),0)+IF(AND($L47="O3/CP",$L$14=D$18),VLOOKUP("O3",$R$63:$T$91,3,FALSE)+VLOOKUP("CP",$R$63:$T$91,3,FALSE),0)+IF(AND($M47&lt;&gt;"",$M47&lt;&gt;"--",$M47&lt;&gt;"O3/CP",$M$14=D$18),IF(LEFT($M47,1)="P",VLOOKUP(CONCATENATE(LEFT($M47,2),"H"),$R$63:$T$91,3,FALSE),VLOOKUP($M47,$R$63:$T$91,3,FALSE)))+IF(AND($M47&lt;&gt;"",$M47&lt;&gt;"O3/CP",$M$15=D$18,MID($M47,4,1)="2",$M$15&lt;&gt;$M$14),VLOOKUP(CONCATENATE(LEFT($M47,2),"L"),$R$63:$T$91,3,FALSE),0)+IF(AND($M47="O3/CP",$M$14=D$18),VLOOKUP("O3",$R$63:$T$91,3,FALSE)+VLOOKUP("CP",$R$63:$T$91,3,FALSE),0)+IF(AND($N47&lt;&gt;"",$N47&lt;&gt;"--",$N47&lt;&gt;"O3/CP",$N$14=D$18),IF(LEFT($N47,1)="P",VLOOKUP(CONCATENATE(LEFT($N47,2),"H"),$R$63:$T$91,3,FALSE),VLOOKUP($N47,$R$63:$T$91,3,FALSE)))+IF(AND($N47&lt;&gt;"",$N47&lt;&gt;"O3/CP",$N$15=D$18,MID($N47,4,1)="2",$N$15&lt;&gt;$N$14),VLOOKUP(CONCATENATE(LEFT($N47,2),"L"),$R$63:$T$91,3,FALSE),0)+IF(AND($N47="O3/CP",$N$14=D$18),VLOOKUP("O3",$R$63:$T$91,3,FALSE)+VLOOKUP("CP",$R$63:$T$91,3,FALSE),0)+IF(AND($O47&lt;&gt;"",$O47&lt;&gt;"--",$O47&lt;&gt;"O3/CP",$O$14=D$18),IF(LEFT($O47,1)="P",VLOOKUP(CONCATENATE(LEFT($O47,2),"H"),$R$63:$T$91,3,FALSE),VLOOKUP($O47,$R$63:$T$91,3,FALSE)))+IF(AND($O47&lt;&gt;"",$O47&lt;&gt;"O3/CP",$O$15=D$18,MID($O47,4,1)="2",$O$15&lt;&gt;$O$14),VLOOKUP(CONCATENATE(LEFT($O47,2),"L"),$R$63:$T$91,3,FALSE),0)+IF(AND($O47="O3/CP",$O$14=D$18),VLOOKUP("O3",$R$63:$T$91,3,FALSE)+VLOOKUP("CP",$R$63:$T$91,3,FALSE),0)+IF(AND($P47&lt;&gt;"",$P47&lt;&gt;"--",$P47&lt;&gt;"O3/CP",$P$14=D$18),IF(LEFT($P47,1)="P",VLOOKUP(CONCATENATE(LEFT($P47,2),"H"),$R$63:$T$91,3,FALSE),VLOOKUP($P47,$R$63:$T$91,3,FALSE)))+IF(AND($P47&lt;&gt;"",$P47&lt;&gt;"O3/CP",$P$15=D$18,MID($P47,4,1)="2",$P$15&lt;&gt;$P$14),VLOOKUP(CONCATENATE(LEFT($P47,2),"L"),$R$63:$T$91,3,FALSE),0)+IF(AND($P47="O3/CP",$P$14=D$18),VLOOKUP("O3",$R$63:$T$91,3,FALSE)+VLOOKUP("CP",$R$63:$T$91,3,FALSE),0)+IF(AND($Q47&lt;&gt;"",$Q47&lt;&gt;"--",$Q47&lt;&gt;"O3/CP",$Q$14=D$18),IF(LEFT($Q47,1)="P",VLOOKUP(CONCATENATE(LEFT($Q47,2),"H"),$R$63:$T$91,3,FALSE),VLOOKUP($Q47,$R$63:$T$91,3,FALSE)))+IF(AND($Q47&lt;&gt;"",$Q47&lt;&gt;"O3/CP",$Q$15=D$18,MID($Q47,4,1)="2",$Q$15&lt;&gt;$Q$14),VLOOKUP(CONCATENATE(LEFT($Q47,2),"L"),$R$63:$T$91,3,FALSE),0)+IF(AND($Q47="O3/CP",$Q$14=D$18),VLOOKUP("O3",$R$63:$T$91,3,FALSE)+VLOOKUP("CP",$R$63:$T$91,3,FALSE),0)+IF(AND($R47&lt;&gt;"",$R47&lt;&gt;"--",$R47&lt;&gt;"O3/CP",$R$14=D$18),IF(LEFT($R47,1)="P",VLOOKUP(CONCATENATE(LEFT($R47,2),"H"),$R$63:$T$91,3,FALSE),VLOOKUP($R47,$R$63:$T$91,3,FALSE)))+IF(AND($R47&lt;&gt;"",$R47&lt;&gt;"O3/CP",$R$15=D$18,MID($R47,4,1)="2",$R$15&lt;&gt;$R$14),VLOOKUP(CONCATENATE(LEFT($R47,2),"L"),$R$63:$T$91,3,FALSE),0)+IF(AND($R47="O3/CP",$R$14=D$18),VLOOKUP("O3",$R$63:$T$91,3,FALSE)+VLOOKUP("CP",$R$63:$T$91,3,FALSE),0)+IF(AND($S47&lt;&gt;"",$S47&lt;&gt;"--",$S47&lt;&gt;"O3/CP",$S$14=D$18),IF(LEFT($S47,1)="P",VLOOKUP(CONCATENATE(LEFT($S47,2),"H"),$R$63:$T$91,3,FALSE),VLOOKUP($S47,$R$63:$T$91,3,FALSE)))+IF(AND($S47&lt;&gt;"",$S47&lt;&gt;"O3/CP",$S$15=D$18,MID($S47,4,1)="2",$S$15&lt;&gt;$S$14),VLOOKUP(CONCATENATE(LEFT($S47,2),"L"),$R$63:$T$91,3,FALSE),0)+IF(AND($S47="O3/CP",$S$14=D$18),VLOOKUP("O3",$R$63:$T$91,3,FALSE)+VLOOKUP("CP",$R$63:$T$91,3,FALSE),0)+IF(AND($T47&lt;&gt;"",$T47&lt;&gt;"--",$T47&lt;&gt;"O3/CP",$T$14=D$18),IF(LEFT($T47,1)="P",VLOOKUP(CONCATENATE(LEFT($T47,2),"H"),$R$63:$T$91,3,FALSE),VLOOKUP($T47,$R$63:$T$91,3,FALSE)))+IF(AND($T47&lt;&gt;"",$T47&lt;&gt;"O3/CP",$T$15=D$18,MID($T47,4,1)="2",$T$15&lt;&gt;$T$14),VLOOKUP(CONCATENATE(LEFT($T47,2),"L"),$R$63:$T$91,3,FALSE),0)+IF(AND($T47="O3/CP",$T$14=D$18),VLOOKUP("O3",$R$63:$T$91,3,FALSE)+VLOOKUP("CP",$R$63:$T$91,3,FALSE),0)+IF(AND($U47&lt;&gt;"",$U47&lt;&gt;"--",$U47&lt;&gt;"O3/CP",$U$14=D$18),IF(LEFT($U47,1)="P",VLOOKUP(CONCATENATE(LEFT($U47,2),"H"),$R$63:$T$91,3,FALSE),VLOOKUP($U47,$R$63:$T$91,3,FALSE)))+IF(AND($U47&lt;&gt;"",$U47&lt;&gt;"O3/CP",$U$15=D$18,MID($U47,4,1)="2",$U$15&lt;&gt;$U$14),VLOOKUP(CONCATENATE(LEFT($U47,2),"L"),$R$63:$T$91,3,FALSE),0)+IF(AND($U47="O3/CP",$T$14=D$18),VLOOKUP("O3",$R$63:$T$91,3,FALSE)+VLOOKUP("CP",$R$63:$T$91,3,FALSE),0)+IF(AND($V47&lt;&gt;"",$V47&lt;&gt;"--",$V47&lt;&gt;"O3/CP",$V$14=D$18),IF(LEFT($V47,1)="P",VLOOKUP(CONCATENATE(LEFT($V47,2),"H"),$R$63:$T$91,3,FALSE),VLOOKUP($V47,$R$63:$T$91,3,FALSE)))+IF(AND($V47&lt;&gt;"",$V47&lt;&gt;"O3/CP",$V$15=D$18,MID($V47,4,1)="2",$V$15&lt;&gt;$V$14),VLOOKUP(CONCATENATE(LEFT($V47,2),"L"),$R$63:$T$91,3,FALSE),0)+IF(AND($V47="O3/CP",$V$14=D$18),VLOOKUP("O3",$R$63:$T$91,3,FALSE)+VLOOKUP("CP",$R$63:$T$91,3,FALSE),0)+IF(AND($W47&lt;&gt;"",$W47&lt;&gt;"--",$W47&lt;&gt;"O3/CP",$W$14=D$18),IF(LEFT($W47,1)="P",VLOOKUP(CONCATENATE(LEFT($W47,2),"H"),$R$63:$T$91,3,FALSE),VLOOKUP($W47,$R$63:$T$91,3,FALSE)))+IF(AND($W47&lt;&gt;"",$W47&lt;&gt;"O3/CP",$W$15=D$18,MID($W47,4,1)="2",$W$15&lt;&gt;$W$14),VLOOKUP(CONCATENATE(LEFT($W47,2),"L"),$R$63:$T$91,3,FALSE),0)+IF(AND($W47="O3/CP",$W$14=D$18),VLOOKUP("O3",$R$63:$T$91,3,FALSE)+VLOOKUP("CP",$R$63:$T$91,3,FALSE),0)+IF(AND($X47&lt;&gt;"",$X47&lt;&gt;"--",$X47&lt;&gt;"O3/CP",$X$14=D$18),IF(LEFT($X47,1)="P",VLOOKUP(CONCATENATE(LEFT($X47,2),"H"),$R$63:$T$91,3,FALSE),VLOOKUP($X47,$R$63:$T$91,3,FALSE)))+IF(AND($X47&lt;&gt;"",$X47&lt;&gt;"O3/CP",$X$15=D$18,MID($X47,4,1)="2",$X$15&lt;&gt;$X$14),VLOOKUP(CONCATENATE(LEFT($X47,2),"L"),$R$63:$T$91,3,FALSE),0)+IF(AND($X47="O3/CP",$X$14=D$18),VLOOKUP("O3",$R$63:$T$91,3,FALSE)+VLOOKUP("CP",$R$63:$T$91,3,FALSE),0)+IF(AND($Y47&lt;&gt;"",$Y47&lt;&gt;"--",$Y47&lt;&gt;"O3/CP",$Y$14=D$18),IF(LEFT($Y47,1)="P",VLOOKUP(CONCATENATE(LEFT($Y47,2),"H"),$R$63:$T$91,3,FALSE),VLOOKUP($Y47,$R$63:$T$91,3,FALSE)))+IF(AND($Y47&lt;&gt;"",$Y47&lt;&gt;"O3/CP",$Y$15=D$18,MID($Y47,4,1)="2",$Y$15&lt;&gt;$Y$14),VLOOKUP(CONCATENATE(LEFT($Y47,2),"L"),$R$63:$T$91,3,FALSE),0)+IF(AND($Y47="O3/CP",$Y$14=D$18),VLOOKUP("O3",$R$63:$T$91,3,FALSE)+VLOOKUP("CP",$R$63:$T$91,3,FALSE),0)+IF(AND($K$6="CE",'[3]Supply Attribution'!$G$20=D$18),LEFT($S$90,2),0)+IF(AND($X$86&lt;&gt;"Not Set",$X$87=D$18),$X$86,0)</f>
        <v>0</v>
      </c>
      <c r="E47" s="271">
        <f>IF(AND($K47&lt;&gt;"",$K47&lt;&gt;"--",$K47&lt;&gt;"O3/CP",$K$14=E$18),IF(LEFT($K47,1)="P",VLOOKUP(CONCATENATE(LEFT($K47,2),"H"),$R$63:$T$91,3,FALSE),VLOOKUP($K47,$R$63:$T$91,3,FALSE)))+IF(AND($K47&lt;&gt;"",$K47&lt;&gt;"O3/CP",$K$15=E$18,MID($K47,4,1)="2",$K$15&lt;&gt;$K$14),VLOOKUP(CONCATENATE(LEFT($K47,2),"L"),$R$63:$T$91,3,FALSE),0)+IF(AND($K47="O3/CP",$K$14=E$18),VLOOKUP("O3",$R$63:$T$91,3,FALSE)+VLOOKUP("CP",$R$63:$T$91,3,FALSE),0)+IF(AND($L47&lt;&gt;"",$L47&lt;&gt;"--",$L47&lt;&gt;"O3/CP",$L$14=E$18),IF(LEFT($L47,1)="P",VLOOKUP(CONCATENATE(LEFT($L47,2),"H"),$R$63:$T$91,3,FALSE),VLOOKUP($L47,$R$63:$T$91,3,FALSE)))+IF(AND($L47&lt;&gt;"",$L47&lt;&gt;"O3/CP",$L$15=E$18,MID($L47,4,1)="2",$L$15&lt;&gt;$L$14),VLOOKUP(CONCATENATE(LEFT($L47,2),"L"),$R$63:$T$91,3,FALSE),0)+IF(AND($L47="O3/CP",$L$14=E$18),VLOOKUP("O3",$R$63:$T$91,3,FALSE)+VLOOKUP("CP",$R$63:$T$91,3,FALSE),0)+IF(AND($M47&lt;&gt;"",$M47&lt;&gt;"--",$M47&lt;&gt;"O3/CP",$M$14=E$18),IF(LEFT($M47,1)="P",VLOOKUP(CONCATENATE(LEFT($M47,2),"H"),$R$63:$T$91,3,FALSE),VLOOKUP($M47,$R$63:$T$91,3,FALSE)))+IF(AND($M47&lt;&gt;"",$M47&lt;&gt;"O3/CP",$M$15=E$18,MID($M47,4,1)="2",$M$15&lt;&gt;$M$14),VLOOKUP(CONCATENATE(LEFT($M47,2),"L"),$R$63:$T$91,3,FALSE),0)+IF(AND($M47="O3/CP",$M$14=E$18),VLOOKUP("O3",$R$63:$T$91,3,FALSE)+VLOOKUP("CP",$R$63:$T$91,3,FALSE),0)+IF(AND($N47&lt;&gt;"",$N47&lt;&gt;"--",$N47&lt;&gt;"O3/CP",$N$14=E$18),IF(LEFT($N47,1)="P",VLOOKUP(CONCATENATE(LEFT($N47,2),"H"),$R$63:$T$91,3,FALSE),VLOOKUP($N47,$R$63:$T$91,3,FALSE)))+IF(AND($N47&lt;&gt;"",$N47&lt;&gt;"O3/CP",$N$15=E$18,MID($N47,4,1)="2",$N$15&lt;&gt;$N$14),VLOOKUP(CONCATENATE(LEFT($N47,2),"L"),$R$63:$T$91,3,FALSE),0)+IF(AND($N47="O3/CP",$N$14=E$18),VLOOKUP("O3",$R$63:$T$91,3,FALSE)+VLOOKUP("CP",$R$63:$T$91,3,FALSE),0)+IF(AND($O47&lt;&gt;"",$O47&lt;&gt;"--",$O47&lt;&gt;"O3/CP",$O$14=E$18),IF(LEFT($O47,1)="P",VLOOKUP(CONCATENATE(LEFT($O47,2),"H"),$R$63:$T$91,3,FALSE),VLOOKUP($O47,$R$63:$T$91,3,FALSE)))+IF(AND($O47&lt;&gt;"",$O47&lt;&gt;"O3/CP",$O$15=E$18,MID($O47,4,1)="2",$O$15&lt;&gt;$O$14),VLOOKUP(CONCATENATE(LEFT($O47,2),"L"),$R$63:$T$91,3,FALSE),0)+IF(AND($O47="O3/CP",$O$14=E$18),VLOOKUP("O3",$R$63:$T$91,3,FALSE)+VLOOKUP("CP",$R$63:$T$91,3,FALSE),0)+IF(AND($P47&lt;&gt;"",$P47&lt;&gt;"--",$P47&lt;&gt;"O3/CP",$P$14=E$18),IF(LEFT($P47,1)="P",VLOOKUP(CONCATENATE(LEFT($P47,2),"H"),$R$63:$T$91,3,FALSE),VLOOKUP($P47,$R$63:$T$91,3,FALSE)))+IF(AND($P47&lt;&gt;"",$P47&lt;&gt;"O3/CP",$P$15=E$18,MID($P47,4,1)="2",$P$15&lt;&gt;$P$14),VLOOKUP(CONCATENATE(LEFT($P47,2),"L"),$R$63:$T$91,3,FALSE),0)+IF(AND($P47="O3/CP",$P$14=E$18),VLOOKUP("O3",$R$63:$T$91,3,FALSE)+VLOOKUP("CP",$R$63:$T$91,3,FALSE),0)+IF(AND($Q47&lt;&gt;"",$Q47&lt;&gt;"--",$Q47&lt;&gt;"O3/CP",$Q$14=E$18),IF(LEFT($Q47,1)="P",VLOOKUP(CONCATENATE(LEFT($Q47,2),"H"),$R$63:$T$91,3,FALSE),VLOOKUP($Q47,$R$63:$T$91,3,FALSE)))+IF(AND($Q47&lt;&gt;"",$Q47&lt;&gt;"O3/CP",$Q$15=E$18,MID($Q47,4,1)="2",$Q$15&lt;&gt;$Q$14),VLOOKUP(CONCATENATE(LEFT($Q47,2),"L"),$R$63:$T$91,3,FALSE),0)+IF(AND($Q47="O3/CP",$Q$14=E$18),VLOOKUP("O3",$R$63:$T$91,3,FALSE)+VLOOKUP("CP",$R$63:$T$91,3,FALSE),0)+IF(AND($R47&lt;&gt;"",$R47&lt;&gt;"--",$R47&lt;&gt;"O3/CP",$R$14=E$18),IF(LEFT($R47,1)="P",VLOOKUP(CONCATENATE(LEFT($R47,2),"H"),$R$63:$T$91,3,FALSE),VLOOKUP($R47,$R$63:$T$91,3,FALSE)))+IF(AND($R47&lt;&gt;"",$R47&lt;&gt;"O3/CP",$R$15=E$18,MID($R47,4,1)="2",$R$15&lt;&gt;$R$14),VLOOKUP(CONCATENATE(LEFT($R47,2),"L"),$R$63:$T$91,3,FALSE),0)+IF(AND($R47="O3/CP",$R$14=E$18),VLOOKUP("O3",$R$63:$T$91,3,FALSE)+VLOOKUP("CP",$R$63:$T$91,3,FALSE),0)+IF(AND($S47&lt;&gt;"",$S47&lt;&gt;"--",$S47&lt;&gt;"O3/CP",$S$14=E$18),IF(LEFT($S47,1)="P",VLOOKUP(CONCATENATE(LEFT($S47,2),"H"),$R$63:$T$91,3,FALSE),VLOOKUP($S47,$R$63:$T$91,3,FALSE)))+IF(AND($S47&lt;&gt;"",$S47&lt;&gt;"O3/CP",$S$15=E$18,MID($S47,4,1)="2",$S$15&lt;&gt;$S$14),VLOOKUP(CONCATENATE(LEFT($S47,2),"L"),$R$63:$T$91,3,FALSE),0)+IF(AND($S47="O3/CP",$S$14=E$18),VLOOKUP("O3",$R$63:$T$91,3,FALSE)+VLOOKUP("CP",$R$63:$T$91,3,FALSE),0)+IF(AND($T47&lt;&gt;"",$T47&lt;&gt;"--",$T47&lt;&gt;"O3/CP",$T$14=E$18),IF(LEFT($T47,1)="P",VLOOKUP(CONCATENATE(LEFT($T47,2),"H"),$R$63:$T$91,3,FALSE),VLOOKUP($T47,$R$63:$T$91,3,FALSE)))+IF(AND($T47&lt;&gt;"",$T47&lt;&gt;"O3/CP",$T$15=E$18,MID($T47,4,1)="2",$T$15&lt;&gt;$T$14),VLOOKUP(CONCATENATE(LEFT($T47,2),"L"),$R$63:$T$91,3,FALSE),0)+IF(AND($T47="O3/CP",$T$14=E$18),VLOOKUP("O3",$R$63:$T$91,3,FALSE)+VLOOKUP("CP",$R$63:$T$91,3,FALSE),0)+IF(AND($U47&lt;&gt;"",$U47&lt;&gt;"--",$U47&lt;&gt;"O3/CP",$U$14=E$18),IF(LEFT($U47,1)="P",VLOOKUP(CONCATENATE(LEFT($U47,2),"H"),$R$63:$T$91,3,FALSE),VLOOKUP($U47,$R$63:$T$91,3,FALSE)))+IF(AND($U47&lt;&gt;"",$U47&lt;&gt;"O3/CP",$U$15=E$18,MID($U47,4,1)="2",$U$15&lt;&gt;$U$14),VLOOKUP(CONCATENATE(LEFT($U47,2),"L"),$R$63:$T$91,3,FALSE),0)+IF(AND($U47="O3/CP",$T$14=E$18),VLOOKUP("O3",$R$63:$T$91,3,FALSE)+VLOOKUP("CP",$R$63:$T$91,3,FALSE),0)+IF(AND($V47&lt;&gt;"",$V47&lt;&gt;"--",$V47&lt;&gt;"O3/CP",$V$14=E$18),IF(LEFT($V47,1)="P",VLOOKUP(CONCATENATE(LEFT($V47,2),"H"),$R$63:$T$91,3,FALSE),VLOOKUP($V47,$R$63:$T$91,3,FALSE)))+IF(AND($V47&lt;&gt;"",$V47&lt;&gt;"O3/CP",$V$15=E$18,MID($V47,4,1)="2",$V$15&lt;&gt;$V$14),VLOOKUP(CONCATENATE(LEFT($V47,2),"L"),$R$63:$T$91,3,FALSE),0)+IF(AND($V47="O3/CP",$V$14=E$18),VLOOKUP("O3",$R$63:$T$91,3,FALSE)+VLOOKUP("CP",$R$63:$T$91,3,FALSE),0)+IF(AND($W47&lt;&gt;"",$W47&lt;&gt;"--",$W47&lt;&gt;"O3/CP",$W$14=E$18),IF(LEFT($W47,1)="P",VLOOKUP(CONCATENATE(LEFT($W47,2),"H"),$R$63:$T$91,3,FALSE),VLOOKUP($W47,$R$63:$T$91,3,FALSE)))+IF(AND($W47&lt;&gt;"",$W47&lt;&gt;"O3/CP",$W$15=E$18,MID($W47,4,1)="2",$W$15&lt;&gt;$W$14),VLOOKUP(CONCATENATE(LEFT($W47,2),"L"),$R$63:$T$91,3,FALSE),0)+IF(AND($W47="O3/CP",$W$14=E$18),VLOOKUP("O3",$R$63:$T$91,3,FALSE)+VLOOKUP("CP",$R$63:$T$91,3,FALSE),0)+IF(AND($X47&lt;&gt;"",$X47&lt;&gt;"--",$X47&lt;&gt;"O3/CP",$X$14=E$18),IF(LEFT($X47,1)="P",VLOOKUP(CONCATENATE(LEFT($X47,2),"H"),$R$63:$T$91,3,FALSE),VLOOKUP($X47,$R$63:$T$91,3,FALSE)))+IF(AND($X47&lt;&gt;"",$X47&lt;&gt;"O3/CP",$X$15=E$18,MID($X47,4,1)="2",$X$15&lt;&gt;$X$14),VLOOKUP(CONCATENATE(LEFT($X47,2),"L"),$R$63:$T$91,3,FALSE),0)+IF(AND($X47="O3/CP",$X$14=E$18),VLOOKUP("O3",$R$63:$T$91,3,FALSE)+VLOOKUP("CP",$R$63:$T$91,3,FALSE),0)+IF(AND($Y47&lt;&gt;"",$Y47&lt;&gt;"--",$Y47&lt;&gt;"O3/CP",$Y$14=E$18),IF(LEFT($Y47,1)="P",VLOOKUP(CONCATENATE(LEFT($Y47,2),"H"),$R$63:$T$91,3,FALSE),VLOOKUP($Y47,$R$63:$T$91,3,FALSE)))+IF(AND($Y47&lt;&gt;"",$Y47&lt;&gt;"O3/CP",$Y$15=E$18,MID($Y47,4,1)="2",$Y$15&lt;&gt;$Y$14),VLOOKUP(CONCATENATE(LEFT($Y47,2),"L"),$R$63:$T$91,3,FALSE),0)+IF(AND($Y47="O3/CP",$Y$14=E$18),VLOOKUP("O3",$R$63:$T$91,3,FALSE)+VLOOKUP("CP",$R$63:$T$91,3,FALSE),0)+IF(AND($K$6="CE",'[3]Supply Attribution'!$G$20=E$18),LEFT($S$90,2),0)+IF(AND($X$86&lt;&gt;"Not Set",$X$87=E$18),$X$86,0)</f>
        <v>0</v>
      </c>
      <c r="F47" s="272">
        <f>IF(AND($K47&lt;&gt;"",$K47&lt;&gt;"--",$K47&lt;&gt;"O3/CP",$K$14=F$18),IF(LEFT($K47,1)="P",VLOOKUP(CONCATENATE(LEFT($K47,2),"H"),$R$63:$T$91,3,FALSE),VLOOKUP($K47,$R$63:$T$91,3,FALSE)))+IF(AND($K47&lt;&gt;"",$K47&lt;&gt;"O3/CP",$K$15=F$18,MID($K47,4,1)="2",$K$15&lt;&gt;$K$14),VLOOKUP(CONCATENATE(LEFT($K47,2),"L"),$R$63:$T$91,3,FALSE),0)+IF(AND($K47="O3/CP",$K$14=F$18),VLOOKUP("O3",$R$63:$T$91,3,FALSE)+VLOOKUP("CP",$R$63:$T$91,3,FALSE),0)+IF(AND($L47&lt;&gt;"",$L47&lt;&gt;"--",$L47&lt;&gt;"O3/CP",$L$14=F$18),IF(LEFT($L47,1)="P",VLOOKUP(CONCATENATE(LEFT($L47,2),"H"),$R$63:$T$91,3,FALSE),VLOOKUP($L47,$R$63:$T$91,3,FALSE)))+IF(AND($L47&lt;&gt;"",$L47&lt;&gt;"O3/CP",$L$15=F$18,MID($L47,4,1)="2",$L$15&lt;&gt;$L$14),VLOOKUP(CONCATENATE(LEFT($L47,2),"L"),$R$63:$T$91,3,FALSE),0)+IF(AND($L47="O3/CP",$L$14=F$18),VLOOKUP("O3",$R$63:$T$91,3,FALSE)+VLOOKUP("CP",$R$63:$T$91,3,FALSE),0)+IF(AND($M47&lt;&gt;"",$M47&lt;&gt;"--",$M47&lt;&gt;"O3/CP",$M$14=F$18),IF(LEFT($M47,1)="P",VLOOKUP(CONCATENATE(LEFT($M47,2),"H"),$R$63:$T$91,3,FALSE),VLOOKUP($M47,$R$63:$T$91,3,FALSE)))+IF(AND($M47&lt;&gt;"",$M47&lt;&gt;"O3/CP",$M$15=F$18,MID($M47,4,1)="2",$M$15&lt;&gt;$M$14),VLOOKUP(CONCATENATE(LEFT($M47,2),"L"),$R$63:$T$91,3,FALSE),0)+IF(AND($M47="O3/CP",$M$14=F$18),VLOOKUP("O3",$R$63:$T$91,3,FALSE)+VLOOKUP("CP",$R$63:$T$91,3,FALSE),0)+IF(AND($N47&lt;&gt;"",$N47&lt;&gt;"--",$N47&lt;&gt;"O3/CP",$N$14=F$18),IF(LEFT($N47,1)="P",VLOOKUP(CONCATENATE(LEFT($N47,2),"H"),$R$63:$T$91,3,FALSE),VLOOKUP($N47,$R$63:$T$91,3,FALSE)))+IF(AND($N47&lt;&gt;"",$N47&lt;&gt;"O3/CP",$N$15=F$18,MID($N47,4,1)="2",$N$15&lt;&gt;$N$14),VLOOKUP(CONCATENATE(LEFT($N47,2),"L"),$R$63:$T$91,3,FALSE),0)+IF(AND($N47="O3/CP",$N$14=F$18),VLOOKUP("O3",$R$63:$T$91,3,FALSE)+VLOOKUP("CP",$R$63:$T$91,3,FALSE),0)+IF(AND($O47&lt;&gt;"",$O47&lt;&gt;"--",$O47&lt;&gt;"O3/CP",$O$14=F$18),IF(LEFT($O47,1)="P",VLOOKUP(CONCATENATE(LEFT($O47,2),"H"),$R$63:$T$91,3,FALSE),VLOOKUP($O47,$R$63:$T$91,3,FALSE)))+IF(AND($O47&lt;&gt;"",$O47&lt;&gt;"O3/CP",$O$15=F$18,MID($O47,4,1)="2",$O$15&lt;&gt;$O$14),VLOOKUP(CONCATENATE(LEFT($O47,2),"L"),$R$63:$T$91,3,FALSE),0)+IF(AND($O47="O3/CP",$O$14=F$18),VLOOKUP("O3",$R$63:$T$91,3,FALSE)+VLOOKUP("CP",$R$63:$T$91,3,FALSE),0)+IF(AND($P47&lt;&gt;"",$P47&lt;&gt;"--",$P47&lt;&gt;"O3/CP",$P$14=F$18),IF(LEFT($P47,1)="P",VLOOKUP(CONCATENATE(LEFT($P47,2),"H"),$R$63:$T$91,3,FALSE),VLOOKUP($P47,$R$63:$T$91,3,FALSE)))+IF(AND($P47&lt;&gt;"",$P47&lt;&gt;"O3/CP",$P$15=F$18,MID($P47,4,1)="2",$P$15&lt;&gt;$P$14),VLOOKUP(CONCATENATE(LEFT($P47,2),"L"),$R$63:$T$91,3,FALSE),0)+IF(AND($P47="O3/CP",$P$14=F$18),VLOOKUP("O3",$R$63:$T$91,3,FALSE)+VLOOKUP("CP",$R$63:$T$91,3,FALSE),0)+IF(AND($Q47&lt;&gt;"",$Q47&lt;&gt;"--",$Q47&lt;&gt;"O3/CP",$Q$14=F$18),IF(LEFT($Q47,1)="P",VLOOKUP(CONCATENATE(LEFT($Q47,2),"H"),$R$63:$T$91,3,FALSE),VLOOKUP($Q47,$R$63:$T$91,3,FALSE)))+IF(AND($Q47&lt;&gt;"",$Q47&lt;&gt;"O3/CP",$Q$15=F$18,MID($Q47,4,1)="2",$Q$15&lt;&gt;$Q$14),VLOOKUP(CONCATENATE(LEFT($Q47,2),"L"),$R$63:$T$91,3,FALSE),0)+IF(AND($Q47="O3/CP",$Q$14=F$18),VLOOKUP("O3",$R$63:$T$91,3,FALSE)+VLOOKUP("CP",$R$63:$T$91,3,FALSE),0)+IF(AND($R47&lt;&gt;"",$R47&lt;&gt;"--",$R47&lt;&gt;"O3/CP",$R$14=F$18),IF(LEFT($R47,1)="P",VLOOKUP(CONCATENATE(LEFT($R47,2),"H"),$R$63:$T$91,3,FALSE),VLOOKUP($R47,$R$63:$T$91,3,FALSE)))+IF(AND($R47&lt;&gt;"",$R47&lt;&gt;"O3/CP",$R$15=F$18,MID($R47,4,1)="2",$R$15&lt;&gt;$R$14),VLOOKUP(CONCATENATE(LEFT($R47,2),"L"),$R$63:$T$91,3,FALSE),0)+IF(AND($R47="O3/CP",$R$14=F$18),VLOOKUP("O3",$R$63:$T$91,3,FALSE)+VLOOKUP("CP",$R$63:$T$91,3,FALSE),0)+IF(AND($S47&lt;&gt;"",$S47&lt;&gt;"--",$S47&lt;&gt;"O3/CP",$S$14=F$18),IF(LEFT($S47,1)="P",VLOOKUP(CONCATENATE(LEFT($S47,2),"H"),$R$63:$T$91,3,FALSE),VLOOKUP($S47,$R$63:$T$91,3,FALSE)))+IF(AND($S47&lt;&gt;"",$S47&lt;&gt;"O3/CP",$S$15=F$18,MID($S47,4,1)="2",$S$15&lt;&gt;$S$14),VLOOKUP(CONCATENATE(LEFT($S47,2),"L"),$R$63:$T$91,3,FALSE),0)+IF(AND($S47="O3/CP",$S$14=F$18),VLOOKUP("O3",$R$63:$T$91,3,FALSE)+VLOOKUP("CP",$R$63:$T$91,3,FALSE),0)+IF(AND($T47&lt;&gt;"",$T47&lt;&gt;"--",$T47&lt;&gt;"O3/CP",$T$14=F$18),IF(LEFT($T47,1)="P",VLOOKUP(CONCATENATE(LEFT($T47,2),"H"),$R$63:$T$91,3,FALSE),VLOOKUP($T47,$R$63:$T$91,3,FALSE)))+IF(AND($T47&lt;&gt;"",$T47&lt;&gt;"O3/CP",$T$15=F$18,MID($T47,4,1)="2",$T$15&lt;&gt;$T$14),VLOOKUP(CONCATENATE(LEFT($T47,2),"L"),$R$63:$T$91,3,FALSE),0)+IF(AND($T47="O3/CP",$T$14=F$18),VLOOKUP("O3",$R$63:$T$91,3,FALSE)+VLOOKUP("CP",$R$63:$T$91,3,FALSE),0)+IF(AND($U47&lt;&gt;"",$U47&lt;&gt;"--",$U47&lt;&gt;"O3/CP",$U$14=F$18),IF(LEFT($U47,1)="P",VLOOKUP(CONCATENATE(LEFT($U47,2),"H"),$R$63:$T$91,3,FALSE),VLOOKUP($U47,$R$63:$T$91,3,FALSE)))+IF(AND($U47&lt;&gt;"",$U47&lt;&gt;"O3/CP",$U$15=F$18,MID($U47,4,1)="2",$U$15&lt;&gt;$U$14),VLOOKUP(CONCATENATE(LEFT($U47,2),"L"),$R$63:$T$91,3,FALSE),0)+IF(AND($U47="O3/CP",$T$14=F$18),VLOOKUP("O3",$R$63:$T$91,3,FALSE)+VLOOKUP("CP",$R$63:$T$91,3,FALSE),0)+IF(AND($V47&lt;&gt;"",$V47&lt;&gt;"--",$V47&lt;&gt;"O3/CP",$V$14=F$18),IF(LEFT($V47,1)="P",VLOOKUP(CONCATENATE(LEFT($V47,2),"H"),$R$63:$T$91,3,FALSE),VLOOKUP($V47,$R$63:$T$91,3,FALSE)))+IF(AND($V47&lt;&gt;"",$V47&lt;&gt;"O3/CP",$V$15=F$18,MID($V47,4,1)="2",$V$15&lt;&gt;$V$14),VLOOKUP(CONCATENATE(LEFT($V47,2),"L"),$R$63:$T$91,3,FALSE),0)+IF(AND($V47="O3/CP",$V$14=F$18),VLOOKUP("O3",$R$63:$T$91,3,FALSE)+VLOOKUP("CP",$R$63:$T$91,3,FALSE),0)+IF(AND($W47&lt;&gt;"",$W47&lt;&gt;"--",$W47&lt;&gt;"O3/CP",$W$14=F$18),IF(LEFT($W47,1)="P",VLOOKUP(CONCATENATE(LEFT($W47,2),"H"),$R$63:$T$91,3,FALSE),VLOOKUP($W47,$R$63:$T$91,3,FALSE)))+IF(AND($W47&lt;&gt;"",$W47&lt;&gt;"O3/CP",$W$15=F$18,MID($W47,4,1)="2",$W$15&lt;&gt;$W$14),VLOOKUP(CONCATENATE(LEFT($W47,2),"L"),$R$63:$T$91,3,FALSE),0)+IF(AND($W47="O3/CP",$W$14=F$18),VLOOKUP("O3",$R$63:$T$91,3,FALSE)+VLOOKUP("CP",$R$63:$T$91,3,FALSE),0)+IF(AND($X47&lt;&gt;"",$X47&lt;&gt;"--",$X47&lt;&gt;"O3/CP",$X$14=F$18),IF(LEFT($X47,1)="P",VLOOKUP(CONCATENATE(LEFT($X47,2),"H"),$R$63:$T$91,3,FALSE),VLOOKUP($X47,$R$63:$T$91,3,FALSE)))+IF(AND($X47&lt;&gt;"",$X47&lt;&gt;"O3/CP",$X$15=F$18,MID($X47,4,1)="2",$X$15&lt;&gt;$X$14),VLOOKUP(CONCATENATE(LEFT($X47,2),"L"),$R$63:$T$91,3,FALSE),0)+IF(AND($X47="O3/CP",$X$14=F$18),VLOOKUP("O3",$R$63:$T$91,3,FALSE)+VLOOKUP("CP",$R$63:$T$91,3,FALSE),0)+IF(AND($Y47&lt;&gt;"",$Y47&lt;&gt;"--",$Y47&lt;&gt;"O3/CP",$Y$14=F$18),IF(LEFT($Y47,1)="P",VLOOKUP(CONCATENATE(LEFT($Y47,2),"H"),$R$63:$T$91,3,FALSE),VLOOKUP($Y47,$R$63:$T$91,3,FALSE)))+IF(AND($Y47&lt;&gt;"",$Y47&lt;&gt;"O3/CP",$Y$15=F$18,MID($Y47,4,1)="2",$Y$15&lt;&gt;$Y$14),VLOOKUP(CONCATENATE(LEFT($Y47,2),"L"),$R$63:$T$91,3,FALSE),0)+IF(AND($Y47="O3/CP",$Y$14=F$18),VLOOKUP("O3",$R$63:$T$91,3,FALSE)+VLOOKUP("CP",$R$63:$T$91,3,FALSE),0)+IF(AND($K$6="CE",'[3]Supply Attribution'!$G$20=F$18),LEFT($S$90,2),0)+IF(AND($X$86&lt;&gt;"Not Set",$X$87=F$18),$X$86,0)</f>
        <v>0</v>
      </c>
      <c r="G47" s="271">
        <f>IF(AND($K$6="CE",$T$59="1 Phase"),SUM(A47:F47)-IF(AND($K$14&lt;&gt;$K$15,RIGHT($K47,3)="2SP"),VLOOKUP(CONCATENATE(LEFT($K47,2),"L"),$R$63:$T$90,3,FALSE),0)-IF(AND($L$14&lt;&gt;$L$15,RIGHT($L47,3)="2SP"),VLOOKUP(CONCATENATE(LEFT($L47,2),"L"),$R$63:$T$90,3,FALSE),0)-IF(AND($M$14&lt;&gt;$M$15,RIGHT($M47,3)="2SP"),VLOOKUP(CONCATENATE(LEFT($M47,2),"L"),$R$63:$T$90,3,FALSE),0)-IF(AND($N$14&lt;&gt;$N$15,RIGHT($N47,3)="2SP"),VLOOKUP(CONCATENATE(LEFT($N47,2),"L"),$R$63:$T$90,3,FALSE),0)-IF(AND($O$14&lt;&gt;$O$15,RIGHT($O47,3)="2SP"),VLOOKUP(CONCATENATE(LEFT($O47,2),"L"),$R$63:$T$90,3,FALSE),0)-IF(AND($P$14&lt;&gt;$P$15,RIGHT($P47,3)="2SP"),VLOOKUP(CONCATENATE(LEFT($P47,2),"L"),$R$63:$T$90,3,FALSE),0)-IF(AND($Q$14&lt;&gt;$Q$15,RIGHT($Q47,3)="2SP"),VLOOKUP(CONCATENATE(LEFT($Q47,2),"L"),$R$63:$T$90,3,FALSE),0)-IF(AND($R$14&lt;&gt;$R$15,RIGHT($T47,3)="2SP"),VLOOKUP(CONCATENATE(LEFT($R47,2),"L"),$R$63:$T$90,3,FALSE),0)-IF(AND($S$14&lt;&gt;$S$15,RIGHT($T47,3)="2SP"),VLOOKUP(CONCATENATE(LEFT($S47,2),"L"),$R$63:$T$90,3,FALSE),0)-IF(AND($T$14&lt;&gt;$T$15,RIGHT($T47,3)="2SP"),VLOOKUP(CONCATENATE(LEFT($T47,2),"L"),$R$63:$T$90,3,FALSE),0)-IF(AND($U$14&lt;&gt;$U$15,RIGHT($U47,3)="2SP"),VLOOKUP(CONCATENATE(LEFT($U47,2),"L"),$R$63:$T$90,3,FALSE),0)-IF(AND($V$14&lt;&gt;$V$15,RIGHT($V47,3)="2SP"),VLOOKUP(CONCATENATE(LEFT($V47,2),"L"),$R$63:$T$90,3,FALSE),0)-IF(AND($W$14&lt;&gt;$W$15,RIGHT($W47,3)="2SP"),VLOOKUP(CONCATENATE(LEFT($W47,2),"L"),$R$63:$T$90,3,FALSE),0)-IF(AND($X$14&lt;&gt;$X$15,RIGHT($X47,3)="2SP"),VLOOKUP(CONCATENATE(LEFT($X47,2),"L"),$R$63:$T$90,3,FALSE),0)-IF(AND($Y$14&lt;&gt;$Y$15,RIGHT($Y47,3)="2SP"),VLOOKUP(CONCATENATE(LEFT($Y47,2),"L"),$R$63:$T$90,3,FALSE),0),IF(VLOOKUP(CONCATENATE($A$18,"Line"),'[3]Supply Attribution'!$F$31:$G$37,2,FALSE)=G$18,$A47,0)+IF(VLOOKUP(CONCATENATE($B$18,"Line"),'[3]Supply Attribution'!$F$31:$G$37,2,FALSE)=G$18,$B47,0)+IF(VLOOKUP(CONCATENATE($C$18,"Line"),'[3]Supply Attribution'!$F$31:$G$37,2,FALSE)=G$18,$C47,0)+IF(VLOOKUP(CONCATENATE($D$18,"Line"),'[3]Supply Attribution'!$F$31:$G$37,2,FALSE)=G$18,$D47,0)+IF(VLOOKUP(CONCATENATE($E$18,"Line"),'[3]Supply Attribution'!$F$31:$G$37,2,FALSE)=G$18,$E47,0)+IF(VLOOKUP(CONCATENATE($F$18,"Line"),'[3]Supply Attribution'!$F$31:$G$37,2,FALSE)=G$18,$F47,0)+IF($K$6="UL",LEFT($S$90,2),0)-IF(AND($K$16=G$18,$K$14&lt;&gt;$K$15,$K$16=$K$17,RIGHT($K47,3)="2SP"),VLOOKUP(CONCATENATE(LEFT($K47,2),"L"),$R$63:$T$90,3,FALSE),0)-IF(AND($L$16=G$18,$L$14&lt;&gt;$L$15,$L$16=$L$17,RIGHT($L47,3)="2SP"),VLOOKUP(CONCATENATE(LEFT($L47,2),"L"),$R$63:$T$90,3,FALSE),0)-IF(AND($M$16=G$18,$M$14&lt;&gt;$M$15,$M$16=$M$17,RIGHT($M47,3)="2SP"),VLOOKUP(CONCATENATE(LEFT($M47,2),"L"),$R$63:$T$90,3,FALSE),0)-IF(AND($N$16=G$18,$N$14&lt;&gt;$N$15,$N$16=$N$17,RIGHT($N47,3)="2SP"),VLOOKUP(CONCATENATE(LEFT($N47,2),"L"),$R$63:$T$90,3,FALSE),0)-IF(AND($O$16=G$18,$O$14&lt;&gt;$O$15,$O$16=$O$17,RIGHT($O47,3)="2SP"),VLOOKUP(CONCATENATE(LEFT($O47,2),"L"),$R$63:$T$90,3,FALSE),0)-IF(AND($P$16=G$18,$P$14&lt;&gt;$P$15,$P$16=$P$17,RIGHT($P47,3)="2SP"),VLOOKUP(CONCATENATE(LEFT($P47,2),"L"),$R$63:$T$90,3,FALSE),0)-IF(AND($Q$16=G$18,$Q$14&lt;&gt;$Q$15,$Q$16=$Q$17,RIGHT($Q47,3)="2SP"),VLOOKUP(CONCATENATE(LEFT($Q47,2),"L"),$R$63:$T$90,3,FALSE),0)-IF(AND($R$16=G$18,$R$14&lt;&gt;$R$15,$R$16=$R$17,RIGHT($R47,3)="2SP"),VLOOKUP(CONCATENATE(LEFT($R47,2),"L"),$R$63:$T$90,3,FALSE),0)-IF(AND($S$16=G$18,$S$14&lt;&gt;$S$15,$S$16=$S$17,RIGHT($S47,3)="2SP"),VLOOKUP(CONCATENATE(LEFT($S47,2),"L"),$R$63:$T$90,3,FALSE),0)-IF(AND($T$16=G$18,$T$14&lt;&gt;$T$15,$T$16=$T$17,RIGHT($T47,3)="2SP"),VLOOKUP(CONCATENATE(LEFT($T47,2),"L"),$R$63:$T$90,3,FALSE),0)-IF(AND($U$16=G$18,$U$14&lt;&gt;$U$15,$U$16=$U$17,RIGHT($U47,3)="2SP"),VLOOKUP(CONCATENATE(LEFT($U47,2),"L"),$R$63:$T$90,3,FALSE),0)-IF(AND($V$16=G$18,$V$14&lt;&gt;$V$15,$V$16=$V$17,RIGHT($V47,3)="2SP"),VLOOKUP(CONCATENATE(LEFT($V47,2),"L"),$R$63:$T$90,3,FALSE),0)-IF(AND($W$16=G$18,$W$14&lt;&gt;$W$15,$W$16=$W$17,RIGHT($W47,3)="2SP"),VLOOKUP(CONCATENATE(LEFT($W47,2),"L"),$R$63:$T$90,3,FALSE),0)-IF(AND($X$16=G$18,$X$14&lt;&gt;$X$15,$X$16=$X$17,RIGHT($X47,3)="2SP"),VLOOKUP(CONCATENATE(LEFT($X47,2),"L"),$R$63:$T$90,3,FALSE),0)-IF(AND($Y$16=G$18,$Y$14&lt;&gt;$Y$15,$Y$16=$Y$17,RIGHT($Y47,3)="2SP"),VLOOKUP(CONCATENATE(LEFT($Y47,2),"L"),$R$63:$T$90,3,FALSE),0))</f>
        <v>17</v>
      </c>
      <c r="H47" s="271" t="str">
        <f>IF(H$18&lt;&gt;"",IF(VLOOKUP(CONCATENATE($A$18,"Line"),'Supply Attribution'!$F$31:$G$37,2,FALSE)=H$18,$A47,0)+IF(VLOOKUP(CONCATENATE($B$18,"Line"),'Supply Attribution'!$F$31:$G$37,2,FALSE)=H$18,$B47,0)+IF(VLOOKUP(CONCATENATE($C$18,"Line"),'Supply Attribution'!$F$31:$G$37,2,FALSE)=H$18,$C47,0)+IF(VLOOKUP(CONCATENATE($D$18,"Line"),'Supply Attribution'!$F$31:$G$37,2,FALSE)=H$18,$D47,0)+IF(VLOOKUP(CONCATENATE($E$18,"Line"),'Supply Attribution'!$F$31:$G$37,2,FALSE)=H$18,$E47,0)+IF(VLOOKUP(CONCATENATE($F$18,"Line"),'Supply Attribution'!$F$31:$G$37,2,FALSE)=H$18,$F47,0)+IF($K$6="UL",LEFT($S$90,2),0)-IF(AND($K$16=H$18,$K$14&lt;&gt;$K$15,$K$16=$K$17,RIGHT($K47,3)="2SP"),VLOOKUP(CONCATENATE(LEFT($K47,2),"L"),$R$63:$T$90,3,FALSE),0)-IF(AND($L$16=H$18,$L$14&lt;&gt;$L$15,$L$16=$L$17,RIGHT($L47,3)="2SP"),VLOOKUP(CONCATENATE(LEFT($L47,2),"L"),$R$63:$T$90,3,FALSE),0)-IF(AND($M$16=H$18,$M$14&lt;&gt;$M$15,$M$16=$M$17,RIGHT($M47,3)="2SP"),VLOOKUP(CONCATENATE(LEFT($M47,2),"L"),$R$63:$T$90,3,FALSE),0)-IF(AND($N$16=H$18,$N$14&lt;&gt;$N$15,$N$16=$N$17,RIGHT($N47,3)="2SP"),VLOOKUP(CONCATENATE(LEFT($N47,2),"L"),$R$63:$T$90,3,FALSE),0)-IF(AND($O$16=H$18,$O$14&lt;&gt;$O$15,$O$16=$O$17,RIGHT($O47,3)="2SP"),VLOOKUP(CONCATENATE(LEFT($O47,2),"L"),$R$63:$T$90,3,FALSE),0)-IF(AND($P$16=H$18,$P$14&lt;&gt;$P$15,$P$16=$P$17,RIGHT($P47,3)="2SP"),VLOOKUP(CONCATENATE(LEFT($P47,2),"L"),$R$63:$T$90,3,FALSE),0)-IF(AND($Q$16=H$18,$Q$14&lt;&gt;$Q$15,$Q$16=$Q$17,RIGHT($Q47,3)="2SP"),VLOOKUP(CONCATENATE(LEFT($Q47,2),"L"),$R$63:$T$90,3,FALSE),0)-IF(AND($T$16=H$18,$T$14&lt;&gt;$T$15,$T$16=$T$17,RIGHT($T47,3)="2SP"),VLOOKUP(CONCATENATE(LEFT($T47,2),"L"),$R$63:$T$90,3,FALSE),0)-IF(AND($U$16=H$18,$U$14&lt;&gt;$U$15,$U$16=$U$17,RIGHT($U47,3)="2SP"),VLOOKUP(CONCATENATE(LEFT($U47,2),"L"),$R$63:$T$90,3,FALSE),0)-IF(AND($V$16=H$18,$V$14&lt;&gt;$V$15,$V$16=$V$17,RIGHT($V47,3)="2SP"),VLOOKUP(CONCATENATE(LEFT($V47,2),"L"),$R$63:$T$90,3,FALSE),0)-IF(AND($W$16=H$18,$W$14&lt;&gt;$W$15,$W$16=$W$17,RIGHT($W47,3)="2SP"),VLOOKUP(CONCATENATE(LEFT($W47,2),"L"),$R$63:$T$90,3,FALSE),0)-IF(AND($X$16=H$18,$X$14&lt;&gt;$X$15,$X$16=$X$17,RIGHT($X47,3)="2SP"),VLOOKUP(CONCATENATE(LEFT($X47,2),"L"),$R$63:$T$90,3,FALSE),0)-IF(AND($Y$16=H$18,$Y$14&lt;&gt;$Y$15,$Y$16=$Y$17,RIGHT($Y47,3)="2SP"),VLOOKUP(CONCATENATE(LEFT($Y47,2),"L"),$R$63:$T$90,3,FALSE),0)+IF(AND($K$6="CE",$T$59="2 Phases",H$18&lt;&gt;""),IF(VLOOKUP(CONCATENATE($A$18,"Line"),'Supply Attribution'!$F$31:$G$37,2,FALSE)="Line3",$A47,0)+IF(VLOOKUP(CONCATENATE($B$18,"Line"),'Supply Attribution'!$F$31:$G$37,2,FALSE)="Line3",$B47,0)+IF(VLOOKUP(CONCATENATE($C$18,"Line"),'Supply Attribution'!$F$31:$G$37,2,FALSE)="Line3",$C47,0)+IF(VLOOKUP(CONCATENATE($D$18,"Line"),'Supply Attribution'!$F$31:$G$37,2,FALSE)="Line3",$D47,0)+IF(VLOOKUP(CONCATENATE($E$18,"Line"),'Supply Attribution'!$F$31:$G$37,2,FALSE)="Line3",$E47,0)+IF(VLOOKUP(CONCATENATE($F$18,"Line"),'Supply Attribution'!$F$31:$G$37,2,FALSE)="Line3",$F47,0)-IF(AND($K$16=I$18,$K$14&lt;&gt;$K$15,$K$16=$K$17,RIGHT($K47,3)="2SP"),VLOOKUP(CONCATENATE(LEFT($K47,2),"L"),$R$63:$T$90,3,FALSE),0)-IF(AND($L$16=I$18,$L$14&lt;&gt;$L$15,$L$16=$L$17,RIGHT($L47,3)="2SP"),VLOOKUP(CONCATENATE(LEFT($L47,2),"L"),$R$63:$T$90,3,FALSE),0)-IF(AND($M$16=I$18,$M$14&lt;&gt;$M$15,$M$16=$M$17,RIGHT($M47,3)="2SP"),VLOOKUP(CONCATENATE(LEFT($M47,2),"L"),$R$63:$T$90,3,FALSE),0)-IF(AND($N$16=I$18,$N$14&lt;&gt;$N$15,$N$16=$N$17,RIGHT($N47,3)="2SP"),VLOOKUP(CONCATENATE(LEFT($N47,2),"L"),$R$63:$T$90,3,FALSE),0)-IF(AND($O$16=I$18,$O$14&lt;&gt;$O$15,$O$16=$O$17,RIGHT($O47,3)="2SP"),VLOOKUP(CONCATENATE(LEFT($O47,2),"L"),$R$63:$T$90,3,FALSE),0)-IF(AND($P$16=I$18,$P$14&lt;&gt;$P$15,$P$16=$P$17,RIGHT($P47,3)="2SP"),VLOOKUP(CONCATENATE(LEFT($P47,2),"L"),$R$63:$T$90,3,FALSE),0)-IF(AND($Q$16=I$18,$Q$14&lt;&gt;$Q$15,$Q$16=$Q$17,RIGHT($Q47,3)="2SP"),VLOOKUP(CONCATENATE(LEFT($Q47,2),"L"),$R$63:$T$90,3,FALSE),0)-IF(AND($T$16=I$18,$T$14&lt;&gt;$T$15,$T$16=$T$17,RIGHT($T47,3)="2SP"),VLOOKUP(CONCATENATE(LEFT($T47,2),"L"),$R$63:$T$90,3,FALSE),0)-IF(AND($U$16=I$18,$U$14&lt;&gt;$U$15,$U$16=$U$17,RIGHT($U47,3)="2SP"),VLOOKUP(CONCATENATE(LEFT($U47,2),"L"),$R$63:$T$90,3,FALSE),0)-IF(AND($V$16=I$18,$V$14&lt;&gt;$V$15,$V$16=$V$17,RIGHT($V47,3)="2SP"),VLOOKUP(CONCATENATE(LEFT($V47,2),"L"),$R$63:$T$90,3,FALSE),0)-IF(AND($W$16=I$18,$W$14&lt;&gt;$W$15,$W$16=$W$17,RIGHT($W47,3)="2SP"),VLOOKUP(CONCATENATE(LEFT($W47,2),"L"),$R$63:$T$90,3,FALSE),0)-IF(AND($X$16=I$18,$X$14&lt;&gt;$X$15,$X$16=$X$17,RIGHT($X47,3)="2SP"),VLOOKUP(CONCATENATE(LEFT($X47,2),"L"),$R$63:$T$90,3,FALSE),0)-IF(AND($Y$16=I$18,$Y$14&lt;&gt;$Y$15,$Y$16=$Y$17,RIGHT($Y47,3)="2SP"),VLOOKUP(CONCATENATE(LEFT($Y47,2),"L"),$R$63:$T$90,3,FALSE),0),0),"")</f>
        <v/>
      </c>
      <c r="I47" s="271" t="str">
        <f>IF(I$18&lt;&gt;"",IF(VLOOKUP(CONCATENATE($A$18,"Line"),'Supply Attribution'!$F$31:$G$37,2,FALSE)=I$18,$A47,0)+IF(VLOOKUP(CONCATENATE($B$18,"Line"),'Supply Attribution'!$F$31:$G$37,2,FALSE)=I$18,$B47,0)+IF(VLOOKUP(CONCATENATE($C$18,"Line"),'Supply Attribution'!$F$31:$G$37,2,FALSE)=I$18,$C47,0)+IF(VLOOKUP(CONCATENATE($D$18,"Line"),'Supply Attribution'!$F$31:$G$37,2,FALSE)=I$18,$D47,0)+IF(VLOOKUP(CONCATENATE($E$18,"Line"),'Supply Attribution'!$F$31:$G$37,2,FALSE)=I$18,$E47,0)+IF(VLOOKUP(CONCATENATE($F$18,"Line"),'Supply Attribution'!$F$31:$G$37,2,FALSE)=I$18,$F47,0)+IF($K$6="UL",LEFT($S$90,2),0)-IF(AND($K$16=I$18,$K$14&lt;&gt;$K$15,$K$16=$K$17,RIGHT($K47,3)="2SP"),VLOOKUP(CONCATENATE(LEFT($K47,2),"L"),$R$63:$T$90,3,FALSE),0)-IF(AND($L$16=I$18,$L$14&lt;&gt;$L$15,$L$16=$L$17,RIGHT($L47,3)="2SP"),VLOOKUP(CONCATENATE(LEFT($L47,2),"L"),$R$63:$T$90,3,FALSE),0)-IF(AND($M$16=I$18,$M$14&lt;&gt;$M$15,$M$16=$M$17,RIGHT($M47,3)="2SP"),VLOOKUP(CONCATENATE(LEFT($M47,2),"L"),$R$63:$T$90,3,FALSE),0)-IF(AND($N$16=I$18,$N$14&lt;&gt;$N$15,$N$16=$N$17,RIGHT($N47,3)="2SP"),VLOOKUP(CONCATENATE(LEFT($N47,2),"L"),$R$63:$T$90,3,FALSE),0)-IF(AND($O$16=I$18,$O$14&lt;&gt;$O$15,$O$16=$O$17,RIGHT($O47,3)="2SP"),VLOOKUP(CONCATENATE(LEFT($O47,2),"L"),$R$63:$T$90,3,FALSE),0)-IF(AND($P$16=I$18,$P$14&lt;&gt;$P$15,$P$16=$P$17,RIGHT($P47,3)="2SP"),VLOOKUP(CONCATENATE(LEFT($P47,2),"L"),$R$63:$T$90,3,FALSE),0)-IF(AND($Q$16=I$18,$Q$14&lt;&gt;$Q$15,$Q$16=$Q$17,RIGHT($Q47,3)="2SP"),VLOOKUP(CONCATENATE(LEFT($Q47,2),"L"),$R$63:$T$90,3,FALSE),0)-IF(AND($T$16=I$18,$T$14&lt;&gt;$T$15,$T$16=$T$17,RIGHT($T47,3)="2SP"),VLOOKUP(CONCATENATE(LEFT($T47,2),"L"),$R$63:$T$90,3,FALSE),0)-IF(AND($U$16=I$18,$U$14&lt;&gt;$U$15,$U$16=$U$17,RIGHT($U47,3)="2SP"),VLOOKUP(CONCATENATE(LEFT($U47,2),"L"),$R$63:$T$90,3,FALSE),0)-IF(AND($V$16=I$18,$V$14&lt;&gt;$V$15,$V$16=$V$17,RIGHT($V47,3)="2SP"),VLOOKUP(CONCATENATE(LEFT($V47,2),"L"),$R$63:$T$90,3,FALSE),0)-IF(AND($W$16=I$18,$W$14&lt;&gt;$W$15,$W$16=$W$17,RIGHT($W47,3)="2SP"),VLOOKUP(CONCATENATE(LEFT($W47,2),"L"),$R$63:$T$90,3,FALSE),0)-IF(AND($X$16=I$18,$X$14&lt;&gt;$X$15,$X$16=$X$17,RIGHT($X47,3)="2SP"),VLOOKUP(CONCATENATE(LEFT($X47,2),"L"),$R$63:$T$90,3,FALSE),0)-IF(AND($Y$16=I$18,$Y$14&lt;&gt;$Y$15,$Y$16=$Y$17,RIGHT($Y47,3)="2SP"),VLOOKUP(CONCATENATE(LEFT($Y47,2),"L"),$R$63:$T$90,3,FALSE),0),"")</f>
        <v/>
      </c>
      <c r="J47" s="129"/>
      <c r="K47" s="130"/>
      <c r="L47" s="130"/>
      <c r="M47" s="130"/>
      <c r="N47" s="130"/>
      <c r="O47" s="130"/>
      <c r="P47" s="130"/>
      <c r="Q47" s="130"/>
      <c r="R47" s="130"/>
      <c r="S47" s="130"/>
      <c r="T47" s="130"/>
      <c r="U47" s="130"/>
      <c r="V47" s="130"/>
      <c r="W47" s="130"/>
      <c r="X47" s="130"/>
      <c r="Y47" s="130"/>
      <c r="Z47" s="131"/>
      <c r="AA47" s="131"/>
      <c r="AB47" s="132"/>
      <c r="AC47" s="132"/>
      <c r="AD47" s="132"/>
      <c r="AE47" s="133">
        <f t="shared" si="0"/>
        <v>0</v>
      </c>
      <c r="AF47" s="78"/>
    </row>
    <row r="48" spans="1:32">
      <c r="A48" s="270">
        <f>IF(AND($K48&lt;&gt;"",$K48&lt;&gt;"--",$K48&lt;&gt;"O3/CP",$K$14=A$18),IF(LEFT($K48,1)="P",VLOOKUP(CONCATENATE(LEFT($K48,2),"H"),$R$63:$T$91,3,FALSE),VLOOKUP($K48,$R$63:$T$91,3,FALSE)))+IF(AND($K48&lt;&gt;"",$K48&lt;&gt;"O3/CP",$K$15=A$18,MID($K48,4,1)="2",$K$15&lt;&gt;$K$14),VLOOKUP(CONCATENATE(LEFT($K48,2),"L"),$R$63:$T$91,3,FALSE),0)+IF(AND($K48="O3/CP",$K$14=A$18),VLOOKUP("O3",$R$63:$T$91,3,FALSE)+VLOOKUP("CP",$R$63:$T$91,3,FALSE),0)+IF(AND($L48&lt;&gt;"",$L48&lt;&gt;"--",$L48&lt;&gt;"O3/CP",$L$14=A$18),IF(LEFT($L48,1)="P",VLOOKUP(CONCATENATE(LEFT($L48,2),"H"),$R$63:$T$91,3,FALSE),VLOOKUP($L48,$R$63:$T$91,3,FALSE)))+IF(AND($L48&lt;&gt;"",$L48&lt;&gt;"O3/CP",$L$15=A$18,MID($L48,4,1)="2",$L$15&lt;&gt;$L$14),VLOOKUP(CONCATENATE(LEFT($L48,2),"L"),$R$63:$T$91,3,FALSE),0)+IF(AND($L48="O3/CP",$L$14=A$18),VLOOKUP("O3",$R$63:$T$91,3,FALSE)+VLOOKUP("CP",$R$63:$T$91,3,FALSE),0)+IF(AND($M48&lt;&gt;"",$M48&lt;&gt;"--",$M48&lt;&gt;"O3/CP",$M$14=A$18),IF(LEFT($M48,1)="P",VLOOKUP(CONCATENATE(LEFT($M48,2),"H"),$R$63:$T$91,3,FALSE),VLOOKUP($M48,$R$63:$T$91,3,FALSE)))+IF(AND($M48&lt;&gt;"",$M48&lt;&gt;"O3/CP",$M$15=A$18,MID($M48,4,1)="2",$M$15&lt;&gt;$M$14),VLOOKUP(CONCATENATE(LEFT($M48,2),"L"),$R$63:$T$91,3,FALSE),0)+IF(AND($M48="O3/CP",$M$14=A$18),VLOOKUP("O3",$R$63:$T$91,3,FALSE)+VLOOKUP("CP",$R$63:$T$91,3,FALSE),0)+IF(AND($N48&lt;&gt;"",$N48&lt;&gt;"--",$N48&lt;&gt;"O3/CP",$N$14=A$18),IF(LEFT($N48,1)="P",VLOOKUP(CONCATENATE(LEFT($N48,2),"H"),$R$63:$T$91,3,FALSE),VLOOKUP($N48,$R$63:$T$91,3,FALSE)))+IF(AND($N48&lt;&gt;"",$N48&lt;&gt;"O3/CP",$N$15=A$18,MID($N48,4,1)="2",$N$15&lt;&gt;$N$14),VLOOKUP(CONCATENATE(LEFT($N48,2),"L"),$R$63:$T$91,3,FALSE),0)+IF(AND($N48="O3/CP",$N$14=A$18),VLOOKUP("O3",$R$63:$T$91,3,FALSE)+VLOOKUP("CP",$R$63:$T$91,3,FALSE),0)+IF(AND($O48&lt;&gt;"",$O48&lt;&gt;"--",$O48&lt;&gt;"O3/CP",$O$14=A$18),IF(LEFT($O48,1)="P",VLOOKUP(CONCATENATE(LEFT($O48,2),"H"),$R$63:$T$91,3,FALSE),VLOOKUP($O48,$R$63:$T$91,3,FALSE)))+IF(AND($O48&lt;&gt;"",$O48&lt;&gt;"O3/CP",$O$15=A$18,MID($O48,4,1)="2",$O$15&lt;&gt;$O$14),VLOOKUP(CONCATENATE(LEFT($O48,2),"L"),$R$63:$T$91,3,FALSE),0)+IF(AND($O48="O3/CP",$O$14=A$18),VLOOKUP("O3",$R$63:$T$91,3,FALSE)+VLOOKUP("CP",$R$63:$T$91,3,FALSE),0)+IF(AND($P48&lt;&gt;"",$P48&lt;&gt;"--",$P48&lt;&gt;"O3/CP",$P$14=A$18),IF(LEFT($P48,1)="P",VLOOKUP(CONCATENATE(LEFT($P48,2),"H"),$R$63:$T$91,3,FALSE),VLOOKUP($P48,$R$63:$T$91,3,FALSE)))+IF(AND($P48&lt;&gt;"",$P48&lt;&gt;"O3/CP",$P$15=A$18,MID($P48,4,1)="2",$P$15&lt;&gt;$P$14),VLOOKUP(CONCATENATE(LEFT($P48,2),"L"),$R$63:$T$91,3,FALSE),0)+IF(AND($P48="O3/CP",$P$14=A$18),VLOOKUP("O3",$R$63:$T$91,3,FALSE)+VLOOKUP("CP",$R$63:$T$91,3,FALSE),0)+IF(AND($Q48&lt;&gt;"",$Q48&lt;&gt;"--",$Q48&lt;&gt;"O3/CP",$Q$14=A$18),IF(LEFT($Q48,1)="P",VLOOKUP(CONCATENATE(LEFT($Q48,2),"H"),$R$63:$T$91,3,FALSE),VLOOKUP($Q48,$R$63:$T$91,3,FALSE)))+IF(AND($Q48&lt;&gt;"",$Q48&lt;&gt;"O3/CP",$Q$15=A$18,MID($Q48,4,1)="2",$Q$15&lt;&gt;$Q$14),VLOOKUP(CONCATENATE(LEFT($Q48,2),"L"),$R$63:$T$91,3,FALSE),0)+IF(AND($Q48="O3/CP",$Q$14=A$18),VLOOKUP("O3",$R$63:$T$91,3,FALSE)+VLOOKUP("CP",$R$63:$T$91,3,FALSE),0)+IF(AND($R48&lt;&gt;"",$R48&lt;&gt;"--",$R48&lt;&gt;"O3/CP",$R$14=A$18),IF(LEFT($R48,1)="P",VLOOKUP(CONCATENATE(LEFT($R48,2),"H"),$R$63:$T$91,3,FALSE),VLOOKUP($R48,$R$63:$T$91,3,FALSE)))+IF(AND($R48&lt;&gt;"",$R48&lt;&gt;"O3/CP",$R$15=A$18,MID($R48,4,1)="2",$R$15&lt;&gt;$R$14),VLOOKUP(CONCATENATE(LEFT($R48,2),"L"),$R$63:$T$91,3,FALSE),0)+IF(AND($R48="O3/CP",$R$14=A$18),VLOOKUP("O3",$R$63:$T$91,3,FALSE)+VLOOKUP("CP",$R$63:$T$91,3,FALSE),0)+IF(AND($S48&lt;&gt;"",$S48&lt;&gt;"--",$S48&lt;&gt;"O3/CP",$S$14=A$18),IF(LEFT($S48,1)="P",VLOOKUP(CONCATENATE(LEFT($S48,2),"H"),$R$63:$T$91,3,FALSE),VLOOKUP($S48,$R$63:$T$91,3,FALSE)))+IF(AND($S48&lt;&gt;"",$S48&lt;&gt;"O3/CP",$S$15=A$18,MID($S48,4,1)="2",$S$15&lt;&gt;$S$14),VLOOKUP(CONCATENATE(LEFT($S48,2),"L"),$R$63:$T$91,3,FALSE),0)+IF(AND($S48="O3/CP",$S$14=A$18),VLOOKUP("O3",$R$63:$T$91,3,FALSE)+VLOOKUP("CP",$R$63:$T$91,3,FALSE),0)+IF(AND($T48&lt;&gt;"",$T48&lt;&gt;"--",$T48&lt;&gt;"O3/CP",$T$14=A$18),IF(LEFT($T48,1)="P",VLOOKUP(CONCATENATE(LEFT($T48,2),"H"),$R$63:$T$91,3,FALSE),VLOOKUP($T48,$R$63:$T$91,3,FALSE)))+IF(AND($T48&lt;&gt;"",$T48&lt;&gt;"O3/CP",$T$15=A$18,MID($T48,4,1)="2",$T$15&lt;&gt;$T$14),VLOOKUP(CONCATENATE(LEFT($T48,2),"L"),$R$63:$T$91,3,FALSE),0)+IF(AND($T48="O3/CP",$T$14=A$18),VLOOKUP("O3",$R$63:$T$91,3,FALSE)+VLOOKUP("CP",$R$63:$T$91,3,FALSE),0)+IF(AND($U48&lt;&gt;"",$U48&lt;&gt;"--",$U48&lt;&gt;"O3/CP",$U$14=A$18),IF(LEFT($U48,1)="P",VLOOKUP(CONCATENATE(LEFT($U48,2),"H"),$R$63:$T$91,3,FALSE),VLOOKUP($U48,$R$63:$T$91,3,FALSE)))+IF(AND($U48&lt;&gt;"",$U48&lt;&gt;"O3/CP",$U$15=A$18,MID($U48,4,1)="2",$U$15&lt;&gt;$U$14),VLOOKUP(CONCATENATE(LEFT($U48,2),"L"),$R$63:$T$91,3,FALSE),0)+IF(AND($U48="O3/CP",$T$14=A$18),VLOOKUP("O3",$R$63:$T$91,3,FALSE)+VLOOKUP("CP",$R$63:$T$91,3,FALSE),0)+IF(AND($V48&lt;&gt;"",$V48&lt;&gt;"--",$V48&lt;&gt;"O3/CP",$V$14=A$18),IF(LEFT($V48,1)="P",VLOOKUP(CONCATENATE(LEFT($V48,2),"H"),$R$63:$T$91,3,FALSE),VLOOKUP($V48,$R$63:$T$91,3,FALSE)))+IF(AND($V48&lt;&gt;"",$V48&lt;&gt;"O3/CP",$V$15=A$18,MID($V48,4,1)="2",$V$15&lt;&gt;$V$14),VLOOKUP(CONCATENATE(LEFT($V48,2),"L"),$R$63:$T$91,3,FALSE),0)+IF(AND($V48="O3/CP",$V$14=A$18),VLOOKUP("O3",$R$63:$T$91,3,FALSE)+VLOOKUP("CP",$R$63:$T$91,3,FALSE),0)+IF(AND($W48&lt;&gt;"",$W48&lt;&gt;"--",$W48&lt;&gt;"O3/CP",$W$14=A$18),IF(LEFT($W48,1)="P",VLOOKUP(CONCATENATE(LEFT($W48,2),"H"),$R$63:$T$91,3,FALSE),VLOOKUP($W48,$R$63:$T$91,3,FALSE)))+IF(AND($W48&lt;&gt;"",$W48&lt;&gt;"O3/CP",$W$15=A$18,MID($W48,4,1)="2",$W$15&lt;&gt;$W$14),VLOOKUP(CONCATENATE(LEFT($W48,2),"L"),$R$63:$T$91,3,FALSE),0)+IF(AND($W48="O3/CP",$W$14=A$18),VLOOKUP("O3",$R$63:$T$91,3,FALSE)+VLOOKUP("CP",$R$63:$T$91,3,FALSE),0)+IF(AND($X48&lt;&gt;"",$X48&lt;&gt;"--",$X48&lt;&gt;"O3/CP",$X$14=A$18),IF(LEFT($X48,1)="P",VLOOKUP(CONCATENATE(LEFT($X48,2),"H"),$R$63:$T$91,3,FALSE),VLOOKUP($X48,$R$63:$T$91,3,FALSE)))+IF(AND($X48&lt;&gt;"",$X48&lt;&gt;"O3/CP",$X$15=A$18,MID($X48,4,1)="2",$X$15&lt;&gt;$X$14),VLOOKUP(CONCATENATE(LEFT($X48,2),"L"),$R$63:$T$91,3,FALSE),0)+IF(AND($X48="O3/CP",$X$14=A$18),VLOOKUP("O3",$R$63:$T$91,3,FALSE)+VLOOKUP("CP",$R$63:$T$91,3,FALSE),0)+IF(AND($Y48&lt;&gt;"",$Y48&lt;&gt;"--",$Y48&lt;&gt;"O3/CP",$Y$14=A$18),IF(LEFT($Y48,1)="P",VLOOKUP(CONCATENATE(LEFT($Y48,2),"H"),$R$63:$T$91,3,FALSE),VLOOKUP($Y48,$R$63:$T$91,3,FALSE)))+IF(AND($Y48&lt;&gt;"",$Y48&lt;&gt;"O3/CP",$Y$15=A$18,MID($Y48,4,1)="2",$Y$15&lt;&gt;$Y$14),VLOOKUP(CONCATENATE(LEFT($Y48,2),"L"),$R$63:$T$91,3,FALSE),0)+IF(AND($Y48="O3/CP",$Y$14=A$18),VLOOKUP("O3",$R$63:$T$91,3,FALSE)+VLOOKUP("CP",$R$63:$T$91,3,FALSE),0)+IF(AND($K$6="CE",'[3]Supply Attribution'!$G$20=A$18),LEFT($S$90,2),0)+IF(AND($X$86&lt;&gt;"Not Set",$X$87=A$18),$X$86,0)</f>
        <v>0</v>
      </c>
      <c r="B48" s="269">
        <f>IF(AND($K48&lt;&gt;"",$K48&lt;&gt;"--",$K48&lt;&gt;"O3/CP",$K$14=B$18),IF(LEFT($K48,1)="P",VLOOKUP(CONCATENATE(LEFT($K48,2),"H"),$R$63:$T$91,3,FALSE),VLOOKUP($K48,$R$63:$T$91,3,FALSE)))+IF(AND($K48&lt;&gt;"",$K48&lt;&gt;"O3/CP",$K$15=B$18,MID($K48,4,1)="2",$K$15&lt;&gt;$K$14),VLOOKUP(CONCATENATE(LEFT($K48,2),"L"),$R$63:$T$91,3,FALSE),0)+IF(AND($K48="O3/CP",$K$14=B$18),VLOOKUP("O3",$R$63:$T$91,3,FALSE)+VLOOKUP("CP",$R$63:$T$91,3,FALSE),0)+IF(AND($L48&lt;&gt;"",$L48&lt;&gt;"--",$L48&lt;&gt;"O3/CP",$L$14=B$18),IF(LEFT($L48,1)="P",VLOOKUP(CONCATENATE(LEFT($L48,2),"H"),$R$63:$T$91,3,FALSE),VLOOKUP($L48,$R$63:$T$91,3,FALSE)))+IF(AND($L48&lt;&gt;"",$L48&lt;&gt;"O3/CP",$L$15=B$18,MID($L48,4,1)="2",$L$15&lt;&gt;$L$14),VLOOKUP(CONCATENATE(LEFT($L48,2),"L"),$R$63:$T$91,3,FALSE),0)+IF(AND($L48="O3/CP",$L$14=B$18),VLOOKUP("O3",$R$63:$T$91,3,FALSE)+VLOOKUP("CP",$R$63:$T$91,3,FALSE),0)+IF(AND($M48&lt;&gt;"",$M48&lt;&gt;"--",$M48&lt;&gt;"O3/CP",$M$14=B$18),IF(LEFT($M48,1)="P",VLOOKUP(CONCATENATE(LEFT($M48,2),"H"),$R$63:$T$91,3,FALSE),VLOOKUP($M48,$R$63:$T$91,3,FALSE)))+IF(AND($M48&lt;&gt;"",$M48&lt;&gt;"O3/CP",$M$15=B$18,MID($M48,4,1)="2",$M$15&lt;&gt;$M$14),VLOOKUP(CONCATENATE(LEFT($M48,2),"L"),$R$63:$T$91,3,FALSE),0)+IF(AND($M48="O3/CP",$M$14=B$18),VLOOKUP("O3",$R$63:$T$91,3,FALSE)+VLOOKUP("CP",$R$63:$T$91,3,FALSE),0)+IF(AND($N48&lt;&gt;"",$N48&lt;&gt;"--",$N48&lt;&gt;"O3/CP",$N$14=B$18),IF(LEFT($N48,1)="P",VLOOKUP(CONCATENATE(LEFT($N48,2),"H"),$R$63:$T$91,3,FALSE),VLOOKUP($N48,$R$63:$T$91,3,FALSE)))+IF(AND($N48&lt;&gt;"",$N48&lt;&gt;"O3/CP",$N$15=B$18,MID($N48,4,1)="2",$N$15&lt;&gt;$N$14),VLOOKUP(CONCATENATE(LEFT($N48,2),"L"),$R$63:$T$91,3,FALSE),0)+IF(AND($N48="O3/CP",$N$14=B$18),VLOOKUP("O3",$R$63:$T$91,3,FALSE)+VLOOKUP("CP",$R$63:$T$91,3,FALSE),0)+IF(AND($O48&lt;&gt;"",$O48&lt;&gt;"--",$O48&lt;&gt;"O3/CP",$O$14=B$18),IF(LEFT($O48,1)="P",VLOOKUP(CONCATENATE(LEFT($O48,2),"H"),$R$63:$T$91,3,FALSE),VLOOKUP($O48,$R$63:$T$91,3,FALSE)))+IF(AND($O48&lt;&gt;"",$O48&lt;&gt;"O3/CP",$O$15=B$18,MID($O48,4,1)="2",$O$15&lt;&gt;$O$14),VLOOKUP(CONCATENATE(LEFT($O48,2),"L"),$R$63:$T$91,3,FALSE),0)+IF(AND($O48="O3/CP",$O$14=B$18),VLOOKUP("O3",$R$63:$T$91,3,FALSE)+VLOOKUP("CP",$R$63:$T$91,3,FALSE),0)+IF(AND($P48&lt;&gt;"",$P48&lt;&gt;"--",$P48&lt;&gt;"O3/CP",$P$14=B$18),IF(LEFT($P48,1)="P",VLOOKUP(CONCATENATE(LEFT($P48,2),"H"),$R$63:$T$91,3,FALSE),VLOOKUP($P48,$R$63:$T$91,3,FALSE)))+IF(AND($P48&lt;&gt;"",$P48&lt;&gt;"O3/CP",$P$15=B$18,MID($P48,4,1)="2",$P$15&lt;&gt;$P$14),VLOOKUP(CONCATENATE(LEFT($P48,2),"L"),$R$63:$T$91,3,FALSE),0)+IF(AND($P48="O3/CP",$P$14=B$18),VLOOKUP("O3",$R$63:$T$91,3,FALSE)+VLOOKUP("CP",$R$63:$T$91,3,FALSE),0)+IF(AND($Q48&lt;&gt;"",$Q48&lt;&gt;"--",$Q48&lt;&gt;"O3/CP",$Q$14=B$18),IF(LEFT($Q48,1)="P",VLOOKUP(CONCATENATE(LEFT($Q48,2),"H"),$R$63:$T$91,3,FALSE),VLOOKUP($Q48,$R$63:$T$91,3,FALSE)))+IF(AND($Q48&lt;&gt;"",$Q48&lt;&gt;"O3/CP",$Q$15=B$18,MID($Q48,4,1)="2",$Q$15&lt;&gt;$Q$14),VLOOKUP(CONCATENATE(LEFT($Q48,2),"L"),$R$63:$T$91,3,FALSE),0)+IF(AND($Q48="O3/CP",$Q$14=B$18),VLOOKUP("O3",$R$63:$T$91,3,FALSE)+VLOOKUP("CP",$R$63:$T$91,3,FALSE),0)+IF(AND($R48&lt;&gt;"",$R48&lt;&gt;"--",$R48&lt;&gt;"O3/CP",$R$14=B$18),IF(LEFT($R48,1)="P",VLOOKUP(CONCATENATE(LEFT($R48,2),"H"),$R$63:$T$91,3,FALSE),VLOOKUP($R48,$R$63:$T$91,3,FALSE)))+IF(AND($R48&lt;&gt;"",$R48&lt;&gt;"O3/CP",$R$15=B$18,MID($R48,4,1)="2",$R$15&lt;&gt;$R$14),VLOOKUP(CONCATENATE(LEFT($R48,2),"L"),$R$63:$T$91,3,FALSE),0)+IF(AND($R48="O3/CP",$R$14=B$18),VLOOKUP("O3",$R$63:$T$91,3,FALSE)+VLOOKUP("CP",$R$63:$T$91,3,FALSE),0)+IF(AND($S48&lt;&gt;"",$S48&lt;&gt;"--",$S48&lt;&gt;"O3/CP",$S$14=B$18),IF(LEFT($S48,1)="P",VLOOKUP(CONCATENATE(LEFT($S48,2),"H"),$R$63:$T$91,3,FALSE),VLOOKUP($S48,$R$63:$T$91,3,FALSE)))+IF(AND($S48&lt;&gt;"",$S48&lt;&gt;"O3/CP",$S$15=B$18,MID($S48,4,1)="2",$S$15&lt;&gt;$S$14),VLOOKUP(CONCATENATE(LEFT($S48,2),"L"),$R$63:$T$91,3,FALSE),0)+IF(AND($S48="O3/CP",$S$14=B$18),VLOOKUP("O3",$R$63:$T$91,3,FALSE)+VLOOKUP("CP",$R$63:$T$91,3,FALSE),0)+IF(AND($T48&lt;&gt;"",$T48&lt;&gt;"--",$T48&lt;&gt;"O3/CP",$T$14=B$18),IF(LEFT($T48,1)="P",VLOOKUP(CONCATENATE(LEFT($T48,2),"H"),$R$63:$T$91,3,FALSE),VLOOKUP($T48,$R$63:$T$91,3,FALSE)))+IF(AND($T48&lt;&gt;"",$T48&lt;&gt;"O3/CP",$T$15=B$18,MID($T48,4,1)="2",$T$15&lt;&gt;$T$14),VLOOKUP(CONCATENATE(LEFT($T48,2),"L"),$R$63:$T$91,3,FALSE),0)+IF(AND($T48="O3/CP",$T$14=B$18),VLOOKUP("O3",$R$63:$T$91,3,FALSE)+VLOOKUP("CP",$R$63:$T$91,3,FALSE),0)+IF(AND($U48&lt;&gt;"",$U48&lt;&gt;"--",$U48&lt;&gt;"O3/CP",$U$14=B$18),IF(LEFT($U48,1)="P",VLOOKUP(CONCATENATE(LEFT($U48,2),"H"),$R$63:$T$91,3,FALSE),VLOOKUP($U48,$R$63:$T$91,3,FALSE)))+IF(AND($U48&lt;&gt;"",$U48&lt;&gt;"O3/CP",$U$15=B$18,MID($U48,4,1)="2",$U$15&lt;&gt;$U$14),VLOOKUP(CONCATENATE(LEFT($U48,2),"L"),$R$63:$T$91,3,FALSE),0)+IF(AND($U48="O3/CP",$T$14=B$18),VLOOKUP("O3",$R$63:$T$91,3,FALSE)+VLOOKUP("CP",$R$63:$T$91,3,FALSE),0)+IF(AND($V48&lt;&gt;"",$V48&lt;&gt;"--",$V48&lt;&gt;"O3/CP",$V$14=B$18),IF(LEFT($V48,1)="P",VLOOKUP(CONCATENATE(LEFT($V48,2),"H"),$R$63:$T$91,3,FALSE),VLOOKUP($V48,$R$63:$T$91,3,FALSE)))+IF(AND($V48&lt;&gt;"",$V48&lt;&gt;"O3/CP",$V$15=B$18,MID($V48,4,1)="2",$V$15&lt;&gt;$V$14),VLOOKUP(CONCATENATE(LEFT($V48,2),"L"),$R$63:$T$91,3,FALSE),0)+IF(AND($V48="O3/CP",$V$14=B$18),VLOOKUP("O3",$R$63:$T$91,3,FALSE)+VLOOKUP("CP",$R$63:$T$91,3,FALSE),0)+IF(AND($W48&lt;&gt;"",$W48&lt;&gt;"--",$W48&lt;&gt;"O3/CP",$W$14=B$18),IF(LEFT($W48,1)="P",VLOOKUP(CONCATENATE(LEFT($W48,2),"H"),$R$63:$T$91,3,FALSE),VLOOKUP($W48,$R$63:$T$91,3,FALSE)))+IF(AND($W48&lt;&gt;"",$W48&lt;&gt;"O3/CP",$W$15=B$18,MID($W48,4,1)="2",$W$15&lt;&gt;$W$14),VLOOKUP(CONCATENATE(LEFT($W48,2),"L"),$R$63:$T$91,3,FALSE),0)+IF(AND($W48="O3/CP",$W$14=B$18),VLOOKUP("O3",$R$63:$T$91,3,FALSE)+VLOOKUP("CP",$R$63:$T$91,3,FALSE),0)+IF(AND($X48&lt;&gt;"",$X48&lt;&gt;"--",$X48&lt;&gt;"O3/CP",$X$14=B$18),IF(LEFT($X48,1)="P",VLOOKUP(CONCATENATE(LEFT($X48,2),"H"),$R$63:$T$91,3,FALSE),VLOOKUP($X48,$R$63:$T$91,3,FALSE)))+IF(AND($X48&lt;&gt;"",$X48&lt;&gt;"O3/CP",$X$15=B$18,MID($X48,4,1)="2",$X$15&lt;&gt;$X$14),VLOOKUP(CONCATENATE(LEFT($X48,2),"L"),$R$63:$T$91,3,FALSE),0)+IF(AND($X48="O3/CP",$X$14=B$18),VLOOKUP("O3",$R$63:$T$91,3,FALSE)+VLOOKUP("CP",$R$63:$T$91,3,FALSE),0)+IF(AND($Y48&lt;&gt;"",$Y48&lt;&gt;"--",$Y48&lt;&gt;"O3/CP",$Y$14=B$18),IF(LEFT($Y48,1)="P",VLOOKUP(CONCATENATE(LEFT($Y48,2),"H"),$R$63:$T$91,3,FALSE),VLOOKUP($Y48,$R$63:$T$91,3,FALSE)))+IF(AND($Y48&lt;&gt;"",$Y48&lt;&gt;"O3/CP",$Y$15=B$18,MID($Y48,4,1)="2",$Y$15&lt;&gt;$Y$14),VLOOKUP(CONCATENATE(LEFT($Y48,2),"L"),$R$63:$T$91,3,FALSE),0)+IF(AND($Y48="O3/CP",$Y$14=B$18),VLOOKUP("O3",$R$63:$T$91,3,FALSE)+VLOOKUP("CP",$R$63:$T$91,3,FALSE),0)+IF(AND($K$6="CE",'[3]Supply Attribution'!$G$20=B$18),LEFT($S$90,2),0)+IF(AND($X$86&lt;&gt;"Not Set",$X$87=B$18),$X$86,0)</f>
        <v>0</v>
      </c>
      <c r="C48" s="269">
        <f>IF(AND($K48&lt;&gt;"",$K48&lt;&gt;"--",$K48&lt;&gt;"O3/CP",$K$14=C$18),IF(LEFT($K48,1)="P",VLOOKUP(CONCATENATE(LEFT($K48,2),"H"),$R$63:$T$91,3,FALSE),VLOOKUP($K48,$R$63:$T$91,3,FALSE)))+IF(AND($K48&lt;&gt;"",$K48&lt;&gt;"O3/CP",$K$15=C$18,MID($K48,4,1)="2",$K$15&lt;&gt;$K$14),VLOOKUP(CONCATENATE(LEFT($K48,2),"L"),$R$63:$T$91,3,FALSE),0)+IF(AND($K48="O3/CP",$K$14=C$18),VLOOKUP("O3",$R$63:$T$91,3,FALSE)+VLOOKUP("CP",$R$63:$T$91,3,FALSE),0)+IF(AND($L48&lt;&gt;"",$L48&lt;&gt;"--",$L48&lt;&gt;"O3/CP",$L$14=C$18),IF(LEFT($L48,1)="P",VLOOKUP(CONCATENATE(LEFT($L48,2),"H"),$R$63:$T$91,3,FALSE),VLOOKUP($L48,$R$63:$T$91,3,FALSE)))+IF(AND($L48&lt;&gt;"",$L48&lt;&gt;"O3/CP",$L$15=C$18,MID($L48,4,1)="2",$L$15&lt;&gt;$L$14),VLOOKUP(CONCATENATE(LEFT($L48,2),"L"),$R$63:$T$91,3,FALSE),0)+IF(AND($L48="O3/CP",$L$14=C$18),VLOOKUP("O3",$R$63:$T$91,3,FALSE)+VLOOKUP("CP",$R$63:$T$91,3,FALSE),0)+IF(AND($M48&lt;&gt;"",$M48&lt;&gt;"--",$M48&lt;&gt;"O3/CP",$M$14=C$18),IF(LEFT($M48,1)="P",VLOOKUP(CONCATENATE(LEFT($M48,2),"H"),$R$63:$T$91,3,FALSE),VLOOKUP($M48,$R$63:$T$91,3,FALSE)))+IF(AND($M48&lt;&gt;"",$M48&lt;&gt;"O3/CP",$M$15=C$18,MID($M48,4,1)="2",$M$15&lt;&gt;$M$14),VLOOKUP(CONCATENATE(LEFT($M48,2),"L"),$R$63:$T$91,3,FALSE),0)+IF(AND($M48="O3/CP",$M$14=C$18),VLOOKUP("O3",$R$63:$T$91,3,FALSE)+VLOOKUP("CP",$R$63:$T$91,3,FALSE),0)+IF(AND($N48&lt;&gt;"",$N48&lt;&gt;"--",$N48&lt;&gt;"O3/CP",$N$14=C$18),IF(LEFT($N48,1)="P",VLOOKUP(CONCATENATE(LEFT($N48,2),"H"),$R$63:$T$91,3,FALSE),VLOOKUP($N48,$R$63:$T$91,3,FALSE)))+IF(AND($N48&lt;&gt;"",$N48&lt;&gt;"O3/CP",$N$15=C$18,MID($N48,4,1)="2",$N$15&lt;&gt;$N$14),VLOOKUP(CONCATENATE(LEFT($N48,2),"L"),$R$63:$T$91,3,FALSE),0)+IF(AND($N48="O3/CP",$N$14=C$18),VLOOKUP("O3",$R$63:$T$91,3,FALSE)+VLOOKUP("CP",$R$63:$T$91,3,FALSE),0)+IF(AND($O48&lt;&gt;"",$O48&lt;&gt;"--",$O48&lt;&gt;"O3/CP",$O$14=C$18),IF(LEFT($O48,1)="P",VLOOKUP(CONCATENATE(LEFT($O48,2),"H"),$R$63:$T$91,3,FALSE),VLOOKUP($O48,$R$63:$T$91,3,FALSE)))+IF(AND($O48&lt;&gt;"",$O48&lt;&gt;"O3/CP",$O$15=C$18,MID($O48,4,1)="2",$O$15&lt;&gt;$O$14),VLOOKUP(CONCATENATE(LEFT($O48,2),"L"),$R$63:$T$91,3,FALSE),0)+IF(AND($O48="O3/CP",$O$14=C$18),VLOOKUP("O3",$R$63:$T$91,3,FALSE)+VLOOKUP("CP",$R$63:$T$91,3,FALSE),0)+IF(AND($P48&lt;&gt;"",$P48&lt;&gt;"--",$P48&lt;&gt;"O3/CP",$P$14=C$18),IF(LEFT($P48,1)="P",VLOOKUP(CONCATENATE(LEFT($P48,2),"H"),$R$63:$T$91,3,FALSE),VLOOKUP($P48,$R$63:$T$91,3,FALSE)))+IF(AND($P48&lt;&gt;"",$P48&lt;&gt;"O3/CP",$P$15=C$18,MID($P48,4,1)="2",$P$15&lt;&gt;$P$14),VLOOKUP(CONCATENATE(LEFT($P48,2),"L"),$R$63:$T$91,3,FALSE),0)+IF(AND($P48="O3/CP",$P$14=C$18),VLOOKUP("O3",$R$63:$T$91,3,FALSE)+VLOOKUP("CP",$R$63:$T$91,3,FALSE),0)+IF(AND($Q48&lt;&gt;"",$Q48&lt;&gt;"--",$Q48&lt;&gt;"O3/CP",$Q$14=C$18),IF(LEFT($Q48,1)="P",VLOOKUP(CONCATENATE(LEFT($Q48,2),"H"),$R$63:$T$91,3,FALSE),VLOOKUP($Q48,$R$63:$T$91,3,FALSE)))+IF(AND($Q48&lt;&gt;"",$Q48&lt;&gt;"O3/CP",$Q$15=C$18,MID($Q48,4,1)="2",$Q$15&lt;&gt;$Q$14),VLOOKUP(CONCATENATE(LEFT($Q48,2),"L"),$R$63:$T$91,3,FALSE),0)+IF(AND($Q48="O3/CP",$Q$14=C$18),VLOOKUP("O3",$R$63:$T$91,3,FALSE)+VLOOKUP("CP",$R$63:$T$91,3,FALSE),0)+IF(AND($R48&lt;&gt;"",$R48&lt;&gt;"--",$R48&lt;&gt;"O3/CP",$R$14=C$18),IF(LEFT($R48,1)="P",VLOOKUP(CONCATENATE(LEFT($R48,2),"H"),$R$63:$T$91,3,FALSE),VLOOKUP($R48,$R$63:$T$91,3,FALSE)))+IF(AND($R48&lt;&gt;"",$R48&lt;&gt;"O3/CP",$R$15=C$18,MID($R48,4,1)="2",$R$15&lt;&gt;$R$14),VLOOKUP(CONCATENATE(LEFT($R48,2),"L"),$R$63:$T$91,3,FALSE),0)+IF(AND($R48="O3/CP",$R$14=C$18),VLOOKUP("O3",$R$63:$T$91,3,FALSE)+VLOOKUP("CP",$R$63:$T$91,3,FALSE),0)+IF(AND($S48&lt;&gt;"",$S48&lt;&gt;"--",$S48&lt;&gt;"O3/CP",$S$14=C$18),IF(LEFT($S48,1)="P",VLOOKUP(CONCATENATE(LEFT($S48,2),"H"),$R$63:$T$91,3,FALSE),VLOOKUP($S48,$R$63:$T$91,3,FALSE)))+IF(AND($S48&lt;&gt;"",$S48&lt;&gt;"O3/CP",$S$15=C$18,MID($S48,4,1)="2",$S$15&lt;&gt;$S$14),VLOOKUP(CONCATENATE(LEFT($S48,2),"L"),$R$63:$T$91,3,FALSE),0)+IF(AND($S48="O3/CP",$S$14=C$18),VLOOKUP("O3",$R$63:$T$91,3,FALSE)+VLOOKUP("CP",$R$63:$T$91,3,FALSE),0)+IF(AND($T48&lt;&gt;"",$T48&lt;&gt;"--",$T48&lt;&gt;"O3/CP",$T$14=C$18),IF(LEFT($T48,1)="P",VLOOKUP(CONCATENATE(LEFT($T48,2),"H"),$R$63:$T$91,3,FALSE),VLOOKUP($T48,$R$63:$T$91,3,FALSE)))+IF(AND($T48&lt;&gt;"",$T48&lt;&gt;"O3/CP",$T$15=C$18,MID($T48,4,1)="2",$T$15&lt;&gt;$T$14),VLOOKUP(CONCATENATE(LEFT($T48,2),"L"),$R$63:$T$91,3,FALSE),0)+IF(AND($T48="O3/CP",$T$14=C$18),VLOOKUP("O3",$R$63:$T$91,3,FALSE)+VLOOKUP("CP",$R$63:$T$91,3,FALSE),0)+IF(AND($U48&lt;&gt;"",$U48&lt;&gt;"--",$U48&lt;&gt;"O3/CP",$U$14=C$18),IF(LEFT($U48,1)="P",VLOOKUP(CONCATENATE(LEFT($U48,2),"H"),$R$63:$T$91,3,FALSE),VLOOKUP($U48,$R$63:$T$91,3,FALSE)))+IF(AND($U48&lt;&gt;"",$U48&lt;&gt;"O3/CP",$U$15=C$18,MID($U48,4,1)="2",$U$15&lt;&gt;$U$14),VLOOKUP(CONCATENATE(LEFT($U48,2),"L"),$R$63:$T$91,3,FALSE),0)+IF(AND($U48="O3/CP",$T$14=C$18),VLOOKUP("O3",$R$63:$T$91,3,FALSE)+VLOOKUP("CP",$R$63:$T$91,3,FALSE),0)+IF(AND($V48&lt;&gt;"",$V48&lt;&gt;"--",$V48&lt;&gt;"O3/CP",$V$14=C$18),IF(LEFT($V48,1)="P",VLOOKUP(CONCATENATE(LEFT($V48,2),"H"),$R$63:$T$91,3,FALSE),VLOOKUP($V48,$R$63:$T$91,3,FALSE)))+IF(AND($V48&lt;&gt;"",$V48&lt;&gt;"O3/CP",$V$15=C$18,MID($V48,4,1)="2",$V$15&lt;&gt;$V$14),VLOOKUP(CONCATENATE(LEFT($V48,2),"L"),$R$63:$T$91,3,FALSE),0)+IF(AND($V48="O3/CP",$V$14=C$18),VLOOKUP("O3",$R$63:$T$91,3,FALSE)+VLOOKUP("CP",$R$63:$T$91,3,FALSE),0)+IF(AND($W48&lt;&gt;"",$W48&lt;&gt;"--",$W48&lt;&gt;"O3/CP",$W$14=C$18),IF(LEFT($W48,1)="P",VLOOKUP(CONCATENATE(LEFT($W48,2),"H"),$R$63:$T$91,3,FALSE),VLOOKUP($W48,$R$63:$T$91,3,FALSE)))+IF(AND($W48&lt;&gt;"",$W48&lt;&gt;"O3/CP",$W$15=C$18,MID($W48,4,1)="2",$W$15&lt;&gt;$W$14),VLOOKUP(CONCATENATE(LEFT($W48,2),"L"),$R$63:$T$91,3,FALSE),0)+IF(AND($W48="O3/CP",$W$14=C$18),VLOOKUP("O3",$R$63:$T$91,3,FALSE)+VLOOKUP("CP",$R$63:$T$91,3,FALSE),0)+IF(AND($X48&lt;&gt;"",$X48&lt;&gt;"--",$X48&lt;&gt;"O3/CP",$X$14=C$18),IF(LEFT($X48,1)="P",VLOOKUP(CONCATENATE(LEFT($X48,2),"H"),$R$63:$T$91,3,FALSE),VLOOKUP($X48,$R$63:$T$91,3,FALSE)))+IF(AND($X48&lt;&gt;"",$X48&lt;&gt;"O3/CP",$X$15=C$18,MID($X48,4,1)="2",$X$15&lt;&gt;$X$14),VLOOKUP(CONCATENATE(LEFT($X48,2),"L"),$R$63:$T$91,3,FALSE),0)+IF(AND($X48="O3/CP",$X$14=C$18),VLOOKUP("O3",$R$63:$T$91,3,FALSE)+VLOOKUP("CP",$R$63:$T$91,3,FALSE),0)+IF(AND($Y48&lt;&gt;"",$Y48&lt;&gt;"--",$Y48&lt;&gt;"O3/CP",$Y$14=C$18),IF(LEFT($Y48,1)="P",VLOOKUP(CONCATENATE(LEFT($Y48,2),"H"),$R$63:$T$91,3,FALSE),VLOOKUP($Y48,$R$63:$T$91,3,FALSE)))+IF(AND($Y48&lt;&gt;"",$Y48&lt;&gt;"O3/CP",$Y$15=C$18,MID($Y48,4,1)="2",$Y$15&lt;&gt;$Y$14),VLOOKUP(CONCATENATE(LEFT($Y48,2),"L"),$R$63:$T$91,3,FALSE),0)+IF(AND($Y48="O3/CP",$Y$14=C$18),VLOOKUP("O3",$R$63:$T$91,3,FALSE)+VLOOKUP("CP",$R$63:$T$91,3,FALSE),0)+IF(AND($K$6="CE",'[3]Supply Attribution'!$G$20=C$18),LEFT($S$90,2),0)+IF(AND($X$86&lt;&gt;"Not Set",$X$87=C$18),$X$86,0)</f>
        <v>0</v>
      </c>
      <c r="D48" s="269">
        <f>IF(AND($K48&lt;&gt;"",$K48&lt;&gt;"--",$K48&lt;&gt;"O3/CP",$K$14=D$18),IF(LEFT($K48,1)="P",VLOOKUP(CONCATENATE(LEFT($K48,2),"H"),$R$63:$T$91,3,FALSE),VLOOKUP($K48,$R$63:$T$91,3,FALSE)))+IF(AND($K48&lt;&gt;"",$K48&lt;&gt;"O3/CP",$K$15=D$18,MID($K48,4,1)="2",$K$15&lt;&gt;$K$14),VLOOKUP(CONCATENATE(LEFT($K48,2),"L"),$R$63:$T$91,3,FALSE),0)+IF(AND($K48="O3/CP",$K$14=D$18),VLOOKUP("O3",$R$63:$T$91,3,FALSE)+VLOOKUP("CP",$R$63:$T$91,3,FALSE),0)+IF(AND($L48&lt;&gt;"",$L48&lt;&gt;"--",$L48&lt;&gt;"O3/CP",$L$14=D$18),IF(LEFT($L48,1)="P",VLOOKUP(CONCATENATE(LEFT($L48,2),"H"),$R$63:$T$91,3,FALSE),VLOOKUP($L48,$R$63:$T$91,3,FALSE)))+IF(AND($L48&lt;&gt;"",$L48&lt;&gt;"O3/CP",$L$15=D$18,MID($L48,4,1)="2",$L$15&lt;&gt;$L$14),VLOOKUP(CONCATENATE(LEFT($L48,2),"L"),$R$63:$T$91,3,FALSE),0)+IF(AND($L48="O3/CP",$L$14=D$18),VLOOKUP("O3",$R$63:$T$91,3,FALSE)+VLOOKUP("CP",$R$63:$T$91,3,FALSE),0)+IF(AND($M48&lt;&gt;"",$M48&lt;&gt;"--",$M48&lt;&gt;"O3/CP",$M$14=D$18),IF(LEFT($M48,1)="P",VLOOKUP(CONCATENATE(LEFT($M48,2),"H"),$R$63:$T$91,3,FALSE),VLOOKUP($M48,$R$63:$T$91,3,FALSE)))+IF(AND($M48&lt;&gt;"",$M48&lt;&gt;"O3/CP",$M$15=D$18,MID($M48,4,1)="2",$M$15&lt;&gt;$M$14),VLOOKUP(CONCATENATE(LEFT($M48,2),"L"),$R$63:$T$91,3,FALSE),0)+IF(AND($M48="O3/CP",$M$14=D$18),VLOOKUP("O3",$R$63:$T$91,3,FALSE)+VLOOKUP("CP",$R$63:$T$91,3,FALSE),0)+IF(AND($N48&lt;&gt;"",$N48&lt;&gt;"--",$N48&lt;&gt;"O3/CP",$N$14=D$18),IF(LEFT($N48,1)="P",VLOOKUP(CONCATENATE(LEFT($N48,2),"H"),$R$63:$T$91,3,FALSE),VLOOKUP($N48,$R$63:$T$91,3,FALSE)))+IF(AND($N48&lt;&gt;"",$N48&lt;&gt;"O3/CP",$N$15=D$18,MID($N48,4,1)="2",$N$15&lt;&gt;$N$14),VLOOKUP(CONCATENATE(LEFT($N48,2),"L"),$R$63:$T$91,3,FALSE),0)+IF(AND($N48="O3/CP",$N$14=D$18),VLOOKUP("O3",$R$63:$T$91,3,FALSE)+VLOOKUP("CP",$R$63:$T$91,3,FALSE),0)+IF(AND($O48&lt;&gt;"",$O48&lt;&gt;"--",$O48&lt;&gt;"O3/CP",$O$14=D$18),IF(LEFT($O48,1)="P",VLOOKUP(CONCATENATE(LEFT($O48,2),"H"),$R$63:$T$91,3,FALSE),VLOOKUP($O48,$R$63:$T$91,3,FALSE)))+IF(AND($O48&lt;&gt;"",$O48&lt;&gt;"O3/CP",$O$15=D$18,MID($O48,4,1)="2",$O$15&lt;&gt;$O$14),VLOOKUP(CONCATENATE(LEFT($O48,2),"L"),$R$63:$T$91,3,FALSE),0)+IF(AND($O48="O3/CP",$O$14=D$18),VLOOKUP("O3",$R$63:$T$91,3,FALSE)+VLOOKUP("CP",$R$63:$T$91,3,FALSE),0)+IF(AND($P48&lt;&gt;"",$P48&lt;&gt;"--",$P48&lt;&gt;"O3/CP",$P$14=D$18),IF(LEFT($P48,1)="P",VLOOKUP(CONCATENATE(LEFT($P48,2),"H"),$R$63:$T$91,3,FALSE),VLOOKUP($P48,$R$63:$T$91,3,FALSE)))+IF(AND($P48&lt;&gt;"",$P48&lt;&gt;"O3/CP",$P$15=D$18,MID($P48,4,1)="2",$P$15&lt;&gt;$P$14),VLOOKUP(CONCATENATE(LEFT($P48,2),"L"),$R$63:$T$91,3,FALSE),0)+IF(AND($P48="O3/CP",$P$14=D$18),VLOOKUP("O3",$R$63:$T$91,3,FALSE)+VLOOKUP("CP",$R$63:$T$91,3,FALSE),0)+IF(AND($Q48&lt;&gt;"",$Q48&lt;&gt;"--",$Q48&lt;&gt;"O3/CP",$Q$14=D$18),IF(LEFT($Q48,1)="P",VLOOKUP(CONCATENATE(LEFT($Q48,2),"H"),$R$63:$T$91,3,FALSE),VLOOKUP($Q48,$R$63:$T$91,3,FALSE)))+IF(AND($Q48&lt;&gt;"",$Q48&lt;&gt;"O3/CP",$Q$15=D$18,MID($Q48,4,1)="2",$Q$15&lt;&gt;$Q$14),VLOOKUP(CONCATENATE(LEFT($Q48,2),"L"),$R$63:$T$91,3,FALSE),0)+IF(AND($Q48="O3/CP",$Q$14=D$18),VLOOKUP("O3",$R$63:$T$91,3,FALSE)+VLOOKUP("CP",$R$63:$T$91,3,FALSE),0)+IF(AND($R48&lt;&gt;"",$R48&lt;&gt;"--",$R48&lt;&gt;"O3/CP",$R$14=D$18),IF(LEFT($R48,1)="P",VLOOKUP(CONCATENATE(LEFT($R48,2),"H"),$R$63:$T$91,3,FALSE),VLOOKUP($R48,$R$63:$T$91,3,FALSE)))+IF(AND($R48&lt;&gt;"",$R48&lt;&gt;"O3/CP",$R$15=D$18,MID($R48,4,1)="2",$R$15&lt;&gt;$R$14),VLOOKUP(CONCATENATE(LEFT($R48,2),"L"),$R$63:$T$91,3,FALSE),0)+IF(AND($R48="O3/CP",$R$14=D$18),VLOOKUP("O3",$R$63:$T$91,3,FALSE)+VLOOKUP("CP",$R$63:$T$91,3,FALSE),0)+IF(AND($S48&lt;&gt;"",$S48&lt;&gt;"--",$S48&lt;&gt;"O3/CP",$S$14=D$18),IF(LEFT($S48,1)="P",VLOOKUP(CONCATENATE(LEFT($S48,2),"H"),$R$63:$T$91,3,FALSE),VLOOKUP($S48,$R$63:$T$91,3,FALSE)))+IF(AND($S48&lt;&gt;"",$S48&lt;&gt;"O3/CP",$S$15=D$18,MID($S48,4,1)="2",$S$15&lt;&gt;$S$14),VLOOKUP(CONCATENATE(LEFT($S48,2),"L"),$R$63:$T$91,3,FALSE),0)+IF(AND($S48="O3/CP",$S$14=D$18),VLOOKUP("O3",$R$63:$T$91,3,FALSE)+VLOOKUP("CP",$R$63:$T$91,3,FALSE),0)+IF(AND($T48&lt;&gt;"",$T48&lt;&gt;"--",$T48&lt;&gt;"O3/CP",$T$14=D$18),IF(LEFT($T48,1)="P",VLOOKUP(CONCATENATE(LEFT($T48,2),"H"),$R$63:$T$91,3,FALSE),VLOOKUP($T48,$R$63:$T$91,3,FALSE)))+IF(AND($T48&lt;&gt;"",$T48&lt;&gt;"O3/CP",$T$15=D$18,MID($T48,4,1)="2",$T$15&lt;&gt;$T$14),VLOOKUP(CONCATENATE(LEFT($T48,2),"L"),$R$63:$T$91,3,FALSE),0)+IF(AND($T48="O3/CP",$T$14=D$18),VLOOKUP("O3",$R$63:$T$91,3,FALSE)+VLOOKUP("CP",$R$63:$T$91,3,FALSE),0)+IF(AND($U48&lt;&gt;"",$U48&lt;&gt;"--",$U48&lt;&gt;"O3/CP",$U$14=D$18),IF(LEFT($U48,1)="P",VLOOKUP(CONCATENATE(LEFT($U48,2),"H"),$R$63:$T$91,3,FALSE),VLOOKUP($U48,$R$63:$T$91,3,FALSE)))+IF(AND($U48&lt;&gt;"",$U48&lt;&gt;"O3/CP",$U$15=D$18,MID($U48,4,1)="2",$U$15&lt;&gt;$U$14),VLOOKUP(CONCATENATE(LEFT($U48,2),"L"),$R$63:$T$91,3,FALSE),0)+IF(AND($U48="O3/CP",$T$14=D$18),VLOOKUP("O3",$R$63:$T$91,3,FALSE)+VLOOKUP("CP",$R$63:$T$91,3,FALSE),0)+IF(AND($V48&lt;&gt;"",$V48&lt;&gt;"--",$V48&lt;&gt;"O3/CP",$V$14=D$18),IF(LEFT($V48,1)="P",VLOOKUP(CONCATENATE(LEFT($V48,2),"H"),$R$63:$T$91,3,FALSE),VLOOKUP($V48,$R$63:$T$91,3,FALSE)))+IF(AND($V48&lt;&gt;"",$V48&lt;&gt;"O3/CP",$V$15=D$18,MID($V48,4,1)="2",$V$15&lt;&gt;$V$14),VLOOKUP(CONCATENATE(LEFT($V48,2),"L"),$R$63:$T$91,3,FALSE),0)+IF(AND($V48="O3/CP",$V$14=D$18),VLOOKUP("O3",$R$63:$T$91,3,FALSE)+VLOOKUP("CP",$R$63:$T$91,3,FALSE),0)+IF(AND($W48&lt;&gt;"",$W48&lt;&gt;"--",$W48&lt;&gt;"O3/CP",$W$14=D$18),IF(LEFT($W48,1)="P",VLOOKUP(CONCATENATE(LEFT($W48,2),"H"),$R$63:$T$91,3,FALSE),VLOOKUP($W48,$R$63:$T$91,3,FALSE)))+IF(AND($W48&lt;&gt;"",$W48&lt;&gt;"O3/CP",$W$15=D$18,MID($W48,4,1)="2",$W$15&lt;&gt;$W$14),VLOOKUP(CONCATENATE(LEFT($W48,2),"L"),$R$63:$T$91,3,FALSE),0)+IF(AND($W48="O3/CP",$W$14=D$18),VLOOKUP("O3",$R$63:$T$91,3,FALSE)+VLOOKUP("CP",$R$63:$T$91,3,FALSE),0)+IF(AND($X48&lt;&gt;"",$X48&lt;&gt;"--",$X48&lt;&gt;"O3/CP",$X$14=D$18),IF(LEFT($X48,1)="P",VLOOKUP(CONCATENATE(LEFT($X48,2),"H"),$R$63:$T$91,3,FALSE),VLOOKUP($X48,$R$63:$T$91,3,FALSE)))+IF(AND($X48&lt;&gt;"",$X48&lt;&gt;"O3/CP",$X$15=D$18,MID($X48,4,1)="2",$X$15&lt;&gt;$X$14),VLOOKUP(CONCATENATE(LEFT($X48,2),"L"),$R$63:$T$91,3,FALSE),0)+IF(AND($X48="O3/CP",$X$14=D$18),VLOOKUP("O3",$R$63:$T$91,3,FALSE)+VLOOKUP("CP",$R$63:$T$91,3,FALSE),0)+IF(AND($Y48&lt;&gt;"",$Y48&lt;&gt;"--",$Y48&lt;&gt;"O3/CP",$Y$14=D$18),IF(LEFT($Y48,1)="P",VLOOKUP(CONCATENATE(LEFT($Y48,2),"H"),$R$63:$T$91,3,FALSE),VLOOKUP($Y48,$R$63:$T$91,3,FALSE)))+IF(AND($Y48&lt;&gt;"",$Y48&lt;&gt;"O3/CP",$Y$15=D$18,MID($Y48,4,1)="2",$Y$15&lt;&gt;$Y$14),VLOOKUP(CONCATENATE(LEFT($Y48,2),"L"),$R$63:$T$91,3,FALSE),0)+IF(AND($Y48="O3/CP",$Y$14=D$18),VLOOKUP("O3",$R$63:$T$91,3,FALSE)+VLOOKUP("CP",$R$63:$T$91,3,FALSE),0)+IF(AND($K$6="CE",'[3]Supply Attribution'!$G$20=D$18),LEFT($S$90,2),0)+IF(AND($X$86&lt;&gt;"Not Set",$X$87=D$18),$X$86,0)</f>
        <v>0</v>
      </c>
      <c r="E48" s="269">
        <f>IF(AND($K48&lt;&gt;"",$K48&lt;&gt;"--",$K48&lt;&gt;"O3/CP",$K$14=E$18),IF(LEFT($K48,1)="P",VLOOKUP(CONCATENATE(LEFT($K48,2),"H"),$R$63:$T$91,3,FALSE),VLOOKUP($K48,$R$63:$T$91,3,FALSE)))+IF(AND($K48&lt;&gt;"",$K48&lt;&gt;"O3/CP",$K$15=E$18,MID($K48,4,1)="2",$K$15&lt;&gt;$K$14),VLOOKUP(CONCATENATE(LEFT($K48,2),"L"),$R$63:$T$91,3,FALSE),0)+IF(AND($K48="O3/CP",$K$14=E$18),VLOOKUP("O3",$R$63:$T$91,3,FALSE)+VLOOKUP("CP",$R$63:$T$91,3,FALSE),0)+IF(AND($L48&lt;&gt;"",$L48&lt;&gt;"--",$L48&lt;&gt;"O3/CP",$L$14=E$18),IF(LEFT($L48,1)="P",VLOOKUP(CONCATENATE(LEFT($L48,2),"H"),$R$63:$T$91,3,FALSE),VLOOKUP($L48,$R$63:$T$91,3,FALSE)))+IF(AND($L48&lt;&gt;"",$L48&lt;&gt;"O3/CP",$L$15=E$18,MID($L48,4,1)="2",$L$15&lt;&gt;$L$14),VLOOKUP(CONCATENATE(LEFT($L48,2),"L"),$R$63:$T$91,3,FALSE),0)+IF(AND($L48="O3/CP",$L$14=E$18),VLOOKUP("O3",$R$63:$T$91,3,FALSE)+VLOOKUP("CP",$R$63:$T$91,3,FALSE),0)+IF(AND($M48&lt;&gt;"",$M48&lt;&gt;"--",$M48&lt;&gt;"O3/CP",$M$14=E$18),IF(LEFT($M48,1)="P",VLOOKUP(CONCATENATE(LEFT($M48,2),"H"),$R$63:$T$91,3,FALSE),VLOOKUP($M48,$R$63:$T$91,3,FALSE)))+IF(AND($M48&lt;&gt;"",$M48&lt;&gt;"O3/CP",$M$15=E$18,MID($M48,4,1)="2",$M$15&lt;&gt;$M$14),VLOOKUP(CONCATENATE(LEFT($M48,2),"L"),$R$63:$T$91,3,FALSE),0)+IF(AND($M48="O3/CP",$M$14=E$18),VLOOKUP("O3",$R$63:$T$91,3,FALSE)+VLOOKUP("CP",$R$63:$T$91,3,FALSE),0)+IF(AND($N48&lt;&gt;"",$N48&lt;&gt;"--",$N48&lt;&gt;"O3/CP",$N$14=E$18),IF(LEFT($N48,1)="P",VLOOKUP(CONCATENATE(LEFT($N48,2),"H"),$R$63:$T$91,3,FALSE),VLOOKUP($N48,$R$63:$T$91,3,FALSE)))+IF(AND($N48&lt;&gt;"",$N48&lt;&gt;"O3/CP",$N$15=E$18,MID($N48,4,1)="2",$N$15&lt;&gt;$N$14),VLOOKUP(CONCATENATE(LEFT($N48,2),"L"),$R$63:$T$91,3,FALSE),0)+IF(AND($N48="O3/CP",$N$14=E$18),VLOOKUP("O3",$R$63:$T$91,3,FALSE)+VLOOKUP("CP",$R$63:$T$91,3,FALSE),0)+IF(AND($O48&lt;&gt;"",$O48&lt;&gt;"--",$O48&lt;&gt;"O3/CP",$O$14=E$18),IF(LEFT($O48,1)="P",VLOOKUP(CONCATENATE(LEFT($O48,2),"H"),$R$63:$T$91,3,FALSE),VLOOKUP($O48,$R$63:$T$91,3,FALSE)))+IF(AND($O48&lt;&gt;"",$O48&lt;&gt;"O3/CP",$O$15=E$18,MID($O48,4,1)="2",$O$15&lt;&gt;$O$14),VLOOKUP(CONCATENATE(LEFT($O48,2),"L"),$R$63:$T$91,3,FALSE),0)+IF(AND($O48="O3/CP",$O$14=E$18),VLOOKUP("O3",$R$63:$T$91,3,FALSE)+VLOOKUP("CP",$R$63:$T$91,3,FALSE),0)+IF(AND($P48&lt;&gt;"",$P48&lt;&gt;"--",$P48&lt;&gt;"O3/CP",$P$14=E$18),IF(LEFT($P48,1)="P",VLOOKUP(CONCATENATE(LEFT($P48,2),"H"),$R$63:$T$91,3,FALSE),VLOOKUP($P48,$R$63:$T$91,3,FALSE)))+IF(AND($P48&lt;&gt;"",$P48&lt;&gt;"O3/CP",$P$15=E$18,MID($P48,4,1)="2",$P$15&lt;&gt;$P$14),VLOOKUP(CONCATENATE(LEFT($P48,2),"L"),$R$63:$T$91,3,FALSE),0)+IF(AND($P48="O3/CP",$P$14=E$18),VLOOKUP("O3",$R$63:$T$91,3,FALSE)+VLOOKUP("CP",$R$63:$T$91,3,FALSE),0)+IF(AND($Q48&lt;&gt;"",$Q48&lt;&gt;"--",$Q48&lt;&gt;"O3/CP",$Q$14=E$18),IF(LEFT($Q48,1)="P",VLOOKUP(CONCATENATE(LEFT($Q48,2),"H"),$R$63:$T$91,3,FALSE),VLOOKUP($Q48,$R$63:$T$91,3,FALSE)))+IF(AND($Q48&lt;&gt;"",$Q48&lt;&gt;"O3/CP",$Q$15=E$18,MID($Q48,4,1)="2",$Q$15&lt;&gt;$Q$14),VLOOKUP(CONCATENATE(LEFT($Q48,2),"L"),$R$63:$T$91,3,FALSE),0)+IF(AND($Q48="O3/CP",$Q$14=E$18),VLOOKUP("O3",$R$63:$T$91,3,FALSE)+VLOOKUP("CP",$R$63:$T$91,3,FALSE),0)+IF(AND($R48&lt;&gt;"",$R48&lt;&gt;"--",$R48&lt;&gt;"O3/CP",$R$14=E$18),IF(LEFT($R48,1)="P",VLOOKUP(CONCATENATE(LEFT($R48,2),"H"),$R$63:$T$91,3,FALSE),VLOOKUP($R48,$R$63:$T$91,3,FALSE)))+IF(AND($R48&lt;&gt;"",$R48&lt;&gt;"O3/CP",$R$15=E$18,MID($R48,4,1)="2",$R$15&lt;&gt;$R$14),VLOOKUP(CONCATENATE(LEFT($R48,2),"L"),$R$63:$T$91,3,FALSE),0)+IF(AND($R48="O3/CP",$R$14=E$18),VLOOKUP("O3",$R$63:$T$91,3,FALSE)+VLOOKUP("CP",$R$63:$T$91,3,FALSE),0)+IF(AND($S48&lt;&gt;"",$S48&lt;&gt;"--",$S48&lt;&gt;"O3/CP",$S$14=E$18),IF(LEFT($S48,1)="P",VLOOKUP(CONCATENATE(LEFT($S48,2),"H"),$R$63:$T$91,3,FALSE),VLOOKUP($S48,$R$63:$T$91,3,FALSE)))+IF(AND($S48&lt;&gt;"",$S48&lt;&gt;"O3/CP",$S$15=E$18,MID($S48,4,1)="2",$S$15&lt;&gt;$S$14),VLOOKUP(CONCATENATE(LEFT($S48,2),"L"),$R$63:$T$91,3,FALSE),0)+IF(AND($S48="O3/CP",$S$14=E$18),VLOOKUP("O3",$R$63:$T$91,3,FALSE)+VLOOKUP("CP",$R$63:$T$91,3,FALSE),0)+IF(AND($T48&lt;&gt;"",$T48&lt;&gt;"--",$T48&lt;&gt;"O3/CP",$T$14=E$18),IF(LEFT($T48,1)="P",VLOOKUP(CONCATENATE(LEFT($T48,2),"H"),$R$63:$T$91,3,FALSE),VLOOKUP($T48,$R$63:$T$91,3,FALSE)))+IF(AND($T48&lt;&gt;"",$T48&lt;&gt;"O3/CP",$T$15=E$18,MID($T48,4,1)="2",$T$15&lt;&gt;$T$14),VLOOKUP(CONCATENATE(LEFT($T48,2),"L"),$R$63:$T$91,3,FALSE),0)+IF(AND($T48="O3/CP",$T$14=E$18),VLOOKUP("O3",$R$63:$T$91,3,FALSE)+VLOOKUP("CP",$R$63:$T$91,3,FALSE),0)+IF(AND($U48&lt;&gt;"",$U48&lt;&gt;"--",$U48&lt;&gt;"O3/CP",$U$14=E$18),IF(LEFT($U48,1)="P",VLOOKUP(CONCATENATE(LEFT($U48,2),"H"),$R$63:$T$91,3,FALSE),VLOOKUP($U48,$R$63:$T$91,3,FALSE)))+IF(AND($U48&lt;&gt;"",$U48&lt;&gt;"O3/CP",$U$15=E$18,MID($U48,4,1)="2",$U$15&lt;&gt;$U$14),VLOOKUP(CONCATENATE(LEFT($U48,2),"L"),$R$63:$T$91,3,FALSE),0)+IF(AND($U48="O3/CP",$T$14=E$18),VLOOKUP("O3",$R$63:$T$91,3,FALSE)+VLOOKUP("CP",$R$63:$T$91,3,FALSE),0)+IF(AND($V48&lt;&gt;"",$V48&lt;&gt;"--",$V48&lt;&gt;"O3/CP",$V$14=E$18),IF(LEFT($V48,1)="P",VLOOKUP(CONCATENATE(LEFT($V48,2),"H"),$R$63:$T$91,3,FALSE),VLOOKUP($V48,$R$63:$T$91,3,FALSE)))+IF(AND($V48&lt;&gt;"",$V48&lt;&gt;"O3/CP",$V$15=E$18,MID($V48,4,1)="2",$V$15&lt;&gt;$V$14),VLOOKUP(CONCATENATE(LEFT($V48,2),"L"),$R$63:$T$91,3,FALSE),0)+IF(AND($V48="O3/CP",$V$14=E$18),VLOOKUP("O3",$R$63:$T$91,3,FALSE)+VLOOKUP("CP",$R$63:$T$91,3,FALSE),0)+IF(AND($W48&lt;&gt;"",$W48&lt;&gt;"--",$W48&lt;&gt;"O3/CP",$W$14=E$18),IF(LEFT($W48,1)="P",VLOOKUP(CONCATENATE(LEFT($W48,2),"H"),$R$63:$T$91,3,FALSE),VLOOKUP($W48,$R$63:$T$91,3,FALSE)))+IF(AND($W48&lt;&gt;"",$W48&lt;&gt;"O3/CP",$W$15=E$18,MID($W48,4,1)="2",$W$15&lt;&gt;$W$14),VLOOKUP(CONCATENATE(LEFT($W48,2),"L"),$R$63:$T$91,3,FALSE),0)+IF(AND($W48="O3/CP",$W$14=E$18),VLOOKUP("O3",$R$63:$T$91,3,FALSE)+VLOOKUP("CP",$R$63:$T$91,3,FALSE),0)+IF(AND($X48&lt;&gt;"",$X48&lt;&gt;"--",$X48&lt;&gt;"O3/CP",$X$14=E$18),IF(LEFT($X48,1)="P",VLOOKUP(CONCATENATE(LEFT($X48,2),"H"),$R$63:$T$91,3,FALSE),VLOOKUP($X48,$R$63:$T$91,3,FALSE)))+IF(AND($X48&lt;&gt;"",$X48&lt;&gt;"O3/CP",$X$15=E$18,MID($X48,4,1)="2",$X$15&lt;&gt;$X$14),VLOOKUP(CONCATENATE(LEFT($X48,2),"L"),$R$63:$T$91,3,FALSE),0)+IF(AND($X48="O3/CP",$X$14=E$18),VLOOKUP("O3",$R$63:$T$91,3,FALSE)+VLOOKUP("CP",$R$63:$T$91,3,FALSE),0)+IF(AND($Y48&lt;&gt;"",$Y48&lt;&gt;"--",$Y48&lt;&gt;"O3/CP",$Y$14=E$18),IF(LEFT($Y48,1)="P",VLOOKUP(CONCATENATE(LEFT($Y48,2),"H"),$R$63:$T$91,3,FALSE),VLOOKUP($Y48,$R$63:$T$91,3,FALSE)))+IF(AND($Y48&lt;&gt;"",$Y48&lt;&gt;"O3/CP",$Y$15=E$18,MID($Y48,4,1)="2",$Y$15&lt;&gt;$Y$14),VLOOKUP(CONCATENATE(LEFT($Y48,2),"L"),$R$63:$T$91,3,FALSE),0)+IF(AND($Y48="O3/CP",$Y$14=E$18),VLOOKUP("O3",$R$63:$T$91,3,FALSE)+VLOOKUP("CP",$R$63:$T$91,3,FALSE),0)+IF(AND($K$6="CE",'[3]Supply Attribution'!$G$20=E$18),LEFT($S$90,2),0)+IF(AND($X$86&lt;&gt;"Not Set",$X$87=E$18),$X$86,0)</f>
        <v>0</v>
      </c>
      <c r="F48" s="268">
        <f>IF(AND($K48&lt;&gt;"",$K48&lt;&gt;"--",$K48&lt;&gt;"O3/CP",$K$14=F$18),IF(LEFT($K48,1)="P",VLOOKUP(CONCATENATE(LEFT($K48,2),"H"),$R$63:$T$91,3,FALSE),VLOOKUP($K48,$R$63:$T$91,3,FALSE)))+IF(AND($K48&lt;&gt;"",$K48&lt;&gt;"O3/CP",$K$15=F$18,MID($K48,4,1)="2",$K$15&lt;&gt;$K$14),VLOOKUP(CONCATENATE(LEFT($K48,2),"L"),$R$63:$T$91,3,FALSE),0)+IF(AND($K48="O3/CP",$K$14=F$18),VLOOKUP("O3",$R$63:$T$91,3,FALSE)+VLOOKUP("CP",$R$63:$T$91,3,FALSE),0)+IF(AND($L48&lt;&gt;"",$L48&lt;&gt;"--",$L48&lt;&gt;"O3/CP",$L$14=F$18),IF(LEFT($L48,1)="P",VLOOKUP(CONCATENATE(LEFT($L48,2),"H"),$R$63:$T$91,3,FALSE),VLOOKUP($L48,$R$63:$T$91,3,FALSE)))+IF(AND($L48&lt;&gt;"",$L48&lt;&gt;"O3/CP",$L$15=F$18,MID($L48,4,1)="2",$L$15&lt;&gt;$L$14),VLOOKUP(CONCATENATE(LEFT($L48,2),"L"),$R$63:$T$91,3,FALSE),0)+IF(AND($L48="O3/CP",$L$14=F$18),VLOOKUP("O3",$R$63:$T$91,3,FALSE)+VLOOKUP("CP",$R$63:$T$91,3,FALSE),0)+IF(AND($M48&lt;&gt;"",$M48&lt;&gt;"--",$M48&lt;&gt;"O3/CP",$M$14=F$18),IF(LEFT($M48,1)="P",VLOOKUP(CONCATENATE(LEFT($M48,2),"H"),$R$63:$T$91,3,FALSE),VLOOKUP($M48,$R$63:$T$91,3,FALSE)))+IF(AND($M48&lt;&gt;"",$M48&lt;&gt;"O3/CP",$M$15=F$18,MID($M48,4,1)="2",$M$15&lt;&gt;$M$14),VLOOKUP(CONCATENATE(LEFT($M48,2),"L"),$R$63:$T$91,3,FALSE),0)+IF(AND($M48="O3/CP",$M$14=F$18),VLOOKUP("O3",$R$63:$T$91,3,FALSE)+VLOOKUP("CP",$R$63:$T$91,3,FALSE),0)+IF(AND($N48&lt;&gt;"",$N48&lt;&gt;"--",$N48&lt;&gt;"O3/CP",$N$14=F$18),IF(LEFT($N48,1)="P",VLOOKUP(CONCATENATE(LEFT($N48,2),"H"),$R$63:$T$91,3,FALSE),VLOOKUP($N48,$R$63:$T$91,3,FALSE)))+IF(AND($N48&lt;&gt;"",$N48&lt;&gt;"O3/CP",$N$15=F$18,MID($N48,4,1)="2",$N$15&lt;&gt;$N$14),VLOOKUP(CONCATENATE(LEFT($N48,2),"L"),$R$63:$T$91,3,FALSE),0)+IF(AND($N48="O3/CP",$N$14=F$18),VLOOKUP("O3",$R$63:$T$91,3,FALSE)+VLOOKUP("CP",$R$63:$T$91,3,FALSE),0)+IF(AND($O48&lt;&gt;"",$O48&lt;&gt;"--",$O48&lt;&gt;"O3/CP",$O$14=F$18),IF(LEFT($O48,1)="P",VLOOKUP(CONCATENATE(LEFT($O48,2),"H"),$R$63:$T$91,3,FALSE),VLOOKUP($O48,$R$63:$T$91,3,FALSE)))+IF(AND($O48&lt;&gt;"",$O48&lt;&gt;"O3/CP",$O$15=F$18,MID($O48,4,1)="2",$O$15&lt;&gt;$O$14),VLOOKUP(CONCATENATE(LEFT($O48,2),"L"),$R$63:$T$91,3,FALSE),0)+IF(AND($O48="O3/CP",$O$14=F$18),VLOOKUP("O3",$R$63:$T$91,3,FALSE)+VLOOKUP("CP",$R$63:$T$91,3,FALSE),0)+IF(AND($P48&lt;&gt;"",$P48&lt;&gt;"--",$P48&lt;&gt;"O3/CP",$P$14=F$18),IF(LEFT($P48,1)="P",VLOOKUP(CONCATENATE(LEFT($P48,2),"H"),$R$63:$T$91,3,FALSE),VLOOKUP($P48,$R$63:$T$91,3,FALSE)))+IF(AND($P48&lt;&gt;"",$P48&lt;&gt;"O3/CP",$P$15=F$18,MID($P48,4,1)="2",$P$15&lt;&gt;$P$14),VLOOKUP(CONCATENATE(LEFT($P48,2),"L"),$R$63:$T$91,3,FALSE),0)+IF(AND($P48="O3/CP",$P$14=F$18),VLOOKUP("O3",$R$63:$T$91,3,FALSE)+VLOOKUP("CP",$R$63:$T$91,3,FALSE),0)+IF(AND($Q48&lt;&gt;"",$Q48&lt;&gt;"--",$Q48&lt;&gt;"O3/CP",$Q$14=F$18),IF(LEFT($Q48,1)="P",VLOOKUP(CONCATENATE(LEFT($Q48,2),"H"),$R$63:$T$91,3,FALSE),VLOOKUP($Q48,$R$63:$T$91,3,FALSE)))+IF(AND($Q48&lt;&gt;"",$Q48&lt;&gt;"O3/CP",$Q$15=F$18,MID($Q48,4,1)="2",$Q$15&lt;&gt;$Q$14),VLOOKUP(CONCATENATE(LEFT($Q48,2),"L"),$R$63:$T$91,3,FALSE),0)+IF(AND($Q48="O3/CP",$Q$14=F$18),VLOOKUP("O3",$R$63:$T$91,3,FALSE)+VLOOKUP("CP",$R$63:$T$91,3,FALSE),0)+IF(AND($R48&lt;&gt;"",$R48&lt;&gt;"--",$R48&lt;&gt;"O3/CP",$R$14=F$18),IF(LEFT($R48,1)="P",VLOOKUP(CONCATENATE(LEFT($R48,2),"H"),$R$63:$T$91,3,FALSE),VLOOKUP($R48,$R$63:$T$91,3,FALSE)))+IF(AND($R48&lt;&gt;"",$R48&lt;&gt;"O3/CP",$R$15=F$18,MID($R48,4,1)="2",$R$15&lt;&gt;$R$14),VLOOKUP(CONCATENATE(LEFT($R48,2),"L"),$R$63:$T$91,3,FALSE),0)+IF(AND($R48="O3/CP",$R$14=F$18),VLOOKUP("O3",$R$63:$T$91,3,FALSE)+VLOOKUP("CP",$R$63:$T$91,3,FALSE),0)+IF(AND($S48&lt;&gt;"",$S48&lt;&gt;"--",$S48&lt;&gt;"O3/CP",$S$14=F$18),IF(LEFT($S48,1)="P",VLOOKUP(CONCATENATE(LEFT($S48,2),"H"),$R$63:$T$91,3,FALSE),VLOOKUP($S48,$R$63:$T$91,3,FALSE)))+IF(AND($S48&lt;&gt;"",$S48&lt;&gt;"O3/CP",$S$15=F$18,MID($S48,4,1)="2",$S$15&lt;&gt;$S$14),VLOOKUP(CONCATENATE(LEFT($S48,2),"L"),$R$63:$T$91,3,FALSE),0)+IF(AND($S48="O3/CP",$S$14=F$18),VLOOKUP("O3",$R$63:$T$91,3,FALSE)+VLOOKUP("CP",$R$63:$T$91,3,FALSE),0)+IF(AND($T48&lt;&gt;"",$T48&lt;&gt;"--",$T48&lt;&gt;"O3/CP",$T$14=F$18),IF(LEFT($T48,1)="P",VLOOKUP(CONCATENATE(LEFT($T48,2),"H"),$R$63:$T$91,3,FALSE),VLOOKUP($T48,$R$63:$T$91,3,FALSE)))+IF(AND($T48&lt;&gt;"",$T48&lt;&gt;"O3/CP",$T$15=F$18,MID($T48,4,1)="2",$T$15&lt;&gt;$T$14),VLOOKUP(CONCATENATE(LEFT($T48,2),"L"),$R$63:$T$91,3,FALSE),0)+IF(AND($T48="O3/CP",$T$14=F$18),VLOOKUP("O3",$R$63:$T$91,3,FALSE)+VLOOKUP("CP",$R$63:$T$91,3,FALSE),0)+IF(AND($U48&lt;&gt;"",$U48&lt;&gt;"--",$U48&lt;&gt;"O3/CP",$U$14=F$18),IF(LEFT($U48,1)="P",VLOOKUP(CONCATENATE(LEFT($U48,2),"H"),$R$63:$T$91,3,FALSE),VLOOKUP($U48,$R$63:$T$91,3,FALSE)))+IF(AND($U48&lt;&gt;"",$U48&lt;&gt;"O3/CP",$U$15=F$18,MID($U48,4,1)="2",$U$15&lt;&gt;$U$14),VLOOKUP(CONCATENATE(LEFT($U48,2),"L"),$R$63:$T$91,3,FALSE),0)+IF(AND($U48="O3/CP",$T$14=F$18),VLOOKUP("O3",$R$63:$T$91,3,FALSE)+VLOOKUP("CP",$R$63:$T$91,3,FALSE),0)+IF(AND($V48&lt;&gt;"",$V48&lt;&gt;"--",$V48&lt;&gt;"O3/CP",$V$14=F$18),IF(LEFT($V48,1)="P",VLOOKUP(CONCATENATE(LEFT($V48,2),"H"),$R$63:$T$91,3,FALSE),VLOOKUP($V48,$R$63:$T$91,3,FALSE)))+IF(AND($V48&lt;&gt;"",$V48&lt;&gt;"O3/CP",$V$15=F$18,MID($V48,4,1)="2",$V$15&lt;&gt;$V$14),VLOOKUP(CONCATENATE(LEFT($V48,2),"L"),$R$63:$T$91,3,FALSE),0)+IF(AND($V48="O3/CP",$V$14=F$18),VLOOKUP("O3",$R$63:$T$91,3,FALSE)+VLOOKUP("CP",$R$63:$T$91,3,FALSE),0)+IF(AND($W48&lt;&gt;"",$W48&lt;&gt;"--",$W48&lt;&gt;"O3/CP",$W$14=F$18),IF(LEFT($W48,1)="P",VLOOKUP(CONCATENATE(LEFT($W48,2),"H"),$R$63:$T$91,3,FALSE),VLOOKUP($W48,$R$63:$T$91,3,FALSE)))+IF(AND($W48&lt;&gt;"",$W48&lt;&gt;"O3/CP",$W$15=F$18,MID($W48,4,1)="2",$W$15&lt;&gt;$W$14),VLOOKUP(CONCATENATE(LEFT($W48,2),"L"),$R$63:$T$91,3,FALSE),0)+IF(AND($W48="O3/CP",$W$14=F$18),VLOOKUP("O3",$R$63:$T$91,3,FALSE)+VLOOKUP("CP",$R$63:$T$91,3,FALSE),0)+IF(AND($X48&lt;&gt;"",$X48&lt;&gt;"--",$X48&lt;&gt;"O3/CP",$X$14=F$18),IF(LEFT($X48,1)="P",VLOOKUP(CONCATENATE(LEFT($X48,2),"H"),$R$63:$T$91,3,FALSE),VLOOKUP($X48,$R$63:$T$91,3,FALSE)))+IF(AND($X48&lt;&gt;"",$X48&lt;&gt;"O3/CP",$X$15=F$18,MID($X48,4,1)="2",$X$15&lt;&gt;$X$14),VLOOKUP(CONCATENATE(LEFT($X48,2),"L"),$R$63:$T$91,3,FALSE),0)+IF(AND($X48="O3/CP",$X$14=F$18),VLOOKUP("O3",$R$63:$T$91,3,FALSE)+VLOOKUP("CP",$R$63:$T$91,3,FALSE),0)+IF(AND($Y48&lt;&gt;"",$Y48&lt;&gt;"--",$Y48&lt;&gt;"O3/CP",$Y$14=F$18),IF(LEFT($Y48,1)="P",VLOOKUP(CONCATENATE(LEFT($Y48,2),"H"),$R$63:$T$91,3,FALSE),VLOOKUP($Y48,$R$63:$T$91,3,FALSE)))+IF(AND($Y48&lt;&gt;"",$Y48&lt;&gt;"O3/CP",$Y$15=F$18,MID($Y48,4,1)="2",$Y$15&lt;&gt;$Y$14),VLOOKUP(CONCATENATE(LEFT($Y48,2),"L"),$R$63:$T$91,3,FALSE),0)+IF(AND($Y48="O3/CP",$Y$14=F$18),VLOOKUP("O3",$R$63:$T$91,3,FALSE)+VLOOKUP("CP",$R$63:$T$91,3,FALSE),0)+IF(AND($K$6="CE",'[3]Supply Attribution'!$G$20=F$18),LEFT($S$90,2),0)+IF(AND($X$86&lt;&gt;"Not Set",$X$87=F$18),$X$86,0)</f>
        <v>0</v>
      </c>
      <c r="G48" s="269">
        <f>IF(AND($K$6="CE",$T$59="1 Phase"),SUM(A48:F48)-IF(AND($K$14&lt;&gt;$K$15,RIGHT($K48,3)="2SP"),VLOOKUP(CONCATENATE(LEFT($K48,2),"L"),$R$63:$T$90,3,FALSE),0)-IF(AND($L$14&lt;&gt;$L$15,RIGHT($L48,3)="2SP"),VLOOKUP(CONCATENATE(LEFT($L48,2),"L"),$R$63:$T$90,3,FALSE),0)-IF(AND($M$14&lt;&gt;$M$15,RIGHT($M48,3)="2SP"),VLOOKUP(CONCATENATE(LEFT($M48,2),"L"),$R$63:$T$90,3,FALSE),0)-IF(AND($N$14&lt;&gt;$N$15,RIGHT($N48,3)="2SP"),VLOOKUP(CONCATENATE(LEFT($N48,2),"L"),$R$63:$T$90,3,FALSE),0)-IF(AND($O$14&lt;&gt;$O$15,RIGHT($O48,3)="2SP"),VLOOKUP(CONCATENATE(LEFT($O48,2),"L"),$R$63:$T$90,3,FALSE),0)-IF(AND($P$14&lt;&gt;$P$15,RIGHT($P48,3)="2SP"),VLOOKUP(CONCATENATE(LEFT($P48,2),"L"),$R$63:$T$90,3,FALSE),0)-IF(AND($Q$14&lt;&gt;$Q$15,RIGHT($Q48,3)="2SP"),VLOOKUP(CONCATENATE(LEFT($Q48,2),"L"),$R$63:$T$90,3,FALSE),0)-IF(AND($R$14&lt;&gt;$R$15,RIGHT($T48,3)="2SP"),VLOOKUP(CONCATENATE(LEFT($R48,2),"L"),$R$63:$T$90,3,FALSE),0)-IF(AND($S$14&lt;&gt;$S$15,RIGHT($T48,3)="2SP"),VLOOKUP(CONCATENATE(LEFT($S48,2),"L"),$R$63:$T$90,3,FALSE),0)-IF(AND($T$14&lt;&gt;$T$15,RIGHT($T48,3)="2SP"),VLOOKUP(CONCATENATE(LEFT($T48,2),"L"),$R$63:$T$90,3,FALSE),0)-IF(AND($U$14&lt;&gt;$U$15,RIGHT($U48,3)="2SP"),VLOOKUP(CONCATENATE(LEFT($U48,2),"L"),$R$63:$T$90,3,FALSE),0)-IF(AND($V$14&lt;&gt;$V$15,RIGHT($V48,3)="2SP"),VLOOKUP(CONCATENATE(LEFT($V48,2),"L"),$R$63:$T$90,3,FALSE),0)-IF(AND($W$14&lt;&gt;$W$15,RIGHT($W48,3)="2SP"),VLOOKUP(CONCATENATE(LEFT($W48,2),"L"),$R$63:$T$90,3,FALSE),0)-IF(AND($X$14&lt;&gt;$X$15,RIGHT($X48,3)="2SP"),VLOOKUP(CONCATENATE(LEFT($X48,2),"L"),$R$63:$T$90,3,FALSE),0)-IF(AND($Y$14&lt;&gt;$Y$15,RIGHT($Y48,3)="2SP"),VLOOKUP(CONCATENATE(LEFT($Y48,2),"L"),$R$63:$T$90,3,FALSE),0),IF(VLOOKUP(CONCATENATE($A$18,"Line"),'[3]Supply Attribution'!$F$31:$G$37,2,FALSE)=G$18,$A48,0)+IF(VLOOKUP(CONCATENATE($B$18,"Line"),'[3]Supply Attribution'!$F$31:$G$37,2,FALSE)=G$18,$B48,0)+IF(VLOOKUP(CONCATENATE($C$18,"Line"),'[3]Supply Attribution'!$F$31:$G$37,2,FALSE)=G$18,$C48,0)+IF(VLOOKUP(CONCATENATE($D$18,"Line"),'[3]Supply Attribution'!$F$31:$G$37,2,FALSE)=G$18,$D48,0)+IF(VLOOKUP(CONCATENATE($E$18,"Line"),'[3]Supply Attribution'!$F$31:$G$37,2,FALSE)=G$18,$E48,0)+IF(VLOOKUP(CONCATENATE($F$18,"Line"),'[3]Supply Attribution'!$F$31:$G$37,2,FALSE)=G$18,$F48,0)+IF($K$6="UL",LEFT($S$90,2),0)-IF(AND($K$16=G$18,$K$14&lt;&gt;$K$15,$K$16=$K$17,RIGHT($K48,3)="2SP"),VLOOKUP(CONCATENATE(LEFT($K48,2),"L"),$R$63:$T$90,3,FALSE),0)-IF(AND($L$16=G$18,$L$14&lt;&gt;$L$15,$L$16=$L$17,RIGHT($L48,3)="2SP"),VLOOKUP(CONCATENATE(LEFT($L48,2),"L"),$R$63:$T$90,3,FALSE),0)-IF(AND($M$16=G$18,$M$14&lt;&gt;$M$15,$M$16=$M$17,RIGHT($M48,3)="2SP"),VLOOKUP(CONCATENATE(LEFT($M48,2),"L"),$R$63:$T$90,3,FALSE),0)-IF(AND($N$16=G$18,$N$14&lt;&gt;$N$15,$N$16=$N$17,RIGHT($N48,3)="2SP"),VLOOKUP(CONCATENATE(LEFT($N48,2),"L"),$R$63:$T$90,3,FALSE),0)-IF(AND($O$16=G$18,$O$14&lt;&gt;$O$15,$O$16=$O$17,RIGHT($O48,3)="2SP"),VLOOKUP(CONCATENATE(LEFT($O48,2),"L"),$R$63:$T$90,3,FALSE),0)-IF(AND($P$16=G$18,$P$14&lt;&gt;$P$15,$P$16=$P$17,RIGHT($P48,3)="2SP"),VLOOKUP(CONCATENATE(LEFT($P48,2),"L"),$R$63:$T$90,3,FALSE),0)-IF(AND($Q$16=G$18,$Q$14&lt;&gt;$Q$15,$Q$16=$Q$17,RIGHT($Q48,3)="2SP"),VLOOKUP(CONCATENATE(LEFT($Q48,2),"L"),$R$63:$T$90,3,FALSE),0)-IF(AND($R$16=G$18,$R$14&lt;&gt;$R$15,$R$16=$R$17,RIGHT($R48,3)="2SP"),VLOOKUP(CONCATENATE(LEFT($R48,2),"L"),$R$63:$T$90,3,FALSE),0)-IF(AND($S$16=G$18,$S$14&lt;&gt;$S$15,$S$16=$S$17,RIGHT($S48,3)="2SP"),VLOOKUP(CONCATENATE(LEFT($S48,2),"L"),$R$63:$T$90,3,FALSE),0)-IF(AND($T$16=G$18,$T$14&lt;&gt;$T$15,$T$16=$T$17,RIGHT($T48,3)="2SP"),VLOOKUP(CONCATENATE(LEFT($T48,2),"L"),$R$63:$T$90,3,FALSE),0)-IF(AND($U$16=G$18,$U$14&lt;&gt;$U$15,$U$16=$U$17,RIGHT($U48,3)="2SP"),VLOOKUP(CONCATENATE(LEFT($U48,2),"L"),$R$63:$T$90,3,FALSE),0)-IF(AND($V$16=G$18,$V$14&lt;&gt;$V$15,$V$16=$V$17,RIGHT($V48,3)="2SP"),VLOOKUP(CONCATENATE(LEFT($V48,2),"L"),$R$63:$T$90,3,FALSE),0)-IF(AND($W$16=G$18,$W$14&lt;&gt;$W$15,$W$16=$W$17,RIGHT($W48,3)="2SP"),VLOOKUP(CONCATENATE(LEFT($W48,2),"L"),$R$63:$T$90,3,FALSE),0)-IF(AND($X$16=G$18,$X$14&lt;&gt;$X$15,$X$16=$X$17,RIGHT($X48,3)="2SP"),VLOOKUP(CONCATENATE(LEFT($X48,2),"L"),$R$63:$T$90,3,FALSE),0)-IF(AND($Y$16=G$18,$Y$14&lt;&gt;$Y$15,$Y$16=$Y$17,RIGHT($Y48,3)="2SP"),VLOOKUP(CONCATENATE(LEFT($Y48,2),"L"),$R$63:$T$90,3,FALSE),0))</f>
        <v>17</v>
      </c>
      <c r="H48" s="269" t="str">
        <f>IF(H$18&lt;&gt;"",IF(VLOOKUP(CONCATENATE($A$18,"Line"),'Supply Attribution'!$F$31:$G$37,2,FALSE)=H$18,$A48,0)+IF(VLOOKUP(CONCATENATE($B$18,"Line"),'Supply Attribution'!$F$31:$G$37,2,FALSE)=H$18,$B48,0)+IF(VLOOKUP(CONCATENATE($C$18,"Line"),'Supply Attribution'!$F$31:$G$37,2,FALSE)=H$18,$C48,0)+IF(VLOOKUP(CONCATENATE($D$18,"Line"),'Supply Attribution'!$F$31:$G$37,2,FALSE)=H$18,$D48,0)+IF(VLOOKUP(CONCATENATE($E$18,"Line"),'Supply Attribution'!$F$31:$G$37,2,FALSE)=H$18,$E48,0)+IF(VLOOKUP(CONCATENATE($F$18,"Line"),'Supply Attribution'!$F$31:$G$37,2,FALSE)=H$18,$F48,0)+IF($K$6="UL",LEFT($S$90,2),0)-IF(AND($K$16=H$18,$K$14&lt;&gt;$K$15,$K$16=$K$17,RIGHT($K48,3)="2SP"),VLOOKUP(CONCATENATE(LEFT($K48,2),"L"),$R$63:$T$90,3,FALSE),0)-IF(AND($L$16=H$18,$L$14&lt;&gt;$L$15,$L$16=$L$17,RIGHT($L48,3)="2SP"),VLOOKUP(CONCATENATE(LEFT($L48,2),"L"),$R$63:$T$90,3,FALSE),0)-IF(AND($M$16=H$18,$M$14&lt;&gt;$M$15,$M$16=$M$17,RIGHT($M48,3)="2SP"),VLOOKUP(CONCATENATE(LEFT($M48,2),"L"),$R$63:$T$90,3,FALSE),0)-IF(AND($N$16=H$18,$N$14&lt;&gt;$N$15,$N$16=$N$17,RIGHT($N48,3)="2SP"),VLOOKUP(CONCATENATE(LEFT($N48,2),"L"),$R$63:$T$90,3,FALSE),0)-IF(AND($O$16=H$18,$O$14&lt;&gt;$O$15,$O$16=$O$17,RIGHT($O48,3)="2SP"),VLOOKUP(CONCATENATE(LEFT($O48,2),"L"),$R$63:$T$90,3,FALSE),0)-IF(AND($P$16=H$18,$P$14&lt;&gt;$P$15,$P$16=$P$17,RIGHT($P48,3)="2SP"),VLOOKUP(CONCATENATE(LEFT($P48,2),"L"),$R$63:$T$90,3,FALSE),0)-IF(AND($Q$16=H$18,$Q$14&lt;&gt;$Q$15,$Q$16=$Q$17,RIGHT($Q48,3)="2SP"),VLOOKUP(CONCATENATE(LEFT($Q48,2),"L"),$R$63:$T$90,3,FALSE),0)-IF(AND($T$16=H$18,$T$14&lt;&gt;$T$15,$T$16=$T$17,RIGHT($T48,3)="2SP"),VLOOKUP(CONCATENATE(LEFT($T48,2),"L"),$R$63:$T$90,3,FALSE),0)-IF(AND($U$16=H$18,$U$14&lt;&gt;$U$15,$U$16=$U$17,RIGHT($U48,3)="2SP"),VLOOKUP(CONCATENATE(LEFT($U48,2),"L"),$R$63:$T$90,3,FALSE),0)-IF(AND($V$16=H$18,$V$14&lt;&gt;$V$15,$V$16=$V$17,RIGHT($V48,3)="2SP"),VLOOKUP(CONCATENATE(LEFT($V48,2),"L"),$R$63:$T$90,3,FALSE),0)-IF(AND($W$16=H$18,$W$14&lt;&gt;$W$15,$W$16=$W$17,RIGHT($W48,3)="2SP"),VLOOKUP(CONCATENATE(LEFT($W48,2),"L"),$R$63:$T$90,3,FALSE),0)-IF(AND($X$16=H$18,$X$14&lt;&gt;$X$15,$X$16=$X$17,RIGHT($X48,3)="2SP"),VLOOKUP(CONCATENATE(LEFT($X48,2),"L"),$R$63:$T$90,3,FALSE),0)-IF(AND($Y$16=H$18,$Y$14&lt;&gt;$Y$15,$Y$16=$Y$17,RIGHT($Y48,3)="2SP"),VLOOKUP(CONCATENATE(LEFT($Y48,2),"L"),$R$63:$T$90,3,FALSE),0)+IF(AND($K$6="CE",$T$59="2 Phases",H$18&lt;&gt;""),IF(VLOOKUP(CONCATENATE($A$18,"Line"),'Supply Attribution'!$F$31:$G$37,2,FALSE)="Line3",$A48,0)+IF(VLOOKUP(CONCATENATE($B$18,"Line"),'Supply Attribution'!$F$31:$G$37,2,FALSE)="Line3",$B48,0)+IF(VLOOKUP(CONCATENATE($C$18,"Line"),'Supply Attribution'!$F$31:$G$37,2,FALSE)="Line3",$C48,0)+IF(VLOOKUP(CONCATENATE($D$18,"Line"),'Supply Attribution'!$F$31:$G$37,2,FALSE)="Line3",$D48,0)+IF(VLOOKUP(CONCATENATE($E$18,"Line"),'Supply Attribution'!$F$31:$G$37,2,FALSE)="Line3",$E48,0)+IF(VLOOKUP(CONCATENATE($F$18,"Line"),'Supply Attribution'!$F$31:$G$37,2,FALSE)="Line3",$F48,0)-IF(AND($K$16=I$18,$K$14&lt;&gt;$K$15,$K$16=$K$17,RIGHT($K48,3)="2SP"),VLOOKUP(CONCATENATE(LEFT($K48,2),"L"),$R$63:$T$90,3,FALSE),0)-IF(AND($L$16=I$18,$L$14&lt;&gt;$L$15,$L$16=$L$17,RIGHT($L48,3)="2SP"),VLOOKUP(CONCATENATE(LEFT($L48,2),"L"),$R$63:$T$90,3,FALSE),0)-IF(AND($M$16=I$18,$M$14&lt;&gt;$M$15,$M$16=$M$17,RIGHT($M48,3)="2SP"),VLOOKUP(CONCATENATE(LEFT($M48,2),"L"),$R$63:$T$90,3,FALSE),0)-IF(AND($N$16=I$18,$N$14&lt;&gt;$N$15,$N$16=$N$17,RIGHT($N48,3)="2SP"),VLOOKUP(CONCATENATE(LEFT($N48,2),"L"),$R$63:$T$90,3,FALSE),0)-IF(AND($O$16=I$18,$O$14&lt;&gt;$O$15,$O$16=$O$17,RIGHT($O48,3)="2SP"),VLOOKUP(CONCATENATE(LEFT($O48,2),"L"),$R$63:$T$90,3,FALSE),0)-IF(AND($P$16=I$18,$P$14&lt;&gt;$P$15,$P$16=$P$17,RIGHT($P48,3)="2SP"),VLOOKUP(CONCATENATE(LEFT($P48,2),"L"),$R$63:$T$90,3,FALSE),0)-IF(AND($Q$16=I$18,$Q$14&lt;&gt;$Q$15,$Q$16=$Q$17,RIGHT($Q48,3)="2SP"),VLOOKUP(CONCATENATE(LEFT($Q48,2),"L"),$R$63:$T$90,3,FALSE),0)-IF(AND($T$16=I$18,$T$14&lt;&gt;$T$15,$T$16=$T$17,RIGHT($T48,3)="2SP"),VLOOKUP(CONCATENATE(LEFT($T48,2),"L"),$R$63:$T$90,3,FALSE),0)-IF(AND($U$16=I$18,$U$14&lt;&gt;$U$15,$U$16=$U$17,RIGHT($U48,3)="2SP"),VLOOKUP(CONCATENATE(LEFT($U48,2),"L"),$R$63:$T$90,3,FALSE),0)-IF(AND($V$16=I$18,$V$14&lt;&gt;$V$15,$V$16=$V$17,RIGHT($V48,3)="2SP"),VLOOKUP(CONCATENATE(LEFT($V48,2),"L"),$R$63:$T$90,3,FALSE),0)-IF(AND($W$16=I$18,$W$14&lt;&gt;$W$15,$W$16=$W$17,RIGHT($W48,3)="2SP"),VLOOKUP(CONCATENATE(LEFT($W48,2),"L"),$R$63:$T$90,3,FALSE),0)-IF(AND($X$16=I$18,$X$14&lt;&gt;$X$15,$X$16=$X$17,RIGHT($X48,3)="2SP"),VLOOKUP(CONCATENATE(LEFT($X48,2),"L"),$R$63:$T$90,3,FALSE),0)-IF(AND($Y$16=I$18,$Y$14&lt;&gt;$Y$15,$Y$16=$Y$17,RIGHT($Y48,3)="2SP"),VLOOKUP(CONCATENATE(LEFT($Y48,2),"L"),$R$63:$T$90,3,FALSE),0),0),"")</f>
        <v/>
      </c>
      <c r="I48" s="269" t="str">
        <f>IF(I$18&lt;&gt;"",IF(VLOOKUP(CONCATENATE($A$18,"Line"),'Supply Attribution'!$F$31:$G$37,2,FALSE)=I$18,$A48,0)+IF(VLOOKUP(CONCATENATE($B$18,"Line"),'Supply Attribution'!$F$31:$G$37,2,FALSE)=I$18,$B48,0)+IF(VLOOKUP(CONCATENATE($C$18,"Line"),'Supply Attribution'!$F$31:$G$37,2,FALSE)=I$18,$C48,0)+IF(VLOOKUP(CONCATENATE($D$18,"Line"),'Supply Attribution'!$F$31:$G$37,2,FALSE)=I$18,$D48,0)+IF(VLOOKUP(CONCATENATE($E$18,"Line"),'Supply Attribution'!$F$31:$G$37,2,FALSE)=I$18,$E48,0)+IF(VLOOKUP(CONCATENATE($F$18,"Line"),'Supply Attribution'!$F$31:$G$37,2,FALSE)=I$18,$F48,0)+IF($K$6="UL",LEFT($S$90,2),0)-IF(AND($K$16=I$18,$K$14&lt;&gt;$K$15,$K$16=$K$17,RIGHT($K48,3)="2SP"),VLOOKUP(CONCATENATE(LEFT($K48,2),"L"),$R$63:$T$90,3,FALSE),0)-IF(AND($L$16=I$18,$L$14&lt;&gt;$L$15,$L$16=$L$17,RIGHT($L48,3)="2SP"),VLOOKUP(CONCATENATE(LEFT($L48,2),"L"),$R$63:$T$90,3,FALSE),0)-IF(AND($M$16=I$18,$M$14&lt;&gt;$M$15,$M$16=$M$17,RIGHT($M48,3)="2SP"),VLOOKUP(CONCATENATE(LEFT($M48,2),"L"),$R$63:$T$90,3,FALSE),0)-IF(AND($N$16=I$18,$N$14&lt;&gt;$N$15,$N$16=$N$17,RIGHT($N48,3)="2SP"),VLOOKUP(CONCATENATE(LEFT($N48,2),"L"),$R$63:$T$90,3,FALSE),0)-IF(AND($O$16=I$18,$O$14&lt;&gt;$O$15,$O$16=$O$17,RIGHT($O48,3)="2SP"),VLOOKUP(CONCATENATE(LEFT($O48,2),"L"),$R$63:$T$90,3,FALSE),0)-IF(AND($P$16=I$18,$P$14&lt;&gt;$P$15,$P$16=$P$17,RIGHT($P48,3)="2SP"),VLOOKUP(CONCATENATE(LEFT($P48,2),"L"),$R$63:$T$90,3,FALSE),0)-IF(AND($Q$16=I$18,$Q$14&lt;&gt;$Q$15,$Q$16=$Q$17,RIGHT($Q48,3)="2SP"),VLOOKUP(CONCATENATE(LEFT($Q48,2),"L"),$R$63:$T$90,3,FALSE),0)-IF(AND($T$16=I$18,$T$14&lt;&gt;$T$15,$T$16=$T$17,RIGHT($T48,3)="2SP"),VLOOKUP(CONCATENATE(LEFT($T48,2),"L"),$R$63:$T$90,3,FALSE),0)-IF(AND($U$16=I$18,$U$14&lt;&gt;$U$15,$U$16=$U$17,RIGHT($U48,3)="2SP"),VLOOKUP(CONCATENATE(LEFT($U48,2),"L"),$R$63:$T$90,3,FALSE),0)-IF(AND($V$16=I$18,$V$14&lt;&gt;$V$15,$V$16=$V$17,RIGHT($V48,3)="2SP"),VLOOKUP(CONCATENATE(LEFT($V48,2),"L"),$R$63:$T$90,3,FALSE),0)-IF(AND($W$16=I$18,$W$14&lt;&gt;$W$15,$W$16=$W$17,RIGHT($W48,3)="2SP"),VLOOKUP(CONCATENATE(LEFT($W48,2),"L"),$R$63:$T$90,3,FALSE),0)-IF(AND($X$16=I$18,$X$14&lt;&gt;$X$15,$X$16=$X$17,RIGHT($X48,3)="2SP"),VLOOKUP(CONCATENATE(LEFT($X48,2),"L"),$R$63:$T$90,3,FALSE),0)-IF(AND($Y$16=I$18,$Y$14&lt;&gt;$Y$15,$Y$16=$Y$17,RIGHT($Y48,3)="2SP"),VLOOKUP(CONCATENATE(LEFT($Y48,2),"L"),$R$63:$T$90,3,FALSE),0),"")</f>
        <v/>
      </c>
      <c r="J48" s="134"/>
      <c r="K48" s="135"/>
      <c r="L48" s="135"/>
      <c r="M48" s="135"/>
      <c r="N48" s="135"/>
      <c r="O48" s="135"/>
      <c r="P48" s="135"/>
      <c r="Q48" s="135"/>
      <c r="R48" s="135"/>
      <c r="S48" s="135"/>
      <c r="T48" s="135"/>
      <c r="U48" s="135"/>
      <c r="V48" s="135"/>
      <c r="W48" s="135"/>
      <c r="X48" s="135"/>
      <c r="Y48" s="135"/>
      <c r="Z48" s="136"/>
      <c r="AA48" s="136"/>
      <c r="AB48" s="137"/>
      <c r="AC48" s="137"/>
      <c r="AD48" s="137"/>
      <c r="AE48" s="138">
        <f t="shared" si="0"/>
        <v>0</v>
      </c>
      <c r="AF48" s="78"/>
    </row>
    <row r="49" spans="1:32">
      <c r="A49" s="264">
        <f>IF(AND($K49&lt;&gt;"",$K49&lt;&gt;"--",$K49&lt;&gt;"O3/CP",$K$14=A$18),IF(LEFT($K49,1)="P",VLOOKUP(CONCATENATE(LEFT($K49,2),"H"),$R$63:$T$91,3,FALSE),VLOOKUP($K49,$R$63:$T$91,3,FALSE)))+IF(AND($K49&lt;&gt;"",$K49&lt;&gt;"O3/CP",$K$15=A$18,MID($K49,4,1)="2",$K$15&lt;&gt;$K$14),VLOOKUP(CONCATENATE(LEFT($K49,2),"L"),$R$63:$T$91,3,FALSE),0)+IF(AND($K49="O3/CP",$K$14=A$18),VLOOKUP("O3",$R$63:$T$91,3,FALSE)+VLOOKUP("CP",$R$63:$T$91,3,FALSE),0)+IF(AND($L49&lt;&gt;"",$L49&lt;&gt;"--",$L49&lt;&gt;"O3/CP",$L$14=A$18),IF(LEFT($L49,1)="P",VLOOKUP(CONCATENATE(LEFT($L49,2),"H"),$R$63:$T$91,3,FALSE),VLOOKUP($L49,$R$63:$T$91,3,FALSE)))+IF(AND($L49&lt;&gt;"",$L49&lt;&gt;"O3/CP",$L$15=A$18,MID($L49,4,1)="2",$L$15&lt;&gt;$L$14),VLOOKUP(CONCATENATE(LEFT($L49,2),"L"),$R$63:$T$91,3,FALSE),0)+IF(AND($L49="O3/CP",$L$14=A$18),VLOOKUP("O3",$R$63:$T$91,3,FALSE)+VLOOKUP("CP",$R$63:$T$91,3,FALSE),0)+IF(AND($M49&lt;&gt;"",$M49&lt;&gt;"--",$M49&lt;&gt;"O3/CP",$M$14=A$18),IF(LEFT($M49,1)="P",VLOOKUP(CONCATENATE(LEFT($M49,2),"H"),$R$63:$T$91,3,FALSE),VLOOKUP($M49,$R$63:$T$91,3,FALSE)))+IF(AND($M49&lt;&gt;"",$M49&lt;&gt;"O3/CP",$M$15=A$18,MID($M49,4,1)="2",$M$15&lt;&gt;$M$14),VLOOKUP(CONCATENATE(LEFT($M49,2),"L"),$R$63:$T$91,3,FALSE),0)+IF(AND($M49="O3/CP",$M$14=A$18),VLOOKUP("O3",$R$63:$T$91,3,FALSE)+VLOOKUP("CP",$R$63:$T$91,3,FALSE),0)+IF(AND($N49&lt;&gt;"",$N49&lt;&gt;"--",$N49&lt;&gt;"O3/CP",$N$14=A$18),IF(LEFT($N49,1)="P",VLOOKUP(CONCATENATE(LEFT($N49,2),"H"),$R$63:$T$91,3,FALSE),VLOOKUP($N49,$R$63:$T$91,3,FALSE)))+IF(AND($N49&lt;&gt;"",$N49&lt;&gt;"O3/CP",$N$15=A$18,MID($N49,4,1)="2",$N$15&lt;&gt;$N$14),VLOOKUP(CONCATENATE(LEFT($N49,2),"L"),$R$63:$T$91,3,FALSE),0)+IF(AND($N49="O3/CP",$N$14=A$18),VLOOKUP("O3",$R$63:$T$91,3,FALSE)+VLOOKUP("CP",$R$63:$T$91,3,FALSE),0)+IF(AND($O49&lt;&gt;"",$O49&lt;&gt;"--",$O49&lt;&gt;"O3/CP",$O$14=A$18),IF(LEFT($O49,1)="P",VLOOKUP(CONCATENATE(LEFT($O49,2),"H"),$R$63:$T$91,3,FALSE),VLOOKUP($O49,$R$63:$T$91,3,FALSE)))+IF(AND($O49&lt;&gt;"",$O49&lt;&gt;"O3/CP",$O$15=A$18,MID($O49,4,1)="2",$O$15&lt;&gt;$O$14),VLOOKUP(CONCATENATE(LEFT($O49,2),"L"),$R$63:$T$91,3,FALSE),0)+IF(AND($O49="O3/CP",$O$14=A$18),VLOOKUP("O3",$R$63:$T$91,3,FALSE)+VLOOKUP("CP",$R$63:$T$91,3,FALSE),0)+IF(AND($P49&lt;&gt;"",$P49&lt;&gt;"--",$P49&lt;&gt;"O3/CP",$P$14=A$18),IF(LEFT($P49,1)="P",VLOOKUP(CONCATENATE(LEFT($P49,2),"H"),$R$63:$T$91,3,FALSE),VLOOKUP($P49,$R$63:$T$91,3,FALSE)))+IF(AND($P49&lt;&gt;"",$P49&lt;&gt;"O3/CP",$P$15=A$18,MID($P49,4,1)="2",$P$15&lt;&gt;$P$14),VLOOKUP(CONCATENATE(LEFT($P49,2),"L"),$R$63:$T$91,3,FALSE),0)+IF(AND($P49="O3/CP",$P$14=A$18),VLOOKUP("O3",$R$63:$T$91,3,FALSE)+VLOOKUP("CP",$R$63:$T$91,3,FALSE),0)+IF(AND($Q49&lt;&gt;"",$Q49&lt;&gt;"--",$Q49&lt;&gt;"O3/CP",$Q$14=A$18),IF(LEFT($Q49,1)="P",VLOOKUP(CONCATENATE(LEFT($Q49,2),"H"),$R$63:$T$91,3,FALSE),VLOOKUP($Q49,$R$63:$T$91,3,FALSE)))+IF(AND($Q49&lt;&gt;"",$Q49&lt;&gt;"O3/CP",$Q$15=A$18,MID($Q49,4,1)="2",$Q$15&lt;&gt;$Q$14),VLOOKUP(CONCATENATE(LEFT($Q49,2),"L"),$R$63:$T$91,3,FALSE),0)+IF(AND($Q49="O3/CP",$Q$14=A$18),VLOOKUP("O3",$R$63:$T$91,3,FALSE)+VLOOKUP("CP",$R$63:$T$91,3,FALSE),0)+IF(AND($R49&lt;&gt;"",$R49&lt;&gt;"--",$R49&lt;&gt;"O3/CP",$R$14=A$18),IF(LEFT($R49,1)="P",VLOOKUP(CONCATENATE(LEFT($R49,2),"H"),$R$63:$T$91,3,FALSE),VLOOKUP($R49,$R$63:$T$91,3,FALSE)))+IF(AND($R49&lt;&gt;"",$R49&lt;&gt;"O3/CP",$R$15=A$18,MID($R49,4,1)="2",$R$15&lt;&gt;$R$14),VLOOKUP(CONCATENATE(LEFT($R49,2),"L"),$R$63:$T$91,3,FALSE),0)+IF(AND($R49="O3/CP",$R$14=A$18),VLOOKUP("O3",$R$63:$T$91,3,FALSE)+VLOOKUP("CP",$R$63:$T$91,3,FALSE),0)+IF(AND($S49&lt;&gt;"",$S49&lt;&gt;"--",$S49&lt;&gt;"O3/CP",$S$14=A$18),IF(LEFT($S49,1)="P",VLOOKUP(CONCATENATE(LEFT($S49,2),"H"),$R$63:$T$91,3,FALSE),VLOOKUP($S49,$R$63:$T$91,3,FALSE)))+IF(AND($S49&lt;&gt;"",$S49&lt;&gt;"O3/CP",$S$15=A$18,MID($S49,4,1)="2",$S$15&lt;&gt;$S$14),VLOOKUP(CONCATENATE(LEFT($S49,2),"L"),$R$63:$T$91,3,FALSE),0)+IF(AND($S49="O3/CP",$S$14=A$18),VLOOKUP("O3",$R$63:$T$91,3,FALSE)+VLOOKUP("CP",$R$63:$T$91,3,FALSE),0)+IF(AND($T49&lt;&gt;"",$T49&lt;&gt;"--",$T49&lt;&gt;"O3/CP",$T$14=A$18),IF(LEFT($T49,1)="P",VLOOKUP(CONCATENATE(LEFT($T49,2),"H"),$R$63:$T$91,3,FALSE),VLOOKUP($T49,$R$63:$T$91,3,FALSE)))+IF(AND($T49&lt;&gt;"",$T49&lt;&gt;"O3/CP",$T$15=A$18,MID($T49,4,1)="2",$T$15&lt;&gt;$T$14),VLOOKUP(CONCATENATE(LEFT($T49,2),"L"),$R$63:$T$91,3,FALSE),0)+IF(AND($T49="O3/CP",$T$14=A$18),VLOOKUP("O3",$R$63:$T$91,3,FALSE)+VLOOKUP("CP",$R$63:$T$91,3,FALSE),0)+IF(AND($U49&lt;&gt;"",$U49&lt;&gt;"--",$U49&lt;&gt;"O3/CP",$U$14=A$18),IF(LEFT($U49,1)="P",VLOOKUP(CONCATENATE(LEFT($U49,2),"H"),$R$63:$T$91,3,FALSE),VLOOKUP($U49,$R$63:$T$91,3,FALSE)))+IF(AND($U49&lt;&gt;"",$U49&lt;&gt;"O3/CP",$U$15=A$18,MID($U49,4,1)="2",$U$15&lt;&gt;$U$14),VLOOKUP(CONCATENATE(LEFT($U49,2),"L"),$R$63:$T$91,3,FALSE),0)+IF(AND($U49="O3/CP",$T$14=A$18),VLOOKUP("O3",$R$63:$T$91,3,FALSE)+VLOOKUP("CP",$R$63:$T$91,3,FALSE),0)+IF(AND($V49&lt;&gt;"",$V49&lt;&gt;"--",$V49&lt;&gt;"O3/CP",$V$14=A$18),IF(LEFT($V49,1)="P",VLOOKUP(CONCATENATE(LEFT($V49,2),"H"),$R$63:$T$91,3,FALSE),VLOOKUP($V49,$R$63:$T$91,3,FALSE)))+IF(AND($V49&lt;&gt;"",$V49&lt;&gt;"O3/CP",$V$15=A$18,MID($V49,4,1)="2",$V$15&lt;&gt;$V$14),VLOOKUP(CONCATENATE(LEFT($V49,2),"L"),$R$63:$T$91,3,FALSE),0)+IF(AND($V49="O3/CP",$V$14=A$18),VLOOKUP("O3",$R$63:$T$91,3,FALSE)+VLOOKUP("CP",$R$63:$T$91,3,FALSE),0)+IF(AND($W49&lt;&gt;"",$W49&lt;&gt;"--",$W49&lt;&gt;"O3/CP",$W$14=A$18),IF(LEFT($W49,1)="P",VLOOKUP(CONCATENATE(LEFT($W49,2),"H"),$R$63:$T$91,3,FALSE),VLOOKUP($W49,$R$63:$T$91,3,FALSE)))+IF(AND($W49&lt;&gt;"",$W49&lt;&gt;"O3/CP",$W$15=A$18,MID($W49,4,1)="2",$W$15&lt;&gt;$W$14),VLOOKUP(CONCATENATE(LEFT($W49,2),"L"),$R$63:$T$91,3,FALSE),0)+IF(AND($W49="O3/CP",$W$14=A$18),VLOOKUP("O3",$R$63:$T$91,3,FALSE)+VLOOKUP("CP",$R$63:$T$91,3,FALSE),0)+IF(AND($X49&lt;&gt;"",$X49&lt;&gt;"--",$X49&lt;&gt;"O3/CP",$X$14=A$18),IF(LEFT($X49,1)="P",VLOOKUP(CONCATENATE(LEFT($X49,2),"H"),$R$63:$T$91,3,FALSE),VLOOKUP($X49,$R$63:$T$91,3,FALSE)))+IF(AND($X49&lt;&gt;"",$X49&lt;&gt;"O3/CP",$X$15=A$18,MID($X49,4,1)="2",$X$15&lt;&gt;$X$14),VLOOKUP(CONCATENATE(LEFT($X49,2),"L"),$R$63:$T$91,3,FALSE),0)+IF(AND($X49="O3/CP",$X$14=A$18),VLOOKUP("O3",$R$63:$T$91,3,FALSE)+VLOOKUP("CP",$R$63:$T$91,3,FALSE),0)+IF(AND($Y49&lt;&gt;"",$Y49&lt;&gt;"--",$Y49&lt;&gt;"O3/CP",$Y$14=A$18),IF(LEFT($Y49,1)="P",VLOOKUP(CONCATENATE(LEFT($Y49,2),"H"),$R$63:$T$91,3,FALSE),VLOOKUP($Y49,$R$63:$T$91,3,FALSE)))+IF(AND($Y49&lt;&gt;"",$Y49&lt;&gt;"O3/CP",$Y$15=A$18,MID($Y49,4,1)="2",$Y$15&lt;&gt;$Y$14),VLOOKUP(CONCATENATE(LEFT($Y49,2),"L"),$R$63:$T$91,3,FALSE),0)+IF(AND($Y49="O3/CP",$Y$14=A$18),VLOOKUP("O3",$R$63:$T$91,3,FALSE)+VLOOKUP("CP",$R$63:$T$91,3,FALSE),0)+IF(AND($K$6="CE",'[3]Supply Attribution'!$G$20=A$18),LEFT($S$90,2),0)+IF(AND($X$86&lt;&gt;"Not Set",$X$87=A$18),$X$86,0)</f>
        <v>0</v>
      </c>
      <c r="B49" s="271">
        <f>IF(AND($K49&lt;&gt;"",$K49&lt;&gt;"--",$K49&lt;&gt;"O3/CP",$K$14=B$18),IF(LEFT($K49,1)="P",VLOOKUP(CONCATENATE(LEFT($K49,2),"H"),$R$63:$T$91,3,FALSE),VLOOKUP($K49,$R$63:$T$91,3,FALSE)))+IF(AND($K49&lt;&gt;"",$K49&lt;&gt;"O3/CP",$K$15=B$18,MID($K49,4,1)="2",$K$15&lt;&gt;$K$14),VLOOKUP(CONCATENATE(LEFT($K49,2),"L"),$R$63:$T$91,3,FALSE),0)+IF(AND($K49="O3/CP",$K$14=B$18),VLOOKUP("O3",$R$63:$T$91,3,FALSE)+VLOOKUP("CP",$R$63:$T$91,3,FALSE),0)+IF(AND($L49&lt;&gt;"",$L49&lt;&gt;"--",$L49&lt;&gt;"O3/CP",$L$14=B$18),IF(LEFT($L49,1)="P",VLOOKUP(CONCATENATE(LEFT($L49,2),"H"),$R$63:$T$91,3,FALSE),VLOOKUP($L49,$R$63:$T$91,3,FALSE)))+IF(AND($L49&lt;&gt;"",$L49&lt;&gt;"O3/CP",$L$15=B$18,MID($L49,4,1)="2",$L$15&lt;&gt;$L$14),VLOOKUP(CONCATENATE(LEFT($L49,2),"L"),$R$63:$T$91,3,FALSE),0)+IF(AND($L49="O3/CP",$L$14=B$18),VLOOKUP("O3",$R$63:$T$91,3,FALSE)+VLOOKUP("CP",$R$63:$T$91,3,FALSE),0)+IF(AND($M49&lt;&gt;"",$M49&lt;&gt;"--",$M49&lt;&gt;"O3/CP",$M$14=B$18),IF(LEFT($M49,1)="P",VLOOKUP(CONCATENATE(LEFT($M49,2),"H"),$R$63:$T$91,3,FALSE),VLOOKUP($M49,$R$63:$T$91,3,FALSE)))+IF(AND($M49&lt;&gt;"",$M49&lt;&gt;"O3/CP",$M$15=B$18,MID($M49,4,1)="2",$M$15&lt;&gt;$M$14),VLOOKUP(CONCATENATE(LEFT($M49,2),"L"),$R$63:$T$91,3,FALSE),0)+IF(AND($M49="O3/CP",$M$14=B$18),VLOOKUP("O3",$R$63:$T$91,3,FALSE)+VLOOKUP("CP",$R$63:$T$91,3,FALSE),0)+IF(AND($N49&lt;&gt;"",$N49&lt;&gt;"--",$N49&lt;&gt;"O3/CP",$N$14=B$18),IF(LEFT($N49,1)="P",VLOOKUP(CONCATENATE(LEFT($N49,2),"H"),$R$63:$T$91,3,FALSE),VLOOKUP($N49,$R$63:$T$91,3,FALSE)))+IF(AND($N49&lt;&gt;"",$N49&lt;&gt;"O3/CP",$N$15=B$18,MID($N49,4,1)="2",$N$15&lt;&gt;$N$14),VLOOKUP(CONCATENATE(LEFT($N49,2),"L"),$R$63:$T$91,3,FALSE),0)+IF(AND($N49="O3/CP",$N$14=B$18),VLOOKUP("O3",$R$63:$T$91,3,FALSE)+VLOOKUP("CP",$R$63:$T$91,3,FALSE),0)+IF(AND($O49&lt;&gt;"",$O49&lt;&gt;"--",$O49&lt;&gt;"O3/CP",$O$14=B$18),IF(LEFT($O49,1)="P",VLOOKUP(CONCATENATE(LEFT($O49,2),"H"),$R$63:$T$91,3,FALSE),VLOOKUP($O49,$R$63:$T$91,3,FALSE)))+IF(AND($O49&lt;&gt;"",$O49&lt;&gt;"O3/CP",$O$15=B$18,MID($O49,4,1)="2",$O$15&lt;&gt;$O$14),VLOOKUP(CONCATENATE(LEFT($O49,2),"L"),$R$63:$T$91,3,FALSE),0)+IF(AND($O49="O3/CP",$O$14=B$18),VLOOKUP("O3",$R$63:$T$91,3,FALSE)+VLOOKUP("CP",$R$63:$T$91,3,FALSE),0)+IF(AND($P49&lt;&gt;"",$P49&lt;&gt;"--",$P49&lt;&gt;"O3/CP",$P$14=B$18),IF(LEFT($P49,1)="P",VLOOKUP(CONCATENATE(LEFT($P49,2),"H"),$R$63:$T$91,3,FALSE),VLOOKUP($P49,$R$63:$T$91,3,FALSE)))+IF(AND($P49&lt;&gt;"",$P49&lt;&gt;"O3/CP",$P$15=B$18,MID($P49,4,1)="2",$P$15&lt;&gt;$P$14),VLOOKUP(CONCATENATE(LEFT($P49,2),"L"),$R$63:$T$91,3,FALSE),0)+IF(AND($P49="O3/CP",$P$14=B$18),VLOOKUP("O3",$R$63:$T$91,3,FALSE)+VLOOKUP("CP",$R$63:$T$91,3,FALSE),0)+IF(AND($Q49&lt;&gt;"",$Q49&lt;&gt;"--",$Q49&lt;&gt;"O3/CP",$Q$14=B$18),IF(LEFT($Q49,1)="P",VLOOKUP(CONCATENATE(LEFT($Q49,2),"H"),$R$63:$T$91,3,FALSE),VLOOKUP($Q49,$R$63:$T$91,3,FALSE)))+IF(AND($Q49&lt;&gt;"",$Q49&lt;&gt;"O3/CP",$Q$15=B$18,MID($Q49,4,1)="2",$Q$15&lt;&gt;$Q$14),VLOOKUP(CONCATENATE(LEFT($Q49,2),"L"),$R$63:$T$91,3,FALSE),0)+IF(AND($Q49="O3/CP",$Q$14=B$18),VLOOKUP("O3",$R$63:$T$91,3,FALSE)+VLOOKUP("CP",$R$63:$T$91,3,FALSE),0)+IF(AND($R49&lt;&gt;"",$R49&lt;&gt;"--",$R49&lt;&gt;"O3/CP",$R$14=B$18),IF(LEFT($R49,1)="P",VLOOKUP(CONCATENATE(LEFT($R49,2),"H"),$R$63:$T$91,3,FALSE),VLOOKUP($R49,$R$63:$T$91,3,FALSE)))+IF(AND($R49&lt;&gt;"",$R49&lt;&gt;"O3/CP",$R$15=B$18,MID($R49,4,1)="2",$R$15&lt;&gt;$R$14),VLOOKUP(CONCATENATE(LEFT($R49,2),"L"),$R$63:$T$91,3,FALSE),0)+IF(AND($R49="O3/CP",$R$14=B$18),VLOOKUP("O3",$R$63:$T$91,3,FALSE)+VLOOKUP("CP",$R$63:$T$91,3,FALSE),0)+IF(AND($S49&lt;&gt;"",$S49&lt;&gt;"--",$S49&lt;&gt;"O3/CP",$S$14=B$18),IF(LEFT($S49,1)="P",VLOOKUP(CONCATENATE(LEFT($S49,2),"H"),$R$63:$T$91,3,FALSE),VLOOKUP($S49,$R$63:$T$91,3,FALSE)))+IF(AND($S49&lt;&gt;"",$S49&lt;&gt;"O3/CP",$S$15=B$18,MID($S49,4,1)="2",$S$15&lt;&gt;$S$14),VLOOKUP(CONCATENATE(LEFT($S49,2),"L"),$R$63:$T$91,3,FALSE),0)+IF(AND($S49="O3/CP",$S$14=B$18),VLOOKUP("O3",$R$63:$T$91,3,FALSE)+VLOOKUP("CP",$R$63:$T$91,3,FALSE),0)+IF(AND($T49&lt;&gt;"",$T49&lt;&gt;"--",$T49&lt;&gt;"O3/CP",$T$14=B$18),IF(LEFT($T49,1)="P",VLOOKUP(CONCATENATE(LEFT($T49,2),"H"),$R$63:$T$91,3,FALSE),VLOOKUP($T49,$R$63:$T$91,3,FALSE)))+IF(AND($T49&lt;&gt;"",$T49&lt;&gt;"O3/CP",$T$15=B$18,MID($T49,4,1)="2",$T$15&lt;&gt;$T$14),VLOOKUP(CONCATENATE(LEFT($T49,2),"L"),$R$63:$T$91,3,FALSE),0)+IF(AND($T49="O3/CP",$T$14=B$18),VLOOKUP("O3",$R$63:$T$91,3,FALSE)+VLOOKUP("CP",$R$63:$T$91,3,FALSE),0)+IF(AND($U49&lt;&gt;"",$U49&lt;&gt;"--",$U49&lt;&gt;"O3/CP",$U$14=B$18),IF(LEFT($U49,1)="P",VLOOKUP(CONCATENATE(LEFT($U49,2),"H"),$R$63:$T$91,3,FALSE),VLOOKUP($U49,$R$63:$T$91,3,FALSE)))+IF(AND($U49&lt;&gt;"",$U49&lt;&gt;"O3/CP",$U$15=B$18,MID($U49,4,1)="2",$U$15&lt;&gt;$U$14),VLOOKUP(CONCATENATE(LEFT($U49,2),"L"),$R$63:$T$91,3,FALSE),0)+IF(AND($U49="O3/CP",$T$14=B$18),VLOOKUP("O3",$R$63:$T$91,3,FALSE)+VLOOKUP("CP",$R$63:$T$91,3,FALSE),0)+IF(AND($V49&lt;&gt;"",$V49&lt;&gt;"--",$V49&lt;&gt;"O3/CP",$V$14=B$18),IF(LEFT($V49,1)="P",VLOOKUP(CONCATENATE(LEFT($V49,2),"H"),$R$63:$T$91,3,FALSE),VLOOKUP($V49,$R$63:$T$91,3,FALSE)))+IF(AND($V49&lt;&gt;"",$V49&lt;&gt;"O3/CP",$V$15=B$18,MID($V49,4,1)="2",$V$15&lt;&gt;$V$14),VLOOKUP(CONCATENATE(LEFT($V49,2),"L"),$R$63:$T$91,3,FALSE),0)+IF(AND($V49="O3/CP",$V$14=B$18),VLOOKUP("O3",$R$63:$T$91,3,FALSE)+VLOOKUP("CP",$R$63:$T$91,3,FALSE),0)+IF(AND($W49&lt;&gt;"",$W49&lt;&gt;"--",$W49&lt;&gt;"O3/CP",$W$14=B$18),IF(LEFT($W49,1)="P",VLOOKUP(CONCATENATE(LEFT($W49,2),"H"),$R$63:$T$91,3,FALSE),VLOOKUP($W49,$R$63:$T$91,3,FALSE)))+IF(AND($W49&lt;&gt;"",$W49&lt;&gt;"O3/CP",$W$15=B$18,MID($W49,4,1)="2",$W$15&lt;&gt;$W$14),VLOOKUP(CONCATENATE(LEFT($W49,2),"L"),$R$63:$T$91,3,FALSE),0)+IF(AND($W49="O3/CP",$W$14=B$18),VLOOKUP("O3",$R$63:$T$91,3,FALSE)+VLOOKUP("CP",$R$63:$T$91,3,FALSE),0)+IF(AND($X49&lt;&gt;"",$X49&lt;&gt;"--",$X49&lt;&gt;"O3/CP",$X$14=B$18),IF(LEFT($X49,1)="P",VLOOKUP(CONCATENATE(LEFT($X49,2),"H"),$R$63:$T$91,3,FALSE),VLOOKUP($X49,$R$63:$T$91,3,FALSE)))+IF(AND($X49&lt;&gt;"",$X49&lt;&gt;"O3/CP",$X$15=B$18,MID($X49,4,1)="2",$X$15&lt;&gt;$X$14),VLOOKUP(CONCATENATE(LEFT($X49,2),"L"),$R$63:$T$91,3,FALSE),0)+IF(AND($X49="O3/CP",$X$14=B$18),VLOOKUP("O3",$R$63:$T$91,3,FALSE)+VLOOKUP("CP",$R$63:$T$91,3,FALSE),0)+IF(AND($Y49&lt;&gt;"",$Y49&lt;&gt;"--",$Y49&lt;&gt;"O3/CP",$Y$14=B$18),IF(LEFT($Y49,1)="P",VLOOKUP(CONCATENATE(LEFT($Y49,2),"H"),$R$63:$T$91,3,FALSE),VLOOKUP($Y49,$R$63:$T$91,3,FALSE)))+IF(AND($Y49&lt;&gt;"",$Y49&lt;&gt;"O3/CP",$Y$15=B$18,MID($Y49,4,1)="2",$Y$15&lt;&gt;$Y$14),VLOOKUP(CONCATENATE(LEFT($Y49,2),"L"),$R$63:$T$91,3,FALSE),0)+IF(AND($Y49="O3/CP",$Y$14=B$18),VLOOKUP("O3",$R$63:$T$91,3,FALSE)+VLOOKUP("CP",$R$63:$T$91,3,FALSE),0)+IF(AND($K$6="CE",'[3]Supply Attribution'!$G$20=B$18),LEFT($S$90,2),0)+IF(AND($X$86&lt;&gt;"Not Set",$X$87=B$18),$X$86,0)</f>
        <v>0</v>
      </c>
      <c r="C49" s="271">
        <f>IF(AND($K49&lt;&gt;"",$K49&lt;&gt;"--",$K49&lt;&gt;"O3/CP",$K$14=C$18),IF(LEFT($K49,1)="P",VLOOKUP(CONCATENATE(LEFT($K49,2),"H"),$R$63:$T$91,3,FALSE),VLOOKUP($K49,$R$63:$T$91,3,FALSE)))+IF(AND($K49&lt;&gt;"",$K49&lt;&gt;"O3/CP",$K$15=C$18,MID($K49,4,1)="2",$K$15&lt;&gt;$K$14),VLOOKUP(CONCATENATE(LEFT($K49,2),"L"),$R$63:$T$91,3,FALSE),0)+IF(AND($K49="O3/CP",$K$14=C$18),VLOOKUP("O3",$R$63:$T$91,3,FALSE)+VLOOKUP("CP",$R$63:$T$91,3,FALSE),0)+IF(AND($L49&lt;&gt;"",$L49&lt;&gt;"--",$L49&lt;&gt;"O3/CP",$L$14=C$18),IF(LEFT($L49,1)="P",VLOOKUP(CONCATENATE(LEFT($L49,2),"H"),$R$63:$T$91,3,FALSE),VLOOKUP($L49,$R$63:$T$91,3,FALSE)))+IF(AND($L49&lt;&gt;"",$L49&lt;&gt;"O3/CP",$L$15=C$18,MID($L49,4,1)="2",$L$15&lt;&gt;$L$14),VLOOKUP(CONCATENATE(LEFT($L49,2),"L"),$R$63:$T$91,3,FALSE),0)+IF(AND($L49="O3/CP",$L$14=C$18),VLOOKUP("O3",$R$63:$T$91,3,FALSE)+VLOOKUP("CP",$R$63:$T$91,3,FALSE),0)+IF(AND($M49&lt;&gt;"",$M49&lt;&gt;"--",$M49&lt;&gt;"O3/CP",$M$14=C$18),IF(LEFT($M49,1)="P",VLOOKUP(CONCATENATE(LEFT($M49,2),"H"),$R$63:$T$91,3,FALSE),VLOOKUP($M49,$R$63:$T$91,3,FALSE)))+IF(AND($M49&lt;&gt;"",$M49&lt;&gt;"O3/CP",$M$15=C$18,MID($M49,4,1)="2",$M$15&lt;&gt;$M$14),VLOOKUP(CONCATENATE(LEFT($M49,2),"L"),$R$63:$T$91,3,FALSE),0)+IF(AND($M49="O3/CP",$M$14=C$18),VLOOKUP("O3",$R$63:$T$91,3,FALSE)+VLOOKUP("CP",$R$63:$T$91,3,FALSE),0)+IF(AND($N49&lt;&gt;"",$N49&lt;&gt;"--",$N49&lt;&gt;"O3/CP",$N$14=C$18),IF(LEFT($N49,1)="P",VLOOKUP(CONCATENATE(LEFT($N49,2),"H"),$R$63:$T$91,3,FALSE),VLOOKUP($N49,$R$63:$T$91,3,FALSE)))+IF(AND($N49&lt;&gt;"",$N49&lt;&gt;"O3/CP",$N$15=C$18,MID($N49,4,1)="2",$N$15&lt;&gt;$N$14),VLOOKUP(CONCATENATE(LEFT($N49,2),"L"),$R$63:$T$91,3,FALSE),0)+IF(AND($N49="O3/CP",$N$14=C$18),VLOOKUP("O3",$R$63:$T$91,3,FALSE)+VLOOKUP("CP",$R$63:$T$91,3,FALSE),0)+IF(AND($O49&lt;&gt;"",$O49&lt;&gt;"--",$O49&lt;&gt;"O3/CP",$O$14=C$18),IF(LEFT($O49,1)="P",VLOOKUP(CONCATENATE(LEFT($O49,2),"H"),$R$63:$T$91,3,FALSE),VLOOKUP($O49,$R$63:$T$91,3,FALSE)))+IF(AND($O49&lt;&gt;"",$O49&lt;&gt;"O3/CP",$O$15=C$18,MID($O49,4,1)="2",$O$15&lt;&gt;$O$14),VLOOKUP(CONCATENATE(LEFT($O49,2),"L"),$R$63:$T$91,3,FALSE),0)+IF(AND($O49="O3/CP",$O$14=C$18),VLOOKUP("O3",$R$63:$T$91,3,FALSE)+VLOOKUP("CP",$R$63:$T$91,3,FALSE),0)+IF(AND($P49&lt;&gt;"",$P49&lt;&gt;"--",$P49&lt;&gt;"O3/CP",$P$14=C$18),IF(LEFT($P49,1)="P",VLOOKUP(CONCATENATE(LEFT($P49,2),"H"),$R$63:$T$91,3,FALSE),VLOOKUP($P49,$R$63:$T$91,3,FALSE)))+IF(AND($P49&lt;&gt;"",$P49&lt;&gt;"O3/CP",$P$15=C$18,MID($P49,4,1)="2",$P$15&lt;&gt;$P$14),VLOOKUP(CONCATENATE(LEFT($P49,2),"L"),$R$63:$T$91,3,FALSE),0)+IF(AND($P49="O3/CP",$P$14=C$18),VLOOKUP("O3",$R$63:$T$91,3,FALSE)+VLOOKUP("CP",$R$63:$T$91,3,FALSE),0)+IF(AND($Q49&lt;&gt;"",$Q49&lt;&gt;"--",$Q49&lt;&gt;"O3/CP",$Q$14=C$18),IF(LEFT($Q49,1)="P",VLOOKUP(CONCATENATE(LEFT($Q49,2),"H"),$R$63:$T$91,3,FALSE),VLOOKUP($Q49,$R$63:$T$91,3,FALSE)))+IF(AND($Q49&lt;&gt;"",$Q49&lt;&gt;"O3/CP",$Q$15=C$18,MID($Q49,4,1)="2",$Q$15&lt;&gt;$Q$14),VLOOKUP(CONCATENATE(LEFT($Q49,2),"L"),$R$63:$T$91,3,FALSE),0)+IF(AND($Q49="O3/CP",$Q$14=C$18),VLOOKUP("O3",$R$63:$T$91,3,FALSE)+VLOOKUP("CP",$R$63:$T$91,3,FALSE),0)+IF(AND($R49&lt;&gt;"",$R49&lt;&gt;"--",$R49&lt;&gt;"O3/CP",$R$14=C$18),IF(LEFT($R49,1)="P",VLOOKUP(CONCATENATE(LEFT($R49,2),"H"),$R$63:$T$91,3,FALSE),VLOOKUP($R49,$R$63:$T$91,3,FALSE)))+IF(AND($R49&lt;&gt;"",$R49&lt;&gt;"O3/CP",$R$15=C$18,MID($R49,4,1)="2",$R$15&lt;&gt;$R$14),VLOOKUP(CONCATENATE(LEFT($R49,2),"L"),$R$63:$T$91,3,FALSE),0)+IF(AND($R49="O3/CP",$R$14=C$18),VLOOKUP("O3",$R$63:$T$91,3,FALSE)+VLOOKUP("CP",$R$63:$T$91,3,FALSE),0)+IF(AND($S49&lt;&gt;"",$S49&lt;&gt;"--",$S49&lt;&gt;"O3/CP",$S$14=C$18),IF(LEFT($S49,1)="P",VLOOKUP(CONCATENATE(LEFT($S49,2),"H"),$R$63:$T$91,3,FALSE),VLOOKUP($S49,$R$63:$T$91,3,FALSE)))+IF(AND($S49&lt;&gt;"",$S49&lt;&gt;"O3/CP",$S$15=C$18,MID($S49,4,1)="2",$S$15&lt;&gt;$S$14),VLOOKUP(CONCATENATE(LEFT($S49,2),"L"),$R$63:$T$91,3,FALSE),0)+IF(AND($S49="O3/CP",$S$14=C$18),VLOOKUP("O3",$R$63:$T$91,3,FALSE)+VLOOKUP("CP",$R$63:$T$91,3,FALSE),0)+IF(AND($T49&lt;&gt;"",$T49&lt;&gt;"--",$T49&lt;&gt;"O3/CP",$T$14=C$18),IF(LEFT($T49,1)="P",VLOOKUP(CONCATENATE(LEFT($T49,2),"H"),$R$63:$T$91,3,FALSE),VLOOKUP($T49,$R$63:$T$91,3,FALSE)))+IF(AND($T49&lt;&gt;"",$T49&lt;&gt;"O3/CP",$T$15=C$18,MID($T49,4,1)="2",$T$15&lt;&gt;$T$14),VLOOKUP(CONCATENATE(LEFT($T49,2),"L"),$R$63:$T$91,3,FALSE),0)+IF(AND($T49="O3/CP",$T$14=C$18),VLOOKUP("O3",$R$63:$T$91,3,FALSE)+VLOOKUP("CP",$R$63:$T$91,3,FALSE),0)+IF(AND($U49&lt;&gt;"",$U49&lt;&gt;"--",$U49&lt;&gt;"O3/CP",$U$14=C$18),IF(LEFT($U49,1)="P",VLOOKUP(CONCATENATE(LEFT($U49,2),"H"),$R$63:$T$91,3,FALSE),VLOOKUP($U49,$R$63:$T$91,3,FALSE)))+IF(AND($U49&lt;&gt;"",$U49&lt;&gt;"O3/CP",$U$15=C$18,MID($U49,4,1)="2",$U$15&lt;&gt;$U$14),VLOOKUP(CONCATENATE(LEFT($U49,2),"L"),$R$63:$T$91,3,FALSE),0)+IF(AND($U49="O3/CP",$T$14=C$18),VLOOKUP("O3",$R$63:$T$91,3,FALSE)+VLOOKUP("CP",$R$63:$T$91,3,FALSE),0)+IF(AND($V49&lt;&gt;"",$V49&lt;&gt;"--",$V49&lt;&gt;"O3/CP",$V$14=C$18),IF(LEFT($V49,1)="P",VLOOKUP(CONCATENATE(LEFT($V49,2),"H"),$R$63:$T$91,3,FALSE),VLOOKUP($V49,$R$63:$T$91,3,FALSE)))+IF(AND($V49&lt;&gt;"",$V49&lt;&gt;"O3/CP",$V$15=C$18,MID($V49,4,1)="2",$V$15&lt;&gt;$V$14),VLOOKUP(CONCATENATE(LEFT($V49,2),"L"),$R$63:$T$91,3,FALSE),0)+IF(AND($V49="O3/CP",$V$14=C$18),VLOOKUP("O3",$R$63:$T$91,3,FALSE)+VLOOKUP("CP",$R$63:$T$91,3,FALSE),0)+IF(AND($W49&lt;&gt;"",$W49&lt;&gt;"--",$W49&lt;&gt;"O3/CP",$W$14=C$18),IF(LEFT($W49,1)="P",VLOOKUP(CONCATENATE(LEFT($W49,2),"H"),$R$63:$T$91,3,FALSE),VLOOKUP($W49,$R$63:$T$91,3,FALSE)))+IF(AND($W49&lt;&gt;"",$W49&lt;&gt;"O3/CP",$W$15=C$18,MID($W49,4,1)="2",$W$15&lt;&gt;$W$14),VLOOKUP(CONCATENATE(LEFT($W49,2),"L"),$R$63:$T$91,3,FALSE),0)+IF(AND($W49="O3/CP",$W$14=C$18),VLOOKUP("O3",$R$63:$T$91,3,FALSE)+VLOOKUP("CP",$R$63:$T$91,3,FALSE),0)+IF(AND($X49&lt;&gt;"",$X49&lt;&gt;"--",$X49&lt;&gt;"O3/CP",$X$14=C$18),IF(LEFT($X49,1)="P",VLOOKUP(CONCATENATE(LEFT($X49,2),"H"),$R$63:$T$91,3,FALSE),VLOOKUP($X49,$R$63:$T$91,3,FALSE)))+IF(AND($X49&lt;&gt;"",$X49&lt;&gt;"O3/CP",$X$15=C$18,MID($X49,4,1)="2",$X$15&lt;&gt;$X$14),VLOOKUP(CONCATENATE(LEFT($X49,2),"L"),$R$63:$T$91,3,FALSE),0)+IF(AND($X49="O3/CP",$X$14=C$18),VLOOKUP("O3",$R$63:$T$91,3,FALSE)+VLOOKUP("CP",$R$63:$T$91,3,FALSE),0)+IF(AND($Y49&lt;&gt;"",$Y49&lt;&gt;"--",$Y49&lt;&gt;"O3/CP",$Y$14=C$18),IF(LEFT($Y49,1)="P",VLOOKUP(CONCATENATE(LEFT($Y49,2),"H"),$R$63:$T$91,3,FALSE),VLOOKUP($Y49,$R$63:$T$91,3,FALSE)))+IF(AND($Y49&lt;&gt;"",$Y49&lt;&gt;"O3/CP",$Y$15=C$18,MID($Y49,4,1)="2",$Y$15&lt;&gt;$Y$14),VLOOKUP(CONCATENATE(LEFT($Y49,2),"L"),$R$63:$T$91,3,FALSE),0)+IF(AND($Y49="O3/CP",$Y$14=C$18),VLOOKUP("O3",$R$63:$T$91,3,FALSE)+VLOOKUP("CP",$R$63:$T$91,3,FALSE),0)+IF(AND($K$6="CE",'[3]Supply Attribution'!$G$20=C$18),LEFT($S$90,2),0)+IF(AND($X$86&lt;&gt;"Not Set",$X$87=C$18),$X$86,0)</f>
        <v>0</v>
      </c>
      <c r="D49" s="271">
        <f>IF(AND($K49&lt;&gt;"",$K49&lt;&gt;"--",$K49&lt;&gt;"O3/CP",$K$14=D$18),IF(LEFT($K49,1)="P",VLOOKUP(CONCATENATE(LEFT($K49,2),"H"),$R$63:$T$91,3,FALSE),VLOOKUP($K49,$R$63:$T$91,3,FALSE)))+IF(AND($K49&lt;&gt;"",$K49&lt;&gt;"O3/CP",$K$15=D$18,MID($K49,4,1)="2",$K$15&lt;&gt;$K$14),VLOOKUP(CONCATENATE(LEFT($K49,2),"L"),$R$63:$T$91,3,FALSE),0)+IF(AND($K49="O3/CP",$K$14=D$18),VLOOKUP("O3",$R$63:$T$91,3,FALSE)+VLOOKUP("CP",$R$63:$T$91,3,FALSE),0)+IF(AND($L49&lt;&gt;"",$L49&lt;&gt;"--",$L49&lt;&gt;"O3/CP",$L$14=D$18),IF(LEFT($L49,1)="P",VLOOKUP(CONCATENATE(LEFT($L49,2),"H"),$R$63:$T$91,3,FALSE),VLOOKUP($L49,$R$63:$T$91,3,FALSE)))+IF(AND($L49&lt;&gt;"",$L49&lt;&gt;"O3/CP",$L$15=D$18,MID($L49,4,1)="2",$L$15&lt;&gt;$L$14),VLOOKUP(CONCATENATE(LEFT($L49,2),"L"),$R$63:$T$91,3,FALSE),0)+IF(AND($L49="O3/CP",$L$14=D$18),VLOOKUP("O3",$R$63:$T$91,3,FALSE)+VLOOKUP("CP",$R$63:$T$91,3,FALSE),0)+IF(AND($M49&lt;&gt;"",$M49&lt;&gt;"--",$M49&lt;&gt;"O3/CP",$M$14=D$18),IF(LEFT($M49,1)="P",VLOOKUP(CONCATENATE(LEFT($M49,2),"H"),$R$63:$T$91,3,FALSE),VLOOKUP($M49,$R$63:$T$91,3,FALSE)))+IF(AND($M49&lt;&gt;"",$M49&lt;&gt;"O3/CP",$M$15=D$18,MID($M49,4,1)="2",$M$15&lt;&gt;$M$14),VLOOKUP(CONCATENATE(LEFT($M49,2),"L"),$R$63:$T$91,3,FALSE),0)+IF(AND($M49="O3/CP",$M$14=D$18),VLOOKUP("O3",$R$63:$T$91,3,FALSE)+VLOOKUP("CP",$R$63:$T$91,3,FALSE),0)+IF(AND($N49&lt;&gt;"",$N49&lt;&gt;"--",$N49&lt;&gt;"O3/CP",$N$14=D$18),IF(LEFT($N49,1)="P",VLOOKUP(CONCATENATE(LEFT($N49,2),"H"),$R$63:$T$91,3,FALSE),VLOOKUP($N49,$R$63:$T$91,3,FALSE)))+IF(AND($N49&lt;&gt;"",$N49&lt;&gt;"O3/CP",$N$15=D$18,MID($N49,4,1)="2",$N$15&lt;&gt;$N$14),VLOOKUP(CONCATENATE(LEFT($N49,2),"L"),$R$63:$T$91,3,FALSE),0)+IF(AND($N49="O3/CP",$N$14=D$18),VLOOKUP("O3",$R$63:$T$91,3,FALSE)+VLOOKUP("CP",$R$63:$T$91,3,FALSE),0)+IF(AND($O49&lt;&gt;"",$O49&lt;&gt;"--",$O49&lt;&gt;"O3/CP",$O$14=D$18),IF(LEFT($O49,1)="P",VLOOKUP(CONCATENATE(LEFT($O49,2),"H"),$R$63:$T$91,3,FALSE),VLOOKUP($O49,$R$63:$T$91,3,FALSE)))+IF(AND($O49&lt;&gt;"",$O49&lt;&gt;"O3/CP",$O$15=D$18,MID($O49,4,1)="2",$O$15&lt;&gt;$O$14),VLOOKUP(CONCATENATE(LEFT($O49,2),"L"),$R$63:$T$91,3,FALSE),0)+IF(AND($O49="O3/CP",$O$14=D$18),VLOOKUP("O3",$R$63:$T$91,3,FALSE)+VLOOKUP("CP",$R$63:$T$91,3,FALSE),0)+IF(AND($P49&lt;&gt;"",$P49&lt;&gt;"--",$P49&lt;&gt;"O3/CP",$P$14=D$18),IF(LEFT($P49,1)="P",VLOOKUP(CONCATENATE(LEFT($P49,2),"H"),$R$63:$T$91,3,FALSE),VLOOKUP($P49,$R$63:$T$91,3,FALSE)))+IF(AND($P49&lt;&gt;"",$P49&lt;&gt;"O3/CP",$P$15=D$18,MID($P49,4,1)="2",$P$15&lt;&gt;$P$14),VLOOKUP(CONCATENATE(LEFT($P49,2),"L"),$R$63:$T$91,3,FALSE),0)+IF(AND($P49="O3/CP",$P$14=D$18),VLOOKUP("O3",$R$63:$T$91,3,FALSE)+VLOOKUP("CP",$R$63:$T$91,3,FALSE),0)+IF(AND($Q49&lt;&gt;"",$Q49&lt;&gt;"--",$Q49&lt;&gt;"O3/CP",$Q$14=D$18),IF(LEFT($Q49,1)="P",VLOOKUP(CONCATENATE(LEFT($Q49,2),"H"),$R$63:$T$91,3,FALSE),VLOOKUP($Q49,$R$63:$T$91,3,FALSE)))+IF(AND($Q49&lt;&gt;"",$Q49&lt;&gt;"O3/CP",$Q$15=D$18,MID($Q49,4,1)="2",$Q$15&lt;&gt;$Q$14),VLOOKUP(CONCATENATE(LEFT($Q49,2),"L"),$R$63:$T$91,3,FALSE),0)+IF(AND($Q49="O3/CP",$Q$14=D$18),VLOOKUP("O3",$R$63:$T$91,3,FALSE)+VLOOKUP("CP",$R$63:$T$91,3,FALSE),0)+IF(AND($R49&lt;&gt;"",$R49&lt;&gt;"--",$R49&lt;&gt;"O3/CP",$R$14=D$18),IF(LEFT($R49,1)="P",VLOOKUP(CONCATENATE(LEFT($R49,2),"H"),$R$63:$T$91,3,FALSE),VLOOKUP($R49,$R$63:$T$91,3,FALSE)))+IF(AND($R49&lt;&gt;"",$R49&lt;&gt;"O3/CP",$R$15=D$18,MID($R49,4,1)="2",$R$15&lt;&gt;$R$14),VLOOKUP(CONCATENATE(LEFT($R49,2),"L"),$R$63:$T$91,3,FALSE),0)+IF(AND($R49="O3/CP",$R$14=D$18),VLOOKUP("O3",$R$63:$T$91,3,FALSE)+VLOOKUP("CP",$R$63:$T$91,3,FALSE),0)+IF(AND($S49&lt;&gt;"",$S49&lt;&gt;"--",$S49&lt;&gt;"O3/CP",$S$14=D$18),IF(LEFT($S49,1)="P",VLOOKUP(CONCATENATE(LEFT($S49,2),"H"),$R$63:$T$91,3,FALSE),VLOOKUP($S49,$R$63:$T$91,3,FALSE)))+IF(AND($S49&lt;&gt;"",$S49&lt;&gt;"O3/CP",$S$15=D$18,MID($S49,4,1)="2",$S$15&lt;&gt;$S$14),VLOOKUP(CONCATENATE(LEFT($S49,2),"L"),$R$63:$T$91,3,FALSE),0)+IF(AND($S49="O3/CP",$S$14=D$18),VLOOKUP("O3",$R$63:$T$91,3,FALSE)+VLOOKUP("CP",$R$63:$T$91,3,FALSE),0)+IF(AND($T49&lt;&gt;"",$T49&lt;&gt;"--",$T49&lt;&gt;"O3/CP",$T$14=D$18),IF(LEFT($T49,1)="P",VLOOKUP(CONCATENATE(LEFT($T49,2),"H"),$R$63:$T$91,3,FALSE),VLOOKUP($T49,$R$63:$T$91,3,FALSE)))+IF(AND($T49&lt;&gt;"",$T49&lt;&gt;"O3/CP",$T$15=D$18,MID($T49,4,1)="2",$T$15&lt;&gt;$T$14),VLOOKUP(CONCATENATE(LEFT($T49,2),"L"),$R$63:$T$91,3,FALSE),0)+IF(AND($T49="O3/CP",$T$14=D$18),VLOOKUP("O3",$R$63:$T$91,3,FALSE)+VLOOKUP("CP",$R$63:$T$91,3,FALSE),0)+IF(AND($U49&lt;&gt;"",$U49&lt;&gt;"--",$U49&lt;&gt;"O3/CP",$U$14=D$18),IF(LEFT($U49,1)="P",VLOOKUP(CONCATENATE(LEFT($U49,2),"H"),$R$63:$T$91,3,FALSE),VLOOKUP($U49,$R$63:$T$91,3,FALSE)))+IF(AND($U49&lt;&gt;"",$U49&lt;&gt;"O3/CP",$U$15=D$18,MID($U49,4,1)="2",$U$15&lt;&gt;$U$14),VLOOKUP(CONCATENATE(LEFT($U49,2),"L"),$R$63:$T$91,3,FALSE),0)+IF(AND($U49="O3/CP",$T$14=D$18),VLOOKUP("O3",$R$63:$T$91,3,FALSE)+VLOOKUP("CP",$R$63:$T$91,3,FALSE),0)+IF(AND($V49&lt;&gt;"",$V49&lt;&gt;"--",$V49&lt;&gt;"O3/CP",$V$14=D$18),IF(LEFT($V49,1)="P",VLOOKUP(CONCATENATE(LEFT($V49,2),"H"),$R$63:$T$91,3,FALSE),VLOOKUP($V49,$R$63:$T$91,3,FALSE)))+IF(AND($V49&lt;&gt;"",$V49&lt;&gt;"O3/CP",$V$15=D$18,MID($V49,4,1)="2",$V$15&lt;&gt;$V$14),VLOOKUP(CONCATENATE(LEFT($V49,2),"L"),$R$63:$T$91,3,FALSE),0)+IF(AND($V49="O3/CP",$V$14=D$18),VLOOKUP("O3",$R$63:$T$91,3,FALSE)+VLOOKUP("CP",$R$63:$T$91,3,FALSE),0)+IF(AND($W49&lt;&gt;"",$W49&lt;&gt;"--",$W49&lt;&gt;"O3/CP",$W$14=D$18),IF(LEFT($W49,1)="P",VLOOKUP(CONCATENATE(LEFT($W49,2),"H"),$R$63:$T$91,3,FALSE),VLOOKUP($W49,$R$63:$T$91,3,FALSE)))+IF(AND($W49&lt;&gt;"",$W49&lt;&gt;"O3/CP",$W$15=D$18,MID($W49,4,1)="2",$W$15&lt;&gt;$W$14),VLOOKUP(CONCATENATE(LEFT($W49,2),"L"),$R$63:$T$91,3,FALSE),0)+IF(AND($W49="O3/CP",$W$14=D$18),VLOOKUP("O3",$R$63:$T$91,3,FALSE)+VLOOKUP("CP",$R$63:$T$91,3,FALSE),0)+IF(AND($X49&lt;&gt;"",$X49&lt;&gt;"--",$X49&lt;&gt;"O3/CP",$X$14=D$18),IF(LEFT($X49,1)="P",VLOOKUP(CONCATENATE(LEFT($X49,2),"H"),$R$63:$T$91,3,FALSE),VLOOKUP($X49,$R$63:$T$91,3,FALSE)))+IF(AND($X49&lt;&gt;"",$X49&lt;&gt;"O3/CP",$X$15=D$18,MID($X49,4,1)="2",$X$15&lt;&gt;$X$14),VLOOKUP(CONCATENATE(LEFT($X49,2),"L"),$R$63:$T$91,3,FALSE),0)+IF(AND($X49="O3/CP",$X$14=D$18),VLOOKUP("O3",$R$63:$T$91,3,FALSE)+VLOOKUP("CP",$R$63:$T$91,3,FALSE),0)+IF(AND($Y49&lt;&gt;"",$Y49&lt;&gt;"--",$Y49&lt;&gt;"O3/CP",$Y$14=D$18),IF(LEFT($Y49,1)="P",VLOOKUP(CONCATENATE(LEFT($Y49,2),"H"),$R$63:$T$91,3,FALSE),VLOOKUP($Y49,$R$63:$T$91,3,FALSE)))+IF(AND($Y49&lt;&gt;"",$Y49&lt;&gt;"O3/CP",$Y$15=D$18,MID($Y49,4,1)="2",$Y$15&lt;&gt;$Y$14),VLOOKUP(CONCATENATE(LEFT($Y49,2),"L"),$R$63:$T$91,3,FALSE),0)+IF(AND($Y49="O3/CP",$Y$14=D$18),VLOOKUP("O3",$R$63:$T$91,3,FALSE)+VLOOKUP("CP",$R$63:$T$91,3,FALSE),0)+IF(AND($K$6="CE",'[3]Supply Attribution'!$G$20=D$18),LEFT($S$90,2),0)+IF(AND($X$86&lt;&gt;"Not Set",$X$87=D$18),$X$86,0)</f>
        <v>0</v>
      </c>
      <c r="E49" s="271">
        <f>IF(AND($K49&lt;&gt;"",$K49&lt;&gt;"--",$K49&lt;&gt;"O3/CP",$K$14=E$18),IF(LEFT($K49,1)="P",VLOOKUP(CONCATENATE(LEFT($K49,2),"H"),$R$63:$T$91,3,FALSE),VLOOKUP($K49,$R$63:$T$91,3,FALSE)))+IF(AND($K49&lt;&gt;"",$K49&lt;&gt;"O3/CP",$K$15=E$18,MID($K49,4,1)="2",$K$15&lt;&gt;$K$14),VLOOKUP(CONCATENATE(LEFT($K49,2),"L"),$R$63:$T$91,3,FALSE),0)+IF(AND($K49="O3/CP",$K$14=E$18),VLOOKUP("O3",$R$63:$T$91,3,FALSE)+VLOOKUP("CP",$R$63:$T$91,3,FALSE),0)+IF(AND($L49&lt;&gt;"",$L49&lt;&gt;"--",$L49&lt;&gt;"O3/CP",$L$14=E$18),IF(LEFT($L49,1)="P",VLOOKUP(CONCATENATE(LEFT($L49,2),"H"),$R$63:$T$91,3,FALSE),VLOOKUP($L49,$R$63:$T$91,3,FALSE)))+IF(AND($L49&lt;&gt;"",$L49&lt;&gt;"O3/CP",$L$15=E$18,MID($L49,4,1)="2",$L$15&lt;&gt;$L$14),VLOOKUP(CONCATENATE(LEFT($L49,2),"L"),$R$63:$T$91,3,FALSE),0)+IF(AND($L49="O3/CP",$L$14=E$18),VLOOKUP("O3",$R$63:$T$91,3,FALSE)+VLOOKUP("CP",$R$63:$T$91,3,FALSE),0)+IF(AND($M49&lt;&gt;"",$M49&lt;&gt;"--",$M49&lt;&gt;"O3/CP",$M$14=E$18),IF(LEFT($M49,1)="P",VLOOKUP(CONCATENATE(LEFT($M49,2),"H"),$R$63:$T$91,3,FALSE),VLOOKUP($M49,$R$63:$T$91,3,FALSE)))+IF(AND($M49&lt;&gt;"",$M49&lt;&gt;"O3/CP",$M$15=E$18,MID($M49,4,1)="2",$M$15&lt;&gt;$M$14),VLOOKUP(CONCATENATE(LEFT($M49,2),"L"),$R$63:$T$91,3,FALSE),0)+IF(AND($M49="O3/CP",$M$14=E$18),VLOOKUP("O3",$R$63:$T$91,3,FALSE)+VLOOKUP("CP",$R$63:$T$91,3,FALSE),0)+IF(AND($N49&lt;&gt;"",$N49&lt;&gt;"--",$N49&lt;&gt;"O3/CP",$N$14=E$18),IF(LEFT($N49,1)="P",VLOOKUP(CONCATENATE(LEFT($N49,2),"H"),$R$63:$T$91,3,FALSE),VLOOKUP($N49,$R$63:$T$91,3,FALSE)))+IF(AND($N49&lt;&gt;"",$N49&lt;&gt;"O3/CP",$N$15=E$18,MID($N49,4,1)="2",$N$15&lt;&gt;$N$14),VLOOKUP(CONCATENATE(LEFT($N49,2),"L"),$R$63:$T$91,3,FALSE),0)+IF(AND($N49="O3/CP",$N$14=E$18),VLOOKUP("O3",$R$63:$T$91,3,FALSE)+VLOOKUP("CP",$R$63:$T$91,3,FALSE),0)+IF(AND($O49&lt;&gt;"",$O49&lt;&gt;"--",$O49&lt;&gt;"O3/CP",$O$14=E$18),IF(LEFT($O49,1)="P",VLOOKUP(CONCATENATE(LEFT($O49,2),"H"),$R$63:$T$91,3,FALSE),VLOOKUP($O49,$R$63:$T$91,3,FALSE)))+IF(AND($O49&lt;&gt;"",$O49&lt;&gt;"O3/CP",$O$15=E$18,MID($O49,4,1)="2",$O$15&lt;&gt;$O$14),VLOOKUP(CONCATENATE(LEFT($O49,2),"L"),$R$63:$T$91,3,FALSE),0)+IF(AND($O49="O3/CP",$O$14=E$18),VLOOKUP("O3",$R$63:$T$91,3,FALSE)+VLOOKUP("CP",$R$63:$T$91,3,FALSE),0)+IF(AND($P49&lt;&gt;"",$P49&lt;&gt;"--",$P49&lt;&gt;"O3/CP",$P$14=E$18),IF(LEFT($P49,1)="P",VLOOKUP(CONCATENATE(LEFT($P49,2),"H"),$R$63:$T$91,3,FALSE),VLOOKUP($P49,$R$63:$T$91,3,FALSE)))+IF(AND($P49&lt;&gt;"",$P49&lt;&gt;"O3/CP",$P$15=E$18,MID($P49,4,1)="2",$P$15&lt;&gt;$P$14),VLOOKUP(CONCATENATE(LEFT($P49,2),"L"),$R$63:$T$91,3,FALSE),0)+IF(AND($P49="O3/CP",$P$14=E$18),VLOOKUP("O3",$R$63:$T$91,3,FALSE)+VLOOKUP("CP",$R$63:$T$91,3,FALSE),0)+IF(AND($Q49&lt;&gt;"",$Q49&lt;&gt;"--",$Q49&lt;&gt;"O3/CP",$Q$14=E$18),IF(LEFT($Q49,1)="P",VLOOKUP(CONCATENATE(LEFT($Q49,2),"H"),$R$63:$T$91,3,FALSE),VLOOKUP($Q49,$R$63:$T$91,3,FALSE)))+IF(AND($Q49&lt;&gt;"",$Q49&lt;&gt;"O3/CP",$Q$15=E$18,MID($Q49,4,1)="2",$Q$15&lt;&gt;$Q$14),VLOOKUP(CONCATENATE(LEFT($Q49,2),"L"),$R$63:$T$91,3,FALSE),0)+IF(AND($Q49="O3/CP",$Q$14=E$18),VLOOKUP("O3",$R$63:$T$91,3,FALSE)+VLOOKUP("CP",$R$63:$T$91,3,FALSE),0)+IF(AND($R49&lt;&gt;"",$R49&lt;&gt;"--",$R49&lt;&gt;"O3/CP",$R$14=E$18),IF(LEFT($R49,1)="P",VLOOKUP(CONCATENATE(LEFT($R49,2),"H"),$R$63:$T$91,3,FALSE),VLOOKUP($R49,$R$63:$T$91,3,FALSE)))+IF(AND($R49&lt;&gt;"",$R49&lt;&gt;"O3/CP",$R$15=E$18,MID($R49,4,1)="2",$R$15&lt;&gt;$R$14),VLOOKUP(CONCATENATE(LEFT($R49,2),"L"),$R$63:$T$91,3,FALSE),0)+IF(AND($R49="O3/CP",$R$14=E$18),VLOOKUP("O3",$R$63:$T$91,3,FALSE)+VLOOKUP("CP",$R$63:$T$91,3,FALSE),0)+IF(AND($S49&lt;&gt;"",$S49&lt;&gt;"--",$S49&lt;&gt;"O3/CP",$S$14=E$18),IF(LEFT($S49,1)="P",VLOOKUP(CONCATENATE(LEFT($S49,2),"H"),$R$63:$T$91,3,FALSE),VLOOKUP($S49,$R$63:$T$91,3,FALSE)))+IF(AND($S49&lt;&gt;"",$S49&lt;&gt;"O3/CP",$S$15=E$18,MID($S49,4,1)="2",$S$15&lt;&gt;$S$14),VLOOKUP(CONCATENATE(LEFT($S49,2),"L"),$R$63:$T$91,3,FALSE),0)+IF(AND($S49="O3/CP",$S$14=E$18),VLOOKUP("O3",$R$63:$T$91,3,FALSE)+VLOOKUP("CP",$R$63:$T$91,3,FALSE),0)+IF(AND($T49&lt;&gt;"",$T49&lt;&gt;"--",$T49&lt;&gt;"O3/CP",$T$14=E$18),IF(LEFT($T49,1)="P",VLOOKUP(CONCATENATE(LEFT($T49,2),"H"),$R$63:$T$91,3,FALSE),VLOOKUP($T49,$R$63:$T$91,3,FALSE)))+IF(AND($T49&lt;&gt;"",$T49&lt;&gt;"O3/CP",$T$15=E$18,MID($T49,4,1)="2",$T$15&lt;&gt;$T$14),VLOOKUP(CONCATENATE(LEFT($T49,2),"L"),$R$63:$T$91,3,FALSE),0)+IF(AND($T49="O3/CP",$T$14=E$18),VLOOKUP("O3",$R$63:$T$91,3,FALSE)+VLOOKUP("CP",$R$63:$T$91,3,FALSE),0)+IF(AND($U49&lt;&gt;"",$U49&lt;&gt;"--",$U49&lt;&gt;"O3/CP",$U$14=E$18),IF(LEFT($U49,1)="P",VLOOKUP(CONCATENATE(LEFT($U49,2),"H"),$R$63:$T$91,3,FALSE),VLOOKUP($U49,$R$63:$T$91,3,FALSE)))+IF(AND($U49&lt;&gt;"",$U49&lt;&gt;"O3/CP",$U$15=E$18,MID($U49,4,1)="2",$U$15&lt;&gt;$U$14),VLOOKUP(CONCATENATE(LEFT($U49,2),"L"),$R$63:$T$91,3,FALSE),0)+IF(AND($U49="O3/CP",$T$14=E$18),VLOOKUP("O3",$R$63:$T$91,3,FALSE)+VLOOKUP("CP",$R$63:$T$91,3,FALSE),0)+IF(AND($V49&lt;&gt;"",$V49&lt;&gt;"--",$V49&lt;&gt;"O3/CP",$V$14=E$18),IF(LEFT($V49,1)="P",VLOOKUP(CONCATENATE(LEFT($V49,2),"H"),$R$63:$T$91,3,FALSE),VLOOKUP($V49,$R$63:$T$91,3,FALSE)))+IF(AND($V49&lt;&gt;"",$V49&lt;&gt;"O3/CP",$V$15=E$18,MID($V49,4,1)="2",$V$15&lt;&gt;$V$14),VLOOKUP(CONCATENATE(LEFT($V49,2),"L"),$R$63:$T$91,3,FALSE),0)+IF(AND($V49="O3/CP",$V$14=E$18),VLOOKUP("O3",$R$63:$T$91,3,FALSE)+VLOOKUP("CP",$R$63:$T$91,3,FALSE),0)+IF(AND($W49&lt;&gt;"",$W49&lt;&gt;"--",$W49&lt;&gt;"O3/CP",$W$14=E$18),IF(LEFT($W49,1)="P",VLOOKUP(CONCATENATE(LEFT($W49,2),"H"),$R$63:$T$91,3,FALSE),VLOOKUP($W49,$R$63:$T$91,3,FALSE)))+IF(AND($W49&lt;&gt;"",$W49&lt;&gt;"O3/CP",$W$15=E$18,MID($W49,4,1)="2",$W$15&lt;&gt;$W$14),VLOOKUP(CONCATENATE(LEFT($W49,2),"L"),$R$63:$T$91,3,FALSE),0)+IF(AND($W49="O3/CP",$W$14=E$18),VLOOKUP("O3",$R$63:$T$91,3,FALSE)+VLOOKUP("CP",$R$63:$T$91,3,FALSE),0)+IF(AND($X49&lt;&gt;"",$X49&lt;&gt;"--",$X49&lt;&gt;"O3/CP",$X$14=E$18),IF(LEFT($X49,1)="P",VLOOKUP(CONCATENATE(LEFT($X49,2),"H"),$R$63:$T$91,3,FALSE),VLOOKUP($X49,$R$63:$T$91,3,FALSE)))+IF(AND($X49&lt;&gt;"",$X49&lt;&gt;"O3/CP",$X$15=E$18,MID($X49,4,1)="2",$X$15&lt;&gt;$X$14),VLOOKUP(CONCATENATE(LEFT($X49,2),"L"),$R$63:$T$91,3,FALSE),0)+IF(AND($X49="O3/CP",$X$14=E$18),VLOOKUP("O3",$R$63:$T$91,3,FALSE)+VLOOKUP("CP",$R$63:$T$91,3,FALSE),0)+IF(AND($Y49&lt;&gt;"",$Y49&lt;&gt;"--",$Y49&lt;&gt;"O3/CP",$Y$14=E$18),IF(LEFT($Y49,1)="P",VLOOKUP(CONCATENATE(LEFT($Y49,2),"H"),$R$63:$T$91,3,FALSE),VLOOKUP($Y49,$R$63:$T$91,3,FALSE)))+IF(AND($Y49&lt;&gt;"",$Y49&lt;&gt;"O3/CP",$Y$15=E$18,MID($Y49,4,1)="2",$Y$15&lt;&gt;$Y$14),VLOOKUP(CONCATENATE(LEFT($Y49,2),"L"),$R$63:$T$91,3,FALSE),0)+IF(AND($Y49="O3/CP",$Y$14=E$18),VLOOKUP("O3",$R$63:$T$91,3,FALSE)+VLOOKUP("CP",$R$63:$T$91,3,FALSE),0)+IF(AND($K$6="CE",'[3]Supply Attribution'!$G$20=E$18),LEFT($S$90,2),0)+IF(AND($X$86&lt;&gt;"Not Set",$X$87=E$18),$X$86,0)</f>
        <v>0</v>
      </c>
      <c r="F49" s="272">
        <f>IF(AND($K49&lt;&gt;"",$K49&lt;&gt;"--",$K49&lt;&gt;"O3/CP",$K$14=F$18),IF(LEFT($K49,1)="P",VLOOKUP(CONCATENATE(LEFT($K49,2),"H"),$R$63:$T$91,3,FALSE),VLOOKUP($K49,$R$63:$T$91,3,FALSE)))+IF(AND($K49&lt;&gt;"",$K49&lt;&gt;"O3/CP",$K$15=F$18,MID($K49,4,1)="2",$K$15&lt;&gt;$K$14),VLOOKUP(CONCATENATE(LEFT($K49,2),"L"),$R$63:$T$91,3,FALSE),0)+IF(AND($K49="O3/CP",$K$14=F$18),VLOOKUP("O3",$R$63:$T$91,3,FALSE)+VLOOKUP("CP",$R$63:$T$91,3,FALSE),0)+IF(AND($L49&lt;&gt;"",$L49&lt;&gt;"--",$L49&lt;&gt;"O3/CP",$L$14=F$18),IF(LEFT($L49,1)="P",VLOOKUP(CONCATENATE(LEFT($L49,2),"H"),$R$63:$T$91,3,FALSE),VLOOKUP($L49,$R$63:$T$91,3,FALSE)))+IF(AND($L49&lt;&gt;"",$L49&lt;&gt;"O3/CP",$L$15=F$18,MID($L49,4,1)="2",$L$15&lt;&gt;$L$14),VLOOKUP(CONCATENATE(LEFT($L49,2),"L"),$R$63:$T$91,3,FALSE),0)+IF(AND($L49="O3/CP",$L$14=F$18),VLOOKUP("O3",$R$63:$T$91,3,FALSE)+VLOOKUP("CP",$R$63:$T$91,3,FALSE),0)+IF(AND($M49&lt;&gt;"",$M49&lt;&gt;"--",$M49&lt;&gt;"O3/CP",$M$14=F$18),IF(LEFT($M49,1)="P",VLOOKUP(CONCATENATE(LEFT($M49,2),"H"),$R$63:$T$91,3,FALSE),VLOOKUP($M49,$R$63:$T$91,3,FALSE)))+IF(AND($M49&lt;&gt;"",$M49&lt;&gt;"O3/CP",$M$15=F$18,MID($M49,4,1)="2",$M$15&lt;&gt;$M$14),VLOOKUP(CONCATENATE(LEFT($M49,2),"L"),$R$63:$T$91,3,FALSE),0)+IF(AND($M49="O3/CP",$M$14=F$18),VLOOKUP("O3",$R$63:$T$91,3,FALSE)+VLOOKUP("CP",$R$63:$T$91,3,FALSE),0)+IF(AND($N49&lt;&gt;"",$N49&lt;&gt;"--",$N49&lt;&gt;"O3/CP",$N$14=F$18),IF(LEFT($N49,1)="P",VLOOKUP(CONCATENATE(LEFT($N49,2),"H"),$R$63:$T$91,3,FALSE),VLOOKUP($N49,$R$63:$T$91,3,FALSE)))+IF(AND($N49&lt;&gt;"",$N49&lt;&gt;"O3/CP",$N$15=F$18,MID($N49,4,1)="2",$N$15&lt;&gt;$N$14),VLOOKUP(CONCATENATE(LEFT($N49,2),"L"),$R$63:$T$91,3,FALSE),0)+IF(AND($N49="O3/CP",$N$14=F$18),VLOOKUP("O3",$R$63:$T$91,3,FALSE)+VLOOKUP("CP",$R$63:$T$91,3,FALSE),0)+IF(AND($O49&lt;&gt;"",$O49&lt;&gt;"--",$O49&lt;&gt;"O3/CP",$O$14=F$18),IF(LEFT($O49,1)="P",VLOOKUP(CONCATENATE(LEFT($O49,2),"H"),$R$63:$T$91,3,FALSE),VLOOKUP($O49,$R$63:$T$91,3,FALSE)))+IF(AND($O49&lt;&gt;"",$O49&lt;&gt;"O3/CP",$O$15=F$18,MID($O49,4,1)="2",$O$15&lt;&gt;$O$14),VLOOKUP(CONCATENATE(LEFT($O49,2),"L"),$R$63:$T$91,3,FALSE),0)+IF(AND($O49="O3/CP",$O$14=F$18),VLOOKUP("O3",$R$63:$T$91,3,FALSE)+VLOOKUP("CP",$R$63:$T$91,3,FALSE),0)+IF(AND($P49&lt;&gt;"",$P49&lt;&gt;"--",$P49&lt;&gt;"O3/CP",$P$14=F$18),IF(LEFT($P49,1)="P",VLOOKUP(CONCATENATE(LEFT($P49,2),"H"),$R$63:$T$91,3,FALSE),VLOOKUP($P49,$R$63:$T$91,3,FALSE)))+IF(AND($P49&lt;&gt;"",$P49&lt;&gt;"O3/CP",$P$15=F$18,MID($P49,4,1)="2",$P$15&lt;&gt;$P$14),VLOOKUP(CONCATENATE(LEFT($P49,2),"L"),$R$63:$T$91,3,FALSE),0)+IF(AND($P49="O3/CP",$P$14=F$18),VLOOKUP("O3",$R$63:$T$91,3,FALSE)+VLOOKUP("CP",$R$63:$T$91,3,FALSE),0)+IF(AND($Q49&lt;&gt;"",$Q49&lt;&gt;"--",$Q49&lt;&gt;"O3/CP",$Q$14=F$18),IF(LEFT($Q49,1)="P",VLOOKUP(CONCATENATE(LEFT($Q49,2),"H"),$R$63:$T$91,3,FALSE),VLOOKUP($Q49,$R$63:$T$91,3,FALSE)))+IF(AND($Q49&lt;&gt;"",$Q49&lt;&gt;"O3/CP",$Q$15=F$18,MID($Q49,4,1)="2",$Q$15&lt;&gt;$Q$14),VLOOKUP(CONCATENATE(LEFT($Q49,2),"L"),$R$63:$T$91,3,FALSE),0)+IF(AND($Q49="O3/CP",$Q$14=F$18),VLOOKUP("O3",$R$63:$T$91,3,FALSE)+VLOOKUP("CP",$R$63:$T$91,3,FALSE),0)+IF(AND($R49&lt;&gt;"",$R49&lt;&gt;"--",$R49&lt;&gt;"O3/CP",$R$14=F$18),IF(LEFT($R49,1)="P",VLOOKUP(CONCATENATE(LEFT($R49,2),"H"),$R$63:$T$91,3,FALSE),VLOOKUP($R49,$R$63:$T$91,3,FALSE)))+IF(AND($R49&lt;&gt;"",$R49&lt;&gt;"O3/CP",$R$15=F$18,MID($R49,4,1)="2",$R$15&lt;&gt;$R$14),VLOOKUP(CONCATENATE(LEFT($R49,2),"L"),$R$63:$T$91,3,FALSE),0)+IF(AND($R49="O3/CP",$R$14=F$18),VLOOKUP("O3",$R$63:$T$91,3,FALSE)+VLOOKUP("CP",$R$63:$T$91,3,FALSE),0)+IF(AND($S49&lt;&gt;"",$S49&lt;&gt;"--",$S49&lt;&gt;"O3/CP",$S$14=F$18),IF(LEFT($S49,1)="P",VLOOKUP(CONCATENATE(LEFT($S49,2),"H"),$R$63:$T$91,3,FALSE),VLOOKUP($S49,$R$63:$T$91,3,FALSE)))+IF(AND($S49&lt;&gt;"",$S49&lt;&gt;"O3/CP",$S$15=F$18,MID($S49,4,1)="2",$S$15&lt;&gt;$S$14),VLOOKUP(CONCATENATE(LEFT($S49,2),"L"),$R$63:$T$91,3,FALSE),0)+IF(AND($S49="O3/CP",$S$14=F$18),VLOOKUP("O3",$R$63:$T$91,3,FALSE)+VLOOKUP("CP",$R$63:$T$91,3,FALSE),0)+IF(AND($T49&lt;&gt;"",$T49&lt;&gt;"--",$T49&lt;&gt;"O3/CP",$T$14=F$18),IF(LEFT($T49,1)="P",VLOOKUP(CONCATENATE(LEFT($T49,2),"H"),$R$63:$T$91,3,FALSE),VLOOKUP($T49,$R$63:$T$91,3,FALSE)))+IF(AND($T49&lt;&gt;"",$T49&lt;&gt;"O3/CP",$T$15=F$18,MID($T49,4,1)="2",$T$15&lt;&gt;$T$14),VLOOKUP(CONCATENATE(LEFT($T49,2),"L"),$R$63:$T$91,3,FALSE),0)+IF(AND($T49="O3/CP",$T$14=F$18),VLOOKUP("O3",$R$63:$T$91,3,FALSE)+VLOOKUP("CP",$R$63:$T$91,3,FALSE),0)+IF(AND($U49&lt;&gt;"",$U49&lt;&gt;"--",$U49&lt;&gt;"O3/CP",$U$14=F$18),IF(LEFT($U49,1)="P",VLOOKUP(CONCATENATE(LEFT($U49,2),"H"),$R$63:$T$91,3,FALSE),VLOOKUP($U49,$R$63:$T$91,3,FALSE)))+IF(AND($U49&lt;&gt;"",$U49&lt;&gt;"O3/CP",$U$15=F$18,MID($U49,4,1)="2",$U$15&lt;&gt;$U$14),VLOOKUP(CONCATENATE(LEFT($U49,2),"L"),$R$63:$T$91,3,FALSE),0)+IF(AND($U49="O3/CP",$T$14=F$18),VLOOKUP("O3",$R$63:$T$91,3,FALSE)+VLOOKUP("CP",$R$63:$T$91,3,FALSE),0)+IF(AND($V49&lt;&gt;"",$V49&lt;&gt;"--",$V49&lt;&gt;"O3/CP",$V$14=F$18),IF(LEFT($V49,1)="P",VLOOKUP(CONCATENATE(LEFT($V49,2),"H"),$R$63:$T$91,3,FALSE),VLOOKUP($V49,$R$63:$T$91,3,FALSE)))+IF(AND($V49&lt;&gt;"",$V49&lt;&gt;"O3/CP",$V$15=F$18,MID($V49,4,1)="2",$V$15&lt;&gt;$V$14),VLOOKUP(CONCATENATE(LEFT($V49,2),"L"),$R$63:$T$91,3,FALSE),0)+IF(AND($V49="O3/CP",$V$14=F$18),VLOOKUP("O3",$R$63:$T$91,3,FALSE)+VLOOKUP("CP",$R$63:$T$91,3,FALSE),0)+IF(AND($W49&lt;&gt;"",$W49&lt;&gt;"--",$W49&lt;&gt;"O3/CP",$W$14=F$18),IF(LEFT($W49,1)="P",VLOOKUP(CONCATENATE(LEFT($W49,2),"H"),$R$63:$T$91,3,FALSE),VLOOKUP($W49,$R$63:$T$91,3,FALSE)))+IF(AND($W49&lt;&gt;"",$W49&lt;&gt;"O3/CP",$W$15=F$18,MID($W49,4,1)="2",$W$15&lt;&gt;$W$14),VLOOKUP(CONCATENATE(LEFT($W49,2),"L"),$R$63:$T$91,3,FALSE),0)+IF(AND($W49="O3/CP",$W$14=F$18),VLOOKUP("O3",$R$63:$T$91,3,FALSE)+VLOOKUP("CP",$R$63:$T$91,3,FALSE),0)+IF(AND($X49&lt;&gt;"",$X49&lt;&gt;"--",$X49&lt;&gt;"O3/CP",$X$14=F$18),IF(LEFT($X49,1)="P",VLOOKUP(CONCATENATE(LEFT($X49,2),"H"),$R$63:$T$91,3,FALSE),VLOOKUP($X49,$R$63:$T$91,3,FALSE)))+IF(AND($X49&lt;&gt;"",$X49&lt;&gt;"O3/CP",$X$15=F$18,MID($X49,4,1)="2",$X$15&lt;&gt;$X$14),VLOOKUP(CONCATENATE(LEFT($X49,2),"L"),$R$63:$T$91,3,FALSE),0)+IF(AND($X49="O3/CP",$X$14=F$18),VLOOKUP("O3",$R$63:$T$91,3,FALSE)+VLOOKUP("CP",$R$63:$T$91,3,FALSE),0)+IF(AND($Y49&lt;&gt;"",$Y49&lt;&gt;"--",$Y49&lt;&gt;"O3/CP",$Y$14=F$18),IF(LEFT($Y49,1)="P",VLOOKUP(CONCATENATE(LEFT($Y49,2),"H"),$R$63:$T$91,3,FALSE),VLOOKUP($Y49,$R$63:$T$91,3,FALSE)))+IF(AND($Y49&lt;&gt;"",$Y49&lt;&gt;"O3/CP",$Y$15=F$18,MID($Y49,4,1)="2",$Y$15&lt;&gt;$Y$14),VLOOKUP(CONCATENATE(LEFT($Y49,2),"L"),$R$63:$T$91,3,FALSE),0)+IF(AND($Y49="O3/CP",$Y$14=F$18),VLOOKUP("O3",$R$63:$T$91,3,FALSE)+VLOOKUP("CP",$R$63:$T$91,3,FALSE),0)+IF(AND($K$6="CE",'[3]Supply Attribution'!$G$20=F$18),LEFT($S$90,2),0)+IF(AND($X$86&lt;&gt;"Not Set",$X$87=F$18),$X$86,0)</f>
        <v>0</v>
      </c>
      <c r="G49" s="271">
        <f>IF(AND($K$6="CE",$T$59="1 Phase"),SUM(A49:F49)-IF(AND($K$14&lt;&gt;$K$15,RIGHT($K49,3)="2SP"),VLOOKUP(CONCATENATE(LEFT($K49,2),"L"),$R$63:$T$90,3,FALSE),0)-IF(AND($L$14&lt;&gt;$L$15,RIGHT($L49,3)="2SP"),VLOOKUP(CONCATENATE(LEFT($L49,2),"L"),$R$63:$T$90,3,FALSE),0)-IF(AND($M$14&lt;&gt;$M$15,RIGHT($M49,3)="2SP"),VLOOKUP(CONCATENATE(LEFT($M49,2),"L"),$R$63:$T$90,3,FALSE),0)-IF(AND($N$14&lt;&gt;$N$15,RIGHT($N49,3)="2SP"),VLOOKUP(CONCATENATE(LEFT($N49,2),"L"),$R$63:$T$90,3,FALSE),0)-IF(AND($O$14&lt;&gt;$O$15,RIGHT($O49,3)="2SP"),VLOOKUP(CONCATENATE(LEFT($O49,2),"L"),$R$63:$T$90,3,FALSE),0)-IF(AND($P$14&lt;&gt;$P$15,RIGHT($P49,3)="2SP"),VLOOKUP(CONCATENATE(LEFT($P49,2),"L"),$R$63:$T$90,3,FALSE),0)-IF(AND($Q$14&lt;&gt;$Q$15,RIGHT($Q49,3)="2SP"),VLOOKUP(CONCATENATE(LEFT($Q49,2),"L"),$R$63:$T$90,3,FALSE),0)-IF(AND($R$14&lt;&gt;$R$15,RIGHT($T49,3)="2SP"),VLOOKUP(CONCATENATE(LEFT($R49,2),"L"),$R$63:$T$90,3,FALSE),0)-IF(AND($S$14&lt;&gt;$S$15,RIGHT($T49,3)="2SP"),VLOOKUP(CONCATENATE(LEFT($S49,2),"L"),$R$63:$T$90,3,FALSE),0)-IF(AND($T$14&lt;&gt;$T$15,RIGHT($T49,3)="2SP"),VLOOKUP(CONCATENATE(LEFT($T49,2),"L"),$R$63:$T$90,3,FALSE),0)-IF(AND($U$14&lt;&gt;$U$15,RIGHT($U49,3)="2SP"),VLOOKUP(CONCATENATE(LEFT($U49,2),"L"),$R$63:$T$90,3,FALSE),0)-IF(AND($V$14&lt;&gt;$V$15,RIGHT($V49,3)="2SP"),VLOOKUP(CONCATENATE(LEFT($V49,2),"L"),$R$63:$T$90,3,FALSE),0)-IF(AND($W$14&lt;&gt;$W$15,RIGHT($W49,3)="2SP"),VLOOKUP(CONCATENATE(LEFT($W49,2),"L"),$R$63:$T$90,3,FALSE),0)-IF(AND($X$14&lt;&gt;$X$15,RIGHT($X49,3)="2SP"),VLOOKUP(CONCATENATE(LEFT($X49,2),"L"),$R$63:$T$90,3,FALSE),0)-IF(AND($Y$14&lt;&gt;$Y$15,RIGHT($Y49,3)="2SP"),VLOOKUP(CONCATENATE(LEFT($Y49,2),"L"),$R$63:$T$90,3,FALSE),0),IF(VLOOKUP(CONCATENATE($A$18,"Line"),'[3]Supply Attribution'!$F$31:$G$37,2,FALSE)=G$18,$A49,0)+IF(VLOOKUP(CONCATENATE($B$18,"Line"),'[3]Supply Attribution'!$F$31:$G$37,2,FALSE)=G$18,$B49,0)+IF(VLOOKUP(CONCATENATE($C$18,"Line"),'[3]Supply Attribution'!$F$31:$G$37,2,FALSE)=G$18,$C49,0)+IF(VLOOKUP(CONCATENATE($D$18,"Line"),'[3]Supply Attribution'!$F$31:$G$37,2,FALSE)=G$18,$D49,0)+IF(VLOOKUP(CONCATENATE($E$18,"Line"),'[3]Supply Attribution'!$F$31:$G$37,2,FALSE)=G$18,$E49,0)+IF(VLOOKUP(CONCATENATE($F$18,"Line"),'[3]Supply Attribution'!$F$31:$G$37,2,FALSE)=G$18,$F49,0)+IF($K$6="UL",LEFT($S$90,2),0)-IF(AND($K$16=G$18,$K$14&lt;&gt;$K$15,$K$16=$K$17,RIGHT($K49,3)="2SP"),VLOOKUP(CONCATENATE(LEFT($K49,2),"L"),$R$63:$T$90,3,FALSE),0)-IF(AND($L$16=G$18,$L$14&lt;&gt;$L$15,$L$16=$L$17,RIGHT($L49,3)="2SP"),VLOOKUP(CONCATENATE(LEFT($L49,2),"L"),$R$63:$T$90,3,FALSE),0)-IF(AND($M$16=G$18,$M$14&lt;&gt;$M$15,$M$16=$M$17,RIGHT($M49,3)="2SP"),VLOOKUP(CONCATENATE(LEFT($M49,2),"L"),$R$63:$T$90,3,FALSE),0)-IF(AND($N$16=G$18,$N$14&lt;&gt;$N$15,$N$16=$N$17,RIGHT($N49,3)="2SP"),VLOOKUP(CONCATENATE(LEFT($N49,2),"L"),$R$63:$T$90,3,FALSE),0)-IF(AND($O$16=G$18,$O$14&lt;&gt;$O$15,$O$16=$O$17,RIGHT($O49,3)="2SP"),VLOOKUP(CONCATENATE(LEFT($O49,2),"L"),$R$63:$T$90,3,FALSE),0)-IF(AND($P$16=G$18,$P$14&lt;&gt;$P$15,$P$16=$P$17,RIGHT($P49,3)="2SP"),VLOOKUP(CONCATENATE(LEFT($P49,2),"L"),$R$63:$T$90,3,FALSE),0)-IF(AND($Q$16=G$18,$Q$14&lt;&gt;$Q$15,$Q$16=$Q$17,RIGHT($Q49,3)="2SP"),VLOOKUP(CONCATENATE(LEFT($Q49,2),"L"),$R$63:$T$90,3,FALSE),0)-IF(AND($R$16=G$18,$R$14&lt;&gt;$R$15,$R$16=$R$17,RIGHT($R49,3)="2SP"),VLOOKUP(CONCATENATE(LEFT($R49,2),"L"),$R$63:$T$90,3,FALSE),0)-IF(AND($S$16=G$18,$S$14&lt;&gt;$S$15,$S$16=$S$17,RIGHT($S49,3)="2SP"),VLOOKUP(CONCATENATE(LEFT($S49,2),"L"),$R$63:$T$90,3,FALSE),0)-IF(AND($T$16=G$18,$T$14&lt;&gt;$T$15,$T$16=$T$17,RIGHT($T49,3)="2SP"),VLOOKUP(CONCATENATE(LEFT($T49,2),"L"),$R$63:$T$90,3,FALSE),0)-IF(AND($U$16=G$18,$U$14&lt;&gt;$U$15,$U$16=$U$17,RIGHT($U49,3)="2SP"),VLOOKUP(CONCATENATE(LEFT($U49,2),"L"),$R$63:$T$90,3,FALSE),0)-IF(AND($V$16=G$18,$V$14&lt;&gt;$V$15,$V$16=$V$17,RIGHT($V49,3)="2SP"),VLOOKUP(CONCATENATE(LEFT($V49,2),"L"),$R$63:$T$90,3,FALSE),0)-IF(AND($W$16=G$18,$W$14&lt;&gt;$W$15,$W$16=$W$17,RIGHT($W49,3)="2SP"),VLOOKUP(CONCATENATE(LEFT($W49,2),"L"),$R$63:$T$90,3,FALSE),0)-IF(AND($X$16=G$18,$X$14&lt;&gt;$X$15,$X$16=$X$17,RIGHT($X49,3)="2SP"),VLOOKUP(CONCATENATE(LEFT($X49,2),"L"),$R$63:$T$90,3,FALSE),0)-IF(AND($Y$16=G$18,$Y$14&lt;&gt;$Y$15,$Y$16=$Y$17,RIGHT($Y49,3)="2SP"),VLOOKUP(CONCATENATE(LEFT($Y49,2),"L"),$R$63:$T$90,3,FALSE),0))</f>
        <v>17</v>
      </c>
      <c r="H49" s="271" t="str">
        <f>IF(H$18&lt;&gt;"",IF(VLOOKUP(CONCATENATE($A$18,"Line"),'Supply Attribution'!$F$31:$G$37,2,FALSE)=H$18,$A49,0)+IF(VLOOKUP(CONCATENATE($B$18,"Line"),'Supply Attribution'!$F$31:$G$37,2,FALSE)=H$18,$B49,0)+IF(VLOOKUP(CONCATENATE($C$18,"Line"),'Supply Attribution'!$F$31:$G$37,2,FALSE)=H$18,$C49,0)+IF(VLOOKUP(CONCATENATE($D$18,"Line"),'Supply Attribution'!$F$31:$G$37,2,FALSE)=H$18,$D49,0)+IF(VLOOKUP(CONCATENATE($E$18,"Line"),'Supply Attribution'!$F$31:$G$37,2,FALSE)=H$18,$E49,0)+IF(VLOOKUP(CONCATENATE($F$18,"Line"),'Supply Attribution'!$F$31:$G$37,2,FALSE)=H$18,$F49,0)+IF($K$6="UL",LEFT($S$90,2),0)-IF(AND($K$16=H$18,$K$14&lt;&gt;$K$15,$K$16=$K$17,RIGHT($K49,3)="2SP"),VLOOKUP(CONCATENATE(LEFT($K49,2),"L"),$R$63:$T$90,3,FALSE),0)-IF(AND($L$16=H$18,$L$14&lt;&gt;$L$15,$L$16=$L$17,RIGHT($L49,3)="2SP"),VLOOKUP(CONCATENATE(LEFT($L49,2),"L"),$R$63:$T$90,3,FALSE),0)-IF(AND($M$16=H$18,$M$14&lt;&gt;$M$15,$M$16=$M$17,RIGHT($M49,3)="2SP"),VLOOKUP(CONCATENATE(LEFT($M49,2),"L"),$R$63:$T$90,3,FALSE),0)-IF(AND($N$16=H$18,$N$14&lt;&gt;$N$15,$N$16=$N$17,RIGHT($N49,3)="2SP"),VLOOKUP(CONCATENATE(LEFT($N49,2),"L"),$R$63:$T$90,3,FALSE),0)-IF(AND($O$16=H$18,$O$14&lt;&gt;$O$15,$O$16=$O$17,RIGHT($O49,3)="2SP"),VLOOKUP(CONCATENATE(LEFT($O49,2),"L"),$R$63:$T$90,3,FALSE),0)-IF(AND($P$16=H$18,$P$14&lt;&gt;$P$15,$P$16=$P$17,RIGHT($P49,3)="2SP"),VLOOKUP(CONCATENATE(LEFT($P49,2),"L"),$R$63:$T$90,3,FALSE),0)-IF(AND($Q$16=H$18,$Q$14&lt;&gt;$Q$15,$Q$16=$Q$17,RIGHT($Q49,3)="2SP"),VLOOKUP(CONCATENATE(LEFT($Q49,2),"L"),$R$63:$T$90,3,FALSE),0)-IF(AND($T$16=H$18,$T$14&lt;&gt;$T$15,$T$16=$T$17,RIGHT($T49,3)="2SP"),VLOOKUP(CONCATENATE(LEFT($T49,2),"L"),$R$63:$T$90,3,FALSE),0)-IF(AND($U$16=H$18,$U$14&lt;&gt;$U$15,$U$16=$U$17,RIGHT($U49,3)="2SP"),VLOOKUP(CONCATENATE(LEFT($U49,2),"L"),$R$63:$T$90,3,FALSE),0)-IF(AND($V$16=H$18,$V$14&lt;&gt;$V$15,$V$16=$V$17,RIGHT($V49,3)="2SP"),VLOOKUP(CONCATENATE(LEFT($V49,2),"L"),$R$63:$T$90,3,FALSE),0)-IF(AND($W$16=H$18,$W$14&lt;&gt;$W$15,$W$16=$W$17,RIGHT($W49,3)="2SP"),VLOOKUP(CONCATENATE(LEFT($W49,2),"L"),$R$63:$T$90,3,FALSE),0)-IF(AND($X$16=H$18,$X$14&lt;&gt;$X$15,$X$16=$X$17,RIGHT($X49,3)="2SP"),VLOOKUP(CONCATENATE(LEFT($X49,2),"L"),$R$63:$T$90,3,FALSE),0)-IF(AND($Y$16=H$18,$Y$14&lt;&gt;$Y$15,$Y$16=$Y$17,RIGHT($Y49,3)="2SP"),VLOOKUP(CONCATENATE(LEFT($Y49,2),"L"),$R$63:$T$90,3,FALSE),0)+IF(AND($K$6="CE",$T$59="2 Phases",H$18&lt;&gt;""),IF(VLOOKUP(CONCATENATE($A$18,"Line"),'Supply Attribution'!$F$31:$G$37,2,FALSE)="Line3",$A49,0)+IF(VLOOKUP(CONCATENATE($B$18,"Line"),'Supply Attribution'!$F$31:$G$37,2,FALSE)="Line3",$B49,0)+IF(VLOOKUP(CONCATENATE($C$18,"Line"),'Supply Attribution'!$F$31:$G$37,2,FALSE)="Line3",$C49,0)+IF(VLOOKUP(CONCATENATE($D$18,"Line"),'Supply Attribution'!$F$31:$G$37,2,FALSE)="Line3",$D49,0)+IF(VLOOKUP(CONCATENATE($E$18,"Line"),'Supply Attribution'!$F$31:$G$37,2,FALSE)="Line3",$E49,0)+IF(VLOOKUP(CONCATENATE($F$18,"Line"),'Supply Attribution'!$F$31:$G$37,2,FALSE)="Line3",$F49,0)-IF(AND($K$16=I$18,$K$14&lt;&gt;$K$15,$K$16=$K$17,RIGHT($K49,3)="2SP"),VLOOKUP(CONCATENATE(LEFT($K49,2),"L"),$R$63:$T$90,3,FALSE),0)-IF(AND($L$16=I$18,$L$14&lt;&gt;$L$15,$L$16=$L$17,RIGHT($L49,3)="2SP"),VLOOKUP(CONCATENATE(LEFT($L49,2),"L"),$R$63:$T$90,3,FALSE),0)-IF(AND($M$16=I$18,$M$14&lt;&gt;$M$15,$M$16=$M$17,RIGHT($M49,3)="2SP"),VLOOKUP(CONCATENATE(LEFT($M49,2),"L"),$R$63:$T$90,3,FALSE),0)-IF(AND($N$16=I$18,$N$14&lt;&gt;$N$15,$N$16=$N$17,RIGHT($N49,3)="2SP"),VLOOKUP(CONCATENATE(LEFT($N49,2),"L"),$R$63:$T$90,3,FALSE),0)-IF(AND($O$16=I$18,$O$14&lt;&gt;$O$15,$O$16=$O$17,RIGHT($O49,3)="2SP"),VLOOKUP(CONCATENATE(LEFT($O49,2),"L"),$R$63:$T$90,3,FALSE),0)-IF(AND($P$16=I$18,$P$14&lt;&gt;$P$15,$P$16=$P$17,RIGHT($P49,3)="2SP"),VLOOKUP(CONCATENATE(LEFT($P49,2),"L"),$R$63:$T$90,3,FALSE),0)-IF(AND($Q$16=I$18,$Q$14&lt;&gt;$Q$15,$Q$16=$Q$17,RIGHT($Q49,3)="2SP"),VLOOKUP(CONCATENATE(LEFT($Q49,2),"L"),$R$63:$T$90,3,FALSE),0)-IF(AND($T$16=I$18,$T$14&lt;&gt;$T$15,$T$16=$T$17,RIGHT($T49,3)="2SP"),VLOOKUP(CONCATENATE(LEFT($T49,2),"L"),$R$63:$T$90,3,FALSE),0)-IF(AND($U$16=I$18,$U$14&lt;&gt;$U$15,$U$16=$U$17,RIGHT($U49,3)="2SP"),VLOOKUP(CONCATENATE(LEFT($U49,2),"L"),$R$63:$T$90,3,FALSE),0)-IF(AND($V$16=I$18,$V$14&lt;&gt;$V$15,$V$16=$V$17,RIGHT($V49,3)="2SP"),VLOOKUP(CONCATENATE(LEFT($V49,2),"L"),$R$63:$T$90,3,FALSE),0)-IF(AND($W$16=I$18,$W$14&lt;&gt;$W$15,$W$16=$W$17,RIGHT($W49,3)="2SP"),VLOOKUP(CONCATENATE(LEFT($W49,2),"L"),$R$63:$T$90,3,FALSE),0)-IF(AND($X$16=I$18,$X$14&lt;&gt;$X$15,$X$16=$X$17,RIGHT($X49,3)="2SP"),VLOOKUP(CONCATENATE(LEFT($X49,2),"L"),$R$63:$T$90,3,FALSE),0)-IF(AND($Y$16=I$18,$Y$14&lt;&gt;$Y$15,$Y$16=$Y$17,RIGHT($Y49,3)="2SP"),VLOOKUP(CONCATENATE(LEFT($Y49,2),"L"),$R$63:$T$90,3,FALSE),0),0),"")</f>
        <v/>
      </c>
      <c r="I49" s="271" t="str">
        <f>IF(I$18&lt;&gt;"",IF(VLOOKUP(CONCATENATE($A$18,"Line"),'Supply Attribution'!$F$31:$G$37,2,FALSE)=I$18,$A49,0)+IF(VLOOKUP(CONCATENATE($B$18,"Line"),'Supply Attribution'!$F$31:$G$37,2,FALSE)=I$18,$B49,0)+IF(VLOOKUP(CONCATENATE($C$18,"Line"),'Supply Attribution'!$F$31:$G$37,2,FALSE)=I$18,$C49,0)+IF(VLOOKUP(CONCATENATE($D$18,"Line"),'Supply Attribution'!$F$31:$G$37,2,FALSE)=I$18,$D49,0)+IF(VLOOKUP(CONCATENATE($E$18,"Line"),'Supply Attribution'!$F$31:$G$37,2,FALSE)=I$18,$E49,0)+IF(VLOOKUP(CONCATENATE($F$18,"Line"),'Supply Attribution'!$F$31:$G$37,2,FALSE)=I$18,$F49,0)+IF($K$6="UL",LEFT($S$90,2),0)-IF(AND($K$16=I$18,$K$14&lt;&gt;$K$15,$K$16=$K$17,RIGHT($K49,3)="2SP"),VLOOKUP(CONCATENATE(LEFT($K49,2),"L"),$R$63:$T$90,3,FALSE),0)-IF(AND($L$16=I$18,$L$14&lt;&gt;$L$15,$L$16=$L$17,RIGHT($L49,3)="2SP"),VLOOKUP(CONCATENATE(LEFT($L49,2),"L"),$R$63:$T$90,3,FALSE),0)-IF(AND($M$16=I$18,$M$14&lt;&gt;$M$15,$M$16=$M$17,RIGHT($M49,3)="2SP"),VLOOKUP(CONCATENATE(LEFT($M49,2),"L"),$R$63:$T$90,3,FALSE),0)-IF(AND($N$16=I$18,$N$14&lt;&gt;$N$15,$N$16=$N$17,RIGHT($N49,3)="2SP"),VLOOKUP(CONCATENATE(LEFT($N49,2),"L"),$R$63:$T$90,3,FALSE),0)-IF(AND($O$16=I$18,$O$14&lt;&gt;$O$15,$O$16=$O$17,RIGHT($O49,3)="2SP"),VLOOKUP(CONCATENATE(LEFT($O49,2),"L"),$R$63:$T$90,3,FALSE),0)-IF(AND($P$16=I$18,$P$14&lt;&gt;$P$15,$P$16=$P$17,RIGHT($P49,3)="2SP"),VLOOKUP(CONCATENATE(LEFT($P49,2),"L"),$R$63:$T$90,3,FALSE),0)-IF(AND($Q$16=I$18,$Q$14&lt;&gt;$Q$15,$Q$16=$Q$17,RIGHT($Q49,3)="2SP"),VLOOKUP(CONCATENATE(LEFT($Q49,2),"L"),$R$63:$T$90,3,FALSE),0)-IF(AND($T$16=I$18,$T$14&lt;&gt;$T$15,$T$16=$T$17,RIGHT($T49,3)="2SP"),VLOOKUP(CONCATENATE(LEFT($T49,2),"L"),$R$63:$T$90,3,FALSE),0)-IF(AND($U$16=I$18,$U$14&lt;&gt;$U$15,$U$16=$U$17,RIGHT($U49,3)="2SP"),VLOOKUP(CONCATENATE(LEFT($U49,2),"L"),$R$63:$T$90,3,FALSE),0)-IF(AND($V$16=I$18,$V$14&lt;&gt;$V$15,$V$16=$V$17,RIGHT($V49,3)="2SP"),VLOOKUP(CONCATENATE(LEFT($V49,2),"L"),$R$63:$T$90,3,FALSE),0)-IF(AND($W$16=I$18,$W$14&lt;&gt;$W$15,$W$16=$W$17,RIGHT($W49,3)="2SP"),VLOOKUP(CONCATENATE(LEFT($W49,2),"L"),$R$63:$T$90,3,FALSE),0)-IF(AND($X$16=I$18,$X$14&lt;&gt;$X$15,$X$16=$X$17,RIGHT($X49,3)="2SP"),VLOOKUP(CONCATENATE(LEFT($X49,2),"L"),$R$63:$T$90,3,FALSE),0)-IF(AND($Y$16=I$18,$Y$14&lt;&gt;$Y$15,$Y$16=$Y$17,RIGHT($Y49,3)="2SP"),VLOOKUP(CONCATENATE(LEFT($Y49,2),"L"),$R$63:$T$90,3,FALSE),0),"")</f>
        <v/>
      </c>
      <c r="J49" s="129"/>
      <c r="K49" s="130"/>
      <c r="L49" s="130"/>
      <c r="M49" s="130"/>
      <c r="N49" s="130"/>
      <c r="O49" s="130"/>
      <c r="P49" s="130"/>
      <c r="Q49" s="130"/>
      <c r="R49" s="130"/>
      <c r="S49" s="130"/>
      <c r="T49" s="130"/>
      <c r="U49" s="130"/>
      <c r="V49" s="130"/>
      <c r="W49" s="130"/>
      <c r="X49" s="130"/>
      <c r="Y49" s="130"/>
      <c r="Z49" s="131"/>
      <c r="AA49" s="131"/>
      <c r="AB49" s="132"/>
      <c r="AC49" s="132"/>
      <c r="AD49" s="132"/>
      <c r="AE49" s="133">
        <f t="shared" si="0"/>
        <v>0</v>
      </c>
      <c r="AF49" s="78"/>
    </row>
    <row r="50" spans="1:32">
      <c r="A50" s="270">
        <f>IF(AND($K50&lt;&gt;"",$K50&lt;&gt;"--",$K50&lt;&gt;"O3/CP",$K$14=A$18),IF(LEFT($K50,1)="P",VLOOKUP(CONCATENATE(LEFT($K50,2),"H"),$R$63:$T$91,3,FALSE),VLOOKUP($K50,$R$63:$T$91,3,FALSE)))+IF(AND($K50&lt;&gt;"",$K50&lt;&gt;"O3/CP",$K$15=A$18,MID($K50,4,1)="2",$K$15&lt;&gt;$K$14),VLOOKUP(CONCATENATE(LEFT($K50,2),"L"),$R$63:$T$91,3,FALSE),0)+IF(AND($K50="O3/CP",$K$14=A$18),VLOOKUP("O3",$R$63:$T$91,3,FALSE)+VLOOKUP("CP",$R$63:$T$91,3,FALSE),0)+IF(AND($L50&lt;&gt;"",$L50&lt;&gt;"--",$L50&lt;&gt;"O3/CP",$L$14=A$18),IF(LEFT($L50,1)="P",VLOOKUP(CONCATENATE(LEFT($L50,2),"H"),$R$63:$T$91,3,FALSE),VLOOKUP($L50,$R$63:$T$91,3,FALSE)))+IF(AND($L50&lt;&gt;"",$L50&lt;&gt;"O3/CP",$L$15=A$18,MID($L50,4,1)="2",$L$15&lt;&gt;$L$14),VLOOKUP(CONCATENATE(LEFT($L50,2),"L"),$R$63:$T$91,3,FALSE),0)+IF(AND($L50="O3/CP",$L$14=A$18),VLOOKUP("O3",$R$63:$T$91,3,FALSE)+VLOOKUP("CP",$R$63:$T$91,3,FALSE),0)+IF(AND($M50&lt;&gt;"",$M50&lt;&gt;"--",$M50&lt;&gt;"O3/CP",$M$14=A$18),IF(LEFT($M50,1)="P",VLOOKUP(CONCATENATE(LEFT($M50,2),"H"),$R$63:$T$91,3,FALSE),VLOOKUP($M50,$R$63:$T$91,3,FALSE)))+IF(AND($M50&lt;&gt;"",$M50&lt;&gt;"O3/CP",$M$15=A$18,MID($M50,4,1)="2",$M$15&lt;&gt;$M$14),VLOOKUP(CONCATENATE(LEFT($M50,2),"L"),$R$63:$T$91,3,FALSE),0)+IF(AND($M50="O3/CP",$M$14=A$18),VLOOKUP("O3",$R$63:$T$91,3,FALSE)+VLOOKUP("CP",$R$63:$T$91,3,FALSE),0)+IF(AND($N50&lt;&gt;"",$N50&lt;&gt;"--",$N50&lt;&gt;"O3/CP",$N$14=A$18),IF(LEFT($N50,1)="P",VLOOKUP(CONCATENATE(LEFT($N50,2),"H"),$R$63:$T$91,3,FALSE),VLOOKUP($N50,$R$63:$T$91,3,FALSE)))+IF(AND($N50&lt;&gt;"",$N50&lt;&gt;"O3/CP",$N$15=A$18,MID($N50,4,1)="2",$N$15&lt;&gt;$N$14),VLOOKUP(CONCATENATE(LEFT($N50,2),"L"),$R$63:$T$91,3,FALSE),0)+IF(AND($N50="O3/CP",$N$14=A$18),VLOOKUP("O3",$R$63:$T$91,3,FALSE)+VLOOKUP("CP",$R$63:$T$91,3,FALSE),0)+IF(AND($O50&lt;&gt;"",$O50&lt;&gt;"--",$O50&lt;&gt;"O3/CP",$O$14=A$18),IF(LEFT($O50,1)="P",VLOOKUP(CONCATENATE(LEFT($O50,2),"H"),$R$63:$T$91,3,FALSE),VLOOKUP($O50,$R$63:$T$91,3,FALSE)))+IF(AND($O50&lt;&gt;"",$O50&lt;&gt;"O3/CP",$O$15=A$18,MID($O50,4,1)="2",$O$15&lt;&gt;$O$14),VLOOKUP(CONCATENATE(LEFT($O50,2),"L"),$R$63:$T$91,3,FALSE),0)+IF(AND($O50="O3/CP",$O$14=A$18),VLOOKUP("O3",$R$63:$T$91,3,FALSE)+VLOOKUP("CP",$R$63:$T$91,3,FALSE),0)+IF(AND($P50&lt;&gt;"",$P50&lt;&gt;"--",$P50&lt;&gt;"O3/CP",$P$14=A$18),IF(LEFT($P50,1)="P",VLOOKUP(CONCATENATE(LEFT($P50,2),"H"),$R$63:$T$91,3,FALSE),VLOOKUP($P50,$R$63:$T$91,3,FALSE)))+IF(AND($P50&lt;&gt;"",$P50&lt;&gt;"O3/CP",$P$15=A$18,MID($P50,4,1)="2",$P$15&lt;&gt;$P$14),VLOOKUP(CONCATENATE(LEFT($P50,2),"L"),$R$63:$T$91,3,FALSE),0)+IF(AND($P50="O3/CP",$P$14=A$18),VLOOKUP("O3",$R$63:$T$91,3,FALSE)+VLOOKUP("CP",$R$63:$T$91,3,FALSE),0)+IF(AND($Q50&lt;&gt;"",$Q50&lt;&gt;"--",$Q50&lt;&gt;"O3/CP",$Q$14=A$18),IF(LEFT($Q50,1)="P",VLOOKUP(CONCATENATE(LEFT($Q50,2),"H"),$R$63:$T$91,3,FALSE),VLOOKUP($Q50,$R$63:$T$91,3,FALSE)))+IF(AND($Q50&lt;&gt;"",$Q50&lt;&gt;"O3/CP",$Q$15=A$18,MID($Q50,4,1)="2",$Q$15&lt;&gt;$Q$14),VLOOKUP(CONCATENATE(LEFT($Q50,2),"L"),$R$63:$T$91,3,FALSE),0)+IF(AND($Q50="O3/CP",$Q$14=A$18),VLOOKUP("O3",$R$63:$T$91,3,FALSE)+VLOOKUP("CP",$R$63:$T$91,3,FALSE),0)+IF(AND($R50&lt;&gt;"",$R50&lt;&gt;"--",$R50&lt;&gt;"O3/CP",$R$14=A$18),IF(LEFT($R50,1)="P",VLOOKUP(CONCATENATE(LEFT($R50,2),"H"),$R$63:$T$91,3,FALSE),VLOOKUP($R50,$R$63:$T$91,3,FALSE)))+IF(AND($R50&lt;&gt;"",$R50&lt;&gt;"O3/CP",$R$15=A$18,MID($R50,4,1)="2",$R$15&lt;&gt;$R$14),VLOOKUP(CONCATENATE(LEFT($R50,2),"L"),$R$63:$T$91,3,FALSE),0)+IF(AND($R50="O3/CP",$R$14=A$18),VLOOKUP("O3",$R$63:$T$91,3,FALSE)+VLOOKUP("CP",$R$63:$T$91,3,FALSE),0)+IF(AND($S50&lt;&gt;"",$S50&lt;&gt;"--",$S50&lt;&gt;"O3/CP",$S$14=A$18),IF(LEFT($S50,1)="P",VLOOKUP(CONCATENATE(LEFT($S50,2),"H"),$R$63:$T$91,3,FALSE),VLOOKUP($S50,$R$63:$T$91,3,FALSE)))+IF(AND($S50&lt;&gt;"",$S50&lt;&gt;"O3/CP",$S$15=A$18,MID($S50,4,1)="2",$S$15&lt;&gt;$S$14),VLOOKUP(CONCATENATE(LEFT($S50,2),"L"),$R$63:$T$91,3,FALSE),0)+IF(AND($S50="O3/CP",$S$14=A$18),VLOOKUP("O3",$R$63:$T$91,3,FALSE)+VLOOKUP("CP",$R$63:$T$91,3,FALSE),0)+IF(AND($T50&lt;&gt;"",$T50&lt;&gt;"--",$T50&lt;&gt;"O3/CP",$T$14=A$18),IF(LEFT($T50,1)="P",VLOOKUP(CONCATENATE(LEFT($T50,2),"H"),$R$63:$T$91,3,FALSE),VLOOKUP($T50,$R$63:$T$91,3,FALSE)))+IF(AND($T50&lt;&gt;"",$T50&lt;&gt;"O3/CP",$T$15=A$18,MID($T50,4,1)="2",$T$15&lt;&gt;$T$14),VLOOKUP(CONCATENATE(LEFT($T50,2),"L"),$R$63:$T$91,3,FALSE),0)+IF(AND($T50="O3/CP",$T$14=A$18),VLOOKUP("O3",$R$63:$T$91,3,FALSE)+VLOOKUP("CP",$R$63:$T$91,3,FALSE),0)+IF(AND($U50&lt;&gt;"",$U50&lt;&gt;"--",$U50&lt;&gt;"O3/CP",$U$14=A$18),IF(LEFT($U50,1)="P",VLOOKUP(CONCATENATE(LEFT($U50,2),"H"),$R$63:$T$91,3,FALSE),VLOOKUP($U50,$R$63:$T$91,3,FALSE)))+IF(AND($U50&lt;&gt;"",$U50&lt;&gt;"O3/CP",$U$15=A$18,MID($U50,4,1)="2",$U$15&lt;&gt;$U$14),VLOOKUP(CONCATENATE(LEFT($U50,2),"L"),$R$63:$T$91,3,FALSE),0)+IF(AND($U50="O3/CP",$T$14=A$18),VLOOKUP("O3",$R$63:$T$91,3,FALSE)+VLOOKUP("CP",$R$63:$T$91,3,FALSE),0)+IF(AND($V50&lt;&gt;"",$V50&lt;&gt;"--",$V50&lt;&gt;"O3/CP",$V$14=A$18),IF(LEFT($V50,1)="P",VLOOKUP(CONCATENATE(LEFT($V50,2),"H"),$R$63:$T$91,3,FALSE),VLOOKUP($V50,$R$63:$T$91,3,FALSE)))+IF(AND($V50&lt;&gt;"",$V50&lt;&gt;"O3/CP",$V$15=A$18,MID($V50,4,1)="2",$V$15&lt;&gt;$V$14),VLOOKUP(CONCATENATE(LEFT($V50,2),"L"),$R$63:$T$91,3,FALSE),0)+IF(AND($V50="O3/CP",$V$14=A$18),VLOOKUP("O3",$R$63:$T$91,3,FALSE)+VLOOKUP("CP",$R$63:$T$91,3,FALSE),0)+IF(AND($W50&lt;&gt;"",$W50&lt;&gt;"--",$W50&lt;&gt;"O3/CP",$W$14=A$18),IF(LEFT($W50,1)="P",VLOOKUP(CONCATENATE(LEFT($W50,2),"H"),$R$63:$T$91,3,FALSE),VLOOKUP($W50,$R$63:$T$91,3,FALSE)))+IF(AND($W50&lt;&gt;"",$W50&lt;&gt;"O3/CP",$W$15=A$18,MID($W50,4,1)="2",$W$15&lt;&gt;$W$14),VLOOKUP(CONCATENATE(LEFT($W50,2),"L"),$R$63:$T$91,3,FALSE),0)+IF(AND($W50="O3/CP",$W$14=A$18),VLOOKUP("O3",$R$63:$T$91,3,FALSE)+VLOOKUP("CP",$R$63:$T$91,3,FALSE),0)+IF(AND($X50&lt;&gt;"",$X50&lt;&gt;"--",$X50&lt;&gt;"O3/CP",$X$14=A$18),IF(LEFT($X50,1)="P",VLOOKUP(CONCATENATE(LEFT($X50,2),"H"),$R$63:$T$91,3,FALSE),VLOOKUP($X50,$R$63:$T$91,3,FALSE)))+IF(AND($X50&lt;&gt;"",$X50&lt;&gt;"O3/CP",$X$15=A$18,MID($X50,4,1)="2",$X$15&lt;&gt;$X$14),VLOOKUP(CONCATENATE(LEFT($X50,2),"L"),$R$63:$T$91,3,FALSE),0)+IF(AND($X50="O3/CP",$X$14=A$18),VLOOKUP("O3",$R$63:$T$91,3,FALSE)+VLOOKUP("CP",$R$63:$T$91,3,FALSE),0)+IF(AND($Y50&lt;&gt;"",$Y50&lt;&gt;"--",$Y50&lt;&gt;"O3/CP",$Y$14=A$18),IF(LEFT($Y50,1)="P",VLOOKUP(CONCATENATE(LEFT($Y50,2),"H"),$R$63:$T$91,3,FALSE),VLOOKUP($Y50,$R$63:$T$91,3,FALSE)))+IF(AND($Y50&lt;&gt;"",$Y50&lt;&gt;"O3/CP",$Y$15=A$18,MID($Y50,4,1)="2",$Y$15&lt;&gt;$Y$14),VLOOKUP(CONCATENATE(LEFT($Y50,2),"L"),$R$63:$T$91,3,FALSE),0)+IF(AND($Y50="O3/CP",$Y$14=A$18),VLOOKUP("O3",$R$63:$T$91,3,FALSE)+VLOOKUP("CP",$R$63:$T$91,3,FALSE),0)+IF(AND($K$6="CE",'[3]Supply Attribution'!$G$20=A$18),LEFT($S$90,2),0)+IF(AND($X$86&lt;&gt;"Not Set",$X$87=A$18),$X$86,0)</f>
        <v>0</v>
      </c>
      <c r="B50" s="269">
        <f>IF(AND($K50&lt;&gt;"",$K50&lt;&gt;"--",$K50&lt;&gt;"O3/CP",$K$14=B$18),IF(LEFT($K50,1)="P",VLOOKUP(CONCATENATE(LEFT($K50,2),"H"),$R$63:$T$91,3,FALSE),VLOOKUP($K50,$R$63:$T$91,3,FALSE)))+IF(AND($K50&lt;&gt;"",$K50&lt;&gt;"O3/CP",$K$15=B$18,MID($K50,4,1)="2",$K$15&lt;&gt;$K$14),VLOOKUP(CONCATENATE(LEFT($K50,2),"L"),$R$63:$T$91,3,FALSE),0)+IF(AND($K50="O3/CP",$K$14=B$18),VLOOKUP("O3",$R$63:$T$91,3,FALSE)+VLOOKUP("CP",$R$63:$T$91,3,FALSE),0)+IF(AND($L50&lt;&gt;"",$L50&lt;&gt;"--",$L50&lt;&gt;"O3/CP",$L$14=B$18),IF(LEFT($L50,1)="P",VLOOKUP(CONCATENATE(LEFT($L50,2),"H"),$R$63:$T$91,3,FALSE),VLOOKUP($L50,$R$63:$T$91,3,FALSE)))+IF(AND($L50&lt;&gt;"",$L50&lt;&gt;"O3/CP",$L$15=B$18,MID($L50,4,1)="2",$L$15&lt;&gt;$L$14),VLOOKUP(CONCATENATE(LEFT($L50,2),"L"),$R$63:$T$91,3,FALSE),0)+IF(AND($L50="O3/CP",$L$14=B$18),VLOOKUP("O3",$R$63:$T$91,3,FALSE)+VLOOKUP("CP",$R$63:$T$91,3,FALSE),0)+IF(AND($M50&lt;&gt;"",$M50&lt;&gt;"--",$M50&lt;&gt;"O3/CP",$M$14=B$18),IF(LEFT($M50,1)="P",VLOOKUP(CONCATENATE(LEFT($M50,2),"H"),$R$63:$T$91,3,FALSE),VLOOKUP($M50,$R$63:$T$91,3,FALSE)))+IF(AND($M50&lt;&gt;"",$M50&lt;&gt;"O3/CP",$M$15=B$18,MID($M50,4,1)="2",$M$15&lt;&gt;$M$14),VLOOKUP(CONCATENATE(LEFT($M50,2),"L"),$R$63:$T$91,3,FALSE),0)+IF(AND($M50="O3/CP",$M$14=B$18),VLOOKUP("O3",$R$63:$T$91,3,FALSE)+VLOOKUP("CP",$R$63:$T$91,3,FALSE),0)+IF(AND($N50&lt;&gt;"",$N50&lt;&gt;"--",$N50&lt;&gt;"O3/CP",$N$14=B$18),IF(LEFT($N50,1)="P",VLOOKUP(CONCATENATE(LEFT($N50,2),"H"),$R$63:$T$91,3,FALSE),VLOOKUP($N50,$R$63:$T$91,3,FALSE)))+IF(AND($N50&lt;&gt;"",$N50&lt;&gt;"O3/CP",$N$15=B$18,MID($N50,4,1)="2",$N$15&lt;&gt;$N$14),VLOOKUP(CONCATENATE(LEFT($N50,2),"L"),$R$63:$T$91,3,FALSE),0)+IF(AND($N50="O3/CP",$N$14=B$18),VLOOKUP("O3",$R$63:$T$91,3,FALSE)+VLOOKUP("CP",$R$63:$T$91,3,FALSE),0)+IF(AND($O50&lt;&gt;"",$O50&lt;&gt;"--",$O50&lt;&gt;"O3/CP",$O$14=B$18),IF(LEFT($O50,1)="P",VLOOKUP(CONCATENATE(LEFT($O50,2),"H"),$R$63:$T$91,3,FALSE),VLOOKUP($O50,$R$63:$T$91,3,FALSE)))+IF(AND($O50&lt;&gt;"",$O50&lt;&gt;"O3/CP",$O$15=B$18,MID($O50,4,1)="2",$O$15&lt;&gt;$O$14),VLOOKUP(CONCATENATE(LEFT($O50,2),"L"),$R$63:$T$91,3,FALSE),0)+IF(AND($O50="O3/CP",$O$14=B$18),VLOOKUP("O3",$R$63:$T$91,3,FALSE)+VLOOKUP("CP",$R$63:$T$91,3,FALSE),0)+IF(AND($P50&lt;&gt;"",$P50&lt;&gt;"--",$P50&lt;&gt;"O3/CP",$P$14=B$18),IF(LEFT($P50,1)="P",VLOOKUP(CONCATENATE(LEFT($P50,2),"H"),$R$63:$T$91,3,FALSE),VLOOKUP($P50,$R$63:$T$91,3,FALSE)))+IF(AND($P50&lt;&gt;"",$P50&lt;&gt;"O3/CP",$P$15=B$18,MID($P50,4,1)="2",$P$15&lt;&gt;$P$14),VLOOKUP(CONCATENATE(LEFT($P50,2),"L"),$R$63:$T$91,3,FALSE),0)+IF(AND($P50="O3/CP",$P$14=B$18),VLOOKUP("O3",$R$63:$T$91,3,FALSE)+VLOOKUP("CP",$R$63:$T$91,3,FALSE),0)+IF(AND($Q50&lt;&gt;"",$Q50&lt;&gt;"--",$Q50&lt;&gt;"O3/CP",$Q$14=B$18),IF(LEFT($Q50,1)="P",VLOOKUP(CONCATENATE(LEFT($Q50,2),"H"),$R$63:$T$91,3,FALSE),VLOOKUP($Q50,$R$63:$T$91,3,FALSE)))+IF(AND($Q50&lt;&gt;"",$Q50&lt;&gt;"O3/CP",$Q$15=B$18,MID($Q50,4,1)="2",$Q$15&lt;&gt;$Q$14),VLOOKUP(CONCATENATE(LEFT($Q50,2),"L"),$R$63:$T$91,3,FALSE),0)+IF(AND($Q50="O3/CP",$Q$14=B$18),VLOOKUP("O3",$R$63:$T$91,3,FALSE)+VLOOKUP("CP",$R$63:$T$91,3,FALSE),0)+IF(AND($R50&lt;&gt;"",$R50&lt;&gt;"--",$R50&lt;&gt;"O3/CP",$R$14=B$18),IF(LEFT($R50,1)="P",VLOOKUP(CONCATENATE(LEFT($R50,2),"H"),$R$63:$T$91,3,FALSE),VLOOKUP($R50,$R$63:$T$91,3,FALSE)))+IF(AND($R50&lt;&gt;"",$R50&lt;&gt;"O3/CP",$R$15=B$18,MID($R50,4,1)="2",$R$15&lt;&gt;$R$14),VLOOKUP(CONCATENATE(LEFT($R50,2),"L"),$R$63:$T$91,3,FALSE),0)+IF(AND($R50="O3/CP",$R$14=B$18),VLOOKUP("O3",$R$63:$T$91,3,FALSE)+VLOOKUP("CP",$R$63:$T$91,3,FALSE),0)+IF(AND($S50&lt;&gt;"",$S50&lt;&gt;"--",$S50&lt;&gt;"O3/CP",$S$14=B$18),IF(LEFT($S50,1)="P",VLOOKUP(CONCATENATE(LEFT($S50,2),"H"),$R$63:$T$91,3,FALSE),VLOOKUP($S50,$R$63:$T$91,3,FALSE)))+IF(AND($S50&lt;&gt;"",$S50&lt;&gt;"O3/CP",$S$15=B$18,MID($S50,4,1)="2",$S$15&lt;&gt;$S$14),VLOOKUP(CONCATENATE(LEFT($S50,2),"L"),$R$63:$T$91,3,FALSE),0)+IF(AND($S50="O3/CP",$S$14=B$18),VLOOKUP("O3",$R$63:$T$91,3,FALSE)+VLOOKUP("CP",$R$63:$T$91,3,FALSE),0)+IF(AND($T50&lt;&gt;"",$T50&lt;&gt;"--",$T50&lt;&gt;"O3/CP",$T$14=B$18),IF(LEFT($T50,1)="P",VLOOKUP(CONCATENATE(LEFT($T50,2),"H"),$R$63:$T$91,3,FALSE),VLOOKUP($T50,$R$63:$T$91,3,FALSE)))+IF(AND($T50&lt;&gt;"",$T50&lt;&gt;"O3/CP",$T$15=B$18,MID($T50,4,1)="2",$T$15&lt;&gt;$T$14),VLOOKUP(CONCATENATE(LEFT($T50,2),"L"),$R$63:$T$91,3,FALSE),0)+IF(AND($T50="O3/CP",$T$14=B$18),VLOOKUP("O3",$R$63:$T$91,3,FALSE)+VLOOKUP("CP",$R$63:$T$91,3,FALSE),0)+IF(AND($U50&lt;&gt;"",$U50&lt;&gt;"--",$U50&lt;&gt;"O3/CP",$U$14=B$18),IF(LEFT($U50,1)="P",VLOOKUP(CONCATENATE(LEFT($U50,2),"H"),$R$63:$T$91,3,FALSE),VLOOKUP($U50,$R$63:$T$91,3,FALSE)))+IF(AND($U50&lt;&gt;"",$U50&lt;&gt;"O3/CP",$U$15=B$18,MID($U50,4,1)="2",$U$15&lt;&gt;$U$14),VLOOKUP(CONCATENATE(LEFT($U50,2),"L"),$R$63:$T$91,3,FALSE),0)+IF(AND($U50="O3/CP",$T$14=B$18),VLOOKUP("O3",$R$63:$T$91,3,FALSE)+VLOOKUP("CP",$R$63:$T$91,3,FALSE),0)+IF(AND($V50&lt;&gt;"",$V50&lt;&gt;"--",$V50&lt;&gt;"O3/CP",$V$14=B$18),IF(LEFT($V50,1)="P",VLOOKUP(CONCATENATE(LEFT($V50,2),"H"),$R$63:$T$91,3,FALSE),VLOOKUP($V50,$R$63:$T$91,3,FALSE)))+IF(AND($V50&lt;&gt;"",$V50&lt;&gt;"O3/CP",$V$15=B$18,MID($V50,4,1)="2",$V$15&lt;&gt;$V$14),VLOOKUP(CONCATENATE(LEFT($V50,2),"L"),$R$63:$T$91,3,FALSE),0)+IF(AND($V50="O3/CP",$V$14=B$18),VLOOKUP("O3",$R$63:$T$91,3,FALSE)+VLOOKUP("CP",$R$63:$T$91,3,FALSE),0)+IF(AND($W50&lt;&gt;"",$W50&lt;&gt;"--",$W50&lt;&gt;"O3/CP",$W$14=B$18),IF(LEFT($W50,1)="P",VLOOKUP(CONCATENATE(LEFT($W50,2),"H"),$R$63:$T$91,3,FALSE),VLOOKUP($W50,$R$63:$T$91,3,FALSE)))+IF(AND($W50&lt;&gt;"",$W50&lt;&gt;"O3/CP",$W$15=B$18,MID($W50,4,1)="2",$W$15&lt;&gt;$W$14),VLOOKUP(CONCATENATE(LEFT($W50,2),"L"),$R$63:$T$91,3,FALSE),0)+IF(AND($W50="O3/CP",$W$14=B$18),VLOOKUP("O3",$R$63:$T$91,3,FALSE)+VLOOKUP("CP",$R$63:$T$91,3,FALSE),0)+IF(AND($X50&lt;&gt;"",$X50&lt;&gt;"--",$X50&lt;&gt;"O3/CP",$X$14=B$18),IF(LEFT($X50,1)="P",VLOOKUP(CONCATENATE(LEFT($X50,2),"H"),$R$63:$T$91,3,FALSE),VLOOKUP($X50,$R$63:$T$91,3,FALSE)))+IF(AND($X50&lt;&gt;"",$X50&lt;&gt;"O3/CP",$X$15=B$18,MID($X50,4,1)="2",$X$15&lt;&gt;$X$14),VLOOKUP(CONCATENATE(LEFT($X50,2),"L"),$R$63:$T$91,3,FALSE),0)+IF(AND($X50="O3/CP",$X$14=B$18),VLOOKUP("O3",$R$63:$T$91,3,FALSE)+VLOOKUP("CP",$R$63:$T$91,3,FALSE),0)+IF(AND($Y50&lt;&gt;"",$Y50&lt;&gt;"--",$Y50&lt;&gt;"O3/CP",$Y$14=B$18),IF(LEFT($Y50,1)="P",VLOOKUP(CONCATENATE(LEFT($Y50,2),"H"),$R$63:$T$91,3,FALSE),VLOOKUP($Y50,$R$63:$T$91,3,FALSE)))+IF(AND($Y50&lt;&gt;"",$Y50&lt;&gt;"O3/CP",$Y$15=B$18,MID($Y50,4,1)="2",$Y$15&lt;&gt;$Y$14),VLOOKUP(CONCATENATE(LEFT($Y50,2),"L"),$R$63:$T$91,3,FALSE),0)+IF(AND($Y50="O3/CP",$Y$14=B$18),VLOOKUP("O3",$R$63:$T$91,3,FALSE)+VLOOKUP("CP",$R$63:$T$91,3,FALSE),0)+IF(AND($K$6="CE",'[3]Supply Attribution'!$G$20=B$18),LEFT($S$90,2),0)+IF(AND($X$86&lt;&gt;"Not Set",$X$87=B$18),$X$86,0)</f>
        <v>0</v>
      </c>
      <c r="C50" s="269">
        <f>IF(AND($K50&lt;&gt;"",$K50&lt;&gt;"--",$K50&lt;&gt;"O3/CP",$K$14=C$18),IF(LEFT($K50,1)="P",VLOOKUP(CONCATENATE(LEFT($K50,2),"H"),$R$63:$T$91,3,FALSE),VLOOKUP($K50,$R$63:$T$91,3,FALSE)))+IF(AND($K50&lt;&gt;"",$K50&lt;&gt;"O3/CP",$K$15=C$18,MID($K50,4,1)="2",$K$15&lt;&gt;$K$14),VLOOKUP(CONCATENATE(LEFT($K50,2),"L"),$R$63:$T$91,3,FALSE),0)+IF(AND($K50="O3/CP",$K$14=C$18),VLOOKUP("O3",$R$63:$T$91,3,FALSE)+VLOOKUP("CP",$R$63:$T$91,3,FALSE),0)+IF(AND($L50&lt;&gt;"",$L50&lt;&gt;"--",$L50&lt;&gt;"O3/CP",$L$14=C$18),IF(LEFT($L50,1)="P",VLOOKUP(CONCATENATE(LEFT($L50,2),"H"),$R$63:$T$91,3,FALSE),VLOOKUP($L50,$R$63:$T$91,3,FALSE)))+IF(AND($L50&lt;&gt;"",$L50&lt;&gt;"O3/CP",$L$15=C$18,MID($L50,4,1)="2",$L$15&lt;&gt;$L$14),VLOOKUP(CONCATENATE(LEFT($L50,2),"L"),$R$63:$T$91,3,FALSE),0)+IF(AND($L50="O3/CP",$L$14=C$18),VLOOKUP("O3",$R$63:$T$91,3,FALSE)+VLOOKUP("CP",$R$63:$T$91,3,FALSE),0)+IF(AND($M50&lt;&gt;"",$M50&lt;&gt;"--",$M50&lt;&gt;"O3/CP",$M$14=C$18),IF(LEFT($M50,1)="P",VLOOKUP(CONCATENATE(LEFT($M50,2),"H"),$R$63:$T$91,3,FALSE),VLOOKUP($M50,$R$63:$T$91,3,FALSE)))+IF(AND($M50&lt;&gt;"",$M50&lt;&gt;"O3/CP",$M$15=C$18,MID($M50,4,1)="2",$M$15&lt;&gt;$M$14),VLOOKUP(CONCATENATE(LEFT($M50,2),"L"),$R$63:$T$91,3,FALSE),0)+IF(AND($M50="O3/CP",$M$14=C$18),VLOOKUP("O3",$R$63:$T$91,3,FALSE)+VLOOKUP("CP",$R$63:$T$91,3,FALSE),0)+IF(AND($N50&lt;&gt;"",$N50&lt;&gt;"--",$N50&lt;&gt;"O3/CP",$N$14=C$18),IF(LEFT($N50,1)="P",VLOOKUP(CONCATENATE(LEFT($N50,2),"H"),$R$63:$T$91,3,FALSE),VLOOKUP($N50,$R$63:$T$91,3,FALSE)))+IF(AND($N50&lt;&gt;"",$N50&lt;&gt;"O3/CP",$N$15=C$18,MID($N50,4,1)="2",$N$15&lt;&gt;$N$14),VLOOKUP(CONCATENATE(LEFT($N50,2),"L"),$R$63:$T$91,3,FALSE),0)+IF(AND($N50="O3/CP",$N$14=C$18),VLOOKUP("O3",$R$63:$T$91,3,FALSE)+VLOOKUP("CP",$R$63:$T$91,3,FALSE),0)+IF(AND($O50&lt;&gt;"",$O50&lt;&gt;"--",$O50&lt;&gt;"O3/CP",$O$14=C$18),IF(LEFT($O50,1)="P",VLOOKUP(CONCATENATE(LEFT($O50,2),"H"),$R$63:$T$91,3,FALSE),VLOOKUP($O50,$R$63:$T$91,3,FALSE)))+IF(AND($O50&lt;&gt;"",$O50&lt;&gt;"O3/CP",$O$15=C$18,MID($O50,4,1)="2",$O$15&lt;&gt;$O$14),VLOOKUP(CONCATENATE(LEFT($O50,2),"L"),$R$63:$T$91,3,FALSE),0)+IF(AND($O50="O3/CP",$O$14=C$18),VLOOKUP("O3",$R$63:$T$91,3,FALSE)+VLOOKUP("CP",$R$63:$T$91,3,FALSE),0)+IF(AND($P50&lt;&gt;"",$P50&lt;&gt;"--",$P50&lt;&gt;"O3/CP",$P$14=C$18),IF(LEFT($P50,1)="P",VLOOKUP(CONCATENATE(LEFT($P50,2),"H"),$R$63:$T$91,3,FALSE),VLOOKUP($P50,$R$63:$T$91,3,FALSE)))+IF(AND($P50&lt;&gt;"",$P50&lt;&gt;"O3/CP",$P$15=C$18,MID($P50,4,1)="2",$P$15&lt;&gt;$P$14),VLOOKUP(CONCATENATE(LEFT($P50,2),"L"),$R$63:$T$91,3,FALSE),0)+IF(AND($P50="O3/CP",$P$14=C$18),VLOOKUP("O3",$R$63:$T$91,3,FALSE)+VLOOKUP("CP",$R$63:$T$91,3,FALSE),0)+IF(AND($Q50&lt;&gt;"",$Q50&lt;&gt;"--",$Q50&lt;&gt;"O3/CP",$Q$14=C$18),IF(LEFT($Q50,1)="P",VLOOKUP(CONCATENATE(LEFT($Q50,2),"H"),$R$63:$T$91,3,FALSE),VLOOKUP($Q50,$R$63:$T$91,3,FALSE)))+IF(AND($Q50&lt;&gt;"",$Q50&lt;&gt;"O3/CP",$Q$15=C$18,MID($Q50,4,1)="2",$Q$15&lt;&gt;$Q$14),VLOOKUP(CONCATENATE(LEFT($Q50,2),"L"),$R$63:$T$91,3,FALSE),0)+IF(AND($Q50="O3/CP",$Q$14=C$18),VLOOKUP("O3",$R$63:$T$91,3,FALSE)+VLOOKUP("CP",$R$63:$T$91,3,FALSE),0)+IF(AND($R50&lt;&gt;"",$R50&lt;&gt;"--",$R50&lt;&gt;"O3/CP",$R$14=C$18),IF(LEFT($R50,1)="P",VLOOKUP(CONCATENATE(LEFT($R50,2),"H"),$R$63:$T$91,3,FALSE),VLOOKUP($R50,$R$63:$T$91,3,FALSE)))+IF(AND($R50&lt;&gt;"",$R50&lt;&gt;"O3/CP",$R$15=C$18,MID($R50,4,1)="2",$R$15&lt;&gt;$R$14),VLOOKUP(CONCATENATE(LEFT($R50,2),"L"),$R$63:$T$91,3,FALSE),0)+IF(AND($R50="O3/CP",$R$14=C$18),VLOOKUP("O3",$R$63:$T$91,3,FALSE)+VLOOKUP("CP",$R$63:$T$91,3,FALSE),0)+IF(AND($S50&lt;&gt;"",$S50&lt;&gt;"--",$S50&lt;&gt;"O3/CP",$S$14=C$18),IF(LEFT($S50,1)="P",VLOOKUP(CONCATENATE(LEFT($S50,2),"H"),$R$63:$T$91,3,FALSE),VLOOKUP($S50,$R$63:$T$91,3,FALSE)))+IF(AND($S50&lt;&gt;"",$S50&lt;&gt;"O3/CP",$S$15=C$18,MID($S50,4,1)="2",$S$15&lt;&gt;$S$14),VLOOKUP(CONCATENATE(LEFT($S50,2),"L"),$R$63:$T$91,3,FALSE),0)+IF(AND($S50="O3/CP",$S$14=C$18),VLOOKUP("O3",$R$63:$T$91,3,FALSE)+VLOOKUP("CP",$R$63:$T$91,3,FALSE),0)+IF(AND($T50&lt;&gt;"",$T50&lt;&gt;"--",$T50&lt;&gt;"O3/CP",$T$14=C$18),IF(LEFT($T50,1)="P",VLOOKUP(CONCATENATE(LEFT($T50,2),"H"),$R$63:$T$91,3,FALSE),VLOOKUP($T50,$R$63:$T$91,3,FALSE)))+IF(AND($T50&lt;&gt;"",$T50&lt;&gt;"O3/CP",$T$15=C$18,MID($T50,4,1)="2",$T$15&lt;&gt;$T$14),VLOOKUP(CONCATENATE(LEFT($T50,2),"L"),$R$63:$T$91,3,FALSE),0)+IF(AND($T50="O3/CP",$T$14=C$18),VLOOKUP("O3",$R$63:$T$91,3,FALSE)+VLOOKUP("CP",$R$63:$T$91,3,FALSE),0)+IF(AND($U50&lt;&gt;"",$U50&lt;&gt;"--",$U50&lt;&gt;"O3/CP",$U$14=C$18),IF(LEFT($U50,1)="P",VLOOKUP(CONCATENATE(LEFT($U50,2),"H"),$R$63:$T$91,3,FALSE),VLOOKUP($U50,$R$63:$T$91,3,FALSE)))+IF(AND($U50&lt;&gt;"",$U50&lt;&gt;"O3/CP",$U$15=C$18,MID($U50,4,1)="2",$U$15&lt;&gt;$U$14),VLOOKUP(CONCATENATE(LEFT($U50,2),"L"),$R$63:$T$91,3,FALSE),0)+IF(AND($U50="O3/CP",$T$14=C$18),VLOOKUP("O3",$R$63:$T$91,3,FALSE)+VLOOKUP("CP",$R$63:$T$91,3,FALSE),0)+IF(AND($V50&lt;&gt;"",$V50&lt;&gt;"--",$V50&lt;&gt;"O3/CP",$V$14=C$18),IF(LEFT($V50,1)="P",VLOOKUP(CONCATENATE(LEFT($V50,2),"H"),$R$63:$T$91,3,FALSE),VLOOKUP($V50,$R$63:$T$91,3,FALSE)))+IF(AND($V50&lt;&gt;"",$V50&lt;&gt;"O3/CP",$V$15=C$18,MID($V50,4,1)="2",$V$15&lt;&gt;$V$14),VLOOKUP(CONCATENATE(LEFT($V50,2),"L"),$R$63:$T$91,3,FALSE),0)+IF(AND($V50="O3/CP",$V$14=C$18),VLOOKUP("O3",$R$63:$T$91,3,FALSE)+VLOOKUP("CP",$R$63:$T$91,3,FALSE),0)+IF(AND($W50&lt;&gt;"",$W50&lt;&gt;"--",$W50&lt;&gt;"O3/CP",$W$14=C$18),IF(LEFT($W50,1)="P",VLOOKUP(CONCATENATE(LEFT($W50,2),"H"),$R$63:$T$91,3,FALSE),VLOOKUP($W50,$R$63:$T$91,3,FALSE)))+IF(AND($W50&lt;&gt;"",$W50&lt;&gt;"O3/CP",$W$15=C$18,MID($W50,4,1)="2",$W$15&lt;&gt;$W$14),VLOOKUP(CONCATENATE(LEFT($W50,2),"L"),$R$63:$T$91,3,FALSE),0)+IF(AND($W50="O3/CP",$W$14=C$18),VLOOKUP("O3",$R$63:$T$91,3,FALSE)+VLOOKUP("CP",$R$63:$T$91,3,FALSE),0)+IF(AND($X50&lt;&gt;"",$X50&lt;&gt;"--",$X50&lt;&gt;"O3/CP",$X$14=C$18),IF(LEFT($X50,1)="P",VLOOKUP(CONCATENATE(LEFT($X50,2),"H"),$R$63:$T$91,3,FALSE),VLOOKUP($X50,$R$63:$T$91,3,FALSE)))+IF(AND($X50&lt;&gt;"",$X50&lt;&gt;"O3/CP",$X$15=C$18,MID($X50,4,1)="2",$X$15&lt;&gt;$X$14),VLOOKUP(CONCATENATE(LEFT($X50,2),"L"),$R$63:$T$91,3,FALSE),0)+IF(AND($X50="O3/CP",$X$14=C$18),VLOOKUP("O3",$R$63:$T$91,3,FALSE)+VLOOKUP("CP",$R$63:$T$91,3,FALSE),0)+IF(AND($Y50&lt;&gt;"",$Y50&lt;&gt;"--",$Y50&lt;&gt;"O3/CP",$Y$14=C$18),IF(LEFT($Y50,1)="P",VLOOKUP(CONCATENATE(LEFT($Y50,2),"H"),$R$63:$T$91,3,FALSE),VLOOKUP($Y50,$R$63:$T$91,3,FALSE)))+IF(AND($Y50&lt;&gt;"",$Y50&lt;&gt;"O3/CP",$Y$15=C$18,MID($Y50,4,1)="2",$Y$15&lt;&gt;$Y$14),VLOOKUP(CONCATENATE(LEFT($Y50,2),"L"),$R$63:$T$91,3,FALSE),0)+IF(AND($Y50="O3/CP",$Y$14=C$18),VLOOKUP("O3",$R$63:$T$91,3,FALSE)+VLOOKUP("CP",$R$63:$T$91,3,FALSE),0)+IF(AND($K$6="CE",'[3]Supply Attribution'!$G$20=C$18),LEFT($S$90,2),0)+IF(AND($X$86&lt;&gt;"Not Set",$X$87=C$18),$X$86,0)</f>
        <v>0</v>
      </c>
      <c r="D50" s="269">
        <f>IF(AND($K50&lt;&gt;"",$K50&lt;&gt;"--",$K50&lt;&gt;"O3/CP",$K$14=D$18),IF(LEFT($K50,1)="P",VLOOKUP(CONCATENATE(LEFT($K50,2),"H"),$R$63:$T$91,3,FALSE),VLOOKUP($K50,$R$63:$T$91,3,FALSE)))+IF(AND($K50&lt;&gt;"",$K50&lt;&gt;"O3/CP",$K$15=D$18,MID($K50,4,1)="2",$K$15&lt;&gt;$K$14),VLOOKUP(CONCATENATE(LEFT($K50,2),"L"),$R$63:$T$91,3,FALSE),0)+IF(AND($K50="O3/CP",$K$14=D$18),VLOOKUP("O3",$R$63:$T$91,3,FALSE)+VLOOKUP("CP",$R$63:$T$91,3,FALSE),0)+IF(AND($L50&lt;&gt;"",$L50&lt;&gt;"--",$L50&lt;&gt;"O3/CP",$L$14=D$18),IF(LEFT($L50,1)="P",VLOOKUP(CONCATENATE(LEFT($L50,2),"H"),$R$63:$T$91,3,FALSE),VLOOKUP($L50,$R$63:$T$91,3,FALSE)))+IF(AND($L50&lt;&gt;"",$L50&lt;&gt;"O3/CP",$L$15=D$18,MID($L50,4,1)="2",$L$15&lt;&gt;$L$14),VLOOKUP(CONCATENATE(LEFT($L50,2),"L"),$R$63:$T$91,3,FALSE),0)+IF(AND($L50="O3/CP",$L$14=D$18),VLOOKUP("O3",$R$63:$T$91,3,FALSE)+VLOOKUP("CP",$R$63:$T$91,3,FALSE),0)+IF(AND($M50&lt;&gt;"",$M50&lt;&gt;"--",$M50&lt;&gt;"O3/CP",$M$14=D$18),IF(LEFT($M50,1)="P",VLOOKUP(CONCATENATE(LEFT($M50,2),"H"),$R$63:$T$91,3,FALSE),VLOOKUP($M50,$R$63:$T$91,3,FALSE)))+IF(AND($M50&lt;&gt;"",$M50&lt;&gt;"O3/CP",$M$15=D$18,MID($M50,4,1)="2",$M$15&lt;&gt;$M$14),VLOOKUP(CONCATENATE(LEFT($M50,2),"L"),$R$63:$T$91,3,FALSE),0)+IF(AND($M50="O3/CP",$M$14=D$18),VLOOKUP("O3",$R$63:$T$91,3,FALSE)+VLOOKUP("CP",$R$63:$T$91,3,FALSE),0)+IF(AND($N50&lt;&gt;"",$N50&lt;&gt;"--",$N50&lt;&gt;"O3/CP",$N$14=D$18),IF(LEFT($N50,1)="P",VLOOKUP(CONCATENATE(LEFT($N50,2),"H"),$R$63:$T$91,3,FALSE),VLOOKUP($N50,$R$63:$T$91,3,FALSE)))+IF(AND($N50&lt;&gt;"",$N50&lt;&gt;"O3/CP",$N$15=D$18,MID($N50,4,1)="2",$N$15&lt;&gt;$N$14),VLOOKUP(CONCATENATE(LEFT($N50,2),"L"),$R$63:$T$91,3,FALSE),0)+IF(AND($N50="O3/CP",$N$14=D$18),VLOOKUP("O3",$R$63:$T$91,3,FALSE)+VLOOKUP("CP",$R$63:$T$91,3,FALSE),0)+IF(AND($O50&lt;&gt;"",$O50&lt;&gt;"--",$O50&lt;&gt;"O3/CP",$O$14=D$18),IF(LEFT($O50,1)="P",VLOOKUP(CONCATENATE(LEFT($O50,2),"H"),$R$63:$T$91,3,FALSE),VLOOKUP($O50,$R$63:$T$91,3,FALSE)))+IF(AND($O50&lt;&gt;"",$O50&lt;&gt;"O3/CP",$O$15=D$18,MID($O50,4,1)="2",$O$15&lt;&gt;$O$14),VLOOKUP(CONCATENATE(LEFT($O50,2),"L"),$R$63:$T$91,3,FALSE),0)+IF(AND($O50="O3/CP",$O$14=D$18),VLOOKUP("O3",$R$63:$T$91,3,FALSE)+VLOOKUP("CP",$R$63:$T$91,3,FALSE),0)+IF(AND($P50&lt;&gt;"",$P50&lt;&gt;"--",$P50&lt;&gt;"O3/CP",$P$14=D$18),IF(LEFT($P50,1)="P",VLOOKUP(CONCATENATE(LEFT($P50,2),"H"),$R$63:$T$91,3,FALSE),VLOOKUP($P50,$R$63:$T$91,3,FALSE)))+IF(AND($P50&lt;&gt;"",$P50&lt;&gt;"O3/CP",$P$15=D$18,MID($P50,4,1)="2",$P$15&lt;&gt;$P$14),VLOOKUP(CONCATENATE(LEFT($P50,2),"L"),$R$63:$T$91,3,FALSE),0)+IF(AND($P50="O3/CP",$P$14=D$18),VLOOKUP("O3",$R$63:$T$91,3,FALSE)+VLOOKUP("CP",$R$63:$T$91,3,FALSE),0)+IF(AND($Q50&lt;&gt;"",$Q50&lt;&gt;"--",$Q50&lt;&gt;"O3/CP",$Q$14=D$18),IF(LEFT($Q50,1)="P",VLOOKUP(CONCATENATE(LEFT($Q50,2),"H"),$R$63:$T$91,3,FALSE),VLOOKUP($Q50,$R$63:$T$91,3,FALSE)))+IF(AND($Q50&lt;&gt;"",$Q50&lt;&gt;"O3/CP",$Q$15=D$18,MID($Q50,4,1)="2",$Q$15&lt;&gt;$Q$14),VLOOKUP(CONCATENATE(LEFT($Q50,2),"L"),$R$63:$T$91,3,FALSE),0)+IF(AND($Q50="O3/CP",$Q$14=D$18),VLOOKUP("O3",$R$63:$T$91,3,FALSE)+VLOOKUP("CP",$R$63:$T$91,3,FALSE),0)+IF(AND($R50&lt;&gt;"",$R50&lt;&gt;"--",$R50&lt;&gt;"O3/CP",$R$14=D$18),IF(LEFT($R50,1)="P",VLOOKUP(CONCATENATE(LEFT($R50,2),"H"),$R$63:$T$91,3,FALSE),VLOOKUP($R50,$R$63:$T$91,3,FALSE)))+IF(AND($R50&lt;&gt;"",$R50&lt;&gt;"O3/CP",$R$15=D$18,MID($R50,4,1)="2",$R$15&lt;&gt;$R$14),VLOOKUP(CONCATENATE(LEFT($R50,2),"L"),$R$63:$T$91,3,FALSE),0)+IF(AND($R50="O3/CP",$R$14=D$18),VLOOKUP("O3",$R$63:$T$91,3,FALSE)+VLOOKUP("CP",$R$63:$T$91,3,FALSE),0)+IF(AND($S50&lt;&gt;"",$S50&lt;&gt;"--",$S50&lt;&gt;"O3/CP",$S$14=D$18),IF(LEFT($S50,1)="P",VLOOKUP(CONCATENATE(LEFT($S50,2),"H"),$R$63:$T$91,3,FALSE),VLOOKUP($S50,$R$63:$T$91,3,FALSE)))+IF(AND($S50&lt;&gt;"",$S50&lt;&gt;"O3/CP",$S$15=D$18,MID($S50,4,1)="2",$S$15&lt;&gt;$S$14),VLOOKUP(CONCATENATE(LEFT($S50,2),"L"),$R$63:$T$91,3,FALSE),0)+IF(AND($S50="O3/CP",$S$14=D$18),VLOOKUP("O3",$R$63:$T$91,3,FALSE)+VLOOKUP("CP",$R$63:$T$91,3,FALSE),0)+IF(AND($T50&lt;&gt;"",$T50&lt;&gt;"--",$T50&lt;&gt;"O3/CP",$T$14=D$18),IF(LEFT($T50,1)="P",VLOOKUP(CONCATENATE(LEFT($T50,2),"H"),$R$63:$T$91,3,FALSE),VLOOKUP($T50,$R$63:$T$91,3,FALSE)))+IF(AND($T50&lt;&gt;"",$T50&lt;&gt;"O3/CP",$T$15=D$18,MID($T50,4,1)="2",$T$15&lt;&gt;$T$14),VLOOKUP(CONCATENATE(LEFT($T50,2),"L"),$R$63:$T$91,3,FALSE),0)+IF(AND($T50="O3/CP",$T$14=D$18),VLOOKUP("O3",$R$63:$T$91,3,FALSE)+VLOOKUP("CP",$R$63:$T$91,3,FALSE),0)+IF(AND($U50&lt;&gt;"",$U50&lt;&gt;"--",$U50&lt;&gt;"O3/CP",$U$14=D$18),IF(LEFT($U50,1)="P",VLOOKUP(CONCATENATE(LEFT($U50,2),"H"),$R$63:$T$91,3,FALSE),VLOOKUP($U50,$R$63:$T$91,3,FALSE)))+IF(AND($U50&lt;&gt;"",$U50&lt;&gt;"O3/CP",$U$15=D$18,MID($U50,4,1)="2",$U$15&lt;&gt;$U$14),VLOOKUP(CONCATENATE(LEFT($U50,2),"L"),$R$63:$T$91,3,FALSE),0)+IF(AND($U50="O3/CP",$T$14=D$18),VLOOKUP("O3",$R$63:$T$91,3,FALSE)+VLOOKUP("CP",$R$63:$T$91,3,FALSE),0)+IF(AND($V50&lt;&gt;"",$V50&lt;&gt;"--",$V50&lt;&gt;"O3/CP",$V$14=D$18),IF(LEFT($V50,1)="P",VLOOKUP(CONCATENATE(LEFT($V50,2),"H"),$R$63:$T$91,3,FALSE),VLOOKUP($V50,$R$63:$T$91,3,FALSE)))+IF(AND($V50&lt;&gt;"",$V50&lt;&gt;"O3/CP",$V$15=D$18,MID($V50,4,1)="2",$V$15&lt;&gt;$V$14),VLOOKUP(CONCATENATE(LEFT($V50,2),"L"),$R$63:$T$91,3,FALSE),0)+IF(AND($V50="O3/CP",$V$14=D$18),VLOOKUP("O3",$R$63:$T$91,3,FALSE)+VLOOKUP("CP",$R$63:$T$91,3,FALSE),0)+IF(AND($W50&lt;&gt;"",$W50&lt;&gt;"--",$W50&lt;&gt;"O3/CP",$W$14=D$18),IF(LEFT($W50,1)="P",VLOOKUP(CONCATENATE(LEFT($W50,2),"H"),$R$63:$T$91,3,FALSE),VLOOKUP($W50,$R$63:$T$91,3,FALSE)))+IF(AND($W50&lt;&gt;"",$W50&lt;&gt;"O3/CP",$W$15=D$18,MID($W50,4,1)="2",$W$15&lt;&gt;$W$14),VLOOKUP(CONCATENATE(LEFT($W50,2),"L"),$R$63:$T$91,3,FALSE),0)+IF(AND($W50="O3/CP",$W$14=D$18),VLOOKUP("O3",$R$63:$T$91,3,FALSE)+VLOOKUP("CP",$R$63:$T$91,3,FALSE),0)+IF(AND($X50&lt;&gt;"",$X50&lt;&gt;"--",$X50&lt;&gt;"O3/CP",$X$14=D$18),IF(LEFT($X50,1)="P",VLOOKUP(CONCATENATE(LEFT($X50,2),"H"),$R$63:$T$91,3,FALSE),VLOOKUP($X50,$R$63:$T$91,3,FALSE)))+IF(AND($X50&lt;&gt;"",$X50&lt;&gt;"O3/CP",$X$15=D$18,MID($X50,4,1)="2",$X$15&lt;&gt;$X$14),VLOOKUP(CONCATENATE(LEFT($X50,2),"L"),$R$63:$T$91,3,FALSE),0)+IF(AND($X50="O3/CP",$X$14=D$18),VLOOKUP("O3",$R$63:$T$91,3,FALSE)+VLOOKUP("CP",$R$63:$T$91,3,FALSE),0)+IF(AND($Y50&lt;&gt;"",$Y50&lt;&gt;"--",$Y50&lt;&gt;"O3/CP",$Y$14=D$18),IF(LEFT($Y50,1)="P",VLOOKUP(CONCATENATE(LEFT($Y50,2),"H"),$R$63:$T$91,3,FALSE),VLOOKUP($Y50,$R$63:$T$91,3,FALSE)))+IF(AND($Y50&lt;&gt;"",$Y50&lt;&gt;"O3/CP",$Y$15=D$18,MID($Y50,4,1)="2",$Y$15&lt;&gt;$Y$14),VLOOKUP(CONCATENATE(LEFT($Y50,2),"L"),$R$63:$T$91,3,FALSE),0)+IF(AND($Y50="O3/CP",$Y$14=D$18),VLOOKUP("O3",$R$63:$T$91,3,FALSE)+VLOOKUP("CP",$R$63:$T$91,3,FALSE),0)+IF(AND($K$6="CE",'[3]Supply Attribution'!$G$20=D$18),LEFT($S$90,2),0)+IF(AND($X$86&lt;&gt;"Not Set",$X$87=D$18),$X$86,0)</f>
        <v>0</v>
      </c>
      <c r="E50" s="269">
        <f>IF(AND($K50&lt;&gt;"",$K50&lt;&gt;"--",$K50&lt;&gt;"O3/CP",$K$14=E$18),IF(LEFT($K50,1)="P",VLOOKUP(CONCATENATE(LEFT($K50,2),"H"),$R$63:$T$91,3,FALSE),VLOOKUP($K50,$R$63:$T$91,3,FALSE)))+IF(AND($K50&lt;&gt;"",$K50&lt;&gt;"O3/CP",$K$15=E$18,MID($K50,4,1)="2",$K$15&lt;&gt;$K$14),VLOOKUP(CONCATENATE(LEFT($K50,2),"L"),$R$63:$T$91,3,FALSE),0)+IF(AND($K50="O3/CP",$K$14=E$18),VLOOKUP("O3",$R$63:$T$91,3,FALSE)+VLOOKUP("CP",$R$63:$T$91,3,FALSE),0)+IF(AND($L50&lt;&gt;"",$L50&lt;&gt;"--",$L50&lt;&gt;"O3/CP",$L$14=E$18),IF(LEFT($L50,1)="P",VLOOKUP(CONCATENATE(LEFT($L50,2),"H"),$R$63:$T$91,3,FALSE),VLOOKUP($L50,$R$63:$T$91,3,FALSE)))+IF(AND($L50&lt;&gt;"",$L50&lt;&gt;"O3/CP",$L$15=E$18,MID($L50,4,1)="2",$L$15&lt;&gt;$L$14),VLOOKUP(CONCATENATE(LEFT($L50,2),"L"),$R$63:$T$91,3,FALSE),0)+IF(AND($L50="O3/CP",$L$14=E$18),VLOOKUP("O3",$R$63:$T$91,3,FALSE)+VLOOKUP("CP",$R$63:$T$91,3,FALSE),0)+IF(AND($M50&lt;&gt;"",$M50&lt;&gt;"--",$M50&lt;&gt;"O3/CP",$M$14=E$18),IF(LEFT($M50,1)="P",VLOOKUP(CONCATENATE(LEFT($M50,2),"H"),$R$63:$T$91,3,FALSE),VLOOKUP($M50,$R$63:$T$91,3,FALSE)))+IF(AND($M50&lt;&gt;"",$M50&lt;&gt;"O3/CP",$M$15=E$18,MID($M50,4,1)="2",$M$15&lt;&gt;$M$14),VLOOKUP(CONCATENATE(LEFT($M50,2),"L"),$R$63:$T$91,3,FALSE),0)+IF(AND($M50="O3/CP",$M$14=E$18),VLOOKUP("O3",$R$63:$T$91,3,FALSE)+VLOOKUP("CP",$R$63:$T$91,3,FALSE),0)+IF(AND($N50&lt;&gt;"",$N50&lt;&gt;"--",$N50&lt;&gt;"O3/CP",$N$14=E$18),IF(LEFT($N50,1)="P",VLOOKUP(CONCATENATE(LEFT($N50,2),"H"),$R$63:$T$91,3,FALSE),VLOOKUP($N50,$R$63:$T$91,3,FALSE)))+IF(AND($N50&lt;&gt;"",$N50&lt;&gt;"O3/CP",$N$15=E$18,MID($N50,4,1)="2",$N$15&lt;&gt;$N$14),VLOOKUP(CONCATENATE(LEFT($N50,2),"L"),$R$63:$T$91,3,FALSE),0)+IF(AND($N50="O3/CP",$N$14=E$18),VLOOKUP("O3",$R$63:$T$91,3,FALSE)+VLOOKUP("CP",$R$63:$T$91,3,FALSE),0)+IF(AND($O50&lt;&gt;"",$O50&lt;&gt;"--",$O50&lt;&gt;"O3/CP",$O$14=E$18),IF(LEFT($O50,1)="P",VLOOKUP(CONCATENATE(LEFT($O50,2),"H"),$R$63:$T$91,3,FALSE),VLOOKUP($O50,$R$63:$T$91,3,FALSE)))+IF(AND($O50&lt;&gt;"",$O50&lt;&gt;"O3/CP",$O$15=E$18,MID($O50,4,1)="2",$O$15&lt;&gt;$O$14),VLOOKUP(CONCATENATE(LEFT($O50,2),"L"),$R$63:$T$91,3,FALSE),0)+IF(AND($O50="O3/CP",$O$14=E$18),VLOOKUP("O3",$R$63:$T$91,3,FALSE)+VLOOKUP("CP",$R$63:$T$91,3,FALSE),0)+IF(AND($P50&lt;&gt;"",$P50&lt;&gt;"--",$P50&lt;&gt;"O3/CP",$P$14=E$18),IF(LEFT($P50,1)="P",VLOOKUP(CONCATENATE(LEFT($P50,2),"H"),$R$63:$T$91,3,FALSE),VLOOKUP($P50,$R$63:$T$91,3,FALSE)))+IF(AND($P50&lt;&gt;"",$P50&lt;&gt;"O3/CP",$P$15=E$18,MID($P50,4,1)="2",$P$15&lt;&gt;$P$14),VLOOKUP(CONCATENATE(LEFT($P50,2),"L"),$R$63:$T$91,3,FALSE),0)+IF(AND($P50="O3/CP",$P$14=E$18),VLOOKUP("O3",$R$63:$T$91,3,FALSE)+VLOOKUP("CP",$R$63:$T$91,3,FALSE),0)+IF(AND($Q50&lt;&gt;"",$Q50&lt;&gt;"--",$Q50&lt;&gt;"O3/CP",$Q$14=E$18),IF(LEFT($Q50,1)="P",VLOOKUP(CONCATENATE(LEFT($Q50,2),"H"),$R$63:$T$91,3,FALSE),VLOOKUP($Q50,$R$63:$T$91,3,FALSE)))+IF(AND($Q50&lt;&gt;"",$Q50&lt;&gt;"O3/CP",$Q$15=E$18,MID($Q50,4,1)="2",$Q$15&lt;&gt;$Q$14),VLOOKUP(CONCATENATE(LEFT($Q50,2),"L"),$R$63:$T$91,3,FALSE),0)+IF(AND($Q50="O3/CP",$Q$14=E$18),VLOOKUP("O3",$R$63:$T$91,3,FALSE)+VLOOKUP("CP",$R$63:$T$91,3,FALSE),0)+IF(AND($R50&lt;&gt;"",$R50&lt;&gt;"--",$R50&lt;&gt;"O3/CP",$R$14=E$18),IF(LEFT($R50,1)="P",VLOOKUP(CONCATENATE(LEFT($R50,2),"H"),$R$63:$T$91,3,FALSE),VLOOKUP($R50,$R$63:$T$91,3,FALSE)))+IF(AND($R50&lt;&gt;"",$R50&lt;&gt;"O3/CP",$R$15=E$18,MID($R50,4,1)="2",$R$15&lt;&gt;$R$14),VLOOKUP(CONCATENATE(LEFT($R50,2),"L"),$R$63:$T$91,3,FALSE),0)+IF(AND($R50="O3/CP",$R$14=E$18),VLOOKUP("O3",$R$63:$T$91,3,FALSE)+VLOOKUP("CP",$R$63:$T$91,3,FALSE),0)+IF(AND($S50&lt;&gt;"",$S50&lt;&gt;"--",$S50&lt;&gt;"O3/CP",$S$14=E$18),IF(LEFT($S50,1)="P",VLOOKUP(CONCATENATE(LEFT($S50,2),"H"),$R$63:$T$91,3,FALSE),VLOOKUP($S50,$R$63:$T$91,3,FALSE)))+IF(AND($S50&lt;&gt;"",$S50&lt;&gt;"O3/CP",$S$15=E$18,MID($S50,4,1)="2",$S$15&lt;&gt;$S$14),VLOOKUP(CONCATENATE(LEFT($S50,2),"L"),$R$63:$T$91,3,FALSE),0)+IF(AND($S50="O3/CP",$S$14=E$18),VLOOKUP("O3",$R$63:$T$91,3,FALSE)+VLOOKUP("CP",$R$63:$T$91,3,FALSE),0)+IF(AND($T50&lt;&gt;"",$T50&lt;&gt;"--",$T50&lt;&gt;"O3/CP",$T$14=E$18),IF(LEFT($T50,1)="P",VLOOKUP(CONCATENATE(LEFT($T50,2),"H"),$R$63:$T$91,3,FALSE),VLOOKUP($T50,$R$63:$T$91,3,FALSE)))+IF(AND($T50&lt;&gt;"",$T50&lt;&gt;"O3/CP",$T$15=E$18,MID($T50,4,1)="2",$T$15&lt;&gt;$T$14),VLOOKUP(CONCATENATE(LEFT($T50,2),"L"),$R$63:$T$91,3,FALSE),0)+IF(AND($T50="O3/CP",$T$14=E$18),VLOOKUP("O3",$R$63:$T$91,3,FALSE)+VLOOKUP("CP",$R$63:$T$91,3,FALSE),0)+IF(AND($U50&lt;&gt;"",$U50&lt;&gt;"--",$U50&lt;&gt;"O3/CP",$U$14=E$18),IF(LEFT($U50,1)="P",VLOOKUP(CONCATENATE(LEFT($U50,2),"H"),$R$63:$T$91,3,FALSE),VLOOKUP($U50,$R$63:$T$91,3,FALSE)))+IF(AND($U50&lt;&gt;"",$U50&lt;&gt;"O3/CP",$U$15=E$18,MID($U50,4,1)="2",$U$15&lt;&gt;$U$14),VLOOKUP(CONCATENATE(LEFT($U50,2),"L"),$R$63:$T$91,3,FALSE),0)+IF(AND($U50="O3/CP",$T$14=E$18),VLOOKUP("O3",$R$63:$T$91,3,FALSE)+VLOOKUP("CP",$R$63:$T$91,3,FALSE),0)+IF(AND($V50&lt;&gt;"",$V50&lt;&gt;"--",$V50&lt;&gt;"O3/CP",$V$14=E$18),IF(LEFT($V50,1)="P",VLOOKUP(CONCATENATE(LEFT($V50,2),"H"),$R$63:$T$91,3,FALSE),VLOOKUP($V50,$R$63:$T$91,3,FALSE)))+IF(AND($V50&lt;&gt;"",$V50&lt;&gt;"O3/CP",$V$15=E$18,MID($V50,4,1)="2",$V$15&lt;&gt;$V$14),VLOOKUP(CONCATENATE(LEFT($V50,2),"L"),$R$63:$T$91,3,FALSE),0)+IF(AND($V50="O3/CP",$V$14=E$18),VLOOKUP("O3",$R$63:$T$91,3,FALSE)+VLOOKUP("CP",$R$63:$T$91,3,FALSE),0)+IF(AND($W50&lt;&gt;"",$W50&lt;&gt;"--",$W50&lt;&gt;"O3/CP",$W$14=E$18),IF(LEFT($W50,1)="P",VLOOKUP(CONCATENATE(LEFT($W50,2),"H"),$R$63:$T$91,3,FALSE),VLOOKUP($W50,$R$63:$T$91,3,FALSE)))+IF(AND($W50&lt;&gt;"",$W50&lt;&gt;"O3/CP",$W$15=E$18,MID($W50,4,1)="2",$W$15&lt;&gt;$W$14),VLOOKUP(CONCATENATE(LEFT($W50,2),"L"),$R$63:$T$91,3,FALSE),0)+IF(AND($W50="O3/CP",$W$14=E$18),VLOOKUP("O3",$R$63:$T$91,3,FALSE)+VLOOKUP("CP",$R$63:$T$91,3,FALSE),0)+IF(AND($X50&lt;&gt;"",$X50&lt;&gt;"--",$X50&lt;&gt;"O3/CP",$X$14=E$18),IF(LEFT($X50,1)="P",VLOOKUP(CONCATENATE(LEFT($X50,2),"H"),$R$63:$T$91,3,FALSE),VLOOKUP($X50,$R$63:$T$91,3,FALSE)))+IF(AND($X50&lt;&gt;"",$X50&lt;&gt;"O3/CP",$X$15=E$18,MID($X50,4,1)="2",$X$15&lt;&gt;$X$14),VLOOKUP(CONCATENATE(LEFT($X50,2),"L"),$R$63:$T$91,3,FALSE),0)+IF(AND($X50="O3/CP",$X$14=E$18),VLOOKUP("O3",$R$63:$T$91,3,FALSE)+VLOOKUP("CP",$R$63:$T$91,3,FALSE),0)+IF(AND($Y50&lt;&gt;"",$Y50&lt;&gt;"--",$Y50&lt;&gt;"O3/CP",$Y$14=E$18),IF(LEFT($Y50,1)="P",VLOOKUP(CONCATENATE(LEFT($Y50,2),"H"),$R$63:$T$91,3,FALSE),VLOOKUP($Y50,$R$63:$T$91,3,FALSE)))+IF(AND($Y50&lt;&gt;"",$Y50&lt;&gt;"O3/CP",$Y$15=E$18,MID($Y50,4,1)="2",$Y$15&lt;&gt;$Y$14),VLOOKUP(CONCATENATE(LEFT($Y50,2),"L"),$R$63:$T$91,3,FALSE),0)+IF(AND($Y50="O3/CP",$Y$14=E$18),VLOOKUP("O3",$R$63:$T$91,3,FALSE)+VLOOKUP("CP",$R$63:$T$91,3,FALSE),0)+IF(AND($K$6="CE",'[3]Supply Attribution'!$G$20=E$18),LEFT($S$90,2),0)+IF(AND($X$86&lt;&gt;"Not Set",$X$87=E$18),$X$86,0)</f>
        <v>0</v>
      </c>
      <c r="F50" s="268">
        <f>IF(AND($K50&lt;&gt;"",$K50&lt;&gt;"--",$K50&lt;&gt;"O3/CP",$K$14=F$18),IF(LEFT($K50,1)="P",VLOOKUP(CONCATENATE(LEFT($K50,2),"H"),$R$63:$T$91,3,FALSE),VLOOKUP($K50,$R$63:$T$91,3,FALSE)))+IF(AND($K50&lt;&gt;"",$K50&lt;&gt;"O3/CP",$K$15=F$18,MID($K50,4,1)="2",$K$15&lt;&gt;$K$14),VLOOKUP(CONCATENATE(LEFT($K50,2),"L"),$R$63:$T$91,3,FALSE),0)+IF(AND($K50="O3/CP",$K$14=F$18),VLOOKUP("O3",$R$63:$T$91,3,FALSE)+VLOOKUP("CP",$R$63:$T$91,3,FALSE),0)+IF(AND($L50&lt;&gt;"",$L50&lt;&gt;"--",$L50&lt;&gt;"O3/CP",$L$14=F$18),IF(LEFT($L50,1)="P",VLOOKUP(CONCATENATE(LEFT($L50,2),"H"),$R$63:$T$91,3,FALSE),VLOOKUP($L50,$R$63:$T$91,3,FALSE)))+IF(AND($L50&lt;&gt;"",$L50&lt;&gt;"O3/CP",$L$15=F$18,MID($L50,4,1)="2",$L$15&lt;&gt;$L$14),VLOOKUP(CONCATENATE(LEFT($L50,2),"L"),$R$63:$T$91,3,FALSE),0)+IF(AND($L50="O3/CP",$L$14=F$18),VLOOKUP("O3",$R$63:$T$91,3,FALSE)+VLOOKUP("CP",$R$63:$T$91,3,FALSE),0)+IF(AND($M50&lt;&gt;"",$M50&lt;&gt;"--",$M50&lt;&gt;"O3/CP",$M$14=F$18),IF(LEFT($M50,1)="P",VLOOKUP(CONCATENATE(LEFT($M50,2),"H"),$R$63:$T$91,3,FALSE),VLOOKUP($M50,$R$63:$T$91,3,FALSE)))+IF(AND($M50&lt;&gt;"",$M50&lt;&gt;"O3/CP",$M$15=F$18,MID($M50,4,1)="2",$M$15&lt;&gt;$M$14),VLOOKUP(CONCATENATE(LEFT($M50,2),"L"),$R$63:$T$91,3,FALSE),0)+IF(AND($M50="O3/CP",$M$14=F$18),VLOOKUP("O3",$R$63:$T$91,3,FALSE)+VLOOKUP("CP",$R$63:$T$91,3,FALSE),0)+IF(AND($N50&lt;&gt;"",$N50&lt;&gt;"--",$N50&lt;&gt;"O3/CP",$N$14=F$18),IF(LEFT($N50,1)="P",VLOOKUP(CONCATENATE(LEFT($N50,2),"H"),$R$63:$T$91,3,FALSE),VLOOKUP($N50,$R$63:$T$91,3,FALSE)))+IF(AND($N50&lt;&gt;"",$N50&lt;&gt;"O3/CP",$N$15=F$18,MID($N50,4,1)="2",$N$15&lt;&gt;$N$14),VLOOKUP(CONCATENATE(LEFT($N50,2),"L"),$R$63:$T$91,3,FALSE),0)+IF(AND($N50="O3/CP",$N$14=F$18),VLOOKUP("O3",$R$63:$T$91,3,FALSE)+VLOOKUP("CP",$R$63:$T$91,3,FALSE),0)+IF(AND($O50&lt;&gt;"",$O50&lt;&gt;"--",$O50&lt;&gt;"O3/CP",$O$14=F$18),IF(LEFT($O50,1)="P",VLOOKUP(CONCATENATE(LEFT($O50,2),"H"),$R$63:$T$91,3,FALSE),VLOOKUP($O50,$R$63:$T$91,3,FALSE)))+IF(AND($O50&lt;&gt;"",$O50&lt;&gt;"O3/CP",$O$15=F$18,MID($O50,4,1)="2",$O$15&lt;&gt;$O$14),VLOOKUP(CONCATENATE(LEFT($O50,2),"L"),$R$63:$T$91,3,FALSE),0)+IF(AND($O50="O3/CP",$O$14=F$18),VLOOKUP("O3",$R$63:$T$91,3,FALSE)+VLOOKUP("CP",$R$63:$T$91,3,FALSE),0)+IF(AND($P50&lt;&gt;"",$P50&lt;&gt;"--",$P50&lt;&gt;"O3/CP",$P$14=F$18),IF(LEFT($P50,1)="P",VLOOKUP(CONCATENATE(LEFT($P50,2),"H"),$R$63:$T$91,3,FALSE),VLOOKUP($P50,$R$63:$T$91,3,FALSE)))+IF(AND($P50&lt;&gt;"",$P50&lt;&gt;"O3/CP",$P$15=F$18,MID($P50,4,1)="2",$P$15&lt;&gt;$P$14),VLOOKUP(CONCATENATE(LEFT($P50,2),"L"),$R$63:$T$91,3,FALSE),0)+IF(AND($P50="O3/CP",$P$14=F$18),VLOOKUP("O3",$R$63:$T$91,3,FALSE)+VLOOKUP("CP",$R$63:$T$91,3,FALSE),0)+IF(AND($Q50&lt;&gt;"",$Q50&lt;&gt;"--",$Q50&lt;&gt;"O3/CP",$Q$14=F$18),IF(LEFT($Q50,1)="P",VLOOKUP(CONCATENATE(LEFT($Q50,2),"H"),$R$63:$T$91,3,FALSE),VLOOKUP($Q50,$R$63:$T$91,3,FALSE)))+IF(AND($Q50&lt;&gt;"",$Q50&lt;&gt;"O3/CP",$Q$15=F$18,MID($Q50,4,1)="2",$Q$15&lt;&gt;$Q$14),VLOOKUP(CONCATENATE(LEFT($Q50,2),"L"),$R$63:$T$91,3,FALSE),0)+IF(AND($Q50="O3/CP",$Q$14=F$18),VLOOKUP("O3",$R$63:$T$91,3,FALSE)+VLOOKUP("CP",$R$63:$T$91,3,FALSE),0)+IF(AND($R50&lt;&gt;"",$R50&lt;&gt;"--",$R50&lt;&gt;"O3/CP",$R$14=F$18),IF(LEFT($R50,1)="P",VLOOKUP(CONCATENATE(LEFT($R50,2),"H"),$R$63:$T$91,3,FALSE),VLOOKUP($R50,$R$63:$T$91,3,FALSE)))+IF(AND($R50&lt;&gt;"",$R50&lt;&gt;"O3/CP",$R$15=F$18,MID($R50,4,1)="2",$R$15&lt;&gt;$R$14),VLOOKUP(CONCATENATE(LEFT($R50,2),"L"),$R$63:$T$91,3,FALSE),0)+IF(AND($R50="O3/CP",$R$14=F$18),VLOOKUP("O3",$R$63:$T$91,3,FALSE)+VLOOKUP("CP",$R$63:$T$91,3,FALSE),0)+IF(AND($S50&lt;&gt;"",$S50&lt;&gt;"--",$S50&lt;&gt;"O3/CP",$S$14=F$18),IF(LEFT($S50,1)="P",VLOOKUP(CONCATENATE(LEFT($S50,2),"H"),$R$63:$T$91,3,FALSE),VLOOKUP($S50,$R$63:$T$91,3,FALSE)))+IF(AND($S50&lt;&gt;"",$S50&lt;&gt;"O3/CP",$S$15=F$18,MID($S50,4,1)="2",$S$15&lt;&gt;$S$14),VLOOKUP(CONCATENATE(LEFT($S50,2),"L"),$R$63:$T$91,3,FALSE),0)+IF(AND($S50="O3/CP",$S$14=F$18),VLOOKUP("O3",$R$63:$T$91,3,FALSE)+VLOOKUP("CP",$R$63:$T$91,3,FALSE),0)+IF(AND($T50&lt;&gt;"",$T50&lt;&gt;"--",$T50&lt;&gt;"O3/CP",$T$14=F$18),IF(LEFT($T50,1)="P",VLOOKUP(CONCATENATE(LEFT($T50,2),"H"),$R$63:$T$91,3,FALSE),VLOOKUP($T50,$R$63:$T$91,3,FALSE)))+IF(AND($T50&lt;&gt;"",$T50&lt;&gt;"O3/CP",$T$15=F$18,MID($T50,4,1)="2",$T$15&lt;&gt;$T$14),VLOOKUP(CONCATENATE(LEFT($T50,2),"L"),$R$63:$T$91,3,FALSE),0)+IF(AND($T50="O3/CP",$T$14=F$18),VLOOKUP("O3",$R$63:$T$91,3,FALSE)+VLOOKUP("CP",$R$63:$T$91,3,FALSE),0)+IF(AND($U50&lt;&gt;"",$U50&lt;&gt;"--",$U50&lt;&gt;"O3/CP",$U$14=F$18),IF(LEFT($U50,1)="P",VLOOKUP(CONCATENATE(LEFT($U50,2),"H"),$R$63:$T$91,3,FALSE),VLOOKUP($U50,$R$63:$T$91,3,FALSE)))+IF(AND($U50&lt;&gt;"",$U50&lt;&gt;"O3/CP",$U$15=F$18,MID($U50,4,1)="2",$U$15&lt;&gt;$U$14),VLOOKUP(CONCATENATE(LEFT($U50,2),"L"),$R$63:$T$91,3,FALSE),0)+IF(AND($U50="O3/CP",$T$14=F$18),VLOOKUP("O3",$R$63:$T$91,3,FALSE)+VLOOKUP("CP",$R$63:$T$91,3,FALSE),0)+IF(AND($V50&lt;&gt;"",$V50&lt;&gt;"--",$V50&lt;&gt;"O3/CP",$V$14=F$18),IF(LEFT($V50,1)="P",VLOOKUP(CONCATENATE(LEFT($V50,2),"H"),$R$63:$T$91,3,FALSE),VLOOKUP($V50,$R$63:$T$91,3,FALSE)))+IF(AND($V50&lt;&gt;"",$V50&lt;&gt;"O3/CP",$V$15=F$18,MID($V50,4,1)="2",$V$15&lt;&gt;$V$14),VLOOKUP(CONCATENATE(LEFT($V50,2),"L"),$R$63:$T$91,3,FALSE),0)+IF(AND($V50="O3/CP",$V$14=F$18),VLOOKUP("O3",$R$63:$T$91,3,FALSE)+VLOOKUP("CP",$R$63:$T$91,3,FALSE),0)+IF(AND($W50&lt;&gt;"",$W50&lt;&gt;"--",$W50&lt;&gt;"O3/CP",$W$14=F$18),IF(LEFT($W50,1)="P",VLOOKUP(CONCATENATE(LEFT($W50,2),"H"),$R$63:$T$91,3,FALSE),VLOOKUP($W50,$R$63:$T$91,3,FALSE)))+IF(AND($W50&lt;&gt;"",$W50&lt;&gt;"O3/CP",$W$15=F$18,MID($W50,4,1)="2",$W$15&lt;&gt;$W$14),VLOOKUP(CONCATENATE(LEFT($W50,2),"L"),$R$63:$T$91,3,FALSE),0)+IF(AND($W50="O3/CP",$W$14=F$18),VLOOKUP("O3",$R$63:$T$91,3,FALSE)+VLOOKUP("CP",$R$63:$T$91,3,FALSE),0)+IF(AND($X50&lt;&gt;"",$X50&lt;&gt;"--",$X50&lt;&gt;"O3/CP",$X$14=F$18),IF(LEFT($X50,1)="P",VLOOKUP(CONCATENATE(LEFT($X50,2),"H"),$R$63:$T$91,3,FALSE),VLOOKUP($X50,$R$63:$T$91,3,FALSE)))+IF(AND($X50&lt;&gt;"",$X50&lt;&gt;"O3/CP",$X$15=F$18,MID($X50,4,1)="2",$X$15&lt;&gt;$X$14),VLOOKUP(CONCATENATE(LEFT($X50,2),"L"),$R$63:$T$91,3,FALSE),0)+IF(AND($X50="O3/CP",$X$14=F$18),VLOOKUP("O3",$R$63:$T$91,3,FALSE)+VLOOKUP("CP",$R$63:$T$91,3,FALSE),0)+IF(AND($Y50&lt;&gt;"",$Y50&lt;&gt;"--",$Y50&lt;&gt;"O3/CP",$Y$14=F$18),IF(LEFT($Y50,1)="P",VLOOKUP(CONCATENATE(LEFT($Y50,2),"H"),$R$63:$T$91,3,FALSE),VLOOKUP($Y50,$R$63:$T$91,3,FALSE)))+IF(AND($Y50&lt;&gt;"",$Y50&lt;&gt;"O3/CP",$Y$15=F$18,MID($Y50,4,1)="2",$Y$15&lt;&gt;$Y$14),VLOOKUP(CONCATENATE(LEFT($Y50,2),"L"),$R$63:$T$91,3,FALSE),0)+IF(AND($Y50="O3/CP",$Y$14=F$18),VLOOKUP("O3",$R$63:$T$91,3,FALSE)+VLOOKUP("CP",$R$63:$T$91,3,FALSE),0)+IF(AND($K$6="CE",'[3]Supply Attribution'!$G$20=F$18),LEFT($S$90,2),0)+IF(AND($X$86&lt;&gt;"Not Set",$X$87=F$18),$X$86,0)</f>
        <v>0</v>
      </c>
      <c r="G50" s="269">
        <f>IF(AND($K$6="CE",$T$59="1 Phase"),SUM(A50:F50)-IF(AND($K$14&lt;&gt;$K$15,RIGHT($K50,3)="2SP"),VLOOKUP(CONCATENATE(LEFT($K50,2),"L"),$R$63:$T$90,3,FALSE),0)-IF(AND($L$14&lt;&gt;$L$15,RIGHT($L50,3)="2SP"),VLOOKUP(CONCATENATE(LEFT($L50,2),"L"),$R$63:$T$90,3,FALSE),0)-IF(AND($M$14&lt;&gt;$M$15,RIGHT($M50,3)="2SP"),VLOOKUP(CONCATENATE(LEFT($M50,2),"L"),$R$63:$T$90,3,FALSE),0)-IF(AND($N$14&lt;&gt;$N$15,RIGHT($N50,3)="2SP"),VLOOKUP(CONCATENATE(LEFT($N50,2),"L"),$R$63:$T$90,3,FALSE),0)-IF(AND($O$14&lt;&gt;$O$15,RIGHT($O50,3)="2SP"),VLOOKUP(CONCATENATE(LEFT($O50,2),"L"),$R$63:$T$90,3,FALSE),0)-IF(AND($P$14&lt;&gt;$P$15,RIGHT($P50,3)="2SP"),VLOOKUP(CONCATENATE(LEFT($P50,2),"L"),$R$63:$T$90,3,FALSE),0)-IF(AND($Q$14&lt;&gt;$Q$15,RIGHT($Q50,3)="2SP"),VLOOKUP(CONCATENATE(LEFT($Q50,2),"L"),$R$63:$T$90,3,FALSE),0)-IF(AND($R$14&lt;&gt;$R$15,RIGHT($T50,3)="2SP"),VLOOKUP(CONCATENATE(LEFT($R50,2),"L"),$R$63:$T$90,3,FALSE),0)-IF(AND($S$14&lt;&gt;$S$15,RIGHT($T50,3)="2SP"),VLOOKUP(CONCATENATE(LEFT($S50,2),"L"),$R$63:$T$90,3,FALSE),0)-IF(AND($T$14&lt;&gt;$T$15,RIGHT($T50,3)="2SP"),VLOOKUP(CONCATENATE(LEFT($T50,2),"L"),$R$63:$T$90,3,FALSE),0)-IF(AND($U$14&lt;&gt;$U$15,RIGHT($U50,3)="2SP"),VLOOKUP(CONCATENATE(LEFT($U50,2),"L"),$R$63:$T$90,3,FALSE),0)-IF(AND($V$14&lt;&gt;$V$15,RIGHT($V50,3)="2SP"),VLOOKUP(CONCATENATE(LEFT($V50,2),"L"),$R$63:$T$90,3,FALSE),0)-IF(AND($W$14&lt;&gt;$W$15,RIGHT($W50,3)="2SP"),VLOOKUP(CONCATENATE(LEFT($W50,2),"L"),$R$63:$T$90,3,FALSE),0)-IF(AND($X$14&lt;&gt;$X$15,RIGHT($X50,3)="2SP"),VLOOKUP(CONCATENATE(LEFT($X50,2),"L"),$R$63:$T$90,3,FALSE),0)-IF(AND($Y$14&lt;&gt;$Y$15,RIGHT($Y50,3)="2SP"),VLOOKUP(CONCATENATE(LEFT($Y50,2),"L"),$R$63:$T$90,3,FALSE),0),IF(VLOOKUP(CONCATENATE($A$18,"Line"),'[3]Supply Attribution'!$F$31:$G$37,2,FALSE)=G$18,$A50,0)+IF(VLOOKUP(CONCATENATE($B$18,"Line"),'[3]Supply Attribution'!$F$31:$G$37,2,FALSE)=G$18,$B50,0)+IF(VLOOKUP(CONCATENATE($C$18,"Line"),'[3]Supply Attribution'!$F$31:$G$37,2,FALSE)=G$18,$C50,0)+IF(VLOOKUP(CONCATENATE($D$18,"Line"),'[3]Supply Attribution'!$F$31:$G$37,2,FALSE)=G$18,$D50,0)+IF(VLOOKUP(CONCATENATE($E$18,"Line"),'[3]Supply Attribution'!$F$31:$G$37,2,FALSE)=G$18,$E50,0)+IF(VLOOKUP(CONCATENATE($F$18,"Line"),'[3]Supply Attribution'!$F$31:$G$37,2,FALSE)=G$18,$F50,0)+IF($K$6="UL",LEFT($S$90,2),0)-IF(AND($K$16=G$18,$K$14&lt;&gt;$K$15,$K$16=$K$17,RIGHT($K50,3)="2SP"),VLOOKUP(CONCATENATE(LEFT($K50,2),"L"),$R$63:$T$90,3,FALSE),0)-IF(AND($L$16=G$18,$L$14&lt;&gt;$L$15,$L$16=$L$17,RIGHT($L50,3)="2SP"),VLOOKUP(CONCATENATE(LEFT($L50,2),"L"),$R$63:$T$90,3,FALSE),0)-IF(AND($M$16=G$18,$M$14&lt;&gt;$M$15,$M$16=$M$17,RIGHT($M50,3)="2SP"),VLOOKUP(CONCATENATE(LEFT($M50,2),"L"),$R$63:$T$90,3,FALSE),0)-IF(AND($N$16=G$18,$N$14&lt;&gt;$N$15,$N$16=$N$17,RIGHT($N50,3)="2SP"),VLOOKUP(CONCATENATE(LEFT($N50,2),"L"),$R$63:$T$90,3,FALSE),0)-IF(AND($O$16=G$18,$O$14&lt;&gt;$O$15,$O$16=$O$17,RIGHT($O50,3)="2SP"),VLOOKUP(CONCATENATE(LEFT($O50,2),"L"),$R$63:$T$90,3,FALSE),0)-IF(AND($P$16=G$18,$P$14&lt;&gt;$P$15,$P$16=$P$17,RIGHT($P50,3)="2SP"),VLOOKUP(CONCATENATE(LEFT($P50,2),"L"),$R$63:$T$90,3,FALSE),0)-IF(AND($Q$16=G$18,$Q$14&lt;&gt;$Q$15,$Q$16=$Q$17,RIGHT($Q50,3)="2SP"),VLOOKUP(CONCATENATE(LEFT($Q50,2),"L"),$R$63:$T$90,3,FALSE),0)-IF(AND($R$16=G$18,$R$14&lt;&gt;$R$15,$R$16=$R$17,RIGHT($R50,3)="2SP"),VLOOKUP(CONCATENATE(LEFT($R50,2),"L"),$R$63:$T$90,3,FALSE),0)-IF(AND($S$16=G$18,$S$14&lt;&gt;$S$15,$S$16=$S$17,RIGHT($S50,3)="2SP"),VLOOKUP(CONCATENATE(LEFT($S50,2),"L"),$R$63:$T$90,3,FALSE),0)-IF(AND($T$16=G$18,$T$14&lt;&gt;$T$15,$T$16=$T$17,RIGHT($T50,3)="2SP"),VLOOKUP(CONCATENATE(LEFT($T50,2),"L"),$R$63:$T$90,3,FALSE),0)-IF(AND($U$16=G$18,$U$14&lt;&gt;$U$15,$U$16=$U$17,RIGHT($U50,3)="2SP"),VLOOKUP(CONCATENATE(LEFT($U50,2),"L"),$R$63:$T$90,3,FALSE),0)-IF(AND($V$16=G$18,$V$14&lt;&gt;$V$15,$V$16=$V$17,RIGHT($V50,3)="2SP"),VLOOKUP(CONCATENATE(LEFT($V50,2),"L"),$R$63:$T$90,3,FALSE),0)-IF(AND($W$16=G$18,$W$14&lt;&gt;$W$15,$W$16=$W$17,RIGHT($W50,3)="2SP"),VLOOKUP(CONCATENATE(LEFT($W50,2),"L"),$R$63:$T$90,3,FALSE),0)-IF(AND($X$16=G$18,$X$14&lt;&gt;$X$15,$X$16=$X$17,RIGHT($X50,3)="2SP"),VLOOKUP(CONCATENATE(LEFT($X50,2),"L"),$R$63:$T$90,3,FALSE),0)-IF(AND($Y$16=G$18,$Y$14&lt;&gt;$Y$15,$Y$16=$Y$17,RIGHT($Y50,3)="2SP"),VLOOKUP(CONCATENATE(LEFT($Y50,2),"L"),$R$63:$T$90,3,FALSE),0))</f>
        <v>17</v>
      </c>
      <c r="H50" s="269" t="str">
        <f>IF(H$18&lt;&gt;"",IF(VLOOKUP(CONCATENATE($A$18,"Line"),'Supply Attribution'!$F$31:$G$37,2,FALSE)=H$18,$A50,0)+IF(VLOOKUP(CONCATENATE($B$18,"Line"),'Supply Attribution'!$F$31:$G$37,2,FALSE)=H$18,$B50,0)+IF(VLOOKUP(CONCATENATE($C$18,"Line"),'Supply Attribution'!$F$31:$G$37,2,FALSE)=H$18,$C50,0)+IF(VLOOKUP(CONCATENATE($D$18,"Line"),'Supply Attribution'!$F$31:$G$37,2,FALSE)=H$18,$D50,0)+IF(VLOOKUP(CONCATENATE($E$18,"Line"),'Supply Attribution'!$F$31:$G$37,2,FALSE)=H$18,$E50,0)+IF(VLOOKUP(CONCATENATE($F$18,"Line"),'Supply Attribution'!$F$31:$G$37,2,FALSE)=H$18,$F50,0)+IF($K$6="UL",LEFT($S$90,2),0)-IF(AND($K$16=H$18,$K$14&lt;&gt;$K$15,$K$16=$K$17,RIGHT($K50,3)="2SP"),VLOOKUP(CONCATENATE(LEFT($K50,2),"L"),$R$63:$T$90,3,FALSE),0)-IF(AND($L$16=H$18,$L$14&lt;&gt;$L$15,$L$16=$L$17,RIGHT($L50,3)="2SP"),VLOOKUP(CONCATENATE(LEFT($L50,2),"L"),$R$63:$T$90,3,FALSE),0)-IF(AND($M$16=H$18,$M$14&lt;&gt;$M$15,$M$16=$M$17,RIGHT($M50,3)="2SP"),VLOOKUP(CONCATENATE(LEFT($M50,2),"L"),$R$63:$T$90,3,FALSE),0)-IF(AND($N$16=H$18,$N$14&lt;&gt;$N$15,$N$16=$N$17,RIGHT($N50,3)="2SP"),VLOOKUP(CONCATENATE(LEFT($N50,2),"L"),$R$63:$T$90,3,FALSE),0)-IF(AND($O$16=H$18,$O$14&lt;&gt;$O$15,$O$16=$O$17,RIGHT($O50,3)="2SP"),VLOOKUP(CONCATENATE(LEFT($O50,2),"L"),$R$63:$T$90,3,FALSE),0)-IF(AND($P$16=H$18,$P$14&lt;&gt;$P$15,$P$16=$P$17,RIGHT($P50,3)="2SP"),VLOOKUP(CONCATENATE(LEFT($P50,2),"L"),$R$63:$T$90,3,FALSE),0)-IF(AND($Q$16=H$18,$Q$14&lt;&gt;$Q$15,$Q$16=$Q$17,RIGHT($Q50,3)="2SP"),VLOOKUP(CONCATENATE(LEFT($Q50,2),"L"),$R$63:$T$90,3,FALSE),0)-IF(AND($T$16=H$18,$T$14&lt;&gt;$T$15,$T$16=$T$17,RIGHT($T50,3)="2SP"),VLOOKUP(CONCATENATE(LEFT($T50,2),"L"),$R$63:$T$90,3,FALSE),0)-IF(AND($U$16=H$18,$U$14&lt;&gt;$U$15,$U$16=$U$17,RIGHT($U50,3)="2SP"),VLOOKUP(CONCATENATE(LEFT($U50,2),"L"),$R$63:$T$90,3,FALSE),0)-IF(AND($V$16=H$18,$V$14&lt;&gt;$V$15,$V$16=$V$17,RIGHT($V50,3)="2SP"),VLOOKUP(CONCATENATE(LEFT($V50,2),"L"),$R$63:$T$90,3,FALSE),0)-IF(AND($W$16=H$18,$W$14&lt;&gt;$W$15,$W$16=$W$17,RIGHT($W50,3)="2SP"),VLOOKUP(CONCATENATE(LEFT($W50,2),"L"),$R$63:$T$90,3,FALSE),0)-IF(AND($X$16=H$18,$X$14&lt;&gt;$X$15,$X$16=$X$17,RIGHT($X50,3)="2SP"),VLOOKUP(CONCATENATE(LEFT($X50,2),"L"),$R$63:$T$90,3,FALSE),0)-IF(AND($Y$16=H$18,$Y$14&lt;&gt;$Y$15,$Y$16=$Y$17,RIGHT($Y50,3)="2SP"),VLOOKUP(CONCATENATE(LEFT($Y50,2),"L"),$R$63:$T$90,3,FALSE),0)+IF(AND($K$6="CE",$T$59="2 Phases",H$18&lt;&gt;""),IF(VLOOKUP(CONCATENATE($A$18,"Line"),'Supply Attribution'!$F$31:$G$37,2,FALSE)="Line3",$A50,0)+IF(VLOOKUP(CONCATENATE($B$18,"Line"),'Supply Attribution'!$F$31:$G$37,2,FALSE)="Line3",$B50,0)+IF(VLOOKUP(CONCATENATE($C$18,"Line"),'Supply Attribution'!$F$31:$G$37,2,FALSE)="Line3",$C50,0)+IF(VLOOKUP(CONCATENATE($D$18,"Line"),'Supply Attribution'!$F$31:$G$37,2,FALSE)="Line3",$D50,0)+IF(VLOOKUP(CONCATENATE($E$18,"Line"),'Supply Attribution'!$F$31:$G$37,2,FALSE)="Line3",$E50,0)+IF(VLOOKUP(CONCATENATE($F$18,"Line"),'Supply Attribution'!$F$31:$G$37,2,FALSE)="Line3",$F50,0)-IF(AND($K$16=I$18,$K$14&lt;&gt;$K$15,$K$16=$K$17,RIGHT($K50,3)="2SP"),VLOOKUP(CONCATENATE(LEFT($K50,2),"L"),$R$63:$T$90,3,FALSE),0)-IF(AND($L$16=I$18,$L$14&lt;&gt;$L$15,$L$16=$L$17,RIGHT($L50,3)="2SP"),VLOOKUP(CONCATENATE(LEFT($L50,2),"L"),$R$63:$T$90,3,FALSE),0)-IF(AND($M$16=I$18,$M$14&lt;&gt;$M$15,$M$16=$M$17,RIGHT($M50,3)="2SP"),VLOOKUP(CONCATENATE(LEFT($M50,2),"L"),$R$63:$T$90,3,FALSE),0)-IF(AND($N$16=I$18,$N$14&lt;&gt;$N$15,$N$16=$N$17,RIGHT($N50,3)="2SP"),VLOOKUP(CONCATENATE(LEFT($N50,2),"L"),$R$63:$T$90,3,FALSE),0)-IF(AND($O$16=I$18,$O$14&lt;&gt;$O$15,$O$16=$O$17,RIGHT($O50,3)="2SP"),VLOOKUP(CONCATENATE(LEFT($O50,2),"L"),$R$63:$T$90,3,FALSE),0)-IF(AND($P$16=I$18,$P$14&lt;&gt;$P$15,$P$16=$P$17,RIGHT($P50,3)="2SP"),VLOOKUP(CONCATENATE(LEFT($P50,2),"L"),$R$63:$T$90,3,FALSE),0)-IF(AND($Q$16=I$18,$Q$14&lt;&gt;$Q$15,$Q$16=$Q$17,RIGHT($Q50,3)="2SP"),VLOOKUP(CONCATENATE(LEFT($Q50,2),"L"),$R$63:$T$90,3,FALSE),0)-IF(AND($T$16=I$18,$T$14&lt;&gt;$T$15,$T$16=$T$17,RIGHT($T50,3)="2SP"),VLOOKUP(CONCATENATE(LEFT($T50,2),"L"),$R$63:$T$90,3,FALSE),0)-IF(AND($U$16=I$18,$U$14&lt;&gt;$U$15,$U$16=$U$17,RIGHT($U50,3)="2SP"),VLOOKUP(CONCATENATE(LEFT($U50,2),"L"),$R$63:$T$90,3,FALSE),0)-IF(AND($V$16=I$18,$V$14&lt;&gt;$V$15,$V$16=$V$17,RIGHT($V50,3)="2SP"),VLOOKUP(CONCATENATE(LEFT($V50,2),"L"),$R$63:$T$90,3,FALSE),0)-IF(AND($W$16=I$18,$W$14&lt;&gt;$W$15,$W$16=$W$17,RIGHT($W50,3)="2SP"),VLOOKUP(CONCATENATE(LEFT($W50,2),"L"),$R$63:$T$90,3,FALSE),0)-IF(AND($X$16=I$18,$X$14&lt;&gt;$X$15,$X$16=$X$17,RIGHT($X50,3)="2SP"),VLOOKUP(CONCATENATE(LEFT($X50,2),"L"),$R$63:$T$90,3,FALSE),0)-IF(AND($Y$16=I$18,$Y$14&lt;&gt;$Y$15,$Y$16=$Y$17,RIGHT($Y50,3)="2SP"),VLOOKUP(CONCATENATE(LEFT($Y50,2),"L"),$R$63:$T$90,3,FALSE),0),0),"")</f>
        <v/>
      </c>
      <c r="I50" s="269" t="str">
        <f>IF(I$18&lt;&gt;"",IF(VLOOKUP(CONCATENATE($A$18,"Line"),'Supply Attribution'!$F$31:$G$37,2,FALSE)=I$18,$A50,0)+IF(VLOOKUP(CONCATENATE($B$18,"Line"),'Supply Attribution'!$F$31:$G$37,2,FALSE)=I$18,$B50,0)+IF(VLOOKUP(CONCATENATE($C$18,"Line"),'Supply Attribution'!$F$31:$G$37,2,FALSE)=I$18,$C50,0)+IF(VLOOKUP(CONCATENATE($D$18,"Line"),'Supply Attribution'!$F$31:$G$37,2,FALSE)=I$18,$D50,0)+IF(VLOOKUP(CONCATENATE($E$18,"Line"),'Supply Attribution'!$F$31:$G$37,2,FALSE)=I$18,$E50,0)+IF(VLOOKUP(CONCATENATE($F$18,"Line"),'Supply Attribution'!$F$31:$G$37,2,FALSE)=I$18,$F50,0)+IF($K$6="UL",LEFT($S$90,2),0)-IF(AND($K$16=I$18,$K$14&lt;&gt;$K$15,$K$16=$K$17,RIGHT($K50,3)="2SP"),VLOOKUP(CONCATENATE(LEFT($K50,2),"L"),$R$63:$T$90,3,FALSE),0)-IF(AND($L$16=I$18,$L$14&lt;&gt;$L$15,$L$16=$L$17,RIGHT($L50,3)="2SP"),VLOOKUP(CONCATENATE(LEFT($L50,2),"L"),$R$63:$T$90,3,FALSE),0)-IF(AND($M$16=I$18,$M$14&lt;&gt;$M$15,$M$16=$M$17,RIGHT($M50,3)="2SP"),VLOOKUP(CONCATENATE(LEFT($M50,2),"L"),$R$63:$T$90,3,FALSE),0)-IF(AND($N$16=I$18,$N$14&lt;&gt;$N$15,$N$16=$N$17,RIGHT($N50,3)="2SP"),VLOOKUP(CONCATENATE(LEFT($N50,2),"L"),$R$63:$T$90,3,FALSE),0)-IF(AND($O$16=I$18,$O$14&lt;&gt;$O$15,$O$16=$O$17,RIGHT($O50,3)="2SP"),VLOOKUP(CONCATENATE(LEFT($O50,2),"L"),$R$63:$T$90,3,FALSE),0)-IF(AND($P$16=I$18,$P$14&lt;&gt;$P$15,$P$16=$P$17,RIGHT($P50,3)="2SP"),VLOOKUP(CONCATENATE(LEFT($P50,2),"L"),$R$63:$T$90,3,FALSE),0)-IF(AND($Q$16=I$18,$Q$14&lt;&gt;$Q$15,$Q$16=$Q$17,RIGHT($Q50,3)="2SP"),VLOOKUP(CONCATENATE(LEFT($Q50,2),"L"),$R$63:$T$90,3,FALSE),0)-IF(AND($T$16=I$18,$T$14&lt;&gt;$T$15,$T$16=$T$17,RIGHT($T50,3)="2SP"),VLOOKUP(CONCATENATE(LEFT($T50,2),"L"),$R$63:$T$90,3,FALSE),0)-IF(AND($U$16=I$18,$U$14&lt;&gt;$U$15,$U$16=$U$17,RIGHT($U50,3)="2SP"),VLOOKUP(CONCATENATE(LEFT($U50,2),"L"),$R$63:$T$90,3,FALSE),0)-IF(AND($V$16=I$18,$V$14&lt;&gt;$V$15,$V$16=$V$17,RIGHT($V50,3)="2SP"),VLOOKUP(CONCATENATE(LEFT($V50,2),"L"),$R$63:$T$90,3,FALSE),0)-IF(AND($W$16=I$18,$W$14&lt;&gt;$W$15,$W$16=$W$17,RIGHT($W50,3)="2SP"),VLOOKUP(CONCATENATE(LEFT($W50,2),"L"),$R$63:$T$90,3,FALSE),0)-IF(AND($X$16=I$18,$X$14&lt;&gt;$X$15,$X$16=$X$17,RIGHT($X50,3)="2SP"),VLOOKUP(CONCATENATE(LEFT($X50,2),"L"),$R$63:$T$90,3,FALSE),0)-IF(AND($Y$16=I$18,$Y$14&lt;&gt;$Y$15,$Y$16=$Y$17,RIGHT($Y50,3)="2SP"),VLOOKUP(CONCATENATE(LEFT($Y50,2),"L"),$R$63:$T$90,3,FALSE),0),"")</f>
        <v/>
      </c>
      <c r="J50" s="134"/>
      <c r="K50" s="135"/>
      <c r="L50" s="135"/>
      <c r="M50" s="135"/>
      <c r="N50" s="135"/>
      <c r="O50" s="135"/>
      <c r="P50" s="135"/>
      <c r="Q50" s="135"/>
      <c r="R50" s="135"/>
      <c r="S50" s="135"/>
      <c r="T50" s="135"/>
      <c r="U50" s="135"/>
      <c r="V50" s="135"/>
      <c r="W50" s="135"/>
      <c r="X50" s="135"/>
      <c r="Y50" s="135"/>
      <c r="Z50" s="136"/>
      <c r="AA50" s="136"/>
      <c r="AB50" s="137"/>
      <c r="AC50" s="137"/>
      <c r="AD50" s="137"/>
      <c r="AE50" s="138">
        <f t="shared" si="0"/>
        <v>0</v>
      </c>
      <c r="AF50" s="78"/>
    </row>
    <row r="51" spans="1:32">
      <c r="A51" s="264">
        <f>IF(AND($K51&lt;&gt;"",$K51&lt;&gt;"--",$K51&lt;&gt;"O3/CP",$K$14=A$18),IF(LEFT($K51,1)="P",VLOOKUP(CONCATENATE(LEFT($K51,2),"H"),$R$63:$T$91,3,FALSE),VLOOKUP($K51,$R$63:$T$91,3,FALSE)))+IF(AND($K51&lt;&gt;"",$K51&lt;&gt;"O3/CP",$K$15=A$18,MID($K51,4,1)="2",$K$15&lt;&gt;$K$14),VLOOKUP(CONCATENATE(LEFT($K51,2),"L"),$R$63:$T$91,3,FALSE),0)+IF(AND($K51="O3/CP",$K$14=A$18),VLOOKUP("O3",$R$63:$T$91,3,FALSE)+VLOOKUP("CP",$R$63:$T$91,3,FALSE),0)+IF(AND($L51&lt;&gt;"",$L51&lt;&gt;"--",$L51&lt;&gt;"O3/CP",$L$14=A$18),IF(LEFT($L51,1)="P",VLOOKUP(CONCATENATE(LEFT($L51,2),"H"),$R$63:$T$91,3,FALSE),VLOOKUP($L51,$R$63:$T$91,3,FALSE)))+IF(AND($L51&lt;&gt;"",$L51&lt;&gt;"O3/CP",$L$15=A$18,MID($L51,4,1)="2",$L$15&lt;&gt;$L$14),VLOOKUP(CONCATENATE(LEFT($L51,2),"L"),$R$63:$T$91,3,FALSE),0)+IF(AND($L51="O3/CP",$L$14=A$18),VLOOKUP("O3",$R$63:$T$91,3,FALSE)+VLOOKUP("CP",$R$63:$T$91,3,FALSE),0)+IF(AND($M51&lt;&gt;"",$M51&lt;&gt;"--",$M51&lt;&gt;"O3/CP",$M$14=A$18),IF(LEFT($M51,1)="P",VLOOKUP(CONCATENATE(LEFT($M51,2),"H"),$R$63:$T$91,3,FALSE),VLOOKUP($M51,$R$63:$T$91,3,FALSE)))+IF(AND($M51&lt;&gt;"",$M51&lt;&gt;"O3/CP",$M$15=A$18,MID($M51,4,1)="2",$M$15&lt;&gt;$M$14),VLOOKUP(CONCATENATE(LEFT($M51,2),"L"),$R$63:$T$91,3,FALSE),0)+IF(AND($M51="O3/CP",$M$14=A$18),VLOOKUP("O3",$R$63:$T$91,3,FALSE)+VLOOKUP("CP",$R$63:$T$91,3,FALSE),0)+IF(AND($N51&lt;&gt;"",$N51&lt;&gt;"--",$N51&lt;&gt;"O3/CP",$N$14=A$18),IF(LEFT($N51,1)="P",VLOOKUP(CONCATENATE(LEFT($N51,2),"H"),$R$63:$T$91,3,FALSE),VLOOKUP($N51,$R$63:$T$91,3,FALSE)))+IF(AND($N51&lt;&gt;"",$N51&lt;&gt;"O3/CP",$N$15=A$18,MID($N51,4,1)="2",$N$15&lt;&gt;$N$14),VLOOKUP(CONCATENATE(LEFT($N51,2),"L"),$R$63:$T$91,3,FALSE),0)+IF(AND($N51="O3/CP",$N$14=A$18),VLOOKUP("O3",$R$63:$T$91,3,FALSE)+VLOOKUP("CP",$R$63:$T$91,3,FALSE),0)+IF(AND($O51&lt;&gt;"",$O51&lt;&gt;"--",$O51&lt;&gt;"O3/CP",$O$14=A$18),IF(LEFT($O51,1)="P",VLOOKUP(CONCATENATE(LEFT($O51,2),"H"),$R$63:$T$91,3,FALSE),VLOOKUP($O51,$R$63:$T$91,3,FALSE)))+IF(AND($O51&lt;&gt;"",$O51&lt;&gt;"O3/CP",$O$15=A$18,MID($O51,4,1)="2",$O$15&lt;&gt;$O$14),VLOOKUP(CONCATENATE(LEFT($O51,2),"L"),$R$63:$T$91,3,FALSE),0)+IF(AND($O51="O3/CP",$O$14=A$18),VLOOKUP("O3",$R$63:$T$91,3,FALSE)+VLOOKUP("CP",$R$63:$T$91,3,FALSE),0)+IF(AND($P51&lt;&gt;"",$P51&lt;&gt;"--",$P51&lt;&gt;"O3/CP",$P$14=A$18),IF(LEFT($P51,1)="P",VLOOKUP(CONCATENATE(LEFT($P51,2),"H"),$R$63:$T$91,3,FALSE),VLOOKUP($P51,$R$63:$T$91,3,FALSE)))+IF(AND($P51&lt;&gt;"",$P51&lt;&gt;"O3/CP",$P$15=A$18,MID($P51,4,1)="2",$P$15&lt;&gt;$P$14),VLOOKUP(CONCATENATE(LEFT($P51,2),"L"),$R$63:$T$91,3,FALSE),0)+IF(AND($P51="O3/CP",$P$14=A$18),VLOOKUP("O3",$R$63:$T$91,3,FALSE)+VLOOKUP("CP",$R$63:$T$91,3,FALSE),0)+IF(AND($Q51&lt;&gt;"",$Q51&lt;&gt;"--",$Q51&lt;&gt;"O3/CP",$Q$14=A$18),IF(LEFT($Q51,1)="P",VLOOKUP(CONCATENATE(LEFT($Q51,2),"H"),$R$63:$T$91,3,FALSE),VLOOKUP($Q51,$R$63:$T$91,3,FALSE)))+IF(AND($Q51&lt;&gt;"",$Q51&lt;&gt;"O3/CP",$Q$15=A$18,MID($Q51,4,1)="2",$Q$15&lt;&gt;$Q$14),VLOOKUP(CONCATENATE(LEFT($Q51,2),"L"),$R$63:$T$91,3,FALSE),0)+IF(AND($Q51="O3/CP",$Q$14=A$18),VLOOKUP("O3",$R$63:$T$91,3,FALSE)+VLOOKUP("CP",$R$63:$T$91,3,FALSE),0)+IF(AND($R51&lt;&gt;"",$R51&lt;&gt;"--",$R51&lt;&gt;"O3/CP",$R$14=A$18),IF(LEFT($R51,1)="P",VLOOKUP(CONCATENATE(LEFT($R51,2),"H"),$R$63:$T$91,3,FALSE),VLOOKUP($R51,$R$63:$T$91,3,FALSE)))+IF(AND($R51&lt;&gt;"",$R51&lt;&gt;"O3/CP",$R$15=A$18,MID($R51,4,1)="2",$R$15&lt;&gt;$R$14),VLOOKUP(CONCATENATE(LEFT($R51,2),"L"),$R$63:$T$91,3,FALSE),0)+IF(AND($R51="O3/CP",$R$14=A$18),VLOOKUP("O3",$R$63:$T$91,3,FALSE)+VLOOKUP("CP",$R$63:$T$91,3,FALSE),0)+IF(AND($S51&lt;&gt;"",$S51&lt;&gt;"--",$S51&lt;&gt;"O3/CP",$S$14=A$18),IF(LEFT($S51,1)="P",VLOOKUP(CONCATENATE(LEFT($S51,2),"H"),$R$63:$T$91,3,FALSE),VLOOKUP($S51,$R$63:$T$91,3,FALSE)))+IF(AND($S51&lt;&gt;"",$S51&lt;&gt;"O3/CP",$S$15=A$18,MID($S51,4,1)="2",$S$15&lt;&gt;$S$14),VLOOKUP(CONCATENATE(LEFT($S51,2),"L"),$R$63:$T$91,3,FALSE),0)+IF(AND($S51="O3/CP",$S$14=A$18),VLOOKUP("O3",$R$63:$T$91,3,FALSE)+VLOOKUP("CP",$R$63:$T$91,3,FALSE),0)+IF(AND($T51&lt;&gt;"",$T51&lt;&gt;"--",$T51&lt;&gt;"O3/CP",$T$14=A$18),IF(LEFT($T51,1)="P",VLOOKUP(CONCATENATE(LEFT($T51,2),"H"),$R$63:$T$91,3,FALSE),VLOOKUP($T51,$R$63:$T$91,3,FALSE)))+IF(AND($T51&lt;&gt;"",$T51&lt;&gt;"O3/CP",$T$15=A$18,MID($T51,4,1)="2",$T$15&lt;&gt;$T$14),VLOOKUP(CONCATENATE(LEFT($T51,2),"L"),$R$63:$T$91,3,FALSE),0)+IF(AND($T51="O3/CP",$T$14=A$18),VLOOKUP("O3",$R$63:$T$91,3,FALSE)+VLOOKUP("CP",$R$63:$T$91,3,FALSE),0)+IF(AND($U51&lt;&gt;"",$U51&lt;&gt;"--",$U51&lt;&gt;"O3/CP",$U$14=A$18),IF(LEFT($U51,1)="P",VLOOKUP(CONCATENATE(LEFT($U51,2),"H"),$R$63:$T$91,3,FALSE),VLOOKUP($U51,$R$63:$T$91,3,FALSE)))+IF(AND($U51&lt;&gt;"",$U51&lt;&gt;"O3/CP",$U$15=A$18,MID($U51,4,1)="2",$U$15&lt;&gt;$U$14),VLOOKUP(CONCATENATE(LEFT($U51,2),"L"),$R$63:$T$91,3,FALSE),0)+IF(AND($U51="O3/CP",$T$14=A$18),VLOOKUP("O3",$R$63:$T$91,3,FALSE)+VLOOKUP("CP",$R$63:$T$91,3,FALSE),0)+IF(AND($V51&lt;&gt;"",$V51&lt;&gt;"--",$V51&lt;&gt;"O3/CP",$V$14=A$18),IF(LEFT($V51,1)="P",VLOOKUP(CONCATENATE(LEFT($V51,2),"H"),$R$63:$T$91,3,FALSE),VLOOKUP($V51,$R$63:$T$91,3,FALSE)))+IF(AND($V51&lt;&gt;"",$V51&lt;&gt;"O3/CP",$V$15=A$18,MID($V51,4,1)="2",$V$15&lt;&gt;$V$14),VLOOKUP(CONCATENATE(LEFT($V51,2),"L"),$R$63:$T$91,3,FALSE),0)+IF(AND($V51="O3/CP",$V$14=A$18),VLOOKUP("O3",$R$63:$T$91,3,FALSE)+VLOOKUP("CP",$R$63:$T$91,3,FALSE),0)+IF(AND($W51&lt;&gt;"",$W51&lt;&gt;"--",$W51&lt;&gt;"O3/CP",$W$14=A$18),IF(LEFT($W51,1)="P",VLOOKUP(CONCATENATE(LEFT($W51,2),"H"),$R$63:$T$91,3,FALSE),VLOOKUP($W51,$R$63:$T$91,3,FALSE)))+IF(AND($W51&lt;&gt;"",$W51&lt;&gt;"O3/CP",$W$15=A$18,MID($W51,4,1)="2",$W$15&lt;&gt;$W$14),VLOOKUP(CONCATENATE(LEFT($W51,2),"L"),$R$63:$T$91,3,FALSE),0)+IF(AND($W51="O3/CP",$W$14=A$18),VLOOKUP("O3",$R$63:$T$91,3,FALSE)+VLOOKUP("CP",$R$63:$T$91,3,FALSE),0)+IF(AND($X51&lt;&gt;"",$X51&lt;&gt;"--",$X51&lt;&gt;"O3/CP",$X$14=A$18),IF(LEFT($X51,1)="P",VLOOKUP(CONCATENATE(LEFT($X51,2),"H"),$R$63:$T$91,3,FALSE),VLOOKUP($X51,$R$63:$T$91,3,FALSE)))+IF(AND($X51&lt;&gt;"",$X51&lt;&gt;"O3/CP",$X$15=A$18,MID($X51,4,1)="2",$X$15&lt;&gt;$X$14),VLOOKUP(CONCATENATE(LEFT($X51,2),"L"),$R$63:$T$91,3,FALSE),0)+IF(AND($X51="O3/CP",$X$14=A$18),VLOOKUP("O3",$R$63:$T$91,3,FALSE)+VLOOKUP("CP",$R$63:$T$91,3,FALSE),0)+IF(AND($Y51&lt;&gt;"",$Y51&lt;&gt;"--",$Y51&lt;&gt;"O3/CP",$Y$14=A$18),IF(LEFT($Y51,1)="P",VLOOKUP(CONCATENATE(LEFT($Y51,2),"H"),$R$63:$T$91,3,FALSE),VLOOKUP($Y51,$R$63:$T$91,3,FALSE)))+IF(AND($Y51&lt;&gt;"",$Y51&lt;&gt;"O3/CP",$Y$15=A$18,MID($Y51,4,1)="2",$Y$15&lt;&gt;$Y$14),VLOOKUP(CONCATENATE(LEFT($Y51,2),"L"),$R$63:$T$91,3,FALSE),0)+IF(AND($Y51="O3/CP",$Y$14=A$18),VLOOKUP("O3",$R$63:$T$91,3,FALSE)+VLOOKUP("CP",$R$63:$T$91,3,FALSE),0)+IF(AND($K$6="CE",'[3]Supply Attribution'!$G$20=A$18),LEFT($S$90,2),0)+IF(AND($X$86&lt;&gt;"Not Set",$X$87=A$18),$X$86,0)</f>
        <v>0</v>
      </c>
      <c r="B51" s="271">
        <f>IF(AND($K51&lt;&gt;"",$K51&lt;&gt;"--",$K51&lt;&gt;"O3/CP",$K$14=B$18),IF(LEFT($K51,1)="P",VLOOKUP(CONCATENATE(LEFT($K51,2),"H"),$R$63:$T$91,3,FALSE),VLOOKUP($K51,$R$63:$T$91,3,FALSE)))+IF(AND($K51&lt;&gt;"",$K51&lt;&gt;"O3/CP",$K$15=B$18,MID($K51,4,1)="2",$K$15&lt;&gt;$K$14),VLOOKUP(CONCATENATE(LEFT($K51,2),"L"),$R$63:$T$91,3,FALSE),0)+IF(AND($K51="O3/CP",$K$14=B$18),VLOOKUP("O3",$R$63:$T$91,3,FALSE)+VLOOKUP("CP",$R$63:$T$91,3,FALSE),0)+IF(AND($L51&lt;&gt;"",$L51&lt;&gt;"--",$L51&lt;&gt;"O3/CP",$L$14=B$18),IF(LEFT($L51,1)="P",VLOOKUP(CONCATENATE(LEFT($L51,2),"H"),$R$63:$T$91,3,FALSE),VLOOKUP($L51,$R$63:$T$91,3,FALSE)))+IF(AND($L51&lt;&gt;"",$L51&lt;&gt;"O3/CP",$L$15=B$18,MID($L51,4,1)="2",$L$15&lt;&gt;$L$14),VLOOKUP(CONCATENATE(LEFT($L51,2),"L"),$R$63:$T$91,3,FALSE),0)+IF(AND($L51="O3/CP",$L$14=B$18),VLOOKUP("O3",$R$63:$T$91,3,FALSE)+VLOOKUP("CP",$R$63:$T$91,3,FALSE),0)+IF(AND($M51&lt;&gt;"",$M51&lt;&gt;"--",$M51&lt;&gt;"O3/CP",$M$14=B$18),IF(LEFT($M51,1)="P",VLOOKUP(CONCATENATE(LEFT($M51,2),"H"),$R$63:$T$91,3,FALSE),VLOOKUP($M51,$R$63:$T$91,3,FALSE)))+IF(AND($M51&lt;&gt;"",$M51&lt;&gt;"O3/CP",$M$15=B$18,MID($M51,4,1)="2",$M$15&lt;&gt;$M$14),VLOOKUP(CONCATENATE(LEFT($M51,2),"L"),$R$63:$T$91,3,FALSE),0)+IF(AND($M51="O3/CP",$M$14=B$18),VLOOKUP("O3",$R$63:$T$91,3,FALSE)+VLOOKUP("CP",$R$63:$T$91,3,FALSE),0)+IF(AND($N51&lt;&gt;"",$N51&lt;&gt;"--",$N51&lt;&gt;"O3/CP",$N$14=B$18),IF(LEFT($N51,1)="P",VLOOKUP(CONCATENATE(LEFT($N51,2),"H"),$R$63:$T$91,3,FALSE),VLOOKUP($N51,$R$63:$T$91,3,FALSE)))+IF(AND($N51&lt;&gt;"",$N51&lt;&gt;"O3/CP",$N$15=B$18,MID($N51,4,1)="2",$N$15&lt;&gt;$N$14),VLOOKUP(CONCATENATE(LEFT($N51,2),"L"),$R$63:$T$91,3,FALSE),0)+IF(AND($N51="O3/CP",$N$14=B$18),VLOOKUP("O3",$R$63:$T$91,3,FALSE)+VLOOKUP("CP",$R$63:$T$91,3,FALSE),0)+IF(AND($O51&lt;&gt;"",$O51&lt;&gt;"--",$O51&lt;&gt;"O3/CP",$O$14=B$18),IF(LEFT($O51,1)="P",VLOOKUP(CONCATENATE(LEFT($O51,2),"H"),$R$63:$T$91,3,FALSE),VLOOKUP($O51,$R$63:$T$91,3,FALSE)))+IF(AND($O51&lt;&gt;"",$O51&lt;&gt;"O3/CP",$O$15=B$18,MID($O51,4,1)="2",$O$15&lt;&gt;$O$14),VLOOKUP(CONCATENATE(LEFT($O51,2),"L"),$R$63:$T$91,3,FALSE),0)+IF(AND($O51="O3/CP",$O$14=B$18),VLOOKUP("O3",$R$63:$T$91,3,FALSE)+VLOOKUP("CP",$R$63:$T$91,3,FALSE),0)+IF(AND($P51&lt;&gt;"",$P51&lt;&gt;"--",$P51&lt;&gt;"O3/CP",$P$14=B$18),IF(LEFT($P51,1)="P",VLOOKUP(CONCATENATE(LEFT($P51,2),"H"),$R$63:$T$91,3,FALSE),VLOOKUP($P51,$R$63:$T$91,3,FALSE)))+IF(AND($P51&lt;&gt;"",$P51&lt;&gt;"O3/CP",$P$15=B$18,MID($P51,4,1)="2",$P$15&lt;&gt;$P$14),VLOOKUP(CONCATENATE(LEFT($P51,2),"L"),$R$63:$T$91,3,FALSE),0)+IF(AND($P51="O3/CP",$P$14=B$18),VLOOKUP("O3",$R$63:$T$91,3,FALSE)+VLOOKUP("CP",$R$63:$T$91,3,FALSE),0)+IF(AND($Q51&lt;&gt;"",$Q51&lt;&gt;"--",$Q51&lt;&gt;"O3/CP",$Q$14=B$18),IF(LEFT($Q51,1)="P",VLOOKUP(CONCATENATE(LEFT($Q51,2),"H"),$R$63:$T$91,3,FALSE),VLOOKUP($Q51,$R$63:$T$91,3,FALSE)))+IF(AND($Q51&lt;&gt;"",$Q51&lt;&gt;"O3/CP",$Q$15=B$18,MID($Q51,4,1)="2",$Q$15&lt;&gt;$Q$14),VLOOKUP(CONCATENATE(LEFT($Q51,2),"L"),$R$63:$T$91,3,FALSE),0)+IF(AND($Q51="O3/CP",$Q$14=B$18),VLOOKUP("O3",$R$63:$T$91,3,FALSE)+VLOOKUP("CP",$R$63:$T$91,3,FALSE),0)+IF(AND($R51&lt;&gt;"",$R51&lt;&gt;"--",$R51&lt;&gt;"O3/CP",$R$14=B$18),IF(LEFT($R51,1)="P",VLOOKUP(CONCATENATE(LEFT($R51,2),"H"),$R$63:$T$91,3,FALSE),VLOOKUP($R51,$R$63:$T$91,3,FALSE)))+IF(AND($R51&lt;&gt;"",$R51&lt;&gt;"O3/CP",$R$15=B$18,MID($R51,4,1)="2",$R$15&lt;&gt;$R$14),VLOOKUP(CONCATENATE(LEFT($R51,2),"L"),$R$63:$T$91,3,FALSE),0)+IF(AND($R51="O3/CP",$R$14=B$18),VLOOKUP("O3",$R$63:$T$91,3,FALSE)+VLOOKUP("CP",$R$63:$T$91,3,FALSE),0)+IF(AND($S51&lt;&gt;"",$S51&lt;&gt;"--",$S51&lt;&gt;"O3/CP",$S$14=B$18),IF(LEFT($S51,1)="P",VLOOKUP(CONCATENATE(LEFT($S51,2),"H"),$R$63:$T$91,3,FALSE),VLOOKUP($S51,$R$63:$T$91,3,FALSE)))+IF(AND($S51&lt;&gt;"",$S51&lt;&gt;"O3/CP",$S$15=B$18,MID($S51,4,1)="2",$S$15&lt;&gt;$S$14),VLOOKUP(CONCATENATE(LEFT($S51,2),"L"),$R$63:$T$91,3,FALSE),0)+IF(AND($S51="O3/CP",$S$14=B$18),VLOOKUP("O3",$R$63:$T$91,3,FALSE)+VLOOKUP("CP",$R$63:$T$91,3,FALSE),0)+IF(AND($T51&lt;&gt;"",$T51&lt;&gt;"--",$T51&lt;&gt;"O3/CP",$T$14=B$18),IF(LEFT($T51,1)="P",VLOOKUP(CONCATENATE(LEFT($T51,2),"H"),$R$63:$T$91,3,FALSE),VLOOKUP($T51,$R$63:$T$91,3,FALSE)))+IF(AND($T51&lt;&gt;"",$T51&lt;&gt;"O3/CP",$T$15=B$18,MID($T51,4,1)="2",$T$15&lt;&gt;$T$14),VLOOKUP(CONCATENATE(LEFT($T51,2),"L"),$R$63:$T$91,3,FALSE),0)+IF(AND($T51="O3/CP",$T$14=B$18),VLOOKUP("O3",$R$63:$T$91,3,FALSE)+VLOOKUP("CP",$R$63:$T$91,3,FALSE),0)+IF(AND($U51&lt;&gt;"",$U51&lt;&gt;"--",$U51&lt;&gt;"O3/CP",$U$14=B$18),IF(LEFT($U51,1)="P",VLOOKUP(CONCATENATE(LEFT($U51,2),"H"),$R$63:$T$91,3,FALSE),VLOOKUP($U51,$R$63:$T$91,3,FALSE)))+IF(AND($U51&lt;&gt;"",$U51&lt;&gt;"O3/CP",$U$15=B$18,MID($U51,4,1)="2",$U$15&lt;&gt;$U$14),VLOOKUP(CONCATENATE(LEFT($U51,2),"L"),$R$63:$T$91,3,FALSE),0)+IF(AND($U51="O3/CP",$T$14=B$18),VLOOKUP("O3",$R$63:$T$91,3,FALSE)+VLOOKUP("CP",$R$63:$T$91,3,FALSE),0)+IF(AND($V51&lt;&gt;"",$V51&lt;&gt;"--",$V51&lt;&gt;"O3/CP",$V$14=B$18),IF(LEFT($V51,1)="P",VLOOKUP(CONCATENATE(LEFT($V51,2),"H"),$R$63:$T$91,3,FALSE),VLOOKUP($V51,$R$63:$T$91,3,FALSE)))+IF(AND($V51&lt;&gt;"",$V51&lt;&gt;"O3/CP",$V$15=B$18,MID($V51,4,1)="2",$V$15&lt;&gt;$V$14),VLOOKUP(CONCATENATE(LEFT($V51,2),"L"),$R$63:$T$91,3,FALSE),0)+IF(AND($V51="O3/CP",$V$14=B$18),VLOOKUP("O3",$R$63:$T$91,3,FALSE)+VLOOKUP("CP",$R$63:$T$91,3,FALSE),0)+IF(AND($W51&lt;&gt;"",$W51&lt;&gt;"--",$W51&lt;&gt;"O3/CP",$W$14=B$18),IF(LEFT($W51,1)="P",VLOOKUP(CONCATENATE(LEFT($W51,2),"H"),$R$63:$T$91,3,FALSE),VLOOKUP($W51,$R$63:$T$91,3,FALSE)))+IF(AND($W51&lt;&gt;"",$W51&lt;&gt;"O3/CP",$W$15=B$18,MID($W51,4,1)="2",$W$15&lt;&gt;$W$14),VLOOKUP(CONCATENATE(LEFT($W51,2),"L"),$R$63:$T$91,3,FALSE),0)+IF(AND($W51="O3/CP",$W$14=B$18),VLOOKUP("O3",$R$63:$T$91,3,FALSE)+VLOOKUP("CP",$R$63:$T$91,3,FALSE),0)+IF(AND($X51&lt;&gt;"",$X51&lt;&gt;"--",$X51&lt;&gt;"O3/CP",$X$14=B$18),IF(LEFT($X51,1)="P",VLOOKUP(CONCATENATE(LEFT($X51,2),"H"),$R$63:$T$91,3,FALSE),VLOOKUP($X51,$R$63:$T$91,3,FALSE)))+IF(AND($X51&lt;&gt;"",$X51&lt;&gt;"O3/CP",$X$15=B$18,MID($X51,4,1)="2",$X$15&lt;&gt;$X$14),VLOOKUP(CONCATENATE(LEFT($X51,2),"L"),$R$63:$T$91,3,FALSE),0)+IF(AND($X51="O3/CP",$X$14=B$18),VLOOKUP("O3",$R$63:$T$91,3,FALSE)+VLOOKUP("CP",$R$63:$T$91,3,FALSE),0)+IF(AND($Y51&lt;&gt;"",$Y51&lt;&gt;"--",$Y51&lt;&gt;"O3/CP",$Y$14=B$18),IF(LEFT($Y51,1)="P",VLOOKUP(CONCATENATE(LEFT($Y51,2),"H"),$R$63:$T$91,3,FALSE),VLOOKUP($Y51,$R$63:$T$91,3,FALSE)))+IF(AND($Y51&lt;&gt;"",$Y51&lt;&gt;"O3/CP",$Y$15=B$18,MID($Y51,4,1)="2",$Y$15&lt;&gt;$Y$14),VLOOKUP(CONCATENATE(LEFT($Y51,2),"L"),$R$63:$T$91,3,FALSE),0)+IF(AND($Y51="O3/CP",$Y$14=B$18),VLOOKUP("O3",$R$63:$T$91,3,FALSE)+VLOOKUP("CP",$R$63:$T$91,3,FALSE),0)+IF(AND($K$6="CE",'[3]Supply Attribution'!$G$20=B$18),LEFT($S$90,2),0)+IF(AND($X$86&lt;&gt;"Not Set",$X$87=B$18),$X$86,0)</f>
        <v>0</v>
      </c>
      <c r="C51" s="271">
        <f>IF(AND($K51&lt;&gt;"",$K51&lt;&gt;"--",$K51&lt;&gt;"O3/CP",$K$14=C$18),IF(LEFT($K51,1)="P",VLOOKUP(CONCATENATE(LEFT($K51,2),"H"),$R$63:$T$91,3,FALSE),VLOOKUP($K51,$R$63:$T$91,3,FALSE)))+IF(AND($K51&lt;&gt;"",$K51&lt;&gt;"O3/CP",$K$15=C$18,MID($K51,4,1)="2",$K$15&lt;&gt;$K$14),VLOOKUP(CONCATENATE(LEFT($K51,2),"L"),$R$63:$T$91,3,FALSE),0)+IF(AND($K51="O3/CP",$K$14=C$18),VLOOKUP("O3",$R$63:$T$91,3,FALSE)+VLOOKUP("CP",$R$63:$T$91,3,FALSE),0)+IF(AND($L51&lt;&gt;"",$L51&lt;&gt;"--",$L51&lt;&gt;"O3/CP",$L$14=C$18),IF(LEFT($L51,1)="P",VLOOKUP(CONCATENATE(LEFT($L51,2),"H"),$R$63:$T$91,3,FALSE),VLOOKUP($L51,$R$63:$T$91,3,FALSE)))+IF(AND($L51&lt;&gt;"",$L51&lt;&gt;"O3/CP",$L$15=C$18,MID($L51,4,1)="2",$L$15&lt;&gt;$L$14),VLOOKUP(CONCATENATE(LEFT($L51,2),"L"),$R$63:$T$91,3,FALSE),0)+IF(AND($L51="O3/CP",$L$14=C$18),VLOOKUP("O3",$R$63:$T$91,3,FALSE)+VLOOKUP("CP",$R$63:$T$91,3,FALSE),0)+IF(AND($M51&lt;&gt;"",$M51&lt;&gt;"--",$M51&lt;&gt;"O3/CP",$M$14=C$18),IF(LEFT($M51,1)="P",VLOOKUP(CONCATENATE(LEFT($M51,2),"H"),$R$63:$T$91,3,FALSE),VLOOKUP($M51,$R$63:$T$91,3,FALSE)))+IF(AND($M51&lt;&gt;"",$M51&lt;&gt;"O3/CP",$M$15=C$18,MID($M51,4,1)="2",$M$15&lt;&gt;$M$14),VLOOKUP(CONCATENATE(LEFT($M51,2),"L"),$R$63:$T$91,3,FALSE),0)+IF(AND($M51="O3/CP",$M$14=C$18),VLOOKUP("O3",$R$63:$T$91,3,FALSE)+VLOOKUP("CP",$R$63:$T$91,3,FALSE),0)+IF(AND($N51&lt;&gt;"",$N51&lt;&gt;"--",$N51&lt;&gt;"O3/CP",$N$14=C$18),IF(LEFT($N51,1)="P",VLOOKUP(CONCATENATE(LEFT($N51,2),"H"),$R$63:$T$91,3,FALSE),VLOOKUP($N51,$R$63:$T$91,3,FALSE)))+IF(AND($N51&lt;&gt;"",$N51&lt;&gt;"O3/CP",$N$15=C$18,MID($N51,4,1)="2",$N$15&lt;&gt;$N$14),VLOOKUP(CONCATENATE(LEFT($N51,2),"L"),$R$63:$T$91,3,FALSE),0)+IF(AND($N51="O3/CP",$N$14=C$18),VLOOKUP("O3",$R$63:$T$91,3,FALSE)+VLOOKUP("CP",$R$63:$T$91,3,FALSE),0)+IF(AND($O51&lt;&gt;"",$O51&lt;&gt;"--",$O51&lt;&gt;"O3/CP",$O$14=C$18),IF(LEFT($O51,1)="P",VLOOKUP(CONCATENATE(LEFT($O51,2),"H"),$R$63:$T$91,3,FALSE),VLOOKUP($O51,$R$63:$T$91,3,FALSE)))+IF(AND($O51&lt;&gt;"",$O51&lt;&gt;"O3/CP",$O$15=C$18,MID($O51,4,1)="2",$O$15&lt;&gt;$O$14),VLOOKUP(CONCATENATE(LEFT($O51,2),"L"),$R$63:$T$91,3,FALSE),0)+IF(AND($O51="O3/CP",$O$14=C$18),VLOOKUP("O3",$R$63:$T$91,3,FALSE)+VLOOKUP("CP",$R$63:$T$91,3,FALSE),0)+IF(AND($P51&lt;&gt;"",$P51&lt;&gt;"--",$P51&lt;&gt;"O3/CP",$P$14=C$18),IF(LEFT($P51,1)="P",VLOOKUP(CONCATENATE(LEFT($P51,2),"H"),$R$63:$T$91,3,FALSE),VLOOKUP($P51,$R$63:$T$91,3,FALSE)))+IF(AND($P51&lt;&gt;"",$P51&lt;&gt;"O3/CP",$P$15=C$18,MID($P51,4,1)="2",$P$15&lt;&gt;$P$14),VLOOKUP(CONCATENATE(LEFT($P51,2),"L"),$R$63:$T$91,3,FALSE),0)+IF(AND($P51="O3/CP",$P$14=C$18),VLOOKUP("O3",$R$63:$T$91,3,FALSE)+VLOOKUP("CP",$R$63:$T$91,3,FALSE),0)+IF(AND($Q51&lt;&gt;"",$Q51&lt;&gt;"--",$Q51&lt;&gt;"O3/CP",$Q$14=C$18),IF(LEFT($Q51,1)="P",VLOOKUP(CONCATENATE(LEFT($Q51,2),"H"),$R$63:$T$91,3,FALSE),VLOOKUP($Q51,$R$63:$T$91,3,FALSE)))+IF(AND($Q51&lt;&gt;"",$Q51&lt;&gt;"O3/CP",$Q$15=C$18,MID($Q51,4,1)="2",$Q$15&lt;&gt;$Q$14),VLOOKUP(CONCATENATE(LEFT($Q51,2),"L"),$R$63:$T$91,3,FALSE),0)+IF(AND($Q51="O3/CP",$Q$14=C$18),VLOOKUP("O3",$R$63:$T$91,3,FALSE)+VLOOKUP("CP",$R$63:$T$91,3,FALSE),0)+IF(AND($R51&lt;&gt;"",$R51&lt;&gt;"--",$R51&lt;&gt;"O3/CP",$R$14=C$18),IF(LEFT($R51,1)="P",VLOOKUP(CONCATENATE(LEFT($R51,2),"H"),$R$63:$T$91,3,FALSE),VLOOKUP($R51,$R$63:$T$91,3,FALSE)))+IF(AND($R51&lt;&gt;"",$R51&lt;&gt;"O3/CP",$R$15=C$18,MID($R51,4,1)="2",$R$15&lt;&gt;$R$14),VLOOKUP(CONCATENATE(LEFT($R51,2),"L"),$R$63:$T$91,3,FALSE),0)+IF(AND($R51="O3/CP",$R$14=C$18),VLOOKUP("O3",$R$63:$T$91,3,FALSE)+VLOOKUP("CP",$R$63:$T$91,3,FALSE),0)+IF(AND($S51&lt;&gt;"",$S51&lt;&gt;"--",$S51&lt;&gt;"O3/CP",$S$14=C$18),IF(LEFT($S51,1)="P",VLOOKUP(CONCATENATE(LEFT($S51,2),"H"),$R$63:$T$91,3,FALSE),VLOOKUP($S51,$R$63:$T$91,3,FALSE)))+IF(AND($S51&lt;&gt;"",$S51&lt;&gt;"O3/CP",$S$15=C$18,MID($S51,4,1)="2",$S$15&lt;&gt;$S$14),VLOOKUP(CONCATENATE(LEFT($S51,2),"L"),$R$63:$T$91,3,FALSE),0)+IF(AND($S51="O3/CP",$S$14=C$18),VLOOKUP("O3",$R$63:$T$91,3,FALSE)+VLOOKUP("CP",$R$63:$T$91,3,FALSE),0)+IF(AND($T51&lt;&gt;"",$T51&lt;&gt;"--",$T51&lt;&gt;"O3/CP",$T$14=C$18),IF(LEFT($T51,1)="P",VLOOKUP(CONCATENATE(LEFT($T51,2),"H"),$R$63:$T$91,3,FALSE),VLOOKUP($T51,$R$63:$T$91,3,FALSE)))+IF(AND($T51&lt;&gt;"",$T51&lt;&gt;"O3/CP",$T$15=C$18,MID($T51,4,1)="2",$T$15&lt;&gt;$T$14),VLOOKUP(CONCATENATE(LEFT($T51,2),"L"),$R$63:$T$91,3,FALSE),0)+IF(AND($T51="O3/CP",$T$14=C$18),VLOOKUP("O3",$R$63:$T$91,3,FALSE)+VLOOKUP("CP",$R$63:$T$91,3,FALSE),0)+IF(AND($U51&lt;&gt;"",$U51&lt;&gt;"--",$U51&lt;&gt;"O3/CP",$U$14=C$18),IF(LEFT($U51,1)="P",VLOOKUP(CONCATENATE(LEFT($U51,2),"H"),$R$63:$T$91,3,FALSE),VLOOKUP($U51,$R$63:$T$91,3,FALSE)))+IF(AND($U51&lt;&gt;"",$U51&lt;&gt;"O3/CP",$U$15=C$18,MID($U51,4,1)="2",$U$15&lt;&gt;$U$14),VLOOKUP(CONCATENATE(LEFT($U51,2),"L"),$R$63:$T$91,3,FALSE),0)+IF(AND($U51="O3/CP",$T$14=C$18),VLOOKUP("O3",$R$63:$T$91,3,FALSE)+VLOOKUP("CP",$R$63:$T$91,3,FALSE),0)+IF(AND($V51&lt;&gt;"",$V51&lt;&gt;"--",$V51&lt;&gt;"O3/CP",$V$14=C$18),IF(LEFT($V51,1)="P",VLOOKUP(CONCATENATE(LEFT($V51,2),"H"),$R$63:$T$91,3,FALSE),VLOOKUP($V51,$R$63:$T$91,3,FALSE)))+IF(AND($V51&lt;&gt;"",$V51&lt;&gt;"O3/CP",$V$15=C$18,MID($V51,4,1)="2",$V$15&lt;&gt;$V$14),VLOOKUP(CONCATENATE(LEFT($V51,2),"L"),$R$63:$T$91,3,FALSE),0)+IF(AND($V51="O3/CP",$V$14=C$18),VLOOKUP("O3",$R$63:$T$91,3,FALSE)+VLOOKUP("CP",$R$63:$T$91,3,FALSE),0)+IF(AND($W51&lt;&gt;"",$W51&lt;&gt;"--",$W51&lt;&gt;"O3/CP",$W$14=C$18),IF(LEFT($W51,1)="P",VLOOKUP(CONCATENATE(LEFT($W51,2),"H"),$R$63:$T$91,3,FALSE),VLOOKUP($W51,$R$63:$T$91,3,FALSE)))+IF(AND($W51&lt;&gt;"",$W51&lt;&gt;"O3/CP",$W$15=C$18,MID($W51,4,1)="2",$W$15&lt;&gt;$W$14),VLOOKUP(CONCATENATE(LEFT($W51,2),"L"),$R$63:$T$91,3,FALSE),0)+IF(AND($W51="O3/CP",$W$14=C$18),VLOOKUP("O3",$R$63:$T$91,3,FALSE)+VLOOKUP("CP",$R$63:$T$91,3,FALSE),0)+IF(AND($X51&lt;&gt;"",$X51&lt;&gt;"--",$X51&lt;&gt;"O3/CP",$X$14=C$18),IF(LEFT($X51,1)="P",VLOOKUP(CONCATENATE(LEFT($X51,2),"H"),$R$63:$T$91,3,FALSE),VLOOKUP($X51,$R$63:$T$91,3,FALSE)))+IF(AND($X51&lt;&gt;"",$X51&lt;&gt;"O3/CP",$X$15=C$18,MID($X51,4,1)="2",$X$15&lt;&gt;$X$14),VLOOKUP(CONCATENATE(LEFT($X51,2),"L"),$R$63:$T$91,3,FALSE),0)+IF(AND($X51="O3/CP",$X$14=C$18),VLOOKUP("O3",$R$63:$T$91,3,FALSE)+VLOOKUP("CP",$R$63:$T$91,3,FALSE),0)+IF(AND($Y51&lt;&gt;"",$Y51&lt;&gt;"--",$Y51&lt;&gt;"O3/CP",$Y$14=C$18),IF(LEFT($Y51,1)="P",VLOOKUP(CONCATENATE(LEFT($Y51,2),"H"),$R$63:$T$91,3,FALSE),VLOOKUP($Y51,$R$63:$T$91,3,FALSE)))+IF(AND($Y51&lt;&gt;"",$Y51&lt;&gt;"O3/CP",$Y$15=C$18,MID($Y51,4,1)="2",$Y$15&lt;&gt;$Y$14),VLOOKUP(CONCATENATE(LEFT($Y51,2),"L"),$R$63:$T$91,3,FALSE),0)+IF(AND($Y51="O3/CP",$Y$14=C$18),VLOOKUP("O3",$R$63:$T$91,3,FALSE)+VLOOKUP("CP",$R$63:$T$91,3,FALSE),0)+IF(AND($K$6="CE",'[3]Supply Attribution'!$G$20=C$18),LEFT($S$90,2),0)+IF(AND($X$86&lt;&gt;"Not Set",$X$87=C$18),$X$86,0)</f>
        <v>0</v>
      </c>
      <c r="D51" s="271">
        <f>IF(AND($K51&lt;&gt;"",$K51&lt;&gt;"--",$K51&lt;&gt;"O3/CP",$K$14=D$18),IF(LEFT($K51,1)="P",VLOOKUP(CONCATENATE(LEFT($K51,2),"H"),$R$63:$T$91,3,FALSE),VLOOKUP($K51,$R$63:$T$91,3,FALSE)))+IF(AND($K51&lt;&gt;"",$K51&lt;&gt;"O3/CP",$K$15=D$18,MID($K51,4,1)="2",$K$15&lt;&gt;$K$14),VLOOKUP(CONCATENATE(LEFT($K51,2),"L"),$R$63:$T$91,3,FALSE),0)+IF(AND($K51="O3/CP",$K$14=D$18),VLOOKUP("O3",$R$63:$T$91,3,FALSE)+VLOOKUP("CP",$R$63:$T$91,3,FALSE),0)+IF(AND($L51&lt;&gt;"",$L51&lt;&gt;"--",$L51&lt;&gt;"O3/CP",$L$14=D$18),IF(LEFT($L51,1)="P",VLOOKUP(CONCATENATE(LEFT($L51,2),"H"),$R$63:$T$91,3,FALSE),VLOOKUP($L51,$R$63:$T$91,3,FALSE)))+IF(AND($L51&lt;&gt;"",$L51&lt;&gt;"O3/CP",$L$15=D$18,MID($L51,4,1)="2",$L$15&lt;&gt;$L$14),VLOOKUP(CONCATENATE(LEFT($L51,2),"L"),$R$63:$T$91,3,FALSE),0)+IF(AND($L51="O3/CP",$L$14=D$18),VLOOKUP("O3",$R$63:$T$91,3,FALSE)+VLOOKUP("CP",$R$63:$T$91,3,FALSE),0)+IF(AND($M51&lt;&gt;"",$M51&lt;&gt;"--",$M51&lt;&gt;"O3/CP",$M$14=D$18),IF(LEFT($M51,1)="P",VLOOKUP(CONCATENATE(LEFT($M51,2),"H"),$R$63:$T$91,3,FALSE),VLOOKUP($M51,$R$63:$T$91,3,FALSE)))+IF(AND($M51&lt;&gt;"",$M51&lt;&gt;"O3/CP",$M$15=D$18,MID($M51,4,1)="2",$M$15&lt;&gt;$M$14),VLOOKUP(CONCATENATE(LEFT($M51,2),"L"),$R$63:$T$91,3,FALSE),0)+IF(AND($M51="O3/CP",$M$14=D$18),VLOOKUP("O3",$R$63:$T$91,3,FALSE)+VLOOKUP("CP",$R$63:$T$91,3,FALSE),0)+IF(AND($N51&lt;&gt;"",$N51&lt;&gt;"--",$N51&lt;&gt;"O3/CP",$N$14=D$18),IF(LEFT($N51,1)="P",VLOOKUP(CONCATENATE(LEFT($N51,2),"H"),$R$63:$T$91,3,FALSE),VLOOKUP($N51,$R$63:$T$91,3,FALSE)))+IF(AND($N51&lt;&gt;"",$N51&lt;&gt;"O3/CP",$N$15=D$18,MID($N51,4,1)="2",$N$15&lt;&gt;$N$14),VLOOKUP(CONCATENATE(LEFT($N51,2),"L"),$R$63:$T$91,3,FALSE),0)+IF(AND($N51="O3/CP",$N$14=D$18),VLOOKUP("O3",$R$63:$T$91,3,FALSE)+VLOOKUP("CP",$R$63:$T$91,3,FALSE),0)+IF(AND($O51&lt;&gt;"",$O51&lt;&gt;"--",$O51&lt;&gt;"O3/CP",$O$14=D$18),IF(LEFT($O51,1)="P",VLOOKUP(CONCATENATE(LEFT($O51,2),"H"),$R$63:$T$91,3,FALSE),VLOOKUP($O51,$R$63:$T$91,3,FALSE)))+IF(AND($O51&lt;&gt;"",$O51&lt;&gt;"O3/CP",$O$15=D$18,MID($O51,4,1)="2",$O$15&lt;&gt;$O$14),VLOOKUP(CONCATENATE(LEFT($O51,2),"L"),$R$63:$T$91,3,FALSE),0)+IF(AND($O51="O3/CP",$O$14=D$18),VLOOKUP("O3",$R$63:$T$91,3,FALSE)+VLOOKUP("CP",$R$63:$T$91,3,FALSE),0)+IF(AND($P51&lt;&gt;"",$P51&lt;&gt;"--",$P51&lt;&gt;"O3/CP",$P$14=D$18),IF(LEFT($P51,1)="P",VLOOKUP(CONCATENATE(LEFT($P51,2),"H"),$R$63:$T$91,3,FALSE),VLOOKUP($P51,$R$63:$T$91,3,FALSE)))+IF(AND($P51&lt;&gt;"",$P51&lt;&gt;"O3/CP",$P$15=D$18,MID($P51,4,1)="2",$P$15&lt;&gt;$P$14),VLOOKUP(CONCATENATE(LEFT($P51,2),"L"),$R$63:$T$91,3,FALSE),0)+IF(AND($P51="O3/CP",$P$14=D$18),VLOOKUP("O3",$R$63:$T$91,3,FALSE)+VLOOKUP("CP",$R$63:$T$91,3,FALSE),0)+IF(AND($Q51&lt;&gt;"",$Q51&lt;&gt;"--",$Q51&lt;&gt;"O3/CP",$Q$14=D$18),IF(LEFT($Q51,1)="P",VLOOKUP(CONCATENATE(LEFT($Q51,2),"H"),$R$63:$T$91,3,FALSE),VLOOKUP($Q51,$R$63:$T$91,3,FALSE)))+IF(AND($Q51&lt;&gt;"",$Q51&lt;&gt;"O3/CP",$Q$15=D$18,MID($Q51,4,1)="2",$Q$15&lt;&gt;$Q$14),VLOOKUP(CONCATENATE(LEFT($Q51,2),"L"),$R$63:$T$91,3,FALSE),0)+IF(AND($Q51="O3/CP",$Q$14=D$18),VLOOKUP("O3",$R$63:$T$91,3,FALSE)+VLOOKUP("CP",$R$63:$T$91,3,FALSE),0)+IF(AND($R51&lt;&gt;"",$R51&lt;&gt;"--",$R51&lt;&gt;"O3/CP",$R$14=D$18),IF(LEFT($R51,1)="P",VLOOKUP(CONCATENATE(LEFT($R51,2),"H"),$R$63:$T$91,3,FALSE),VLOOKUP($R51,$R$63:$T$91,3,FALSE)))+IF(AND($R51&lt;&gt;"",$R51&lt;&gt;"O3/CP",$R$15=D$18,MID($R51,4,1)="2",$R$15&lt;&gt;$R$14),VLOOKUP(CONCATENATE(LEFT($R51,2),"L"),$R$63:$T$91,3,FALSE),0)+IF(AND($R51="O3/CP",$R$14=D$18),VLOOKUP("O3",$R$63:$T$91,3,FALSE)+VLOOKUP("CP",$R$63:$T$91,3,FALSE),0)+IF(AND($S51&lt;&gt;"",$S51&lt;&gt;"--",$S51&lt;&gt;"O3/CP",$S$14=D$18),IF(LEFT($S51,1)="P",VLOOKUP(CONCATENATE(LEFT($S51,2),"H"),$R$63:$T$91,3,FALSE),VLOOKUP($S51,$R$63:$T$91,3,FALSE)))+IF(AND($S51&lt;&gt;"",$S51&lt;&gt;"O3/CP",$S$15=D$18,MID($S51,4,1)="2",$S$15&lt;&gt;$S$14),VLOOKUP(CONCATENATE(LEFT($S51,2),"L"),$R$63:$T$91,3,FALSE),0)+IF(AND($S51="O3/CP",$S$14=D$18),VLOOKUP("O3",$R$63:$T$91,3,FALSE)+VLOOKUP("CP",$R$63:$T$91,3,FALSE),0)+IF(AND($T51&lt;&gt;"",$T51&lt;&gt;"--",$T51&lt;&gt;"O3/CP",$T$14=D$18),IF(LEFT($T51,1)="P",VLOOKUP(CONCATENATE(LEFT($T51,2),"H"),$R$63:$T$91,3,FALSE),VLOOKUP($T51,$R$63:$T$91,3,FALSE)))+IF(AND($T51&lt;&gt;"",$T51&lt;&gt;"O3/CP",$T$15=D$18,MID($T51,4,1)="2",$T$15&lt;&gt;$T$14),VLOOKUP(CONCATENATE(LEFT($T51,2),"L"),$R$63:$T$91,3,FALSE),0)+IF(AND($T51="O3/CP",$T$14=D$18),VLOOKUP("O3",$R$63:$T$91,3,FALSE)+VLOOKUP("CP",$R$63:$T$91,3,FALSE),0)+IF(AND($U51&lt;&gt;"",$U51&lt;&gt;"--",$U51&lt;&gt;"O3/CP",$U$14=D$18),IF(LEFT($U51,1)="P",VLOOKUP(CONCATENATE(LEFT($U51,2),"H"),$R$63:$T$91,3,FALSE),VLOOKUP($U51,$R$63:$T$91,3,FALSE)))+IF(AND($U51&lt;&gt;"",$U51&lt;&gt;"O3/CP",$U$15=D$18,MID($U51,4,1)="2",$U$15&lt;&gt;$U$14),VLOOKUP(CONCATENATE(LEFT($U51,2),"L"),$R$63:$T$91,3,FALSE),0)+IF(AND($U51="O3/CP",$T$14=D$18),VLOOKUP("O3",$R$63:$T$91,3,FALSE)+VLOOKUP("CP",$R$63:$T$91,3,FALSE),0)+IF(AND($V51&lt;&gt;"",$V51&lt;&gt;"--",$V51&lt;&gt;"O3/CP",$V$14=D$18),IF(LEFT($V51,1)="P",VLOOKUP(CONCATENATE(LEFT($V51,2),"H"),$R$63:$T$91,3,FALSE),VLOOKUP($V51,$R$63:$T$91,3,FALSE)))+IF(AND($V51&lt;&gt;"",$V51&lt;&gt;"O3/CP",$V$15=D$18,MID($V51,4,1)="2",$V$15&lt;&gt;$V$14),VLOOKUP(CONCATENATE(LEFT($V51,2),"L"),$R$63:$T$91,3,FALSE),0)+IF(AND($V51="O3/CP",$V$14=D$18),VLOOKUP("O3",$R$63:$T$91,3,FALSE)+VLOOKUP("CP",$R$63:$T$91,3,FALSE),0)+IF(AND($W51&lt;&gt;"",$W51&lt;&gt;"--",$W51&lt;&gt;"O3/CP",$W$14=D$18),IF(LEFT($W51,1)="P",VLOOKUP(CONCATENATE(LEFT($W51,2),"H"),$R$63:$T$91,3,FALSE),VLOOKUP($W51,$R$63:$T$91,3,FALSE)))+IF(AND($W51&lt;&gt;"",$W51&lt;&gt;"O3/CP",$W$15=D$18,MID($W51,4,1)="2",$W$15&lt;&gt;$W$14),VLOOKUP(CONCATENATE(LEFT($W51,2),"L"),$R$63:$T$91,3,FALSE),0)+IF(AND($W51="O3/CP",$W$14=D$18),VLOOKUP("O3",$R$63:$T$91,3,FALSE)+VLOOKUP("CP",$R$63:$T$91,3,FALSE),0)+IF(AND($X51&lt;&gt;"",$X51&lt;&gt;"--",$X51&lt;&gt;"O3/CP",$X$14=D$18),IF(LEFT($X51,1)="P",VLOOKUP(CONCATENATE(LEFT($X51,2),"H"),$R$63:$T$91,3,FALSE),VLOOKUP($X51,$R$63:$T$91,3,FALSE)))+IF(AND($X51&lt;&gt;"",$X51&lt;&gt;"O3/CP",$X$15=D$18,MID($X51,4,1)="2",$X$15&lt;&gt;$X$14),VLOOKUP(CONCATENATE(LEFT($X51,2),"L"),$R$63:$T$91,3,FALSE),0)+IF(AND($X51="O3/CP",$X$14=D$18),VLOOKUP("O3",$R$63:$T$91,3,FALSE)+VLOOKUP("CP",$R$63:$T$91,3,FALSE),0)+IF(AND($Y51&lt;&gt;"",$Y51&lt;&gt;"--",$Y51&lt;&gt;"O3/CP",$Y$14=D$18),IF(LEFT($Y51,1)="P",VLOOKUP(CONCATENATE(LEFT($Y51,2),"H"),$R$63:$T$91,3,FALSE),VLOOKUP($Y51,$R$63:$T$91,3,FALSE)))+IF(AND($Y51&lt;&gt;"",$Y51&lt;&gt;"O3/CP",$Y$15=D$18,MID($Y51,4,1)="2",$Y$15&lt;&gt;$Y$14),VLOOKUP(CONCATENATE(LEFT($Y51,2),"L"),$R$63:$T$91,3,FALSE),0)+IF(AND($Y51="O3/CP",$Y$14=D$18),VLOOKUP("O3",$R$63:$T$91,3,FALSE)+VLOOKUP("CP",$R$63:$T$91,3,FALSE),0)+IF(AND($K$6="CE",'[3]Supply Attribution'!$G$20=D$18),LEFT($S$90,2),0)+IF(AND($X$86&lt;&gt;"Not Set",$X$87=D$18),$X$86,0)</f>
        <v>0</v>
      </c>
      <c r="E51" s="271">
        <f>IF(AND($K51&lt;&gt;"",$K51&lt;&gt;"--",$K51&lt;&gt;"O3/CP",$K$14=E$18),IF(LEFT($K51,1)="P",VLOOKUP(CONCATENATE(LEFT($K51,2),"H"),$R$63:$T$91,3,FALSE),VLOOKUP($K51,$R$63:$T$91,3,FALSE)))+IF(AND($K51&lt;&gt;"",$K51&lt;&gt;"O3/CP",$K$15=E$18,MID($K51,4,1)="2",$K$15&lt;&gt;$K$14),VLOOKUP(CONCATENATE(LEFT($K51,2),"L"),$R$63:$T$91,3,FALSE),0)+IF(AND($K51="O3/CP",$K$14=E$18),VLOOKUP("O3",$R$63:$T$91,3,FALSE)+VLOOKUP("CP",$R$63:$T$91,3,FALSE),0)+IF(AND($L51&lt;&gt;"",$L51&lt;&gt;"--",$L51&lt;&gt;"O3/CP",$L$14=E$18),IF(LEFT($L51,1)="P",VLOOKUP(CONCATENATE(LEFT($L51,2),"H"),$R$63:$T$91,3,FALSE),VLOOKUP($L51,$R$63:$T$91,3,FALSE)))+IF(AND($L51&lt;&gt;"",$L51&lt;&gt;"O3/CP",$L$15=E$18,MID($L51,4,1)="2",$L$15&lt;&gt;$L$14),VLOOKUP(CONCATENATE(LEFT($L51,2),"L"),$R$63:$T$91,3,FALSE),0)+IF(AND($L51="O3/CP",$L$14=E$18),VLOOKUP("O3",$R$63:$T$91,3,FALSE)+VLOOKUP("CP",$R$63:$T$91,3,FALSE),0)+IF(AND($M51&lt;&gt;"",$M51&lt;&gt;"--",$M51&lt;&gt;"O3/CP",$M$14=E$18),IF(LEFT($M51,1)="P",VLOOKUP(CONCATENATE(LEFT($M51,2),"H"),$R$63:$T$91,3,FALSE),VLOOKUP($M51,$R$63:$T$91,3,FALSE)))+IF(AND($M51&lt;&gt;"",$M51&lt;&gt;"O3/CP",$M$15=E$18,MID($M51,4,1)="2",$M$15&lt;&gt;$M$14),VLOOKUP(CONCATENATE(LEFT($M51,2),"L"),$R$63:$T$91,3,FALSE),0)+IF(AND($M51="O3/CP",$M$14=E$18),VLOOKUP("O3",$R$63:$T$91,3,FALSE)+VLOOKUP("CP",$R$63:$T$91,3,FALSE),0)+IF(AND($N51&lt;&gt;"",$N51&lt;&gt;"--",$N51&lt;&gt;"O3/CP",$N$14=E$18),IF(LEFT($N51,1)="P",VLOOKUP(CONCATENATE(LEFT($N51,2),"H"),$R$63:$T$91,3,FALSE),VLOOKUP($N51,$R$63:$T$91,3,FALSE)))+IF(AND($N51&lt;&gt;"",$N51&lt;&gt;"O3/CP",$N$15=E$18,MID($N51,4,1)="2",$N$15&lt;&gt;$N$14),VLOOKUP(CONCATENATE(LEFT($N51,2),"L"),$R$63:$T$91,3,FALSE),0)+IF(AND($N51="O3/CP",$N$14=E$18),VLOOKUP("O3",$R$63:$T$91,3,FALSE)+VLOOKUP("CP",$R$63:$T$91,3,FALSE),0)+IF(AND($O51&lt;&gt;"",$O51&lt;&gt;"--",$O51&lt;&gt;"O3/CP",$O$14=E$18),IF(LEFT($O51,1)="P",VLOOKUP(CONCATENATE(LEFT($O51,2),"H"),$R$63:$T$91,3,FALSE),VLOOKUP($O51,$R$63:$T$91,3,FALSE)))+IF(AND($O51&lt;&gt;"",$O51&lt;&gt;"O3/CP",$O$15=E$18,MID($O51,4,1)="2",$O$15&lt;&gt;$O$14),VLOOKUP(CONCATENATE(LEFT($O51,2),"L"),$R$63:$T$91,3,FALSE),0)+IF(AND($O51="O3/CP",$O$14=E$18),VLOOKUP("O3",$R$63:$T$91,3,FALSE)+VLOOKUP("CP",$R$63:$T$91,3,FALSE),0)+IF(AND($P51&lt;&gt;"",$P51&lt;&gt;"--",$P51&lt;&gt;"O3/CP",$P$14=E$18),IF(LEFT($P51,1)="P",VLOOKUP(CONCATENATE(LEFT($P51,2),"H"),$R$63:$T$91,3,FALSE),VLOOKUP($P51,$R$63:$T$91,3,FALSE)))+IF(AND($P51&lt;&gt;"",$P51&lt;&gt;"O3/CP",$P$15=E$18,MID($P51,4,1)="2",$P$15&lt;&gt;$P$14),VLOOKUP(CONCATENATE(LEFT($P51,2),"L"),$R$63:$T$91,3,FALSE),0)+IF(AND($P51="O3/CP",$P$14=E$18),VLOOKUP("O3",$R$63:$T$91,3,FALSE)+VLOOKUP("CP",$R$63:$T$91,3,FALSE),0)+IF(AND($Q51&lt;&gt;"",$Q51&lt;&gt;"--",$Q51&lt;&gt;"O3/CP",$Q$14=E$18),IF(LEFT($Q51,1)="P",VLOOKUP(CONCATENATE(LEFT($Q51,2),"H"),$R$63:$T$91,3,FALSE),VLOOKUP($Q51,$R$63:$T$91,3,FALSE)))+IF(AND($Q51&lt;&gt;"",$Q51&lt;&gt;"O3/CP",$Q$15=E$18,MID($Q51,4,1)="2",$Q$15&lt;&gt;$Q$14),VLOOKUP(CONCATENATE(LEFT($Q51,2),"L"),$R$63:$T$91,3,FALSE),0)+IF(AND($Q51="O3/CP",$Q$14=E$18),VLOOKUP("O3",$R$63:$T$91,3,FALSE)+VLOOKUP("CP",$R$63:$T$91,3,FALSE),0)+IF(AND($R51&lt;&gt;"",$R51&lt;&gt;"--",$R51&lt;&gt;"O3/CP",$R$14=E$18),IF(LEFT($R51,1)="P",VLOOKUP(CONCATENATE(LEFT($R51,2),"H"),$R$63:$T$91,3,FALSE),VLOOKUP($R51,$R$63:$T$91,3,FALSE)))+IF(AND($R51&lt;&gt;"",$R51&lt;&gt;"O3/CP",$R$15=E$18,MID($R51,4,1)="2",$R$15&lt;&gt;$R$14),VLOOKUP(CONCATENATE(LEFT($R51,2),"L"),$R$63:$T$91,3,FALSE),0)+IF(AND($R51="O3/CP",$R$14=E$18),VLOOKUP("O3",$R$63:$T$91,3,FALSE)+VLOOKUP("CP",$R$63:$T$91,3,FALSE),0)+IF(AND($S51&lt;&gt;"",$S51&lt;&gt;"--",$S51&lt;&gt;"O3/CP",$S$14=E$18),IF(LEFT($S51,1)="P",VLOOKUP(CONCATENATE(LEFT($S51,2),"H"),$R$63:$T$91,3,FALSE),VLOOKUP($S51,$R$63:$T$91,3,FALSE)))+IF(AND($S51&lt;&gt;"",$S51&lt;&gt;"O3/CP",$S$15=E$18,MID($S51,4,1)="2",$S$15&lt;&gt;$S$14),VLOOKUP(CONCATENATE(LEFT($S51,2),"L"),$R$63:$T$91,3,FALSE),0)+IF(AND($S51="O3/CP",$S$14=E$18),VLOOKUP("O3",$R$63:$T$91,3,FALSE)+VLOOKUP("CP",$R$63:$T$91,3,FALSE),0)+IF(AND($T51&lt;&gt;"",$T51&lt;&gt;"--",$T51&lt;&gt;"O3/CP",$T$14=E$18),IF(LEFT($T51,1)="P",VLOOKUP(CONCATENATE(LEFT($T51,2),"H"),$R$63:$T$91,3,FALSE),VLOOKUP($T51,$R$63:$T$91,3,FALSE)))+IF(AND($T51&lt;&gt;"",$T51&lt;&gt;"O3/CP",$T$15=E$18,MID($T51,4,1)="2",$T$15&lt;&gt;$T$14),VLOOKUP(CONCATENATE(LEFT($T51,2),"L"),$R$63:$T$91,3,FALSE),0)+IF(AND($T51="O3/CP",$T$14=E$18),VLOOKUP("O3",$R$63:$T$91,3,FALSE)+VLOOKUP("CP",$R$63:$T$91,3,FALSE),0)+IF(AND($U51&lt;&gt;"",$U51&lt;&gt;"--",$U51&lt;&gt;"O3/CP",$U$14=E$18),IF(LEFT($U51,1)="P",VLOOKUP(CONCATENATE(LEFT($U51,2),"H"),$R$63:$T$91,3,FALSE),VLOOKUP($U51,$R$63:$T$91,3,FALSE)))+IF(AND($U51&lt;&gt;"",$U51&lt;&gt;"O3/CP",$U$15=E$18,MID($U51,4,1)="2",$U$15&lt;&gt;$U$14),VLOOKUP(CONCATENATE(LEFT($U51,2),"L"),$R$63:$T$91,3,FALSE),0)+IF(AND($U51="O3/CP",$T$14=E$18),VLOOKUP("O3",$R$63:$T$91,3,FALSE)+VLOOKUP("CP",$R$63:$T$91,3,FALSE),0)+IF(AND($V51&lt;&gt;"",$V51&lt;&gt;"--",$V51&lt;&gt;"O3/CP",$V$14=E$18),IF(LEFT($V51,1)="P",VLOOKUP(CONCATENATE(LEFT($V51,2),"H"),$R$63:$T$91,3,FALSE),VLOOKUP($V51,$R$63:$T$91,3,FALSE)))+IF(AND($V51&lt;&gt;"",$V51&lt;&gt;"O3/CP",$V$15=E$18,MID($V51,4,1)="2",$V$15&lt;&gt;$V$14),VLOOKUP(CONCATENATE(LEFT($V51,2),"L"),$R$63:$T$91,3,FALSE),0)+IF(AND($V51="O3/CP",$V$14=E$18),VLOOKUP("O3",$R$63:$T$91,3,FALSE)+VLOOKUP("CP",$R$63:$T$91,3,FALSE),0)+IF(AND($W51&lt;&gt;"",$W51&lt;&gt;"--",$W51&lt;&gt;"O3/CP",$W$14=E$18),IF(LEFT($W51,1)="P",VLOOKUP(CONCATENATE(LEFT($W51,2),"H"),$R$63:$T$91,3,FALSE),VLOOKUP($W51,$R$63:$T$91,3,FALSE)))+IF(AND($W51&lt;&gt;"",$W51&lt;&gt;"O3/CP",$W$15=E$18,MID($W51,4,1)="2",$W$15&lt;&gt;$W$14),VLOOKUP(CONCATENATE(LEFT($W51,2),"L"),$R$63:$T$91,3,FALSE),0)+IF(AND($W51="O3/CP",$W$14=E$18),VLOOKUP("O3",$R$63:$T$91,3,FALSE)+VLOOKUP("CP",$R$63:$T$91,3,FALSE),0)+IF(AND($X51&lt;&gt;"",$X51&lt;&gt;"--",$X51&lt;&gt;"O3/CP",$X$14=E$18),IF(LEFT($X51,1)="P",VLOOKUP(CONCATENATE(LEFT($X51,2),"H"),$R$63:$T$91,3,FALSE),VLOOKUP($X51,$R$63:$T$91,3,FALSE)))+IF(AND($X51&lt;&gt;"",$X51&lt;&gt;"O3/CP",$X$15=E$18,MID($X51,4,1)="2",$X$15&lt;&gt;$X$14),VLOOKUP(CONCATENATE(LEFT($X51,2),"L"),$R$63:$T$91,3,FALSE),0)+IF(AND($X51="O3/CP",$X$14=E$18),VLOOKUP("O3",$R$63:$T$91,3,FALSE)+VLOOKUP("CP",$R$63:$T$91,3,FALSE),0)+IF(AND($Y51&lt;&gt;"",$Y51&lt;&gt;"--",$Y51&lt;&gt;"O3/CP",$Y$14=E$18),IF(LEFT($Y51,1)="P",VLOOKUP(CONCATENATE(LEFT($Y51,2),"H"),$R$63:$T$91,3,FALSE),VLOOKUP($Y51,$R$63:$T$91,3,FALSE)))+IF(AND($Y51&lt;&gt;"",$Y51&lt;&gt;"O3/CP",$Y$15=E$18,MID($Y51,4,1)="2",$Y$15&lt;&gt;$Y$14),VLOOKUP(CONCATENATE(LEFT($Y51,2),"L"),$R$63:$T$91,3,FALSE),0)+IF(AND($Y51="O3/CP",$Y$14=E$18),VLOOKUP("O3",$R$63:$T$91,3,FALSE)+VLOOKUP("CP",$R$63:$T$91,3,FALSE),0)+IF(AND($K$6="CE",'[3]Supply Attribution'!$G$20=E$18),LEFT($S$90,2),0)+IF(AND($X$86&lt;&gt;"Not Set",$X$87=E$18),$X$86,0)</f>
        <v>0</v>
      </c>
      <c r="F51" s="272">
        <f>IF(AND($K51&lt;&gt;"",$K51&lt;&gt;"--",$K51&lt;&gt;"O3/CP",$K$14=F$18),IF(LEFT($K51,1)="P",VLOOKUP(CONCATENATE(LEFT($K51,2),"H"),$R$63:$T$91,3,FALSE),VLOOKUP($K51,$R$63:$T$91,3,FALSE)))+IF(AND($K51&lt;&gt;"",$K51&lt;&gt;"O3/CP",$K$15=F$18,MID($K51,4,1)="2",$K$15&lt;&gt;$K$14),VLOOKUP(CONCATENATE(LEFT($K51,2),"L"),$R$63:$T$91,3,FALSE),0)+IF(AND($K51="O3/CP",$K$14=F$18),VLOOKUP("O3",$R$63:$T$91,3,FALSE)+VLOOKUP("CP",$R$63:$T$91,3,FALSE),0)+IF(AND($L51&lt;&gt;"",$L51&lt;&gt;"--",$L51&lt;&gt;"O3/CP",$L$14=F$18),IF(LEFT($L51,1)="P",VLOOKUP(CONCATENATE(LEFT($L51,2),"H"),$R$63:$T$91,3,FALSE),VLOOKUP($L51,$R$63:$T$91,3,FALSE)))+IF(AND($L51&lt;&gt;"",$L51&lt;&gt;"O3/CP",$L$15=F$18,MID($L51,4,1)="2",$L$15&lt;&gt;$L$14),VLOOKUP(CONCATENATE(LEFT($L51,2),"L"),$R$63:$T$91,3,FALSE),0)+IF(AND($L51="O3/CP",$L$14=F$18),VLOOKUP("O3",$R$63:$T$91,3,FALSE)+VLOOKUP("CP",$R$63:$T$91,3,FALSE),0)+IF(AND($M51&lt;&gt;"",$M51&lt;&gt;"--",$M51&lt;&gt;"O3/CP",$M$14=F$18),IF(LEFT($M51,1)="P",VLOOKUP(CONCATENATE(LEFT($M51,2),"H"),$R$63:$T$91,3,FALSE),VLOOKUP($M51,$R$63:$T$91,3,FALSE)))+IF(AND($M51&lt;&gt;"",$M51&lt;&gt;"O3/CP",$M$15=F$18,MID($M51,4,1)="2",$M$15&lt;&gt;$M$14),VLOOKUP(CONCATENATE(LEFT($M51,2),"L"),$R$63:$T$91,3,FALSE),0)+IF(AND($M51="O3/CP",$M$14=F$18),VLOOKUP("O3",$R$63:$T$91,3,FALSE)+VLOOKUP("CP",$R$63:$T$91,3,FALSE),0)+IF(AND($N51&lt;&gt;"",$N51&lt;&gt;"--",$N51&lt;&gt;"O3/CP",$N$14=F$18),IF(LEFT($N51,1)="P",VLOOKUP(CONCATENATE(LEFT($N51,2),"H"),$R$63:$T$91,3,FALSE),VLOOKUP($N51,$R$63:$T$91,3,FALSE)))+IF(AND($N51&lt;&gt;"",$N51&lt;&gt;"O3/CP",$N$15=F$18,MID($N51,4,1)="2",$N$15&lt;&gt;$N$14),VLOOKUP(CONCATENATE(LEFT($N51,2),"L"),$R$63:$T$91,3,FALSE),0)+IF(AND($N51="O3/CP",$N$14=F$18),VLOOKUP("O3",$R$63:$T$91,3,FALSE)+VLOOKUP("CP",$R$63:$T$91,3,FALSE),0)+IF(AND($O51&lt;&gt;"",$O51&lt;&gt;"--",$O51&lt;&gt;"O3/CP",$O$14=F$18),IF(LEFT($O51,1)="P",VLOOKUP(CONCATENATE(LEFT($O51,2),"H"),$R$63:$T$91,3,FALSE),VLOOKUP($O51,$R$63:$T$91,3,FALSE)))+IF(AND($O51&lt;&gt;"",$O51&lt;&gt;"O3/CP",$O$15=F$18,MID($O51,4,1)="2",$O$15&lt;&gt;$O$14),VLOOKUP(CONCATENATE(LEFT($O51,2),"L"),$R$63:$T$91,3,FALSE),0)+IF(AND($O51="O3/CP",$O$14=F$18),VLOOKUP("O3",$R$63:$T$91,3,FALSE)+VLOOKUP("CP",$R$63:$T$91,3,FALSE),0)+IF(AND($P51&lt;&gt;"",$P51&lt;&gt;"--",$P51&lt;&gt;"O3/CP",$P$14=F$18),IF(LEFT($P51,1)="P",VLOOKUP(CONCATENATE(LEFT($P51,2),"H"),$R$63:$T$91,3,FALSE),VLOOKUP($P51,$R$63:$T$91,3,FALSE)))+IF(AND($P51&lt;&gt;"",$P51&lt;&gt;"O3/CP",$P$15=F$18,MID($P51,4,1)="2",$P$15&lt;&gt;$P$14),VLOOKUP(CONCATENATE(LEFT($P51,2),"L"),$R$63:$T$91,3,FALSE),0)+IF(AND($P51="O3/CP",$P$14=F$18),VLOOKUP("O3",$R$63:$T$91,3,FALSE)+VLOOKUP("CP",$R$63:$T$91,3,FALSE),0)+IF(AND($Q51&lt;&gt;"",$Q51&lt;&gt;"--",$Q51&lt;&gt;"O3/CP",$Q$14=F$18),IF(LEFT($Q51,1)="P",VLOOKUP(CONCATENATE(LEFT($Q51,2),"H"),$R$63:$T$91,3,FALSE),VLOOKUP($Q51,$R$63:$T$91,3,FALSE)))+IF(AND($Q51&lt;&gt;"",$Q51&lt;&gt;"O3/CP",$Q$15=F$18,MID($Q51,4,1)="2",$Q$15&lt;&gt;$Q$14),VLOOKUP(CONCATENATE(LEFT($Q51,2),"L"),$R$63:$T$91,3,FALSE),0)+IF(AND($Q51="O3/CP",$Q$14=F$18),VLOOKUP("O3",$R$63:$T$91,3,FALSE)+VLOOKUP("CP",$R$63:$T$91,3,FALSE),0)+IF(AND($R51&lt;&gt;"",$R51&lt;&gt;"--",$R51&lt;&gt;"O3/CP",$R$14=F$18),IF(LEFT($R51,1)="P",VLOOKUP(CONCATENATE(LEFT($R51,2),"H"),$R$63:$T$91,3,FALSE),VLOOKUP($R51,$R$63:$T$91,3,FALSE)))+IF(AND($R51&lt;&gt;"",$R51&lt;&gt;"O3/CP",$R$15=F$18,MID($R51,4,1)="2",$R$15&lt;&gt;$R$14),VLOOKUP(CONCATENATE(LEFT($R51,2),"L"),$R$63:$T$91,3,FALSE),0)+IF(AND($R51="O3/CP",$R$14=F$18),VLOOKUP("O3",$R$63:$T$91,3,FALSE)+VLOOKUP("CP",$R$63:$T$91,3,FALSE),0)+IF(AND($S51&lt;&gt;"",$S51&lt;&gt;"--",$S51&lt;&gt;"O3/CP",$S$14=F$18),IF(LEFT($S51,1)="P",VLOOKUP(CONCATENATE(LEFT($S51,2),"H"),$R$63:$T$91,3,FALSE),VLOOKUP($S51,$R$63:$T$91,3,FALSE)))+IF(AND($S51&lt;&gt;"",$S51&lt;&gt;"O3/CP",$S$15=F$18,MID($S51,4,1)="2",$S$15&lt;&gt;$S$14),VLOOKUP(CONCATENATE(LEFT($S51,2),"L"),$R$63:$T$91,3,FALSE),0)+IF(AND($S51="O3/CP",$S$14=F$18),VLOOKUP("O3",$R$63:$T$91,3,FALSE)+VLOOKUP("CP",$R$63:$T$91,3,FALSE),0)+IF(AND($T51&lt;&gt;"",$T51&lt;&gt;"--",$T51&lt;&gt;"O3/CP",$T$14=F$18),IF(LEFT($T51,1)="P",VLOOKUP(CONCATENATE(LEFT($T51,2),"H"),$R$63:$T$91,3,FALSE),VLOOKUP($T51,$R$63:$T$91,3,FALSE)))+IF(AND($T51&lt;&gt;"",$T51&lt;&gt;"O3/CP",$T$15=F$18,MID($T51,4,1)="2",$T$15&lt;&gt;$T$14),VLOOKUP(CONCATENATE(LEFT($T51,2),"L"),$R$63:$T$91,3,FALSE),0)+IF(AND($T51="O3/CP",$T$14=F$18),VLOOKUP("O3",$R$63:$T$91,3,FALSE)+VLOOKUP("CP",$R$63:$T$91,3,FALSE),0)+IF(AND($U51&lt;&gt;"",$U51&lt;&gt;"--",$U51&lt;&gt;"O3/CP",$U$14=F$18),IF(LEFT($U51,1)="P",VLOOKUP(CONCATENATE(LEFT($U51,2),"H"),$R$63:$T$91,3,FALSE),VLOOKUP($U51,$R$63:$T$91,3,FALSE)))+IF(AND($U51&lt;&gt;"",$U51&lt;&gt;"O3/CP",$U$15=F$18,MID($U51,4,1)="2",$U$15&lt;&gt;$U$14),VLOOKUP(CONCATENATE(LEFT($U51,2),"L"),$R$63:$T$91,3,FALSE),0)+IF(AND($U51="O3/CP",$T$14=F$18),VLOOKUP("O3",$R$63:$T$91,3,FALSE)+VLOOKUP("CP",$R$63:$T$91,3,FALSE),0)+IF(AND($V51&lt;&gt;"",$V51&lt;&gt;"--",$V51&lt;&gt;"O3/CP",$V$14=F$18),IF(LEFT($V51,1)="P",VLOOKUP(CONCATENATE(LEFT($V51,2),"H"),$R$63:$T$91,3,FALSE),VLOOKUP($V51,$R$63:$T$91,3,FALSE)))+IF(AND($V51&lt;&gt;"",$V51&lt;&gt;"O3/CP",$V$15=F$18,MID($V51,4,1)="2",$V$15&lt;&gt;$V$14),VLOOKUP(CONCATENATE(LEFT($V51,2),"L"),$R$63:$T$91,3,FALSE),0)+IF(AND($V51="O3/CP",$V$14=F$18),VLOOKUP("O3",$R$63:$T$91,3,FALSE)+VLOOKUP("CP",$R$63:$T$91,3,FALSE),0)+IF(AND($W51&lt;&gt;"",$W51&lt;&gt;"--",$W51&lt;&gt;"O3/CP",$W$14=F$18),IF(LEFT($W51,1)="P",VLOOKUP(CONCATENATE(LEFT($W51,2),"H"),$R$63:$T$91,3,FALSE),VLOOKUP($W51,$R$63:$T$91,3,FALSE)))+IF(AND($W51&lt;&gt;"",$W51&lt;&gt;"O3/CP",$W$15=F$18,MID($W51,4,1)="2",$W$15&lt;&gt;$W$14),VLOOKUP(CONCATENATE(LEFT($W51,2),"L"),$R$63:$T$91,3,FALSE),0)+IF(AND($W51="O3/CP",$W$14=F$18),VLOOKUP("O3",$R$63:$T$91,3,FALSE)+VLOOKUP("CP",$R$63:$T$91,3,FALSE),0)+IF(AND($X51&lt;&gt;"",$X51&lt;&gt;"--",$X51&lt;&gt;"O3/CP",$X$14=F$18),IF(LEFT($X51,1)="P",VLOOKUP(CONCATENATE(LEFT($X51,2),"H"),$R$63:$T$91,3,FALSE),VLOOKUP($X51,$R$63:$T$91,3,FALSE)))+IF(AND($X51&lt;&gt;"",$X51&lt;&gt;"O3/CP",$X$15=F$18,MID($X51,4,1)="2",$X$15&lt;&gt;$X$14),VLOOKUP(CONCATENATE(LEFT($X51,2),"L"),$R$63:$T$91,3,FALSE),0)+IF(AND($X51="O3/CP",$X$14=F$18),VLOOKUP("O3",$R$63:$T$91,3,FALSE)+VLOOKUP("CP",$R$63:$T$91,3,FALSE),0)+IF(AND($Y51&lt;&gt;"",$Y51&lt;&gt;"--",$Y51&lt;&gt;"O3/CP",$Y$14=F$18),IF(LEFT($Y51,1)="P",VLOOKUP(CONCATENATE(LEFT($Y51,2),"H"),$R$63:$T$91,3,FALSE),VLOOKUP($Y51,$R$63:$T$91,3,FALSE)))+IF(AND($Y51&lt;&gt;"",$Y51&lt;&gt;"O3/CP",$Y$15=F$18,MID($Y51,4,1)="2",$Y$15&lt;&gt;$Y$14),VLOOKUP(CONCATENATE(LEFT($Y51,2),"L"),$R$63:$T$91,3,FALSE),0)+IF(AND($Y51="O3/CP",$Y$14=F$18),VLOOKUP("O3",$R$63:$T$91,3,FALSE)+VLOOKUP("CP",$R$63:$T$91,3,FALSE),0)+IF(AND($K$6="CE",'[3]Supply Attribution'!$G$20=F$18),LEFT($S$90,2),0)+IF(AND($X$86&lt;&gt;"Not Set",$X$87=F$18),$X$86,0)</f>
        <v>0</v>
      </c>
      <c r="G51" s="271">
        <f>IF(AND($K$6="CE",$T$59="1 Phase"),SUM(A51:F51)-IF(AND($K$14&lt;&gt;$K$15,RIGHT($K51,3)="2SP"),VLOOKUP(CONCATENATE(LEFT($K51,2),"L"),$R$63:$T$90,3,FALSE),0)-IF(AND($L$14&lt;&gt;$L$15,RIGHT($L51,3)="2SP"),VLOOKUP(CONCATENATE(LEFT($L51,2),"L"),$R$63:$T$90,3,FALSE),0)-IF(AND($M$14&lt;&gt;$M$15,RIGHT($M51,3)="2SP"),VLOOKUP(CONCATENATE(LEFT($M51,2),"L"),$R$63:$T$90,3,FALSE),0)-IF(AND($N$14&lt;&gt;$N$15,RIGHT($N51,3)="2SP"),VLOOKUP(CONCATENATE(LEFT($N51,2),"L"),$R$63:$T$90,3,FALSE),0)-IF(AND($O$14&lt;&gt;$O$15,RIGHT($O51,3)="2SP"),VLOOKUP(CONCATENATE(LEFT($O51,2),"L"),$R$63:$T$90,3,FALSE),0)-IF(AND($P$14&lt;&gt;$P$15,RIGHT($P51,3)="2SP"),VLOOKUP(CONCATENATE(LEFT($P51,2),"L"),$R$63:$T$90,3,FALSE),0)-IF(AND($Q$14&lt;&gt;$Q$15,RIGHT($Q51,3)="2SP"),VLOOKUP(CONCATENATE(LEFT($Q51,2),"L"),$R$63:$T$90,3,FALSE),0)-IF(AND($R$14&lt;&gt;$R$15,RIGHT($T51,3)="2SP"),VLOOKUP(CONCATENATE(LEFT($R51,2),"L"),$R$63:$T$90,3,FALSE),0)-IF(AND($S$14&lt;&gt;$S$15,RIGHT($T51,3)="2SP"),VLOOKUP(CONCATENATE(LEFT($S51,2),"L"),$R$63:$T$90,3,FALSE),0)-IF(AND($T$14&lt;&gt;$T$15,RIGHT($T51,3)="2SP"),VLOOKUP(CONCATENATE(LEFT($T51,2),"L"),$R$63:$T$90,3,FALSE),0)-IF(AND($U$14&lt;&gt;$U$15,RIGHT($U51,3)="2SP"),VLOOKUP(CONCATENATE(LEFT($U51,2),"L"),$R$63:$T$90,3,FALSE),0)-IF(AND($V$14&lt;&gt;$V$15,RIGHT($V51,3)="2SP"),VLOOKUP(CONCATENATE(LEFT($V51,2),"L"),$R$63:$T$90,3,FALSE),0)-IF(AND($W$14&lt;&gt;$W$15,RIGHT($W51,3)="2SP"),VLOOKUP(CONCATENATE(LEFT($W51,2),"L"),$R$63:$T$90,3,FALSE),0)-IF(AND($X$14&lt;&gt;$X$15,RIGHT($X51,3)="2SP"),VLOOKUP(CONCATENATE(LEFT($X51,2),"L"),$R$63:$T$90,3,FALSE),0)-IF(AND($Y$14&lt;&gt;$Y$15,RIGHT($Y51,3)="2SP"),VLOOKUP(CONCATENATE(LEFT($Y51,2),"L"),$R$63:$T$90,3,FALSE),0),IF(VLOOKUP(CONCATENATE($A$18,"Line"),'[3]Supply Attribution'!$F$31:$G$37,2,FALSE)=G$18,$A51,0)+IF(VLOOKUP(CONCATENATE($B$18,"Line"),'[3]Supply Attribution'!$F$31:$G$37,2,FALSE)=G$18,$B51,0)+IF(VLOOKUP(CONCATENATE($C$18,"Line"),'[3]Supply Attribution'!$F$31:$G$37,2,FALSE)=G$18,$C51,0)+IF(VLOOKUP(CONCATENATE($D$18,"Line"),'[3]Supply Attribution'!$F$31:$G$37,2,FALSE)=G$18,$D51,0)+IF(VLOOKUP(CONCATENATE($E$18,"Line"),'[3]Supply Attribution'!$F$31:$G$37,2,FALSE)=G$18,$E51,0)+IF(VLOOKUP(CONCATENATE($F$18,"Line"),'[3]Supply Attribution'!$F$31:$G$37,2,FALSE)=G$18,$F51,0)+IF($K$6="UL",LEFT($S$90,2),0)-IF(AND($K$16=G$18,$K$14&lt;&gt;$K$15,$K$16=$K$17,RIGHT($K51,3)="2SP"),VLOOKUP(CONCATENATE(LEFT($K51,2),"L"),$R$63:$T$90,3,FALSE),0)-IF(AND($L$16=G$18,$L$14&lt;&gt;$L$15,$L$16=$L$17,RIGHT($L51,3)="2SP"),VLOOKUP(CONCATENATE(LEFT($L51,2),"L"),$R$63:$T$90,3,FALSE),0)-IF(AND($M$16=G$18,$M$14&lt;&gt;$M$15,$M$16=$M$17,RIGHT($M51,3)="2SP"),VLOOKUP(CONCATENATE(LEFT($M51,2),"L"),$R$63:$T$90,3,FALSE),0)-IF(AND($N$16=G$18,$N$14&lt;&gt;$N$15,$N$16=$N$17,RIGHT($N51,3)="2SP"),VLOOKUP(CONCATENATE(LEFT($N51,2),"L"),$R$63:$T$90,3,FALSE),0)-IF(AND($O$16=G$18,$O$14&lt;&gt;$O$15,$O$16=$O$17,RIGHT($O51,3)="2SP"),VLOOKUP(CONCATENATE(LEFT($O51,2),"L"),$R$63:$T$90,3,FALSE),0)-IF(AND($P$16=G$18,$P$14&lt;&gt;$P$15,$P$16=$P$17,RIGHT($P51,3)="2SP"),VLOOKUP(CONCATENATE(LEFT($P51,2),"L"),$R$63:$T$90,3,FALSE),0)-IF(AND($Q$16=G$18,$Q$14&lt;&gt;$Q$15,$Q$16=$Q$17,RIGHT($Q51,3)="2SP"),VLOOKUP(CONCATENATE(LEFT($Q51,2),"L"),$R$63:$T$90,3,FALSE),0)-IF(AND($R$16=G$18,$R$14&lt;&gt;$R$15,$R$16=$R$17,RIGHT($R51,3)="2SP"),VLOOKUP(CONCATENATE(LEFT($R51,2),"L"),$R$63:$T$90,3,FALSE),0)-IF(AND($S$16=G$18,$S$14&lt;&gt;$S$15,$S$16=$S$17,RIGHT($S51,3)="2SP"),VLOOKUP(CONCATENATE(LEFT($S51,2),"L"),$R$63:$T$90,3,FALSE),0)-IF(AND($T$16=G$18,$T$14&lt;&gt;$T$15,$T$16=$T$17,RIGHT($T51,3)="2SP"),VLOOKUP(CONCATENATE(LEFT($T51,2),"L"),$R$63:$T$90,3,FALSE),0)-IF(AND($U$16=G$18,$U$14&lt;&gt;$U$15,$U$16=$U$17,RIGHT($U51,3)="2SP"),VLOOKUP(CONCATENATE(LEFT($U51,2),"L"),$R$63:$T$90,3,FALSE),0)-IF(AND($V$16=G$18,$V$14&lt;&gt;$V$15,$V$16=$V$17,RIGHT($V51,3)="2SP"),VLOOKUP(CONCATENATE(LEFT($V51,2),"L"),$R$63:$T$90,3,FALSE),0)-IF(AND($W$16=G$18,$W$14&lt;&gt;$W$15,$W$16=$W$17,RIGHT($W51,3)="2SP"),VLOOKUP(CONCATENATE(LEFT($W51,2),"L"),$R$63:$T$90,3,FALSE),0)-IF(AND($X$16=G$18,$X$14&lt;&gt;$X$15,$X$16=$X$17,RIGHT($X51,3)="2SP"),VLOOKUP(CONCATENATE(LEFT($X51,2),"L"),$R$63:$T$90,3,FALSE),0)-IF(AND($Y$16=G$18,$Y$14&lt;&gt;$Y$15,$Y$16=$Y$17,RIGHT($Y51,3)="2SP"),VLOOKUP(CONCATENATE(LEFT($Y51,2),"L"),$R$63:$T$90,3,FALSE),0))</f>
        <v>17</v>
      </c>
      <c r="H51" s="271" t="str">
        <f>IF(H$18&lt;&gt;"",IF(VLOOKUP(CONCATENATE($A$18,"Line"),'Supply Attribution'!$F$31:$G$37,2,FALSE)=H$18,$A51,0)+IF(VLOOKUP(CONCATENATE($B$18,"Line"),'Supply Attribution'!$F$31:$G$37,2,FALSE)=H$18,$B51,0)+IF(VLOOKUP(CONCATENATE($C$18,"Line"),'Supply Attribution'!$F$31:$G$37,2,FALSE)=H$18,$C51,0)+IF(VLOOKUP(CONCATENATE($D$18,"Line"),'Supply Attribution'!$F$31:$G$37,2,FALSE)=H$18,$D51,0)+IF(VLOOKUP(CONCATENATE($E$18,"Line"),'Supply Attribution'!$F$31:$G$37,2,FALSE)=H$18,$E51,0)+IF(VLOOKUP(CONCATENATE($F$18,"Line"),'Supply Attribution'!$F$31:$G$37,2,FALSE)=H$18,$F51,0)+IF($K$6="UL",LEFT($S$90,2),0)-IF(AND($K$16=H$18,$K$14&lt;&gt;$K$15,$K$16=$K$17,RIGHT($K51,3)="2SP"),VLOOKUP(CONCATENATE(LEFT($K51,2),"L"),$R$63:$T$90,3,FALSE),0)-IF(AND($L$16=H$18,$L$14&lt;&gt;$L$15,$L$16=$L$17,RIGHT($L51,3)="2SP"),VLOOKUP(CONCATENATE(LEFT($L51,2),"L"),$R$63:$T$90,3,FALSE),0)-IF(AND($M$16=H$18,$M$14&lt;&gt;$M$15,$M$16=$M$17,RIGHT($M51,3)="2SP"),VLOOKUP(CONCATENATE(LEFT($M51,2),"L"),$R$63:$T$90,3,FALSE),0)-IF(AND($N$16=H$18,$N$14&lt;&gt;$N$15,$N$16=$N$17,RIGHT($N51,3)="2SP"),VLOOKUP(CONCATENATE(LEFT($N51,2),"L"),$R$63:$T$90,3,FALSE),0)-IF(AND($O$16=H$18,$O$14&lt;&gt;$O$15,$O$16=$O$17,RIGHT($O51,3)="2SP"),VLOOKUP(CONCATENATE(LEFT($O51,2),"L"),$R$63:$T$90,3,FALSE),0)-IF(AND($P$16=H$18,$P$14&lt;&gt;$P$15,$P$16=$P$17,RIGHT($P51,3)="2SP"),VLOOKUP(CONCATENATE(LEFT($P51,2),"L"),$R$63:$T$90,3,FALSE),0)-IF(AND($Q$16=H$18,$Q$14&lt;&gt;$Q$15,$Q$16=$Q$17,RIGHT($Q51,3)="2SP"),VLOOKUP(CONCATENATE(LEFT($Q51,2),"L"),$R$63:$T$90,3,FALSE),0)-IF(AND($T$16=H$18,$T$14&lt;&gt;$T$15,$T$16=$T$17,RIGHT($T51,3)="2SP"),VLOOKUP(CONCATENATE(LEFT($T51,2),"L"),$R$63:$T$90,3,FALSE),0)-IF(AND($U$16=H$18,$U$14&lt;&gt;$U$15,$U$16=$U$17,RIGHT($U51,3)="2SP"),VLOOKUP(CONCATENATE(LEFT($U51,2),"L"),$R$63:$T$90,3,FALSE),0)-IF(AND($V$16=H$18,$V$14&lt;&gt;$V$15,$V$16=$V$17,RIGHT($V51,3)="2SP"),VLOOKUP(CONCATENATE(LEFT($V51,2),"L"),$R$63:$T$90,3,FALSE),0)-IF(AND($W$16=H$18,$W$14&lt;&gt;$W$15,$W$16=$W$17,RIGHT($W51,3)="2SP"),VLOOKUP(CONCATENATE(LEFT($W51,2),"L"),$R$63:$T$90,3,FALSE),0)-IF(AND($X$16=H$18,$X$14&lt;&gt;$X$15,$X$16=$X$17,RIGHT($X51,3)="2SP"),VLOOKUP(CONCATENATE(LEFT($X51,2),"L"),$R$63:$T$90,3,FALSE),0)-IF(AND($Y$16=H$18,$Y$14&lt;&gt;$Y$15,$Y$16=$Y$17,RIGHT($Y51,3)="2SP"),VLOOKUP(CONCATENATE(LEFT($Y51,2),"L"),$R$63:$T$90,3,FALSE),0)+IF(AND($K$6="CE",$T$59="2 Phases",H$18&lt;&gt;""),IF(VLOOKUP(CONCATENATE($A$18,"Line"),'Supply Attribution'!$F$31:$G$37,2,FALSE)="Line3",$A51,0)+IF(VLOOKUP(CONCATENATE($B$18,"Line"),'Supply Attribution'!$F$31:$G$37,2,FALSE)="Line3",$B51,0)+IF(VLOOKUP(CONCATENATE($C$18,"Line"),'Supply Attribution'!$F$31:$G$37,2,FALSE)="Line3",$C51,0)+IF(VLOOKUP(CONCATENATE($D$18,"Line"),'Supply Attribution'!$F$31:$G$37,2,FALSE)="Line3",$D51,0)+IF(VLOOKUP(CONCATENATE($E$18,"Line"),'Supply Attribution'!$F$31:$G$37,2,FALSE)="Line3",$E51,0)+IF(VLOOKUP(CONCATENATE($F$18,"Line"),'Supply Attribution'!$F$31:$G$37,2,FALSE)="Line3",$F51,0)-IF(AND($K$16=I$18,$K$14&lt;&gt;$K$15,$K$16=$K$17,RIGHT($K51,3)="2SP"),VLOOKUP(CONCATENATE(LEFT($K51,2),"L"),$R$63:$T$90,3,FALSE),0)-IF(AND($L$16=I$18,$L$14&lt;&gt;$L$15,$L$16=$L$17,RIGHT($L51,3)="2SP"),VLOOKUP(CONCATENATE(LEFT($L51,2),"L"),$R$63:$T$90,3,FALSE),0)-IF(AND($M$16=I$18,$M$14&lt;&gt;$M$15,$M$16=$M$17,RIGHT($M51,3)="2SP"),VLOOKUP(CONCATENATE(LEFT($M51,2),"L"),$R$63:$T$90,3,FALSE),0)-IF(AND($N$16=I$18,$N$14&lt;&gt;$N$15,$N$16=$N$17,RIGHT($N51,3)="2SP"),VLOOKUP(CONCATENATE(LEFT($N51,2),"L"),$R$63:$T$90,3,FALSE),0)-IF(AND($O$16=I$18,$O$14&lt;&gt;$O$15,$O$16=$O$17,RIGHT($O51,3)="2SP"),VLOOKUP(CONCATENATE(LEFT($O51,2),"L"),$R$63:$T$90,3,FALSE),0)-IF(AND($P$16=I$18,$P$14&lt;&gt;$P$15,$P$16=$P$17,RIGHT($P51,3)="2SP"),VLOOKUP(CONCATENATE(LEFT($P51,2),"L"),$R$63:$T$90,3,FALSE),0)-IF(AND($Q$16=I$18,$Q$14&lt;&gt;$Q$15,$Q$16=$Q$17,RIGHT($Q51,3)="2SP"),VLOOKUP(CONCATENATE(LEFT($Q51,2),"L"),$R$63:$T$90,3,FALSE),0)-IF(AND($T$16=I$18,$T$14&lt;&gt;$T$15,$T$16=$T$17,RIGHT($T51,3)="2SP"),VLOOKUP(CONCATENATE(LEFT($T51,2),"L"),$R$63:$T$90,3,FALSE),0)-IF(AND($U$16=I$18,$U$14&lt;&gt;$U$15,$U$16=$U$17,RIGHT($U51,3)="2SP"),VLOOKUP(CONCATENATE(LEFT($U51,2),"L"),$R$63:$T$90,3,FALSE),0)-IF(AND($V$16=I$18,$V$14&lt;&gt;$V$15,$V$16=$V$17,RIGHT($V51,3)="2SP"),VLOOKUP(CONCATENATE(LEFT($V51,2),"L"),$R$63:$T$90,3,FALSE),0)-IF(AND($W$16=I$18,$W$14&lt;&gt;$W$15,$W$16=$W$17,RIGHT($W51,3)="2SP"),VLOOKUP(CONCATENATE(LEFT($W51,2),"L"),$R$63:$T$90,3,FALSE),0)-IF(AND($X$16=I$18,$X$14&lt;&gt;$X$15,$X$16=$X$17,RIGHT($X51,3)="2SP"),VLOOKUP(CONCATENATE(LEFT($X51,2),"L"),$R$63:$T$90,3,FALSE),0)-IF(AND($Y$16=I$18,$Y$14&lt;&gt;$Y$15,$Y$16=$Y$17,RIGHT($Y51,3)="2SP"),VLOOKUP(CONCATENATE(LEFT($Y51,2),"L"),$R$63:$T$90,3,FALSE),0),0),"")</f>
        <v/>
      </c>
      <c r="I51" s="271" t="str">
        <f>IF(I$18&lt;&gt;"",IF(VLOOKUP(CONCATENATE($A$18,"Line"),'Supply Attribution'!$F$31:$G$37,2,FALSE)=I$18,$A51,0)+IF(VLOOKUP(CONCATENATE($B$18,"Line"),'Supply Attribution'!$F$31:$G$37,2,FALSE)=I$18,$B51,0)+IF(VLOOKUP(CONCATENATE($C$18,"Line"),'Supply Attribution'!$F$31:$G$37,2,FALSE)=I$18,$C51,0)+IF(VLOOKUP(CONCATENATE($D$18,"Line"),'Supply Attribution'!$F$31:$G$37,2,FALSE)=I$18,$D51,0)+IF(VLOOKUP(CONCATENATE($E$18,"Line"),'Supply Attribution'!$F$31:$G$37,2,FALSE)=I$18,$E51,0)+IF(VLOOKUP(CONCATENATE($F$18,"Line"),'Supply Attribution'!$F$31:$G$37,2,FALSE)=I$18,$F51,0)+IF($K$6="UL",LEFT($S$90,2),0)-IF(AND($K$16=I$18,$K$14&lt;&gt;$K$15,$K$16=$K$17,RIGHT($K51,3)="2SP"),VLOOKUP(CONCATENATE(LEFT($K51,2),"L"),$R$63:$T$90,3,FALSE),0)-IF(AND($L$16=I$18,$L$14&lt;&gt;$L$15,$L$16=$L$17,RIGHT($L51,3)="2SP"),VLOOKUP(CONCATENATE(LEFT($L51,2),"L"),$R$63:$T$90,3,FALSE),0)-IF(AND($M$16=I$18,$M$14&lt;&gt;$M$15,$M$16=$M$17,RIGHT($M51,3)="2SP"),VLOOKUP(CONCATENATE(LEFT($M51,2),"L"),$R$63:$T$90,3,FALSE),0)-IF(AND($N$16=I$18,$N$14&lt;&gt;$N$15,$N$16=$N$17,RIGHT($N51,3)="2SP"),VLOOKUP(CONCATENATE(LEFT($N51,2),"L"),$R$63:$T$90,3,FALSE),0)-IF(AND($O$16=I$18,$O$14&lt;&gt;$O$15,$O$16=$O$17,RIGHT($O51,3)="2SP"),VLOOKUP(CONCATENATE(LEFT($O51,2),"L"),$R$63:$T$90,3,FALSE),0)-IF(AND($P$16=I$18,$P$14&lt;&gt;$P$15,$P$16=$P$17,RIGHT($P51,3)="2SP"),VLOOKUP(CONCATENATE(LEFT($P51,2),"L"),$R$63:$T$90,3,FALSE),0)-IF(AND($Q$16=I$18,$Q$14&lt;&gt;$Q$15,$Q$16=$Q$17,RIGHT($Q51,3)="2SP"),VLOOKUP(CONCATENATE(LEFT($Q51,2),"L"),$R$63:$T$90,3,FALSE),0)-IF(AND($T$16=I$18,$T$14&lt;&gt;$T$15,$T$16=$T$17,RIGHT($T51,3)="2SP"),VLOOKUP(CONCATENATE(LEFT($T51,2),"L"),$R$63:$T$90,3,FALSE),0)-IF(AND($U$16=I$18,$U$14&lt;&gt;$U$15,$U$16=$U$17,RIGHT($U51,3)="2SP"),VLOOKUP(CONCATENATE(LEFT($U51,2),"L"),$R$63:$T$90,3,FALSE),0)-IF(AND($V$16=I$18,$V$14&lt;&gt;$V$15,$V$16=$V$17,RIGHT($V51,3)="2SP"),VLOOKUP(CONCATENATE(LEFT($V51,2),"L"),$R$63:$T$90,3,FALSE),0)-IF(AND($W$16=I$18,$W$14&lt;&gt;$W$15,$W$16=$W$17,RIGHT($W51,3)="2SP"),VLOOKUP(CONCATENATE(LEFT($W51,2),"L"),$R$63:$T$90,3,FALSE),0)-IF(AND($X$16=I$18,$X$14&lt;&gt;$X$15,$X$16=$X$17,RIGHT($X51,3)="2SP"),VLOOKUP(CONCATENATE(LEFT($X51,2),"L"),$R$63:$T$90,3,FALSE),0)-IF(AND($Y$16=I$18,$Y$14&lt;&gt;$Y$15,$Y$16=$Y$17,RIGHT($Y51,3)="2SP"),VLOOKUP(CONCATENATE(LEFT($Y51,2),"L"),$R$63:$T$90,3,FALSE),0),"")</f>
        <v/>
      </c>
      <c r="J51" s="129"/>
      <c r="K51" s="130"/>
      <c r="L51" s="130"/>
      <c r="M51" s="130"/>
      <c r="N51" s="130"/>
      <c r="O51" s="130"/>
      <c r="P51" s="130"/>
      <c r="Q51" s="130"/>
      <c r="R51" s="130"/>
      <c r="S51" s="130"/>
      <c r="T51" s="130"/>
      <c r="U51" s="130"/>
      <c r="V51" s="130"/>
      <c r="W51" s="130"/>
      <c r="X51" s="130"/>
      <c r="Y51" s="130"/>
      <c r="Z51" s="131"/>
      <c r="AA51" s="131"/>
      <c r="AB51" s="132"/>
      <c r="AC51" s="132"/>
      <c r="AD51" s="132"/>
      <c r="AE51" s="133">
        <f t="shared" si="0"/>
        <v>0</v>
      </c>
      <c r="AF51" s="78"/>
    </row>
    <row r="52" spans="1:32">
      <c r="A52" s="270">
        <f>IF(AND($K52&lt;&gt;"",$K52&lt;&gt;"--",$K52&lt;&gt;"O3/CP",$K$14=A$18),IF(LEFT($K52,1)="P",VLOOKUP(CONCATENATE(LEFT($K52,2),"H"),$R$63:$T$91,3,FALSE),VLOOKUP($K52,$R$63:$T$91,3,FALSE)))+IF(AND($K52&lt;&gt;"",$K52&lt;&gt;"O3/CP",$K$15=A$18,MID($K52,4,1)="2",$K$15&lt;&gt;$K$14),VLOOKUP(CONCATENATE(LEFT($K52,2),"L"),$R$63:$T$91,3,FALSE),0)+IF(AND($K52="O3/CP",$K$14=A$18),VLOOKUP("O3",$R$63:$T$91,3,FALSE)+VLOOKUP("CP",$R$63:$T$91,3,FALSE),0)+IF(AND($L52&lt;&gt;"",$L52&lt;&gt;"--",$L52&lt;&gt;"O3/CP",$L$14=A$18),IF(LEFT($L52,1)="P",VLOOKUP(CONCATENATE(LEFT($L52,2),"H"),$R$63:$T$91,3,FALSE),VLOOKUP($L52,$R$63:$T$91,3,FALSE)))+IF(AND($L52&lt;&gt;"",$L52&lt;&gt;"O3/CP",$L$15=A$18,MID($L52,4,1)="2",$L$15&lt;&gt;$L$14),VLOOKUP(CONCATENATE(LEFT($L52,2),"L"),$R$63:$T$91,3,FALSE),0)+IF(AND($L52="O3/CP",$L$14=A$18),VLOOKUP("O3",$R$63:$T$91,3,FALSE)+VLOOKUP("CP",$R$63:$T$91,3,FALSE),0)+IF(AND($M52&lt;&gt;"",$M52&lt;&gt;"--",$M52&lt;&gt;"O3/CP",$M$14=A$18),IF(LEFT($M52,1)="P",VLOOKUP(CONCATENATE(LEFT($M52,2),"H"),$R$63:$T$91,3,FALSE),VLOOKUP($M52,$R$63:$T$91,3,FALSE)))+IF(AND($M52&lt;&gt;"",$M52&lt;&gt;"O3/CP",$M$15=A$18,MID($M52,4,1)="2",$M$15&lt;&gt;$M$14),VLOOKUP(CONCATENATE(LEFT($M52,2),"L"),$R$63:$T$91,3,FALSE),0)+IF(AND($M52="O3/CP",$M$14=A$18),VLOOKUP("O3",$R$63:$T$91,3,FALSE)+VLOOKUP("CP",$R$63:$T$91,3,FALSE),0)+IF(AND($N52&lt;&gt;"",$N52&lt;&gt;"--",$N52&lt;&gt;"O3/CP",$N$14=A$18),IF(LEFT($N52,1)="P",VLOOKUP(CONCATENATE(LEFT($N52,2),"H"),$R$63:$T$91,3,FALSE),VLOOKUP($N52,$R$63:$T$91,3,FALSE)))+IF(AND($N52&lt;&gt;"",$N52&lt;&gt;"O3/CP",$N$15=A$18,MID($N52,4,1)="2",$N$15&lt;&gt;$N$14),VLOOKUP(CONCATENATE(LEFT($N52,2),"L"),$R$63:$T$91,3,FALSE),0)+IF(AND($N52="O3/CP",$N$14=A$18),VLOOKUP("O3",$R$63:$T$91,3,FALSE)+VLOOKUP("CP",$R$63:$T$91,3,FALSE),0)+IF(AND($O52&lt;&gt;"",$O52&lt;&gt;"--",$O52&lt;&gt;"O3/CP",$O$14=A$18),IF(LEFT($O52,1)="P",VLOOKUP(CONCATENATE(LEFT($O52,2),"H"),$R$63:$T$91,3,FALSE),VLOOKUP($O52,$R$63:$T$91,3,FALSE)))+IF(AND($O52&lt;&gt;"",$O52&lt;&gt;"O3/CP",$O$15=A$18,MID($O52,4,1)="2",$O$15&lt;&gt;$O$14),VLOOKUP(CONCATENATE(LEFT($O52,2),"L"),$R$63:$T$91,3,FALSE),0)+IF(AND($O52="O3/CP",$O$14=A$18),VLOOKUP("O3",$R$63:$T$91,3,FALSE)+VLOOKUP("CP",$R$63:$T$91,3,FALSE),0)+IF(AND($P52&lt;&gt;"",$P52&lt;&gt;"--",$P52&lt;&gt;"O3/CP",$P$14=A$18),IF(LEFT($P52,1)="P",VLOOKUP(CONCATENATE(LEFT($P52,2),"H"),$R$63:$T$91,3,FALSE),VLOOKUP($P52,$R$63:$T$91,3,FALSE)))+IF(AND($P52&lt;&gt;"",$P52&lt;&gt;"O3/CP",$P$15=A$18,MID($P52,4,1)="2",$P$15&lt;&gt;$P$14),VLOOKUP(CONCATENATE(LEFT($P52,2),"L"),$R$63:$T$91,3,FALSE),0)+IF(AND($P52="O3/CP",$P$14=A$18),VLOOKUP("O3",$R$63:$T$91,3,FALSE)+VLOOKUP("CP",$R$63:$T$91,3,FALSE),0)+IF(AND($Q52&lt;&gt;"",$Q52&lt;&gt;"--",$Q52&lt;&gt;"O3/CP",$Q$14=A$18),IF(LEFT($Q52,1)="P",VLOOKUP(CONCATENATE(LEFT($Q52,2),"H"),$R$63:$T$91,3,FALSE),VLOOKUP($Q52,$R$63:$T$91,3,FALSE)))+IF(AND($Q52&lt;&gt;"",$Q52&lt;&gt;"O3/CP",$Q$15=A$18,MID($Q52,4,1)="2",$Q$15&lt;&gt;$Q$14),VLOOKUP(CONCATENATE(LEFT($Q52,2),"L"),$R$63:$T$91,3,FALSE),0)+IF(AND($Q52="O3/CP",$Q$14=A$18),VLOOKUP("O3",$R$63:$T$91,3,FALSE)+VLOOKUP("CP",$R$63:$T$91,3,FALSE),0)+IF(AND($R52&lt;&gt;"",$R52&lt;&gt;"--",$R52&lt;&gt;"O3/CP",$R$14=A$18),IF(LEFT($R52,1)="P",VLOOKUP(CONCATENATE(LEFT($R52,2),"H"),$R$63:$T$91,3,FALSE),VLOOKUP($R52,$R$63:$T$91,3,FALSE)))+IF(AND($R52&lt;&gt;"",$R52&lt;&gt;"O3/CP",$R$15=A$18,MID($R52,4,1)="2",$R$15&lt;&gt;$R$14),VLOOKUP(CONCATENATE(LEFT($R52,2),"L"),$R$63:$T$91,3,FALSE),0)+IF(AND($R52="O3/CP",$R$14=A$18),VLOOKUP("O3",$R$63:$T$91,3,FALSE)+VLOOKUP("CP",$R$63:$T$91,3,FALSE),0)+IF(AND($S52&lt;&gt;"",$S52&lt;&gt;"--",$S52&lt;&gt;"O3/CP",$S$14=A$18),IF(LEFT($S52,1)="P",VLOOKUP(CONCATENATE(LEFT($S52,2),"H"),$R$63:$T$91,3,FALSE),VLOOKUP($S52,$R$63:$T$91,3,FALSE)))+IF(AND($S52&lt;&gt;"",$S52&lt;&gt;"O3/CP",$S$15=A$18,MID($S52,4,1)="2",$S$15&lt;&gt;$S$14),VLOOKUP(CONCATENATE(LEFT($S52,2),"L"),$R$63:$T$91,3,FALSE),0)+IF(AND($S52="O3/CP",$S$14=A$18),VLOOKUP("O3",$R$63:$T$91,3,FALSE)+VLOOKUP("CP",$R$63:$T$91,3,FALSE),0)+IF(AND($T52&lt;&gt;"",$T52&lt;&gt;"--",$T52&lt;&gt;"O3/CP",$T$14=A$18),IF(LEFT($T52,1)="P",VLOOKUP(CONCATENATE(LEFT($T52,2),"H"),$R$63:$T$91,3,FALSE),VLOOKUP($T52,$R$63:$T$91,3,FALSE)))+IF(AND($T52&lt;&gt;"",$T52&lt;&gt;"O3/CP",$T$15=A$18,MID($T52,4,1)="2",$T$15&lt;&gt;$T$14),VLOOKUP(CONCATENATE(LEFT($T52,2),"L"),$R$63:$T$91,3,FALSE),0)+IF(AND($T52="O3/CP",$T$14=A$18),VLOOKUP("O3",$R$63:$T$91,3,FALSE)+VLOOKUP("CP",$R$63:$T$91,3,FALSE),0)+IF(AND($U52&lt;&gt;"",$U52&lt;&gt;"--",$U52&lt;&gt;"O3/CP",$U$14=A$18),IF(LEFT($U52,1)="P",VLOOKUP(CONCATENATE(LEFT($U52,2),"H"),$R$63:$T$91,3,FALSE),VLOOKUP($U52,$R$63:$T$91,3,FALSE)))+IF(AND($U52&lt;&gt;"",$U52&lt;&gt;"O3/CP",$U$15=A$18,MID($U52,4,1)="2",$U$15&lt;&gt;$U$14),VLOOKUP(CONCATENATE(LEFT($U52,2),"L"),$R$63:$T$91,3,FALSE),0)+IF(AND($U52="O3/CP",$T$14=A$18),VLOOKUP("O3",$R$63:$T$91,3,FALSE)+VLOOKUP("CP",$R$63:$T$91,3,FALSE),0)+IF(AND($V52&lt;&gt;"",$V52&lt;&gt;"--",$V52&lt;&gt;"O3/CP",$V$14=A$18),IF(LEFT($V52,1)="P",VLOOKUP(CONCATENATE(LEFT($V52,2),"H"),$R$63:$T$91,3,FALSE),VLOOKUP($V52,$R$63:$T$91,3,FALSE)))+IF(AND($V52&lt;&gt;"",$V52&lt;&gt;"O3/CP",$V$15=A$18,MID($V52,4,1)="2",$V$15&lt;&gt;$V$14),VLOOKUP(CONCATENATE(LEFT($V52,2),"L"),$R$63:$T$91,3,FALSE),0)+IF(AND($V52="O3/CP",$V$14=A$18),VLOOKUP("O3",$R$63:$T$91,3,FALSE)+VLOOKUP("CP",$R$63:$T$91,3,FALSE),0)+IF(AND($W52&lt;&gt;"",$W52&lt;&gt;"--",$W52&lt;&gt;"O3/CP",$W$14=A$18),IF(LEFT($W52,1)="P",VLOOKUP(CONCATENATE(LEFT($W52,2),"H"),$R$63:$T$91,3,FALSE),VLOOKUP($W52,$R$63:$T$91,3,FALSE)))+IF(AND($W52&lt;&gt;"",$W52&lt;&gt;"O3/CP",$W$15=A$18,MID($W52,4,1)="2",$W$15&lt;&gt;$W$14),VLOOKUP(CONCATENATE(LEFT($W52,2),"L"),$R$63:$T$91,3,FALSE),0)+IF(AND($W52="O3/CP",$W$14=A$18),VLOOKUP("O3",$R$63:$T$91,3,FALSE)+VLOOKUP("CP",$R$63:$T$91,3,FALSE),0)+IF(AND($X52&lt;&gt;"",$X52&lt;&gt;"--",$X52&lt;&gt;"O3/CP",$X$14=A$18),IF(LEFT($X52,1)="P",VLOOKUP(CONCATENATE(LEFT($X52,2),"H"),$R$63:$T$91,3,FALSE),VLOOKUP($X52,$R$63:$T$91,3,FALSE)))+IF(AND($X52&lt;&gt;"",$X52&lt;&gt;"O3/CP",$X$15=A$18,MID($X52,4,1)="2",$X$15&lt;&gt;$X$14),VLOOKUP(CONCATENATE(LEFT($X52,2),"L"),$R$63:$T$91,3,FALSE),0)+IF(AND($X52="O3/CP",$X$14=A$18),VLOOKUP("O3",$R$63:$T$91,3,FALSE)+VLOOKUP("CP",$R$63:$T$91,3,FALSE),0)+IF(AND($Y52&lt;&gt;"",$Y52&lt;&gt;"--",$Y52&lt;&gt;"O3/CP",$Y$14=A$18),IF(LEFT($Y52,1)="P",VLOOKUP(CONCATENATE(LEFT($Y52,2),"H"),$R$63:$T$91,3,FALSE),VLOOKUP($Y52,$R$63:$T$91,3,FALSE)))+IF(AND($Y52&lt;&gt;"",$Y52&lt;&gt;"O3/CP",$Y$15=A$18,MID($Y52,4,1)="2",$Y$15&lt;&gt;$Y$14),VLOOKUP(CONCATENATE(LEFT($Y52,2),"L"),$R$63:$T$91,3,FALSE),0)+IF(AND($Y52="O3/CP",$Y$14=A$18),VLOOKUP("O3",$R$63:$T$91,3,FALSE)+VLOOKUP("CP",$R$63:$T$91,3,FALSE),0)+IF(AND($K$6="CE",'[3]Supply Attribution'!$G$20=A$18),LEFT($S$90,2),0)+IF(AND($X$86&lt;&gt;"Not Set",$X$87=A$18),$X$86,0)</f>
        <v>0</v>
      </c>
      <c r="B52" s="269">
        <f>IF(AND($K52&lt;&gt;"",$K52&lt;&gt;"--",$K52&lt;&gt;"O3/CP",$K$14=B$18),IF(LEFT($K52,1)="P",VLOOKUP(CONCATENATE(LEFT($K52,2),"H"),$R$63:$T$91,3,FALSE),VLOOKUP($K52,$R$63:$T$91,3,FALSE)))+IF(AND($K52&lt;&gt;"",$K52&lt;&gt;"O3/CP",$K$15=B$18,MID($K52,4,1)="2",$K$15&lt;&gt;$K$14),VLOOKUP(CONCATENATE(LEFT($K52,2),"L"),$R$63:$T$91,3,FALSE),0)+IF(AND($K52="O3/CP",$K$14=B$18),VLOOKUP("O3",$R$63:$T$91,3,FALSE)+VLOOKUP("CP",$R$63:$T$91,3,FALSE),0)+IF(AND($L52&lt;&gt;"",$L52&lt;&gt;"--",$L52&lt;&gt;"O3/CP",$L$14=B$18),IF(LEFT($L52,1)="P",VLOOKUP(CONCATENATE(LEFT($L52,2),"H"),$R$63:$T$91,3,FALSE),VLOOKUP($L52,$R$63:$T$91,3,FALSE)))+IF(AND($L52&lt;&gt;"",$L52&lt;&gt;"O3/CP",$L$15=B$18,MID($L52,4,1)="2",$L$15&lt;&gt;$L$14),VLOOKUP(CONCATENATE(LEFT($L52,2),"L"),$R$63:$T$91,3,FALSE),0)+IF(AND($L52="O3/CP",$L$14=B$18),VLOOKUP("O3",$R$63:$T$91,3,FALSE)+VLOOKUP("CP",$R$63:$T$91,3,FALSE),0)+IF(AND($M52&lt;&gt;"",$M52&lt;&gt;"--",$M52&lt;&gt;"O3/CP",$M$14=B$18),IF(LEFT($M52,1)="P",VLOOKUP(CONCATENATE(LEFT($M52,2),"H"),$R$63:$T$91,3,FALSE),VLOOKUP($M52,$R$63:$T$91,3,FALSE)))+IF(AND($M52&lt;&gt;"",$M52&lt;&gt;"O3/CP",$M$15=B$18,MID($M52,4,1)="2",$M$15&lt;&gt;$M$14),VLOOKUP(CONCATENATE(LEFT($M52,2),"L"),$R$63:$T$91,3,FALSE),0)+IF(AND($M52="O3/CP",$M$14=B$18),VLOOKUP("O3",$R$63:$T$91,3,FALSE)+VLOOKUP("CP",$R$63:$T$91,3,FALSE),0)+IF(AND($N52&lt;&gt;"",$N52&lt;&gt;"--",$N52&lt;&gt;"O3/CP",$N$14=B$18),IF(LEFT($N52,1)="P",VLOOKUP(CONCATENATE(LEFT($N52,2),"H"),$R$63:$T$91,3,FALSE),VLOOKUP($N52,$R$63:$T$91,3,FALSE)))+IF(AND($N52&lt;&gt;"",$N52&lt;&gt;"O3/CP",$N$15=B$18,MID($N52,4,1)="2",$N$15&lt;&gt;$N$14),VLOOKUP(CONCATENATE(LEFT($N52,2),"L"),$R$63:$T$91,3,FALSE),0)+IF(AND($N52="O3/CP",$N$14=B$18),VLOOKUP("O3",$R$63:$T$91,3,FALSE)+VLOOKUP("CP",$R$63:$T$91,3,FALSE),0)+IF(AND($O52&lt;&gt;"",$O52&lt;&gt;"--",$O52&lt;&gt;"O3/CP",$O$14=B$18),IF(LEFT($O52,1)="P",VLOOKUP(CONCATENATE(LEFT($O52,2),"H"),$R$63:$T$91,3,FALSE),VLOOKUP($O52,$R$63:$T$91,3,FALSE)))+IF(AND($O52&lt;&gt;"",$O52&lt;&gt;"O3/CP",$O$15=B$18,MID($O52,4,1)="2",$O$15&lt;&gt;$O$14),VLOOKUP(CONCATENATE(LEFT($O52,2),"L"),$R$63:$T$91,3,FALSE),0)+IF(AND($O52="O3/CP",$O$14=B$18),VLOOKUP("O3",$R$63:$T$91,3,FALSE)+VLOOKUP("CP",$R$63:$T$91,3,FALSE),0)+IF(AND($P52&lt;&gt;"",$P52&lt;&gt;"--",$P52&lt;&gt;"O3/CP",$P$14=B$18),IF(LEFT($P52,1)="P",VLOOKUP(CONCATENATE(LEFT($P52,2),"H"),$R$63:$T$91,3,FALSE),VLOOKUP($P52,$R$63:$T$91,3,FALSE)))+IF(AND($P52&lt;&gt;"",$P52&lt;&gt;"O3/CP",$P$15=B$18,MID($P52,4,1)="2",$P$15&lt;&gt;$P$14),VLOOKUP(CONCATENATE(LEFT($P52,2),"L"),$R$63:$T$91,3,FALSE),0)+IF(AND($P52="O3/CP",$P$14=B$18),VLOOKUP("O3",$R$63:$T$91,3,FALSE)+VLOOKUP("CP",$R$63:$T$91,3,FALSE),0)+IF(AND($Q52&lt;&gt;"",$Q52&lt;&gt;"--",$Q52&lt;&gt;"O3/CP",$Q$14=B$18),IF(LEFT($Q52,1)="P",VLOOKUP(CONCATENATE(LEFT($Q52,2),"H"),$R$63:$T$91,3,FALSE),VLOOKUP($Q52,$R$63:$T$91,3,FALSE)))+IF(AND($Q52&lt;&gt;"",$Q52&lt;&gt;"O3/CP",$Q$15=B$18,MID($Q52,4,1)="2",$Q$15&lt;&gt;$Q$14),VLOOKUP(CONCATENATE(LEFT($Q52,2),"L"),$R$63:$T$91,3,FALSE),0)+IF(AND($Q52="O3/CP",$Q$14=B$18),VLOOKUP("O3",$R$63:$T$91,3,FALSE)+VLOOKUP("CP",$R$63:$T$91,3,FALSE),0)+IF(AND($R52&lt;&gt;"",$R52&lt;&gt;"--",$R52&lt;&gt;"O3/CP",$R$14=B$18),IF(LEFT($R52,1)="P",VLOOKUP(CONCATENATE(LEFT($R52,2),"H"),$R$63:$T$91,3,FALSE),VLOOKUP($R52,$R$63:$T$91,3,FALSE)))+IF(AND($R52&lt;&gt;"",$R52&lt;&gt;"O3/CP",$R$15=B$18,MID($R52,4,1)="2",$R$15&lt;&gt;$R$14),VLOOKUP(CONCATENATE(LEFT($R52,2),"L"),$R$63:$T$91,3,FALSE),0)+IF(AND($R52="O3/CP",$R$14=B$18),VLOOKUP("O3",$R$63:$T$91,3,FALSE)+VLOOKUP("CP",$R$63:$T$91,3,FALSE),0)+IF(AND($S52&lt;&gt;"",$S52&lt;&gt;"--",$S52&lt;&gt;"O3/CP",$S$14=B$18),IF(LEFT($S52,1)="P",VLOOKUP(CONCATENATE(LEFT($S52,2),"H"),$R$63:$T$91,3,FALSE),VLOOKUP($S52,$R$63:$T$91,3,FALSE)))+IF(AND($S52&lt;&gt;"",$S52&lt;&gt;"O3/CP",$S$15=B$18,MID($S52,4,1)="2",$S$15&lt;&gt;$S$14),VLOOKUP(CONCATENATE(LEFT($S52,2),"L"),$R$63:$T$91,3,FALSE),0)+IF(AND($S52="O3/CP",$S$14=B$18),VLOOKUP("O3",$R$63:$T$91,3,FALSE)+VLOOKUP("CP",$R$63:$T$91,3,FALSE),0)+IF(AND($T52&lt;&gt;"",$T52&lt;&gt;"--",$T52&lt;&gt;"O3/CP",$T$14=B$18),IF(LEFT($T52,1)="P",VLOOKUP(CONCATENATE(LEFT($T52,2),"H"),$R$63:$T$91,3,FALSE),VLOOKUP($T52,$R$63:$T$91,3,FALSE)))+IF(AND($T52&lt;&gt;"",$T52&lt;&gt;"O3/CP",$T$15=B$18,MID($T52,4,1)="2",$T$15&lt;&gt;$T$14),VLOOKUP(CONCATENATE(LEFT($T52,2),"L"),$R$63:$T$91,3,FALSE),0)+IF(AND($T52="O3/CP",$T$14=B$18),VLOOKUP("O3",$R$63:$T$91,3,FALSE)+VLOOKUP("CP",$R$63:$T$91,3,FALSE),0)+IF(AND($U52&lt;&gt;"",$U52&lt;&gt;"--",$U52&lt;&gt;"O3/CP",$U$14=B$18),IF(LEFT($U52,1)="P",VLOOKUP(CONCATENATE(LEFT($U52,2),"H"),$R$63:$T$91,3,FALSE),VLOOKUP($U52,$R$63:$T$91,3,FALSE)))+IF(AND($U52&lt;&gt;"",$U52&lt;&gt;"O3/CP",$U$15=B$18,MID($U52,4,1)="2",$U$15&lt;&gt;$U$14),VLOOKUP(CONCATENATE(LEFT($U52,2),"L"),$R$63:$T$91,3,FALSE),0)+IF(AND($U52="O3/CP",$T$14=B$18),VLOOKUP("O3",$R$63:$T$91,3,FALSE)+VLOOKUP("CP",$R$63:$T$91,3,FALSE),0)+IF(AND($V52&lt;&gt;"",$V52&lt;&gt;"--",$V52&lt;&gt;"O3/CP",$V$14=B$18),IF(LEFT($V52,1)="P",VLOOKUP(CONCATENATE(LEFT($V52,2),"H"),$R$63:$T$91,3,FALSE),VLOOKUP($V52,$R$63:$T$91,3,FALSE)))+IF(AND($V52&lt;&gt;"",$V52&lt;&gt;"O3/CP",$V$15=B$18,MID($V52,4,1)="2",$V$15&lt;&gt;$V$14),VLOOKUP(CONCATENATE(LEFT($V52,2),"L"),$R$63:$T$91,3,FALSE),0)+IF(AND($V52="O3/CP",$V$14=B$18),VLOOKUP("O3",$R$63:$T$91,3,FALSE)+VLOOKUP("CP",$R$63:$T$91,3,FALSE),0)+IF(AND($W52&lt;&gt;"",$W52&lt;&gt;"--",$W52&lt;&gt;"O3/CP",$W$14=B$18),IF(LEFT($W52,1)="P",VLOOKUP(CONCATENATE(LEFT($W52,2),"H"),$R$63:$T$91,3,FALSE),VLOOKUP($W52,$R$63:$T$91,3,FALSE)))+IF(AND($W52&lt;&gt;"",$W52&lt;&gt;"O3/CP",$W$15=B$18,MID($W52,4,1)="2",$W$15&lt;&gt;$W$14),VLOOKUP(CONCATENATE(LEFT($W52,2),"L"),$R$63:$T$91,3,FALSE),0)+IF(AND($W52="O3/CP",$W$14=B$18),VLOOKUP("O3",$R$63:$T$91,3,FALSE)+VLOOKUP("CP",$R$63:$T$91,3,FALSE),0)+IF(AND($X52&lt;&gt;"",$X52&lt;&gt;"--",$X52&lt;&gt;"O3/CP",$X$14=B$18),IF(LEFT($X52,1)="P",VLOOKUP(CONCATENATE(LEFT($X52,2),"H"),$R$63:$T$91,3,FALSE),VLOOKUP($X52,$R$63:$T$91,3,FALSE)))+IF(AND($X52&lt;&gt;"",$X52&lt;&gt;"O3/CP",$X$15=B$18,MID($X52,4,1)="2",$X$15&lt;&gt;$X$14),VLOOKUP(CONCATENATE(LEFT($X52,2),"L"),$R$63:$T$91,3,FALSE),0)+IF(AND($X52="O3/CP",$X$14=B$18),VLOOKUP("O3",$R$63:$T$91,3,FALSE)+VLOOKUP("CP",$R$63:$T$91,3,FALSE),0)+IF(AND($Y52&lt;&gt;"",$Y52&lt;&gt;"--",$Y52&lt;&gt;"O3/CP",$Y$14=B$18),IF(LEFT($Y52,1)="P",VLOOKUP(CONCATENATE(LEFT($Y52,2),"H"),$R$63:$T$91,3,FALSE),VLOOKUP($Y52,$R$63:$T$91,3,FALSE)))+IF(AND($Y52&lt;&gt;"",$Y52&lt;&gt;"O3/CP",$Y$15=B$18,MID($Y52,4,1)="2",$Y$15&lt;&gt;$Y$14),VLOOKUP(CONCATENATE(LEFT($Y52,2),"L"),$R$63:$T$91,3,FALSE),0)+IF(AND($Y52="O3/CP",$Y$14=B$18),VLOOKUP("O3",$R$63:$T$91,3,FALSE)+VLOOKUP("CP",$R$63:$T$91,3,FALSE),0)+IF(AND($K$6="CE",'[3]Supply Attribution'!$G$20=B$18),LEFT($S$90,2),0)+IF(AND($X$86&lt;&gt;"Not Set",$X$87=B$18),$X$86,0)</f>
        <v>0</v>
      </c>
      <c r="C52" s="269">
        <f>IF(AND($K52&lt;&gt;"",$K52&lt;&gt;"--",$K52&lt;&gt;"O3/CP",$K$14=C$18),IF(LEFT($K52,1)="P",VLOOKUP(CONCATENATE(LEFT($K52,2),"H"),$R$63:$T$91,3,FALSE),VLOOKUP($K52,$R$63:$T$91,3,FALSE)))+IF(AND($K52&lt;&gt;"",$K52&lt;&gt;"O3/CP",$K$15=C$18,MID($K52,4,1)="2",$K$15&lt;&gt;$K$14),VLOOKUP(CONCATENATE(LEFT($K52,2),"L"),$R$63:$T$91,3,FALSE),0)+IF(AND($K52="O3/CP",$K$14=C$18),VLOOKUP("O3",$R$63:$T$91,3,FALSE)+VLOOKUP("CP",$R$63:$T$91,3,FALSE),0)+IF(AND($L52&lt;&gt;"",$L52&lt;&gt;"--",$L52&lt;&gt;"O3/CP",$L$14=C$18),IF(LEFT($L52,1)="P",VLOOKUP(CONCATENATE(LEFT($L52,2),"H"),$R$63:$T$91,3,FALSE),VLOOKUP($L52,$R$63:$T$91,3,FALSE)))+IF(AND($L52&lt;&gt;"",$L52&lt;&gt;"O3/CP",$L$15=C$18,MID($L52,4,1)="2",$L$15&lt;&gt;$L$14),VLOOKUP(CONCATENATE(LEFT($L52,2),"L"),$R$63:$T$91,3,FALSE),0)+IF(AND($L52="O3/CP",$L$14=C$18),VLOOKUP("O3",$R$63:$T$91,3,FALSE)+VLOOKUP("CP",$R$63:$T$91,3,FALSE),0)+IF(AND($M52&lt;&gt;"",$M52&lt;&gt;"--",$M52&lt;&gt;"O3/CP",$M$14=C$18),IF(LEFT($M52,1)="P",VLOOKUP(CONCATENATE(LEFT($M52,2),"H"),$R$63:$T$91,3,FALSE),VLOOKUP($M52,$R$63:$T$91,3,FALSE)))+IF(AND($M52&lt;&gt;"",$M52&lt;&gt;"O3/CP",$M$15=C$18,MID($M52,4,1)="2",$M$15&lt;&gt;$M$14),VLOOKUP(CONCATENATE(LEFT($M52,2),"L"),$R$63:$T$91,3,FALSE),0)+IF(AND($M52="O3/CP",$M$14=C$18),VLOOKUP("O3",$R$63:$T$91,3,FALSE)+VLOOKUP("CP",$R$63:$T$91,3,FALSE),0)+IF(AND($N52&lt;&gt;"",$N52&lt;&gt;"--",$N52&lt;&gt;"O3/CP",$N$14=C$18),IF(LEFT($N52,1)="P",VLOOKUP(CONCATENATE(LEFT($N52,2),"H"),$R$63:$T$91,3,FALSE),VLOOKUP($N52,$R$63:$T$91,3,FALSE)))+IF(AND($N52&lt;&gt;"",$N52&lt;&gt;"O3/CP",$N$15=C$18,MID($N52,4,1)="2",$N$15&lt;&gt;$N$14),VLOOKUP(CONCATENATE(LEFT($N52,2),"L"),$R$63:$T$91,3,FALSE),0)+IF(AND($N52="O3/CP",$N$14=C$18),VLOOKUP("O3",$R$63:$T$91,3,FALSE)+VLOOKUP("CP",$R$63:$T$91,3,FALSE),0)+IF(AND($O52&lt;&gt;"",$O52&lt;&gt;"--",$O52&lt;&gt;"O3/CP",$O$14=C$18),IF(LEFT($O52,1)="P",VLOOKUP(CONCATENATE(LEFT($O52,2),"H"),$R$63:$T$91,3,FALSE),VLOOKUP($O52,$R$63:$T$91,3,FALSE)))+IF(AND($O52&lt;&gt;"",$O52&lt;&gt;"O3/CP",$O$15=C$18,MID($O52,4,1)="2",$O$15&lt;&gt;$O$14),VLOOKUP(CONCATENATE(LEFT($O52,2),"L"),$R$63:$T$91,3,FALSE),0)+IF(AND($O52="O3/CP",$O$14=C$18),VLOOKUP("O3",$R$63:$T$91,3,FALSE)+VLOOKUP("CP",$R$63:$T$91,3,FALSE),0)+IF(AND($P52&lt;&gt;"",$P52&lt;&gt;"--",$P52&lt;&gt;"O3/CP",$P$14=C$18),IF(LEFT($P52,1)="P",VLOOKUP(CONCATENATE(LEFT($P52,2),"H"),$R$63:$T$91,3,FALSE),VLOOKUP($P52,$R$63:$T$91,3,FALSE)))+IF(AND($P52&lt;&gt;"",$P52&lt;&gt;"O3/CP",$P$15=C$18,MID($P52,4,1)="2",$P$15&lt;&gt;$P$14),VLOOKUP(CONCATENATE(LEFT($P52,2),"L"),$R$63:$T$91,3,FALSE),0)+IF(AND($P52="O3/CP",$P$14=C$18),VLOOKUP("O3",$R$63:$T$91,3,FALSE)+VLOOKUP("CP",$R$63:$T$91,3,FALSE),0)+IF(AND($Q52&lt;&gt;"",$Q52&lt;&gt;"--",$Q52&lt;&gt;"O3/CP",$Q$14=C$18),IF(LEFT($Q52,1)="P",VLOOKUP(CONCATENATE(LEFT($Q52,2),"H"),$R$63:$T$91,3,FALSE),VLOOKUP($Q52,$R$63:$T$91,3,FALSE)))+IF(AND($Q52&lt;&gt;"",$Q52&lt;&gt;"O3/CP",$Q$15=C$18,MID($Q52,4,1)="2",$Q$15&lt;&gt;$Q$14),VLOOKUP(CONCATENATE(LEFT($Q52,2),"L"),$R$63:$T$91,3,FALSE),0)+IF(AND($Q52="O3/CP",$Q$14=C$18),VLOOKUP("O3",$R$63:$T$91,3,FALSE)+VLOOKUP("CP",$R$63:$T$91,3,FALSE),0)+IF(AND($R52&lt;&gt;"",$R52&lt;&gt;"--",$R52&lt;&gt;"O3/CP",$R$14=C$18),IF(LEFT($R52,1)="P",VLOOKUP(CONCATENATE(LEFT($R52,2),"H"),$R$63:$T$91,3,FALSE),VLOOKUP($R52,$R$63:$T$91,3,FALSE)))+IF(AND($R52&lt;&gt;"",$R52&lt;&gt;"O3/CP",$R$15=C$18,MID($R52,4,1)="2",$R$15&lt;&gt;$R$14),VLOOKUP(CONCATENATE(LEFT($R52,2),"L"),$R$63:$T$91,3,FALSE),0)+IF(AND($R52="O3/CP",$R$14=C$18),VLOOKUP("O3",$R$63:$T$91,3,FALSE)+VLOOKUP("CP",$R$63:$T$91,3,FALSE),0)+IF(AND($S52&lt;&gt;"",$S52&lt;&gt;"--",$S52&lt;&gt;"O3/CP",$S$14=C$18),IF(LEFT($S52,1)="P",VLOOKUP(CONCATENATE(LEFT($S52,2),"H"),$R$63:$T$91,3,FALSE),VLOOKUP($S52,$R$63:$T$91,3,FALSE)))+IF(AND($S52&lt;&gt;"",$S52&lt;&gt;"O3/CP",$S$15=C$18,MID($S52,4,1)="2",$S$15&lt;&gt;$S$14),VLOOKUP(CONCATENATE(LEFT($S52,2),"L"),$R$63:$T$91,3,FALSE),0)+IF(AND($S52="O3/CP",$S$14=C$18),VLOOKUP("O3",$R$63:$T$91,3,FALSE)+VLOOKUP("CP",$R$63:$T$91,3,FALSE),0)+IF(AND($T52&lt;&gt;"",$T52&lt;&gt;"--",$T52&lt;&gt;"O3/CP",$T$14=C$18),IF(LEFT($T52,1)="P",VLOOKUP(CONCATENATE(LEFT($T52,2),"H"),$R$63:$T$91,3,FALSE),VLOOKUP($T52,$R$63:$T$91,3,FALSE)))+IF(AND($T52&lt;&gt;"",$T52&lt;&gt;"O3/CP",$T$15=C$18,MID($T52,4,1)="2",$T$15&lt;&gt;$T$14),VLOOKUP(CONCATENATE(LEFT($T52,2),"L"),$R$63:$T$91,3,FALSE),0)+IF(AND($T52="O3/CP",$T$14=C$18),VLOOKUP("O3",$R$63:$T$91,3,FALSE)+VLOOKUP("CP",$R$63:$T$91,3,FALSE),0)+IF(AND($U52&lt;&gt;"",$U52&lt;&gt;"--",$U52&lt;&gt;"O3/CP",$U$14=C$18),IF(LEFT($U52,1)="P",VLOOKUP(CONCATENATE(LEFT($U52,2),"H"),$R$63:$T$91,3,FALSE),VLOOKUP($U52,$R$63:$T$91,3,FALSE)))+IF(AND($U52&lt;&gt;"",$U52&lt;&gt;"O3/CP",$U$15=C$18,MID($U52,4,1)="2",$U$15&lt;&gt;$U$14),VLOOKUP(CONCATENATE(LEFT($U52,2),"L"),$R$63:$T$91,3,FALSE),0)+IF(AND($U52="O3/CP",$T$14=C$18),VLOOKUP("O3",$R$63:$T$91,3,FALSE)+VLOOKUP("CP",$R$63:$T$91,3,FALSE),0)+IF(AND($V52&lt;&gt;"",$V52&lt;&gt;"--",$V52&lt;&gt;"O3/CP",$V$14=C$18),IF(LEFT($V52,1)="P",VLOOKUP(CONCATENATE(LEFT($V52,2),"H"),$R$63:$T$91,3,FALSE),VLOOKUP($V52,$R$63:$T$91,3,FALSE)))+IF(AND($V52&lt;&gt;"",$V52&lt;&gt;"O3/CP",$V$15=C$18,MID($V52,4,1)="2",$V$15&lt;&gt;$V$14),VLOOKUP(CONCATENATE(LEFT($V52,2),"L"),$R$63:$T$91,3,FALSE),0)+IF(AND($V52="O3/CP",$V$14=C$18),VLOOKUP("O3",$R$63:$T$91,3,FALSE)+VLOOKUP("CP",$R$63:$T$91,3,FALSE),0)+IF(AND($W52&lt;&gt;"",$W52&lt;&gt;"--",$W52&lt;&gt;"O3/CP",$W$14=C$18),IF(LEFT($W52,1)="P",VLOOKUP(CONCATENATE(LEFT($W52,2),"H"),$R$63:$T$91,3,FALSE),VLOOKUP($W52,$R$63:$T$91,3,FALSE)))+IF(AND($W52&lt;&gt;"",$W52&lt;&gt;"O3/CP",$W$15=C$18,MID($W52,4,1)="2",$W$15&lt;&gt;$W$14),VLOOKUP(CONCATENATE(LEFT($W52,2),"L"),$R$63:$T$91,3,FALSE),0)+IF(AND($W52="O3/CP",$W$14=C$18),VLOOKUP("O3",$R$63:$T$91,3,FALSE)+VLOOKUP("CP",$R$63:$T$91,3,FALSE),0)+IF(AND($X52&lt;&gt;"",$X52&lt;&gt;"--",$X52&lt;&gt;"O3/CP",$X$14=C$18),IF(LEFT($X52,1)="P",VLOOKUP(CONCATENATE(LEFT($X52,2),"H"),$R$63:$T$91,3,FALSE),VLOOKUP($X52,$R$63:$T$91,3,FALSE)))+IF(AND($X52&lt;&gt;"",$X52&lt;&gt;"O3/CP",$X$15=C$18,MID($X52,4,1)="2",$X$15&lt;&gt;$X$14),VLOOKUP(CONCATENATE(LEFT($X52,2),"L"),$R$63:$T$91,3,FALSE),0)+IF(AND($X52="O3/CP",$X$14=C$18),VLOOKUP("O3",$R$63:$T$91,3,FALSE)+VLOOKUP("CP",$R$63:$T$91,3,FALSE),0)+IF(AND($Y52&lt;&gt;"",$Y52&lt;&gt;"--",$Y52&lt;&gt;"O3/CP",$Y$14=C$18),IF(LEFT($Y52,1)="P",VLOOKUP(CONCATENATE(LEFT($Y52,2),"H"),$R$63:$T$91,3,FALSE),VLOOKUP($Y52,$R$63:$T$91,3,FALSE)))+IF(AND($Y52&lt;&gt;"",$Y52&lt;&gt;"O3/CP",$Y$15=C$18,MID($Y52,4,1)="2",$Y$15&lt;&gt;$Y$14),VLOOKUP(CONCATENATE(LEFT($Y52,2),"L"),$R$63:$T$91,3,FALSE),0)+IF(AND($Y52="O3/CP",$Y$14=C$18),VLOOKUP("O3",$R$63:$T$91,3,FALSE)+VLOOKUP("CP",$R$63:$T$91,3,FALSE),0)+IF(AND($K$6="CE",'[3]Supply Attribution'!$G$20=C$18),LEFT($S$90,2),0)+IF(AND($X$86&lt;&gt;"Not Set",$X$87=C$18),$X$86,0)</f>
        <v>0</v>
      </c>
      <c r="D52" s="269">
        <f>IF(AND($K52&lt;&gt;"",$K52&lt;&gt;"--",$K52&lt;&gt;"O3/CP",$K$14=D$18),IF(LEFT($K52,1)="P",VLOOKUP(CONCATENATE(LEFT($K52,2),"H"),$R$63:$T$91,3,FALSE),VLOOKUP($K52,$R$63:$T$91,3,FALSE)))+IF(AND($K52&lt;&gt;"",$K52&lt;&gt;"O3/CP",$K$15=D$18,MID($K52,4,1)="2",$K$15&lt;&gt;$K$14),VLOOKUP(CONCATENATE(LEFT($K52,2),"L"),$R$63:$T$91,3,FALSE),0)+IF(AND($K52="O3/CP",$K$14=D$18),VLOOKUP("O3",$R$63:$T$91,3,FALSE)+VLOOKUP("CP",$R$63:$T$91,3,FALSE),0)+IF(AND($L52&lt;&gt;"",$L52&lt;&gt;"--",$L52&lt;&gt;"O3/CP",$L$14=D$18),IF(LEFT($L52,1)="P",VLOOKUP(CONCATENATE(LEFT($L52,2),"H"),$R$63:$T$91,3,FALSE),VLOOKUP($L52,$R$63:$T$91,3,FALSE)))+IF(AND($L52&lt;&gt;"",$L52&lt;&gt;"O3/CP",$L$15=D$18,MID($L52,4,1)="2",$L$15&lt;&gt;$L$14),VLOOKUP(CONCATENATE(LEFT($L52,2),"L"),$R$63:$T$91,3,FALSE),0)+IF(AND($L52="O3/CP",$L$14=D$18),VLOOKUP("O3",$R$63:$T$91,3,FALSE)+VLOOKUP("CP",$R$63:$T$91,3,FALSE),0)+IF(AND($M52&lt;&gt;"",$M52&lt;&gt;"--",$M52&lt;&gt;"O3/CP",$M$14=D$18),IF(LEFT($M52,1)="P",VLOOKUP(CONCATENATE(LEFT($M52,2),"H"),$R$63:$T$91,3,FALSE),VLOOKUP($M52,$R$63:$T$91,3,FALSE)))+IF(AND($M52&lt;&gt;"",$M52&lt;&gt;"O3/CP",$M$15=D$18,MID($M52,4,1)="2",$M$15&lt;&gt;$M$14),VLOOKUP(CONCATENATE(LEFT($M52,2),"L"),$R$63:$T$91,3,FALSE),0)+IF(AND($M52="O3/CP",$M$14=D$18),VLOOKUP("O3",$R$63:$T$91,3,FALSE)+VLOOKUP("CP",$R$63:$T$91,3,FALSE),0)+IF(AND($N52&lt;&gt;"",$N52&lt;&gt;"--",$N52&lt;&gt;"O3/CP",$N$14=D$18),IF(LEFT($N52,1)="P",VLOOKUP(CONCATENATE(LEFT($N52,2),"H"),$R$63:$T$91,3,FALSE),VLOOKUP($N52,$R$63:$T$91,3,FALSE)))+IF(AND($N52&lt;&gt;"",$N52&lt;&gt;"O3/CP",$N$15=D$18,MID($N52,4,1)="2",$N$15&lt;&gt;$N$14),VLOOKUP(CONCATENATE(LEFT($N52,2),"L"),$R$63:$T$91,3,FALSE),0)+IF(AND($N52="O3/CP",$N$14=D$18),VLOOKUP("O3",$R$63:$T$91,3,FALSE)+VLOOKUP("CP",$R$63:$T$91,3,FALSE),0)+IF(AND($O52&lt;&gt;"",$O52&lt;&gt;"--",$O52&lt;&gt;"O3/CP",$O$14=D$18),IF(LEFT($O52,1)="P",VLOOKUP(CONCATENATE(LEFT($O52,2),"H"),$R$63:$T$91,3,FALSE),VLOOKUP($O52,$R$63:$T$91,3,FALSE)))+IF(AND($O52&lt;&gt;"",$O52&lt;&gt;"O3/CP",$O$15=D$18,MID($O52,4,1)="2",$O$15&lt;&gt;$O$14),VLOOKUP(CONCATENATE(LEFT($O52,2),"L"),$R$63:$T$91,3,FALSE),0)+IF(AND($O52="O3/CP",$O$14=D$18),VLOOKUP("O3",$R$63:$T$91,3,FALSE)+VLOOKUP("CP",$R$63:$T$91,3,FALSE),0)+IF(AND($P52&lt;&gt;"",$P52&lt;&gt;"--",$P52&lt;&gt;"O3/CP",$P$14=D$18),IF(LEFT($P52,1)="P",VLOOKUP(CONCATENATE(LEFT($P52,2),"H"),$R$63:$T$91,3,FALSE),VLOOKUP($P52,$R$63:$T$91,3,FALSE)))+IF(AND($P52&lt;&gt;"",$P52&lt;&gt;"O3/CP",$P$15=D$18,MID($P52,4,1)="2",$P$15&lt;&gt;$P$14),VLOOKUP(CONCATENATE(LEFT($P52,2),"L"),$R$63:$T$91,3,FALSE),0)+IF(AND($P52="O3/CP",$P$14=D$18),VLOOKUP("O3",$R$63:$T$91,3,FALSE)+VLOOKUP("CP",$R$63:$T$91,3,FALSE),0)+IF(AND($Q52&lt;&gt;"",$Q52&lt;&gt;"--",$Q52&lt;&gt;"O3/CP",$Q$14=D$18),IF(LEFT($Q52,1)="P",VLOOKUP(CONCATENATE(LEFT($Q52,2),"H"),$R$63:$T$91,3,FALSE),VLOOKUP($Q52,$R$63:$T$91,3,FALSE)))+IF(AND($Q52&lt;&gt;"",$Q52&lt;&gt;"O3/CP",$Q$15=D$18,MID($Q52,4,1)="2",$Q$15&lt;&gt;$Q$14),VLOOKUP(CONCATENATE(LEFT($Q52,2),"L"),$R$63:$T$91,3,FALSE),0)+IF(AND($Q52="O3/CP",$Q$14=D$18),VLOOKUP("O3",$R$63:$T$91,3,FALSE)+VLOOKUP("CP",$R$63:$T$91,3,FALSE),0)+IF(AND($R52&lt;&gt;"",$R52&lt;&gt;"--",$R52&lt;&gt;"O3/CP",$R$14=D$18),IF(LEFT($R52,1)="P",VLOOKUP(CONCATENATE(LEFT($R52,2),"H"),$R$63:$T$91,3,FALSE),VLOOKUP($R52,$R$63:$T$91,3,FALSE)))+IF(AND($R52&lt;&gt;"",$R52&lt;&gt;"O3/CP",$R$15=D$18,MID($R52,4,1)="2",$R$15&lt;&gt;$R$14),VLOOKUP(CONCATENATE(LEFT($R52,2),"L"),$R$63:$T$91,3,FALSE),0)+IF(AND($R52="O3/CP",$R$14=D$18),VLOOKUP("O3",$R$63:$T$91,3,FALSE)+VLOOKUP("CP",$R$63:$T$91,3,FALSE),0)+IF(AND($S52&lt;&gt;"",$S52&lt;&gt;"--",$S52&lt;&gt;"O3/CP",$S$14=D$18),IF(LEFT($S52,1)="P",VLOOKUP(CONCATENATE(LEFT($S52,2),"H"),$R$63:$T$91,3,FALSE),VLOOKUP($S52,$R$63:$T$91,3,FALSE)))+IF(AND($S52&lt;&gt;"",$S52&lt;&gt;"O3/CP",$S$15=D$18,MID($S52,4,1)="2",$S$15&lt;&gt;$S$14),VLOOKUP(CONCATENATE(LEFT($S52,2),"L"),$R$63:$T$91,3,FALSE),0)+IF(AND($S52="O3/CP",$S$14=D$18),VLOOKUP("O3",$R$63:$T$91,3,FALSE)+VLOOKUP("CP",$R$63:$T$91,3,FALSE),0)+IF(AND($T52&lt;&gt;"",$T52&lt;&gt;"--",$T52&lt;&gt;"O3/CP",$T$14=D$18),IF(LEFT($T52,1)="P",VLOOKUP(CONCATENATE(LEFT($T52,2),"H"),$R$63:$T$91,3,FALSE),VLOOKUP($T52,$R$63:$T$91,3,FALSE)))+IF(AND($T52&lt;&gt;"",$T52&lt;&gt;"O3/CP",$T$15=D$18,MID($T52,4,1)="2",$T$15&lt;&gt;$T$14),VLOOKUP(CONCATENATE(LEFT($T52,2),"L"),$R$63:$T$91,3,FALSE),0)+IF(AND($T52="O3/CP",$T$14=D$18),VLOOKUP("O3",$R$63:$T$91,3,FALSE)+VLOOKUP("CP",$R$63:$T$91,3,FALSE),0)+IF(AND($U52&lt;&gt;"",$U52&lt;&gt;"--",$U52&lt;&gt;"O3/CP",$U$14=D$18),IF(LEFT($U52,1)="P",VLOOKUP(CONCATENATE(LEFT($U52,2),"H"),$R$63:$T$91,3,FALSE),VLOOKUP($U52,$R$63:$T$91,3,FALSE)))+IF(AND($U52&lt;&gt;"",$U52&lt;&gt;"O3/CP",$U$15=D$18,MID($U52,4,1)="2",$U$15&lt;&gt;$U$14),VLOOKUP(CONCATENATE(LEFT($U52,2),"L"),$R$63:$T$91,3,FALSE),0)+IF(AND($U52="O3/CP",$T$14=D$18),VLOOKUP("O3",$R$63:$T$91,3,FALSE)+VLOOKUP("CP",$R$63:$T$91,3,FALSE),0)+IF(AND($V52&lt;&gt;"",$V52&lt;&gt;"--",$V52&lt;&gt;"O3/CP",$V$14=D$18),IF(LEFT($V52,1)="P",VLOOKUP(CONCATENATE(LEFT($V52,2),"H"),$R$63:$T$91,3,FALSE),VLOOKUP($V52,$R$63:$T$91,3,FALSE)))+IF(AND($V52&lt;&gt;"",$V52&lt;&gt;"O3/CP",$V$15=D$18,MID($V52,4,1)="2",$V$15&lt;&gt;$V$14),VLOOKUP(CONCATENATE(LEFT($V52,2),"L"),$R$63:$T$91,3,FALSE),0)+IF(AND($V52="O3/CP",$V$14=D$18),VLOOKUP("O3",$R$63:$T$91,3,FALSE)+VLOOKUP("CP",$R$63:$T$91,3,FALSE),0)+IF(AND($W52&lt;&gt;"",$W52&lt;&gt;"--",$W52&lt;&gt;"O3/CP",$W$14=D$18),IF(LEFT($W52,1)="P",VLOOKUP(CONCATENATE(LEFT($W52,2),"H"),$R$63:$T$91,3,FALSE),VLOOKUP($W52,$R$63:$T$91,3,FALSE)))+IF(AND($W52&lt;&gt;"",$W52&lt;&gt;"O3/CP",$W$15=D$18,MID($W52,4,1)="2",$W$15&lt;&gt;$W$14),VLOOKUP(CONCATENATE(LEFT($W52,2),"L"),$R$63:$T$91,3,FALSE),0)+IF(AND($W52="O3/CP",$W$14=D$18),VLOOKUP("O3",$R$63:$T$91,3,FALSE)+VLOOKUP("CP",$R$63:$T$91,3,FALSE),0)+IF(AND($X52&lt;&gt;"",$X52&lt;&gt;"--",$X52&lt;&gt;"O3/CP",$X$14=D$18),IF(LEFT($X52,1)="P",VLOOKUP(CONCATENATE(LEFT($X52,2),"H"),$R$63:$T$91,3,FALSE),VLOOKUP($X52,$R$63:$T$91,3,FALSE)))+IF(AND($X52&lt;&gt;"",$X52&lt;&gt;"O3/CP",$X$15=D$18,MID($X52,4,1)="2",$X$15&lt;&gt;$X$14),VLOOKUP(CONCATENATE(LEFT($X52,2),"L"),$R$63:$T$91,3,FALSE),0)+IF(AND($X52="O3/CP",$X$14=D$18),VLOOKUP("O3",$R$63:$T$91,3,FALSE)+VLOOKUP("CP",$R$63:$T$91,3,FALSE),0)+IF(AND($Y52&lt;&gt;"",$Y52&lt;&gt;"--",$Y52&lt;&gt;"O3/CP",$Y$14=D$18),IF(LEFT($Y52,1)="P",VLOOKUP(CONCATENATE(LEFT($Y52,2),"H"),$R$63:$T$91,3,FALSE),VLOOKUP($Y52,$R$63:$T$91,3,FALSE)))+IF(AND($Y52&lt;&gt;"",$Y52&lt;&gt;"O3/CP",$Y$15=D$18,MID($Y52,4,1)="2",$Y$15&lt;&gt;$Y$14),VLOOKUP(CONCATENATE(LEFT($Y52,2),"L"),$R$63:$T$91,3,FALSE),0)+IF(AND($Y52="O3/CP",$Y$14=D$18),VLOOKUP("O3",$R$63:$T$91,3,FALSE)+VLOOKUP("CP",$R$63:$T$91,3,FALSE),0)+IF(AND($K$6="CE",'[3]Supply Attribution'!$G$20=D$18),LEFT($S$90,2),0)+IF(AND($X$86&lt;&gt;"Not Set",$X$87=D$18),$X$86,0)</f>
        <v>0</v>
      </c>
      <c r="E52" s="269">
        <f>IF(AND($K52&lt;&gt;"",$K52&lt;&gt;"--",$K52&lt;&gt;"O3/CP",$K$14=E$18),IF(LEFT($K52,1)="P",VLOOKUP(CONCATENATE(LEFT($K52,2),"H"),$R$63:$T$91,3,FALSE),VLOOKUP($K52,$R$63:$T$91,3,FALSE)))+IF(AND($K52&lt;&gt;"",$K52&lt;&gt;"O3/CP",$K$15=E$18,MID($K52,4,1)="2",$K$15&lt;&gt;$K$14),VLOOKUP(CONCATENATE(LEFT($K52,2),"L"),$R$63:$T$91,3,FALSE),0)+IF(AND($K52="O3/CP",$K$14=E$18),VLOOKUP("O3",$R$63:$T$91,3,FALSE)+VLOOKUP("CP",$R$63:$T$91,3,FALSE),0)+IF(AND($L52&lt;&gt;"",$L52&lt;&gt;"--",$L52&lt;&gt;"O3/CP",$L$14=E$18),IF(LEFT($L52,1)="P",VLOOKUP(CONCATENATE(LEFT($L52,2),"H"),$R$63:$T$91,3,FALSE),VLOOKUP($L52,$R$63:$T$91,3,FALSE)))+IF(AND($L52&lt;&gt;"",$L52&lt;&gt;"O3/CP",$L$15=E$18,MID($L52,4,1)="2",$L$15&lt;&gt;$L$14),VLOOKUP(CONCATENATE(LEFT($L52,2),"L"),$R$63:$T$91,3,FALSE),0)+IF(AND($L52="O3/CP",$L$14=E$18),VLOOKUP("O3",$R$63:$T$91,3,FALSE)+VLOOKUP("CP",$R$63:$T$91,3,FALSE),0)+IF(AND($M52&lt;&gt;"",$M52&lt;&gt;"--",$M52&lt;&gt;"O3/CP",$M$14=E$18),IF(LEFT($M52,1)="P",VLOOKUP(CONCATENATE(LEFT($M52,2),"H"),$R$63:$T$91,3,FALSE),VLOOKUP($M52,$R$63:$T$91,3,FALSE)))+IF(AND($M52&lt;&gt;"",$M52&lt;&gt;"O3/CP",$M$15=E$18,MID($M52,4,1)="2",$M$15&lt;&gt;$M$14),VLOOKUP(CONCATENATE(LEFT($M52,2),"L"),$R$63:$T$91,3,FALSE),0)+IF(AND($M52="O3/CP",$M$14=E$18),VLOOKUP("O3",$R$63:$T$91,3,FALSE)+VLOOKUP("CP",$R$63:$T$91,3,FALSE),0)+IF(AND($N52&lt;&gt;"",$N52&lt;&gt;"--",$N52&lt;&gt;"O3/CP",$N$14=E$18),IF(LEFT($N52,1)="P",VLOOKUP(CONCATENATE(LEFT($N52,2),"H"),$R$63:$T$91,3,FALSE),VLOOKUP($N52,$R$63:$T$91,3,FALSE)))+IF(AND($N52&lt;&gt;"",$N52&lt;&gt;"O3/CP",$N$15=E$18,MID($N52,4,1)="2",$N$15&lt;&gt;$N$14),VLOOKUP(CONCATENATE(LEFT($N52,2),"L"),$R$63:$T$91,3,FALSE),0)+IF(AND($N52="O3/CP",$N$14=E$18),VLOOKUP("O3",$R$63:$T$91,3,FALSE)+VLOOKUP("CP",$R$63:$T$91,3,FALSE),0)+IF(AND($O52&lt;&gt;"",$O52&lt;&gt;"--",$O52&lt;&gt;"O3/CP",$O$14=E$18),IF(LEFT($O52,1)="P",VLOOKUP(CONCATENATE(LEFT($O52,2),"H"),$R$63:$T$91,3,FALSE),VLOOKUP($O52,$R$63:$T$91,3,FALSE)))+IF(AND($O52&lt;&gt;"",$O52&lt;&gt;"O3/CP",$O$15=E$18,MID($O52,4,1)="2",$O$15&lt;&gt;$O$14),VLOOKUP(CONCATENATE(LEFT($O52,2),"L"),$R$63:$T$91,3,FALSE),0)+IF(AND($O52="O3/CP",$O$14=E$18),VLOOKUP("O3",$R$63:$T$91,3,FALSE)+VLOOKUP("CP",$R$63:$T$91,3,FALSE),0)+IF(AND($P52&lt;&gt;"",$P52&lt;&gt;"--",$P52&lt;&gt;"O3/CP",$P$14=E$18),IF(LEFT($P52,1)="P",VLOOKUP(CONCATENATE(LEFT($P52,2),"H"),$R$63:$T$91,3,FALSE),VLOOKUP($P52,$R$63:$T$91,3,FALSE)))+IF(AND($P52&lt;&gt;"",$P52&lt;&gt;"O3/CP",$P$15=E$18,MID($P52,4,1)="2",$P$15&lt;&gt;$P$14),VLOOKUP(CONCATENATE(LEFT($P52,2),"L"),$R$63:$T$91,3,FALSE),0)+IF(AND($P52="O3/CP",$P$14=E$18),VLOOKUP("O3",$R$63:$T$91,3,FALSE)+VLOOKUP("CP",$R$63:$T$91,3,FALSE),0)+IF(AND($Q52&lt;&gt;"",$Q52&lt;&gt;"--",$Q52&lt;&gt;"O3/CP",$Q$14=E$18),IF(LEFT($Q52,1)="P",VLOOKUP(CONCATENATE(LEFT($Q52,2),"H"),$R$63:$T$91,3,FALSE),VLOOKUP($Q52,$R$63:$T$91,3,FALSE)))+IF(AND($Q52&lt;&gt;"",$Q52&lt;&gt;"O3/CP",$Q$15=E$18,MID($Q52,4,1)="2",$Q$15&lt;&gt;$Q$14),VLOOKUP(CONCATENATE(LEFT($Q52,2),"L"),$R$63:$T$91,3,FALSE),0)+IF(AND($Q52="O3/CP",$Q$14=E$18),VLOOKUP("O3",$R$63:$T$91,3,FALSE)+VLOOKUP("CP",$R$63:$T$91,3,FALSE),0)+IF(AND($R52&lt;&gt;"",$R52&lt;&gt;"--",$R52&lt;&gt;"O3/CP",$R$14=E$18),IF(LEFT($R52,1)="P",VLOOKUP(CONCATENATE(LEFT($R52,2),"H"),$R$63:$T$91,3,FALSE),VLOOKUP($R52,$R$63:$T$91,3,FALSE)))+IF(AND($R52&lt;&gt;"",$R52&lt;&gt;"O3/CP",$R$15=E$18,MID($R52,4,1)="2",$R$15&lt;&gt;$R$14),VLOOKUP(CONCATENATE(LEFT($R52,2),"L"),$R$63:$T$91,3,FALSE),0)+IF(AND($R52="O3/CP",$R$14=E$18),VLOOKUP("O3",$R$63:$T$91,3,FALSE)+VLOOKUP("CP",$R$63:$T$91,3,FALSE),0)+IF(AND($S52&lt;&gt;"",$S52&lt;&gt;"--",$S52&lt;&gt;"O3/CP",$S$14=E$18),IF(LEFT($S52,1)="P",VLOOKUP(CONCATENATE(LEFT($S52,2),"H"),$R$63:$T$91,3,FALSE),VLOOKUP($S52,$R$63:$T$91,3,FALSE)))+IF(AND($S52&lt;&gt;"",$S52&lt;&gt;"O3/CP",$S$15=E$18,MID($S52,4,1)="2",$S$15&lt;&gt;$S$14),VLOOKUP(CONCATENATE(LEFT($S52,2),"L"),$R$63:$T$91,3,FALSE),0)+IF(AND($S52="O3/CP",$S$14=E$18),VLOOKUP("O3",$R$63:$T$91,3,FALSE)+VLOOKUP("CP",$R$63:$T$91,3,FALSE),0)+IF(AND($T52&lt;&gt;"",$T52&lt;&gt;"--",$T52&lt;&gt;"O3/CP",$T$14=E$18),IF(LEFT($T52,1)="P",VLOOKUP(CONCATENATE(LEFT($T52,2),"H"),$R$63:$T$91,3,FALSE),VLOOKUP($T52,$R$63:$T$91,3,FALSE)))+IF(AND($T52&lt;&gt;"",$T52&lt;&gt;"O3/CP",$T$15=E$18,MID($T52,4,1)="2",$T$15&lt;&gt;$T$14),VLOOKUP(CONCATENATE(LEFT($T52,2),"L"),$R$63:$T$91,3,FALSE),0)+IF(AND($T52="O3/CP",$T$14=E$18),VLOOKUP("O3",$R$63:$T$91,3,FALSE)+VLOOKUP("CP",$R$63:$T$91,3,FALSE),0)+IF(AND($U52&lt;&gt;"",$U52&lt;&gt;"--",$U52&lt;&gt;"O3/CP",$U$14=E$18),IF(LEFT($U52,1)="P",VLOOKUP(CONCATENATE(LEFT($U52,2),"H"),$R$63:$T$91,3,FALSE),VLOOKUP($U52,$R$63:$T$91,3,FALSE)))+IF(AND($U52&lt;&gt;"",$U52&lt;&gt;"O3/CP",$U$15=E$18,MID($U52,4,1)="2",$U$15&lt;&gt;$U$14),VLOOKUP(CONCATENATE(LEFT($U52,2),"L"),$R$63:$T$91,3,FALSE),0)+IF(AND($U52="O3/CP",$T$14=E$18),VLOOKUP("O3",$R$63:$T$91,3,FALSE)+VLOOKUP("CP",$R$63:$T$91,3,FALSE),0)+IF(AND($V52&lt;&gt;"",$V52&lt;&gt;"--",$V52&lt;&gt;"O3/CP",$V$14=E$18),IF(LEFT($V52,1)="P",VLOOKUP(CONCATENATE(LEFT($V52,2),"H"),$R$63:$T$91,3,FALSE),VLOOKUP($V52,$R$63:$T$91,3,FALSE)))+IF(AND($V52&lt;&gt;"",$V52&lt;&gt;"O3/CP",$V$15=E$18,MID($V52,4,1)="2",$V$15&lt;&gt;$V$14),VLOOKUP(CONCATENATE(LEFT($V52,2),"L"),$R$63:$T$91,3,FALSE),0)+IF(AND($V52="O3/CP",$V$14=E$18),VLOOKUP("O3",$R$63:$T$91,3,FALSE)+VLOOKUP("CP",$R$63:$T$91,3,FALSE),0)+IF(AND($W52&lt;&gt;"",$W52&lt;&gt;"--",$W52&lt;&gt;"O3/CP",$W$14=E$18),IF(LEFT($W52,1)="P",VLOOKUP(CONCATENATE(LEFT($W52,2),"H"),$R$63:$T$91,3,FALSE),VLOOKUP($W52,$R$63:$T$91,3,FALSE)))+IF(AND($W52&lt;&gt;"",$W52&lt;&gt;"O3/CP",$W$15=E$18,MID($W52,4,1)="2",$W$15&lt;&gt;$W$14),VLOOKUP(CONCATENATE(LEFT($W52,2),"L"),$R$63:$T$91,3,FALSE),0)+IF(AND($W52="O3/CP",$W$14=E$18),VLOOKUP("O3",$R$63:$T$91,3,FALSE)+VLOOKUP("CP",$R$63:$T$91,3,FALSE),0)+IF(AND($X52&lt;&gt;"",$X52&lt;&gt;"--",$X52&lt;&gt;"O3/CP",$X$14=E$18),IF(LEFT($X52,1)="P",VLOOKUP(CONCATENATE(LEFT($X52,2),"H"),$R$63:$T$91,3,FALSE),VLOOKUP($X52,$R$63:$T$91,3,FALSE)))+IF(AND($X52&lt;&gt;"",$X52&lt;&gt;"O3/CP",$X$15=E$18,MID($X52,4,1)="2",$X$15&lt;&gt;$X$14),VLOOKUP(CONCATENATE(LEFT($X52,2),"L"),$R$63:$T$91,3,FALSE),0)+IF(AND($X52="O3/CP",$X$14=E$18),VLOOKUP("O3",$R$63:$T$91,3,FALSE)+VLOOKUP("CP",$R$63:$T$91,3,FALSE),0)+IF(AND($Y52&lt;&gt;"",$Y52&lt;&gt;"--",$Y52&lt;&gt;"O3/CP",$Y$14=E$18),IF(LEFT($Y52,1)="P",VLOOKUP(CONCATENATE(LEFT($Y52,2),"H"),$R$63:$T$91,3,FALSE),VLOOKUP($Y52,$R$63:$T$91,3,FALSE)))+IF(AND($Y52&lt;&gt;"",$Y52&lt;&gt;"O3/CP",$Y$15=E$18,MID($Y52,4,1)="2",$Y$15&lt;&gt;$Y$14),VLOOKUP(CONCATENATE(LEFT($Y52,2),"L"),$R$63:$T$91,3,FALSE),0)+IF(AND($Y52="O3/CP",$Y$14=E$18),VLOOKUP("O3",$R$63:$T$91,3,FALSE)+VLOOKUP("CP",$R$63:$T$91,3,FALSE),0)+IF(AND($K$6="CE",'[3]Supply Attribution'!$G$20=E$18),LEFT($S$90,2),0)+IF(AND($X$86&lt;&gt;"Not Set",$X$87=E$18),$X$86,0)</f>
        <v>0</v>
      </c>
      <c r="F52" s="268">
        <f>IF(AND($K52&lt;&gt;"",$K52&lt;&gt;"--",$K52&lt;&gt;"O3/CP",$K$14=F$18),IF(LEFT($K52,1)="P",VLOOKUP(CONCATENATE(LEFT($K52,2),"H"),$R$63:$T$91,3,FALSE),VLOOKUP($K52,$R$63:$T$91,3,FALSE)))+IF(AND($K52&lt;&gt;"",$K52&lt;&gt;"O3/CP",$K$15=F$18,MID($K52,4,1)="2",$K$15&lt;&gt;$K$14),VLOOKUP(CONCATENATE(LEFT($K52,2),"L"),$R$63:$T$91,3,FALSE),0)+IF(AND($K52="O3/CP",$K$14=F$18),VLOOKUP("O3",$R$63:$T$91,3,FALSE)+VLOOKUP("CP",$R$63:$T$91,3,FALSE),0)+IF(AND($L52&lt;&gt;"",$L52&lt;&gt;"--",$L52&lt;&gt;"O3/CP",$L$14=F$18),IF(LEFT($L52,1)="P",VLOOKUP(CONCATENATE(LEFT($L52,2),"H"),$R$63:$T$91,3,FALSE),VLOOKUP($L52,$R$63:$T$91,3,FALSE)))+IF(AND($L52&lt;&gt;"",$L52&lt;&gt;"O3/CP",$L$15=F$18,MID($L52,4,1)="2",$L$15&lt;&gt;$L$14),VLOOKUP(CONCATENATE(LEFT($L52,2),"L"),$R$63:$T$91,3,FALSE),0)+IF(AND($L52="O3/CP",$L$14=F$18),VLOOKUP("O3",$R$63:$T$91,3,FALSE)+VLOOKUP("CP",$R$63:$T$91,3,FALSE),0)+IF(AND($M52&lt;&gt;"",$M52&lt;&gt;"--",$M52&lt;&gt;"O3/CP",$M$14=F$18),IF(LEFT($M52,1)="P",VLOOKUP(CONCATENATE(LEFT($M52,2),"H"),$R$63:$T$91,3,FALSE),VLOOKUP($M52,$R$63:$T$91,3,FALSE)))+IF(AND($M52&lt;&gt;"",$M52&lt;&gt;"O3/CP",$M$15=F$18,MID($M52,4,1)="2",$M$15&lt;&gt;$M$14),VLOOKUP(CONCATENATE(LEFT($M52,2),"L"),$R$63:$T$91,3,FALSE),0)+IF(AND($M52="O3/CP",$M$14=F$18),VLOOKUP("O3",$R$63:$T$91,3,FALSE)+VLOOKUP("CP",$R$63:$T$91,3,FALSE),0)+IF(AND($N52&lt;&gt;"",$N52&lt;&gt;"--",$N52&lt;&gt;"O3/CP",$N$14=F$18),IF(LEFT($N52,1)="P",VLOOKUP(CONCATENATE(LEFT($N52,2),"H"),$R$63:$T$91,3,FALSE),VLOOKUP($N52,$R$63:$T$91,3,FALSE)))+IF(AND($N52&lt;&gt;"",$N52&lt;&gt;"O3/CP",$N$15=F$18,MID($N52,4,1)="2",$N$15&lt;&gt;$N$14),VLOOKUP(CONCATENATE(LEFT($N52,2),"L"),$R$63:$T$91,3,FALSE),0)+IF(AND($N52="O3/CP",$N$14=F$18),VLOOKUP("O3",$R$63:$T$91,3,FALSE)+VLOOKUP("CP",$R$63:$T$91,3,FALSE),0)+IF(AND($O52&lt;&gt;"",$O52&lt;&gt;"--",$O52&lt;&gt;"O3/CP",$O$14=F$18),IF(LEFT($O52,1)="P",VLOOKUP(CONCATENATE(LEFT($O52,2),"H"),$R$63:$T$91,3,FALSE),VLOOKUP($O52,$R$63:$T$91,3,FALSE)))+IF(AND($O52&lt;&gt;"",$O52&lt;&gt;"O3/CP",$O$15=F$18,MID($O52,4,1)="2",$O$15&lt;&gt;$O$14),VLOOKUP(CONCATENATE(LEFT($O52,2),"L"),$R$63:$T$91,3,FALSE),0)+IF(AND($O52="O3/CP",$O$14=F$18),VLOOKUP("O3",$R$63:$T$91,3,FALSE)+VLOOKUP("CP",$R$63:$T$91,3,FALSE),0)+IF(AND($P52&lt;&gt;"",$P52&lt;&gt;"--",$P52&lt;&gt;"O3/CP",$P$14=F$18),IF(LEFT($P52,1)="P",VLOOKUP(CONCATENATE(LEFT($P52,2),"H"),$R$63:$T$91,3,FALSE),VLOOKUP($P52,$R$63:$T$91,3,FALSE)))+IF(AND($P52&lt;&gt;"",$P52&lt;&gt;"O3/CP",$P$15=F$18,MID($P52,4,1)="2",$P$15&lt;&gt;$P$14),VLOOKUP(CONCATENATE(LEFT($P52,2),"L"),$R$63:$T$91,3,FALSE),0)+IF(AND($P52="O3/CP",$P$14=F$18),VLOOKUP("O3",$R$63:$T$91,3,FALSE)+VLOOKUP("CP",$R$63:$T$91,3,FALSE),0)+IF(AND($Q52&lt;&gt;"",$Q52&lt;&gt;"--",$Q52&lt;&gt;"O3/CP",$Q$14=F$18),IF(LEFT($Q52,1)="P",VLOOKUP(CONCATENATE(LEFT($Q52,2),"H"),$R$63:$T$91,3,FALSE),VLOOKUP($Q52,$R$63:$T$91,3,FALSE)))+IF(AND($Q52&lt;&gt;"",$Q52&lt;&gt;"O3/CP",$Q$15=F$18,MID($Q52,4,1)="2",$Q$15&lt;&gt;$Q$14),VLOOKUP(CONCATENATE(LEFT($Q52,2),"L"),$R$63:$T$91,3,FALSE),0)+IF(AND($Q52="O3/CP",$Q$14=F$18),VLOOKUP("O3",$R$63:$T$91,3,FALSE)+VLOOKUP("CP",$R$63:$T$91,3,FALSE),0)+IF(AND($R52&lt;&gt;"",$R52&lt;&gt;"--",$R52&lt;&gt;"O3/CP",$R$14=F$18),IF(LEFT($R52,1)="P",VLOOKUP(CONCATENATE(LEFT($R52,2),"H"),$R$63:$T$91,3,FALSE),VLOOKUP($R52,$R$63:$T$91,3,FALSE)))+IF(AND($R52&lt;&gt;"",$R52&lt;&gt;"O3/CP",$R$15=F$18,MID($R52,4,1)="2",$R$15&lt;&gt;$R$14),VLOOKUP(CONCATENATE(LEFT($R52,2),"L"),$R$63:$T$91,3,FALSE),0)+IF(AND($R52="O3/CP",$R$14=F$18),VLOOKUP("O3",$R$63:$T$91,3,FALSE)+VLOOKUP("CP",$R$63:$T$91,3,FALSE),0)+IF(AND($S52&lt;&gt;"",$S52&lt;&gt;"--",$S52&lt;&gt;"O3/CP",$S$14=F$18),IF(LEFT($S52,1)="P",VLOOKUP(CONCATENATE(LEFT($S52,2),"H"),$R$63:$T$91,3,FALSE),VLOOKUP($S52,$R$63:$T$91,3,FALSE)))+IF(AND($S52&lt;&gt;"",$S52&lt;&gt;"O3/CP",$S$15=F$18,MID($S52,4,1)="2",$S$15&lt;&gt;$S$14),VLOOKUP(CONCATENATE(LEFT($S52,2),"L"),$R$63:$T$91,3,FALSE),0)+IF(AND($S52="O3/CP",$S$14=F$18),VLOOKUP("O3",$R$63:$T$91,3,FALSE)+VLOOKUP("CP",$R$63:$T$91,3,FALSE),0)+IF(AND($T52&lt;&gt;"",$T52&lt;&gt;"--",$T52&lt;&gt;"O3/CP",$T$14=F$18),IF(LEFT($T52,1)="P",VLOOKUP(CONCATENATE(LEFT($T52,2),"H"),$R$63:$T$91,3,FALSE),VLOOKUP($T52,$R$63:$T$91,3,FALSE)))+IF(AND($T52&lt;&gt;"",$T52&lt;&gt;"O3/CP",$T$15=F$18,MID($T52,4,1)="2",$T$15&lt;&gt;$T$14),VLOOKUP(CONCATENATE(LEFT($T52,2),"L"),$R$63:$T$91,3,FALSE),0)+IF(AND($T52="O3/CP",$T$14=F$18),VLOOKUP("O3",$R$63:$T$91,3,FALSE)+VLOOKUP("CP",$R$63:$T$91,3,FALSE),0)+IF(AND($U52&lt;&gt;"",$U52&lt;&gt;"--",$U52&lt;&gt;"O3/CP",$U$14=F$18),IF(LEFT($U52,1)="P",VLOOKUP(CONCATENATE(LEFT($U52,2),"H"),$R$63:$T$91,3,FALSE),VLOOKUP($U52,$R$63:$T$91,3,FALSE)))+IF(AND($U52&lt;&gt;"",$U52&lt;&gt;"O3/CP",$U$15=F$18,MID($U52,4,1)="2",$U$15&lt;&gt;$U$14),VLOOKUP(CONCATENATE(LEFT($U52,2),"L"),$R$63:$T$91,3,FALSE),0)+IF(AND($U52="O3/CP",$T$14=F$18),VLOOKUP("O3",$R$63:$T$91,3,FALSE)+VLOOKUP("CP",$R$63:$T$91,3,FALSE),0)+IF(AND($V52&lt;&gt;"",$V52&lt;&gt;"--",$V52&lt;&gt;"O3/CP",$V$14=F$18),IF(LEFT($V52,1)="P",VLOOKUP(CONCATENATE(LEFT($V52,2),"H"),$R$63:$T$91,3,FALSE),VLOOKUP($V52,$R$63:$T$91,3,FALSE)))+IF(AND($V52&lt;&gt;"",$V52&lt;&gt;"O3/CP",$V$15=F$18,MID($V52,4,1)="2",$V$15&lt;&gt;$V$14),VLOOKUP(CONCATENATE(LEFT($V52,2),"L"),$R$63:$T$91,3,FALSE),0)+IF(AND($V52="O3/CP",$V$14=F$18),VLOOKUP("O3",$R$63:$T$91,3,FALSE)+VLOOKUP("CP",$R$63:$T$91,3,FALSE),0)+IF(AND($W52&lt;&gt;"",$W52&lt;&gt;"--",$W52&lt;&gt;"O3/CP",$W$14=F$18),IF(LEFT($W52,1)="P",VLOOKUP(CONCATENATE(LEFT($W52,2),"H"),$R$63:$T$91,3,FALSE),VLOOKUP($W52,$R$63:$T$91,3,FALSE)))+IF(AND($W52&lt;&gt;"",$W52&lt;&gt;"O3/CP",$W$15=F$18,MID($W52,4,1)="2",$W$15&lt;&gt;$W$14),VLOOKUP(CONCATENATE(LEFT($W52,2),"L"),$R$63:$T$91,3,FALSE),0)+IF(AND($W52="O3/CP",$W$14=F$18),VLOOKUP("O3",$R$63:$T$91,3,FALSE)+VLOOKUP("CP",$R$63:$T$91,3,FALSE),0)+IF(AND($X52&lt;&gt;"",$X52&lt;&gt;"--",$X52&lt;&gt;"O3/CP",$X$14=F$18),IF(LEFT($X52,1)="P",VLOOKUP(CONCATENATE(LEFT($X52,2),"H"),$R$63:$T$91,3,FALSE),VLOOKUP($X52,$R$63:$T$91,3,FALSE)))+IF(AND($X52&lt;&gt;"",$X52&lt;&gt;"O3/CP",$X$15=F$18,MID($X52,4,1)="2",$X$15&lt;&gt;$X$14),VLOOKUP(CONCATENATE(LEFT($X52,2),"L"),$R$63:$T$91,3,FALSE),0)+IF(AND($X52="O3/CP",$X$14=F$18),VLOOKUP("O3",$R$63:$T$91,3,FALSE)+VLOOKUP("CP",$R$63:$T$91,3,FALSE),0)+IF(AND($Y52&lt;&gt;"",$Y52&lt;&gt;"--",$Y52&lt;&gt;"O3/CP",$Y$14=F$18),IF(LEFT($Y52,1)="P",VLOOKUP(CONCATENATE(LEFT($Y52,2),"H"),$R$63:$T$91,3,FALSE),VLOOKUP($Y52,$R$63:$T$91,3,FALSE)))+IF(AND($Y52&lt;&gt;"",$Y52&lt;&gt;"O3/CP",$Y$15=F$18,MID($Y52,4,1)="2",$Y$15&lt;&gt;$Y$14),VLOOKUP(CONCATENATE(LEFT($Y52,2),"L"),$R$63:$T$91,3,FALSE),0)+IF(AND($Y52="O3/CP",$Y$14=F$18),VLOOKUP("O3",$R$63:$T$91,3,FALSE)+VLOOKUP("CP",$R$63:$T$91,3,FALSE),0)+IF(AND($K$6="CE",'[3]Supply Attribution'!$G$20=F$18),LEFT($S$90,2),0)+IF(AND($X$86&lt;&gt;"Not Set",$X$87=F$18),$X$86,0)</f>
        <v>0</v>
      </c>
      <c r="G52" s="269">
        <f>IF(AND($K$6="CE",$T$59="1 Phase"),SUM(A52:F52)-IF(AND($K$14&lt;&gt;$K$15,RIGHT($K52,3)="2SP"),VLOOKUP(CONCATENATE(LEFT($K52,2),"L"),$R$63:$T$90,3,FALSE),0)-IF(AND($L$14&lt;&gt;$L$15,RIGHT($L52,3)="2SP"),VLOOKUP(CONCATENATE(LEFT($L52,2),"L"),$R$63:$T$90,3,FALSE),0)-IF(AND($M$14&lt;&gt;$M$15,RIGHT($M52,3)="2SP"),VLOOKUP(CONCATENATE(LEFT($M52,2),"L"),$R$63:$T$90,3,FALSE),0)-IF(AND($N$14&lt;&gt;$N$15,RIGHT($N52,3)="2SP"),VLOOKUP(CONCATENATE(LEFT($N52,2),"L"),$R$63:$T$90,3,FALSE),0)-IF(AND($O$14&lt;&gt;$O$15,RIGHT($O52,3)="2SP"),VLOOKUP(CONCATENATE(LEFT($O52,2),"L"),$R$63:$T$90,3,FALSE),0)-IF(AND($P$14&lt;&gt;$P$15,RIGHT($P52,3)="2SP"),VLOOKUP(CONCATENATE(LEFT($P52,2),"L"),$R$63:$T$90,3,FALSE),0)-IF(AND($Q$14&lt;&gt;$Q$15,RIGHT($Q52,3)="2SP"),VLOOKUP(CONCATENATE(LEFT($Q52,2),"L"),$R$63:$T$90,3,FALSE),0)-IF(AND($R$14&lt;&gt;$R$15,RIGHT($T52,3)="2SP"),VLOOKUP(CONCATENATE(LEFT($R52,2),"L"),$R$63:$T$90,3,FALSE),0)-IF(AND($S$14&lt;&gt;$S$15,RIGHT($T52,3)="2SP"),VLOOKUP(CONCATENATE(LEFT($S52,2),"L"),$R$63:$T$90,3,FALSE),0)-IF(AND($T$14&lt;&gt;$T$15,RIGHT($T52,3)="2SP"),VLOOKUP(CONCATENATE(LEFT($T52,2),"L"),$R$63:$T$90,3,FALSE),0)-IF(AND($U$14&lt;&gt;$U$15,RIGHT($U52,3)="2SP"),VLOOKUP(CONCATENATE(LEFT($U52,2),"L"),$R$63:$T$90,3,FALSE),0)-IF(AND($V$14&lt;&gt;$V$15,RIGHT($V52,3)="2SP"),VLOOKUP(CONCATENATE(LEFT($V52,2),"L"),$R$63:$T$90,3,FALSE),0)-IF(AND($W$14&lt;&gt;$W$15,RIGHT($W52,3)="2SP"),VLOOKUP(CONCATENATE(LEFT($W52,2),"L"),$R$63:$T$90,3,FALSE),0)-IF(AND($X$14&lt;&gt;$X$15,RIGHT($X52,3)="2SP"),VLOOKUP(CONCATENATE(LEFT($X52,2),"L"),$R$63:$T$90,3,FALSE),0)-IF(AND($Y$14&lt;&gt;$Y$15,RIGHT($Y52,3)="2SP"),VLOOKUP(CONCATENATE(LEFT($Y52,2),"L"),$R$63:$T$90,3,FALSE),0),IF(VLOOKUP(CONCATENATE($A$18,"Line"),'[3]Supply Attribution'!$F$31:$G$37,2,FALSE)=G$18,$A52,0)+IF(VLOOKUP(CONCATENATE($B$18,"Line"),'[3]Supply Attribution'!$F$31:$G$37,2,FALSE)=G$18,$B52,0)+IF(VLOOKUP(CONCATENATE($C$18,"Line"),'[3]Supply Attribution'!$F$31:$G$37,2,FALSE)=G$18,$C52,0)+IF(VLOOKUP(CONCATENATE($D$18,"Line"),'[3]Supply Attribution'!$F$31:$G$37,2,FALSE)=G$18,$D52,0)+IF(VLOOKUP(CONCATENATE($E$18,"Line"),'[3]Supply Attribution'!$F$31:$G$37,2,FALSE)=G$18,$E52,0)+IF(VLOOKUP(CONCATENATE($F$18,"Line"),'[3]Supply Attribution'!$F$31:$G$37,2,FALSE)=G$18,$F52,0)+IF($K$6="UL",LEFT($S$90,2),0)-IF(AND($K$16=G$18,$K$14&lt;&gt;$K$15,$K$16=$K$17,RIGHT($K52,3)="2SP"),VLOOKUP(CONCATENATE(LEFT($K52,2),"L"),$R$63:$T$90,3,FALSE),0)-IF(AND($L$16=G$18,$L$14&lt;&gt;$L$15,$L$16=$L$17,RIGHT($L52,3)="2SP"),VLOOKUP(CONCATENATE(LEFT($L52,2),"L"),$R$63:$T$90,3,FALSE),0)-IF(AND($M$16=G$18,$M$14&lt;&gt;$M$15,$M$16=$M$17,RIGHT($M52,3)="2SP"),VLOOKUP(CONCATENATE(LEFT($M52,2),"L"),$R$63:$T$90,3,FALSE),0)-IF(AND($N$16=G$18,$N$14&lt;&gt;$N$15,$N$16=$N$17,RIGHT($N52,3)="2SP"),VLOOKUP(CONCATENATE(LEFT($N52,2),"L"),$R$63:$T$90,3,FALSE),0)-IF(AND($O$16=G$18,$O$14&lt;&gt;$O$15,$O$16=$O$17,RIGHT($O52,3)="2SP"),VLOOKUP(CONCATENATE(LEFT($O52,2),"L"),$R$63:$T$90,3,FALSE),0)-IF(AND($P$16=G$18,$P$14&lt;&gt;$P$15,$P$16=$P$17,RIGHT($P52,3)="2SP"),VLOOKUP(CONCATENATE(LEFT($P52,2),"L"),$R$63:$T$90,3,FALSE),0)-IF(AND($Q$16=G$18,$Q$14&lt;&gt;$Q$15,$Q$16=$Q$17,RIGHT($Q52,3)="2SP"),VLOOKUP(CONCATENATE(LEFT($Q52,2),"L"),$R$63:$T$90,3,FALSE),0)-IF(AND($R$16=G$18,$R$14&lt;&gt;$R$15,$R$16=$R$17,RIGHT($R52,3)="2SP"),VLOOKUP(CONCATENATE(LEFT($R52,2),"L"),$R$63:$T$90,3,FALSE),0)-IF(AND($S$16=G$18,$S$14&lt;&gt;$S$15,$S$16=$S$17,RIGHT($S52,3)="2SP"),VLOOKUP(CONCATENATE(LEFT($S52,2),"L"),$R$63:$T$90,3,FALSE),0)-IF(AND($T$16=G$18,$T$14&lt;&gt;$T$15,$T$16=$T$17,RIGHT($T52,3)="2SP"),VLOOKUP(CONCATENATE(LEFT($T52,2),"L"),$R$63:$T$90,3,FALSE),0)-IF(AND($U$16=G$18,$U$14&lt;&gt;$U$15,$U$16=$U$17,RIGHT($U52,3)="2SP"),VLOOKUP(CONCATENATE(LEFT($U52,2),"L"),$R$63:$T$90,3,FALSE),0)-IF(AND($V$16=G$18,$V$14&lt;&gt;$V$15,$V$16=$V$17,RIGHT($V52,3)="2SP"),VLOOKUP(CONCATENATE(LEFT($V52,2),"L"),$R$63:$T$90,3,FALSE),0)-IF(AND($W$16=G$18,$W$14&lt;&gt;$W$15,$W$16=$W$17,RIGHT($W52,3)="2SP"),VLOOKUP(CONCATENATE(LEFT($W52,2),"L"),$R$63:$T$90,3,FALSE),0)-IF(AND($X$16=G$18,$X$14&lt;&gt;$X$15,$X$16=$X$17,RIGHT($X52,3)="2SP"),VLOOKUP(CONCATENATE(LEFT($X52,2),"L"),$R$63:$T$90,3,FALSE),0)-IF(AND($Y$16=G$18,$Y$14&lt;&gt;$Y$15,$Y$16=$Y$17,RIGHT($Y52,3)="2SP"),VLOOKUP(CONCATENATE(LEFT($Y52,2),"L"),$R$63:$T$90,3,FALSE),0))</f>
        <v>17</v>
      </c>
      <c r="H52" s="269" t="str">
        <f>IF(H$18&lt;&gt;"",IF(VLOOKUP(CONCATENATE($A$18,"Line"),'Supply Attribution'!$F$31:$G$37,2,FALSE)=H$18,$A52,0)+IF(VLOOKUP(CONCATENATE($B$18,"Line"),'Supply Attribution'!$F$31:$G$37,2,FALSE)=H$18,$B52,0)+IF(VLOOKUP(CONCATENATE($C$18,"Line"),'Supply Attribution'!$F$31:$G$37,2,FALSE)=H$18,$C52,0)+IF(VLOOKUP(CONCATENATE($D$18,"Line"),'Supply Attribution'!$F$31:$G$37,2,FALSE)=H$18,$D52,0)+IF(VLOOKUP(CONCATENATE($E$18,"Line"),'Supply Attribution'!$F$31:$G$37,2,FALSE)=H$18,$E52,0)+IF(VLOOKUP(CONCATENATE($F$18,"Line"),'Supply Attribution'!$F$31:$G$37,2,FALSE)=H$18,$F52,0)+IF($K$6="UL",LEFT($S$90,2),0)-IF(AND($K$16=H$18,$K$14&lt;&gt;$K$15,$K$16=$K$17,RIGHT($K52,3)="2SP"),VLOOKUP(CONCATENATE(LEFT($K52,2),"L"),$R$63:$T$90,3,FALSE),0)-IF(AND($L$16=H$18,$L$14&lt;&gt;$L$15,$L$16=$L$17,RIGHT($L52,3)="2SP"),VLOOKUP(CONCATENATE(LEFT($L52,2),"L"),$R$63:$T$90,3,FALSE),0)-IF(AND($M$16=H$18,$M$14&lt;&gt;$M$15,$M$16=$M$17,RIGHT($M52,3)="2SP"),VLOOKUP(CONCATENATE(LEFT($M52,2),"L"),$R$63:$T$90,3,FALSE),0)-IF(AND($N$16=H$18,$N$14&lt;&gt;$N$15,$N$16=$N$17,RIGHT($N52,3)="2SP"),VLOOKUP(CONCATENATE(LEFT($N52,2),"L"),$R$63:$T$90,3,FALSE),0)-IF(AND($O$16=H$18,$O$14&lt;&gt;$O$15,$O$16=$O$17,RIGHT($O52,3)="2SP"),VLOOKUP(CONCATENATE(LEFT($O52,2),"L"),$R$63:$T$90,3,FALSE),0)-IF(AND($P$16=H$18,$P$14&lt;&gt;$P$15,$P$16=$P$17,RIGHT($P52,3)="2SP"),VLOOKUP(CONCATENATE(LEFT($P52,2),"L"),$R$63:$T$90,3,FALSE),0)-IF(AND($Q$16=H$18,$Q$14&lt;&gt;$Q$15,$Q$16=$Q$17,RIGHT($Q52,3)="2SP"),VLOOKUP(CONCATENATE(LEFT($Q52,2),"L"),$R$63:$T$90,3,FALSE),0)-IF(AND($T$16=H$18,$T$14&lt;&gt;$T$15,$T$16=$T$17,RIGHT($T52,3)="2SP"),VLOOKUP(CONCATENATE(LEFT($T52,2),"L"),$R$63:$T$90,3,FALSE),0)-IF(AND($U$16=H$18,$U$14&lt;&gt;$U$15,$U$16=$U$17,RIGHT($U52,3)="2SP"),VLOOKUP(CONCATENATE(LEFT($U52,2),"L"),$R$63:$T$90,3,FALSE),0)-IF(AND($V$16=H$18,$V$14&lt;&gt;$V$15,$V$16=$V$17,RIGHT($V52,3)="2SP"),VLOOKUP(CONCATENATE(LEFT($V52,2),"L"),$R$63:$T$90,3,FALSE),0)-IF(AND($W$16=H$18,$W$14&lt;&gt;$W$15,$W$16=$W$17,RIGHT($W52,3)="2SP"),VLOOKUP(CONCATENATE(LEFT($W52,2),"L"),$R$63:$T$90,3,FALSE),0)-IF(AND($X$16=H$18,$X$14&lt;&gt;$X$15,$X$16=$X$17,RIGHT($X52,3)="2SP"),VLOOKUP(CONCATENATE(LEFT($X52,2),"L"),$R$63:$T$90,3,FALSE),0)-IF(AND($Y$16=H$18,$Y$14&lt;&gt;$Y$15,$Y$16=$Y$17,RIGHT($Y52,3)="2SP"),VLOOKUP(CONCATENATE(LEFT($Y52,2),"L"),$R$63:$T$90,3,FALSE),0)+IF(AND($K$6="CE",$T$59="2 Phases",H$18&lt;&gt;""),IF(VLOOKUP(CONCATENATE($A$18,"Line"),'Supply Attribution'!$F$31:$G$37,2,FALSE)="Line3",$A52,0)+IF(VLOOKUP(CONCATENATE($B$18,"Line"),'Supply Attribution'!$F$31:$G$37,2,FALSE)="Line3",$B52,0)+IF(VLOOKUP(CONCATENATE($C$18,"Line"),'Supply Attribution'!$F$31:$G$37,2,FALSE)="Line3",$C52,0)+IF(VLOOKUP(CONCATENATE($D$18,"Line"),'Supply Attribution'!$F$31:$G$37,2,FALSE)="Line3",$D52,0)+IF(VLOOKUP(CONCATENATE($E$18,"Line"),'Supply Attribution'!$F$31:$G$37,2,FALSE)="Line3",$E52,0)+IF(VLOOKUP(CONCATENATE($F$18,"Line"),'Supply Attribution'!$F$31:$G$37,2,FALSE)="Line3",$F52,0)-IF(AND($K$16=I$18,$K$14&lt;&gt;$K$15,$K$16=$K$17,RIGHT($K52,3)="2SP"),VLOOKUP(CONCATENATE(LEFT($K52,2),"L"),$R$63:$T$90,3,FALSE),0)-IF(AND($L$16=I$18,$L$14&lt;&gt;$L$15,$L$16=$L$17,RIGHT($L52,3)="2SP"),VLOOKUP(CONCATENATE(LEFT($L52,2),"L"),$R$63:$T$90,3,FALSE),0)-IF(AND($M$16=I$18,$M$14&lt;&gt;$M$15,$M$16=$M$17,RIGHT($M52,3)="2SP"),VLOOKUP(CONCATENATE(LEFT($M52,2),"L"),$R$63:$T$90,3,FALSE),0)-IF(AND($N$16=I$18,$N$14&lt;&gt;$N$15,$N$16=$N$17,RIGHT($N52,3)="2SP"),VLOOKUP(CONCATENATE(LEFT($N52,2),"L"),$R$63:$T$90,3,FALSE),0)-IF(AND($O$16=I$18,$O$14&lt;&gt;$O$15,$O$16=$O$17,RIGHT($O52,3)="2SP"),VLOOKUP(CONCATENATE(LEFT($O52,2),"L"),$R$63:$T$90,3,FALSE),0)-IF(AND($P$16=I$18,$P$14&lt;&gt;$P$15,$P$16=$P$17,RIGHT($P52,3)="2SP"),VLOOKUP(CONCATENATE(LEFT($P52,2),"L"),$R$63:$T$90,3,FALSE),0)-IF(AND($Q$16=I$18,$Q$14&lt;&gt;$Q$15,$Q$16=$Q$17,RIGHT($Q52,3)="2SP"),VLOOKUP(CONCATENATE(LEFT($Q52,2),"L"),$R$63:$T$90,3,FALSE),0)-IF(AND($T$16=I$18,$T$14&lt;&gt;$T$15,$T$16=$T$17,RIGHT($T52,3)="2SP"),VLOOKUP(CONCATENATE(LEFT($T52,2),"L"),$R$63:$T$90,3,FALSE),0)-IF(AND($U$16=I$18,$U$14&lt;&gt;$U$15,$U$16=$U$17,RIGHT($U52,3)="2SP"),VLOOKUP(CONCATENATE(LEFT($U52,2),"L"),$R$63:$T$90,3,FALSE),0)-IF(AND($V$16=I$18,$V$14&lt;&gt;$V$15,$V$16=$V$17,RIGHT($V52,3)="2SP"),VLOOKUP(CONCATENATE(LEFT($V52,2),"L"),$R$63:$T$90,3,FALSE),0)-IF(AND($W$16=I$18,$W$14&lt;&gt;$W$15,$W$16=$W$17,RIGHT($W52,3)="2SP"),VLOOKUP(CONCATENATE(LEFT($W52,2),"L"),$R$63:$T$90,3,FALSE),0)-IF(AND($X$16=I$18,$X$14&lt;&gt;$X$15,$X$16=$X$17,RIGHT($X52,3)="2SP"),VLOOKUP(CONCATENATE(LEFT($X52,2),"L"),$R$63:$T$90,3,FALSE),0)-IF(AND($Y$16=I$18,$Y$14&lt;&gt;$Y$15,$Y$16=$Y$17,RIGHT($Y52,3)="2SP"),VLOOKUP(CONCATENATE(LEFT($Y52,2),"L"),$R$63:$T$90,3,FALSE),0),0),"")</f>
        <v/>
      </c>
      <c r="I52" s="269" t="str">
        <f>IF(I$18&lt;&gt;"",IF(VLOOKUP(CONCATENATE($A$18,"Line"),'Supply Attribution'!$F$31:$G$37,2,FALSE)=I$18,$A52,0)+IF(VLOOKUP(CONCATENATE($B$18,"Line"),'Supply Attribution'!$F$31:$G$37,2,FALSE)=I$18,$B52,0)+IF(VLOOKUP(CONCATENATE($C$18,"Line"),'Supply Attribution'!$F$31:$G$37,2,FALSE)=I$18,$C52,0)+IF(VLOOKUP(CONCATENATE($D$18,"Line"),'Supply Attribution'!$F$31:$G$37,2,FALSE)=I$18,$D52,0)+IF(VLOOKUP(CONCATENATE($E$18,"Line"),'Supply Attribution'!$F$31:$G$37,2,FALSE)=I$18,$E52,0)+IF(VLOOKUP(CONCATENATE($F$18,"Line"),'Supply Attribution'!$F$31:$G$37,2,FALSE)=I$18,$F52,0)+IF($K$6="UL",LEFT($S$90,2),0)-IF(AND($K$16=I$18,$K$14&lt;&gt;$K$15,$K$16=$K$17,RIGHT($K52,3)="2SP"),VLOOKUP(CONCATENATE(LEFT($K52,2),"L"),$R$63:$T$90,3,FALSE),0)-IF(AND($L$16=I$18,$L$14&lt;&gt;$L$15,$L$16=$L$17,RIGHT($L52,3)="2SP"),VLOOKUP(CONCATENATE(LEFT($L52,2),"L"),$R$63:$T$90,3,FALSE),0)-IF(AND($M$16=I$18,$M$14&lt;&gt;$M$15,$M$16=$M$17,RIGHT($M52,3)="2SP"),VLOOKUP(CONCATENATE(LEFT($M52,2),"L"),$R$63:$T$90,3,FALSE),0)-IF(AND($N$16=I$18,$N$14&lt;&gt;$N$15,$N$16=$N$17,RIGHT($N52,3)="2SP"),VLOOKUP(CONCATENATE(LEFT($N52,2),"L"),$R$63:$T$90,3,FALSE),0)-IF(AND($O$16=I$18,$O$14&lt;&gt;$O$15,$O$16=$O$17,RIGHT($O52,3)="2SP"),VLOOKUP(CONCATENATE(LEFT($O52,2),"L"),$R$63:$T$90,3,FALSE),0)-IF(AND($P$16=I$18,$P$14&lt;&gt;$P$15,$P$16=$P$17,RIGHT($P52,3)="2SP"),VLOOKUP(CONCATENATE(LEFT($P52,2),"L"),$R$63:$T$90,3,FALSE),0)-IF(AND($Q$16=I$18,$Q$14&lt;&gt;$Q$15,$Q$16=$Q$17,RIGHT($Q52,3)="2SP"),VLOOKUP(CONCATENATE(LEFT($Q52,2),"L"),$R$63:$T$90,3,FALSE),0)-IF(AND($T$16=I$18,$T$14&lt;&gt;$T$15,$T$16=$T$17,RIGHT($T52,3)="2SP"),VLOOKUP(CONCATENATE(LEFT($T52,2),"L"),$R$63:$T$90,3,FALSE),0)-IF(AND($U$16=I$18,$U$14&lt;&gt;$U$15,$U$16=$U$17,RIGHT($U52,3)="2SP"),VLOOKUP(CONCATENATE(LEFT($U52,2),"L"),$R$63:$T$90,3,FALSE),0)-IF(AND($V$16=I$18,$V$14&lt;&gt;$V$15,$V$16=$V$17,RIGHT($V52,3)="2SP"),VLOOKUP(CONCATENATE(LEFT($V52,2),"L"),$R$63:$T$90,3,FALSE),0)-IF(AND($W$16=I$18,$W$14&lt;&gt;$W$15,$W$16=$W$17,RIGHT($W52,3)="2SP"),VLOOKUP(CONCATENATE(LEFT($W52,2),"L"),$R$63:$T$90,3,FALSE),0)-IF(AND($X$16=I$18,$X$14&lt;&gt;$X$15,$X$16=$X$17,RIGHT($X52,3)="2SP"),VLOOKUP(CONCATENATE(LEFT($X52,2),"L"),$R$63:$T$90,3,FALSE),0)-IF(AND($Y$16=I$18,$Y$14&lt;&gt;$Y$15,$Y$16=$Y$17,RIGHT($Y52,3)="2SP"),VLOOKUP(CONCATENATE(LEFT($Y52,2),"L"),$R$63:$T$90,3,FALSE),0),"")</f>
        <v/>
      </c>
      <c r="J52" s="134"/>
      <c r="K52" s="135"/>
      <c r="L52" s="135"/>
      <c r="M52" s="135"/>
      <c r="N52" s="135"/>
      <c r="O52" s="135"/>
      <c r="P52" s="135"/>
      <c r="Q52" s="135"/>
      <c r="R52" s="135"/>
      <c r="S52" s="135"/>
      <c r="T52" s="135"/>
      <c r="U52" s="135"/>
      <c r="V52" s="135"/>
      <c r="W52" s="135"/>
      <c r="X52" s="135"/>
      <c r="Y52" s="135"/>
      <c r="Z52" s="136"/>
      <c r="AA52" s="136"/>
      <c r="AB52" s="137"/>
      <c r="AC52" s="137"/>
      <c r="AD52" s="137"/>
      <c r="AE52" s="138">
        <f t="shared" si="0"/>
        <v>0</v>
      </c>
      <c r="AF52" s="78"/>
    </row>
    <row r="53" spans="1:32" ht="13.5" thickBot="1">
      <c r="A53" s="549"/>
      <c r="B53" s="550"/>
      <c r="C53" s="550"/>
      <c r="D53" s="550"/>
      <c r="E53" s="550"/>
      <c r="F53" s="551"/>
      <c r="G53" s="550"/>
      <c r="H53" s="550"/>
      <c r="I53" s="550"/>
      <c r="J53" s="552"/>
      <c r="K53" s="553"/>
      <c r="L53" s="553"/>
      <c r="M53" s="553"/>
      <c r="N53" s="553"/>
      <c r="O53" s="553"/>
      <c r="P53" s="553"/>
      <c r="Q53" s="553"/>
      <c r="R53" s="553"/>
      <c r="S53" s="553"/>
      <c r="T53" s="553"/>
      <c r="U53" s="553"/>
      <c r="V53" s="553"/>
      <c r="W53" s="553"/>
      <c r="X53" s="553"/>
      <c r="Y53" s="553"/>
      <c r="Z53" s="554"/>
      <c r="AA53" s="554"/>
      <c r="AB53" s="555"/>
      <c r="AC53" s="555"/>
      <c r="AD53" s="555"/>
      <c r="AE53" s="556"/>
      <c r="AF53" s="78"/>
    </row>
    <row r="54" spans="1:32" ht="13.5" thickBot="1">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c r="AA54" s="72"/>
      <c r="AB54" s="72"/>
      <c r="AC54" s="72"/>
      <c r="AD54" s="78"/>
    </row>
    <row r="55" spans="1:32" ht="12.75" customHeight="1">
      <c r="A55" s="72" t="str">
        <f>IF(RIGHT(L2,4)="128K","CORE FIXED - DO NOT UPDATE CORE  VERSION","")</f>
        <v/>
      </c>
      <c r="B55" s="72"/>
      <c r="C55" s="733"/>
      <c r="D55" s="733"/>
      <c r="E55" s="733"/>
      <c r="F55" s="733"/>
      <c r="G55" s="72"/>
      <c r="H55" s="72"/>
      <c r="I55" s="72"/>
      <c r="J55" s="785" t="s">
        <v>165</v>
      </c>
      <c r="K55" s="786"/>
      <c r="L55" s="786"/>
      <c r="M55" s="786"/>
      <c r="N55" s="786"/>
      <c r="O55" s="786"/>
      <c r="P55" s="786"/>
      <c r="Q55" s="786"/>
      <c r="R55" s="786"/>
      <c r="S55" s="786"/>
      <c r="T55" s="786"/>
      <c r="U55" s="786"/>
      <c r="V55" s="786"/>
      <c r="W55" s="786"/>
      <c r="X55" s="786"/>
      <c r="Y55" s="786"/>
      <c r="Z55" s="786"/>
      <c r="AA55" s="786"/>
      <c r="AB55" s="786"/>
      <c r="AC55" s="786"/>
      <c r="AD55" s="309"/>
    </row>
    <row r="56" spans="1:32" ht="13.5" customHeight="1">
      <c r="A56" s="72"/>
      <c r="B56" s="72"/>
      <c r="C56" s="72"/>
      <c r="D56" s="72"/>
      <c r="E56" s="72"/>
      <c r="F56" s="72"/>
      <c r="G56" s="72"/>
      <c r="H56" s="72"/>
      <c r="I56" s="72"/>
      <c r="J56" s="787"/>
      <c r="K56" s="788"/>
      <c r="L56" s="788"/>
      <c r="M56" s="788"/>
      <c r="N56" s="788"/>
      <c r="O56" s="788"/>
      <c r="P56" s="788"/>
      <c r="Q56" s="788"/>
      <c r="R56" s="788"/>
      <c r="S56" s="788"/>
      <c r="T56" s="788"/>
      <c r="U56" s="788"/>
      <c r="V56" s="788"/>
      <c r="W56" s="788"/>
      <c r="X56" s="788"/>
      <c r="Y56" s="788"/>
      <c r="Z56" s="788"/>
      <c r="AA56" s="788"/>
      <c r="AB56" s="788"/>
      <c r="AC56" s="788"/>
      <c r="AD56" s="310"/>
    </row>
    <row r="57" spans="1:32" ht="13.5" thickBot="1">
      <c r="A57" s="72"/>
      <c r="B57" s="72"/>
      <c r="C57" s="72"/>
      <c r="D57" s="72"/>
      <c r="E57" s="72"/>
      <c r="F57" s="72"/>
      <c r="G57" s="72"/>
      <c r="H57" s="72"/>
      <c r="I57" s="72"/>
      <c r="J57" s="728" t="s">
        <v>4</v>
      </c>
      <c r="K57" s="729"/>
      <c r="L57" s="730"/>
      <c r="M57" s="539" t="s">
        <v>283</v>
      </c>
      <c r="N57" s="728" t="s">
        <v>405</v>
      </c>
      <c r="O57" s="729"/>
      <c r="P57" s="730"/>
      <c r="Q57" s="539" t="s">
        <v>283</v>
      </c>
      <c r="R57" s="728" t="s">
        <v>49</v>
      </c>
      <c r="S57" s="729"/>
      <c r="T57" s="730"/>
      <c r="U57" s="539" t="s">
        <v>283</v>
      </c>
      <c r="V57" s="728" t="s">
        <v>336</v>
      </c>
      <c r="W57" s="729"/>
      <c r="X57" s="730"/>
      <c r="Y57" s="728" t="s">
        <v>370</v>
      </c>
      <c r="Z57" s="729"/>
      <c r="AA57" s="730"/>
      <c r="AB57" s="262"/>
      <c r="AC57" s="262"/>
      <c r="AD57" s="262"/>
    </row>
    <row r="58" spans="1:32">
      <c r="A58" s="72"/>
      <c r="B58" s="72"/>
      <c r="C58" s="72"/>
      <c r="D58" s="72"/>
      <c r="E58" s="72"/>
      <c r="F58" s="72"/>
      <c r="G58" s="72"/>
      <c r="H58" s="72"/>
      <c r="I58" s="72"/>
      <c r="J58" s="140" t="s">
        <v>5</v>
      </c>
      <c r="K58" s="141"/>
      <c r="L58" s="142" t="s">
        <v>569</v>
      </c>
      <c r="M58" s="532"/>
      <c r="N58" s="150" t="s">
        <v>57</v>
      </c>
      <c r="O58" s="107"/>
      <c r="P58" s="146" t="s">
        <v>58</v>
      </c>
      <c r="Q58" s="304"/>
      <c r="R58" s="292" t="s">
        <v>50</v>
      </c>
      <c r="S58" s="107"/>
      <c r="T58" s="146" t="str">
        <f>IF($K$6="CE", "3 Phases", "1 Phase")</f>
        <v>1 Phase</v>
      </c>
      <c r="U58" s="319"/>
      <c r="V58" s="433" t="s">
        <v>331</v>
      </c>
      <c r="W58" s="112"/>
      <c r="X58" s="434">
        <v>48</v>
      </c>
      <c r="Y58" s="143" t="s">
        <v>174</v>
      </c>
      <c r="Z58" s="167"/>
      <c r="AA58" s="177" t="s">
        <v>359</v>
      </c>
      <c r="AB58" s="262"/>
      <c r="AC58" s="262"/>
      <c r="AD58" s="262"/>
    </row>
    <row r="59" spans="1:32">
      <c r="A59" s="72"/>
      <c r="B59" s="72"/>
      <c r="C59" s="72"/>
      <c r="D59" s="72"/>
      <c r="E59" s="72"/>
      <c r="F59" s="72"/>
      <c r="G59" s="72"/>
      <c r="H59" s="72"/>
      <c r="I59" s="72"/>
      <c r="J59" s="143" t="s">
        <v>74</v>
      </c>
      <c r="K59" s="261">
        <f>IF(L59&gt;41,ROUND((L59-32)/1.8,0.5),ROUND(L59*1.8+32,0))</f>
        <v>35</v>
      </c>
      <c r="L59" s="259">
        <v>95</v>
      </c>
      <c r="M59" s="533"/>
      <c r="N59" s="169" t="s">
        <v>84</v>
      </c>
      <c r="O59" s="107"/>
      <c r="P59" s="148">
        <v>2</v>
      </c>
      <c r="Q59" s="305"/>
      <c r="R59" s="144" t="s">
        <v>170</v>
      </c>
      <c r="S59" s="107"/>
      <c r="T59" s="146" t="str">
        <f>IF($K$6="CE", "3 Phases", "1 Phase")</f>
        <v>1 Phase</v>
      </c>
      <c r="U59" s="304"/>
      <c r="V59" s="150" t="s">
        <v>332</v>
      </c>
      <c r="W59" s="107"/>
      <c r="X59" s="156">
        <v>20</v>
      </c>
      <c r="Y59" s="143" t="s">
        <v>175</v>
      </c>
      <c r="Z59" s="167"/>
      <c r="AA59" s="146" t="s">
        <v>176</v>
      </c>
      <c r="AB59" s="262"/>
      <c r="AC59" s="262"/>
      <c r="AD59" s="262"/>
    </row>
    <row r="60" spans="1:32">
      <c r="A60" s="72"/>
      <c r="B60" s="72"/>
      <c r="C60" s="72"/>
      <c r="D60" s="72"/>
      <c r="E60" s="72"/>
      <c r="F60" s="72"/>
      <c r="G60" s="72"/>
      <c r="H60" s="72"/>
      <c r="I60" s="72"/>
      <c r="J60" s="150" t="s">
        <v>51</v>
      </c>
      <c r="K60" s="261">
        <f>IF(L60&gt;41,ROUND((L60-32)/1.8,0.5),ROUND(L60*1.8+32,0))</f>
        <v>15</v>
      </c>
      <c r="L60" s="260">
        <f>IF(K6="CE",15,59)</f>
        <v>59</v>
      </c>
      <c r="M60" s="534"/>
      <c r="N60" s="163" t="s">
        <v>87</v>
      </c>
      <c r="O60" s="176"/>
      <c r="P60" s="181">
        <v>2</v>
      </c>
      <c r="Q60" s="306"/>
      <c r="R60" s="293" t="s">
        <v>52</v>
      </c>
      <c r="S60" s="107"/>
      <c r="T60" s="156">
        <v>48</v>
      </c>
      <c r="U60" s="320"/>
      <c r="V60" s="150" t="s">
        <v>333</v>
      </c>
      <c r="W60" s="107"/>
      <c r="X60" s="156">
        <v>16</v>
      </c>
      <c r="Y60" s="143" t="s">
        <v>177</v>
      </c>
      <c r="Z60" s="167"/>
      <c r="AA60" s="146" t="s">
        <v>178</v>
      </c>
      <c r="AB60" s="262"/>
      <c r="AC60" s="262"/>
      <c r="AD60" s="262"/>
    </row>
    <row r="61" spans="1:32" ht="13.5" thickBot="1">
      <c r="A61" s="72"/>
      <c r="B61" s="72"/>
      <c r="C61" s="72"/>
      <c r="D61" s="72"/>
      <c r="E61" s="72"/>
      <c r="F61" s="72"/>
      <c r="G61" s="72"/>
      <c r="H61" s="72"/>
      <c r="I61" s="72"/>
      <c r="J61" s="150" t="s">
        <v>53</v>
      </c>
      <c r="K61" s="261">
        <f>IF(L61&gt;41,ROUND((L61-32)/1.8,0.5),ROUND(L61*1.8+32,0))</f>
        <v>40</v>
      </c>
      <c r="L61" s="260">
        <v>104</v>
      </c>
      <c r="M61" s="534"/>
      <c r="N61" s="163" t="s">
        <v>88</v>
      </c>
      <c r="O61" s="167"/>
      <c r="P61" s="182">
        <v>4</v>
      </c>
      <c r="Q61" s="307"/>
      <c r="R61" s="107" t="s">
        <v>109</v>
      </c>
      <c r="S61" s="107"/>
      <c r="T61" s="162">
        <v>10</v>
      </c>
      <c r="U61" s="321"/>
      <c r="V61" s="150" t="s">
        <v>334</v>
      </c>
      <c r="W61" s="107"/>
      <c r="X61" s="156">
        <v>48</v>
      </c>
      <c r="Y61" s="143" t="s">
        <v>179</v>
      </c>
      <c r="Z61" s="167"/>
      <c r="AA61" s="146" t="s">
        <v>180</v>
      </c>
      <c r="AB61" s="262"/>
      <c r="AC61" s="262"/>
      <c r="AD61" s="262"/>
    </row>
    <row r="62" spans="1:32" ht="13.5" thickBot="1">
      <c r="A62" s="72"/>
      <c r="B62" s="72"/>
      <c r="C62" s="72"/>
      <c r="D62" s="72"/>
      <c r="E62" s="72"/>
      <c r="F62" s="72"/>
      <c r="G62" s="72"/>
      <c r="H62" s="72"/>
      <c r="I62" s="72"/>
      <c r="J62" s="163" t="s">
        <v>56</v>
      </c>
      <c r="K62" s="164"/>
      <c r="L62" s="165">
        <v>0</v>
      </c>
      <c r="M62" s="538"/>
      <c r="N62" s="175" t="s">
        <v>89</v>
      </c>
      <c r="O62" s="186"/>
      <c r="P62" s="187">
        <v>2</v>
      </c>
      <c r="Q62" s="307"/>
      <c r="R62" s="174" t="s">
        <v>290</v>
      </c>
      <c r="S62" s="167"/>
      <c r="T62" s="187" t="s">
        <v>291</v>
      </c>
      <c r="U62" s="262"/>
      <c r="V62" s="150" t="s">
        <v>335</v>
      </c>
      <c r="W62" s="107"/>
      <c r="X62" s="156">
        <f>IF(K6="CE",20,48)</f>
        <v>48</v>
      </c>
      <c r="Y62" s="143" t="s">
        <v>371</v>
      </c>
      <c r="Z62" s="167"/>
      <c r="AA62" s="146" t="s">
        <v>189</v>
      </c>
      <c r="AB62" s="262"/>
      <c r="AC62" s="262"/>
      <c r="AD62" s="262"/>
    </row>
    <row r="63" spans="1:32" ht="13.5" thickBot="1">
      <c r="A63" s="72"/>
      <c r="B63" s="72"/>
      <c r="C63" s="72"/>
      <c r="D63" s="72"/>
      <c r="E63" s="72"/>
      <c r="F63" s="72"/>
      <c r="G63" s="72"/>
      <c r="H63" s="72"/>
      <c r="I63" s="72"/>
      <c r="J63" s="734" t="s">
        <v>96</v>
      </c>
      <c r="K63" s="735"/>
      <c r="L63" s="736"/>
      <c r="M63" s="540" t="s">
        <v>283</v>
      </c>
      <c r="N63" s="728" t="s">
        <v>48</v>
      </c>
      <c r="O63" s="729"/>
      <c r="P63" s="730"/>
      <c r="Q63" s="540" t="s">
        <v>283</v>
      </c>
      <c r="R63" s="735" t="s">
        <v>21</v>
      </c>
      <c r="S63" s="735"/>
      <c r="T63" s="736"/>
      <c r="U63" s="540" t="s">
        <v>283</v>
      </c>
      <c r="V63" s="174" t="s">
        <v>338</v>
      </c>
      <c r="W63" s="186"/>
      <c r="X63" s="156">
        <v>20</v>
      </c>
      <c r="Y63" s="204" t="s">
        <v>181</v>
      </c>
      <c r="Z63" s="186"/>
      <c r="AA63" s="202">
        <v>6</v>
      </c>
      <c r="AB63" s="262"/>
      <c r="AC63" s="262"/>
      <c r="AD63" s="262"/>
      <c r="AE63" s="543"/>
    </row>
    <row r="64" spans="1:32" ht="13.5" thickBot="1">
      <c r="A64" s="72"/>
      <c r="B64" s="72"/>
      <c r="C64" s="72"/>
      <c r="D64" s="72"/>
      <c r="E64" s="72"/>
      <c r="F64" s="72"/>
      <c r="G64" s="72"/>
      <c r="H64" s="72"/>
      <c r="I64" s="72"/>
      <c r="J64" s="150" t="s">
        <v>91</v>
      </c>
      <c r="K64" s="144"/>
      <c r="L64" s="165">
        <v>20</v>
      </c>
      <c r="M64" s="535"/>
      <c r="N64" s="143" t="s">
        <v>78</v>
      </c>
      <c r="O64" s="144"/>
      <c r="P64" s="145">
        <v>0</v>
      </c>
      <c r="Q64" s="297"/>
      <c r="R64" s="294" t="s">
        <v>13</v>
      </c>
      <c r="S64" s="172" t="str">
        <f>IF(R64&lt;&gt;"--",IF(R64&lt;&gt;"","--------------&gt;",""),"")</f>
        <v>--------------&gt;</v>
      </c>
      <c r="T64" s="156">
        <v>12</v>
      </c>
      <c r="U64" s="262"/>
      <c r="V64" s="734" t="s">
        <v>112</v>
      </c>
      <c r="W64" s="735"/>
      <c r="X64" s="736"/>
      <c r="Y64" s="541" t="s">
        <v>406</v>
      </c>
      <c r="Z64" s="262"/>
      <c r="AA64" s="262"/>
      <c r="AB64" s="262"/>
      <c r="AC64" s="262"/>
      <c r="AD64" s="262"/>
      <c r="AE64" s="543"/>
    </row>
    <row r="65" spans="1:32">
      <c r="A65" s="72"/>
      <c r="B65" s="72"/>
      <c r="C65" s="72"/>
      <c r="D65" s="72"/>
      <c r="E65" s="72"/>
      <c r="F65" s="72"/>
      <c r="G65" s="72"/>
      <c r="H65" s="72"/>
      <c r="I65" s="72"/>
      <c r="J65" s="150" t="s">
        <v>92</v>
      </c>
      <c r="K65" s="144"/>
      <c r="L65" s="173">
        <v>120</v>
      </c>
      <c r="M65" s="536"/>
      <c r="N65" s="143" t="s">
        <v>79</v>
      </c>
      <c r="O65" s="144"/>
      <c r="P65" s="149">
        <v>2</v>
      </c>
      <c r="Q65" s="298"/>
      <c r="R65" s="294" t="s">
        <v>14</v>
      </c>
      <c r="S65" s="172" t="str">
        <f t="shared" ref="S65:S85" si="1">IF(R65&lt;&gt;"--",IF(R65&lt;&gt;"","--------------&gt;",""),"")</f>
        <v>--------------&gt;</v>
      </c>
      <c r="T65" s="156">
        <v>4</v>
      </c>
      <c r="U65" s="262"/>
      <c r="V65" s="143" t="s">
        <v>113</v>
      </c>
      <c r="W65" s="107"/>
      <c r="X65" s="147" t="s">
        <v>127</v>
      </c>
      <c r="Y65" s="542" t="s">
        <v>407</v>
      </c>
      <c r="Z65" s="262"/>
      <c r="AA65" s="262"/>
      <c r="AB65" s="262"/>
      <c r="AC65" s="262"/>
      <c r="AD65" s="262"/>
      <c r="AE65" s="543"/>
    </row>
    <row r="66" spans="1:32" ht="13.5" thickBot="1">
      <c r="A66" s="72"/>
      <c r="B66" s="72"/>
      <c r="C66" s="72"/>
      <c r="D66" s="72"/>
      <c r="E66" s="72"/>
      <c r="F66" s="72"/>
      <c r="G66" s="72"/>
      <c r="H66" s="72"/>
      <c r="I66" s="72"/>
      <c r="J66" s="150" t="s">
        <v>95</v>
      </c>
      <c r="K66" s="164"/>
      <c r="L66" s="165">
        <v>120</v>
      </c>
      <c r="M66" s="535"/>
      <c r="N66" s="143" t="s">
        <v>80</v>
      </c>
      <c r="O66" s="144"/>
      <c r="P66" s="155">
        <v>0</v>
      </c>
      <c r="Q66" s="299"/>
      <c r="R66" s="294" t="s">
        <v>15</v>
      </c>
      <c r="S66" s="172" t="str">
        <f t="shared" si="1"/>
        <v>--------------&gt;</v>
      </c>
      <c r="T66" s="156">
        <v>12</v>
      </c>
      <c r="U66" s="262"/>
      <c r="V66" s="143" t="s">
        <v>114</v>
      </c>
      <c r="W66" s="107"/>
      <c r="X66" s="146" t="s">
        <v>128</v>
      </c>
      <c r="Y66" s="523"/>
      <c r="Z66" s="196"/>
      <c r="AA66" s="196"/>
      <c r="AB66" s="196"/>
      <c r="AC66" s="196"/>
      <c r="AD66" s="196"/>
      <c r="AE66" s="543"/>
    </row>
    <row r="67" spans="1:32" ht="13.5" thickBot="1">
      <c r="A67" s="72"/>
      <c r="B67" s="72"/>
      <c r="C67" s="72"/>
      <c r="D67" s="72"/>
      <c r="E67" s="72"/>
      <c r="F67" s="72"/>
      <c r="G67" s="72"/>
      <c r="H67" s="72"/>
      <c r="I67" s="72"/>
      <c r="J67" s="150" t="s">
        <v>93</v>
      </c>
      <c r="K67" s="164"/>
      <c r="L67" s="165">
        <v>20</v>
      </c>
      <c r="M67" s="535"/>
      <c r="N67" s="143" t="s">
        <v>81</v>
      </c>
      <c r="O67" s="144"/>
      <c r="P67" s="161">
        <v>2</v>
      </c>
      <c r="Q67" s="300"/>
      <c r="R67" s="294" t="s">
        <v>16</v>
      </c>
      <c r="S67" s="172" t="str">
        <f t="shared" si="1"/>
        <v>--------------&gt;</v>
      </c>
      <c r="T67" s="156">
        <v>4</v>
      </c>
      <c r="U67" s="262"/>
      <c r="V67" s="143" t="s">
        <v>115</v>
      </c>
      <c r="W67" s="107"/>
      <c r="X67" s="147" t="s">
        <v>127</v>
      </c>
      <c r="Y67" s="540" t="s">
        <v>283</v>
      </c>
      <c r="Z67" s="807" t="s">
        <v>372</v>
      </c>
      <c r="AA67" s="808"/>
      <c r="AB67" s="808"/>
      <c r="AC67" s="808"/>
      <c r="AD67" s="808"/>
      <c r="AE67" s="808"/>
      <c r="AF67" s="548"/>
    </row>
    <row r="68" spans="1:32" ht="13.5" thickBot="1">
      <c r="A68" s="72"/>
      <c r="B68" s="72"/>
      <c r="C68" s="72"/>
      <c r="D68" s="72"/>
      <c r="E68" s="72"/>
      <c r="F68" s="72"/>
      <c r="G68" s="72"/>
      <c r="H68" s="72"/>
      <c r="I68" s="72"/>
      <c r="J68" s="150" t="s">
        <v>94</v>
      </c>
      <c r="K68" s="164"/>
      <c r="L68" s="165">
        <v>120</v>
      </c>
      <c r="M68" s="535"/>
      <c r="N68" s="163" t="s">
        <v>54</v>
      </c>
      <c r="O68" s="164"/>
      <c r="P68" s="166" t="s">
        <v>55</v>
      </c>
      <c r="Q68" s="301"/>
      <c r="R68" s="294" t="s">
        <v>17</v>
      </c>
      <c r="S68" s="172" t="str">
        <f t="shared" si="1"/>
        <v>--------------&gt;</v>
      </c>
      <c r="T68" s="156">
        <v>12</v>
      </c>
      <c r="U68" s="262"/>
      <c r="V68" s="143" t="s">
        <v>116</v>
      </c>
      <c r="W68" s="107"/>
      <c r="X68" s="146" t="s">
        <v>128</v>
      </c>
      <c r="Y68" s="695"/>
      <c r="Z68" s="490" t="s">
        <v>284</v>
      </c>
      <c r="AA68" s="119" t="s">
        <v>164</v>
      </c>
      <c r="AB68" s="119" t="s">
        <v>167</v>
      </c>
      <c r="AC68" s="119" t="s">
        <v>168</v>
      </c>
      <c r="AD68" s="119" t="s">
        <v>169</v>
      </c>
      <c r="AE68" s="120" t="s">
        <v>12</v>
      </c>
      <c r="AF68" s="544" t="s">
        <v>166</v>
      </c>
    </row>
    <row r="69" spans="1:32" ht="13.5" thickBot="1">
      <c r="A69" s="72"/>
      <c r="B69" s="72"/>
      <c r="C69" s="72"/>
      <c r="D69" s="72"/>
      <c r="E69" s="72"/>
      <c r="F69" s="72"/>
      <c r="G69" s="72"/>
      <c r="H69" s="72"/>
      <c r="I69" s="72"/>
      <c r="J69" s="178" t="s">
        <v>75</v>
      </c>
      <c r="K69" s="179"/>
      <c r="L69" s="180">
        <v>30</v>
      </c>
      <c r="M69" s="537"/>
      <c r="N69" s="169" t="s">
        <v>82</v>
      </c>
      <c r="O69" s="164"/>
      <c r="P69" s="170">
        <v>40</v>
      </c>
      <c r="Q69" s="302"/>
      <c r="R69" s="294" t="s">
        <v>579</v>
      </c>
      <c r="S69" s="172" t="str">
        <f t="shared" si="1"/>
        <v>--------------&gt;</v>
      </c>
      <c r="T69" s="156">
        <v>12</v>
      </c>
      <c r="U69" s="262"/>
      <c r="V69" s="143" t="s">
        <v>117</v>
      </c>
      <c r="W69" s="107"/>
      <c r="X69" s="147" t="s">
        <v>127</v>
      </c>
      <c r="Y69" s="532"/>
      <c r="Z69" s="151">
        <v>1</v>
      </c>
      <c r="AA69" s="152" t="s">
        <v>171</v>
      </c>
      <c r="AB69" s="153" t="s">
        <v>24</v>
      </c>
      <c r="AC69" s="153" t="s">
        <v>24</v>
      </c>
      <c r="AD69" s="153" t="s">
        <v>24</v>
      </c>
      <c r="AE69" s="154" t="s">
        <v>24</v>
      </c>
      <c r="AF69" s="545">
        <f t="shared" ref="AF69:AF78" si="2">IF(AA69="LOW",1,IF(AA69="HIGH",2,0))+IF(AB69="LOW",4,IF(AB69="HIGH",8,0))+IF(AC69="LOW",16,IF(AC69="HIGH",32,0))+IF(AD69="LOW",64,IF(AD69="HIGH",128,0))+IF(AE69="HIGH",256,0)</f>
        <v>1</v>
      </c>
    </row>
    <row r="70" spans="1:32" ht="13.5" thickBot="1">
      <c r="A70" s="72"/>
      <c r="B70" s="72"/>
      <c r="C70" s="72"/>
      <c r="D70" s="72"/>
      <c r="E70" s="72"/>
      <c r="F70" s="72"/>
      <c r="G70" s="72"/>
      <c r="H70" s="72"/>
      <c r="I70" s="72"/>
      <c r="J70" s="734" t="s">
        <v>60</v>
      </c>
      <c r="K70" s="735"/>
      <c r="L70" s="736"/>
      <c r="M70" s="296"/>
      <c r="N70" s="169" t="s">
        <v>83</v>
      </c>
      <c r="O70" s="164"/>
      <c r="P70" s="171">
        <v>40</v>
      </c>
      <c r="Q70" s="303"/>
      <c r="R70" s="294" t="s">
        <v>3</v>
      </c>
      <c r="S70" s="172" t="str">
        <f t="shared" si="1"/>
        <v>--------------&gt;</v>
      </c>
      <c r="T70" s="156">
        <v>1</v>
      </c>
      <c r="U70" s="262"/>
      <c r="V70" s="143" t="s">
        <v>118</v>
      </c>
      <c r="W70" s="107"/>
      <c r="X70" s="146" t="s">
        <v>128</v>
      </c>
      <c r="Y70" s="695"/>
      <c r="Z70" s="118">
        <v>2</v>
      </c>
      <c r="AA70" s="158" t="s">
        <v>172</v>
      </c>
      <c r="AB70" s="159" t="s">
        <v>24</v>
      </c>
      <c r="AC70" s="159" t="s">
        <v>24</v>
      </c>
      <c r="AD70" s="159" t="s">
        <v>24</v>
      </c>
      <c r="AE70" s="160" t="s">
        <v>24</v>
      </c>
      <c r="AF70" s="546">
        <f t="shared" si="2"/>
        <v>2</v>
      </c>
    </row>
    <row r="71" spans="1:32">
      <c r="A71" s="72"/>
      <c r="B71" s="72"/>
      <c r="C71" s="72"/>
      <c r="D71" s="72"/>
      <c r="E71" s="72"/>
      <c r="F71" s="72"/>
      <c r="G71" s="72"/>
      <c r="H71" s="72"/>
      <c r="I71" s="72"/>
      <c r="J71" s="183" t="s">
        <v>97</v>
      </c>
      <c r="K71" s="184"/>
      <c r="L71" s="185" t="str">
        <f>IF(K6="UL","AM/PM","24H")</f>
        <v>AM/PM</v>
      </c>
      <c r="M71" s="312"/>
      <c r="N71" s="163" t="s">
        <v>6</v>
      </c>
      <c r="O71" s="164"/>
      <c r="P71" s="166" t="s">
        <v>7</v>
      </c>
      <c r="Q71" s="301"/>
      <c r="R71" s="294" t="s">
        <v>18</v>
      </c>
      <c r="S71" s="172" t="str">
        <f t="shared" si="1"/>
        <v>--------------&gt;</v>
      </c>
      <c r="T71" s="156">
        <v>1</v>
      </c>
      <c r="U71" s="262" t="s">
        <v>574</v>
      </c>
      <c r="V71" s="143" t="s">
        <v>119</v>
      </c>
      <c r="W71" s="107"/>
      <c r="X71" s="147" t="s">
        <v>127</v>
      </c>
      <c r="Y71" s="532"/>
      <c r="Z71" s="118">
        <v>3</v>
      </c>
      <c r="AA71" s="158" t="s">
        <v>171</v>
      </c>
      <c r="AB71" s="159" t="s">
        <v>171</v>
      </c>
      <c r="AC71" s="159" t="s">
        <v>171</v>
      </c>
      <c r="AD71" s="159" t="s">
        <v>24</v>
      </c>
      <c r="AE71" s="160" t="s">
        <v>24</v>
      </c>
      <c r="AF71" s="546">
        <f t="shared" si="2"/>
        <v>21</v>
      </c>
    </row>
    <row r="72" spans="1:32" ht="13.5" thickBot="1">
      <c r="A72" s="72"/>
      <c r="B72" s="72"/>
      <c r="C72" s="72"/>
      <c r="D72" s="72"/>
      <c r="E72" s="72"/>
      <c r="F72" s="72"/>
      <c r="G72" s="72"/>
      <c r="H72" s="72"/>
      <c r="I72" s="72"/>
      <c r="J72" s="169" t="s">
        <v>76</v>
      </c>
      <c r="K72" s="176"/>
      <c r="L72" s="166" t="s">
        <v>9</v>
      </c>
      <c r="M72" s="312"/>
      <c r="N72" s="174" t="s">
        <v>63</v>
      </c>
      <c r="O72" s="186"/>
      <c r="P72" s="188" t="s">
        <v>10</v>
      </c>
      <c r="Q72" s="480"/>
      <c r="R72" s="294" t="s">
        <v>22</v>
      </c>
      <c r="S72" s="172" t="str">
        <f t="shared" si="1"/>
        <v>--------------&gt;</v>
      </c>
      <c r="T72" s="156">
        <v>1</v>
      </c>
      <c r="U72" s="262"/>
      <c r="V72" s="143" t="s">
        <v>120</v>
      </c>
      <c r="W72" s="107"/>
      <c r="X72" s="146" t="s">
        <v>214</v>
      </c>
      <c r="Y72" s="695"/>
      <c r="Z72" s="118">
        <v>4</v>
      </c>
      <c r="AA72" s="158" t="s">
        <v>172</v>
      </c>
      <c r="AB72" s="159" t="s">
        <v>171</v>
      </c>
      <c r="AC72" s="159" t="s">
        <v>171</v>
      </c>
      <c r="AD72" s="159" t="s">
        <v>24</v>
      </c>
      <c r="AE72" s="160" t="s">
        <v>24</v>
      </c>
      <c r="AF72" s="546">
        <f t="shared" si="2"/>
        <v>22</v>
      </c>
    </row>
    <row r="73" spans="1:32" ht="13.5" thickBot="1">
      <c r="A73" s="72"/>
      <c r="B73" s="72"/>
      <c r="C73" s="72"/>
      <c r="D73" s="72"/>
      <c r="E73" s="72"/>
      <c r="F73" s="72"/>
      <c r="G73" s="72"/>
      <c r="H73" s="72"/>
      <c r="I73" s="72"/>
      <c r="J73" s="169" t="s">
        <v>77</v>
      </c>
      <c r="K73" s="176"/>
      <c r="L73" s="168" t="s">
        <v>570</v>
      </c>
      <c r="M73" s="312"/>
      <c r="N73" s="737" t="s">
        <v>358</v>
      </c>
      <c r="O73" s="738"/>
      <c r="P73" s="739"/>
      <c r="Q73" s="291"/>
      <c r="R73" s="294" t="s">
        <v>24</v>
      </c>
      <c r="S73" s="172" t="str">
        <f t="shared" si="1"/>
        <v/>
      </c>
      <c r="T73" s="156"/>
      <c r="U73" s="262"/>
      <c r="V73" s="143" t="s">
        <v>121</v>
      </c>
      <c r="W73" s="176"/>
      <c r="X73" s="168">
        <f>COUNTIF(X65:X72,"Normal")</f>
        <v>3</v>
      </c>
      <c r="Y73" s="696"/>
      <c r="Z73" s="118">
        <v>5</v>
      </c>
      <c r="AA73" s="158" t="s">
        <v>172</v>
      </c>
      <c r="AB73" s="159" t="s">
        <v>172</v>
      </c>
      <c r="AC73" s="159" t="s">
        <v>171</v>
      </c>
      <c r="AD73" s="159" t="s">
        <v>24</v>
      </c>
      <c r="AE73" s="160" t="s">
        <v>24</v>
      </c>
      <c r="AF73" s="546">
        <f t="shared" si="2"/>
        <v>26</v>
      </c>
    </row>
    <row r="74" spans="1:32">
      <c r="A74" s="72"/>
      <c r="B74" s="72"/>
      <c r="C74" s="72"/>
      <c r="D74" s="72"/>
      <c r="E74" s="72"/>
      <c r="F74" s="72"/>
      <c r="G74" s="72"/>
      <c r="H74" s="72"/>
      <c r="I74" s="72"/>
      <c r="J74" s="163" t="s">
        <v>98</v>
      </c>
      <c r="K74" s="164"/>
      <c r="L74" s="168" t="s">
        <v>99</v>
      </c>
      <c r="M74" s="312"/>
      <c r="N74" s="176" t="s">
        <v>59</v>
      </c>
      <c r="O74" s="176"/>
      <c r="P74" s="166" t="s">
        <v>7</v>
      </c>
      <c r="Q74" s="311"/>
      <c r="R74" s="294"/>
      <c r="S74" s="172" t="str">
        <f t="shared" si="1"/>
        <v/>
      </c>
      <c r="T74" s="156">
        <v>0</v>
      </c>
      <c r="U74" s="262"/>
      <c r="V74" s="169" t="s">
        <v>122</v>
      </c>
      <c r="W74" s="167"/>
      <c r="X74" s="177" t="s">
        <v>108</v>
      </c>
      <c r="Y74" s="697"/>
      <c r="Z74" s="118">
        <v>6</v>
      </c>
      <c r="AA74" s="158" t="s">
        <v>172</v>
      </c>
      <c r="AB74" s="159" t="s">
        <v>172</v>
      </c>
      <c r="AC74" s="159" t="s">
        <v>172</v>
      </c>
      <c r="AD74" s="159" t="s">
        <v>24</v>
      </c>
      <c r="AE74" s="160" t="s">
        <v>24</v>
      </c>
      <c r="AF74" s="546">
        <f t="shared" si="2"/>
        <v>42</v>
      </c>
    </row>
    <row r="75" spans="1:32">
      <c r="A75" s="72"/>
      <c r="B75" s="72"/>
      <c r="C75" s="72"/>
      <c r="D75" s="72"/>
      <c r="E75" s="72"/>
      <c r="F75" s="72"/>
      <c r="G75" s="72"/>
      <c r="H75" s="72"/>
      <c r="I75" s="72"/>
      <c r="J75" s="163" t="s">
        <v>101</v>
      </c>
      <c r="K75" s="164"/>
      <c r="L75" s="168" t="s">
        <v>9</v>
      </c>
      <c r="M75" s="312"/>
      <c r="N75" s="189" t="s">
        <v>173</v>
      </c>
      <c r="O75" s="190"/>
      <c r="P75" s="166" t="s">
        <v>7</v>
      </c>
      <c r="Q75" s="312"/>
      <c r="R75" s="294"/>
      <c r="S75" s="172" t="str">
        <f t="shared" si="1"/>
        <v/>
      </c>
      <c r="T75" s="156">
        <v>0</v>
      </c>
      <c r="U75" s="262"/>
      <c r="V75" s="169" t="s">
        <v>123</v>
      </c>
      <c r="W75" s="167"/>
      <c r="X75" s="177" t="s">
        <v>410</v>
      </c>
      <c r="Y75" s="697"/>
      <c r="Z75" s="118">
        <v>7</v>
      </c>
      <c r="AA75" s="158" t="s">
        <v>24</v>
      </c>
      <c r="AB75" s="159" t="s">
        <v>24</v>
      </c>
      <c r="AC75" s="159" t="s">
        <v>24</v>
      </c>
      <c r="AD75" s="159" t="s">
        <v>24</v>
      </c>
      <c r="AE75" s="160" t="s">
        <v>24</v>
      </c>
      <c r="AF75" s="546">
        <f t="shared" si="2"/>
        <v>0</v>
      </c>
    </row>
    <row r="76" spans="1:32">
      <c r="A76" s="72"/>
      <c r="B76" s="72"/>
      <c r="C76" s="72"/>
      <c r="D76" s="72"/>
      <c r="E76" s="72"/>
      <c r="F76" s="72"/>
      <c r="G76" s="72"/>
      <c r="H76" s="72"/>
      <c r="I76" s="72"/>
      <c r="J76" s="163" t="s">
        <v>100</v>
      </c>
      <c r="K76" s="164"/>
      <c r="L76" s="168" t="s">
        <v>571</v>
      </c>
      <c r="M76" s="312"/>
      <c r="N76" s="176" t="s">
        <v>110</v>
      </c>
      <c r="O76" s="167"/>
      <c r="P76" s="166" t="s">
        <v>102</v>
      </c>
      <c r="Q76" s="312"/>
      <c r="R76" s="294"/>
      <c r="S76" s="172" t="str">
        <f t="shared" si="1"/>
        <v/>
      </c>
      <c r="T76" s="156">
        <v>0</v>
      </c>
      <c r="U76" s="262"/>
      <c r="V76" s="169" t="s">
        <v>124</v>
      </c>
      <c r="W76" s="167"/>
      <c r="X76" s="177" t="s">
        <v>563</v>
      </c>
      <c r="Y76" s="697"/>
      <c r="Z76" s="118">
        <v>8</v>
      </c>
      <c r="AA76" s="158" t="s">
        <v>24</v>
      </c>
      <c r="AB76" s="159" t="s">
        <v>24</v>
      </c>
      <c r="AC76" s="159" t="s">
        <v>24</v>
      </c>
      <c r="AD76" s="159" t="s">
        <v>24</v>
      </c>
      <c r="AE76" s="160" t="s">
        <v>24</v>
      </c>
      <c r="AF76" s="546">
        <f t="shared" si="2"/>
        <v>0</v>
      </c>
    </row>
    <row r="77" spans="1:32">
      <c r="A77" s="72"/>
      <c r="B77" s="72"/>
      <c r="C77" s="72"/>
      <c r="D77" s="72"/>
      <c r="E77" s="72"/>
      <c r="F77" s="72"/>
      <c r="G77" s="72"/>
      <c r="H77" s="72"/>
      <c r="I77" s="72"/>
      <c r="J77" s="163" t="s">
        <v>105</v>
      </c>
      <c r="K77" s="164"/>
      <c r="L77" s="168" t="s">
        <v>337</v>
      </c>
      <c r="M77" s="312"/>
      <c r="N77" s="176" t="s">
        <v>72</v>
      </c>
      <c r="O77" s="176"/>
      <c r="P77" s="145">
        <v>0</v>
      </c>
      <c r="Q77" s="312"/>
      <c r="R77" s="294"/>
      <c r="S77" s="172" t="str">
        <f t="shared" si="1"/>
        <v/>
      </c>
      <c r="T77" s="156">
        <v>0</v>
      </c>
      <c r="U77" s="262"/>
      <c r="V77" s="169" t="s">
        <v>125</v>
      </c>
      <c r="W77" s="167"/>
      <c r="X77" s="177" t="s">
        <v>576</v>
      </c>
      <c r="Y77" s="697"/>
      <c r="Z77" s="118">
        <v>9</v>
      </c>
      <c r="AA77" s="158" t="s">
        <v>24</v>
      </c>
      <c r="AB77" s="159" t="s">
        <v>24</v>
      </c>
      <c r="AC77" s="159" t="s">
        <v>24</v>
      </c>
      <c r="AD77" s="159" t="s">
        <v>24</v>
      </c>
      <c r="AE77" s="160" t="s">
        <v>24</v>
      </c>
      <c r="AF77" s="546">
        <f t="shared" si="2"/>
        <v>0</v>
      </c>
    </row>
    <row r="78" spans="1:32" ht="13.5" thickBot="1">
      <c r="A78" s="72"/>
      <c r="B78" s="72"/>
      <c r="C78" s="72"/>
      <c r="D78" s="72"/>
      <c r="E78" s="72"/>
      <c r="F78" s="72"/>
      <c r="G78" s="72"/>
      <c r="H78" s="72"/>
      <c r="I78" s="72"/>
      <c r="J78" s="163" t="s">
        <v>106</v>
      </c>
      <c r="K78" s="164"/>
      <c r="L78" s="168" t="s">
        <v>337</v>
      </c>
      <c r="M78" s="476"/>
      <c r="N78" s="191" t="s">
        <v>73</v>
      </c>
      <c r="O78" s="191"/>
      <c r="P78" s="187">
        <v>6</v>
      </c>
      <c r="Q78" s="312"/>
      <c r="R78" s="294"/>
      <c r="S78" s="172" t="str">
        <f t="shared" si="1"/>
        <v/>
      </c>
      <c r="T78" s="156">
        <v>0</v>
      </c>
      <c r="U78" s="262"/>
      <c r="V78" s="169" t="s">
        <v>126</v>
      </c>
      <c r="W78" s="167"/>
      <c r="X78" s="177" t="s">
        <v>577</v>
      </c>
      <c r="Y78" s="697"/>
      <c r="Z78" s="517">
        <v>10</v>
      </c>
      <c r="AA78" s="193" t="s">
        <v>24</v>
      </c>
      <c r="AB78" s="194" t="s">
        <v>24</v>
      </c>
      <c r="AC78" s="194" t="s">
        <v>24</v>
      </c>
      <c r="AD78" s="194" t="s">
        <v>24</v>
      </c>
      <c r="AE78" s="195" t="s">
        <v>24</v>
      </c>
      <c r="AF78" s="547">
        <f t="shared" si="2"/>
        <v>0</v>
      </c>
    </row>
    <row r="79" spans="1:32" ht="13.5" thickBot="1">
      <c r="A79" s="72"/>
      <c r="B79" s="72"/>
      <c r="C79" s="72"/>
      <c r="D79" s="72"/>
      <c r="E79" s="72"/>
      <c r="F79" s="72"/>
      <c r="G79" s="72"/>
      <c r="H79" s="72"/>
      <c r="I79" s="72"/>
      <c r="J79" s="163" t="s">
        <v>107</v>
      </c>
      <c r="K79" s="164"/>
      <c r="L79" s="168" t="s">
        <v>102</v>
      </c>
      <c r="M79" s="312"/>
      <c r="N79" s="737" t="s">
        <v>360</v>
      </c>
      <c r="O79" s="738"/>
      <c r="P79" s="739"/>
      <c r="Q79" s="312"/>
      <c r="R79" s="294"/>
      <c r="S79" s="172" t="str">
        <f t="shared" si="1"/>
        <v/>
      </c>
      <c r="T79" s="156">
        <v>0</v>
      </c>
      <c r="U79" s="262"/>
      <c r="V79" s="169" t="s">
        <v>348</v>
      </c>
      <c r="W79" s="167"/>
      <c r="X79" s="177" t="s">
        <v>349</v>
      </c>
      <c r="Y79" s="697"/>
      <c r="Z79" s="807" t="s">
        <v>377</v>
      </c>
      <c r="AA79" s="809"/>
      <c r="AB79" s="262"/>
      <c r="AC79" s="262"/>
      <c r="AD79" s="262"/>
      <c r="AE79" s="262"/>
      <c r="AF79" s="543"/>
    </row>
    <row r="80" spans="1:32" ht="13.5" thickBot="1">
      <c r="A80" s="72"/>
      <c r="B80" s="72"/>
      <c r="C80" s="72"/>
      <c r="D80" s="72"/>
      <c r="E80" s="72"/>
      <c r="F80" s="72"/>
      <c r="G80" s="72"/>
      <c r="H80" s="72"/>
      <c r="I80" s="72"/>
      <c r="J80" s="143" t="s">
        <v>190</v>
      </c>
      <c r="K80" s="107"/>
      <c r="L80" s="146" t="s">
        <v>102</v>
      </c>
      <c r="M80" s="312"/>
      <c r="N80" s="164" t="s">
        <v>61</v>
      </c>
      <c r="O80" s="167"/>
      <c r="P80" s="177" t="s">
        <v>10</v>
      </c>
      <c r="Q80" s="312"/>
      <c r="R80" s="294"/>
      <c r="S80" s="172" t="str">
        <f t="shared" si="1"/>
        <v/>
      </c>
      <c r="T80" s="156">
        <v>0</v>
      </c>
      <c r="U80" s="262"/>
      <c r="V80" s="143" t="s">
        <v>375</v>
      </c>
      <c r="W80" s="176"/>
      <c r="X80" s="177" t="s">
        <v>409</v>
      </c>
      <c r="Y80" s="697"/>
      <c r="Z80" s="518" t="s">
        <v>284</v>
      </c>
      <c r="AA80" s="519" t="s">
        <v>373</v>
      </c>
      <c r="AB80" s="262"/>
      <c r="AC80" s="262"/>
      <c r="AD80" s="262"/>
      <c r="AE80" s="262"/>
      <c r="AF80" s="543"/>
    </row>
    <row r="81" spans="1:32">
      <c r="A81" s="72"/>
      <c r="B81" s="72"/>
      <c r="C81" s="72"/>
      <c r="D81" s="72"/>
      <c r="E81" s="72"/>
      <c r="F81" s="72"/>
      <c r="G81" s="72"/>
      <c r="H81" s="72"/>
      <c r="I81" s="72"/>
      <c r="J81" s="163" t="s">
        <v>404</v>
      </c>
      <c r="K81" s="107"/>
      <c r="L81" s="168" t="s">
        <v>10</v>
      </c>
      <c r="M81" s="312"/>
      <c r="N81" s="164" t="s">
        <v>8</v>
      </c>
      <c r="O81" s="167"/>
      <c r="P81" s="168" t="s">
        <v>10</v>
      </c>
      <c r="Q81" s="312"/>
      <c r="R81" s="294"/>
      <c r="S81" s="172" t="str">
        <f t="shared" si="1"/>
        <v/>
      </c>
      <c r="T81" s="156">
        <v>0</v>
      </c>
      <c r="U81" s="262"/>
      <c r="V81" s="169" t="s">
        <v>374</v>
      </c>
      <c r="W81" s="167"/>
      <c r="X81" s="177" t="s">
        <v>409</v>
      </c>
      <c r="Y81" s="697"/>
      <c r="Z81" s="151">
        <v>1</v>
      </c>
      <c r="AA81" s="520">
        <v>0.1</v>
      </c>
      <c r="AB81" s="262"/>
      <c r="AC81" s="262"/>
      <c r="AD81" s="262"/>
      <c r="AE81" s="262"/>
      <c r="AF81" s="543"/>
    </row>
    <row r="82" spans="1:32">
      <c r="A82" s="72"/>
      <c r="B82" s="72"/>
      <c r="C82" s="72"/>
      <c r="D82" s="72"/>
      <c r="E82" s="72"/>
      <c r="F82" s="72"/>
      <c r="G82" s="72"/>
      <c r="H82" s="72"/>
      <c r="I82" s="72"/>
      <c r="J82" s="163" t="s">
        <v>104</v>
      </c>
      <c r="K82" s="197"/>
      <c r="L82" s="168" t="s">
        <v>108</v>
      </c>
      <c r="M82" s="312"/>
      <c r="N82" s="164" t="s">
        <v>356</v>
      </c>
      <c r="O82" s="167"/>
      <c r="P82" s="177" t="s">
        <v>10</v>
      </c>
      <c r="Q82" s="476"/>
      <c r="R82" s="294"/>
      <c r="S82" s="172" t="str">
        <f t="shared" si="1"/>
        <v/>
      </c>
      <c r="T82" s="156">
        <v>0</v>
      </c>
      <c r="U82" s="262"/>
      <c r="V82" s="169" t="s">
        <v>376</v>
      </c>
      <c r="W82" s="167"/>
      <c r="X82" s="177" t="s">
        <v>102</v>
      </c>
      <c r="Y82" s="697"/>
      <c r="Z82" s="118">
        <v>2</v>
      </c>
      <c r="AA82" s="521">
        <v>0.2</v>
      </c>
      <c r="AB82" s="262"/>
      <c r="AC82" s="262"/>
      <c r="AD82" s="262"/>
      <c r="AE82" s="262"/>
      <c r="AF82" s="543"/>
    </row>
    <row r="83" spans="1:32" ht="13.5" thickBot="1">
      <c r="A83" s="72"/>
      <c r="B83" s="72"/>
      <c r="C83" s="72"/>
      <c r="D83" s="72"/>
      <c r="E83" s="72"/>
      <c r="F83" s="72"/>
      <c r="G83" s="72"/>
      <c r="H83" s="72"/>
      <c r="I83" s="72"/>
      <c r="J83" s="163" t="s">
        <v>111</v>
      </c>
      <c r="K83" s="107"/>
      <c r="L83" s="168" t="s">
        <v>102</v>
      </c>
      <c r="M83" s="312"/>
      <c r="N83" s="479" t="s">
        <v>71</v>
      </c>
      <c r="O83" s="167"/>
      <c r="P83" s="177" t="s">
        <v>9</v>
      </c>
      <c r="Q83" s="312"/>
      <c r="R83" s="294"/>
      <c r="S83" s="172" t="str">
        <f t="shared" si="1"/>
        <v/>
      </c>
      <c r="T83" s="156">
        <v>0</v>
      </c>
      <c r="U83" s="192"/>
      <c r="V83" s="178" t="str">
        <f>IF(OR($L$87 ="BG",$L$87 ="Bullfrog"), "StatusLightFading","--")</f>
        <v>--</v>
      </c>
      <c r="W83" s="186"/>
      <c r="X83" s="188" t="s">
        <v>102</v>
      </c>
      <c r="Y83" s="697"/>
      <c r="Z83" s="118">
        <v>3</v>
      </c>
      <c r="AA83" s="521">
        <v>0.3</v>
      </c>
      <c r="AB83" s="262"/>
      <c r="AC83" s="262"/>
      <c r="AD83" s="262"/>
      <c r="AE83" s="262"/>
      <c r="AF83" s="543"/>
    </row>
    <row r="84" spans="1:32" ht="13.5" thickBot="1">
      <c r="A84" s="72"/>
      <c r="B84" s="72"/>
      <c r="C84" s="72"/>
      <c r="D84" s="72"/>
      <c r="E84" s="72"/>
      <c r="F84" s="72"/>
      <c r="G84" s="72"/>
      <c r="H84" s="72"/>
      <c r="I84" s="72"/>
      <c r="J84" s="163" t="s">
        <v>188</v>
      </c>
      <c r="K84" s="107"/>
      <c r="L84" s="168" t="s">
        <v>189</v>
      </c>
      <c r="M84" s="312"/>
      <c r="N84" s="163" t="s">
        <v>353</v>
      </c>
      <c r="O84" s="107"/>
      <c r="P84" s="168" t="s">
        <v>10</v>
      </c>
      <c r="Q84" s="312"/>
      <c r="R84" s="294"/>
      <c r="S84" s="172" t="str">
        <f t="shared" si="1"/>
        <v/>
      </c>
      <c r="T84" s="156">
        <v>0</v>
      </c>
      <c r="U84" s="192"/>
      <c r="V84" s="734" t="s">
        <v>209</v>
      </c>
      <c r="W84" s="735"/>
      <c r="X84" s="736"/>
      <c r="Y84" s="698"/>
      <c r="Z84" s="118">
        <v>4</v>
      </c>
      <c r="AA84" s="521">
        <v>0.4</v>
      </c>
      <c r="AB84" s="262"/>
      <c r="AC84" s="262"/>
      <c r="AD84" s="262"/>
      <c r="AE84" s="262"/>
      <c r="AF84" s="543"/>
    </row>
    <row r="85" spans="1:32" ht="13.5" thickBot="1">
      <c r="A85" s="72"/>
      <c r="B85" s="72"/>
      <c r="C85" s="72"/>
      <c r="D85" s="72"/>
      <c r="E85" s="72"/>
      <c r="F85" s="72"/>
      <c r="G85" s="72"/>
      <c r="H85" s="72"/>
      <c r="I85" s="72"/>
      <c r="J85" s="163" t="s">
        <v>385</v>
      </c>
      <c r="K85" s="107"/>
      <c r="L85" s="168" t="s">
        <v>10</v>
      </c>
      <c r="M85" s="312"/>
      <c r="N85" s="164" t="s">
        <v>355</v>
      </c>
      <c r="O85" s="167"/>
      <c r="P85" s="168" t="s">
        <v>354</v>
      </c>
      <c r="Q85" s="312"/>
      <c r="R85" s="294"/>
      <c r="S85" s="172" t="str">
        <f t="shared" si="1"/>
        <v/>
      </c>
      <c r="T85" s="156">
        <v>0</v>
      </c>
      <c r="U85" s="192"/>
      <c r="V85" s="183" t="s">
        <v>204</v>
      </c>
      <c r="W85" s="184"/>
      <c r="X85" s="704" t="s">
        <v>191</v>
      </c>
      <c r="Y85" s="699"/>
      <c r="Z85" s="118">
        <v>5</v>
      </c>
      <c r="AA85" s="521">
        <v>0.5</v>
      </c>
      <c r="AB85" s="262"/>
      <c r="AC85" s="262"/>
      <c r="AD85" s="262"/>
      <c r="AE85" s="262"/>
      <c r="AF85" s="543"/>
    </row>
    <row r="86" spans="1:32" ht="13.5" thickBot="1">
      <c r="A86" s="72"/>
      <c r="B86" s="72"/>
      <c r="C86" s="72"/>
      <c r="D86" s="72"/>
      <c r="E86" s="72"/>
      <c r="F86" s="72"/>
      <c r="G86" s="72"/>
      <c r="H86" s="72"/>
      <c r="I86" s="72"/>
      <c r="J86" s="777" t="s">
        <v>85</v>
      </c>
      <c r="K86" s="778"/>
      <c r="L86" s="779"/>
      <c r="M86" s="312"/>
      <c r="N86" s="164"/>
      <c r="O86" s="167"/>
      <c r="P86" s="168"/>
      <c r="Q86" s="312"/>
      <c r="R86" s="294"/>
      <c r="S86" s="172"/>
      <c r="T86" s="156">
        <v>0</v>
      </c>
      <c r="U86" s="192"/>
      <c r="V86" s="169" t="s">
        <v>252</v>
      </c>
      <c r="W86" s="167"/>
      <c r="X86" s="705">
        <v>0</v>
      </c>
      <c r="Y86" s="700"/>
      <c r="Z86" s="118">
        <v>6</v>
      </c>
      <c r="AA86" s="521">
        <v>0.6</v>
      </c>
      <c r="AB86" s="262"/>
      <c r="AC86" s="262"/>
      <c r="AD86" s="262"/>
      <c r="AE86" s="262"/>
      <c r="AF86" s="543"/>
    </row>
    <row r="87" spans="1:32" ht="13.5" thickBot="1">
      <c r="A87" s="72"/>
      <c r="B87" s="72"/>
      <c r="C87" s="72"/>
      <c r="D87" s="72"/>
      <c r="E87" s="72"/>
      <c r="F87" s="72"/>
      <c r="G87" s="72"/>
      <c r="H87" s="72"/>
      <c r="I87" s="72"/>
      <c r="J87" s="183" t="s">
        <v>362</v>
      </c>
      <c r="K87" s="491"/>
      <c r="L87" s="492" t="s">
        <v>572</v>
      </c>
      <c r="M87" s="312"/>
      <c r="N87" s="174"/>
      <c r="O87" s="167"/>
      <c r="P87" s="168"/>
      <c r="Q87" s="312"/>
      <c r="R87" s="294"/>
      <c r="S87" s="172"/>
      <c r="T87" s="156">
        <v>0</v>
      </c>
      <c r="U87" s="192"/>
      <c r="V87" s="169" t="s">
        <v>205</v>
      </c>
      <c r="W87" s="167"/>
      <c r="X87" s="156" t="s">
        <v>206</v>
      </c>
      <c r="Y87" s="701"/>
      <c r="Z87" s="118">
        <v>7</v>
      </c>
      <c r="AA87" s="521">
        <v>0.7</v>
      </c>
      <c r="AB87" s="262"/>
      <c r="AC87" s="262"/>
      <c r="AD87" s="262"/>
      <c r="AE87" s="262"/>
      <c r="AF87" s="543"/>
    </row>
    <row r="88" spans="1:32" ht="15" thickBot="1">
      <c r="A88" s="72"/>
      <c r="B88" s="72"/>
      <c r="C88" s="72"/>
      <c r="D88" s="72"/>
      <c r="E88" s="72"/>
      <c r="F88" s="72"/>
      <c r="G88" s="72"/>
      <c r="H88" s="72"/>
      <c r="I88" s="72"/>
      <c r="J88" s="163" t="s">
        <v>412</v>
      </c>
      <c r="K88" s="493"/>
      <c r="L88" s="619"/>
      <c r="M88" s="312"/>
      <c r="N88" s="737" t="s">
        <v>62</v>
      </c>
      <c r="O88" s="738"/>
      <c r="P88" s="739"/>
      <c r="Q88" s="312"/>
      <c r="R88" s="295" t="s">
        <v>286</v>
      </c>
      <c r="S88" s="198" t="s">
        <v>288</v>
      </c>
      <c r="T88" s="199">
        <v>1</v>
      </c>
      <c r="U88" s="192"/>
      <c r="V88" s="178" t="s">
        <v>208</v>
      </c>
      <c r="W88" s="186"/>
      <c r="X88" s="706" t="str">
        <f>'Supply Attribution'!$G$21</f>
        <v>F1</v>
      </c>
      <c r="Y88" s="701"/>
      <c r="Z88" s="118">
        <v>8</v>
      </c>
      <c r="AA88" s="521">
        <v>0.8</v>
      </c>
      <c r="AB88" s="262"/>
      <c r="AC88" s="262"/>
      <c r="AD88" s="262"/>
      <c r="AE88" s="262"/>
      <c r="AF88" s="543"/>
    </row>
    <row r="89" spans="1:32" ht="15" thickBot="1">
      <c r="A89" s="72"/>
      <c r="B89" s="72"/>
      <c r="C89" s="72"/>
      <c r="D89" s="72"/>
      <c r="E89" s="72"/>
      <c r="F89" s="72"/>
      <c r="G89" s="72"/>
      <c r="H89" s="72"/>
      <c r="I89" s="72"/>
      <c r="J89" s="557" t="s">
        <v>413</v>
      </c>
      <c r="K89" s="493"/>
      <c r="L89" s="620"/>
      <c r="M89" s="312"/>
      <c r="N89" s="163" t="s">
        <v>67</v>
      </c>
      <c r="O89" s="200"/>
      <c r="P89" s="166" t="s">
        <v>64</v>
      </c>
      <c r="Q89" s="312"/>
      <c r="R89" s="295" t="s">
        <v>287</v>
      </c>
      <c r="S89" s="198" t="s">
        <v>288</v>
      </c>
      <c r="T89" s="201">
        <v>0</v>
      </c>
      <c r="U89" s="192"/>
      <c r="V89" s="777" t="s">
        <v>361</v>
      </c>
      <c r="W89" s="778"/>
      <c r="X89" s="779"/>
      <c r="Y89" s="702"/>
      <c r="Z89" s="118">
        <v>9</v>
      </c>
      <c r="AA89" s="521">
        <v>0.9</v>
      </c>
      <c r="AB89" s="262"/>
      <c r="AC89" s="262"/>
      <c r="AD89" s="262"/>
      <c r="AE89" s="262"/>
      <c r="AF89" s="543"/>
    </row>
    <row r="90" spans="1:32" ht="13.5" thickBot="1">
      <c r="A90" s="72"/>
      <c r="B90" s="72"/>
      <c r="C90" s="72"/>
      <c r="D90" s="72"/>
      <c r="E90" s="72"/>
      <c r="F90" s="72"/>
      <c r="G90" s="72"/>
      <c r="H90" s="72"/>
      <c r="I90" s="72"/>
      <c r="J90" s="558" t="s">
        <v>223</v>
      </c>
      <c r="K90" s="494"/>
      <c r="L90" s="495"/>
      <c r="M90" s="312"/>
      <c r="N90" s="178" t="s">
        <v>66</v>
      </c>
      <c r="O90" s="191"/>
      <c r="P90" s="202" t="s">
        <v>65</v>
      </c>
      <c r="Q90" s="312"/>
      <c r="R90" s="203" t="str">
        <f>CONCATENATE("Heater (",ROUND(T90/IF(K6="CE",250,241),0)," A)")</f>
        <v>Heater (17 A)</v>
      </c>
      <c r="S90" s="316" t="str">
        <f>CONCATENATE(ROUND(ROUND(T90/IF(K6="UL",241,250),0)/IF(AND(K6="UL",T60&lt;=20),2,1),0)," A (",'Supply Attribution'!G20,")")</f>
        <v>17 A (Line1)</v>
      </c>
      <c r="T90" s="315">
        <v>4000</v>
      </c>
      <c r="U90" s="192"/>
      <c r="V90" s="640"/>
      <c r="W90" s="641"/>
      <c r="X90" s="642"/>
      <c r="Y90" s="703"/>
      <c r="Z90" s="517">
        <v>10</v>
      </c>
      <c r="AA90" s="522">
        <v>1</v>
      </c>
      <c r="AB90" s="262"/>
      <c r="AC90" s="262"/>
      <c r="AD90" s="262"/>
      <c r="AE90" s="262"/>
      <c r="AF90" s="543"/>
    </row>
    <row r="91" spans="1:32" ht="13.5" thickBot="1">
      <c r="A91" s="72"/>
      <c r="B91" s="72"/>
      <c r="C91" s="72"/>
      <c r="D91" s="72"/>
      <c r="E91" s="72"/>
      <c r="F91" s="72"/>
      <c r="G91" s="72"/>
      <c r="H91" s="72"/>
      <c r="I91" s="72"/>
      <c r="J91" s="712"/>
      <c r="K91" s="262"/>
      <c r="L91" s="262"/>
      <c r="M91" s="262"/>
      <c r="N91" s="711"/>
      <c r="O91" s="262"/>
      <c r="P91" s="262"/>
      <c r="Q91" s="262"/>
      <c r="R91" s="728" t="s">
        <v>556</v>
      </c>
      <c r="S91" s="729"/>
      <c r="T91" s="730"/>
      <c r="U91" s="262"/>
      <c r="V91" s="710"/>
      <c r="W91" s="262"/>
      <c r="X91" s="262"/>
      <c r="Y91" s="262"/>
      <c r="Z91" s="262"/>
      <c r="AA91" s="262"/>
      <c r="AB91" s="262"/>
      <c r="AC91" s="262"/>
      <c r="AD91" s="262"/>
      <c r="AE91" s="262"/>
    </row>
    <row r="92" spans="1:32">
      <c r="A92" s="72"/>
      <c r="B92" s="72"/>
      <c r="C92" s="72"/>
      <c r="D92" s="72"/>
      <c r="E92" s="72"/>
      <c r="F92" s="72"/>
      <c r="G92" s="72"/>
      <c r="H92" s="72"/>
      <c r="I92" s="72"/>
      <c r="J92" s="712"/>
      <c r="K92" s="262"/>
      <c r="L92" s="262"/>
      <c r="M92" s="262"/>
      <c r="N92" s="262"/>
      <c r="O92" s="262"/>
      <c r="P92" s="262"/>
      <c r="Q92" s="262"/>
      <c r="R92" s="515" t="s">
        <v>557</v>
      </c>
      <c r="S92" s="107"/>
      <c r="T92" s="146" t="s">
        <v>558</v>
      </c>
      <c r="U92" s="262"/>
      <c r="V92" s="710"/>
      <c r="W92" s="262"/>
      <c r="X92" s="262"/>
      <c r="Y92" s="262"/>
      <c r="Z92" s="262"/>
      <c r="AA92" s="262"/>
      <c r="AB92" s="262"/>
      <c r="AC92" s="262"/>
      <c r="AD92" s="262"/>
      <c r="AE92" s="262"/>
    </row>
    <row r="93" spans="1:32">
      <c r="A93" s="72"/>
      <c r="B93" s="72"/>
      <c r="C93" s="72"/>
      <c r="D93" s="72"/>
      <c r="E93" s="72"/>
      <c r="F93" s="72"/>
      <c r="G93" s="72"/>
      <c r="H93" s="72"/>
      <c r="I93" s="72"/>
      <c r="J93" s="712"/>
      <c r="K93" s="262"/>
      <c r="L93" s="262"/>
      <c r="M93" s="262"/>
      <c r="N93" s="262"/>
      <c r="O93" s="262"/>
      <c r="P93" s="262"/>
      <c r="Q93" s="262"/>
      <c r="R93" s="515" t="s">
        <v>551</v>
      </c>
      <c r="S93" s="107"/>
      <c r="T93" s="146" t="s">
        <v>189</v>
      </c>
      <c r="U93" s="262"/>
      <c r="V93" s="710"/>
      <c r="W93" s="262"/>
      <c r="X93" s="262"/>
      <c r="Y93" s="262"/>
      <c r="Z93" s="262"/>
      <c r="AA93" s="262"/>
      <c r="AB93" s="262"/>
      <c r="AC93" s="262"/>
      <c r="AD93" s="262"/>
      <c r="AE93" s="262"/>
    </row>
    <row r="94" spans="1:32">
      <c r="A94" s="72"/>
      <c r="B94" s="72"/>
      <c r="C94" s="72"/>
      <c r="D94" s="72"/>
      <c r="E94" s="72"/>
      <c r="F94" s="72"/>
      <c r="G94" s="72"/>
      <c r="H94" s="72"/>
      <c r="I94" s="72"/>
      <c r="J94" s="712"/>
      <c r="K94" s="262"/>
      <c r="L94" s="262"/>
      <c r="M94" s="262"/>
      <c r="N94" s="262"/>
      <c r="O94" s="262"/>
      <c r="P94" s="262"/>
      <c r="Q94" s="262"/>
      <c r="R94" s="515" t="s">
        <v>552</v>
      </c>
      <c r="S94" s="107"/>
      <c r="T94" s="146" t="s">
        <v>189</v>
      </c>
      <c r="U94" s="262"/>
      <c r="V94" s="710"/>
      <c r="W94" s="262"/>
      <c r="X94" s="262"/>
      <c r="Y94" s="262"/>
      <c r="Z94" s="262"/>
      <c r="AA94" s="262"/>
      <c r="AB94" s="262"/>
      <c r="AC94" s="262"/>
      <c r="AD94" s="262"/>
      <c r="AE94" s="262"/>
    </row>
    <row r="95" spans="1:32">
      <c r="A95" s="72"/>
      <c r="B95" s="72"/>
      <c r="C95" s="72"/>
      <c r="D95" s="72"/>
      <c r="E95" s="72"/>
      <c r="F95" s="72"/>
      <c r="G95" s="72"/>
      <c r="H95" s="72"/>
      <c r="I95" s="72"/>
      <c r="J95" s="712"/>
      <c r="K95" s="262"/>
      <c r="L95" s="262"/>
      <c r="M95" s="262"/>
      <c r="N95" s="262"/>
      <c r="O95" s="262"/>
      <c r="P95" s="262"/>
      <c r="Q95" s="262"/>
      <c r="R95" s="515" t="s">
        <v>554</v>
      </c>
      <c r="S95" s="107"/>
      <c r="T95" s="146" t="s">
        <v>189</v>
      </c>
      <c r="U95" s="262"/>
      <c r="V95" s="710"/>
      <c r="W95" s="262"/>
      <c r="X95" s="262"/>
      <c r="Y95" s="262"/>
      <c r="Z95" s="262"/>
      <c r="AA95" s="262"/>
      <c r="AB95" s="262"/>
      <c r="AC95" s="262"/>
      <c r="AD95" s="262"/>
      <c r="AE95" s="262"/>
    </row>
    <row r="96" spans="1:32">
      <c r="A96" s="72"/>
      <c r="B96" s="72"/>
      <c r="C96" s="72"/>
      <c r="D96" s="72"/>
      <c r="E96" s="72"/>
      <c r="F96" s="72"/>
      <c r="G96" s="72"/>
      <c r="H96" s="72"/>
      <c r="I96" s="72"/>
      <c r="J96" s="712"/>
      <c r="K96" s="262"/>
      <c r="L96" s="262"/>
      <c r="M96" s="262"/>
      <c r="N96" s="262"/>
      <c r="O96" s="262"/>
      <c r="P96" s="262"/>
      <c r="Q96" s="262"/>
      <c r="R96" s="515" t="s">
        <v>553</v>
      </c>
      <c r="S96" s="107"/>
      <c r="T96" s="146" t="s">
        <v>189</v>
      </c>
      <c r="U96" s="262"/>
      <c r="V96" s="710"/>
      <c r="W96" s="262"/>
      <c r="X96" s="262"/>
      <c r="Y96" s="262"/>
      <c r="Z96" s="262"/>
      <c r="AA96" s="262"/>
      <c r="AB96" s="262"/>
      <c r="AC96" s="262"/>
      <c r="AD96" s="262"/>
      <c r="AE96" s="262"/>
    </row>
    <row r="97" spans="1:31">
      <c r="A97" s="72"/>
      <c r="B97" s="72"/>
      <c r="C97" s="72"/>
      <c r="D97" s="72"/>
      <c r="E97" s="72"/>
      <c r="F97" s="72"/>
      <c r="G97" s="72"/>
      <c r="H97" s="72"/>
      <c r="I97" s="72"/>
      <c r="J97" s="712"/>
      <c r="K97" s="262"/>
      <c r="L97" s="262"/>
      <c r="M97" s="262"/>
      <c r="N97" s="262"/>
      <c r="O97" s="262"/>
      <c r="P97" s="262"/>
      <c r="Q97" s="262"/>
      <c r="R97" s="515" t="s">
        <v>555</v>
      </c>
      <c r="S97" s="167"/>
      <c r="T97" s="146" t="s">
        <v>189</v>
      </c>
      <c r="U97" s="262"/>
      <c r="V97" s="710"/>
      <c r="W97" s="262"/>
      <c r="X97" s="262"/>
      <c r="Y97" s="262"/>
      <c r="Z97" s="262"/>
      <c r="AA97" s="262"/>
      <c r="AB97" s="262"/>
      <c r="AC97" s="262"/>
      <c r="AD97" s="262"/>
      <c r="AE97" s="262"/>
    </row>
    <row r="98" spans="1:31">
      <c r="A98" s="72"/>
      <c r="B98" s="72"/>
      <c r="C98" s="72"/>
      <c r="D98" s="72"/>
      <c r="E98" s="72"/>
      <c r="F98" s="72"/>
      <c r="G98" s="72"/>
      <c r="H98" s="72"/>
      <c r="I98" s="72"/>
      <c r="J98" s="712"/>
      <c r="K98" s="262"/>
      <c r="L98" s="262"/>
      <c r="M98" s="262"/>
      <c r="N98" s="262"/>
      <c r="O98" s="262"/>
      <c r="P98" s="262"/>
      <c r="Q98" s="262"/>
      <c r="R98" s="515" t="s">
        <v>559</v>
      </c>
      <c r="S98" s="107"/>
      <c r="T98" s="714">
        <v>0.05</v>
      </c>
      <c r="U98" s="262"/>
      <c r="V98" s="710"/>
      <c r="W98" s="262"/>
      <c r="X98" s="262"/>
      <c r="Y98" s="262"/>
      <c r="Z98" s="262"/>
      <c r="AA98" s="262"/>
      <c r="AB98" s="262"/>
      <c r="AC98" s="262"/>
      <c r="AD98" s="262"/>
      <c r="AE98" s="262"/>
    </row>
    <row r="99" spans="1:31" ht="13.5" thickBot="1">
      <c r="A99" s="72"/>
      <c r="B99" s="72"/>
      <c r="C99" s="72"/>
      <c r="D99" s="72"/>
      <c r="E99" s="72"/>
      <c r="F99" s="72"/>
      <c r="G99" s="72"/>
      <c r="H99" s="72"/>
      <c r="I99" s="72"/>
      <c r="J99" s="712"/>
      <c r="K99" s="262"/>
      <c r="L99" s="262"/>
      <c r="M99" s="262"/>
      <c r="N99" s="262"/>
      <c r="O99" s="262"/>
      <c r="P99" s="262"/>
      <c r="Q99" s="262"/>
      <c r="R99" s="516" t="s">
        <v>560</v>
      </c>
      <c r="S99" s="186"/>
      <c r="T99" s="715">
        <v>0.05</v>
      </c>
      <c r="U99" s="262"/>
      <c r="V99" s="710"/>
      <c r="W99" s="262"/>
      <c r="X99" s="262"/>
      <c r="Y99" s="262"/>
      <c r="Z99" s="262"/>
      <c r="AA99" s="262"/>
      <c r="AB99" s="262"/>
      <c r="AC99" s="262"/>
      <c r="AD99" s="262"/>
      <c r="AE99" s="262"/>
    </row>
    <row r="100" spans="1:31" ht="13.5" thickBot="1">
      <c r="A100" s="72"/>
      <c r="B100" s="72"/>
      <c r="C100" s="72"/>
      <c r="D100" s="72"/>
      <c r="E100" s="72"/>
      <c r="F100" s="72"/>
      <c r="G100" s="72"/>
      <c r="H100" s="72"/>
      <c r="I100" s="72"/>
      <c r="J100" s="713"/>
      <c r="K100" s="196"/>
      <c r="L100" s="196"/>
      <c r="M100" s="196"/>
      <c r="N100" s="196"/>
      <c r="O100" s="196"/>
      <c r="P100" s="196"/>
      <c r="Q100" s="196"/>
      <c r="R100" s="196"/>
      <c r="S100" s="196"/>
      <c r="T100" s="196"/>
      <c r="U100" s="196"/>
      <c r="V100" s="308"/>
      <c r="W100" s="196"/>
      <c r="X100" s="196"/>
      <c r="Y100" s="196"/>
      <c r="Z100" s="196"/>
      <c r="AA100" s="196"/>
      <c r="AB100" s="196"/>
      <c r="AC100" s="196"/>
      <c r="AD100" s="196"/>
      <c r="AE100" s="196"/>
    </row>
    <row r="101" spans="1:31" ht="13.5" thickBot="1">
      <c r="A101" s="72"/>
      <c r="B101" s="72"/>
      <c r="C101" s="72"/>
      <c r="D101" s="72"/>
      <c r="E101" s="72"/>
      <c r="F101" s="72"/>
      <c r="G101" s="72"/>
      <c r="H101" s="72"/>
      <c r="I101" s="72"/>
      <c r="J101" s="222" t="s">
        <v>182</v>
      </c>
      <c r="K101" s="222"/>
      <c r="L101" s="222"/>
      <c r="M101" s="222"/>
      <c r="N101" s="222"/>
      <c r="O101" s="222"/>
      <c r="P101" s="222"/>
      <c r="Q101" s="222"/>
      <c r="R101" s="222"/>
      <c r="S101" s="222"/>
      <c r="T101" s="222"/>
      <c r="U101" s="222"/>
      <c r="V101" s="222"/>
      <c r="W101" s="222"/>
      <c r="X101" s="222"/>
      <c r="Y101" s="222"/>
      <c r="Z101" s="222"/>
      <c r="AA101" s="222"/>
      <c r="AB101" s="222"/>
      <c r="AC101" s="222"/>
      <c r="AD101" s="78"/>
    </row>
    <row r="102" spans="1:31">
      <c r="A102" s="72"/>
      <c r="B102" s="72"/>
      <c r="C102" s="72"/>
      <c r="D102" s="72"/>
      <c r="E102" s="72"/>
      <c r="F102" s="72"/>
      <c r="G102" s="72"/>
      <c r="H102" s="72"/>
      <c r="I102" s="72"/>
      <c r="J102" s="223"/>
      <c r="K102" s="224"/>
      <c r="L102" s="224"/>
      <c r="M102" s="224"/>
      <c r="N102" s="224"/>
      <c r="O102" s="224"/>
      <c r="P102" s="224"/>
      <c r="Q102" s="224"/>
      <c r="R102" s="224"/>
      <c r="S102" s="224"/>
      <c r="T102" s="224"/>
      <c r="U102" s="224"/>
      <c r="V102" s="224"/>
      <c r="W102" s="224"/>
      <c r="X102" s="224"/>
      <c r="Y102" s="224"/>
      <c r="Z102" s="224"/>
      <c r="AA102" s="224"/>
      <c r="AB102" s="224"/>
      <c r="AC102" s="225"/>
      <c r="AD102" s="78"/>
    </row>
    <row r="103" spans="1:31" ht="13.5" thickBot="1">
      <c r="A103" s="72"/>
      <c r="B103" s="72"/>
      <c r="C103" s="72"/>
      <c r="D103" s="72"/>
      <c r="E103" s="72"/>
      <c r="F103" s="72"/>
      <c r="G103" s="72"/>
      <c r="H103" s="72"/>
      <c r="I103" s="72"/>
      <c r="J103" s="226"/>
      <c r="K103" s="227"/>
      <c r="L103" s="227"/>
      <c r="M103" s="227"/>
      <c r="N103" s="227"/>
      <c r="O103" s="227"/>
      <c r="P103" s="220"/>
      <c r="Q103" s="220"/>
      <c r="R103" s="220"/>
      <c r="S103" s="782"/>
      <c r="T103" s="782"/>
      <c r="U103" s="220"/>
      <c r="V103" s="220"/>
      <c r="W103" s="220"/>
      <c r="X103" s="220"/>
      <c r="Y103" s="220"/>
      <c r="Z103" s="220"/>
      <c r="AA103" s="220"/>
      <c r="AB103" s="220"/>
      <c r="AC103" s="502"/>
      <c r="AD103" s="78"/>
    </row>
    <row r="104" spans="1:31" ht="13.5" thickBot="1">
      <c r="A104" s="72"/>
      <c r="B104" s="72"/>
      <c r="C104" s="72"/>
      <c r="D104" s="72"/>
      <c r="E104" s="72"/>
      <c r="F104" s="72"/>
      <c r="G104" s="72"/>
      <c r="H104" s="72"/>
      <c r="I104" s="72"/>
      <c r="J104" s="228" t="s">
        <v>1</v>
      </c>
      <c r="K104" s="92"/>
      <c r="L104" s="92"/>
      <c r="M104" s="92"/>
      <c r="N104" s="92"/>
      <c r="O104" s="92"/>
      <c r="P104" s="92"/>
      <c r="Q104" s="92"/>
      <c r="R104" s="92"/>
      <c r="S104" s="229" t="s">
        <v>2</v>
      </c>
      <c r="T104" s="92"/>
      <c r="U104" s="92"/>
      <c r="V104" s="92"/>
      <c r="W104" s="92"/>
      <c r="X104" s="92"/>
      <c r="Y104" s="92"/>
      <c r="Z104" s="92"/>
      <c r="AA104" s="92"/>
      <c r="AB104" s="92"/>
      <c r="AC104" s="139"/>
      <c r="AD104" s="78"/>
    </row>
    <row r="105" spans="1:31">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c r="AA105" s="72"/>
      <c r="AB105" s="72"/>
      <c r="AC105" s="72"/>
      <c r="AD105" s="78"/>
    </row>
    <row r="106" spans="1:31">
      <c r="A106" s="230"/>
      <c r="B106" s="230"/>
      <c r="C106" s="230"/>
      <c r="D106" s="230"/>
      <c r="E106" s="230"/>
      <c r="F106" s="230"/>
      <c r="G106" s="230"/>
      <c r="H106" s="230"/>
      <c r="I106" s="230"/>
      <c r="J106" s="230"/>
      <c r="K106" s="230"/>
      <c r="L106" s="230"/>
      <c r="M106" s="230"/>
      <c r="N106" s="230"/>
      <c r="O106" s="230"/>
      <c r="P106" s="230"/>
      <c r="Q106" s="230"/>
      <c r="R106" s="230"/>
      <c r="S106" s="230"/>
      <c r="T106" s="230"/>
      <c r="U106" s="230"/>
      <c r="V106" s="230"/>
      <c r="W106" s="230"/>
      <c r="X106" s="230"/>
      <c r="Y106" s="230"/>
      <c r="Z106" s="230"/>
      <c r="AA106" s="230"/>
      <c r="AB106" s="230"/>
      <c r="AC106" s="230"/>
      <c r="AD106" s="231"/>
    </row>
  </sheetData>
  <dataConsolidate function="var">
    <dataRefs count="1">
      <dataRef ref="B10:B11" sheet="Config." r:id="rId1"/>
    </dataRefs>
  </dataConsolidate>
  <mergeCells count="45">
    <mergeCell ref="V64:X64"/>
    <mergeCell ref="V8:Y8"/>
    <mergeCell ref="U5:X5"/>
    <mergeCell ref="K7:N7"/>
    <mergeCell ref="P7:Q7"/>
    <mergeCell ref="R7:U7"/>
    <mergeCell ref="V7:Y7"/>
    <mergeCell ref="K8:N8"/>
    <mergeCell ref="S103:T103"/>
    <mergeCell ref="L3:M3"/>
    <mergeCell ref="N73:P73"/>
    <mergeCell ref="N79:P79"/>
    <mergeCell ref="J63:L63"/>
    <mergeCell ref="N63:P63"/>
    <mergeCell ref="R63:T63"/>
    <mergeCell ref="R91:T91"/>
    <mergeCell ref="R8:U8"/>
    <mergeCell ref="V84:X84"/>
    <mergeCell ref="J70:L70"/>
    <mergeCell ref="Z67:AE67"/>
    <mergeCell ref="Z79:AA79"/>
    <mergeCell ref="V89:X89"/>
    <mergeCell ref="N88:P88"/>
    <mergeCell ref="A16:I16"/>
    <mergeCell ref="A17:I17"/>
    <mergeCell ref="C55:F55"/>
    <mergeCell ref="J55:AC56"/>
    <mergeCell ref="J57:L57"/>
    <mergeCell ref="N57:P57"/>
    <mergeCell ref="R57:T57"/>
    <mergeCell ref="V57:X57"/>
    <mergeCell ref="Y57:AA57"/>
    <mergeCell ref="F10:I10"/>
    <mergeCell ref="J10:J11"/>
    <mergeCell ref="AE10:AE11"/>
    <mergeCell ref="F11:I11"/>
    <mergeCell ref="F12:I12"/>
    <mergeCell ref="J12:J13"/>
    <mergeCell ref="AE12:AE13"/>
    <mergeCell ref="F13:I13"/>
    <mergeCell ref="L1:M1"/>
    <mergeCell ref="L2:M2"/>
    <mergeCell ref="J4:K4"/>
    <mergeCell ref="L5:M5"/>
    <mergeCell ref="J86:L86"/>
  </mergeCells>
  <conditionalFormatting sqref="A21:I53">
    <cfRule type="cellIs" dxfId="122" priority="111" operator="greaterThan">
      <formula>A$19</formula>
    </cfRule>
  </conditionalFormatting>
  <conditionalFormatting sqref="J20:J53">
    <cfRule type="expression" dxfId="121" priority="110">
      <formula>COUNT($J$20:$J$53)&gt;32</formula>
    </cfRule>
  </conditionalFormatting>
  <conditionalFormatting sqref="K7:N7">
    <cfRule type="duplicateValues" dxfId="120" priority="36"/>
  </conditionalFormatting>
  <conditionalFormatting sqref="K8:N8 R8:T8 V8:Y8">
    <cfRule type="expression" dxfId="119" priority="20">
      <formula>AND($L$6="AMP Block(s)", K$7 &lt;&gt;"--",K$8="--")</formula>
    </cfRule>
  </conditionalFormatting>
  <conditionalFormatting sqref="K8:N8">
    <cfRule type="expression" dxfId="118" priority="23">
      <formula>OR(AND(MID(K$8,1,1)="4",K$12="--"),AND(MID(K$8,1,1)&lt;&gt;"4",K$12&lt;&gt;"--"),AND(MID(K$8,3,1)="4",L$12="--"),AND(MID(K$8,3,1)&lt;&gt;"4",L$12&lt;&gt;"--"),AND(MID(K$8,5,1)="4",M$12="--"),AND(MID(K$8,5,1)&lt;&gt;"4",M$12&lt;&gt;"--"),AND(MID(K$8,7,1)="4",N$12="--"),AND(MID(K$8,7,1)&lt;&gt;"4",N$12&lt;&gt;"--"),AND(MID(K$8,1,1)="B",K$10&lt;&gt;"--"),AND(MID(K$8,1,1)&lt;&gt;"B",K$10="--"),AND(MID(K$8,3,1)="B",L$10&lt;&gt;"--"),AND(MID(K$8,3,1)&lt;&gt;"B",L$10="--"),AND(MID(K$8,5,1)="B",M$10&lt;&gt;"--"),AND(MID(K$8,5,1)&lt;&gt;"B",M$10="--"),AND(MID(K$8,7,1)="B",N$10&lt;&gt;"--"),AND(MID(K$8,7,1)&lt;&gt;"B",N$10="--"))</formula>
    </cfRule>
  </conditionalFormatting>
  <conditionalFormatting sqref="K7:O7">
    <cfRule type="expression" dxfId="117" priority="24">
      <formula>AND($L$6&lt;&gt;"AMP Block(s)")</formula>
    </cfRule>
  </conditionalFormatting>
  <conditionalFormatting sqref="K21:O28">
    <cfRule type="expression" dxfId="116" priority="1">
      <formula>AND(RIGHT(K21,3)="2sp",$O$6=TRUE)</formula>
    </cfRule>
  </conditionalFormatting>
  <conditionalFormatting sqref="K7:P7">
    <cfRule type="cellIs" dxfId="115" priority="25" operator="equal">
      <formula>"--"</formula>
    </cfRule>
  </conditionalFormatting>
  <conditionalFormatting sqref="K8:Q8">
    <cfRule type="expression" dxfId="114" priority="21">
      <formula>AND($L$6&lt;&gt;"AMP Block(s)")</formula>
    </cfRule>
    <cfRule type="cellIs" dxfId="113" priority="22" operator="equal">
      <formula>"--"</formula>
    </cfRule>
  </conditionalFormatting>
  <conditionalFormatting sqref="K10:Y10">
    <cfRule type="duplicateValues" dxfId="112" priority="13"/>
  </conditionalFormatting>
  <conditionalFormatting sqref="K10:Y11">
    <cfRule type="cellIs" dxfId="111" priority="11" operator="equal">
      <formula>"--"</formula>
    </cfRule>
    <cfRule type="cellIs" dxfId="110" priority="12" operator="equal">
      <formula>"Direct"</formula>
    </cfRule>
    <cfRule type="cellIs" dxfId="109" priority="10" operator="equal">
      <formula>"Not Installed"</formula>
    </cfRule>
  </conditionalFormatting>
  <conditionalFormatting sqref="K10:Y12">
    <cfRule type="expression" dxfId="108" priority="3">
      <formula>AND(K11="Not Installed")</formula>
    </cfRule>
  </conditionalFormatting>
  <conditionalFormatting sqref="K11:Y11 K13:Y13">
    <cfRule type="duplicateValues" dxfId="107" priority="76"/>
  </conditionalFormatting>
  <conditionalFormatting sqref="K12:Y12">
    <cfRule type="cellIs" dxfId="106" priority="4" operator="equal">
      <formula>"Not Installed"</formula>
    </cfRule>
    <cfRule type="cellIs" dxfId="105" priority="5" operator="equal">
      <formula>"--"</formula>
    </cfRule>
    <cfRule type="duplicateValues" dxfId="104" priority="7"/>
  </conditionalFormatting>
  <conditionalFormatting sqref="K12:Y13">
    <cfRule type="cellIs" dxfId="103" priority="6" operator="equal">
      <formula>"Direct"</formula>
    </cfRule>
  </conditionalFormatting>
  <conditionalFormatting sqref="K13:Y17 K9:Y9">
    <cfRule type="cellIs" dxfId="102" priority="74" operator="equal">
      <formula>"--"</formula>
    </cfRule>
  </conditionalFormatting>
  <conditionalFormatting sqref="K13:Y17">
    <cfRule type="cellIs" dxfId="101" priority="73" operator="equal">
      <formula>"Not Installed"</formula>
    </cfRule>
  </conditionalFormatting>
  <conditionalFormatting sqref="K14:Y15">
    <cfRule type="expression" dxfId="100" priority="67">
      <formula>AND(K14="F23",$N$6=TRUE)</formula>
    </cfRule>
    <cfRule type="expression" dxfId="99" priority="66">
      <formula>AND(K14="F24",$N$6=TRUE)</formula>
    </cfRule>
    <cfRule type="expression" dxfId="98" priority="71">
      <formula>AND(K14="F2",$N$6=TRUE)</formula>
    </cfRule>
    <cfRule type="expression" dxfId="97" priority="72">
      <formula>AND(K14="F1",$N$6=TRUE)</formula>
    </cfRule>
    <cfRule type="expression" dxfId="96" priority="70">
      <formula>AND(K14="F3",$N$6=TRUE)</formula>
    </cfRule>
    <cfRule type="expression" dxfId="95" priority="69">
      <formula>AND(K14="F21",$N$6=TRUE)</formula>
    </cfRule>
    <cfRule type="expression" dxfId="94" priority="68">
      <formula>AND(K14="F22",$N$6=TRUE)</formula>
    </cfRule>
  </conditionalFormatting>
  <conditionalFormatting sqref="K16:Y17">
    <cfRule type="expression" dxfId="93" priority="64">
      <formula>AND(K16="Line2",$N$6=TRUE)</formula>
    </cfRule>
    <cfRule type="expression" dxfId="92" priority="65">
      <formula>AND(K16="Line1",$N$6=TRUE)</formula>
    </cfRule>
    <cfRule type="expression" dxfId="91" priority="63">
      <formula>AND(K16="Line3",$N$6=TRUE)</formula>
    </cfRule>
  </conditionalFormatting>
  <conditionalFormatting sqref="K29:Y53 P21:Y28">
    <cfRule type="expression" dxfId="90" priority="131">
      <formula>AND(MID(K21,4,3)="2sp",$O$6=TRUE)</formula>
    </cfRule>
  </conditionalFormatting>
  <conditionalFormatting sqref="N59:P62">
    <cfRule type="expression" dxfId="89" priority="132">
      <formula>$P$58="Disable"</formula>
    </cfRule>
  </conditionalFormatting>
  <conditionalFormatting sqref="O7">
    <cfRule type="duplicateValues" dxfId="88" priority="29"/>
  </conditionalFormatting>
  <conditionalFormatting sqref="P7">
    <cfRule type="duplicateValues" dxfId="87" priority="28"/>
  </conditionalFormatting>
  <conditionalFormatting sqref="P9">
    <cfRule type="expression" dxfId="86" priority="61">
      <formula>AND($P$9="Not Installed",$K$3=6,P$16&lt;&gt;"--")</formula>
    </cfRule>
    <cfRule type="expression" dxfId="85" priority="59">
      <formula>AND($P$9="Not Installed",$P$16&lt;&gt;"--")</formula>
    </cfRule>
  </conditionalFormatting>
  <conditionalFormatting sqref="P16">
    <cfRule type="expression" dxfId="84" priority="58">
      <formula>AND($P$16="--",$P$9&lt;&gt;"Not Installed")</formula>
    </cfRule>
  </conditionalFormatting>
  <conditionalFormatting sqref="P69">
    <cfRule type="cellIs" dxfId="83" priority="130" operator="equal">
      <formula>1</formula>
    </cfRule>
  </conditionalFormatting>
  <conditionalFormatting sqref="P11:Q12">
    <cfRule type="expression" dxfId="82" priority="2">
      <formula>AND(P$9&lt;&gt;"Not Installed",P$9&lt;&gt;"--",P$10="--")</formula>
    </cfRule>
  </conditionalFormatting>
  <conditionalFormatting sqref="P10:Y10">
    <cfRule type="expression" dxfId="81" priority="8">
      <formula>AND(P$9&lt;&gt;"Not Installed",P$9&lt;&gt;"--",P$10="--")</formula>
    </cfRule>
  </conditionalFormatting>
  <conditionalFormatting sqref="P21:Y28 K29:Y53">
    <cfRule type="expression" dxfId="80" priority="157">
      <formula>(OR(AND(K$10&lt;&gt;"--",K$10=$K$12,MID($K21,4,1)="2",K21&lt;&gt;"",K21&lt;&gt;"--"),AND(K$10&lt;&gt;"--",K$10=$L$12,MID($L21,4,1)="2",K21&lt;&gt;"",K21&lt;&gt;"--"),AND(K$10&lt;&gt;"--",K$10=$M$12,MID($M21,4,1)="2",K21&lt;&gt;"",K21&lt;&gt;"--"),AND(K$10&lt;&gt;"--",K$10=$N$12,MID($N21,4,1)="2",K21&lt;&gt;"",K21&lt;&gt;"--"),AND(K$10&lt;&gt;"--",K$10=$O$12,MID($O21,4,1)="2",K21&lt;&gt;"",K21&lt;&gt;"--"),AND(K$10&lt;&gt;"--",K$10=$P$12,MID($P21,4,1)="2",K21&lt;&gt;"",K21&lt;&gt;"--"),AND(K$10&lt;&gt;"--",K$10=$Q$12,MID($Q21,4,1)="2",K21&lt;&gt;"",K21&lt;&gt;"--"),AND(K$10&lt;&gt;"--",K$10=$T$12,MID($T21,4,1)="2",K21&lt;&gt;"",K21&lt;&gt;"--"),AND(K$10&lt;&gt;"--",K$10=$U$12,MID($U21,4,1)="2",K21&lt;&gt;"",K21&lt;&gt;"--"),AND(K$10&lt;&gt;"--",K$10=$V$12,MID($V21,4,1)="2",K21&lt;&gt;"",K21&lt;&gt;"--"),AND(K$10&lt;&gt;"--",K$10=$W$12,MID($W21,4,1)="2",K21&lt;&gt;"",K21&lt;&gt;"--"),AND(K$10&lt;&gt;"--",K$10=$X$12,MID($X21,4,1)="2",K21&lt;&gt;"",K21&lt;&gt;"--"),AND(K$10&lt;&gt;"--",K$10=$Y$12,MID($Y21,4,1)="2",K21&lt;&gt;"",K21&lt;&gt;"--")))</formula>
    </cfRule>
    <cfRule type="expression" dxfId="79" priority="155">
      <formula>(AND(MID(K21,4,1)="2",K$12="--"))</formula>
    </cfRule>
    <cfRule type="expression" dxfId="78" priority="156">
      <formula>AND(MID(K21,4,1)="2",OR(AND(K$12&lt;&gt;"--",K$12=$K$10,$K21&lt;&gt;"",$K21&lt;&gt;"--"),AND(K$12&lt;&gt;"--",K$12=$L$10,$L21&lt;&gt;"",$L21&lt;&gt;"--"),AND(K$12&lt;&gt;"--",K$12=$M$10,$M21&lt;&gt;"",$M21&lt;&gt;"--"),AND(K$12&lt;&gt;"--",K$12=$N$10,$N21&lt;&gt;"",$N21&lt;&gt;"--"),AND(K$12&lt;&gt;"--",K$12=$O$10,$O21&lt;&gt;"",$O21&lt;&gt;"--"),AND(K$12&lt;&gt;"--",K$12=$P$10,$P21&lt;&gt;"",$P21&lt;&gt;"--"),AND(K$12&lt;&gt;"--",K$12=$Q$10,$Q21&lt;&gt;"",$Q21&lt;&gt;"--"),AND(K$12&lt;&gt;"--",K$12=$T$10,$T21&lt;&gt;"",$T21&lt;&gt;"--"),AND(K$12&lt;&gt;"--",K$12=$U$10,$U21&lt;&gt;"",$U21&lt;&gt;"--"),AND(K$12&lt;&gt;"--",K$12=$V$10,$V21&lt;&gt;"",$V21&lt;&gt;"--"),AND(K$12&lt;&gt;"--",K$12=$W$10,$W21&lt;&gt;"",$W21&lt;&gt;"--"),AND(K$12&lt;&gt;"--",K$12=$X$10,$X21&lt;&gt;"",$X21&lt;&gt;"--"),AND(K$12&lt;&gt;"--",K$12=$Y$10,$Y21&lt;&gt;"",$Y21&lt;&gt;"--")))</formula>
    </cfRule>
  </conditionalFormatting>
  <conditionalFormatting sqref="Q9:T9">
    <cfRule type="expression" dxfId="77" priority="60">
      <formula>AND(Q$9="Not Installed",Q$10&lt;&gt;"--")</formula>
    </cfRule>
  </conditionalFormatting>
  <conditionalFormatting sqref="R7:U8">
    <cfRule type="duplicateValues" dxfId="76" priority="35"/>
  </conditionalFormatting>
  <conditionalFormatting sqref="R7:V8">
    <cfRule type="expression" dxfId="75" priority="32">
      <formula>AND($L$6&lt;&gt;"AMP Block(s)")</formula>
    </cfRule>
  </conditionalFormatting>
  <conditionalFormatting sqref="R7:Y8">
    <cfRule type="cellIs" dxfId="74" priority="31" operator="equal">
      <formula>"--"</formula>
    </cfRule>
  </conditionalFormatting>
  <conditionalFormatting sqref="R8:Y8">
    <cfRule type="expression" dxfId="73" priority="33">
      <formula>IF(R8&lt;&gt;"--",OR(AND(MID(R$8,1,1)="4",R$12="--"),AND(MID(R$8,1,1)&lt;&gt;"4",R$12&lt;&gt;"--"),AND(MID(R$8,3,1)="4",S$12="--"),AND(MID(R$8,3,1)&lt;&gt;"4",S$12&lt;&gt;"--"),AND(MID(R$8,5,1)="4",T$12="--"),AND(MID(R$8,5,1)&lt;&gt;"4",T$12&lt;&gt;"--"),AND(MID(R$8,7,1)="4",U$12="--"),AND(MID(R$8,7,1)&lt;&gt;"4",U$12&lt;&gt;"--"),AND(MID(R$8,1,1)="B",R$10&lt;&gt;"--"),AND(MID(R$8,1,1)&lt;&gt;"B",R$10="--"),AND(MID(R$8,3,1)="B",S$10&lt;&gt;"--"),AND(MID(R$8,3,1)&lt;&gt;"B",S$10="--"),AND(MID(R$8,5,1)="B",T$10&lt;&gt;"--"),AND(MID(R$8,5,1)&lt;&gt;"B",T$10="--"),AND(MID(R$8,7,1)="B",U$10&lt;&gt;"--"),AND(MID(R$8,7,1)&lt;&gt;"B",U$10="--")),FALSE)</formula>
    </cfRule>
  </conditionalFormatting>
  <conditionalFormatting sqref="T92:T99">
    <cfRule type="expression" dxfId="72" priority="78">
      <formula>AND($K$6="UL",T92="3 Phases")</formula>
    </cfRule>
  </conditionalFormatting>
  <conditionalFormatting sqref="T58:U59">
    <cfRule type="expression" dxfId="71" priority="138">
      <formula>AND($K$6="UL",T58="3 Phases")</formula>
    </cfRule>
  </conditionalFormatting>
  <conditionalFormatting sqref="U30:Y43">
    <cfRule type="expression" dxfId="70" priority="112">
      <formula>AND(MID(U30,4,3)="2sp",$O$6=TRUE)</formula>
    </cfRule>
  </conditionalFormatting>
  <conditionalFormatting sqref="V7:Y7">
    <cfRule type="duplicateValues" dxfId="69" priority="34"/>
  </conditionalFormatting>
  <conditionalFormatting sqref="V8:Y8">
    <cfRule type="expression" dxfId="68" priority="30">
      <formula>AND($L$6&lt;&gt;"AMP Block(s)")</formula>
    </cfRule>
  </conditionalFormatting>
  <conditionalFormatting sqref="X73">
    <cfRule type="expression" dxfId="67" priority="116">
      <formula>OR(X73&lt;&gt;COUNTIF(X65:X72,"Normal"),X73&gt;3)</formula>
    </cfRule>
  </conditionalFormatting>
  <conditionalFormatting sqref="Y59:AA63">
    <cfRule type="expression" dxfId="66" priority="120">
      <formula>AND($AA$58="No Exercise")</formula>
    </cfRule>
  </conditionalFormatting>
  <conditionalFormatting sqref="Y62:AA62">
    <cfRule type="expression" dxfId="65" priority="121">
      <formula>AND($AA$58="No Exercise")</formula>
    </cfRule>
  </conditionalFormatting>
  <conditionalFormatting sqref="Y65:AE66 Z67">
    <cfRule type="expression" dxfId="64" priority="119">
      <formula>AND($AA$58="No Exercise")</formula>
    </cfRule>
  </conditionalFormatting>
  <conditionalFormatting sqref="Z67 AF67 Z68:AF78">
    <cfRule type="expression" dxfId="63" priority="129">
      <formula>AND($AA$58="SWIM exercise",$AA$59="VSP")</formula>
    </cfRule>
  </conditionalFormatting>
  <conditionalFormatting sqref="Z79 Z80:AA90">
    <cfRule type="expression" dxfId="62" priority="123">
      <formula>AND($AA$58="SWIM exercise",$AA$59="Standard Pumps")</formula>
    </cfRule>
  </conditionalFormatting>
  <conditionalFormatting sqref="AB57:AD62">
    <cfRule type="expression" dxfId="61" priority="77">
      <formula>AND($AA$58="No Exercise")</formula>
    </cfRule>
  </conditionalFormatting>
  <conditionalFormatting sqref="AC4">
    <cfRule type="expression" dxfId="60" priority="80">
      <formula>AND(RIGHT($L$2,4)="128k",RIGHT($AC$4,5)&lt;&gt;"-128k")</formula>
    </cfRule>
  </conditionalFormatting>
  <conditionalFormatting sqref="AF67 Z68:AF78 Z79 AB79:AF79 Z80:AF90">
    <cfRule type="expression" dxfId="59" priority="122">
      <formula>AND($AA$58="No Exercise")</formula>
    </cfRule>
  </conditionalFormatting>
  <dataValidations xWindow="641" yWindow="781" count="162">
    <dataValidation type="list" allowBlank="1" showInputMessage="1" showErrorMessage="1" promptTitle="Accessory" prompt="Select which accessory is used with the OUT." sqref="Q19:Y19">
      <formula1>"'--,P1_1SP,P1_2SP,P2_1SP,P2_2SP,P3_1SP,P3_2SP,P4_1SP,P4_2SP,P5_1SP,BL,Waterfall,Fan,O3,O3/CP,CP,Full ON,DIRECT 1,DIRECT 2,L120 (Ext. Light),Aux,Onzen,Cool Zone,Heater 2,"</formula1>
    </dataValidation>
    <dataValidation type="list" allowBlank="1" showInputMessage="1" showErrorMessage="1" promptTitle="Bloc Configuration" prompt="3 = 1 speed output&#10;4 = 2 speed output&#10;B = Blank (not installed)" sqref="R8:Y8 K8:N8">
      <formula1>"'--,3-3-4-B,3-3-3-3,4-3-3-B,3-3-4-3,3-4-4-3,4-3-4-3,4-3-3-3"</formula1>
    </dataValidation>
    <dataValidation allowBlank="1" showErrorMessage="1" promptTitle="AMP connector" prompt="AMP output connector number." sqref="O7:P8 Q8"/>
    <dataValidation type="list" allowBlank="1" showInputMessage="1" showErrorMessage="1" promptTitle="Terminal Block 3" sqref="V7:Y7">
      <formula1>"--,Terminal Block A,Terminal Block B,Terminal Block C"</formula1>
    </dataValidation>
    <dataValidation type="list" allowBlank="1" showInputMessage="1" showErrorMessage="1" promptTitle="Terminal Block 2" prompt="Second terminal block can be either B or C" sqref="R7:U7">
      <formula1>"--,Terminal Block A,Terminal Block B,Terminal Block C"</formula1>
    </dataValidation>
    <dataValidation type="list" allowBlank="1" showInputMessage="1" showErrorMessage="1" promptTitle="Accessory" prompt="Select which accessory is used with the OUT." sqref="K21:Y53">
      <formula1>"'--,P1_1SP,P1_2SP,P2_1SP,P2_2SP,P3_1SP,P3_2SP,P4_1SP,P4_2SP,P5_1SP,BL,Waterfall,Fan,O3,O3/CP,CP,Full ON,DIRECT 1,DIRECT 2,L120 (Ext. Light),Aux,Onzen,Cool Zone,HTR2,"</formula1>
    </dataValidation>
    <dataValidation allowBlank="1" showInputMessage="1" showErrorMessage="1" promptTitle="Low Speed Fuse" prompt="Fuse associated with Relay or TAB. This parameter is automatically set by the selected PCB and cannot be changed." sqref="K15:Y15"/>
    <dataValidation allowBlank="1" showInputMessage="1" showErrorMessage="1" promptTitle="High Speed Fuse" prompt="Fuse associated with high speed. This parameter is automatically set by the selected PCB and cannot be changed." sqref="K14:Y14"/>
    <dataValidation allowBlank="1" showInputMessage="1" showErrorMessage="1" promptTitle="OUTPUT ID" prompt="Output associated with Relay or TAB. This parameter is automatically set by the selected PCB and cannot be changed." sqref="K11:Y11 K13:Y13"/>
    <dataValidation allowBlank="1" showInputMessage="1" showErrorMessage="1" promptTitle="Low Speed Line" prompt="Line associated with Relay or TAB. This parameter is automatically set by the selected PCB and cannot be changed." sqref="K17:Y17"/>
    <dataValidation allowBlank="1" showInputMessage="1" showErrorMessage="1" promptTitle="Accessory" prompt="Select which accessory is used with the OUT." sqref="K19:P19"/>
    <dataValidation type="list" allowBlank="1" showInputMessage="1" showErrorMessage="1" promptTitle="TERMINAL BLOCK 1" sqref="K7:N7">
      <formula1>"--,Terminal Block A,Terminal Block B,Terminal Block C"</formula1>
    </dataValidation>
    <dataValidation type="list" allowBlank="1" showInputMessage="1" showErrorMessage="1" sqref="S9:T9 W9:X9">
      <formula1>"'--,Not Installed,B0 (FL2),B1,B2,B3,B4,C1,C2,C3,C4,"</formula1>
    </dataValidation>
    <dataValidation type="list" allowBlank="1" showInputMessage="1" showErrorMessage="1" sqref="R9">
      <formula1>"'--,B0 (FL2),B1,B2,B3,B4,C1,C2,C3,C4,"</formula1>
    </dataValidation>
    <dataValidation type="list" allowBlank="1" showInputMessage="1" showErrorMessage="1" sqref="L89">
      <formula1>"Not Allowed,Allowed"</formula1>
    </dataValidation>
    <dataValidation type="list" allowBlank="1" showInputMessage="1" showErrorMessage="1" promptTitle="SilentMode" prompt="Bullfrog (YX-2)&#10;(Reserved)&#10;Disable = NA&#10;The two modes available are = OFF or SLEEP&#10;More detail SP1113" sqref="L88">
      <formula1>"NA,OFF,SLEEP"</formula1>
    </dataValidation>
    <dataValidation type="list" allowBlank="1" showInputMessage="1" showErrorMessage="1" promptTitle="Custom Key Enabled" prompt="Set the last pump key of the in.k800 serie as a Custom Key to control ONE of the Multi-Mode Configuration option&#10;&#10;[MiscCfg]" sqref="L81">
      <formula1>"Disable,Enable"</formula1>
    </dataValidation>
    <dataValidation type="list" allowBlank="1" showInputMessage="1" showErrorMessage="1" promptTitle="Light Output Protection:" prompt="&#10;Enable = Default&#10;Disable = Removes the protection mechanism for high capacitive LEDs clusters (&gt;10 000uF) on light output. &#10;Could be disabled if the 12Vdc LED modules usually used on the Light Ouput don't work properly.&#10;DISABLED ONLY WITH R&amp;D APPROVAL" sqref="L85">
      <formula1>"Disable,Enable"</formula1>
    </dataValidation>
    <dataValidation type="list" allowBlank="1" showInputMessage="1" showErrorMessage="1" promptTitle="StatusLighNormalColor" prompt="Status light color when the spa is in normal operation&#10;&#10;[inMixConfig]" sqref="X80">
      <formula1>"OFF,BLUE,GREEN,YELLOW,MAGENTA,CYAN,ORANGE,WHITE"</formula1>
    </dataValidation>
    <dataValidation type="list" allowBlank="1" showInputMessage="1" showErrorMessage="1" promptTitle="ExerciseBuoyancyPump" prompt="Determine which pump is used for buoyancy (if any).&#10;Buoyancy pump helps the swimmer stay afloat. They can be manually controlled during an exercise session and will not be overriden by the exerciser sequence.&#10;&#10;[Exercise]" sqref="AA62">
      <formula1>"NA,Pump 1,Pump 2,Pump 3,Pump 4,Pump 5"</formula1>
    </dataValidation>
    <dataValidation type="decimal" allowBlank="1" showInputMessage="1" showErrorMessage="1" promptTitle="ExercisePumpIntensity#" prompt="Enter the speed (in %) of the VSP(s) to be used for each intensity&#10;(Value between 1 and 100)&#10;&#10;Note: ALL variable speed pumps will be set to the same speed except if one of the pump is set as a buoyancy pump&#10;&#10;[Exercise]" sqref="AA81:AA90">
      <formula1>0.01</formula1>
      <formula2>1</formula2>
    </dataValidation>
    <dataValidation type="list" allowBlank="1" showInputMessage="1" showErrorMessage="1" promptTitle="RemindersNotBlinkingLED" prompt="YES: Status Light will NOT blink when a reminder is due.&#10;NO: Status Light will blink when a reminder is due.&#10;&#10;[inMixConfig]" sqref="X82">
      <formula1>"YES,NO"</formula1>
    </dataValidation>
    <dataValidation type="list" allowBlank="1" showInputMessage="1" showErrorMessage="1" promptTitle="StatusLightRemindersColor" prompt="When a Reminder is due, the status light will change to this color (unless the status light is reporting an error).&#10;&#10;[inMixConfig]" sqref="X81">
      <formula1>"OFF,SAME AS NORMAL,GREEN,YELLOW,MAGENTA,CYAN,ORANGE,WHITE"</formula1>
    </dataValidation>
    <dataValidation type="list" allowBlank="1" showInputMessage="1" showErrorMessage="1" promptTitle="Pump 5" prompt="• -- add 0 to value&#10;• HIGH add 256 to value&#10;" sqref="AE69:AF78">
      <formula1>"'--,HIGH"</formula1>
    </dataValidation>
    <dataValidation type="list" allowBlank="1" showInputMessage="1" showErrorMessage="1" promptTitle="Pump 4" prompt="• -- add 0 to value&#10;• LOW add 64 to value&#10;• HIGH add 128 to value" sqref="AD69:AD78">
      <formula1>"'--,LOW,HIGH"</formula1>
    </dataValidation>
    <dataValidation type="list" allowBlank="1" showInputMessage="1" showErrorMessage="1" promptTitle="Pump 3" prompt="• -- add 0 to value&#10;• LOW add 16 to value&#10;• HIGH add 32 to value" sqref="AC69:AC78">
      <formula1>"'--,LOW,HIGH"</formula1>
    </dataValidation>
    <dataValidation type="list" allowBlank="1" showInputMessage="1" showErrorMessage="1" promptTitle="Pump 2" prompt="• -- add 0 to value&#10;• LOW add 4 to value&#10;• HIGH add 8 to value" sqref="AB69:AB78">
      <formula1>"'--,LOW,HIGH"</formula1>
    </dataValidation>
    <dataValidation type="list" allowBlank="1" showInputMessage="1" showErrorMessage="1" promptTitle="Pump 1" prompt="• -- add 0 to value&#10;• LOW add 1 to value&#10;• HIGH add 2 to value" sqref="AA69:AA78">
      <formula1>"'--,LOW,HIGH"</formula1>
    </dataValidation>
    <dataValidation type="whole" allowBlank="1" showInputMessage="1" showErrorMessage="1" errorTitle="Out of range" error="Choose between 0 and 511" promptTitle="Value" prompt="The value is an automatic calculation set between 0 and 511. This is used by Gecko when configuring the SPA." sqref="AF69:AF78">
      <formula1>0</formula1>
      <formula2>511</formula2>
    </dataValidation>
    <dataValidation type="list" allowBlank="1" showInputMessage="1" showErrorMessage="1" promptTitle="AssignVSP#" prompt="Define which Pump(s) are Variable Speed Pump(s) (if any).&#10;&#10;Note: Configuring VSP on Slave output (Dual-Pack config) is not supported.&#10;&#10;[VSP]" sqref="T93:T97">
      <formula1>"NA,Pump 1, Pump 2,Pump 3,Pump 4,Pump 5"</formula1>
    </dataValidation>
    <dataValidation type="list" allowBlank="1" showInputMessage="1" showErrorMessage="1" promptTitle="Filter Start Time" prompt="Time at which the filter cycle will start.&#10;&#10;[SpaPackInternalOptions]" sqref="P64">
      <formula1>"0:00 AM,1:00 AM,2:00 AM,3:00 AM,4:00 AM,5:00 AM,6:00 AM,7:00 AM,8:00 AM,9:00 AM,10:00 AM,11:00 AM,12:00 PM (Noon),1:00 PM,2:00 PM,3:00 PM,4:00 PM,5:00 PM,6:00 PM,7:00 PM,8:00 PM,9:00 PM,10:00 PM,11:00 PM,"</formula1>
    </dataValidation>
    <dataValidation allowBlank="1" showInputMessage="1" showErrorMessage="1" promptTitle="Customer ID" prompt="If applicable, specify the Customer ID." sqref="L87"/>
    <dataValidation allowBlank="1" showInputMessage="1" showErrorMessage="1" promptTitle="Keypad(s) and accessories" prompt="Some parameters are affected by the installed keypad or accessories.&#10;List all keypad(s) and accessories to be used with those Low Level here." sqref="V90:X90"/>
    <dataValidation type="list" allowBlank="1" showInputMessage="1" showErrorMessage="1" promptTitle="Drain Mode" prompt="Add drain mode using the specified pump.&#10;&#10;REQUIRES OFF/STANDBY MODE&#10;&#10;[AdvanceFilterConfig]" sqref="P72">
      <formula1>"Not Available,Drain with CP,Drain with P1"</formula1>
    </dataValidation>
    <dataValidation type="list" allowBlank="1" showInputMessage="1" showErrorMessage="1" promptTitle="Quick On Off Custom Key" prompt="When enabled, shut down all active user demands by a press and reactivate them by another press.&#10;&#10;[SpaPackInternalOptions]" sqref="P84">
      <formula1>"Disable,Enable"</formula1>
    </dataValidation>
    <dataValidation type="list" allowBlank="1" showInputMessage="1" showErrorMessage="1" promptTitle="CpUsage" prompt="Defined the usage of the circulation pump.&#10;Standard: Used only when filter cycle is on or when a heating resquest is active.&#10;Always ON: ON 24/7&#10;&#10;[FilterConfig]" sqref="Z21:Z53">
      <formula1>"'--,Standard,Always ON"</formula1>
    </dataValidation>
    <dataValidation type="list" allowBlank="1" showInputMessage="1" showErrorMessage="1" promptTitle="O3Usage" prompt="Define when the Ozone will be ON&#10;Filter = During filter cycle only (require seperate relays for pump and ozone)&#10;Always ON with pump = Ozone and its pump are are always ON together&#10;&#10;[O3Config]&#10;&#10;" sqref="AA19">
      <formula1>"'--,ON when filtering,Always on with pump"</formula1>
    </dataValidation>
    <dataValidation type="list" allowBlank="1" showInputMessage="1" showErrorMessage="1" promptTitle="O3Usage" prompt="Define when the Ozone will be ON&#10;ON when filtering = During filter cycle only (require seperate relays for pump and ozone)&#10;Always ON with pump = Ozone and its pump are always ON together&#10;&#10;[O3Config]&#10;&#10;" sqref="AA21:AA53">
      <formula1>"'--,ON when filtering,Always on with pump"</formula1>
    </dataValidation>
    <dataValidation type="list" allowBlank="1" showInputMessage="1" showErrorMessage="1" promptTitle="DrainMode" prompt="Add drain mode using the specified pump.&#10;&#10;REQUIRES OFF/STANDBY MODE&#10;&#10;[AdvanceFilterConfig]" sqref="Q72">
      <formula1>"Not Available,Drain with CP,Drain with P1"</formula1>
    </dataValidation>
    <dataValidation type="list" allowBlank="1" showInputMessage="1" showErrorMessage="1" promptTitle="QuickOnOffCustomKey" prompt="When enabled, shut down all active user demands by a press and reactivate them by another press.&#10;&#10;[SpaPackInternalOptions]" sqref="P85">
      <formula1>"Disable,Enable"</formula1>
    </dataValidation>
    <dataValidation type="whole" allowBlank="1" showInputMessage="1" showErrorMessage="1" promptTitle="Max 3 phase dual pack current" prompt="Value between 10A - 20A. &#10;Applies to CE models only.&#10;&#10;For more information refer to Installer options in Detailed specifications (Software) and Swim Spa Solution Techbook (9919-101142)." sqref="X63">
      <formula1>10</formula1>
      <formula2>20</formula2>
    </dataValidation>
    <dataValidation type="whole" allowBlank="1" showInputMessage="1" showErrorMessage="1" promptTitle="Max 3 phase single pack current" prompt="Value between 10A - 16A. &#10;Applies to CE models only.&#10;&#10;For more information refer to Installer options in Detailed specifications (Software) and Swim Spa Solution Techbook (9919-101142)." sqref="X60">
      <formula1>10</formula1>
      <formula2>16</formula2>
    </dataValidation>
    <dataValidation type="whole" allowBlank="1" showInputMessage="1" showErrorMessage="1" promptTitle="Max 2 phase single pack current" prompt="Value between 10A - 20A. &#10;Applies to CE models only.&#10;&#10;For more information refer to Installer options in Detailed specifications (Software) and Swim Spa Solution Techbook (9919-101142)." sqref="X59">
      <formula1>10</formula1>
      <formula2>20</formula2>
    </dataValidation>
    <dataValidation type="whole" allowBlank="1" showInputMessage="1" showErrorMessage="1" promptTitle="Max 2 phase dual pack current" prompt="Value between 10A - 48A. &#10;&#10;For more information refer to Installer options in Detailed specifications (Software) and Swim Spa Solution Techbook (9919-101142)." sqref="X62">
      <formula1>10</formula1>
      <formula2>48</formula2>
    </dataValidation>
    <dataValidation type="whole" allowBlank="1" showInputMessage="1" showErrorMessage="1" promptTitle="Max 1 phase dual pack current" prompt="Value between 10A - 48A. &#10;&#10;For more information refer to Installer options in Detailed specifications (Software) and Swim Spa Solution Techbook (9919-101142)." sqref="X61">
      <formula1>10</formula1>
      <formula2>48</formula2>
    </dataValidation>
    <dataValidation type="whole" allowBlank="1" showInputMessage="1" showErrorMessage="1" promptTitle="Max 1 phase single pack current" prompt="Value between 10A - 48A.&#10;&#10;For more information refer to Installer options in Detailed specifications (Software) and Swim Spa Solution Techbook (9919-101142)." sqref="X58">
      <formula1>10</formula1>
      <formula2>48</formula2>
    </dataValidation>
    <dataValidation type="list" allowBlank="1" showInputMessage="1" showErrorMessage="1" promptTitle="InMixZoneToFollow" prompt="If an external in.mix is installed, the internal in.mix will synch with one of its zones unless the internal in.mix is set as a 12V DC supply (Note: Maximum output current is shared between 12V Light and internal in.mix. Refer to SP959 for details)." sqref="X79">
      <formula1>"Follow zone 1,Follow zone 2,Follow zone 3,Follow zone 4,As 12V supply"</formula1>
    </dataValidation>
    <dataValidation allowBlank="1" showInputMessage="1" showErrorMessage="1" sqref="K9:O9"/>
    <dataValidation type="list" allowBlank="1" showInputMessage="1" showErrorMessage="1" sqref="Y9 U9">
      <formula1>"'--"</formula1>
    </dataValidation>
    <dataValidation type="list" allowBlank="1" showInputMessage="1" showErrorMessage="1" sqref="Q9">
      <formula1>"'Not Installed,A0 (FL1)"</formula1>
    </dataValidation>
    <dataValidation type="list" allowBlank="1" showInputMessage="1" showErrorMessage="1" sqref="P9">
      <formula1>"Not Installed,A6"</formula1>
    </dataValidation>
    <dataValidation type="list" allowBlank="1" showInputMessage="1" showErrorMessage="1" promptTitle="Default Output Wiring" prompt="UL controllers can be wired for 120V or 240V outputs&#10;CE controllers are always 230V" sqref="T62">
      <formula1>"120V,230/240V"</formula1>
    </dataValidation>
    <dataValidation allowBlank="1" showInputMessage="1" showErrorMessage="1" promptTitle="Fuses and Line(s) MAX load" prompt="Display the maximum potential load for each fuse and line to help balance loads and anticipate if and where load shedding will be applied.&#10;DOUBLE CHECK CALCULATION FOR ALL CONFIGURATION&#10;*Breaker value for line calculation of CE dual pack may be incorrect*" sqref="A16:I16"/>
    <dataValidation allowBlank="1" showInputMessage="1" showErrorMessage="1" promptTitle="High Speed Line" prompt="Line associated with Relay or TAB. This parameter is automatically set by the selected PCB and cannot be changed." sqref="K16:Y16"/>
    <dataValidation type="list" allowBlank="1" showInputMessage="1" showErrorMessage="1" promptTitle="Heat Pump Fuse" prompt="This value SHOULD NOT be changed&#10;Refer to in.temp techbook for details&#10;" sqref="X88">
      <formula1>"F1,F2,F3,F21,F22,F23"</formula1>
    </dataValidation>
    <dataValidation type="list" allowBlank="1" showInputMessage="1" showErrorMessage="1" promptTitle="Heat Pump current" prompt="Use MAX rated current.&#10;&quot;Not set&quot; will set a default current value on first detection (refer to SP959).&#10;Set to &quot;0&quot; if heat pump IS NOT powered by the controller.&#10;" sqref="X87">
      <formula1>"Not Set,0,1,2,3,4,5,6,7,8,9,10,11,12,13,14,15,"</formula1>
    </dataValidation>
    <dataValidation type="list" allowBlank="1" showInputMessage="1" showErrorMessage="1" promptTitle="Exercise Pumps Used" prompt="Specify which pumps are DEDICATED to the exerciser. Dedicated pumps cannot be controlled manually in normal operation and are not shown to the user in the main spa page.&#10;&#10;This parameter has no effect if exerciser pumps are NOT dedicated.&#10;&#10;[Exercise]" sqref="AA60">
      <formula1>"No Pump,ALL Pumps,P2 to P5,P3 to P5,P4 and P5,P5 Only"</formula1>
    </dataValidation>
    <dataValidation type="list" allowBlank="1" showInputMessage="1" showErrorMessage="1" promptTitle="Direct Output" prompt="1= Used with P28, P30 or P32 only.&#10;2= Used with P17 or P21 only." sqref="S88:S89">
      <formula1>"120 V,230/240 V"</formula1>
    </dataValidation>
    <dataValidation type="list" allowBlank="1" showInputMessage="1" showErrorMessage="1" promptTitle="Direct Output" prompt="1 = Used with P28, P30 or P32.&#10;2 = Used with P17 or P21." sqref="R88:R89">
      <formula1>"--,DIRECT 1,DIRECT 2"</formula1>
    </dataValidation>
    <dataValidation type="whole" allowBlank="1" showInputMessage="1" showErrorMessage="1" promptTitle="Direct Output 1 current" prompt="Value between 1 and 5A.&#10;0 = Not Installed.&#10;" sqref="T88">
      <formula1>0</formula1>
      <formula2>5</formula2>
    </dataValidation>
    <dataValidation type="list" allowBlank="1" showInputMessage="1" showErrorMessage="1" promptTitle="Heat Pump Regulation Mode" prompt="This is the active regulation mode at power up.&#10;Default = Smart Auto." sqref="X85:X86">
      <formula1>"Cool (1),Smart Heat (2),Eco Heat (3),Smart Auto (4),Eco Auto (5),Electric (6),"</formula1>
    </dataValidation>
    <dataValidation showInputMessage="1" showErrorMessage="1" promptTitle="Heat Pump ID" prompt="0 - 255&#10;Set to zero (0) for in.temp&#10;!!Warning!! There are reserved IDs! (see SP959)" sqref="X86"/>
    <dataValidation type="list" allowBlank="1" showInputMessage="1" showErrorMessage="1" promptTitle="Accessory" prompt="Choose an option in the list or - for none." sqref="R64:R87">
      <formula1>"'--,P1H,P1L,P2H,P2L,P3H,P3L,P4H,P4L,P5H,BL,WaterFall,Fan,O3,CP,Full ON,L120 (Ext. Light),Aux,Onzen,HTR2,"</formula1>
    </dataValidation>
    <dataValidation type="whole" allowBlank="1" showInputMessage="1" showErrorMessage="1" promptTitle="Accessory current value" prompt="Value between 1A and 15A. &#10;0 = Not Installed.&#10;Default = Gecko Heat pump autoconfig." sqref="T64:T87">
      <formula1>0</formula1>
      <formula2>15</formula2>
    </dataValidation>
    <dataValidation type="list" allowBlank="1" showInputMessage="1" showErrorMessage="1" promptTitle="Pump 1 User Access:" prompt="HighSpeedOnly: Only High speed must be controlled with P1 key. (Typically used when the low speed is used as a circulation pump)&#10;BothSpeeds: If both 2 speeds is required." sqref="L74">
      <formula1>"HighSpeedOnly,BothSpeeds"</formula1>
    </dataValidation>
    <dataValidation type="list" allowBlank="1" showInputMessage="1" showErrorMessage="1" promptTitle="Waterfall Valve on CP" prompt="Set to YES for systems where a valve connected to the Cicrulation Pump controls the water flow to the Waterfall&#10;&#10;[LCOutputConfig]" sqref="L80:L81">
      <formula1>"NO,YES"</formula1>
    </dataValidation>
    <dataValidation allowBlank="1" showInputMessage="1" showErrorMessage="1" promptTitle="Accessory currents" prompt="Choose an option in the list or - for none." sqref="R90"/>
    <dataValidation type="list" allowBlank="1" showInputMessage="1" showErrorMessage="1" promptTitle="Zone1led" prompt="Default RGB&#10;RGB = RED, GREEN, BLUE&#10;ATTENTION, App in.touch doesn't work in WHITE" sqref="X65 X69 X67 X71">
      <formula1>"RGB, WHITE"</formula1>
    </dataValidation>
    <dataValidation type="whole" allowBlank="1" showInputMessage="1" showErrorMessage="1" promptTitle="Filter Suspend" prompt="Period of time the Filter cycle will remain suspended after completion of the last user demand. (0 or between 2 to 240 min)." sqref="P69:Q69">
      <formula1>0</formula1>
      <formula2>240</formula2>
    </dataValidation>
    <dataValidation type="list" allowBlank="1" showInputMessage="1" showErrorMessage="1" promptTitle="Single pump key:" prompt="&#10;NA =  Not available&#10;&#10;ForSpeeds = For Speeds&#10;&#10;ForZones = For Zones" sqref="L84">
      <formula1>"NA,ForSpeeds,ForZones"</formula1>
    </dataValidation>
    <dataValidation type="list" allowBlank="1" showInputMessage="1" showErrorMessage="1" promptTitle="Programmable Economy Start time" prompt="Time at which the programmable Economy will become active. &#10;Value between 01-12 (AM/PM) or between 00-23 (24H). &#10;&#10;If Out Filter is selected, it must be set to 0." sqref="P77">
      <formula1>"0:00 AM,1:00 AM,2:00 AM,3:00 AM,4:00 AM,5:00 AM,6:00 AM,7:00 AM,8:00 AM,9:00 AM,10:00 AM,11:00 AM,12:00 PM (Noon),1:00 PM,2:00 PM,3:00 PM,4:00 PM,5:00 PM,6:00 PM,7:00 PM,8:00 PM,9:00 PM,10:00 PM,11:00 PM,"</formula1>
    </dataValidation>
    <dataValidation type="list" allowBlank="1" showInputMessage="1" showErrorMessage="1" promptTitle="Filter Start Time" prompt="Time at which the filter cycle will start.  Value between 01-12 (AM/PM) or between 00-23 (24H)." sqref="Q64">
      <formula1>"0:00 AM,1:00 AM,2:00 AM,3:00 AM,4:00 AM,5:00 AM,6:00 AM,7:00 AM,8:00 AM,9:00 AM,10:00 AM,11:00 AM,12:00 PM (Noon),1:00 PM,2:00 PM,3:00 PM,4:00 PM,5:00 PM,6:00 PM,7:00 PM,8:00 PM,9:00 PM,10:00 PM,11:00 PM,"</formula1>
    </dataValidation>
    <dataValidation type="list" allowBlank="1" showInputMessage="1" showErrorMessage="1" promptTitle="Heater Pump" prompt="Defined the pump where the heater is used." sqref="AD19 AD21:AD53">
      <formula1>"--,P1,CP"</formula1>
    </dataValidation>
    <dataValidation type="list" allowBlank="1" showInputMessage="1" showErrorMessage="1" promptTitle="CP Usage" prompt="Defined the usage of the circulation pump.&#10;Standard: Used only when filter cycle is on or when a heating resquest is active." sqref="Z19">
      <formula1>"'--,Standard,Always ON"</formula1>
    </dataValidation>
    <dataValidation type="list" allowBlank="1" showInputMessage="1" showErrorMessage="1" promptTitle="O3 Pump" prompt="Defined witch pump is associated with O3.&#10;CP = Circulation Pump&#10;P1 = Pump 1&#10;&#10;" sqref="AB19 AB21:AB53">
      <formula1>"'--,CP,P1"</formula1>
    </dataValidation>
    <dataValidation allowBlank="1" showInputMessage="1" showErrorMessage="1" promptTitle="Exercise Pump Combination 20" prompt="Normally the first combination represent the minimum power and the last combination represent the maximum power." sqref="Z90"/>
    <dataValidation allowBlank="1" showInputMessage="1" showErrorMessage="1" promptTitle="Exercise Pump Combination 19" prompt="Normally the first combination represent the minimum power and the last combination represent the maximum power." sqref="Z89"/>
    <dataValidation allowBlank="1" showInputMessage="1" showErrorMessage="1" promptTitle="Exercise Pump Combination 18" prompt="Normally the first combination represent the minimum power and the last combination represent the maximum power." sqref="Z88"/>
    <dataValidation allowBlank="1" showInputMessage="1" showErrorMessage="1" promptTitle="Exercise Pump Combination 17" prompt="Normally the first combination represent the minimum power and the last combination represent the maximum power." sqref="Z87"/>
    <dataValidation allowBlank="1" showInputMessage="1" showErrorMessage="1" promptTitle="Exercise Pump Combination 16" prompt="Normally the first combination represent the minimum power and the last combination represent the maximum power." sqref="Z86"/>
    <dataValidation allowBlank="1" showInputMessage="1" showErrorMessage="1" promptTitle="Exercise Pump Combination 15" prompt="Normally the first combination represent the minimum power and the last combination represent the maximum power." sqref="Z85"/>
    <dataValidation allowBlank="1" showInputMessage="1" showErrorMessage="1" promptTitle="Exercise Pump Combination 14" prompt="Normally the first combination represent the minimum power and the last combination represent the maximum power." sqref="Z84"/>
    <dataValidation allowBlank="1" showInputMessage="1" showErrorMessage="1" promptTitle="Exercise Pump Combination 13" prompt="Normally the first combination represent the minimum power and the last combination represent the maximum power." sqref="Z83"/>
    <dataValidation allowBlank="1" showInputMessage="1" showErrorMessage="1" promptTitle="Exercise Pump Combination 12" prompt="Normally the first combination represent the minimum power and the last combination represent the maximum power." sqref="Z82"/>
    <dataValidation allowBlank="1" showInputMessage="1" showErrorMessage="1" promptTitle="Exercise Pump Combination 11" prompt="Normally the first combination represent the minimum power and the last combination represent the maximum power." sqref="Z81"/>
    <dataValidation allowBlank="1" showInputMessage="1" showErrorMessage="1" promptTitle="Exercise Pump Combination 10" prompt="Normally the first combination represent the minimum power and the last combination represent the maximum power." sqref="Z78"/>
    <dataValidation allowBlank="1" showInputMessage="1" showErrorMessage="1" promptTitle="Exercise Pump Combination 9" prompt="Normally the first combination represent the minimum power and the last combination represent the maximum power." sqref="Z77"/>
    <dataValidation allowBlank="1" showInputMessage="1" showErrorMessage="1" promptTitle="Exercise Pump Combination 8" prompt="Normally the first combination represent the minimum power and the last combination represent the maximum power." sqref="Z76"/>
    <dataValidation allowBlank="1" showInputMessage="1" showErrorMessage="1" promptTitle="Exercise Pump Combination 7" prompt="Normally the first combination represent the minimum power and the last combination represent the maximum power." sqref="Z75"/>
    <dataValidation allowBlank="1" showInputMessage="1" showErrorMessage="1" promptTitle="Exercise Pump Combination 6" prompt="Normally the first combination represent the minimum power and the last combination represent the maximum power." sqref="Z74"/>
    <dataValidation allowBlank="1" showInputMessage="1" showErrorMessage="1" promptTitle="Exercise Pump Combination 5" prompt="Normally the first combination represent the minimum power and the last combination represent the maximum power." sqref="Z73"/>
    <dataValidation allowBlank="1" showInputMessage="1" showErrorMessage="1" promptTitle="Exercise Pump Combination 4" prompt="Normally the first combination represent the minimum power and the last combination represent the maximum power." sqref="Z72"/>
    <dataValidation allowBlank="1" showInputMessage="1" showErrorMessage="1" promptTitle="Exercise Pump Combination 3" prompt="Normally the first combination represent the minimum power and the last combination represent the maximum power." sqref="Z71"/>
    <dataValidation allowBlank="1" showInputMessage="1" showErrorMessage="1" promptTitle="Exercise Pump Combination 2" prompt="Normally the first combination represent the minimum power and the last combination represent the maximum power." sqref="Z70"/>
    <dataValidation allowBlank="1" showInputMessage="1" showErrorMessage="1" promptTitle="Exercise Pump Combination 1" prompt="Normally the first combination represent the minimum power and the last combination represent the maximum power." sqref="Z69"/>
    <dataValidation type="list" allowBlank="1" showInputMessage="1" showErrorMessage="1" promptTitle="MapZone4to" prompt="Select hardware output associated to zone 4&#10;OUT1 = P8&#10;OUT2 = P7&#10;OUT3 = P6&#10;OUT4 = P5" sqref="X78">
      <formula1>"N/A,OUT1&amp;OUT2,OUT1,OUT2,OUT3,OUT4"</formula1>
    </dataValidation>
    <dataValidation type="list" allowBlank="1" showInputMessage="1" showErrorMessage="1" promptTitle="MapZone3to" prompt="Select hardware output associated to zone 3&#10;OUT1 = P8&#10;OUT2 = P7&#10;OUT3 = P6&#10;OUT4 = P5" sqref="X77">
      <formula1>"N/A,OUT1&amp;OUT2,OUT1,OUT2,OUT3,OUT4"</formula1>
    </dataValidation>
    <dataValidation type="list" allowBlank="1" showInputMessage="1" showErrorMessage="1" promptTitle="MapZone2to" prompt="Select hardware output associated to zone 2&#10;OUT1 = P8&#10;OUT2 = P7&#10;OUT3 = P6&#10;OUT4 = P5" sqref="X76">
      <formula1>"N/A,OUT1&amp;OUT2,OUT1,OUT2,OUT3,OUT4"</formula1>
    </dataValidation>
    <dataValidation type="whole" allowBlank="1" showInputMessage="1" showErrorMessage="1" errorTitle="Choice" error="Choose between 4 and 20" promptTitle="ExerciseNumberOfIntensity" prompt="Number of intensities (speed) for the exerciser. Note that Off must not be counted as an intensity.&#10;Minimum is 4. Maximum is 10.&#10;&#10;[Exercise]&#10;" sqref="AA63">
      <formula1>4</formula1>
      <formula2>10</formula2>
    </dataValidation>
    <dataValidation type="list" allowBlank="1" showInputMessage="1" showErrorMessage="1" promptTitle="Exercise Dedicated Pumps" prompt="The exerciser feature can always use all pumps (dedicated or not).&#10;&#10;When enabling &quot;Dedicated Pumps&quot;, all pumps set as &quot;Pumps used&quot; will NOT be available in the main spa page for direct control by users.&#10;&#10;[Exercise]" sqref="AA61">
      <formula1>"Yes,No"</formula1>
    </dataValidation>
    <dataValidation type="list" allowBlank="1" showInputMessage="1" showErrorMessage="1" promptTitle="ExerciseControl" prompt="Determines the type of pumps used by the Exerciser functions.&#10;STANDARD: Drive standard 1-speed and/or 2-speed pumps.&#10;VSP: Drive Variable Speed Pumps.&#10;&#10;[Exercise]" sqref="AA59">
      <formula1>"Standard Pumps, VSP"</formula1>
    </dataValidation>
    <dataValidation type="list" allowBlank="1" showInputMessage="1" showErrorMessage="1" promptTitle="Exercise Type" prompt="Enable exercise feature on in.k1000 keypad.&#10;&#10;[Exercise]" sqref="AA58">
      <formula1>"No exercise,SWIM exercise"</formula1>
    </dataValidation>
    <dataValidation type="whole" allowBlank="1" showInputMessage="1" showErrorMessage="1" promptTitle="Number of zones" prompt="Number of &quot;Normal&quot; zones (maximum 3).&#10;Status zone DOES NOT count.&#10;&#10;[inMixConfig]" sqref="X73">
      <formula1>1</formula1>
      <formula2>3</formula2>
    </dataValidation>
    <dataValidation type="list" allowBlank="1" showInputMessage="1" showErrorMessage="1" promptTitle="MapZone1to" prompt="Select hardware output associated to zone 1&#10;OUT1 = P8&#10;OUT2 = P7&#10;OUT3 = P6&#10;OUT4 = P5" sqref="X75">
      <formula1>"N/A,OUT1&amp;OUT2,OUT1,OUT2,OUT3,OUT4"</formula1>
    </dataValidation>
    <dataValidation type="list" allowBlank="1" showInputMessage="1" showErrorMessage="1" promptTitle="Mapping enable" prompt="This parameter is used to activate all the following parameters" sqref="X74">
      <formula1>"YES,NO"</formula1>
    </dataValidation>
    <dataValidation type="list" allowBlank="1" showInputMessage="1" showErrorMessage="1" promptTitle="Zone Type" prompt="NOT INSTALLED: Unused zone&#10;NORMAL: User controllable zone&#10;STATUS: Passive zone used to report current spa status (Normal operation / Reminder due / Error)&#10;&#10;[inMixConfig]:&#10;Select NORMAL or STATUS&#10;if Not Installed, MapZoneXToOutY must be NO" sqref="X72 X66 X68 X70">
      <formula1>"Not Installed,Normal,Status"</formula1>
    </dataValidation>
    <dataValidation type="list" allowBlank="1" showInputMessage="1" showErrorMessage="1" promptTitle="Keypad back light color:" prompt="*Option only for in.k500, in.k800 and in.k1000&#10;&#10;Set default backlight color of the keypad&#10;&#10;Available colors:&#10;OFF, RED, GREEN, YELLOW, BLUE, MAGENTA, CYAN and WHITE." sqref="L76">
      <formula1>"OFF,RED,GREEN,YELLOW,BLUE,MAGENTA,CYAN,WHITE"</formula1>
    </dataValidation>
    <dataValidation type="list" allowBlank="1" showInputMessage="1" showErrorMessage="1" promptTitle="UD Prog Economy" prompt="This option will indicate if the programmable economy is active or not.&#10;&#10;Active (YES)&#10;Not (NO)&#10;&#10;[SpaPackInternalOptions]" sqref="P76">
      <formula1>"YES,NO"</formula1>
    </dataValidation>
    <dataValidation type="list" allowBlank="1" showInputMessage="1" showErrorMessage="1" promptTitle="Mode Key As Invert Display Key" prompt="Set the Mode Key of the in.k500 and in.k800 to be used as an Invert Display Key.&#10;&#10;Note that the mode key must be free of any other feature (in.stream 2, in.mix,...) in order to be used as an Invert Display Key.&#10;&#10;[MiscCfg]" sqref="L83">
      <formula1>"NO,YES"</formula1>
    </dataValidation>
    <dataValidation type="list" allowBlank="1" showInputMessage="1" showErrorMessage="1" promptTitle="Lock enabled:" prompt="Partial mode = Set Point isn't available and &#10;Full mode = All keys aren't available)&#10;&#10;Choose between:&#10;Yes = Option to lock a keypad is set&#10;No = Option to lock a keypad is unavailable&#10;&#10;K500,K800 and K1000 ignores this setting." sqref="L82">
      <formula1>"NO,YES"</formula1>
    </dataValidation>
    <dataValidation type="whole" allowBlank="1" showInputMessage="1" showErrorMessage="1" promptTitle="Aux Time Out:" prompt="This option lets you choose the maximum operating time of the auxiliary output.&#10;&#10;(1 to 254 minutes, 255 = No time out)&#10;&#10;[TimeOut]" sqref="L68:M68">
      <formula1>1</formula1>
      <formula2>255</formula2>
    </dataValidation>
    <dataValidation type="whole" allowBlank="1" showInputMessage="1" showErrorMessage="1" promptTitle="Water Fall Timeout:" prompt="This option lets you choose the maximum operating time of the water fall output.&#10;&#10;(1 to 255 minutes)" sqref="L67:M67">
      <formula1>1</formula1>
      <formula2>255</formula2>
    </dataValidation>
    <dataValidation type="list" allowBlank="1" showInputMessage="1" showErrorMessage="1" promptTitle="Multi key option" prompt="This function is useful with the swim spa configuration. It allows to control the blower with the auxiliary keypad. It's also used with an auxiliary device and a blower's single switch connected to the regular spa. (Default: Enable)." sqref="L72">
      <formula1>"Disable,Enable"</formula1>
    </dataValidation>
    <dataValidation type="list" allowBlank="1" showInputMessage="1" showErrorMessage="1" promptTitle="Blower key" prompt="Choose the key used on keypad to control the blower. This affects k800 series only. (Default: Last pump key)." sqref="L73">
      <formula1>"Free pump key, Last pump key"</formula1>
    </dataValidation>
    <dataValidation type="decimal" allowBlank="1" showInputMessage="1" showErrorMessage="1" promptTitle="Filter Cycle Duration 2" prompt="Used only when Filter Cycle Interface is defined to &quot;Clean, P1, 2Dur&quot;. The value must be set between 0,0 and 6,0 hours by step of 0,5 hour." sqref="P66:Q66">
      <formula1>0</formula1>
      <formula2>6</formula2>
    </dataValidation>
    <dataValidation type="decimal" allowBlank="1" showInputMessage="1" showErrorMessage="1" promptTitle="Filter Cycle Duration 1" prompt="Number of hours the filter cycle will last.  Value between 0,0 and 24,0 hours by step of 1 hour.&#10;If Filter Cycle Interface is defined to &quot;Clean, P1, 2Dur&quot;, the value must be set between 0,0 and 6,0 hours by step of 0,5 hour." sqref="P65:Q65">
      <formula1>0</formula1>
      <formula2>24</formula2>
    </dataValidation>
    <dataValidation type="list" allowBlank="1" showInputMessage="1" showErrorMessage="1" promptTitle="Purge speed" prompt="Define the speed used for all Pumps when a purge is required." sqref="P68:Q68">
      <formula1>"High,Low"</formula1>
    </dataValidation>
    <dataValidation type="list" allowBlank="1" showInputMessage="1" showErrorMessage="1" promptTitle="Default Temperature Unit" prompt="The default temperature unit can be set to °F or °C." sqref="L58:M58">
      <formula1>"°F,°C"</formula1>
    </dataValidation>
    <dataValidation type="decimal" allowBlank="1" showInputMessage="1" showErrorMessage="1" promptTitle="Default Set Point" prompt="For UL packs, the value must be between 59°F (15°C) and 100°F (37.5°C) due to UL regulation.&#10;&#10;For CE packs, the value can be between 15°C (59°F) and 40°C (104°F)." sqref="L59:M59">
      <formula1>8</formula1>
      <formula2>104</formula2>
    </dataValidation>
    <dataValidation type="decimal" allowBlank="1" showInputMessage="1" showErrorMessage="1" promptTitle="Minimum Set Point" prompt="The value can be set between 40°F (4.5°C) and 104°F (40°C)." sqref="L60:M60">
      <formula1>7</formula1>
      <formula2>106</formula2>
    </dataValidation>
    <dataValidation type="decimal" allowBlank="1" showInputMessage="1" showErrorMessage="1" promptTitle="Maximum Set Point" prompt="The value can be set between 59°F (15°C) and 106°F (41.5°C)." sqref="L61:M61">
      <formula1>7</formula1>
      <formula2>106</formula2>
    </dataValidation>
    <dataValidation type="whole" allowBlank="1" showInputMessage="1" showErrorMessage="1" promptTitle="Filter Cycle Frequency" prompt="Number of filter cycles per day.  Value between 1 and 4." sqref="P67:Q67">
      <formula1>1</formula1>
      <formula2>4</formula2>
    </dataValidation>
    <dataValidation type="list" allowBlank="1" showInputMessage="1" showErrorMessage="1" promptTitle="Default Number of Phases" prompt="*Cannot be higher than Maximum number of phases available:&#10;&#10;UL: must choose between 1 (Standard) or 2 phases (Swim Spa).&#10;&#10;CE: must choose between 1, 2 or 3 phases (Standard and Swim Spa)." sqref="T58:U58">
      <formula1>"1 Phase,2 Phases,3 Phases"</formula1>
    </dataValidation>
    <dataValidation type="whole" allowBlank="1" showInputMessage="1" showErrorMessage="1" promptTitle="Pump Timeout:" prompt="This option lets you choose the maximum operating time of the pumps and blower output.&#10;&#10;(1 to 255 minutes)" sqref="L64:M64">
      <formula1>1</formula1>
      <formula2>255</formula2>
    </dataValidation>
    <dataValidation type="whole" allowBlank="1" showInputMessage="1" showErrorMessage="1" promptTitle="No heat period" prompt="Minimum Off period after the heater has been shut off.&#10;&#10;(0 to 255 minutes)" sqref="L62:M62">
      <formula1>0</formula1>
      <formula2>255</formula2>
    </dataValidation>
    <dataValidation type="whole" allowBlank="1" showInputMessage="1" showErrorMessage="1" promptTitle="Light Timeout (12V)" prompt="This option lets you choose the maximum operating time of the 12V light.&#10;&#10;(1 to 255 minutes)" sqref="L65:M65">
      <formula1>1</formula1>
      <formula2>255</formula2>
    </dataValidation>
    <dataValidation type="whole" allowBlank="1" showInputMessage="1" showErrorMessage="1" promptTitle="Light Timeout (120V)" prompt="This option lets you choose the maximum operating time of the 120V light.&#10;&#10;(1 to 255 minutes)" sqref="L66:M66">
      <formula1>1</formula1>
      <formula2>255</formula2>
    </dataValidation>
    <dataValidation type="list" allowBlank="1" showInputMessage="1" showErrorMessage="1" promptTitle="Time format:" prompt="Default time format when the system will first be powered up. (Only available with keypad supporting a clock)" sqref="L71">
      <formula1>"No time,AM/PM,24H"</formula1>
    </dataValidation>
    <dataValidation type="whole" allowBlank="1" showInputMessage="1" showErrorMessage="1" promptTitle="Cooldown Delay" prompt="The Cooldown Delay can be set between 30 and 240 seconds. This value represents the amount of time the Pump associated with the Heater will remain active after the Heater has stopped heating." sqref="L69:M69">
      <formula1>30</formula1>
      <formula2>240</formula2>
    </dataValidation>
    <dataValidation type="list" allowBlank="1" showInputMessage="1" showErrorMessage="1" promptTitle="Keypad back light edit:" prompt="*Option for in.k500, in.k800 and in.k1000.&#10;&#10;Allows user to change the keypad backlight color through the keypad interface&#10;&#10;[MiscCfg]" sqref="L75">
      <formula1>"Disable,Enable"</formula1>
    </dataValidation>
    <dataValidation type="list" allowBlank="1" showInputMessage="1" showErrorMessage="1" promptTitle="Waterfall as CP" prompt="&#10;Yes = Waterfall used as CP&#10;&#10;No = Waterfall not used as CP" sqref="L79">
      <formula1>"YES,NO"</formula1>
    </dataValidation>
    <dataValidation type="list" allowBlank="1" showInputMessage="1" showErrorMessage="1" promptTitle="Breaker Change" prompt="This parameter decides if a password is required to change the number of phase or the breaker (current) value.&#10;&#10;Apply to: in.k500, in.k800 and in.k1000&#10;&#10;[MiscCfg]" sqref="L78">
      <formula1>"No_Restriction,Password_Protected"</formula1>
    </dataValidation>
    <dataValidation type="list" allowBlank="1" showInputMessage="1" showErrorMessage="1" promptTitle="Config Change" prompt="This parameter decides if a password is required to change the selected Low Level configuration.&#10;&#10;Apply to: in.k500 and in.k800 (in.k1000 is ALWAYS password protected)&#10;&#10;[MiscCfg]" sqref="L77">
      <formula1>"No_Restriction,Password_Protected"</formula1>
    </dataValidation>
    <dataValidation type="list" allowBlank="1" showInputMessage="1" showErrorMessage="1" promptTitle="Ozone Type" prompt="If a cycled type of Ozone is chosen, the ozone output will “toggle” on or off every 20 minutes when the Ozone is required." sqref="P71:Q71">
      <formula1>"Standard,Cycled"</formula1>
    </dataValidation>
    <dataValidation type="whole" allowBlank="1" showInputMessage="1" showErrorMessage="1" promptTitle="Ozone Suspend" prompt="Period of time the Ozone generator will remain suspended after completion of the last user demand. (Between 0 to 240 min). " sqref="P70:Q70">
      <formula1>0</formula1>
      <formula2>240</formula2>
    </dataValidation>
    <dataValidation type="list" allowBlank="1" showInputMessage="1" showErrorMessage="1" promptTitle="Econ Type" prompt="Standard = Temperature fixed to 20°F under the set point.&#10;Night = Temperature fixed to 20°F under the set point and the filtering is suspended.&#10;&#10;[WaterTemperatureControl]" sqref="P74">
      <formula1>"Standard,Night"</formula1>
    </dataValidation>
    <dataValidation type="list" allowBlank="1" showInputMessage="1" showErrorMessage="1" promptTitle="Econ Prog Available" prompt="Disable: The programmable Economy is not available. &#10;&#10;Standard: The programmable economy use the schedule (Start, Duration)&#10;&#10;Out. filter: The economy is active when filtering is off.&#10;&#10;[SpaPackInternalOptions]" sqref="P75">
      <formula1>"Disable,Standard,Outside Filter"</formula1>
    </dataValidation>
    <dataValidation type="whole" allowBlank="1" showInputMessage="1" showErrorMessage="1" promptTitle="Programmable Economy Duration:" prompt="Programmable Economy mode duration.  &#10;Value between 1 and 24 hours or 0 if Out Filter is selected." sqref="P78">
      <formula1>0</formula1>
      <formula2>24</formula2>
    </dataValidation>
    <dataValidation type="list" allowBlank="1" showInputMessage="1" showErrorMessage="1" promptTitle="Regulation probe location" prompt="Defined the place where the regulation probe is located." sqref="P90">
      <formula1>"Piping,Tub"</formula1>
    </dataValidation>
    <dataValidation type="list" allowBlank="1" showInputMessage="1" showErrorMessage="1" promptTitle="Flow detector type" prompt="Choose the type of flow detector who is used.&#10;&#10;Important:  this parameter is not in the lowlevel. &#10;The pack automatically detects which probe it's using. &#10;This information is only useful when creating the pack instructions." sqref="P89">
      <formula1>"Not installed,InFlow,Pressure switch"</formula1>
    </dataValidation>
    <dataValidation type="list" allowBlank="1" showInputMessage="1" showErrorMessage="1" promptTitle="Heater Power" prompt="Select heat.wav model&#10;&#10;&#10;" sqref="T90">
      <formula1>"2000, 3000, 3600, 4000, 5500"</formula1>
    </dataValidation>
    <dataValidation type="whole" allowBlank="1" showInputMessage="1" showErrorMessage="1" promptTitle="Direct Output 2 current" prompt="Value between 1 and 5A.&#10;0 = Not Installed.&#10;" sqref="T89">
      <formula1>0</formula1>
      <formula2>5</formula2>
    </dataValidation>
    <dataValidation type="list" allowBlank="1" showInputMessage="1" showErrorMessage="1" promptTitle="Maximum number of phases:" prompt="Maximum number of phases selectable by the user.&#10;&#10;UL: must choose between 1 (Standard) or 2 phases (Swim Spa).&#10;&#10;CE: must choose between 1, 2 or 3 phases (Standard and Swim Spa)." sqref="T59:U59">
      <formula1>"1 Phase,2 Phases,3 Phases"</formula1>
    </dataValidation>
    <dataValidation type="whole" allowBlank="1" showInputMessage="1" showErrorMessage="1" promptTitle="Default Input Current" prompt="Value between 10A - 48A. &#10;&#10;For more information refer to Installer options in Detailed specifications (Software)." sqref="T60:U60">
      <formula1>10</formula1>
      <formula2>48</formula2>
    </dataValidation>
    <dataValidation type="whole" allowBlank="1" showInputMessage="1" showErrorMessage="1" promptTitle="Minimum Input Current" prompt="&#10;Value must be set between 0A and 48A, default = 10A&#10;&#10;(Normally, this defined the current value of a Direct, the heater and the associated pump)." sqref="T61:U61">
      <formula1>0</formula1>
      <formula2>48</formula2>
    </dataValidation>
    <dataValidation type="list" allowBlank="1" showInputMessage="1" showErrorMessage="1" promptTitle="Aux On Custom Key" prompt="Allow control of the auxiliary output&#10;Enabled automatically for configurations with AUX output&#10;Disabled automatically for configuration without AUX output&#10;&#10;[SpaPackInternalOptions]" sqref="P85">
      <formula1>"Self-set"</formula1>
    </dataValidation>
    <dataValidation type="whole" allowBlank="1" showInputMessage="1" showErrorMessage="1" promptTitle="Overtemp Trigger" prompt="Number of °F (2 to 25) above the set point at which the Overtemp protection will be triggered (activated.)" sqref="P59:Q59">
      <formula1>2</formula1>
      <formula2>25</formula2>
    </dataValidation>
    <dataValidation type="whole" allowBlank="1" showInputMessage="1" showErrorMessage="1" promptTitle="Filter Overtemp" prompt="This guarantees a minimum amount of filter time per day, even if the Overtemp protection has triggered.&#10;&#10;For example, if Filter Overtemp is 2h, and the frequency is set to 2, there will be two one-hour filter cycles per day.&#10; &#10;Value (1 to 24 hours)." sqref="P62:Q62">
      <formula1>1</formula1>
      <formula2>24</formula2>
    </dataValidation>
    <dataValidation type="whole" allowBlank="1" showInputMessage="1" showErrorMessage="1" promptTitle="Maximum CP Off time" prompt="Available only when the Circulation Pump is set to Always On, the Circulation Pump will remain Off for a maximum amount of consecutive hours to ensure adequate filtering, even if the Overtemp protection has triggered. Value (0 to 12 hours)." sqref="P61:Q61">
      <formula1>0</formula1>
      <formula2>12</formula2>
    </dataValidation>
    <dataValidation type="whole" allowBlank="1" showInputMessage="1" showErrorMessage="1" promptTitle="Maximum CP On time" prompt="Available only when the Circulation Pump is set to Always On. This value sets the maximum consecutive hours the Circulation Pump will be allowed to run to ensure adequate filtration, even if the Overtemp protection has triggered. Value (0 to 12 hours)." sqref="P60:Q60">
      <formula1>0</formula1>
      <formula2>12</formula2>
    </dataValidation>
    <dataValidation type="list" allowBlank="1" showInputMessage="1" showErrorMessage="1" promptTitle="Overtemp options:" prompt="Disable (Not protected)&#10;&#10;Always On (overtemp is trig over Set Point + Trigger value)&#10;&#10;Over 95 (minimum set point temperature at which the Overtemp protection feature will be turned on)." sqref="P58:Q58">
      <formula1>"Disable,Always ON,Over 95°F"</formula1>
    </dataValidation>
    <dataValidation type="list" allowBlank="1" showInputMessage="1" showErrorMessage="1" promptTitle="Econ Controlable Manually" prompt="Allow manual activation or deactivation of the Economy Mode without altering the programmed start time and duration.&#10;&#10;[SpaPackInternalOptions]" sqref="P83">
      <formula1>"Disable,Enable"</formula1>
    </dataValidation>
    <dataValidation type="list" allowBlank="1" showInputMessage="1" showErrorMessage="1" promptTitle="Off On Custom Key" prompt="Turns off everything (including SWM) for 30 minutes.&#10;&#10;*Always enabled as &quot;Standby&quot; on graphic keypads*&#10;&#10;[SpaPackInternalOptions]&#10;" sqref="P82">
      <formula1>"Disable,Enable"</formula1>
    </dataValidation>
    <dataValidation type="list" allowBlank="1" showInputMessage="1" showErrorMessage="1" promptTitle="Soak Mode" prompt="This function is useful when the user wishes to stand in silence in the spa. Cancel everything but the water temperature regulation for 30 min." sqref="P81">
      <formula1>"Disable,Enable"</formula1>
    </dataValidation>
    <dataValidation type="list" allowBlank="1" showInputMessage="1" showErrorMessage="1" promptTitle="Manual Clean Up mode" prompt="This function is useful to start a purge step anytime you want." sqref="P80">
      <formula1>"Disable,Enable"</formula1>
    </dataValidation>
    <dataValidation allowBlank="1" showErrorMessage="1" promptTitle="SPEC Number" prompt="The new spec number now is same as the software number.&#10;Ex.:&#10;Software number: 565&#10;Software revision: 001&#10;Specification number: SP565001" sqref="AC1:AC5"/>
    <dataValidation type="list" allowBlank="1" showInputMessage="1" showErrorMessage="1" promptTitle="Filter Interface" prompt="Choose between: &#10;PurgeOnly (used with CP always On) &#10;FiltCP (CP is used to filter) &#10;FiltP1 (P1L is used to filter) &#10;FiltP1L, 2 Dur (P1L is used to filter with 2 durations)." sqref="AC19 AC21:AC53">
      <formula1>"'--,Purge only,With CP,With P1,With P1 (2 Dur)"</formula1>
    </dataValidation>
    <dataValidation type="list" allowBlank="1" showInputMessage="1" showErrorMessage="1" promptTitle="StatusLightFading" prompt="NO: default&#10;&#10;&#10;[inMixConfig]" sqref="X83">
      <formula1>"NO, YES"</formula1>
    </dataValidation>
    <dataValidation type="decimal" allowBlank="1" showInputMessage="1" showErrorMessage="1" promptTitle="VSPFilteringSpeed" prompt="Enter the speed (in %) of the VSP when it used for filtering&#10;(Value between 5 and 100)&#10;&#10;[VSP]" sqref="T99">
      <formula1>0.05</formula1>
      <formula2>1</formula2>
    </dataValidation>
    <dataValidation type="decimal" allowBlank="1" showInputMessage="1" showErrorMessage="1" promptTitle="VSPHeatingSpeed" prompt="Enter the speed (in %) of the VSP when it used for heating&#10;(Value between 5 and 100)&#10;&#10;[VSP]" sqref="T98">
      <formula1>0.05</formula1>
      <formula2>1</formula2>
    </dataValidation>
    <dataValidation type="list" allowBlank="1" showInputMessage="1" showErrorMessage="1" promptTitle="VSPType" prompt="Define type of VSP installed&#10;&#10;[VSP]" sqref="T92">
      <formula1>"No VSP,Hydropool drive,Gecko VMS"</formula1>
    </dataValidation>
    <dataValidation type="list" allowBlank="1" showInputMessage="1" sqref="V9">
      <formula1>"'--,Not Installed,B0 (FL2),B1,B2,B3,B4,C1,C2,C3,C4,"</formula1>
    </dataValidation>
  </dataValidations>
  <printOptions horizontalCentered="1" verticalCentered="1"/>
  <pageMargins left="0.19685039370078741" right="0.19685039370078741" top="0.19685039370078741" bottom="0.19685039370078741" header="0" footer="0.19685039370078741"/>
  <pageSetup paperSize="5" scale="43" orientation="landscape" r:id="rId2"/>
  <headerFooter>
    <oddFooter>&amp;C&amp;"Arial,Gras"&amp;D</oddFooter>
  </headerFooter>
  <drawing r:id="rId3"/>
  <extLst xmlns:xr="http://schemas.microsoft.com/office/spreadsheetml/2014/revision">
    <ext xmlns:x14="http://schemas.microsoft.com/office/spreadsheetml/2009/9/main" uri="{78C0D931-6437-407d-A8EE-F0AAD7539E65}">
      <x14:conditionalFormattings>
        <x14:conditionalFormatting xmlns:xm="http://schemas.microsoft.com/office/excel/2006/main">
          <x14:cfRule type="expression" priority="152" id="{5EA68CAC-DD20-47C8-BBB2-9AB0896180AB}">
            <xm:f>AND(VLOOKUP(CONCATENATE(K$14,"current"),'Supply Attribution'!$F$23:$G$28,2,FALSE)&gt;20,(MID(K21,3,1)&lt;&gt;"_"),K21&lt;&gt;"",K21&lt;&gt;"--")</xm:f>
            <x14:dxf>
              <fill>
                <patternFill>
                  <bgColor rgb="FFFF0000"/>
                </patternFill>
              </fill>
            </x14:dxf>
          </x14:cfRule>
          <xm:sqref>P21:Y28 K29:Y53</xm:sqref>
        </x14:conditionalFormatting>
      </x14:conditionalFormattings>
    </ext>
    <ext xmlns:x14="http://schemas.microsoft.com/office/spreadsheetml/2009/9/main" uri="{CCE6A557-97BC-4b89-ADB6-D9C93CAAB3DF}">
      <x14:dataValidations xmlns:xm="http://schemas.microsoft.com/office/excel/2006/main" xWindow="641" yWindow="781" count="4">
        <x14:dataValidation type="list" allowBlank="1" showInputMessage="1" showErrorMessage="1" xr:uid="{A70B1DCB-7503-408F-9671-A2797FB74647}">
          <x14:formula1>
            <xm:f>'Supply Attribution'!$M$14:$W$14</xm:f>
          </x14:formula1>
          <xm:sqref>K10:Q10</xm:sqref>
        </x14:dataValidation>
        <x14:dataValidation type="list" allowBlank="1" showInputMessage="1" showErrorMessage="1" xr:uid="{1065FABF-92E3-495D-B126-2706A5151968}">
          <x14:formula1>
            <xm:f>'Supply Attribution'!$W$14:$AD$14</xm:f>
          </x14:formula1>
          <xm:sqref>R10:Y10</xm:sqref>
        </x14:dataValidation>
        <x14:dataValidation type="list" allowBlank="1" showInputMessage="1" showErrorMessage="1" promptTitle="Relays &amp; Tabs ID" prompt="Select relay associated with high speed for this position" xr:uid="{1658C6F5-ED77-414E-91B2-BAF08B9AE1A3}">
          <x14:formula1>
            <xm:f>'Supply Attribution'!$M$14:$W$14</xm:f>
          </x14:formula1>
          <xm:sqref>K12:Q12</xm:sqref>
        </x14:dataValidation>
        <x14:dataValidation type="list" allowBlank="1" showInputMessage="1" showErrorMessage="1" promptTitle="Relays &amp; Tabs ID" prompt="Select relay associated with high speed for this position" xr:uid="{80A77EF5-1CAF-4AED-B93E-A94F74A5B363}">
          <x14:formula1>
            <xm:f>'Supply Attribution'!$W$14:$AD$14</xm:f>
          </x14:formula1>
          <xm:sqref>R12:Y12</xm:sqref>
        </x14:dataValidation>
      </x14:dataValidations>
    </ext>
  </extLst>
</worksheet>
</file>

<file path=xl/worksheets/sheet3.xml><?xml version="1.0" encoding="utf-8"?>
<worksheet xmlns="http://schemas.openxmlformats.org/spreadsheetml/2006/main" xmlns:r="http://schemas.openxmlformats.org/officeDocument/2006/relationships">
  <sheetPr>
    <tabColor rgb="FF00B0F0"/>
    <pageSetUpPr fitToPage="1"/>
  </sheetPr>
  <dimension ref="A1:AG115"/>
  <sheetViews>
    <sheetView topLeftCell="A17" zoomScale="130" zoomScaleNormal="130" zoomScaleSheetLayoutView="119" workbookViewId="0">
      <selection activeCell="J29" sqref="J29"/>
    </sheetView>
  </sheetViews>
  <sheetFormatPr defaultColWidth="11.42578125" defaultRowHeight="12.75" outlineLevelCol="1"/>
  <cols>
    <col min="1" max="3" width="5.140625" style="79" bestFit="1" customWidth="1" outlineLevel="1"/>
    <col min="4" max="5" width="4.140625" style="79" bestFit="1" customWidth="1" outlineLevel="1"/>
    <col min="6" max="6" width="21.28515625" style="79" bestFit="1" customWidth="1" outlineLevel="1"/>
    <col min="7" max="7" width="15.5703125" style="79" bestFit="1" customWidth="1" outlineLevel="1"/>
    <col min="8" max="9" width="5" style="79" customWidth="1" outlineLevel="1"/>
    <col min="10" max="10" width="20.7109375" style="79" customWidth="1"/>
    <col min="11" max="23" width="17.5703125" style="79" customWidth="1"/>
    <col min="24" max="29" width="20.7109375" style="79" customWidth="1"/>
    <col min="30" max="30" width="6.7109375" style="79" customWidth="1"/>
    <col min="31" max="31" width="6.42578125" style="79" bestFit="1" customWidth="1"/>
    <col min="32" max="16384" width="11.42578125" style="79"/>
  </cols>
  <sheetData>
    <row r="1" spans="1:32" ht="13.15" customHeight="1">
      <c r="A1" s="638"/>
      <c r="B1" s="638"/>
      <c r="C1" s="638"/>
      <c r="D1" s="638"/>
      <c r="E1" s="638"/>
      <c r="F1" s="638"/>
      <c r="G1" s="638"/>
      <c r="H1" s="638"/>
      <c r="I1" s="639"/>
      <c r="J1" s="250" t="s">
        <v>217</v>
      </c>
      <c r="K1" s="606" t="s">
        <v>214</v>
      </c>
      <c r="L1" s="780" t="str">
        <f>IF(VLOOKUP(K1,'[2]Supply Attribution'!AI42:AV74,14,FALSE)=0,"",VLOOKUP(K1,'[2]Supply Attribution'!AI42:AV74,14,FALSE))</f>
        <v/>
      </c>
      <c r="M1" s="781"/>
      <c r="N1" s="256" t="s">
        <v>275</v>
      </c>
      <c r="O1" s="256"/>
      <c r="P1" s="256"/>
      <c r="Q1" s="256"/>
      <c r="R1" s="256"/>
      <c r="S1" s="72"/>
      <c r="T1" s="72"/>
      <c r="U1" s="73"/>
      <c r="V1" s="74" t="s">
        <v>155</v>
      </c>
      <c r="W1" s="75"/>
      <c r="X1" s="76" t="s">
        <v>157</v>
      </c>
      <c r="Y1" s="72"/>
      <c r="Z1" s="77"/>
      <c r="AA1" s="74" t="s">
        <v>0</v>
      </c>
      <c r="AB1" s="75"/>
      <c r="AC1" s="496" t="s">
        <v>366</v>
      </c>
      <c r="AD1" s="78"/>
    </row>
    <row r="2" spans="1:32" ht="13.15" customHeight="1">
      <c r="A2" s="731" t="str">
        <f>IF(RIGHT(L2,4)="128K","CORE FIXED - DO NOT UPDATE CORE  VERSION","")</f>
        <v/>
      </c>
      <c r="B2" s="731"/>
      <c r="C2" s="731"/>
      <c r="D2" s="731"/>
      <c r="E2" s="731"/>
      <c r="F2" s="731"/>
      <c r="G2" s="731"/>
      <c r="H2" s="731"/>
      <c r="I2" s="732"/>
      <c r="J2" s="250" t="s">
        <v>218</v>
      </c>
      <c r="K2" s="606" t="s">
        <v>466</v>
      </c>
      <c r="L2" s="780" t="str">
        <f>IF(VLOOKUP(K2,'Supply Attribution'!P17:AD100,15,FALSE)=0,"",VLOOKUP(K2,'Supply Attribution'!P17:AD100,15,FALSE))</f>
        <v>ASSY PCB IN.YE-V3FLX-5OP-A11-A22-A32-A41-A5DIR</v>
      </c>
      <c r="M2" s="781"/>
      <c r="N2" s="255" t="s">
        <v>328</v>
      </c>
      <c r="O2" s="255"/>
      <c r="P2" s="72"/>
      <c r="Q2" s="72"/>
      <c r="R2" s="72" t="str">
        <f>MID(A1,4,3)</f>
        <v/>
      </c>
      <c r="S2" s="72"/>
      <c r="T2" s="72"/>
      <c r="U2" s="80"/>
      <c r="V2" s="81" t="s">
        <v>160</v>
      </c>
      <c r="W2" s="82"/>
      <c r="X2" s="317" t="s">
        <v>339</v>
      </c>
      <c r="Y2" s="72"/>
      <c r="Z2" s="83"/>
      <c r="AA2" s="81" t="s">
        <v>363</v>
      </c>
      <c r="AB2" s="82"/>
      <c r="AC2" s="500">
        <v>999</v>
      </c>
      <c r="AD2" s="78"/>
    </row>
    <row r="3" spans="1:32" ht="12.75" customHeight="1" thickBot="1">
      <c r="A3" s="107"/>
      <c r="B3" s="107"/>
      <c r="C3" s="107"/>
      <c r="D3" s="107"/>
      <c r="E3" s="107"/>
      <c r="F3" s="107"/>
      <c r="G3" s="107"/>
      <c r="H3" s="107"/>
      <c r="I3" s="107"/>
      <c r="J3" s="250" t="s">
        <v>251</v>
      </c>
      <c r="K3" s="419">
        <f>VALUE(MID(J6,7,2))</f>
        <v>5</v>
      </c>
      <c r="L3" s="435" t="str">
        <f>IF(AND(K3&lt;6,P9="A6"),"+1","")</f>
        <v/>
      </c>
      <c r="M3" s="72"/>
      <c r="N3" s="255" t="s">
        <v>276</v>
      </c>
      <c r="O3" s="255"/>
      <c r="P3" s="72"/>
      <c r="Q3" s="72"/>
      <c r="R3" s="72"/>
      <c r="S3" s="84"/>
      <c r="T3" s="85"/>
      <c r="U3" s="80"/>
      <c r="V3" s="81" t="s">
        <v>158</v>
      </c>
      <c r="W3" s="432"/>
      <c r="X3" s="86">
        <v>999999</v>
      </c>
      <c r="Y3" s="72"/>
      <c r="Z3" s="83"/>
      <c r="AA3" s="81" t="s">
        <v>364</v>
      </c>
      <c r="AB3" s="82"/>
      <c r="AC3" s="497">
        <v>999</v>
      </c>
      <c r="AD3" s="78"/>
    </row>
    <row r="4" spans="1:32" ht="13.15" customHeight="1" thickBot="1">
      <c r="A4" s="107"/>
      <c r="B4" s="747" t="s">
        <v>330</v>
      </c>
      <c r="C4" s="748"/>
      <c r="D4" s="748"/>
      <c r="E4" s="748"/>
      <c r="F4" s="748"/>
      <c r="G4" s="748"/>
      <c r="H4" s="749"/>
      <c r="I4" s="107"/>
      <c r="J4" s="783" t="str">
        <f>IF(OR(J6="",J6="Not Set"),"Select Model and Region first","")</f>
        <v/>
      </c>
      <c r="K4" s="784"/>
      <c r="L4" s="437" t="str">
        <f>IF(RIGHT(L2,4)="128K","CORE FIXED","")</f>
        <v/>
      </c>
      <c r="M4" s="438"/>
      <c r="N4" s="255" t="s">
        <v>329</v>
      </c>
      <c r="O4" s="255"/>
      <c r="P4" s="72"/>
      <c r="Q4" s="72"/>
      <c r="R4" s="72"/>
      <c r="S4" s="84"/>
      <c r="T4" s="84"/>
      <c r="U4" s="90"/>
      <c r="V4" s="91" t="s">
        <v>159</v>
      </c>
      <c r="W4" s="92"/>
      <c r="X4" s="93" t="s">
        <v>161</v>
      </c>
      <c r="Y4" s="72"/>
      <c r="Z4" s="83"/>
      <c r="AA4" s="81" t="s">
        <v>365</v>
      </c>
      <c r="AB4" s="82"/>
      <c r="AC4" s="498">
        <v>999</v>
      </c>
      <c r="AD4" s="78"/>
    </row>
    <row r="5" spans="1:32" ht="13.15" customHeight="1" thickBot="1">
      <c r="A5" s="107"/>
      <c r="B5" s="750" t="s">
        <v>285</v>
      </c>
      <c r="C5" s="751"/>
      <c r="D5" s="751"/>
      <c r="E5" s="751"/>
      <c r="F5" s="751"/>
      <c r="G5" s="752" t="s">
        <v>562</v>
      </c>
      <c r="H5" s="753"/>
      <c r="I5" s="107"/>
      <c r="J5" s="87" t="s">
        <v>219</v>
      </c>
      <c r="K5" s="88" t="s">
        <v>220</v>
      </c>
      <c r="L5" s="791" t="s">
        <v>435</v>
      </c>
      <c r="M5" s="792"/>
      <c r="N5" s="255" t="s">
        <v>277</v>
      </c>
      <c r="O5" s="255"/>
      <c r="P5" s="72"/>
      <c r="Q5" s="72"/>
      <c r="R5" s="72"/>
      <c r="S5" s="89"/>
      <c r="T5" s="84"/>
      <c r="U5" s="790"/>
      <c r="V5" s="790"/>
      <c r="W5" s="790"/>
      <c r="X5" s="790"/>
      <c r="Y5" s="72"/>
      <c r="Z5" s="94"/>
      <c r="AA5" s="91" t="s">
        <v>86</v>
      </c>
      <c r="AB5" s="92"/>
      <c r="AC5" s="499"/>
      <c r="AD5" s="78"/>
    </row>
    <row r="6" spans="1:32" ht="24" thickBot="1">
      <c r="A6" s="107"/>
      <c r="B6" s="754" t="s">
        <v>436</v>
      </c>
      <c r="C6" s="755"/>
      <c r="D6" s="755"/>
      <c r="E6" s="755"/>
      <c r="F6" s="755"/>
      <c r="G6" s="755"/>
      <c r="H6" s="756"/>
      <c r="I6" s="107"/>
      <c r="J6" s="258" t="s">
        <v>564</v>
      </c>
      <c r="K6" s="257" t="s">
        <v>184</v>
      </c>
      <c r="L6" s="793" t="s">
        <v>561</v>
      </c>
      <c r="M6" s="794"/>
      <c r="N6" s="274" t="b">
        <v>1</v>
      </c>
      <c r="O6" s="314" t="b">
        <v>1</v>
      </c>
      <c r="P6" s="72"/>
      <c r="Q6" s="72"/>
      <c r="R6" s="72"/>
      <c r="S6" s="84"/>
      <c r="T6" s="84"/>
      <c r="U6" s="84"/>
      <c r="V6" s="84"/>
      <c r="W6" s="72"/>
      <c r="X6" s="84"/>
      <c r="Y6" s="72"/>
      <c r="Z6" s="72"/>
      <c r="AA6" s="72"/>
      <c r="AB6" s="72"/>
      <c r="AC6" s="72"/>
      <c r="AD6" s="78"/>
    </row>
    <row r="7" spans="1:32" ht="20.25">
      <c r="A7" s="107"/>
      <c r="B7" s="579"/>
      <c r="C7" s="579"/>
      <c r="D7" s="745"/>
      <c r="E7" s="745"/>
      <c r="F7" s="745"/>
      <c r="G7" s="579"/>
      <c r="H7" s="579"/>
      <c r="I7" s="107"/>
      <c r="J7" s="580" t="s">
        <v>433</v>
      </c>
      <c r="K7" s="789" t="str">
        <f>IFERROR(IF($K$3&gt;7,"Terminal Block A","--"),"--")</f>
        <v>--</v>
      </c>
      <c r="L7" s="740"/>
      <c r="M7" s="740"/>
      <c r="N7" s="740"/>
      <c r="O7" s="602" t="s">
        <v>24</v>
      </c>
      <c r="P7" s="789" t="s">
        <v>456</v>
      </c>
      <c r="Q7" s="741"/>
      <c r="R7" s="795" t="str">
        <f>IFERROR(IF($K$3&lt;7,"--",IF($K$3&gt;10,"Terminal Block B","Terminal Block C")),"--")</f>
        <v>--</v>
      </c>
      <c r="S7" s="796"/>
      <c r="T7" s="796"/>
      <c r="U7" s="797"/>
      <c r="V7" s="740" t="str">
        <f>IFERROR(IF($K$3&gt;10,"Terminal Block C","--"),"--")</f>
        <v>--</v>
      </c>
      <c r="W7" s="740"/>
      <c r="X7" s="740"/>
      <c r="Y7" s="741"/>
      <c r="Z7" s="84"/>
      <c r="AA7" s="72"/>
      <c r="AB7" s="72"/>
      <c r="AC7" s="72"/>
      <c r="AD7" s="72"/>
      <c r="AE7" s="72"/>
      <c r="AF7" s="78"/>
    </row>
    <row r="8" spans="1:32" ht="20.25">
      <c r="A8" s="107"/>
      <c r="B8" s="579"/>
      <c r="C8" s="579"/>
      <c r="D8" s="746"/>
      <c r="E8" s="746"/>
      <c r="F8" s="746"/>
      <c r="G8" s="579"/>
      <c r="H8" s="579"/>
      <c r="I8" s="107"/>
      <c r="J8" s="581" t="s">
        <v>434</v>
      </c>
      <c r="K8" s="769" t="str">
        <f>IF(K7="--","--",IF(K3&lt;4,"3-3-4-B","3-4-4-3"))</f>
        <v>--</v>
      </c>
      <c r="L8" s="770"/>
      <c r="M8" s="770"/>
      <c r="N8" s="770"/>
      <c r="O8" s="603" t="s">
        <v>24</v>
      </c>
      <c r="P8" s="604" t="s">
        <v>24</v>
      </c>
      <c r="Q8" s="605" t="s">
        <v>24</v>
      </c>
      <c r="R8" s="798" t="str">
        <f>IFERROR(IF(K3&lt;6,"--",IF(K$3&gt;10,"3-4-4-3","3-3-4-B")),"--")</f>
        <v>--</v>
      </c>
      <c r="S8" s="799"/>
      <c r="T8" s="799"/>
      <c r="U8" s="800"/>
      <c r="V8" s="742" t="str">
        <f>IFERROR(IF(K3&gt;10,"3-3-4-B","--"),"--")</f>
        <v>--</v>
      </c>
      <c r="W8" s="743"/>
      <c r="X8" s="743"/>
      <c r="Y8" s="744"/>
      <c r="Z8" s="84"/>
      <c r="AA8" s="72"/>
      <c r="AB8" s="72"/>
      <c r="AC8" s="72"/>
      <c r="AD8" s="72"/>
      <c r="AE8" s="72"/>
      <c r="AF8" s="78"/>
    </row>
    <row r="9" spans="1:32" s="100" customFormat="1" ht="13.15" customHeight="1" thickBot="1">
      <c r="A9" s="157"/>
      <c r="B9" s="254"/>
      <c r="C9" s="254"/>
      <c r="D9" s="254"/>
      <c r="E9" s="254"/>
      <c r="F9" s="107"/>
      <c r="G9" s="107"/>
      <c r="H9" s="107"/>
      <c r="I9" s="107"/>
      <c r="J9" s="275" t="s">
        <v>199</v>
      </c>
      <c r="K9" s="586" t="s">
        <v>19</v>
      </c>
      <c r="L9" s="436" t="s">
        <v>20</v>
      </c>
      <c r="M9" s="436" t="s">
        <v>23</v>
      </c>
      <c r="N9" s="436" t="str">
        <f>IF(ISERROR($K$3),"--",(IF($K$3=3,"--","A4")))</f>
        <v>A4</v>
      </c>
      <c r="O9" s="278" t="str">
        <f>IF(ISERROR($K$3),"--",(IF($K$3&gt;6,"--","A5")))</f>
        <v>A5</v>
      </c>
      <c r="P9" s="372" t="s">
        <v>214</v>
      </c>
      <c r="Q9" s="276" t="s">
        <v>214</v>
      </c>
      <c r="R9" s="276" t="str">
        <f>IF(OR(R7="--",MID(R8,1,1)="B"),"--",CONCATENATE(RIGHT(R7,1),"1"))</f>
        <v>--</v>
      </c>
      <c r="S9" s="277" t="str">
        <f>IF(OR(R7="--",MID(R8,3,1)="B"),"--",CONCATENATE(RIGHT(R7,1),"2"))</f>
        <v>--</v>
      </c>
      <c r="T9" s="277" t="str">
        <f>IF(OR(R7="--",MID(R8,5,1)="B"),"--",CONCATENATE(RIGHT(R7,1),"3"))</f>
        <v>--</v>
      </c>
      <c r="U9" s="278" t="str">
        <f>IF(OR(R7="--",MID(R8,7,1)="B"),"--",CONCATENATE(RIGHT(R7,1),"4"))</f>
        <v>--</v>
      </c>
      <c r="V9" s="276" t="str">
        <f>IF(OR(V7="--",MID(V8,1,1)="B"),"--",CONCATENATE(RIGHT(V7,1),"1"))</f>
        <v>--</v>
      </c>
      <c r="W9" s="277" t="str">
        <f>IF(OR(V7="--",MID(V8,3,1)="B"),"--",CONCATENATE(RIGHT(V7,1),"2"))</f>
        <v>--</v>
      </c>
      <c r="X9" s="277" t="str">
        <f>IF(OR(V7="--",MID(V8,5,1)="B"),"--",CONCATENATE(RIGHT(V7,1),"3"))</f>
        <v>--</v>
      </c>
      <c r="Y9" s="278" t="str">
        <f>IF(AND(RIGHT(V7,1)="C",RIGHT(V8,1)="3"),"C4",IF(AND(RIGHT(V7,1)="B",RIGHT(V8,1)="3"),"B4","--"))</f>
        <v>--</v>
      </c>
      <c r="Z9" s="95" t="s">
        <v>90</v>
      </c>
      <c r="AA9" s="95" t="s">
        <v>162</v>
      </c>
      <c r="AB9" s="95" t="s">
        <v>163</v>
      </c>
      <c r="AC9" s="96" t="s">
        <v>154</v>
      </c>
      <c r="AD9" s="97" t="s">
        <v>153</v>
      </c>
      <c r="AE9" s="98" t="s">
        <v>156</v>
      </c>
      <c r="AF9" s="99"/>
    </row>
    <row r="10" spans="1:32" s="100" customFormat="1" ht="10.15" customHeight="1">
      <c r="A10" s="157"/>
      <c r="B10" s="254"/>
      <c r="C10" s="254"/>
      <c r="D10" s="254"/>
      <c r="E10" s="254"/>
      <c r="F10" s="771" t="s">
        <v>280</v>
      </c>
      <c r="G10" s="772"/>
      <c r="H10" s="772"/>
      <c r="I10" s="773"/>
      <c r="J10" s="804" t="s">
        <v>201</v>
      </c>
      <c r="K10" s="362" t="str">
        <f>IF(ISERROR(VLOOKUP(CONCATENATE(K$9,"-H"),'Supply Attribution'!$O$5:$S$11,4,FALSE)),"--",VLOOKUP(CONCATENATE(K$9,"-H"),'Supply Attribution'!$O$5:$S$11,4,FALSE))</f>
        <v>K1-P (P30,P31)</v>
      </c>
      <c r="L10" s="363" t="str">
        <f>IF(ISERROR(VLOOKUP(CONCATENATE(L$9,"-H"),'Supply Attribution'!$O$5:$S$11,4,FALSE)),"--",VLOOKUP(CONCATENATE(L$9,"-H"),'Supply Attribution'!$O$5:$S$11,4,FALSE))</f>
        <v>K3-P</v>
      </c>
      <c r="M10" s="378" t="str">
        <f>IF(ISERROR(VLOOKUP(CONCATENATE(M$9,"-H"),'Supply Attribution'!$O$5:$S$11,4,FALSE)),"--",VLOOKUP(CONCATENATE(M$9,"-H"),'Supply Attribution'!$O$5:$S$11,4,FALSE))</f>
        <v>K4-P</v>
      </c>
      <c r="N10" s="362" t="str">
        <f>IF(ISERROR(VLOOKUP(CONCATENATE(N$9,"-H"),'Supply Attribution'!$O$5:$S$11,4,FALSE)),"--",VLOOKUP(CONCATENATE(N$9,"-H"),'Supply Attribution'!$O$5:$S$11,4,FALSE))</f>
        <v>K6-P</v>
      </c>
      <c r="O10" s="378" t="str">
        <f>IF(ISERROR(VLOOKUP(CONCATENATE(O$9,"-H"),'Supply Attribution'!$O$5:$S$11,4,FALSE)),"--",VLOOKUP(CONCATENATE(O$9,"-H"),'Supply Attribution'!$O$5:$S$11,4,FALSE))</f>
        <v>(P49,P50)</v>
      </c>
      <c r="P10" s="373" t="str">
        <f>IF(ISERROR(VLOOKUP(CONCATENATE(P$9,"-H"),'Supply Attribution'!$O$5:$S$11,4,FALSE)),"--",VLOOKUP(CONCATENATE(P$9,"-H"),'Supply Attribution'!$O$5:$S$11,4,FALSE))</f>
        <v>--</v>
      </c>
      <c r="Q10" s="373" t="str">
        <f>IF(ISERROR(VLOOKUP(CONCATENATE(Q$9,"-H"),'Supply Attribution'!$O$5:$S$11,4,FALSE)),"--",VLOOKUP(CONCATENATE(Q$9,"-H"),'Supply Attribution'!$O$5:$S$11,4,FALSE))</f>
        <v>--</v>
      </c>
      <c r="R10" s="362" t="str">
        <f>IF(ISERROR(VLOOKUP(CONCATENATE(R$9,"-H"),'Supply Attribution'!$V$5:$Z$12,4,FALSE)),"--",VLOOKUP(CONCATENATE(R$9,"-H"),'Supply Attribution'!$V$5:$Z$12,4,FALSE))</f>
        <v>--</v>
      </c>
      <c r="S10" s="363" t="str">
        <f>IF(ISERROR(VLOOKUP(CONCATENATE(S$9,"-H"),'Supply Attribution'!$V$5:$Z$12,4,FALSE)),"--",VLOOKUP(CONCATENATE(S$9,"-H"),'Supply Attribution'!$V$5:$Z$12,4,FALSE))</f>
        <v>--</v>
      </c>
      <c r="T10" s="363" t="str">
        <f>IF(ISERROR(VLOOKUP(CONCATENATE(T$9,"-H"),'Supply Attribution'!$V$5:$Z$12,4,FALSE)),"--",VLOOKUP(CONCATENATE(T$9,"-H"),'Supply Attribution'!$V$5:$Z$12,4,FALSE))</f>
        <v>--</v>
      </c>
      <c r="U10" s="378" t="str">
        <f>IF(ISERROR(VLOOKUP(CONCATENATE(U$9,"-H"),'Supply Attribution'!$V$5:$Z$12,4,FALSE)),"--",VLOOKUP(CONCATENATE(U$9,"-H"),'Supply Attribution'!$V$5:$Z$12,4,FALSE))</f>
        <v>--</v>
      </c>
      <c r="V10" s="362" t="str">
        <f>IF(ISERROR(VLOOKUP(CONCATENATE(V$9,"-H"),'Supply Attribution'!$V$5:$Z$12,4,FALSE)),"--",VLOOKUP(CONCATENATE(V$9,"-H"),'Supply Attribution'!$V$5:$Z$12,4,FALSE))</f>
        <v>--</v>
      </c>
      <c r="W10" s="363" t="str">
        <f>IF(ISERROR(VLOOKUP(CONCATENATE(W$9,"-H"),'Supply Attribution'!$V$5:$Z$12,4,FALSE)),"--",VLOOKUP(CONCATENATE(W$9,"-H"),'Supply Attribution'!$V$5:$Z$12,4,FALSE))</f>
        <v>--</v>
      </c>
      <c r="X10" s="363" t="str">
        <f>IF(ISERROR(VLOOKUP(CONCATENATE(X$9,"-H"),'Supply Attribution'!$V$5:$Z$12,4,FALSE)),"--",VLOOKUP(CONCATENATE(X$9,"-H"),'Supply Attribution'!$V$5:$Z$12,4,FALSE))</f>
        <v>--</v>
      </c>
      <c r="Y10" s="378" t="str">
        <f>IF(ISERROR(VLOOKUP(CONCATENATE(Y$9,"-H"),'Supply Attribution'!$V$5:$Z$12,4,FALSE)),"--",VLOOKUP(CONCATENATE(Y$9,"-H"),'Supply Attribution'!$V$5:$Z$12,4,FALSE))</f>
        <v>--</v>
      </c>
      <c r="Z10" s="101"/>
      <c r="AA10" s="101"/>
      <c r="AB10" s="101"/>
      <c r="AC10" s="101"/>
      <c r="AD10" s="102"/>
      <c r="AE10" s="801" t="s">
        <v>34</v>
      </c>
      <c r="AF10" s="99"/>
    </row>
    <row r="11" spans="1:32" s="100" customFormat="1" ht="10.15" customHeight="1" thickBot="1">
      <c r="A11" s="157"/>
      <c r="B11" s="157"/>
      <c r="C11" s="157"/>
      <c r="D11" s="157"/>
      <c r="E11" s="254"/>
      <c r="F11" s="774" t="s">
        <v>289</v>
      </c>
      <c r="G11" s="775"/>
      <c r="H11" s="775"/>
      <c r="I11" s="776"/>
      <c r="J11" s="804"/>
      <c r="K11" s="364" t="str">
        <f>IF(K10="--","--",IF(ISNA(VLOOKUP(K10,'Supply Attribution'!$B$4:$G$20,5,FALSE)),"Not Installed",VLOOKUP(K10,'Supply Attribution'!$B$4:$G$20,5,FALSE)))</f>
        <v>OUT 4</v>
      </c>
      <c r="L11" s="365" t="str">
        <f>IF(L10="--","--",IF(ISNA(VLOOKUP(L10,'Supply Attribution'!$B$4:$G$20,5,FALSE)),"Not Installed",VLOOKUP(L10,'Supply Attribution'!$B$4:$G$20,5,FALSE)))</f>
        <v>OUT 1</v>
      </c>
      <c r="M11" s="379" t="str">
        <f>IF(M10="--","--",IF(ISNA(VLOOKUP(M10,'Supply Attribution'!$B$4:$G$20,5,FALSE)),"Not Installed",VLOOKUP(M10,'Supply Attribution'!$B$4:$G$20,5,FALSE)))</f>
        <v>OUT 2</v>
      </c>
      <c r="N11" s="364" t="str">
        <f>IF(N10="--","--",IF(ISNA(VLOOKUP(N10,'Supply Attribution'!$B$4:$G$20,5,FALSE)),"Not Installed",VLOOKUP(N10,'Supply Attribution'!$B$4:$G$20,5,FALSE)))</f>
        <v>OUT 3</v>
      </c>
      <c r="O11" s="379" t="str">
        <f>IF(O10="--","--",IF(ISNA(VLOOKUP(O10,'Supply Attribution'!$B$4:$G$20,5,FALSE)),"Not Installed",VLOOKUP(O10,'Supply Attribution'!$B$4:$G$20,5,FALSE)))</f>
        <v>DIRECT</v>
      </c>
      <c r="P11" s="716" t="str">
        <f>IF(P10="--","--",IF(ISNA(VLOOKUP(P10,'Supply Attribution'!$B$4:$G$20,5,FALSE)),"Not Installed",VLOOKUP(P10,'Supply Attribution'!$B$4:$G$20,5,FALSE)))</f>
        <v>--</v>
      </c>
      <c r="Q11" s="374" t="str">
        <f>IF(Q10="--","--",IF(ISNA(VLOOKUP(Q10,'Supply Attribution'!$B$4:$G$20,5,FALSE)),"Not Installed",VLOOKUP(Q10,'Supply Attribution'!$B$4:$G$20,5,FALSE)))</f>
        <v>--</v>
      </c>
      <c r="R11" s="279" t="str">
        <f>IF(R10="--","--",IF(ISNA(VLOOKUP(R10,'Supply Attribution'!$B$4:$G$20,5,FALSE)),"Not Installed",VLOOKUP(R10,'Supply Attribution'!$B$4:$G$20,5,FALSE)))</f>
        <v>--</v>
      </c>
      <c r="S11" s="280" t="str">
        <f>IF(S10="--","--",IF(ISNA(VLOOKUP(S10,'Supply Attribution'!$B$4:$G$20,5,FALSE)),"Not Installed",VLOOKUP(S10,'Supply Attribution'!$B$4:$G$20,5,FALSE)))</f>
        <v>--</v>
      </c>
      <c r="T11" s="280" t="str">
        <f>IF(T10="--","--",IF(ISNA(VLOOKUP(T10,'Supply Attribution'!$B$4:$G$20,5,FALSE)),"Not Installed",VLOOKUP(T10,'Supply Attribution'!$B$4:$G$20,5,FALSE)))</f>
        <v>--</v>
      </c>
      <c r="U11" s="281" t="str">
        <f>IF(U10="--","--",IF(ISNA(VLOOKUP(U10,'Supply Attribution'!$B$4:$G$20,5,FALSE)),"Not Installed",VLOOKUP(U10,'Supply Attribution'!$B$4:$G$20,5,FALSE)))</f>
        <v>--</v>
      </c>
      <c r="V11" s="279" t="str">
        <f>IF(V10="--","--",IF(ISNA(VLOOKUP(V10,'Supply Attribution'!$B$4:$G$20,5,FALSE)),"Not Installed",VLOOKUP(V10,'Supply Attribution'!$B$4:$G$20,5,FALSE)))</f>
        <v>--</v>
      </c>
      <c r="W11" s="280" t="str">
        <f>IF(W10="--","--",IF(ISNA(VLOOKUP(W10,'Supply Attribution'!$B$4:$G$20,5,FALSE)),"Not Installed",VLOOKUP(W10,'Supply Attribution'!$B$4:$G$20,5,FALSE)))</f>
        <v>--</v>
      </c>
      <c r="X11" s="280" t="str">
        <f>IF(X10="--","--",IF(ISNA(VLOOKUP(X10,'Supply Attribution'!$B$4:$G$20,5,FALSE)),"Not Installed",VLOOKUP(X10,'Supply Attribution'!$B$4:$G$20,5,FALSE)))</f>
        <v>--</v>
      </c>
      <c r="Y11" s="281" t="str">
        <f>IF(Y10="--","--",IF(ISNA(VLOOKUP(Y10,'Supply Attribution'!$B$4:$G$20,5,FALSE)),"Not Installed",VLOOKUP(Y10,'Supply Attribution'!$B$4:$G$20,5,FALSE)))</f>
        <v>--</v>
      </c>
      <c r="Z11" s="101"/>
      <c r="AA11" s="101"/>
      <c r="AB11" s="101"/>
      <c r="AC11" s="101"/>
      <c r="AD11" s="102"/>
      <c r="AE11" s="802"/>
      <c r="AF11" s="99"/>
    </row>
    <row r="12" spans="1:32" s="100" customFormat="1" ht="10.15" customHeight="1">
      <c r="A12" s="253"/>
      <c r="B12" s="254"/>
      <c r="C12" s="254"/>
      <c r="D12" s="254"/>
      <c r="E12" s="254"/>
      <c r="F12" s="757" t="s">
        <v>222</v>
      </c>
      <c r="G12" s="758"/>
      <c r="H12" s="758"/>
      <c r="I12" s="759"/>
      <c r="J12" s="805" t="s">
        <v>202</v>
      </c>
      <c r="K12" s="362" t="str">
        <f>IF(ISERROR(VLOOKUP(CONCATENATE(K$9,"-L"),'Supply Attribution'!$P$5:$S$11,3,FALSE)),"--",VLOOKUP(CONCATENATE(K$9,"-L"),'Supply Attribution'!$P$5:$S$11,3,FALSE))</f>
        <v>--</v>
      </c>
      <c r="L12" s="363" t="str">
        <f>IF(ISERROR(VLOOKUP(CONCATENATE(L$9,"-L"),'Supply Attribution'!$P$5:$S$11,3,FALSE)),"--",VLOOKUP(CONCATENATE(L$9,"-L"),'Supply Attribution'!$P$5:$S$11,3,FALSE))</f>
        <v>K6-P</v>
      </c>
      <c r="M12" s="378" t="str">
        <f>IF(ISERROR(VLOOKUP(CONCATENATE(M$9,"-L"),'Supply Attribution'!$P$5:$S$11,3,FALSE)),"--",VLOOKUP(CONCATENATE(M$9,"-L"),'Supply Attribution'!$P$5:$S$11,3,FALSE))</f>
        <v>K2-P (P46,P47)</v>
      </c>
      <c r="N12" s="362" t="str">
        <f>IF(ISERROR(VLOOKUP(CONCATENATE(N$9,"-L"),'Supply Attribution'!$P$5:$S$11,3,FALSE)),"--",VLOOKUP(CONCATENATE(N$9,"-L"),'Supply Attribution'!$P$5:$S$11,3,FALSE))</f>
        <v>--</v>
      </c>
      <c r="O12" s="378" t="str">
        <f>IF(ISERROR(VLOOKUP(CONCATENATE(O$9,"-L"),'Supply Attribution'!$P$5:$S$11,3,FALSE)),"--",VLOOKUP(CONCATENATE(O$9,"-L"),'Supply Attribution'!$P$5:$S$11,3,FALSE))</f>
        <v>--</v>
      </c>
      <c r="P12" s="373" t="str">
        <f>IF(ISERROR(VLOOKUP(CONCATENATE(P$9,"-L"),'Supply Attribution'!$P$5:$S$11,3,FALSE)),"--",VLOOKUP(CONCATENATE(P$9,"-L"),'Supply Attribution'!$P$5:$S$11,3,FALSE))</f>
        <v>--</v>
      </c>
      <c r="Q12" s="373" t="str">
        <f>IF(ISERROR(VLOOKUP(CONCATENATE(Q$9,"-L"),'Supply Attribution'!$P$5:$S$11,3,FALSE)),"--",VLOOKUP(CONCATENATE(Q$9,"-L"),'Supply Attribution'!$P$5:$S$11,3,FALSE))</f>
        <v>--</v>
      </c>
      <c r="R12" s="362" t="str">
        <f>IF(ISERROR(VLOOKUP(CONCATENATE(R$9,"-L"),'Supply Attribution'!$W$5:$Z$12,3,FALSE)),"--",VLOOKUP(CONCATENATE(R$9,"-L"),'Supply Attribution'!$W$5:$Z$12,3,FALSE))</f>
        <v>--</v>
      </c>
      <c r="S12" s="363" t="str">
        <f>IF(ISERROR(VLOOKUP(CONCATENATE(S$9,"-L"),'Supply Attribution'!$W$5:$Z$12,3,FALSE)),"--",VLOOKUP(CONCATENATE(S$9,"-L"),'Supply Attribution'!$W$5:$Z$12,3,FALSE))</f>
        <v>--</v>
      </c>
      <c r="T12" s="363" t="str">
        <f>IF(ISERROR(VLOOKUP(CONCATENATE(T$9,"-L"),'Supply Attribution'!$W$5:$Z$12,3,FALSE)),"--",VLOOKUP(CONCATENATE(T$9,"-L"),'Supply Attribution'!$W$5:$Z$12,3,FALSE))</f>
        <v>--</v>
      </c>
      <c r="U12" s="378" t="str">
        <f>IF(ISERROR(VLOOKUP(CONCATENATE(U$9,"-L"),'Supply Attribution'!$W$5:$Z$12,3,FALSE)),"--",VLOOKUP(CONCATENATE(U$9,"-L"),'Supply Attribution'!$W$5:$Z$12,3,FALSE))</f>
        <v>--</v>
      </c>
      <c r="V12" s="362" t="str">
        <f>IF(ISERROR(VLOOKUP(CONCATENATE(V$9,"-L"),'Supply Attribution'!$W$5:$Z$12,3,FALSE)),"--",VLOOKUP(CONCATENATE(V$9,"-L"),'Supply Attribution'!$W$5:$Z$12,3,FALSE))</f>
        <v>--</v>
      </c>
      <c r="W12" s="363" t="str">
        <f>IF(ISERROR(VLOOKUP(CONCATENATE(W$9,"-L"),'Supply Attribution'!$W$5:$Z$12,3,FALSE)),"--",VLOOKUP(CONCATENATE(W$9,"-L"),'Supply Attribution'!$W$5:$Z$12,3,FALSE))</f>
        <v>--</v>
      </c>
      <c r="X12" s="363" t="str">
        <f>IF(ISERROR(VLOOKUP(CONCATENATE(X$9,"-L"),'Supply Attribution'!$W$5:$Z$12,3,FALSE)),"--",VLOOKUP(CONCATENATE(X$9,"-L"),'Supply Attribution'!$W$5:$Z$12,3,FALSE))</f>
        <v>--</v>
      </c>
      <c r="Y12" s="378" t="str">
        <f>IF(ISERROR(VLOOKUP(CONCATENATE(Y$9,"-L"),'Supply Attribution'!$W$5:$Z$12,3,FALSE)),"--",VLOOKUP(CONCATENATE(Y$9,"-L"),'Supply Attribution'!$W$5:$Z$12,3,FALSE))</f>
        <v>--</v>
      </c>
      <c r="Z12" s="101"/>
      <c r="AA12" s="101"/>
      <c r="AB12" s="101"/>
      <c r="AC12" s="103"/>
      <c r="AD12" s="102"/>
      <c r="AE12" s="803" t="s">
        <v>35</v>
      </c>
      <c r="AF12" s="99"/>
    </row>
    <row r="13" spans="1:32" s="100" customFormat="1" ht="10.15" customHeight="1" thickBot="1">
      <c r="A13" s="273"/>
      <c r="B13" s="157"/>
      <c r="C13" s="157"/>
      <c r="D13" s="157"/>
      <c r="E13" s="157"/>
      <c r="F13" s="760" t="s">
        <v>221</v>
      </c>
      <c r="G13" s="761"/>
      <c r="H13" s="761"/>
      <c r="I13" s="762"/>
      <c r="J13" s="806"/>
      <c r="K13" s="279" t="str">
        <f>IF(K12="--","--",IF(ISNA(VLOOKUP(K12,'Supply Attribution'!$B$4:$G$20,5,FALSE)),"Not Installed",VLOOKUP(K12,'Supply Attribution'!$B$4:$G$20,5,FALSE)))</f>
        <v>--</v>
      </c>
      <c r="L13" s="280" t="str">
        <f>IF(L12="--","--",IF(ISNA(VLOOKUP(L12,'Supply Attribution'!$B$4:$G$20,5,FALSE)),"Not Installed",VLOOKUP(L12,'Supply Attribution'!$B$4:$G$20,5,FALSE)))</f>
        <v>OUT 3</v>
      </c>
      <c r="M13" s="281" t="str">
        <f>IF(M12="--","--",IF(ISNA(VLOOKUP(M12,'Supply Attribution'!$B$4:$G$20,5,FALSE)),"Not Installed",VLOOKUP(M12,'Supply Attribution'!$B$4:$G$20,5,FALSE)))</f>
        <v>OUT 5</v>
      </c>
      <c r="N13" s="279" t="str">
        <f>IF(N12="--","--",IF(ISNA(VLOOKUP(N12,'Supply Attribution'!$B$4:$G$20,5,FALSE)),"Not Installed",VLOOKUP(N12,'Supply Attribution'!$B$4:$G$20,5,FALSE)))</f>
        <v>--</v>
      </c>
      <c r="O13" s="281" t="str">
        <f>IF(O12="--","--",IF(ISNA(VLOOKUP(O12,'Supply Attribution'!$B$4:$G$20,5,FALSE)),"Not Installed",VLOOKUP(O12,'Supply Attribution'!$B$4:$G$20,5,FALSE)))</f>
        <v>--</v>
      </c>
      <c r="P13" s="720" t="str">
        <f>IF(P12="--","--",IF(ISNA(VLOOKUP(P12,'Supply Attribution'!$B$4:$G$20,5,FALSE)),"Not Installed",VLOOKUP(P12,'Supply Attribution'!$B$4:$G$20,5,FALSE)))</f>
        <v>--</v>
      </c>
      <c r="Q13" s="720" t="str">
        <f>IF(Q12="--","--",IF(ISNA(VLOOKUP(Q12,'Supply Attribution'!$B$4:$G$20,5,FALSE)),"Not Installed",VLOOKUP(Q12,'Supply Attribution'!$B$4:$G$20,5,FALSE)))</f>
        <v>--</v>
      </c>
      <c r="R13" s="279" t="str">
        <f>IF(R12="--","--",IF(ISNA(VLOOKUP(R12,'Supply Attribution'!$B$4:$G$20,5,FALSE)),"Not Installed",VLOOKUP(R12,'Supply Attribution'!$B$4:$G$20,5,FALSE)))</f>
        <v>--</v>
      </c>
      <c r="S13" s="280" t="str">
        <f>IF(S12="--","--",IF(ISNA(VLOOKUP(S12,'Supply Attribution'!$B$4:$G$20,5,FALSE)),"Not Installed",VLOOKUP(S12,'Supply Attribution'!$B$4:$G$20,5,FALSE)))</f>
        <v>--</v>
      </c>
      <c r="T13" s="280" t="str">
        <f>IF(T12="--","--",IF(ISNA(VLOOKUP(T12,'Supply Attribution'!$B$4:$G$20,5,FALSE)),"Not Installed",VLOOKUP(T12,'Supply Attribution'!$B$4:$G$20,5,FALSE)))</f>
        <v>--</v>
      </c>
      <c r="U13" s="281" t="str">
        <f>IF(U12="--","--",IF(ISNA(VLOOKUP(U12,'Supply Attribution'!$B$4:$G$20,5,FALSE)),"Not Installed",VLOOKUP(U12,'Supply Attribution'!$B$4:$G$20,5,FALSE)))</f>
        <v>--</v>
      </c>
      <c r="V13" s="279" t="str">
        <f>IF(V12="--","--",IF(ISNA(VLOOKUP(V12,'Supply Attribution'!$B$4:$G$20,5,FALSE)),"Not Installed",VLOOKUP(V12,'Supply Attribution'!$B$4:$G$20,5,FALSE)))</f>
        <v>--</v>
      </c>
      <c r="W13" s="280" t="str">
        <f>IF(W12="--","--",IF(ISNA(VLOOKUP(W12,'Supply Attribution'!$B$4:$G$20,5,FALSE)),"Not Installed",VLOOKUP(W12,'Supply Attribution'!$B$4:$G$20,5,FALSE)))</f>
        <v>--</v>
      </c>
      <c r="X13" s="280" t="str">
        <f>IF(X12="--","--",IF(ISNA(VLOOKUP(X12,'Supply Attribution'!$B$4:$G$20,5,FALSE)),"Not Installed",VLOOKUP(X12,'Supply Attribution'!$B$4:$G$20,5,FALSE)))</f>
        <v>--</v>
      </c>
      <c r="Y13" s="281" t="str">
        <f>IF(Y12="--","--",IF(ISNA(VLOOKUP(Y12,'Supply Attribution'!$B$4:$G$20,5,FALSE)),"Not Installed",VLOOKUP(Y12,'Supply Attribution'!$B$4:$G$20,5,FALSE)))</f>
        <v>--</v>
      </c>
      <c r="Z13" s="104"/>
      <c r="AA13" s="104"/>
      <c r="AB13" s="104"/>
      <c r="AC13" s="104"/>
      <c r="AD13" s="105"/>
      <c r="AE13" s="802"/>
      <c r="AF13" s="99"/>
    </row>
    <row r="14" spans="1:32" ht="15.75" customHeight="1">
      <c r="A14" s="115"/>
      <c r="B14" s="116"/>
      <c r="C14" s="116"/>
      <c r="D14" s="116"/>
      <c r="E14" s="116"/>
      <c r="F14" s="116"/>
      <c r="G14" s="116"/>
      <c r="H14" s="116"/>
      <c r="I14" s="116"/>
      <c r="J14" s="111" t="s">
        <v>195</v>
      </c>
      <c r="K14" s="282" t="str">
        <f>IF(ISERROR(VLOOKUP(K10,'Supply Attribution'!$B$4:$G$20,6,FALSE)),"--",VLOOKUP(K10,'Supply Attribution'!$B$4:$G$20,6,FALSE))</f>
        <v>F2</v>
      </c>
      <c r="L14" s="283" t="str">
        <f>IF(ISERROR(VLOOKUP(L10,'Supply Attribution'!$B$4:$G$20,6,FALSE)),"--",VLOOKUP(L10,'Supply Attribution'!$B$4:$G$20,6,FALSE))</f>
        <v>F3</v>
      </c>
      <c r="M14" s="284" t="str">
        <f>IF(ISERROR(VLOOKUP(M10,'Supply Attribution'!$B$4:$G$20,6,FALSE)),"--",VLOOKUP(M10,'Supply Attribution'!$B$4:$G$20,6,FALSE))</f>
        <v>F1</v>
      </c>
      <c r="N14" s="282" t="str">
        <f>IF(ISERROR(VLOOKUP(N10,'Supply Attribution'!$B$4:$G$20,6,FALSE)),"--",VLOOKUP(N10,'Supply Attribution'!$B$4:$G$20,6,FALSE))</f>
        <v>F3</v>
      </c>
      <c r="O14" s="284" t="str">
        <f>IF(ISERROR(VLOOKUP(O10,'Supply Attribution'!$B$4:$G$20,6,FALSE)),"--",VLOOKUP(O10,'Supply Attribution'!$B$4:$G$20,6,FALSE))</f>
        <v>F1</v>
      </c>
      <c r="P14" s="717" t="str">
        <f>IF(ISERROR(VLOOKUP(P10,'Supply Attribution'!$B$4:$G$20,6,FALSE)),"--",VLOOKUP(P10,'Supply Attribution'!$B$4:$G$20,6,FALSE))</f>
        <v>--</v>
      </c>
      <c r="Q14" s="375" t="str">
        <f>IF(ISERROR(VLOOKUP(Q10,'Supply Attribution'!$B$4:$G$20,6,FALSE)),"--",VLOOKUP(Q10,'Supply Attribution'!$B$4:$G$20,6,FALSE))</f>
        <v>--</v>
      </c>
      <c r="R14" s="282" t="str">
        <f>IF(ISERROR(VLOOKUP(R10,'Supply Attribution'!$B$4:$G$20,6,FALSE)),"--",VLOOKUP(R10,'Supply Attribution'!$B$4:$G$20,6,FALSE))</f>
        <v>--</v>
      </c>
      <c r="S14" s="283" t="str">
        <f>IF(ISERROR(VLOOKUP(S10,'Supply Attribution'!$B$4:$G$20,6,FALSE)),"--",VLOOKUP(S10,'Supply Attribution'!$B$4:$G$20,6,FALSE))</f>
        <v>--</v>
      </c>
      <c r="T14" s="283" t="str">
        <f>IF(ISERROR(VLOOKUP(T10,'Supply Attribution'!$B$4:$G$20,6,FALSE)),"--",VLOOKUP(T10,'Supply Attribution'!$B$4:$G$20,6,FALSE))</f>
        <v>--</v>
      </c>
      <c r="U14" s="284" t="str">
        <f>IF(ISERROR(VLOOKUP(U10,'Supply Attribution'!$B$4:$G$20,6,FALSE)),"--",VLOOKUP(U10,'Supply Attribution'!$B$4:$G$20,6,FALSE))</f>
        <v>--</v>
      </c>
      <c r="V14" s="282" t="str">
        <f>IF(ISERROR(VLOOKUP(V10,'Supply Attribution'!$B$4:$G$20,6,FALSE)),"--",VLOOKUP(V10,'Supply Attribution'!$B$4:$G$20,6,FALSE))</f>
        <v>--</v>
      </c>
      <c r="W14" s="283" t="str">
        <f>IF(ISERROR(VLOOKUP(W10,'Supply Attribution'!$B$4:$G$20,6,FALSE)),"--",VLOOKUP(W10,'Supply Attribution'!$B$4:$G$20,6,FALSE))</f>
        <v>--</v>
      </c>
      <c r="X14" s="283" t="str">
        <f>IF(ISERROR(VLOOKUP(X10,'Supply Attribution'!$B$4:$G$20,6,FALSE)),"--",VLOOKUP(X10,'Supply Attribution'!$B$4:$G$20,6,FALSE))</f>
        <v>--</v>
      </c>
      <c r="Y14" s="284" t="str">
        <f>IF(ISERROR(VLOOKUP(Y10,'Supply Attribution'!$B$4:$G$20,6,FALSE)),"--",VLOOKUP(Y10,'Supply Attribution'!$B$4:$G$20,6,FALSE))</f>
        <v>--</v>
      </c>
      <c r="Z14" s="106"/>
      <c r="AA14" s="106"/>
      <c r="AB14" s="106"/>
      <c r="AC14" s="107"/>
      <c r="AD14" s="107"/>
      <c r="AE14" s="108" t="s">
        <v>103</v>
      </c>
      <c r="AF14" s="78"/>
    </row>
    <row r="15" spans="1:32" ht="15.95" customHeight="1" thickBot="1">
      <c r="A15" s="115"/>
      <c r="B15" s="116"/>
      <c r="C15" s="116"/>
      <c r="D15" s="116"/>
      <c r="E15" s="116"/>
      <c r="F15" s="116"/>
      <c r="G15" s="116"/>
      <c r="H15" s="116"/>
      <c r="I15" s="116"/>
      <c r="J15" s="285" t="s">
        <v>196</v>
      </c>
      <c r="K15" s="286" t="str">
        <f>IF(ISERROR(VLOOKUP(K12,'Supply Attribution'!$B$4:$G$20,6,FALSE)),"--",VLOOKUP(K12,'Supply Attribution'!$B$4:$G$20,6,FALSE))</f>
        <v>--</v>
      </c>
      <c r="L15" s="287" t="str">
        <f>IF(ISERROR(VLOOKUP(L12,'Supply Attribution'!$B$4:$G$20,6,FALSE)),"--",VLOOKUP(L12,'Supply Attribution'!$B$4:$G$20,6,FALSE))</f>
        <v>F3</v>
      </c>
      <c r="M15" s="288" t="str">
        <f>IF(ISERROR(VLOOKUP(M12,'Supply Attribution'!$B$4:$G$20,6,FALSE)),"--",VLOOKUP(M12,'Supply Attribution'!$B$4:$G$20,6,FALSE))</f>
        <v>F2</v>
      </c>
      <c r="N15" s="286" t="str">
        <f>IF(ISERROR(VLOOKUP(N12,'Supply Attribution'!$B$4:$G$20,6,FALSE)),"--",VLOOKUP(N12,'Supply Attribution'!$B$4:$G$20,6,FALSE))</f>
        <v>--</v>
      </c>
      <c r="O15" s="288" t="str">
        <f>IF(ISERROR(VLOOKUP(O12,'Supply Attribution'!$B$4:$G$20,6,FALSE)),"--",VLOOKUP(O12,'Supply Attribution'!$B$4:$G$20,6,FALSE))</f>
        <v>--</v>
      </c>
      <c r="P15" s="721" t="str">
        <f>IF(ISERROR(VLOOKUP(P12,'Supply Attribution'!$B$4:$G$20,6,FALSE)),"--",VLOOKUP(P12,'Supply Attribution'!$B$4:$G$20,6,FALSE))</f>
        <v>--</v>
      </c>
      <c r="Q15" s="721" t="str">
        <f>IF(ISERROR(VLOOKUP(Q12,'Supply Attribution'!$B$4:$G$20,6,FALSE)),"--",VLOOKUP(Q12,'Supply Attribution'!$B$4:$G$20,6,FALSE))</f>
        <v>--</v>
      </c>
      <c r="R15" s="286" t="str">
        <f>IF(ISERROR(VLOOKUP(R12,'Supply Attribution'!$B$4:$G$20,6,FALSE)),"--",VLOOKUP(R12,'Supply Attribution'!$B$4:$G$20,6,FALSE))</f>
        <v>--</v>
      </c>
      <c r="S15" s="287" t="str">
        <f>IF(ISERROR(VLOOKUP(S12,'Supply Attribution'!$B$4:$G$20,6,FALSE)),"--",VLOOKUP(S12,'Supply Attribution'!$B$4:$G$20,6,FALSE))</f>
        <v>--</v>
      </c>
      <c r="T15" s="287" t="str">
        <f>IF(ISERROR(VLOOKUP(T12,'Supply Attribution'!$B$4:$G$20,6,FALSE)),"--",VLOOKUP(T12,'Supply Attribution'!$B$4:$G$20,6,FALSE))</f>
        <v>--</v>
      </c>
      <c r="U15" s="288" t="str">
        <f>IF(ISERROR(VLOOKUP(U12,'Supply Attribution'!$B$4:$G$20,6,FALSE)),"--",VLOOKUP(U12,'Supply Attribution'!$B$4:$G$20,6,FALSE))</f>
        <v>--</v>
      </c>
      <c r="V15" s="286" t="str">
        <f>IF(ISERROR(VLOOKUP(V12,'Supply Attribution'!$B$4:$G$20,6,FALSE)),"--",VLOOKUP(V12,'Supply Attribution'!$B$4:$G$20,6,FALSE))</f>
        <v>--</v>
      </c>
      <c r="W15" s="287" t="str">
        <f>IF(ISERROR(VLOOKUP(W12,'Supply Attribution'!$B$4:$G$20,6,FALSE)),"--",VLOOKUP(W12,'Supply Attribution'!$B$4:$G$20,6,FALSE))</f>
        <v>--</v>
      </c>
      <c r="X15" s="287" t="str">
        <f>IF(ISERROR(VLOOKUP(X12,'Supply Attribution'!$B$4:$G$20,6,FALSE)),"--",VLOOKUP(X12,'Supply Attribution'!$B$4:$G$20,6,FALSE))</f>
        <v>--</v>
      </c>
      <c r="Y15" s="288" t="str">
        <f>IF(ISERROR(VLOOKUP(Y12,'Supply Attribution'!$B$4:$G$20,6,FALSE)),"--",VLOOKUP(Y12,'Supply Attribution'!$B$4:$G$20,6,FALSE))</f>
        <v>--</v>
      </c>
      <c r="Z15" s="109"/>
      <c r="AA15" s="109"/>
      <c r="AB15" s="109"/>
      <c r="AC15" s="109"/>
      <c r="AD15" s="107"/>
      <c r="AE15" s="110"/>
      <c r="AF15" s="78"/>
    </row>
    <row r="16" spans="1:32" ht="15.75" customHeight="1">
      <c r="A16" s="766" t="s">
        <v>281</v>
      </c>
      <c r="B16" s="767"/>
      <c r="C16" s="767"/>
      <c r="D16" s="767"/>
      <c r="E16" s="767"/>
      <c r="F16" s="767"/>
      <c r="G16" s="767"/>
      <c r="H16" s="767"/>
      <c r="I16" s="768"/>
      <c r="J16" s="111" t="s">
        <v>193</v>
      </c>
      <c r="K16" s="63" t="str">
        <f>IF(ISNA(VLOOKUP(CONCATENATE(K14,"Line"),'Supply Attribution'!$F$31:$G$37,2,FALSE)),"--",VLOOKUP(CONCATENATE(K14,"Line"),'Supply Attribution'!$F$31:$G$37,2,FALSE))</f>
        <v>Line1</v>
      </c>
      <c r="L16" s="64" t="str">
        <f>IF(ISNA(VLOOKUP(CONCATENATE(L14,"Line"),'Supply Attribution'!$F$31:$G$37,2,FALSE)),"--",VLOOKUP(CONCATENATE(L14,"Line"),'Supply Attribution'!$F$31:$G$37,2,FALSE))</f>
        <v>Line1</v>
      </c>
      <c r="M16" s="65" t="str">
        <f>IF(ISNA(VLOOKUP(CONCATENATE(M14,"Line"),'Supply Attribution'!$F$31:$G$37,2,FALSE)),"--",VLOOKUP(CONCATENATE(M14,"Line"),'Supply Attribution'!$F$31:$G$37,2,FALSE))</f>
        <v>Line1</v>
      </c>
      <c r="N16" s="63" t="str">
        <f>IF(ISNA(VLOOKUP(CONCATENATE(N14,"Line"),'Supply Attribution'!$F$31:$G$37,2,FALSE)),"--",VLOOKUP(CONCATENATE(N14,"Line"),'Supply Attribution'!$F$31:$G$37,2,FALSE))</f>
        <v>Line1</v>
      </c>
      <c r="O16" s="65" t="str">
        <f>IF(ISNA(VLOOKUP(CONCATENATE(O14,"Line"),'Supply Attribution'!$F$31:$G$37,2,FALSE)),"--",VLOOKUP(CONCATENATE(O14,"Line"),'Supply Attribution'!$F$31:$G$37,2,FALSE))</f>
        <v>Line1</v>
      </c>
      <c r="P16" s="718" t="str">
        <f>IF(ISNA(VLOOKUP(CONCATENATE(P14,"Line"),'Supply Attribution'!$F$31:$G$37,2,FALSE)),"--",VLOOKUP(CONCATENATE(P14,"Line"),'Supply Attribution'!$F$31:$G$37,2,FALSE))</f>
        <v>--</v>
      </c>
      <c r="Q16" s="63" t="str">
        <f>IF(ISNA(VLOOKUP(CONCATENATE(Q14,"Line"),'Supply Attribution'!$F$31:$G$37,2,FALSE)),"--",VLOOKUP(CONCATENATE(Q14,"Line"),'Supply Attribution'!$F$31:$G$37,2,FALSE))</f>
        <v>--</v>
      </c>
      <c r="R16" s="63" t="str">
        <f>IF(ISNA(VLOOKUP(CONCATENATE(R14,"Line"),'Supply Attribution'!$F$31:$G$37,2,FALSE)),"--",VLOOKUP(CONCATENATE(R14,"Line"),'Supply Attribution'!$F$31:$G$37,2,FALSE))</f>
        <v>--</v>
      </c>
      <c r="S16" s="64" t="str">
        <f>IF(ISNA(VLOOKUP(CONCATENATE(S14,"Line"),'Supply Attribution'!$F$31:$G$37,2,FALSE)),"--",VLOOKUP(CONCATENATE(S14,"Line"),'Supply Attribution'!$F$31:$G$37,2,FALSE))</f>
        <v>--</v>
      </c>
      <c r="T16" s="64" t="str">
        <f>IF(ISNA(VLOOKUP(CONCATENATE(T14,"Line"),'Supply Attribution'!$F$31:$G$37,2,FALSE)),"--",VLOOKUP(CONCATENATE(T14,"Line"),'Supply Attribution'!$F$31:$G$37,2,FALSE))</f>
        <v>--</v>
      </c>
      <c r="U16" s="65" t="str">
        <f>IF(ISNA(VLOOKUP(CONCATENATE(U14,"Line"),'Supply Attribution'!$F$31:$G$37,2,FALSE)),"--",VLOOKUP(CONCATENATE(U14,"Line"),'Supply Attribution'!$F$31:$G$37,2,FALSE))</f>
        <v>--</v>
      </c>
      <c r="V16" s="63" t="str">
        <f>IF(ISNA(VLOOKUP(CONCATENATE(V14,"Line"),'Supply Attribution'!$F$31:$G$37,2,FALSE)),"--",VLOOKUP(CONCATENATE(V14,"Line"),'Supply Attribution'!$F$31:$G$37,2,FALSE))</f>
        <v>--</v>
      </c>
      <c r="W16" s="64" t="str">
        <f>IF(ISNA(VLOOKUP(CONCATENATE(W14,"Line"),'Supply Attribution'!$F$31:$G$37,2,FALSE)),"--",VLOOKUP(CONCATENATE(W14,"Line"),'Supply Attribution'!$F$31:$G$37,2,FALSE))</f>
        <v>--</v>
      </c>
      <c r="X16" s="64" t="str">
        <f>IF(ISNA(VLOOKUP(CONCATENATE(X14,"Line"),'Supply Attribution'!$F$31:$G$37,2,FALSE)),"--",VLOOKUP(CONCATENATE(X14,"Line"),'Supply Attribution'!$F$31:$G$37,2,FALSE))</f>
        <v>--</v>
      </c>
      <c r="Y16" s="65" t="str">
        <f>IF(ISNA(VLOOKUP(CONCATENATE(Y14,"Line"),'Supply Attribution'!$F$31:$G$37,2,FALSE)),"--",VLOOKUP(CONCATENATE(Y14,"Line"),'Supply Attribution'!$F$31:$G$37,2,FALSE))</f>
        <v>--</v>
      </c>
      <c r="Z16" s="112"/>
      <c r="AA16" s="113"/>
      <c r="AB16" s="112"/>
      <c r="AC16" s="112"/>
      <c r="AD16" s="112"/>
      <c r="AE16" s="114"/>
      <c r="AF16" s="78"/>
    </row>
    <row r="17" spans="1:32" ht="15.75" customHeight="1" thickBot="1">
      <c r="A17" s="763" t="s">
        <v>282</v>
      </c>
      <c r="B17" s="764"/>
      <c r="C17" s="764"/>
      <c r="D17" s="764"/>
      <c r="E17" s="764"/>
      <c r="F17" s="764"/>
      <c r="G17" s="764"/>
      <c r="H17" s="764"/>
      <c r="I17" s="765"/>
      <c r="J17" s="285" t="s">
        <v>194</v>
      </c>
      <c r="K17" s="289" t="str">
        <f>IF(ISNA(VLOOKUP(CONCATENATE(K15,"Line"),'Supply Attribution'!$F$31:$G$37,2,FALSE)),"--",VLOOKUP(CONCATENATE(K15,"Line"),'Supply Attribution'!$F$31:$G$37,2,FALSE))</f>
        <v>--</v>
      </c>
      <c r="L17" s="290" t="str">
        <f>IF(ISNA(VLOOKUP(CONCATENATE(L15,"Line"),'Supply Attribution'!$F$31:$G$37,2,FALSE)),"--",VLOOKUP(CONCATENATE(L15,"Line"),'Supply Attribution'!$F$31:$G$37,2,FALSE))</f>
        <v>Line1</v>
      </c>
      <c r="M17" s="582" t="str">
        <f>IF(ISNA(VLOOKUP(CONCATENATE(M15,"Line"),'Supply Attribution'!$F$31:$G$37,2,FALSE)),"--",VLOOKUP(CONCATENATE(M15,"Line"),'Supply Attribution'!$F$31:$G$37,2,FALSE))</f>
        <v>Line1</v>
      </c>
      <c r="N17" s="289" t="str">
        <f>IF(ISNA(VLOOKUP(CONCATENATE(N15,"Line"),'Supply Attribution'!$F$31:$G$37,2,FALSE)),"--",VLOOKUP(CONCATENATE(N15,"Line"),'Supply Attribution'!$F$31:$G$37,2,FALSE))</f>
        <v>--</v>
      </c>
      <c r="O17" s="582" t="str">
        <f>IF(ISNA(VLOOKUP(CONCATENATE(O15,"Line"),'Supply Attribution'!$F$31:$G$37,2,FALSE)),"--",VLOOKUP(CONCATENATE(O15,"Line"),'Supply Attribution'!$F$31:$G$37,2,FALSE))</f>
        <v>--</v>
      </c>
      <c r="P17" s="719" t="str">
        <f>IF(ISNA(VLOOKUP(CONCATENATE(P15,"Line"),'Supply Attribution'!$F$31:$G$37,2,FALSE)),"--",VLOOKUP(CONCATENATE(P15,"Line"),'Supply Attribution'!$F$31:$G$37,2,FALSE))</f>
        <v>--</v>
      </c>
      <c r="Q17" s="289" t="str">
        <f>IF(ISNA(VLOOKUP(CONCATENATE(Q15,"Line"),'Supply Attribution'!$F$31:$G$37,2,FALSE)),"--",VLOOKUP(CONCATENATE(Q15,"Line"),'Supply Attribution'!$F$31:$G$37,2,FALSE))</f>
        <v>--</v>
      </c>
      <c r="R17" s="289" t="str">
        <f>IF(ISNA(VLOOKUP(CONCATENATE(R15,"Line"),'Supply Attribution'!$F$31:$G$37,2,FALSE)),"--",VLOOKUP(CONCATENATE(R15,"Line"),'Supply Attribution'!$F$31:$G$37,2,FALSE))</f>
        <v>--</v>
      </c>
      <c r="S17" s="290" t="str">
        <f>IF(ISNA(VLOOKUP(CONCATENATE(S15,"Line"),'Supply Attribution'!$F$31:$G$37,2,FALSE)),"--",VLOOKUP(CONCATENATE(S15,"Line"),'Supply Attribution'!$F$31:$G$37,2,FALSE))</f>
        <v>--</v>
      </c>
      <c r="T17" s="290" t="str">
        <f>IF(ISNA(VLOOKUP(CONCATENATE(T15,"Line"),'Supply Attribution'!$F$31:$G$37,2,FALSE)),"--",VLOOKUP(CONCATENATE(T15,"Line"),'Supply Attribution'!$F$31:$G$37,2,FALSE))</f>
        <v>--</v>
      </c>
      <c r="U17" s="582" t="str">
        <f>IF(ISNA(VLOOKUP(CONCATENATE(U15,"Line"),'Supply Attribution'!$F$31:$G$37,2,FALSE)),"--",VLOOKUP(CONCATENATE(U15,"Line"),'Supply Attribution'!$F$31:$G$37,2,FALSE))</f>
        <v>--</v>
      </c>
      <c r="V17" s="289" t="str">
        <f>IF(ISNA(VLOOKUP(CONCATENATE(V15,"Line"),'Supply Attribution'!$F$31:$G$37,2,FALSE)),"--",VLOOKUP(CONCATENATE(V15,"Line"),'Supply Attribution'!$F$31:$G$37,2,FALSE))</f>
        <v>--</v>
      </c>
      <c r="W17" s="290" t="str">
        <f>IF(ISNA(VLOOKUP(CONCATENATE(W15,"Line"),'Supply Attribution'!$F$31:$G$37,2,FALSE)),"--",VLOOKUP(CONCATENATE(W15,"Line"),'Supply Attribution'!$F$31:$G$37,2,FALSE))</f>
        <v>--</v>
      </c>
      <c r="X17" s="290" t="str">
        <f>IF(ISNA(VLOOKUP(CONCATENATE(X15,"Line"),'Supply Attribution'!$F$31:$G$37,2,FALSE)),"--",VLOOKUP(CONCATENATE(X15,"Line"),'Supply Attribution'!$F$31:$G$37,2,FALSE))</f>
        <v>--</v>
      </c>
      <c r="Y17" s="582" t="str">
        <f>IF(ISNA(VLOOKUP(CONCATENATE(Y15,"Line"),'Supply Attribution'!$F$31:$G$37,2,FALSE)),"--",VLOOKUP(CONCATENATE(Y15,"Line"),'Supply Attribution'!$F$31:$G$37,2,FALSE))</f>
        <v>--</v>
      </c>
      <c r="Z17" s="107"/>
      <c r="AA17" s="117"/>
      <c r="AB17" s="107"/>
      <c r="AC17" s="107"/>
      <c r="AD17" s="107"/>
      <c r="AE17" s="108"/>
      <c r="AF17" s="78"/>
    </row>
    <row r="18" spans="1:32" s="100" customFormat="1" ht="13.15" customHeight="1">
      <c r="A18" s="118" t="s">
        <v>132</v>
      </c>
      <c r="B18" s="119" t="s">
        <v>133</v>
      </c>
      <c r="C18" s="119" t="s">
        <v>131</v>
      </c>
      <c r="D18" s="119" t="s">
        <v>134</v>
      </c>
      <c r="E18" s="119" t="s">
        <v>136</v>
      </c>
      <c r="F18" s="120" t="s">
        <v>135</v>
      </c>
      <c r="G18" s="119" t="s">
        <v>139</v>
      </c>
      <c r="H18" s="119" t="str">
        <f>IF(AND(K6="CE",T59&lt;&gt;"1 Phase"),"Line2","")</f>
        <v/>
      </c>
      <c r="I18" s="119" t="str">
        <f>IF(AND($K$6="CE",T59="3 Phases"),"Line3","")</f>
        <v/>
      </c>
      <c r="J18" s="118"/>
      <c r="K18" s="119"/>
      <c r="L18" s="119"/>
      <c r="M18" s="119"/>
      <c r="N18" s="318"/>
      <c r="O18" s="119"/>
      <c r="P18" s="119"/>
      <c r="Q18" s="119"/>
      <c r="R18" s="119"/>
      <c r="S18" s="119"/>
      <c r="T18" s="119"/>
      <c r="U18" s="119"/>
      <c r="V18" s="119"/>
      <c r="W18" s="119"/>
      <c r="X18" s="119"/>
      <c r="Y18" s="119"/>
      <c r="Z18" s="477" t="s">
        <v>90</v>
      </c>
      <c r="AA18" s="477" t="s">
        <v>162</v>
      </c>
      <c r="AB18" s="477" t="s">
        <v>163</v>
      </c>
      <c r="AC18" s="478" t="s">
        <v>154</v>
      </c>
      <c r="AD18" s="478" t="s">
        <v>153</v>
      </c>
      <c r="AE18" s="120"/>
      <c r="AF18" s="99"/>
    </row>
    <row r="19" spans="1:32" ht="13.15" customHeight="1" thickBot="1">
      <c r="A19" s="121">
        <f>VLOOKUP(CONCATENATE(A18,"CURRENT"),'Supply Attribution'!$F22:$G30,2,FALSE)</f>
        <v>15</v>
      </c>
      <c r="B19" s="122">
        <f>VLOOKUP(CONCATENATE(B18,"CURRENT"),'Supply Attribution'!$F22:$G30,2,FALSE)</f>
        <v>15</v>
      </c>
      <c r="C19" s="122">
        <f>VLOOKUP(CONCATENATE(C18,"CURRENT"),'Supply Attribution'!$F22:$G30,2,FALSE)</f>
        <v>24</v>
      </c>
      <c r="D19" s="122" t="str">
        <f>VLOOKUP(CONCATENATE(D18,"CURRENT"),'Supply Attribution'!$F22:$G30,2,FALSE)</f>
        <v>N/A</v>
      </c>
      <c r="E19" s="122" t="str">
        <f>VLOOKUP(CONCATENATE(E18,"CURRENT"),'Supply Attribution'!$F22:$G30,2,FALSE)</f>
        <v>N/A</v>
      </c>
      <c r="F19" s="123" t="str">
        <f>VLOOKUP(CONCATENATE(F18,"CURRENT"),'Supply Attribution'!$F22:$G30,2,FALSE)</f>
        <v>N/A</v>
      </c>
      <c r="G19" s="267">
        <f>IF(AND(K6="CE",T59="2 phases"),MIN(20,T60),IF(AND(K6="CE",T59="3 Phases"),MIN(16,T60),MIN(48,T60)))</f>
        <v>48</v>
      </c>
      <c r="H19" s="266" t="str">
        <f>IF(OR(K6="UL",T59="1 phase"),"",IF(T59="2 Phases",MIN(20,T60),MIN(16,T60)))</f>
        <v/>
      </c>
      <c r="I19" s="266" t="str">
        <f>IF(AND(K6="CE",T59="3 Phases"),MIN(T60,16),"")</f>
        <v/>
      </c>
      <c r="J19" s="526" t="s">
        <v>392</v>
      </c>
      <c r="K19" s="124" t="s">
        <v>389</v>
      </c>
      <c r="L19" s="124" t="s">
        <v>390</v>
      </c>
      <c r="M19" s="124" t="s">
        <v>391</v>
      </c>
      <c r="N19" s="124" t="s">
        <v>388</v>
      </c>
      <c r="O19" s="124" t="s">
        <v>203</v>
      </c>
      <c r="P19" s="124" t="s">
        <v>3</v>
      </c>
      <c r="Q19" s="124" t="s">
        <v>24</v>
      </c>
      <c r="R19" s="124" t="s">
        <v>24</v>
      </c>
      <c r="S19" s="124" t="s">
        <v>457</v>
      </c>
      <c r="T19" s="124" t="s">
        <v>458</v>
      </c>
      <c r="U19" s="124" t="s">
        <v>3</v>
      </c>
      <c r="V19" s="124" t="s">
        <v>287</v>
      </c>
      <c r="W19" s="124" t="s">
        <v>18</v>
      </c>
      <c r="X19" s="124" t="s">
        <v>411</v>
      </c>
      <c r="Y19" s="124" t="s">
        <v>24</v>
      </c>
      <c r="Z19" s="124" t="s">
        <v>7</v>
      </c>
      <c r="AA19" s="124" t="s">
        <v>357</v>
      </c>
      <c r="AB19" s="125" t="s">
        <v>18</v>
      </c>
      <c r="AC19" s="125" t="s">
        <v>183</v>
      </c>
      <c r="AD19" s="125" t="s">
        <v>18</v>
      </c>
      <c r="AE19" s="120"/>
      <c r="AF19" s="78"/>
    </row>
    <row r="20" spans="1:32" ht="13.15" customHeight="1">
      <c r="A20" s="263" t="str">
        <f>IF($K$6="CE",CONCATENATE("Heater on ",'Supply Attribution'!G20),"")</f>
        <v/>
      </c>
      <c r="B20" s="72"/>
      <c r="C20" s="72"/>
      <c r="D20" s="72"/>
      <c r="E20" s="72"/>
      <c r="F20" s="313" t="str">
        <f>IF(AND(X86&lt;&gt;"Not Set",X86&lt;&gt;""),CONCATENATE("Heat Pump on ",X87),"")</f>
        <v>Heat Pump on Not Set</v>
      </c>
      <c r="G20" s="265" t="str">
        <f>IF($K$6="UL","Heater on Line1","")</f>
        <v>Heater on Line1</v>
      </c>
      <c r="H20" s="72"/>
      <c r="I20" s="72"/>
      <c r="J20" s="126"/>
      <c r="K20" s="127"/>
      <c r="L20" s="127"/>
      <c r="M20" s="127"/>
      <c r="N20" s="127"/>
      <c r="O20" s="127"/>
      <c r="P20" s="127"/>
      <c r="Q20" s="127"/>
      <c r="R20" s="127"/>
      <c r="S20" s="127"/>
      <c r="T20" s="127"/>
      <c r="U20" s="127"/>
      <c r="V20" s="127"/>
      <c r="W20" s="127"/>
      <c r="X20" s="127"/>
      <c r="Y20" s="127"/>
      <c r="Z20" s="127"/>
      <c r="AA20" s="127"/>
      <c r="AB20" s="127"/>
      <c r="AC20" s="127"/>
      <c r="AD20" s="127"/>
      <c r="AE20" s="128"/>
      <c r="AF20" s="78"/>
    </row>
    <row r="21" spans="1:32" ht="13.15" customHeight="1">
      <c r="A21" s="264">
        <f>IF(AND($K21&lt;&gt;"",$K21&lt;&gt;"--",$K21&lt;&gt;"O3/CP",$K$14=A$18),IF(LEFT($K21,1)="P",VLOOKUP(CONCATENATE(LEFT($K21,2),"H"),$R$63:$T$91,3,FALSE),VLOOKUP($K21,$R$63:$T$91,3,FALSE)))+IF(AND($K21&lt;&gt;"",$K21&lt;&gt;"O3/CP",$K$15=A$18,MID($K21,4,1)="2",$K$15&lt;&gt;$K$14),VLOOKUP(CONCATENATE(LEFT($K21,2),"L"),$R$63:$T$91,3,FALSE),0)+IF(AND($K21="O3/CP",$K$14=A$18),VLOOKUP("O3",$R$63:$T$91,3,FALSE)+VLOOKUP("CP",$R$63:$T$91,3,FALSE),0)+IF(AND($L21&lt;&gt;"",$L21&lt;&gt;"--",$L21&lt;&gt;"O3/CP",$L$14=A$18),IF(LEFT($L21,1)="P",VLOOKUP(CONCATENATE(LEFT($L21,2),"H"),$R$63:$T$91,3,FALSE),VLOOKUP($L21,$R$63:$T$91,3,FALSE)))+IF(AND($L21&lt;&gt;"",$L21&lt;&gt;"O3/CP",$L$15=A$18,MID($L21,4,1)="2",$L$15&lt;&gt;$L$14),VLOOKUP(CONCATENATE(LEFT($L21,2),"L"),$R$63:$T$91,3,FALSE),0)+IF(AND($L21="O3/CP",$L$14=A$18),VLOOKUP("O3",$R$63:$T$91,3,FALSE)+VLOOKUP("CP",$R$63:$T$91,3,FALSE),0)+IF(AND($M21&lt;&gt;"",$M21&lt;&gt;"--",$M21&lt;&gt;"O3/CP",$M$14=A$18),IF(LEFT($M21,1)="P",VLOOKUP(CONCATENATE(LEFT($M21,2),"H"),$R$63:$T$91,3,FALSE),VLOOKUP($M21,$R$63:$T$91,3,FALSE)))+IF(AND($M21&lt;&gt;"",$M21&lt;&gt;"O3/CP",$M$15=A$18,MID($M21,4,1)="2",$M$15&lt;&gt;$M$14),VLOOKUP(CONCATENATE(LEFT($M21,2),"L"),$R$63:$T$91,3,FALSE),0)+IF(AND($M21="O3/CP",$M$14=A$18),VLOOKUP("O3",$R$63:$T$91,3,FALSE)+VLOOKUP("CP",$R$63:$T$91,3,FALSE),0)+IF(AND($N21&lt;&gt;"",$N21&lt;&gt;"--",$N21&lt;&gt;"O3/CP",$N$14=A$18),IF(LEFT($N21,1)="P",VLOOKUP(CONCATENATE(LEFT($N21,2),"H"),$R$63:$T$91,3,FALSE),VLOOKUP($N21,$R$63:$T$91,3,FALSE)))+IF(AND($N21&lt;&gt;"",$N21&lt;&gt;"O3/CP",$N$15=A$18,MID($N21,4,1)="2",$N$15&lt;&gt;$N$14),VLOOKUP(CONCATENATE(LEFT($N21,2),"L"),$R$63:$T$91,3,FALSE),0)+IF(AND($N21="O3/CP",$N$14=A$18),VLOOKUP("O3",$R$63:$T$91,3,FALSE)+VLOOKUP("CP",$R$63:$T$91,3,FALSE),0)+IF(AND($O21&lt;&gt;"",$O21&lt;&gt;"--",$O21&lt;&gt;"O3/CP",$O$14=A$18),IF(LEFT($O21,1)="P",VLOOKUP(CONCATENATE(LEFT($O21,2),"H"),$R$63:$T$91,3,FALSE),VLOOKUP($O21,$R$63:$T$91,3,FALSE)))+IF(AND($O21&lt;&gt;"",$O21&lt;&gt;"O3/CP",$O$15=A$18,MID($O21,4,1)="2",$O$15&lt;&gt;$O$14),VLOOKUP(CONCATENATE(LEFT($O21,2),"L"),$R$63:$T$91,3,FALSE),0)+IF(AND($O21="O3/CP",$O$14=A$18),VLOOKUP("O3",$R$63:$T$91,3,FALSE)+VLOOKUP("CP",$R$63:$T$91,3,FALSE),0)+IF(AND($P21&lt;&gt;"",$P21&lt;&gt;"--",$P21&lt;&gt;"O3/CP",$P$14=A$18),IF(LEFT($P21,1)="P",VLOOKUP(CONCATENATE(LEFT($P21,2),"H"),$R$63:$T$91,3,FALSE),VLOOKUP($P21,$R$63:$T$91,3,FALSE)))+IF(AND($P21&lt;&gt;"",$P21&lt;&gt;"O3/CP",$P$15=A$18,MID($P21,4,1)="2",$P$15&lt;&gt;$P$14),VLOOKUP(CONCATENATE(LEFT($P21,2),"L"),$R$63:$T$91,3,FALSE),0)+IF(AND($P21="O3/CP",$P$14=A$18),VLOOKUP("O3",$R$63:$T$91,3,FALSE)+VLOOKUP("CP",$R$63:$T$91,3,FALSE),0)+IF(AND($Q21&lt;&gt;"",$Q21&lt;&gt;"--",$Q21&lt;&gt;"O3/CP",$Q$14=A$18),IF(LEFT($Q21,1)="P",VLOOKUP(CONCATENATE(LEFT($Q21,2),"H"),$R$63:$T$91,3,FALSE),VLOOKUP($Q21,$R$63:$T$91,3,FALSE)))+IF(AND($Q21&lt;&gt;"",$Q21&lt;&gt;"O3/CP",$Q$15=A$18,MID($Q21,4,1)="2",$Q$15&lt;&gt;$Q$14),VLOOKUP(CONCATENATE(LEFT($Q21,2),"L"),$R$63:$T$91,3,FALSE),0)+IF(AND($Q21="O3/CP",$Q$14=A$18),VLOOKUP("O3",$R$63:$T$91,3,FALSE)+VLOOKUP("CP",$R$63:$T$91,3,FALSE),0)+IF(AND($R21&lt;&gt;"",$R21&lt;&gt;"--",$R21&lt;&gt;"O3/CP",$R$14=A$18),IF(LEFT($R21,1)="P",VLOOKUP(CONCATENATE(LEFT($R21,2),"H"),$R$63:$T$91,3,FALSE),VLOOKUP($R21,$R$63:$T$91,3,FALSE)))+IF(AND($R21&lt;&gt;"",$R21&lt;&gt;"O3/CP",$R$15=A$18,MID($R21,4,1)="2",$R$15&lt;&gt;$R$14),VLOOKUP(CONCATENATE(LEFT($R21,2),"L"),$R$63:$T$91,3,FALSE),0)+IF(AND($R21="O3/CP",$R$14=A$18),VLOOKUP("O3",$R$63:$T$91,3,FALSE)+VLOOKUP("CP",$R$63:$T$91,3,FALSE),0)+IF(AND($S21&lt;&gt;"",$S21&lt;&gt;"--",$S21&lt;&gt;"O3/CP",$S$14=A$18),IF(LEFT($S21,1)="P",VLOOKUP(CONCATENATE(LEFT($S21,2),"H"),$R$63:$T$91,3,FALSE),VLOOKUP($S21,$R$63:$T$91,3,FALSE)))+IF(AND($S21&lt;&gt;"",$S21&lt;&gt;"O3/CP",$S$15=A$18,MID($S21,4,1)="2",$S$15&lt;&gt;$S$14),VLOOKUP(CONCATENATE(LEFT($S21,2),"L"),$R$63:$T$91,3,FALSE),0)+IF(AND($S21="O3/CP",$S$14=A$18),VLOOKUP("O3",$R$63:$T$91,3,FALSE)+VLOOKUP("CP",$R$63:$T$91,3,FALSE),0)+IF(AND($T21&lt;&gt;"",$T21&lt;&gt;"--",$T21&lt;&gt;"O3/CP",$T$14=A$18),IF(LEFT($T21,1)="P",VLOOKUP(CONCATENATE(LEFT($T21,2),"H"),$R$63:$T$91,3,FALSE),VLOOKUP($T21,$R$63:$T$91,3,FALSE)))+IF(AND($T21&lt;&gt;"",$T21&lt;&gt;"O3/CP",$T$15=A$18,MID($T21,4,1)="2",$T$15&lt;&gt;$T$14),VLOOKUP(CONCATENATE(LEFT($T21,2),"L"),$R$63:$T$91,3,FALSE),0)+IF(AND($T21="O3/CP",$T$14=A$18),VLOOKUP("O3",$R$63:$T$91,3,FALSE)+VLOOKUP("CP",$R$63:$T$91,3,FALSE),0)+IF(AND($U21&lt;&gt;"",$U21&lt;&gt;"--",$U21&lt;&gt;"O3/CP",$U$14=A$18),IF(LEFT($U21,1)="P",VLOOKUP(CONCATENATE(LEFT($U21,2),"H"),$R$63:$T$91,3,FALSE),VLOOKUP($U21,$R$63:$T$91,3,FALSE)))+IF(AND($U21&lt;&gt;"",$U21&lt;&gt;"O3/CP",$U$15=A$18,MID($U21,4,1)="2",$U$15&lt;&gt;$U$14),VLOOKUP(CONCATENATE(LEFT($U21,2),"L"),$R$63:$T$91,3,FALSE),0)+IF(AND($U21="O3/CP",$T$14=A$18),VLOOKUP("O3",$R$63:$T$91,3,FALSE)+VLOOKUP("CP",$R$63:$T$91,3,FALSE),0)+IF(AND($V21&lt;&gt;"",$V21&lt;&gt;"--",$V21&lt;&gt;"O3/CP",$V$14=A$18),IF(LEFT($V21,1)="P",VLOOKUP(CONCATENATE(LEFT($V21,2),"H"),$R$63:$T$91,3,FALSE),VLOOKUP($V21,$R$63:$T$91,3,FALSE)))+IF(AND($V21&lt;&gt;"",$V21&lt;&gt;"O3/CP",$V$15=A$18,MID($V21,4,1)="2",$V$15&lt;&gt;$V$14),VLOOKUP(CONCATENATE(LEFT($V21,2),"L"),$R$63:$T$91,3,FALSE),0)+IF(AND($V21="O3/CP",$V$14=A$18),VLOOKUP("O3",$R$63:$T$91,3,FALSE)+VLOOKUP("CP",$R$63:$T$91,3,FALSE),0)+IF(AND($W21&lt;&gt;"",$W21&lt;&gt;"--",$W21&lt;&gt;"O3/CP",$W$14=A$18),IF(LEFT($W21,1)="P",VLOOKUP(CONCATENATE(LEFT($W21,2),"H"),$R$63:$T$91,3,FALSE),VLOOKUP($W21,$R$63:$T$91,3,FALSE)))+IF(AND($W21&lt;&gt;"",$W21&lt;&gt;"O3/CP",$W$15=A$18,MID($W21,4,1)="2",$W$15&lt;&gt;$W$14),VLOOKUP(CONCATENATE(LEFT($W21,2),"L"),$R$63:$T$91,3,FALSE),0)+IF(AND($W21="O3/CP",$W$14=A$18),VLOOKUP("O3",$R$63:$T$91,3,FALSE)+VLOOKUP("CP",$R$63:$T$91,3,FALSE),0)+IF(AND($X21&lt;&gt;"",$X21&lt;&gt;"--",$X21&lt;&gt;"O3/CP",$X$14=A$18),IF(LEFT($X21,1)="P",VLOOKUP(CONCATENATE(LEFT($X21,2),"H"),$R$63:$T$91,3,FALSE),VLOOKUP($X21,$R$63:$T$91,3,FALSE)))+IF(AND($X21&lt;&gt;"",$X21&lt;&gt;"O3/CP",$X$15=A$18,MID($X21,4,1)="2",$X$15&lt;&gt;$X$14),VLOOKUP(CONCATENATE(LEFT($X21,2),"L"),$R$63:$T$91,3,FALSE),0)+IF(AND($X21="O3/CP",$X$14=A$18),VLOOKUP("O3",$R$63:$T$91,3,FALSE)+VLOOKUP("CP",$R$63:$T$91,3,FALSE),0)+IF(AND($Y21&lt;&gt;"",$Y21&lt;&gt;"--",$Y21&lt;&gt;"O3/CP",$Y$14=A$18),IF(LEFT($Y21,1)="P",VLOOKUP(CONCATENATE(LEFT($Y21,2),"H"),$R$63:$T$91,3,FALSE),VLOOKUP($Y21,$R$63:$T$91,3,FALSE)))+IF(AND($Y21&lt;&gt;"",$Y21&lt;&gt;"O3/CP",$Y$15=A$18,MID($Y21,4,1)="2",$Y$15&lt;&gt;$Y$14),VLOOKUP(CONCATENATE(LEFT($Y21,2),"L"),$R$63:$T$91,3,FALSE),0)+IF(AND($Y21="O3/CP",$Y$14=A$18),VLOOKUP("O3",$R$63:$T$91,3,FALSE)+VLOOKUP("CP",$R$63:$T$91,3,FALSE),0)+IF(AND($K$6="CE",'[3]Supply Attribution'!$G$20=A$18),LEFT($S$90,2),0)+IF(AND($X$86&lt;&gt;"Not Set",$X$87=A$18),$X$86,0)</f>
        <v>14</v>
      </c>
      <c r="B21" s="271">
        <f>IF(AND($K21&lt;&gt;"",$K21&lt;&gt;"--",$K21&lt;&gt;"O3/CP",$K$14=B$18),IF(LEFT($K21,1)="P",VLOOKUP(CONCATENATE(LEFT($K21,2),"H"),$R$63:$T$91,3,FALSE),VLOOKUP($K21,$R$63:$T$91,3,FALSE)))+IF(AND($K21&lt;&gt;"",$K21&lt;&gt;"O3/CP",$K$15=B$18,MID($K21,4,1)="2",$K$15&lt;&gt;$K$14),VLOOKUP(CONCATENATE(LEFT($K21,2),"L"),$R$63:$T$91,3,FALSE),0)+IF(AND($K21="O3/CP",$K$14=B$18),VLOOKUP("O3",$R$63:$T$91,3,FALSE)+VLOOKUP("CP",$R$63:$T$91,3,FALSE),0)+IF(AND($L21&lt;&gt;"",$L21&lt;&gt;"--",$L21&lt;&gt;"O3/CP",$L$14=B$18),IF(LEFT($L21,1)="P",VLOOKUP(CONCATENATE(LEFT($L21,2),"H"),$R$63:$T$91,3,FALSE),VLOOKUP($L21,$R$63:$T$91,3,FALSE)))+IF(AND($L21&lt;&gt;"",$L21&lt;&gt;"O3/CP",$L$15=B$18,MID($L21,4,1)="2",$L$15&lt;&gt;$L$14),VLOOKUP(CONCATENATE(LEFT($L21,2),"L"),$R$63:$T$91,3,FALSE),0)+IF(AND($L21="O3/CP",$L$14=B$18),VLOOKUP("O3",$R$63:$T$91,3,FALSE)+VLOOKUP("CP",$R$63:$T$91,3,FALSE),0)+IF(AND($M21&lt;&gt;"",$M21&lt;&gt;"--",$M21&lt;&gt;"O3/CP",$M$14=B$18),IF(LEFT($M21,1)="P",VLOOKUP(CONCATENATE(LEFT($M21,2),"H"),$R$63:$T$91,3,FALSE),VLOOKUP($M21,$R$63:$T$91,3,FALSE)))+IF(AND($M21&lt;&gt;"",$M21&lt;&gt;"O3/CP",$M$15=B$18,MID($M21,4,1)="2",$M$15&lt;&gt;$M$14),VLOOKUP(CONCATENATE(LEFT($M21,2),"L"),$R$63:$T$91,3,FALSE),0)+IF(AND($M21="O3/CP",$M$14=B$18),VLOOKUP("O3",$R$63:$T$91,3,FALSE)+VLOOKUP("CP",$R$63:$T$91,3,FALSE),0)+IF(AND($N21&lt;&gt;"",$N21&lt;&gt;"--",$N21&lt;&gt;"O3/CP",$N$14=B$18),IF(LEFT($N21,1)="P",VLOOKUP(CONCATENATE(LEFT($N21,2),"H"),$R$63:$T$91,3,FALSE),VLOOKUP($N21,$R$63:$T$91,3,FALSE)))+IF(AND($N21&lt;&gt;"",$N21&lt;&gt;"O3/CP",$N$15=B$18,MID($N21,4,1)="2",$N$15&lt;&gt;$N$14),VLOOKUP(CONCATENATE(LEFT($N21,2),"L"),$R$63:$T$91,3,FALSE),0)+IF(AND($N21="O3/CP",$N$14=B$18),VLOOKUP("O3",$R$63:$T$91,3,FALSE)+VLOOKUP("CP",$R$63:$T$91,3,FALSE),0)+IF(AND($O21&lt;&gt;"",$O21&lt;&gt;"--",$O21&lt;&gt;"O3/CP",$O$14=B$18),IF(LEFT($O21,1)="P",VLOOKUP(CONCATENATE(LEFT($O21,2),"H"),$R$63:$T$91,3,FALSE),VLOOKUP($O21,$R$63:$T$91,3,FALSE)))+IF(AND($O21&lt;&gt;"",$O21&lt;&gt;"O3/CP",$O$15=B$18,MID($O21,4,1)="2",$O$15&lt;&gt;$O$14),VLOOKUP(CONCATENATE(LEFT($O21,2),"L"),$R$63:$T$91,3,FALSE),0)+IF(AND($O21="O3/CP",$O$14=B$18),VLOOKUP("O3",$R$63:$T$91,3,FALSE)+VLOOKUP("CP",$R$63:$T$91,3,FALSE),0)+IF(AND($P21&lt;&gt;"",$P21&lt;&gt;"--",$P21&lt;&gt;"O3/CP",$P$14=B$18),IF(LEFT($P21,1)="P",VLOOKUP(CONCATENATE(LEFT($P21,2),"H"),$R$63:$T$91,3,FALSE),VLOOKUP($P21,$R$63:$T$91,3,FALSE)))+IF(AND($P21&lt;&gt;"",$P21&lt;&gt;"O3/CP",$P$15=B$18,MID($P21,4,1)="2",$P$15&lt;&gt;$P$14),VLOOKUP(CONCATENATE(LEFT($P21,2),"L"),$R$63:$T$91,3,FALSE),0)+IF(AND($P21="O3/CP",$P$14=B$18),VLOOKUP("O3",$R$63:$T$91,3,FALSE)+VLOOKUP("CP",$R$63:$T$91,3,FALSE),0)+IF(AND($Q21&lt;&gt;"",$Q21&lt;&gt;"--",$Q21&lt;&gt;"O3/CP",$Q$14=B$18),IF(LEFT($Q21,1)="P",VLOOKUP(CONCATENATE(LEFT($Q21,2),"H"),$R$63:$T$91,3,FALSE),VLOOKUP($Q21,$R$63:$T$91,3,FALSE)))+IF(AND($Q21&lt;&gt;"",$Q21&lt;&gt;"O3/CP",$Q$15=B$18,MID($Q21,4,1)="2",$Q$15&lt;&gt;$Q$14),VLOOKUP(CONCATENATE(LEFT($Q21,2),"L"),$R$63:$T$91,3,FALSE),0)+IF(AND($Q21="O3/CP",$Q$14=B$18),VLOOKUP("O3",$R$63:$T$91,3,FALSE)+VLOOKUP("CP",$R$63:$T$91,3,FALSE),0)+IF(AND($R21&lt;&gt;"",$R21&lt;&gt;"--",$R21&lt;&gt;"O3/CP",$R$14=B$18),IF(LEFT($R21,1)="P",VLOOKUP(CONCATENATE(LEFT($R21,2),"H"),$R$63:$T$91,3,FALSE),VLOOKUP($R21,$R$63:$T$91,3,FALSE)))+IF(AND($R21&lt;&gt;"",$R21&lt;&gt;"O3/CP",$R$15=B$18,MID($R21,4,1)="2",$R$15&lt;&gt;$R$14),VLOOKUP(CONCATENATE(LEFT($R21,2),"L"),$R$63:$T$91,3,FALSE),0)+IF(AND($R21="O3/CP",$R$14=B$18),VLOOKUP("O3",$R$63:$T$91,3,FALSE)+VLOOKUP("CP",$R$63:$T$91,3,FALSE),0)+IF(AND($S21&lt;&gt;"",$S21&lt;&gt;"--",$S21&lt;&gt;"O3/CP",$S$14=B$18),IF(LEFT($S21,1)="P",VLOOKUP(CONCATENATE(LEFT($S21,2),"H"),$R$63:$T$91,3,FALSE),VLOOKUP($S21,$R$63:$T$91,3,FALSE)))+IF(AND($S21&lt;&gt;"",$S21&lt;&gt;"O3/CP",$S$15=B$18,MID($S21,4,1)="2",$S$15&lt;&gt;$S$14),VLOOKUP(CONCATENATE(LEFT($S21,2),"L"),$R$63:$T$91,3,FALSE),0)+IF(AND($S21="O3/CP",$S$14=B$18),VLOOKUP("O3",$R$63:$T$91,3,FALSE)+VLOOKUP("CP",$R$63:$T$91,3,FALSE),0)+IF(AND($T21&lt;&gt;"",$T21&lt;&gt;"--",$T21&lt;&gt;"O3/CP",$T$14=B$18),IF(LEFT($T21,1)="P",VLOOKUP(CONCATENATE(LEFT($T21,2),"H"),$R$63:$T$91,3,FALSE),VLOOKUP($T21,$R$63:$T$91,3,FALSE)))+IF(AND($T21&lt;&gt;"",$T21&lt;&gt;"O3/CP",$T$15=B$18,MID($T21,4,1)="2",$T$15&lt;&gt;$T$14),VLOOKUP(CONCATENATE(LEFT($T21,2),"L"),$R$63:$T$91,3,FALSE),0)+IF(AND($T21="O3/CP",$T$14=B$18),VLOOKUP("O3",$R$63:$T$91,3,FALSE)+VLOOKUP("CP",$R$63:$T$91,3,FALSE),0)+IF(AND($U21&lt;&gt;"",$U21&lt;&gt;"--",$U21&lt;&gt;"O3/CP",$U$14=B$18),IF(LEFT($U21,1)="P",VLOOKUP(CONCATENATE(LEFT($U21,2),"H"),$R$63:$T$91,3,FALSE),VLOOKUP($U21,$R$63:$T$91,3,FALSE)))+IF(AND($U21&lt;&gt;"",$U21&lt;&gt;"O3/CP",$U$15=B$18,MID($U21,4,1)="2",$U$15&lt;&gt;$U$14),VLOOKUP(CONCATENATE(LEFT($U21,2),"L"),$R$63:$T$91,3,FALSE),0)+IF(AND($U21="O3/CP",$T$14=B$18),VLOOKUP("O3",$R$63:$T$91,3,FALSE)+VLOOKUP("CP",$R$63:$T$91,3,FALSE),0)+IF(AND($V21&lt;&gt;"",$V21&lt;&gt;"--",$V21&lt;&gt;"O3/CP",$V$14=B$18),IF(LEFT($V21,1)="P",VLOOKUP(CONCATENATE(LEFT($V21,2),"H"),$R$63:$T$91,3,FALSE),VLOOKUP($V21,$R$63:$T$91,3,FALSE)))+IF(AND($V21&lt;&gt;"",$V21&lt;&gt;"O3/CP",$V$15=B$18,MID($V21,4,1)="2",$V$15&lt;&gt;$V$14),VLOOKUP(CONCATENATE(LEFT($V21,2),"L"),$R$63:$T$91,3,FALSE),0)+IF(AND($V21="O3/CP",$V$14=B$18),VLOOKUP("O3",$R$63:$T$91,3,FALSE)+VLOOKUP("CP",$R$63:$T$91,3,FALSE),0)+IF(AND($W21&lt;&gt;"",$W21&lt;&gt;"--",$W21&lt;&gt;"O3/CP",$W$14=B$18),IF(LEFT($W21,1)="P",VLOOKUP(CONCATENATE(LEFT($W21,2),"H"),$R$63:$T$91,3,FALSE),VLOOKUP($W21,$R$63:$T$91,3,FALSE)))+IF(AND($W21&lt;&gt;"",$W21&lt;&gt;"O3/CP",$W$15=B$18,MID($W21,4,1)="2",$W$15&lt;&gt;$W$14),VLOOKUP(CONCATENATE(LEFT($W21,2),"L"),$R$63:$T$91,3,FALSE),0)+IF(AND($W21="O3/CP",$W$14=B$18),VLOOKUP("O3",$R$63:$T$91,3,FALSE)+VLOOKUP("CP",$R$63:$T$91,3,FALSE),0)+IF(AND($X21&lt;&gt;"",$X21&lt;&gt;"--",$X21&lt;&gt;"O3/CP",$X$14=B$18),IF(LEFT($X21,1)="P",VLOOKUP(CONCATENATE(LEFT($X21,2),"H"),$R$63:$T$91,3,FALSE),VLOOKUP($X21,$R$63:$T$91,3,FALSE)))+IF(AND($X21&lt;&gt;"",$X21&lt;&gt;"O3/CP",$X$15=B$18,MID($X21,4,1)="2",$X$15&lt;&gt;$X$14),VLOOKUP(CONCATENATE(LEFT($X21,2),"L"),$R$63:$T$91,3,FALSE),0)+IF(AND($X21="O3/CP",$X$14=B$18),VLOOKUP("O3",$R$63:$T$91,3,FALSE)+VLOOKUP("CP",$R$63:$T$91,3,FALSE),0)+IF(AND($Y21&lt;&gt;"",$Y21&lt;&gt;"--",$Y21&lt;&gt;"O3/CP",$Y$14=B$18),IF(LEFT($Y21,1)="P",VLOOKUP(CONCATENATE(LEFT($Y21,2),"H"),$R$63:$T$91,3,FALSE),VLOOKUP($Y21,$R$63:$T$91,3,FALSE)))+IF(AND($Y21&lt;&gt;"",$Y21&lt;&gt;"O3/CP",$Y$15=B$18,MID($Y21,4,1)="2",$Y$15&lt;&gt;$Y$14),VLOOKUP(CONCATENATE(LEFT($Y21,2),"L"),$R$63:$T$91,3,FALSE),0)+IF(AND($Y21="O3/CP",$Y$14=B$18),VLOOKUP("O3",$R$63:$T$91,3,FALSE)+VLOOKUP("CP",$R$63:$T$91,3,FALSE),0)+IF(AND($K$6="CE",'[3]Supply Attribution'!$G$20=B$18),LEFT($S$90,2),0)+IF(AND($X$86&lt;&gt;"Not Set",$X$87=B$18),$X$86,0)</f>
        <v>5</v>
      </c>
      <c r="C21" s="271">
        <f>IF(AND($K21&lt;&gt;"",$K21&lt;&gt;"--",$K21&lt;&gt;"O3/CP",$K$14=C$18),IF(LEFT($K21,1)="P",VLOOKUP(CONCATENATE(LEFT($K21,2),"H"),$R$63:$T$91,3,FALSE),VLOOKUP($K21,$R$63:$T$91,3,FALSE)))+IF(AND($K21&lt;&gt;"",$K21&lt;&gt;"O3/CP",$K$15=C$18,MID($K21,4,1)="2",$K$15&lt;&gt;$K$14),VLOOKUP(CONCATENATE(LEFT($K21,2),"L"),$R$63:$T$91,3,FALSE),0)+IF(AND($K21="O3/CP",$K$14=C$18),VLOOKUP("O3",$R$63:$T$91,3,FALSE)+VLOOKUP("CP",$R$63:$T$91,3,FALSE),0)+IF(AND($L21&lt;&gt;"",$L21&lt;&gt;"--",$L21&lt;&gt;"O3/CP",$L$14=C$18),IF(LEFT($L21,1)="P",VLOOKUP(CONCATENATE(LEFT($L21,2),"H"),$R$63:$T$91,3,FALSE),VLOOKUP($L21,$R$63:$T$91,3,FALSE)))+IF(AND($L21&lt;&gt;"",$L21&lt;&gt;"O3/CP",$L$15=C$18,MID($L21,4,1)="2",$L$15&lt;&gt;$L$14),VLOOKUP(CONCATENATE(LEFT($L21,2),"L"),$R$63:$T$91,3,FALSE),0)+IF(AND($L21="O3/CP",$L$14=C$18),VLOOKUP("O3",$R$63:$T$91,3,FALSE)+VLOOKUP("CP",$R$63:$T$91,3,FALSE),0)+IF(AND($M21&lt;&gt;"",$M21&lt;&gt;"--",$M21&lt;&gt;"O3/CP",$M$14=C$18),IF(LEFT($M21,1)="P",VLOOKUP(CONCATENATE(LEFT($M21,2),"H"),$R$63:$T$91,3,FALSE),VLOOKUP($M21,$R$63:$T$91,3,FALSE)))+IF(AND($M21&lt;&gt;"",$M21&lt;&gt;"O3/CP",$M$15=C$18,MID($M21,4,1)="2",$M$15&lt;&gt;$M$14),VLOOKUP(CONCATENATE(LEFT($M21,2),"L"),$R$63:$T$91,3,FALSE),0)+IF(AND($M21="O3/CP",$M$14=C$18),VLOOKUP("O3",$R$63:$T$91,3,FALSE)+VLOOKUP("CP",$R$63:$T$91,3,FALSE),0)+IF(AND($N21&lt;&gt;"",$N21&lt;&gt;"--",$N21&lt;&gt;"O3/CP",$N$14=C$18),IF(LEFT($N21,1)="P",VLOOKUP(CONCATENATE(LEFT($N21,2),"H"),$R$63:$T$91,3,FALSE),VLOOKUP($N21,$R$63:$T$91,3,FALSE)))+IF(AND($N21&lt;&gt;"",$N21&lt;&gt;"O3/CP",$N$15=C$18,MID($N21,4,1)="2",$N$15&lt;&gt;$N$14),VLOOKUP(CONCATENATE(LEFT($N21,2),"L"),$R$63:$T$91,3,FALSE),0)+IF(AND($N21="O3/CP",$N$14=C$18),VLOOKUP("O3",$R$63:$T$91,3,FALSE)+VLOOKUP("CP",$R$63:$T$91,3,FALSE),0)+IF(AND($O21&lt;&gt;"",$O21&lt;&gt;"--",$O21&lt;&gt;"O3/CP",$O$14=C$18),IF(LEFT($O21,1)="P",VLOOKUP(CONCATENATE(LEFT($O21,2),"H"),$R$63:$T$91,3,FALSE),VLOOKUP($O21,$R$63:$T$91,3,FALSE)))+IF(AND($O21&lt;&gt;"",$O21&lt;&gt;"O3/CP",$O$15=C$18,MID($O21,4,1)="2",$O$15&lt;&gt;$O$14),VLOOKUP(CONCATENATE(LEFT($O21,2),"L"),$R$63:$T$91,3,FALSE),0)+IF(AND($O21="O3/CP",$O$14=C$18),VLOOKUP("O3",$R$63:$T$91,3,FALSE)+VLOOKUP("CP",$R$63:$T$91,3,FALSE),0)+IF(AND($P21&lt;&gt;"",$P21&lt;&gt;"--",$P21&lt;&gt;"O3/CP",$P$14=C$18),IF(LEFT($P21,1)="P",VLOOKUP(CONCATENATE(LEFT($P21,2),"H"),$R$63:$T$91,3,FALSE),VLOOKUP($P21,$R$63:$T$91,3,FALSE)))+IF(AND($P21&lt;&gt;"",$P21&lt;&gt;"O3/CP",$P$15=C$18,MID($P21,4,1)="2",$P$15&lt;&gt;$P$14),VLOOKUP(CONCATENATE(LEFT($P21,2),"L"),$R$63:$T$91,3,FALSE),0)+IF(AND($P21="O3/CP",$P$14=C$18),VLOOKUP("O3",$R$63:$T$91,3,FALSE)+VLOOKUP("CP",$R$63:$T$91,3,FALSE),0)+IF(AND($Q21&lt;&gt;"",$Q21&lt;&gt;"--",$Q21&lt;&gt;"O3/CP",$Q$14=C$18),IF(LEFT($Q21,1)="P",VLOOKUP(CONCATENATE(LEFT($Q21,2),"H"),$R$63:$T$91,3,FALSE),VLOOKUP($Q21,$R$63:$T$91,3,FALSE)))+IF(AND($Q21&lt;&gt;"",$Q21&lt;&gt;"O3/CP",$Q$15=C$18,MID($Q21,4,1)="2",$Q$15&lt;&gt;$Q$14),VLOOKUP(CONCATENATE(LEFT($Q21,2),"L"),$R$63:$T$91,3,FALSE),0)+IF(AND($Q21="O3/CP",$Q$14=C$18),VLOOKUP("O3",$R$63:$T$91,3,FALSE)+VLOOKUP("CP",$R$63:$T$91,3,FALSE),0)+IF(AND($R21&lt;&gt;"",$R21&lt;&gt;"--",$R21&lt;&gt;"O3/CP",$R$14=C$18),IF(LEFT($R21,1)="P",VLOOKUP(CONCATENATE(LEFT($R21,2),"H"),$R$63:$T$91,3,FALSE),VLOOKUP($R21,$R$63:$T$91,3,FALSE)))+IF(AND($R21&lt;&gt;"",$R21&lt;&gt;"O3/CP",$R$15=C$18,MID($R21,4,1)="2",$R$15&lt;&gt;$R$14),VLOOKUP(CONCATENATE(LEFT($R21,2),"L"),$R$63:$T$91,3,FALSE),0)+IF(AND($R21="O3/CP",$R$14=C$18),VLOOKUP("O3",$R$63:$T$91,3,FALSE)+VLOOKUP("CP",$R$63:$T$91,3,FALSE),0)+IF(AND($S21&lt;&gt;"",$S21&lt;&gt;"--",$S21&lt;&gt;"O3/CP",$S$14=C$18),IF(LEFT($S21,1)="P",VLOOKUP(CONCATENATE(LEFT($S21,2),"H"),$R$63:$T$91,3,FALSE),VLOOKUP($S21,$R$63:$T$91,3,FALSE)))+IF(AND($S21&lt;&gt;"",$S21&lt;&gt;"O3/CP",$S$15=C$18,MID($S21,4,1)="2",$S$15&lt;&gt;$S$14),VLOOKUP(CONCATENATE(LEFT($S21,2),"L"),$R$63:$T$91,3,FALSE),0)+IF(AND($S21="O3/CP",$S$14=C$18),VLOOKUP("O3",$R$63:$T$91,3,FALSE)+VLOOKUP("CP",$R$63:$T$91,3,FALSE),0)+IF(AND($T21&lt;&gt;"",$T21&lt;&gt;"--",$T21&lt;&gt;"O3/CP",$T$14=C$18),IF(LEFT($T21,1)="P",VLOOKUP(CONCATENATE(LEFT($T21,2),"H"),$R$63:$T$91,3,FALSE),VLOOKUP($T21,$R$63:$T$91,3,FALSE)))+IF(AND($T21&lt;&gt;"",$T21&lt;&gt;"O3/CP",$T$15=C$18,MID($T21,4,1)="2",$T$15&lt;&gt;$T$14),VLOOKUP(CONCATENATE(LEFT($T21,2),"L"),$R$63:$T$91,3,FALSE),0)+IF(AND($T21="O3/CP",$T$14=C$18),VLOOKUP("O3",$R$63:$T$91,3,FALSE)+VLOOKUP("CP",$R$63:$T$91,3,FALSE),0)+IF(AND($U21&lt;&gt;"",$U21&lt;&gt;"--",$U21&lt;&gt;"O3/CP",$U$14=C$18),IF(LEFT($U21,1)="P",VLOOKUP(CONCATENATE(LEFT($U21,2),"H"),$R$63:$T$91,3,FALSE),VLOOKUP($U21,$R$63:$T$91,3,FALSE)))+IF(AND($U21&lt;&gt;"",$U21&lt;&gt;"O3/CP",$U$15=C$18,MID($U21,4,1)="2",$U$15&lt;&gt;$U$14),VLOOKUP(CONCATENATE(LEFT($U21,2),"L"),$R$63:$T$91,3,FALSE),0)+IF(AND($U21="O3/CP",$T$14=C$18),VLOOKUP("O3",$R$63:$T$91,3,FALSE)+VLOOKUP("CP",$R$63:$T$91,3,FALSE),0)+IF(AND($V21&lt;&gt;"",$V21&lt;&gt;"--",$V21&lt;&gt;"O3/CP",$V$14=C$18),IF(LEFT($V21,1)="P",VLOOKUP(CONCATENATE(LEFT($V21,2),"H"),$R$63:$T$91,3,FALSE),VLOOKUP($V21,$R$63:$T$91,3,FALSE)))+IF(AND($V21&lt;&gt;"",$V21&lt;&gt;"O3/CP",$V$15=C$18,MID($V21,4,1)="2",$V$15&lt;&gt;$V$14),VLOOKUP(CONCATENATE(LEFT($V21,2),"L"),$R$63:$T$91,3,FALSE),0)+IF(AND($V21="O3/CP",$V$14=C$18),VLOOKUP("O3",$R$63:$T$91,3,FALSE)+VLOOKUP("CP",$R$63:$T$91,3,FALSE),0)+IF(AND($W21&lt;&gt;"",$W21&lt;&gt;"--",$W21&lt;&gt;"O3/CP",$W$14=C$18),IF(LEFT($W21,1)="P",VLOOKUP(CONCATENATE(LEFT($W21,2),"H"),$R$63:$T$91,3,FALSE),VLOOKUP($W21,$R$63:$T$91,3,FALSE)))+IF(AND($W21&lt;&gt;"",$W21&lt;&gt;"O3/CP",$W$15=C$18,MID($W21,4,1)="2",$W$15&lt;&gt;$W$14),VLOOKUP(CONCATENATE(LEFT($W21,2),"L"),$R$63:$T$91,3,FALSE),0)+IF(AND($W21="O3/CP",$W$14=C$18),VLOOKUP("O3",$R$63:$T$91,3,FALSE)+VLOOKUP("CP",$R$63:$T$91,3,FALSE),0)+IF(AND($X21&lt;&gt;"",$X21&lt;&gt;"--",$X21&lt;&gt;"O3/CP",$X$14=C$18),IF(LEFT($X21,1)="P",VLOOKUP(CONCATENATE(LEFT($X21,2),"H"),$R$63:$T$91,3,FALSE),VLOOKUP($X21,$R$63:$T$91,3,FALSE)))+IF(AND($X21&lt;&gt;"",$X21&lt;&gt;"O3/CP",$X$15=C$18,MID($X21,4,1)="2",$X$15&lt;&gt;$X$14),VLOOKUP(CONCATENATE(LEFT($X21,2),"L"),$R$63:$T$91,3,FALSE),0)+IF(AND($X21="O3/CP",$X$14=C$18),VLOOKUP("O3",$R$63:$T$91,3,FALSE)+VLOOKUP("CP",$R$63:$T$91,3,FALSE),0)+IF(AND($Y21&lt;&gt;"",$Y21&lt;&gt;"--",$Y21&lt;&gt;"O3/CP",$Y$14=C$18),IF(LEFT($Y21,1)="P",VLOOKUP(CONCATENATE(LEFT($Y21,2),"H"),$R$63:$T$91,3,FALSE),VLOOKUP($Y21,$R$63:$T$91,3,FALSE)))+IF(AND($Y21&lt;&gt;"",$Y21&lt;&gt;"O3/CP",$Y$15=C$18,MID($Y21,4,1)="2",$Y$15&lt;&gt;$Y$14),VLOOKUP(CONCATENATE(LEFT($Y21,2),"L"),$R$63:$T$91,3,FALSE),0)+IF(AND($Y21="O3/CP",$Y$14=C$18),VLOOKUP("O3",$R$63:$T$91,3,FALSE)+VLOOKUP("CP",$R$63:$T$91,3,FALSE),0)+IF(AND($K$6="CE",'[3]Supply Attribution'!$G$20=C$18),LEFT($S$90,2),0)+IF(AND($X$86&lt;&gt;"Not Set",$X$87=C$18),$X$86,0)</f>
        <v>14</v>
      </c>
      <c r="D21" s="271">
        <f>IF(AND($K21&lt;&gt;"",$K21&lt;&gt;"--",$K21&lt;&gt;"O3/CP",$K$14=D$18),IF(LEFT($K21,1)="P",VLOOKUP(CONCATENATE(LEFT($K21,2),"H"),$R$63:$T$91,3,FALSE),VLOOKUP($K21,$R$63:$T$91,3,FALSE)))+IF(AND($K21&lt;&gt;"",$K21&lt;&gt;"O3/CP",$K$15=D$18,MID($K21,4,1)="2",$K$15&lt;&gt;$K$14),VLOOKUP(CONCATENATE(LEFT($K21,2),"L"),$R$63:$T$91,3,FALSE),0)+IF(AND($K21="O3/CP",$K$14=D$18),VLOOKUP("O3",$R$63:$T$91,3,FALSE)+VLOOKUP("CP",$R$63:$T$91,3,FALSE),0)+IF(AND($L21&lt;&gt;"",$L21&lt;&gt;"--",$L21&lt;&gt;"O3/CP",$L$14=D$18),IF(LEFT($L21,1)="P",VLOOKUP(CONCATENATE(LEFT($L21,2),"H"),$R$63:$T$91,3,FALSE),VLOOKUP($L21,$R$63:$T$91,3,FALSE)))+IF(AND($L21&lt;&gt;"",$L21&lt;&gt;"O3/CP",$L$15=D$18,MID($L21,4,1)="2",$L$15&lt;&gt;$L$14),VLOOKUP(CONCATENATE(LEFT($L21,2),"L"),$R$63:$T$91,3,FALSE),0)+IF(AND($L21="O3/CP",$L$14=D$18),VLOOKUP("O3",$R$63:$T$91,3,FALSE)+VLOOKUP("CP",$R$63:$T$91,3,FALSE),0)+IF(AND($M21&lt;&gt;"",$M21&lt;&gt;"--",$M21&lt;&gt;"O3/CP",$M$14=D$18),IF(LEFT($M21,1)="P",VLOOKUP(CONCATENATE(LEFT($M21,2),"H"),$R$63:$T$91,3,FALSE),VLOOKUP($M21,$R$63:$T$91,3,FALSE)))+IF(AND($M21&lt;&gt;"",$M21&lt;&gt;"O3/CP",$M$15=D$18,MID($M21,4,1)="2",$M$15&lt;&gt;$M$14),VLOOKUP(CONCATENATE(LEFT($M21,2),"L"),$R$63:$T$91,3,FALSE),0)+IF(AND($M21="O3/CP",$M$14=D$18),VLOOKUP("O3",$R$63:$T$91,3,FALSE)+VLOOKUP("CP",$R$63:$T$91,3,FALSE),0)+IF(AND($N21&lt;&gt;"",$N21&lt;&gt;"--",$N21&lt;&gt;"O3/CP",$N$14=D$18),IF(LEFT($N21,1)="P",VLOOKUP(CONCATENATE(LEFT($N21,2),"H"),$R$63:$T$91,3,FALSE),VLOOKUP($N21,$R$63:$T$91,3,FALSE)))+IF(AND($N21&lt;&gt;"",$N21&lt;&gt;"O3/CP",$N$15=D$18,MID($N21,4,1)="2",$N$15&lt;&gt;$N$14),VLOOKUP(CONCATENATE(LEFT($N21,2),"L"),$R$63:$T$91,3,FALSE),0)+IF(AND($N21="O3/CP",$N$14=D$18),VLOOKUP("O3",$R$63:$T$91,3,FALSE)+VLOOKUP("CP",$R$63:$T$91,3,FALSE),0)+IF(AND($O21&lt;&gt;"",$O21&lt;&gt;"--",$O21&lt;&gt;"O3/CP",$O$14=D$18),IF(LEFT($O21,1)="P",VLOOKUP(CONCATENATE(LEFT($O21,2),"H"),$R$63:$T$91,3,FALSE),VLOOKUP($O21,$R$63:$T$91,3,FALSE)))+IF(AND($O21&lt;&gt;"",$O21&lt;&gt;"O3/CP",$O$15=D$18,MID($O21,4,1)="2",$O$15&lt;&gt;$O$14),VLOOKUP(CONCATENATE(LEFT($O21,2),"L"),$R$63:$T$91,3,FALSE),0)+IF(AND($O21="O3/CP",$O$14=D$18),VLOOKUP("O3",$R$63:$T$91,3,FALSE)+VLOOKUP("CP",$R$63:$T$91,3,FALSE),0)+IF(AND($P21&lt;&gt;"",$P21&lt;&gt;"--",$P21&lt;&gt;"O3/CP",$P$14=D$18),IF(LEFT($P21,1)="P",VLOOKUP(CONCATENATE(LEFT($P21,2),"H"),$R$63:$T$91,3,FALSE),VLOOKUP($P21,$R$63:$T$91,3,FALSE)))+IF(AND($P21&lt;&gt;"",$P21&lt;&gt;"O3/CP",$P$15=D$18,MID($P21,4,1)="2",$P$15&lt;&gt;$P$14),VLOOKUP(CONCATENATE(LEFT($P21,2),"L"),$R$63:$T$91,3,FALSE),0)+IF(AND($P21="O3/CP",$P$14=D$18),VLOOKUP("O3",$R$63:$T$91,3,FALSE)+VLOOKUP("CP",$R$63:$T$91,3,FALSE),0)+IF(AND($Q21&lt;&gt;"",$Q21&lt;&gt;"--",$Q21&lt;&gt;"O3/CP",$Q$14=D$18),IF(LEFT($Q21,1)="P",VLOOKUP(CONCATENATE(LEFT($Q21,2),"H"),$R$63:$T$91,3,FALSE),VLOOKUP($Q21,$R$63:$T$91,3,FALSE)))+IF(AND($Q21&lt;&gt;"",$Q21&lt;&gt;"O3/CP",$Q$15=D$18,MID($Q21,4,1)="2",$Q$15&lt;&gt;$Q$14),VLOOKUP(CONCATENATE(LEFT($Q21,2),"L"),$R$63:$T$91,3,FALSE),0)+IF(AND($Q21="O3/CP",$Q$14=D$18),VLOOKUP("O3",$R$63:$T$91,3,FALSE)+VLOOKUP("CP",$R$63:$T$91,3,FALSE),0)+IF(AND($R21&lt;&gt;"",$R21&lt;&gt;"--",$R21&lt;&gt;"O3/CP",$R$14=D$18),IF(LEFT($R21,1)="P",VLOOKUP(CONCATENATE(LEFT($R21,2),"H"),$R$63:$T$91,3,FALSE),VLOOKUP($R21,$R$63:$T$91,3,FALSE)))+IF(AND($R21&lt;&gt;"",$R21&lt;&gt;"O3/CP",$R$15=D$18,MID($R21,4,1)="2",$R$15&lt;&gt;$R$14),VLOOKUP(CONCATENATE(LEFT($R21,2),"L"),$R$63:$T$91,3,FALSE),0)+IF(AND($R21="O3/CP",$R$14=D$18),VLOOKUP("O3",$R$63:$T$91,3,FALSE)+VLOOKUP("CP",$R$63:$T$91,3,FALSE),0)+IF(AND($S21&lt;&gt;"",$S21&lt;&gt;"--",$S21&lt;&gt;"O3/CP",$S$14=D$18),IF(LEFT($S21,1)="P",VLOOKUP(CONCATENATE(LEFT($S21,2),"H"),$R$63:$T$91,3,FALSE),VLOOKUP($S21,$R$63:$T$91,3,FALSE)))+IF(AND($S21&lt;&gt;"",$S21&lt;&gt;"O3/CP",$S$15=D$18,MID($S21,4,1)="2",$S$15&lt;&gt;$S$14),VLOOKUP(CONCATENATE(LEFT($S21,2),"L"),$R$63:$T$91,3,FALSE),0)+IF(AND($S21="O3/CP",$S$14=D$18),VLOOKUP("O3",$R$63:$T$91,3,FALSE)+VLOOKUP("CP",$R$63:$T$91,3,FALSE),0)+IF(AND($T21&lt;&gt;"",$T21&lt;&gt;"--",$T21&lt;&gt;"O3/CP",$T$14=D$18),IF(LEFT($T21,1)="P",VLOOKUP(CONCATENATE(LEFT($T21,2),"H"),$R$63:$T$91,3,FALSE),VLOOKUP($T21,$R$63:$T$91,3,FALSE)))+IF(AND($T21&lt;&gt;"",$T21&lt;&gt;"O3/CP",$T$15=D$18,MID($T21,4,1)="2",$T$15&lt;&gt;$T$14),VLOOKUP(CONCATENATE(LEFT($T21,2),"L"),$R$63:$T$91,3,FALSE),0)+IF(AND($T21="O3/CP",$T$14=D$18),VLOOKUP("O3",$R$63:$T$91,3,FALSE)+VLOOKUP("CP",$R$63:$T$91,3,FALSE),0)+IF(AND($U21&lt;&gt;"",$U21&lt;&gt;"--",$U21&lt;&gt;"O3/CP",$U$14=D$18),IF(LEFT($U21,1)="P",VLOOKUP(CONCATENATE(LEFT($U21,2),"H"),$R$63:$T$91,3,FALSE),VLOOKUP($U21,$R$63:$T$91,3,FALSE)))+IF(AND($U21&lt;&gt;"",$U21&lt;&gt;"O3/CP",$U$15=D$18,MID($U21,4,1)="2",$U$15&lt;&gt;$U$14),VLOOKUP(CONCATENATE(LEFT($U21,2),"L"),$R$63:$T$91,3,FALSE),0)+IF(AND($U21="O3/CP",$T$14=D$18),VLOOKUP("O3",$R$63:$T$91,3,FALSE)+VLOOKUP("CP",$R$63:$T$91,3,FALSE),0)+IF(AND($V21&lt;&gt;"",$V21&lt;&gt;"--",$V21&lt;&gt;"O3/CP",$V$14=D$18),IF(LEFT($V21,1)="P",VLOOKUP(CONCATENATE(LEFT($V21,2),"H"),$R$63:$T$91,3,FALSE),VLOOKUP($V21,$R$63:$T$91,3,FALSE)))+IF(AND($V21&lt;&gt;"",$V21&lt;&gt;"O3/CP",$V$15=D$18,MID($V21,4,1)="2",$V$15&lt;&gt;$V$14),VLOOKUP(CONCATENATE(LEFT($V21,2),"L"),$R$63:$T$91,3,FALSE),0)+IF(AND($V21="O3/CP",$V$14=D$18),VLOOKUP("O3",$R$63:$T$91,3,FALSE)+VLOOKUP("CP",$R$63:$T$91,3,FALSE),0)+IF(AND($W21&lt;&gt;"",$W21&lt;&gt;"--",$W21&lt;&gt;"O3/CP",$W$14=D$18),IF(LEFT($W21,1)="P",VLOOKUP(CONCATENATE(LEFT($W21,2),"H"),$R$63:$T$91,3,FALSE),VLOOKUP($W21,$R$63:$T$91,3,FALSE)))+IF(AND($W21&lt;&gt;"",$W21&lt;&gt;"O3/CP",$W$15=D$18,MID($W21,4,1)="2",$W$15&lt;&gt;$W$14),VLOOKUP(CONCATENATE(LEFT($W21,2),"L"),$R$63:$T$91,3,FALSE),0)+IF(AND($W21="O3/CP",$W$14=D$18),VLOOKUP("O3",$R$63:$T$91,3,FALSE)+VLOOKUP("CP",$R$63:$T$91,3,FALSE),0)+IF(AND($X21&lt;&gt;"",$X21&lt;&gt;"--",$X21&lt;&gt;"O3/CP",$X$14=D$18),IF(LEFT($X21,1)="P",VLOOKUP(CONCATENATE(LEFT($X21,2),"H"),$R$63:$T$91,3,FALSE),VLOOKUP($X21,$R$63:$T$91,3,FALSE)))+IF(AND($X21&lt;&gt;"",$X21&lt;&gt;"O3/CP",$X$15=D$18,MID($X21,4,1)="2",$X$15&lt;&gt;$X$14),VLOOKUP(CONCATENATE(LEFT($X21,2),"L"),$R$63:$T$91,3,FALSE),0)+IF(AND($X21="O3/CP",$X$14=D$18),VLOOKUP("O3",$R$63:$T$91,3,FALSE)+VLOOKUP("CP",$R$63:$T$91,3,FALSE),0)+IF(AND($Y21&lt;&gt;"",$Y21&lt;&gt;"--",$Y21&lt;&gt;"O3/CP",$Y$14=D$18),IF(LEFT($Y21,1)="P",VLOOKUP(CONCATENATE(LEFT($Y21,2),"H"),$R$63:$T$91,3,FALSE),VLOOKUP($Y21,$R$63:$T$91,3,FALSE)))+IF(AND($Y21&lt;&gt;"",$Y21&lt;&gt;"O3/CP",$Y$15=D$18,MID($Y21,4,1)="2",$Y$15&lt;&gt;$Y$14),VLOOKUP(CONCATENATE(LEFT($Y21,2),"L"),$R$63:$T$91,3,FALSE),0)+IF(AND($Y21="O3/CP",$Y$14=D$18),VLOOKUP("O3",$R$63:$T$91,3,FALSE)+VLOOKUP("CP",$R$63:$T$91,3,FALSE),0)+IF(AND($K$6="CE",'[3]Supply Attribution'!$G$20=D$18),LEFT($S$90,2),0)+IF(AND($X$86&lt;&gt;"Not Set",$X$87=D$18),$X$86,0)</f>
        <v>0</v>
      </c>
      <c r="E21" s="271">
        <f>IF(AND($K21&lt;&gt;"",$K21&lt;&gt;"--",$K21&lt;&gt;"O3/CP",$K$14=E$18),IF(LEFT($K21,1)="P",VLOOKUP(CONCATENATE(LEFT($K21,2),"H"),$R$63:$T$91,3,FALSE),VLOOKUP($K21,$R$63:$T$91,3,FALSE)))+IF(AND($K21&lt;&gt;"",$K21&lt;&gt;"O3/CP",$K$15=E$18,MID($K21,4,1)="2",$K$15&lt;&gt;$K$14),VLOOKUP(CONCATENATE(LEFT($K21,2),"L"),$R$63:$T$91,3,FALSE),0)+IF(AND($K21="O3/CP",$K$14=E$18),VLOOKUP("O3",$R$63:$T$91,3,FALSE)+VLOOKUP("CP",$R$63:$T$91,3,FALSE),0)+IF(AND($L21&lt;&gt;"",$L21&lt;&gt;"--",$L21&lt;&gt;"O3/CP",$L$14=E$18),IF(LEFT($L21,1)="P",VLOOKUP(CONCATENATE(LEFT($L21,2),"H"),$R$63:$T$91,3,FALSE),VLOOKUP($L21,$R$63:$T$91,3,FALSE)))+IF(AND($L21&lt;&gt;"",$L21&lt;&gt;"O3/CP",$L$15=E$18,MID($L21,4,1)="2",$L$15&lt;&gt;$L$14),VLOOKUP(CONCATENATE(LEFT($L21,2),"L"),$R$63:$T$91,3,FALSE),0)+IF(AND($L21="O3/CP",$L$14=E$18),VLOOKUP("O3",$R$63:$T$91,3,FALSE)+VLOOKUP("CP",$R$63:$T$91,3,FALSE),0)+IF(AND($M21&lt;&gt;"",$M21&lt;&gt;"--",$M21&lt;&gt;"O3/CP",$M$14=E$18),IF(LEFT($M21,1)="P",VLOOKUP(CONCATENATE(LEFT($M21,2),"H"),$R$63:$T$91,3,FALSE),VLOOKUP($M21,$R$63:$T$91,3,FALSE)))+IF(AND($M21&lt;&gt;"",$M21&lt;&gt;"O3/CP",$M$15=E$18,MID($M21,4,1)="2",$M$15&lt;&gt;$M$14),VLOOKUP(CONCATENATE(LEFT($M21,2),"L"),$R$63:$T$91,3,FALSE),0)+IF(AND($M21="O3/CP",$M$14=E$18),VLOOKUP("O3",$R$63:$T$91,3,FALSE)+VLOOKUP("CP",$R$63:$T$91,3,FALSE),0)+IF(AND($N21&lt;&gt;"",$N21&lt;&gt;"--",$N21&lt;&gt;"O3/CP",$N$14=E$18),IF(LEFT($N21,1)="P",VLOOKUP(CONCATENATE(LEFT($N21,2),"H"),$R$63:$T$91,3,FALSE),VLOOKUP($N21,$R$63:$T$91,3,FALSE)))+IF(AND($N21&lt;&gt;"",$N21&lt;&gt;"O3/CP",$N$15=E$18,MID($N21,4,1)="2",$N$15&lt;&gt;$N$14),VLOOKUP(CONCATENATE(LEFT($N21,2),"L"),$R$63:$T$91,3,FALSE),0)+IF(AND($N21="O3/CP",$N$14=E$18),VLOOKUP("O3",$R$63:$T$91,3,FALSE)+VLOOKUP("CP",$R$63:$T$91,3,FALSE),0)+IF(AND($O21&lt;&gt;"",$O21&lt;&gt;"--",$O21&lt;&gt;"O3/CP",$O$14=E$18),IF(LEFT($O21,1)="P",VLOOKUP(CONCATENATE(LEFT($O21,2),"H"),$R$63:$T$91,3,FALSE),VLOOKUP($O21,$R$63:$T$91,3,FALSE)))+IF(AND($O21&lt;&gt;"",$O21&lt;&gt;"O3/CP",$O$15=E$18,MID($O21,4,1)="2",$O$15&lt;&gt;$O$14),VLOOKUP(CONCATENATE(LEFT($O21,2),"L"),$R$63:$T$91,3,FALSE),0)+IF(AND($O21="O3/CP",$O$14=E$18),VLOOKUP("O3",$R$63:$T$91,3,FALSE)+VLOOKUP("CP",$R$63:$T$91,3,FALSE),0)+IF(AND($P21&lt;&gt;"",$P21&lt;&gt;"--",$P21&lt;&gt;"O3/CP",$P$14=E$18),IF(LEFT($P21,1)="P",VLOOKUP(CONCATENATE(LEFT($P21,2),"H"),$R$63:$T$91,3,FALSE),VLOOKUP($P21,$R$63:$T$91,3,FALSE)))+IF(AND($P21&lt;&gt;"",$P21&lt;&gt;"O3/CP",$P$15=E$18,MID($P21,4,1)="2",$P$15&lt;&gt;$P$14),VLOOKUP(CONCATENATE(LEFT($P21,2),"L"),$R$63:$T$91,3,FALSE),0)+IF(AND($P21="O3/CP",$P$14=E$18),VLOOKUP("O3",$R$63:$T$91,3,FALSE)+VLOOKUP("CP",$R$63:$T$91,3,FALSE),0)+IF(AND($Q21&lt;&gt;"",$Q21&lt;&gt;"--",$Q21&lt;&gt;"O3/CP",$Q$14=E$18),IF(LEFT($Q21,1)="P",VLOOKUP(CONCATENATE(LEFT($Q21,2),"H"),$R$63:$T$91,3,FALSE),VLOOKUP($Q21,$R$63:$T$91,3,FALSE)))+IF(AND($Q21&lt;&gt;"",$Q21&lt;&gt;"O3/CP",$Q$15=E$18,MID($Q21,4,1)="2",$Q$15&lt;&gt;$Q$14),VLOOKUP(CONCATENATE(LEFT($Q21,2),"L"),$R$63:$T$91,3,FALSE),0)+IF(AND($Q21="O3/CP",$Q$14=E$18),VLOOKUP("O3",$R$63:$T$91,3,FALSE)+VLOOKUP("CP",$R$63:$T$91,3,FALSE),0)+IF(AND($R21&lt;&gt;"",$R21&lt;&gt;"--",$R21&lt;&gt;"O3/CP",$R$14=E$18),IF(LEFT($R21,1)="P",VLOOKUP(CONCATENATE(LEFT($R21,2),"H"),$R$63:$T$91,3,FALSE),VLOOKUP($R21,$R$63:$T$91,3,FALSE)))+IF(AND($R21&lt;&gt;"",$R21&lt;&gt;"O3/CP",$R$15=E$18,MID($R21,4,1)="2",$R$15&lt;&gt;$R$14),VLOOKUP(CONCATENATE(LEFT($R21,2),"L"),$R$63:$T$91,3,FALSE),0)+IF(AND($R21="O3/CP",$R$14=E$18),VLOOKUP("O3",$R$63:$T$91,3,FALSE)+VLOOKUP("CP",$R$63:$T$91,3,FALSE),0)+IF(AND($S21&lt;&gt;"",$S21&lt;&gt;"--",$S21&lt;&gt;"O3/CP",$S$14=E$18),IF(LEFT($S21,1)="P",VLOOKUP(CONCATENATE(LEFT($S21,2),"H"),$R$63:$T$91,3,FALSE),VLOOKUP($S21,$R$63:$T$91,3,FALSE)))+IF(AND($S21&lt;&gt;"",$S21&lt;&gt;"O3/CP",$S$15=E$18,MID($S21,4,1)="2",$S$15&lt;&gt;$S$14),VLOOKUP(CONCATENATE(LEFT($S21,2),"L"),$R$63:$T$91,3,FALSE),0)+IF(AND($S21="O3/CP",$S$14=E$18),VLOOKUP("O3",$R$63:$T$91,3,FALSE)+VLOOKUP("CP",$R$63:$T$91,3,FALSE),0)+IF(AND($T21&lt;&gt;"",$T21&lt;&gt;"--",$T21&lt;&gt;"O3/CP",$T$14=E$18),IF(LEFT($T21,1)="P",VLOOKUP(CONCATENATE(LEFT($T21,2),"H"),$R$63:$T$91,3,FALSE),VLOOKUP($T21,$R$63:$T$91,3,FALSE)))+IF(AND($T21&lt;&gt;"",$T21&lt;&gt;"O3/CP",$T$15=E$18,MID($T21,4,1)="2",$T$15&lt;&gt;$T$14),VLOOKUP(CONCATENATE(LEFT($T21,2),"L"),$R$63:$T$91,3,FALSE),0)+IF(AND($T21="O3/CP",$T$14=E$18),VLOOKUP("O3",$R$63:$T$91,3,FALSE)+VLOOKUP("CP",$R$63:$T$91,3,FALSE),0)+IF(AND($U21&lt;&gt;"",$U21&lt;&gt;"--",$U21&lt;&gt;"O3/CP",$U$14=E$18),IF(LEFT($U21,1)="P",VLOOKUP(CONCATENATE(LEFT($U21,2),"H"),$R$63:$T$91,3,FALSE),VLOOKUP($U21,$R$63:$T$91,3,FALSE)))+IF(AND($U21&lt;&gt;"",$U21&lt;&gt;"O3/CP",$U$15=E$18,MID($U21,4,1)="2",$U$15&lt;&gt;$U$14),VLOOKUP(CONCATENATE(LEFT($U21,2),"L"),$R$63:$T$91,3,FALSE),0)+IF(AND($U21="O3/CP",$T$14=E$18),VLOOKUP("O3",$R$63:$T$91,3,FALSE)+VLOOKUP("CP",$R$63:$T$91,3,FALSE),0)+IF(AND($V21&lt;&gt;"",$V21&lt;&gt;"--",$V21&lt;&gt;"O3/CP",$V$14=E$18),IF(LEFT($V21,1)="P",VLOOKUP(CONCATENATE(LEFT($V21,2),"H"),$R$63:$T$91,3,FALSE),VLOOKUP($V21,$R$63:$T$91,3,FALSE)))+IF(AND($V21&lt;&gt;"",$V21&lt;&gt;"O3/CP",$V$15=E$18,MID($V21,4,1)="2",$V$15&lt;&gt;$V$14),VLOOKUP(CONCATENATE(LEFT($V21,2),"L"),$R$63:$T$91,3,FALSE),0)+IF(AND($V21="O3/CP",$V$14=E$18),VLOOKUP("O3",$R$63:$T$91,3,FALSE)+VLOOKUP("CP",$R$63:$T$91,3,FALSE),0)+IF(AND($W21&lt;&gt;"",$W21&lt;&gt;"--",$W21&lt;&gt;"O3/CP",$W$14=E$18),IF(LEFT($W21,1)="P",VLOOKUP(CONCATENATE(LEFT($W21,2),"H"),$R$63:$T$91,3,FALSE),VLOOKUP($W21,$R$63:$T$91,3,FALSE)))+IF(AND($W21&lt;&gt;"",$W21&lt;&gt;"O3/CP",$W$15=E$18,MID($W21,4,1)="2",$W$15&lt;&gt;$W$14),VLOOKUP(CONCATENATE(LEFT($W21,2),"L"),$R$63:$T$91,3,FALSE),0)+IF(AND($W21="O3/CP",$W$14=E$18),VLOOKUP("O3",$R$63:$T$91,3,FALSE)+VLOOKUP("CP",$R$63:$T$91,3,FALSE),0)+IF(AND($X21&lt;&gt;"",$X21&lt;&gt;"--",$X21&lt;&gt;"O3/CP",$X$14=E$18),IF(LEFT($X21,1)="P",VLOOKUP(CONCATENATE(LEFT($X21,2),"H"),$R$63:$T$91,3,FALSE),VLOOKUP($X21,$R$63:$T$91,3,FALSE)))+IF(AND($X21&lt;&gt;"",$X21&lt;&gt;"O3/CP",$X$15=E$18,MID($X21,4,1)="2",$X$15&lt;&gt;$X$14),VLOOKUP(CONCATENATE(LEFT($X21,2),"L"),$R$63:$T$91,3,FALSE),0)+IF(AND($X21="O3/CP",$X$14=E$18),VLOOKUP("O3",$R$63:$T$91,3,FALSE)+VLOOKUP("CP",$R$63:$T$91,3,FALSE),0)+IF(AND($Y21&lt;&gt;"",$Y21&lt;&gt;"--",$Y21&lt;&gt;"O3/CP",$Y$14=E$18),IF(LEFT($Y21,1)="P",VLOOKUP(CONCATENATE(LEFT($Y21,2),"H"),$R$63:$T$91,3,FALSE),VLOOKUP($Y21,$R$63:$T$91,3,FALSE)))+IF(AND($Y21&lt;&gt;"",$Y21&lt;&gt;"O3/CP",$Y$15=E$18,MID($Y21,4,1)="2",$Y$15&lt;&gt;$Y$14),VLOOKUP(CONCATENATE(LEFT($Y21,2),"L"),$R$63:$T$91,3,FALSE),0)+IF(AND($Y21="O3/CP",$Y$14=E$18),VLOOKUP("O3",$R$63:$T$91,3,FALSE)+VLOOKUP("CP",$R$63:$T$91,3,FALSE),0)+IF(AND($K$6="CE",'[3]Supply Attribution'!$G$20=E$18),LEFT($S$90,2),0)+IF(AND($X$86&lt;&gt;"Not Set",$X$87=E$18),$X$86,0)</f>
        <v>0</v>
      </c>
      <c r="F21" s="272">
        <f>IF(AND($K21&lt;&gt;"",$K21&lt;&gt;"--",$K21&lt;&gt;"O3/CP",$K$14=F$18),IF(LEFT($K21,1)="P",VLOOKUP(CONCATENATE(LEFT($K21,2),"H"),$R$63:$T$91,3,FALSE),VLOOKUP($K21,$R$63:$T$91,3,FALSE)))+IF(AND($K21&lt;&gt;"",$K21&lt;&gt;"O3/CP",$K$15=F$18,MID($K21,4,1)="2",$K$15&lt;&gt;$K$14),VLOOKUP(CONCATENATE(LEFT($K21,2),"L"),$R$63:$T$91,3,FALSE),0)+IF(AND($K21="O3/CP",$K$14=F$18),VLOOKUP("O3",$R$63:$T$91,3,FALSE)+VLOOKUP("CP",$R$63:$T$91,3,FALSE),0)+IF(AND($L21&lt;&gt;"",$L21&lt;&gt;"--",$L21&lt;&gt;"O3/CP",$L$14=F$18),IF(LEFT($L21,1)="P",VLOOKUP(CONCATENATE(LEFT($L21,2),"H"),$R$63:$T$91,3,FALSE),VLOOKUP($L21,$R$63:$T$91,3,FALSE)))+IF(AND($L21&lt;&gt;"",$L21&lt;&gt;"O3/CP",$L$15=F$18,MID($L21,4,1)="2",$L$15&lt;&gt;$L$14),VLOOKUP(CONCATENATE(LEFT($L21,2),"L"),$R$63:$T$91,3,FALSE),0)+IF(AND($L21="O3/CP",$L$14=F$18),VLOOKUP("O3",$R$63:$T$91,3,FALSE)+VLOOKUP("CP",$R$63:$T$91,3,FALSE),0)+IF(AND($M21&lt;&gt;"",$M21&lt;&gt;"--",$M21&lt;&gt;"O3/CP",$M$14=F$18),IF(LEFT($M21,1)="P",VLOOKUP(CONCATENATE(LEFT($M21,2),"H"),$R$63:$T$91,3,FALSE),VLOOKUP($M21,$R$63:$T$91,3,FALSE)))+IF(AND($M21&lt;&gt;"",$M21&lt;&gt;"O3/CP",$M$15=F$18,MID($M21,4,1)="2",$M$15&lt;&gt;$M$14),VLOOKUP(CONCATENATE(LEFT($M21,2),"L"),$R$63:$T$91,3,FALSE),0)+IF(AND($M21="O3/CP",$M$14=F$18),VLOOKUP("O3",$R$63:$T$91,3,FALSE)+VLOOKUP("CP",$R$63:$T$91,3,FALSE),0)+IF(AND($N21&lt;&gt;"",$N21&lt;&gt;"--",$N21&lt;&gt;"O3/CP",$N$14=F$18),IF(LEFT($N21,1)="P",VLOOKUP(CONCATENATE(LEFT($N21,2),"H"),$R$63:$T$91,3,FALSE),VLOOKUP($N21,$R$63:$T$91,3,FALSE)))+IF(AND($N21&lt;&gt;"",$N21&lt;&gt;"O3/CP",$N$15=F$18,MID($N21,4,1)="2",$N$15&lt;&gt;$N$14),VLOOKUP(CONCATENATE(LEFT($N21,2),"L"),$R$63:$T$91,3,FALSE),0)+IF(AND($N21="O3/CP",$N$14=F$18),VLOOKUP("O3",$R$63:$T$91,3,FALSE)+VLOOKUP("CP",$R$63:$T$91,3,FALSE),0)+IF(AND($O21&lt;&gt;"",$O21&lt;&gt;"--",$O21&lt;&gt;"O3/CP",$O$14=F$18),IF(LEFT($O21,1)="P",VLOOKUP(CONCATENATE(LEFT($O21,2),"H"),$R$63:$T$91,3,FALSE),VLOOKUP($O21,$R$63:$T$91,3,FALSE)))+IF(AND($O21&lt;&gt;"",$O21&lt;&gt;"O3/CP",$O$15=F$18,MID($O21,4,1)="2",$O$15&lt;&gt;$O$14),VLOOKUP(CONCATENATE(LEFT($O21,2),"L"),$R$63:$T$91,3,FALSE),0)+IF(AND($O21="O3/CP",$O$14=F$18),VLOOKUP("O3",$R$63:$T$91,3,FALSE)+VLOOKUP("CP",$R$63:$T$91,3,FALSE),0)+IF(AND($P21&lt;&gt;"",$P21&lt;&gt;"--",$P21&lt;&gt;"O3/CP",$P$14=F$18),IF(LEFT($P21,1)="P",VLOOKUP(CONCATENATE(LEFT($P21,2),"H"),$R$63:$T$91,3,FALSE),VLOOKUP($P21,$R$63:$T$91,3,FALSE)))+IF(AND($P21&lt;&gt;"",$P21&lt;&gt;"O3/CP",$P$15=F$18,MID($P21,4,1)="2",$P$15&lt;&gt;$P$14),VLOOKUP(CONCATENATE(LEFT($P21,2),"L"),$R$63:$T$91,3,FALSE),0)+IF(AND($P21="O3/CP",$P$14=F$18),VLOOKUP("O3",$R$63:$T$91,3,FALSE)+VLOOKUP("CP",$R$63:$T$91,3,FALSE),0)+IF(AND($Q21&lt;&gt;"",$Q21&lt;&gt;"--",$Q21&lt;&gt;"O3/CP",$Q$14=F$18),IF(LEFT($Q21,1)="P",VLOOKUP(CONCATENATE(LEFT($Q21,2),"H"),$R$63:$T$91,3,FALSE),VLOOKUP($Q21,$R$63:$T$91,3,FALSE)))+IF(AND($Q21&lt;&gt;"",$Q21&lt;&gt;"O3/CP",$Q$15=F$18,MID($Q21,4,1)="2",$Q$15&lt;&gt;$Q$14),VLOOKUP(CONCATENATE(LEFT($Q21,2),"L"),$R$63:$T$91,3,FALSE),0)+IF(AND($Q21="O3/CP",$Q$14=F$18),VLOOKUP("O3",$R$63:$T$91,3,FALSE)+VLOOKUP("CP",$R$63:$T$91,3,FALSE),0)+IF(AND($R21&lt;&gt;"",$R21&lt;&gt;"--",$R21&lt;&gt;"O3/CP",$R$14=F$18),IF(LEFT($R21,1)="P",VLOOKUP(CONCATENATE(LEFT($R21,2),"H"),$R$63:$T$91,3,FALSE),VLOOKUP($R21,$R$63:$T$91,3,FALSE)))+IF(AND($R21&lt;&gt;"",$R21&lt;&gt;"O3/CP",$R$15=F$18,MID($R21,4,1)="2",$R$15&lt;&gt;$R$14),VLOOKUP(CONCATENATE(LEFT($R21,2),"L"),$R$63:$T$91,3,FALSE),0)+IF(AND($R21="O3/CP",$R$14=F$18),VLOOKUP("O3",$R$63:$T$91,3,FALSE)+VLOOKUP("CP",$R$63:$T$91,3,FALSE),0)+IF(AND($S21&lt;&gt;"",$S21&lt;&gt;"--",$S21&lt;&gt;"O3/CP",$S$14=F$18),IF(LEFT($S21,1)="P",VLOOKUP(CONCATENATE(LEFT($S21,2),"H"),$R$63:$T$91,3,FALSE),VLOOKUP($S21,$R$63:$T$91,3,FALSE)))+IF(AND($S21&lt;&gt;"",$S21&lt;&gt;"O3/CP",$S$15=F$18,MID($S21,4,1)="2",$S$15&lt;&gt;$S$14),VLOOKUP(CONCATENATE(LEFT($S21,2),"L"),$R$63:$T$91,3,FALSE),0)+IF(AND($S21="O3/CP",$S$14=F$18),VLOOKUP("O3",$R$63:$T$91,3,FALSE)+VLOOKUP("CP",$R$63:$T$91,3,FALSE),0)+IF(AND($T21&lt;&gt;"",$T21&lt;&gt;"--",$T21&lt;&gt;"O3/CP",$T$14=F$18),IF(LEFT($T21,1)="P",VLOOKUP(CONCATENATE(LEFT($T21,2),"H"),$R$63:$T$91,3,FALSE),VLOOKUP($T21,$R$63:$T$91,3,FALSE)))+IF(AND($T21&lt;&gt;"",$T21&lt;&gt;"O3/CP",$T$15=F$18,MID($T21,4,1)="2",$T$15&lt;&gt;$T$14),VLOOKUP(CONCATENATE(LEFT($T21,2),"L"),$R$63:$T$91,3,FALSE),0)+IF(AND($T21="O3/CP",$T$14=F$18),VLOOKUP("O3",$R$63:$T$91,3,FALSE)+VLOOKUP("CP",$R$63:$T$91,3,FALSE),0)+IF(AND($U21&lt;&gt;"",$U21&lt;&gt;"--",$U21&lt;&gt;"O3/CP",$U$14=F$18),IF(LEFT($U21,1)="P",VLOOKUP(CONCATENATE(LEFT($U21,2),"H"),$R$63:$T$91,3,FALSE),VLOOKUP($U21,$R$63:$T$91,3,FALSE)))+IF(AND($U21&lt;&gt;"",$U21&lt;&gt;"O3/CP",$U$15=F$18,MID($U21,4,1)="2",$U$15&lt;&gt;$U$14),VLOOKUP(CONCATENATE(LEFT($U21,2),"L"),$R$63:$T$91,3,FALSE),0)+IF(AND($U21="O3/CP",$T$14=F$18),VLOOKUP("O3",$R$63:$T$91,3,FALSE)+VLOOKUP("CP",$R$63:$T$91,3,FALSE),0)+IF(AND($V21&lt;&gt;"",$V21&lt;&gt;"--",$V21&lt;&gt;"O3/CP",$V$14=F$18),IF(LEFT($V21,1)="P",VLOOKUP(CONCATENATE(LEFT($V21,2),"H"),$R$63:$T$91,3,FALSE),VLOOKUP($V21,$R$63:$T$91,3,FALSE)))+IF(AND($V21&lt;&gt;"",$V21&lt;&gt;"O3/CP",$V$15=F$18,MID($V21,4,1)="2",$V$15&lt;&gt;$V$14),VLOOKUP(CONCATENATE(LEFT($V21,2),"L"),$R$63:$T$91,3,FALSE),0)+IF(AND($V21="O3/CP",$V$14=F$18),VLOOKUP("O3",$R$63:$T$91,3,FALSE)+VLOOKUP("CP",$R$63:$T$91,3,FALSE),0)+IF(AND($W21&lt;&gt;"",$W21&lt;&gt;"--",$W21&lt;&gt;"O3/CP",$W$14=F$18),IF(LEFT($W21,1)="P",VLOOKUP(CONCATENATE(LEFT($W21,2),"H"),$R$63:$T$91,3,FALSE),VLOOKUP($W21,$R$63:$T$91,3,FALSE)))+IF(AND($W21&lt;&gt;"",$W21&lt;&gt;"O3/CP",$W$15=F$18,MID($W21,4,1)="2",$W$15&lt;&gt;$W$14),VLOOKUP(CONCATENATE(LEFT($W21,2),"L"),$R$63:$T$91,3,FALSE),0)+IF(AND($W21="O3/CP",$W$14=F$18),VLOOKUP("O3",$R$63:$T$91,3,FALSE)+VLOOKUP("CP",$R$63:$T$91,3,FALSE),0)+IF(AND($X21&lt;&gt;"",$X21&lt;&gt;"--",$X21&lt;&gt;"O3/CP",$X$14=F$18),IF(LEFT($X21,1)="P",VLOOKUP(CONCATENATE(LEFT($X21,2),"H"),$R$63:$T$91,3,FALSE),VLOOKUP($X21,$R$63:$T$91,3,FALSE)))+IF(AND($X21&lt;&gt;"",$X21&lt;&gt;"O3/CP",$X$15=F$18,MID($X21,4,1)="2",$X$15&lt;&gt;$X$14),VLOOKUP(CONCATENATE(LEFT($X21,2),"L"),$R$63:$T$91,3,FALSE),0)+IF(AND($X21="O3/CP",$X$14=F$18),VLOOKUP("O3",$R$63:$T$91,3,FALSE)+VLOOKUP("CP",$R$63:$T$91,3,FALSE),0)+IF(AND($Y21&lt;&gt;"",$Y21&lt;&gt;"--",$Y21&lt;&gt;"O3/CP",$Y$14=F$18),IF(LEFT($Y21,1)="P",VLOOKUP(CONCATENATE(LEFT($Y21,2),"H"),$R$63:$T$91,3,FALSE),VLOOKUP($Y21,$R$63:$T$91,3,FALSE)))+IF(AND($Y21&lt;&gt;"",$Y21&lt;&gt;"O3/CP",$Y$15=F$18,MID($Y21,4,1)="2",$Y$15&lt;&gt;$Y$14),VLOOKUP(CONCATENATE(LEFT($Y21,2),"L"),$R$63:$T$91,3,FALSE),0)+IF(AND($Y21="O3/CP",$Y$14=F$18),VLOOKUP("O3",$R$63:$T$91,3,FALSE)+VLOOKUP("CP",$R$63:$T$91,3,FALSE),0)+IF(AND($K$6="CE",'[3]Supply Attribution'!$G$20=F$18),LEFT($S$90,2),0)+IF(AND($X$86&lt;&gt;"Not Set",$X$87=F$18),$X$86,0)</f>
        <v>0</v>
      </c>
      <c r="G21" s="271">
        <f>IF(AND($K$6="CE",$T$59="1 Phase"),SUM(A21:F21)-IF(AND($K$14&lt;&gt;$K$15,RIGHT($K21,3)="2SP"),VLOOKUP(CONCATENATE(LEFT($K21,2),"L"),$R$63:$T$90,3,FALSE),0)-IF(AND($L$14&lt;&gt;$L$15,RIGHT($L21,3)="2SP"),VLOOKUP(CONCATENATE(LEFT($L21,2),"L"),$R$63:$T$90,3,FALSE),0)-IF(AND($M$14&lt;&gt;$M$15,RIGHT($M21,3)="2SP"),VLOOKUP(CONCATENATE(LEFT($M21,2),"L"),$R$63:$T$90,3,FALSE),0)-IF(AND($N$14&lt;&gt;$N$15,RIGHT($N21,3)="2SP"),VLOOKUP(CONCATENATE(LEFT($N21,2),"L"),$R$63:$T$90,3,FALSE),0)-IF(AND($O$14&lt;&gt;$O$15,RIGHT($O21,3)="2SP"),VLOOKUP(CONCATENATE(LEFT($O21,2),"L"),$R$63:$T$90,3,FALSE),0)-IF(AND($P$14&lt;&gt;$P$15,RIGHT($P21,3)="2SP"),VLOOKUP(CONCATENATE(LEFT($P21,2),"L"),$R$63:$T$90,3,FALSE),0)-IF(AND($Q$14&lt;&gt;$Q$15,RIGHT($Q21,3)="2SP"),VLOOKUP(CONCATENATE(LEFT($Q21,2),"L"),$R$63:$T$90,3,FALSE),0)-IF(AND($R$14&lt;&gt;$R$15,RIGHT($T21,3)="2SP"),VLOOKUP(CONCATENATE(LEFT($R21,2),"L"),$R$63:$T$90,3,FALSE),0)-IF(AND($S$14&lt;&gt;$S$15,RIGHT($T21,3)="2SP"),VLOOKUP(CONCATENATE(LEFT($S21,2),"L"),$R$63:$T$90,3,FALSE),0)-IF(AND($T$14&lt;&gt;$T$15,RIGHT($T21,3)="2SP"),VLOOKUP(CONCATENATE(LEFT($T21,2),"L"),$R$63:$T$90,3,FALSE),0)-IF(AND($U$14&lt;&gt;$U$15,RIGHT($U21,3)="2SP"),VLOOKUP(CONCATENATE(LEFT($U21,2),"L"),$R$63:$T$90,3,FALSE),0)-IF(AND($V$14&lt;&gt;$V$15,RIGHT($V21,3)="2SP"),VLOOKUP(CONCATENATE(LEFT($V21,2),"L"),$R$63:$T$90,3,FALSE),0)-IF(AND($W$14&lt;&gt;$W$15,RIGHT($W21,3)="2SP"),VLOOKUP(CONCATENATE(LEFT($W21,2),"L"),$R$63:$T$90,3,FALSE),0)-IF(AND($X$14&lt;&gt;$X$15,RIGHT($X21,3)="2SP"),VLOOKUP(CONCATENATE(LEFT($X21,2),"L"),$R$63:$T$90,3,FALSE),0)-IF(AND($Y$14&lt;&gt;$Y$15,RIGHT($Y21,3)="2SP"),VLOOKUP(CONCATENATE(LEFT($Y21,2),"L"),$R$63:$T$90,3,FALSE),0),IF(VLOOKUP(CONCATENATE($A$18,"Line"),'[3]Supply Attribution'!$F$31:$G$37,2,FALSE)=G$18,$A21,0)+IF(VLOOKUP(CONCATENATE($B$18,"Line"),'[3]Supply Attribution'!$F$31:$G$37,2,FALSE)=G$18,$B21,0)+IF(VLOOKUP(CONCATENATE($C$18,"Line"),'[3]Supply Attribution'!$F$31:$G$37,2,FALSE)=G$18,$C21,0)+IF(VLOOKUP(CONCATENATE($D$18,"Line"),'[3]Supply Attribution'!$F$31:$G$37,2,FALSE)=G$18,$D21,0)+IF(VLOOKUP(CONCATENATE($E$18,"Line"),'[3]Supply Attribution'!$F$31:$G$37,2,FALSE)=G$18,$E21,0)+IF(VLOOKUP(CONCATENATE($F$18,"Line"),'[3]Supply Attribution'!$F$31:$G$37,2,FALSE)=G$18,$F21,0)+IF($K$6="UL",LEFT($S$90,2),0)-IF(AND($K$16=G$18,$K$14&lt;&gt;$K$15,$K$16=$K$17,RIGHT($K21,3)="2SP"),VLOOKUP(CONCATENATE(LEFT($K21,2),"L"),$R$63:$T$90,3,FALSE),0)-IF(AND($L$16=G$18,$L$14&lt;&gt;$L$15,$L$16=$L$17,RIGHT($L21,3)="2SP"),VLOOKUP(CONCATENATE(LEFT($L21,2),"L"),$R$63:$T$90,3,FALSE),0)-IF(AND($M$16=G$18,$M$14&lt;&gt;$M$15,$M$16=$M$17,RIGHT($M21,3)="2SP"),VLOOKUP(CONCATENATE(LEFT($M21,2),"L"),$R$63:$T$90,3,FALSE),0)-IF(AND($N$16=G$18,$N$14&lt;&gt;$N$15,$N$16=$N$17,RIGHT($N21,3)="2SP"),VLOOKUP(CONCATENATE(LEFT($N21,2),"L"),$R$63:$T$90,3,FALSE),0)-IF(AND($O$16=G$18,$O$14&lt;&gt;$O$15,$O$16=$O$17,RIGHT($O21,3)="2SP"),VLOOKUP(CONCATENATE(LEFT($O21,2),"L"),$R$63:$T$90,3,FALSE),0)-IF(AND($P$16=G$18,$P$14&lt;&gt;$P$15,$P$16=$P$17,RIGHT($P21,3)="2SP"),VLOOKUP(CONCATENATE(LEFT($P21,2),"L"),$R$63:$T$90,3,FALSE),0)-IF(AND($Q$16=G$18,$Q$14&lt;&gt;$Q$15,$Q$16=$Q$17,RIGHT($Q21,3)="2SP"),VLOOKUP(CONCATENATE(LEFT($Q21,2),"L"),$R$63:$T$90,3,FALSE),0)-IF(AND($R$16=G$18,$R$14&lt;&gt;$R$15,$R$16=$R$17,RIGHT($R21,3)="2SP"),VLOOKUP(CONCATENATE(LEFT($R21,2),"L"),$R$63:$T$90,3,FALSE),0)-IF(AND($S$16=G$18,$S$14&lt;&gt;$S$15,$S$16=$S$17,RIGHT($S21,3)="2SP"),VLOOKUP(CONCATENATE(LEFT($S21,2),"L"),$R$63:$T$90,3,FALSE),0)-IF(AND($T$16=G$18,$T$14&lt;&gt;$T$15,$T$16=$T$17,RIGHT($T21,3)="2SP"),VLOOKUP(CONCATENATE(LEFT($T21,2),"L"),$R$63:$T$90,3,FALSE),0)-IF(AND($U$16=G$18,$U$14&lt;&gt;$U$15,$U$16=$U$17,RIGHT($U21,3)="2SP"),VLOOKUP(CONCATENATE(LEFT($U21,2),"L"),$R$63:$T$90,3,FALSE),0)-IF(AND($V$16=G$18,$V$14&lt;&gt;$V$15,$V$16=$V$17,RIGHT($V21,3)="2SP"),VLOOKUP(CONCATENATE(LEFT($V21,2),"L"),$R$63:$T$90,3,FALSE),0)-IF(AND($W$16=G$18,$W$14&lt;&gt;$W$15,$W$16=$W$17,RIGHT($W21,3)="2SP"),VLOOKUP(CONCATENATE(LEFT($W21,2),"L"),$R$63:$T$90,3,FALSE),0)-IF(AND($X$16=G$18,$X$14&lt;&gt;$X$15,$X$16=$X$17,RIGHT($X21,3)="2SP"),VLOOKUP(CONCATENATE(LEFT($X21,2),"L"),$R$63:$T$90,3,FALSE),0)-IF(AND($Y$16=G$18,$Y$14&lt;&gt;$Y$15,$Y$16=$Y$17,RIGHT($Y21,3)="2SP"),VLOOKUP(CONCATENATE(LEFT($Y21,2),"L"),$R$63:$T$90,3,FALSE),0))</f>
        <v>46</v>
      </c>
      <c r="H21" s="271" t="str">
        <f>IF(H$18&lt;&gt;"",IF(VLOOKUP(CONCATENATE($A$18,"Line"),'Supply Attribution'!$F$31:$G$37,2,FALSE)=H$18,$A21,0)+IF(VLOOKUP(CONCATENATE($B$18,"Line"),'Supply Attribution'!$F$31:$G$37,2,FALSE)=H$18,$B21,0)+IF(VLOOKUP(CONCATENATE($C$18,"Line"),'Supply Attribution'!$F$31:$G$37,2,FALSE)=H$18,$C21,0)+IF(VLOOKUP(CONCATENATE($D$18,"Line"),'Supply Attribution'!$F$31:$G$37,2,FALSE)=H$18,$D21,0)+IF(VLOOKUP(CONCATENATE($E$18,"Line"),'Supply Attribution'!$F$31:$G$37,2,FALSE)=H$18,$E21,0)+IF(VLOOKUP(CONCATENATE($F$18,"Line"),'Supply Attribution'!$F$31:$G$37,2,FALSE)=H$18,$F21,0)+IF($K$6="UL",LEFT($S$90,2),0)-IF(AND($K$16=H$18,$K$14&lt;&gt;$K$15,$K$16=$K$17,RIGHT($K21,3)="2SP"),VLOOKUP(CONCATENATE(LEFT($K21,2),"L"),$R$63:$T$90,3,FALSE),0)-IF(AND($L$16=H$18,$L$14&lt;&gt;$L$15,$L$16=$L$17,RIGHT($L21,3)="2SP"),VLOOKUP(CONCATENATE(LEFT($L21,2),"L"),$R$63:$T$90,3,FALSE),0)-IF(AND($M$16=H$18,$M$14&lt;&gt;$M$15,$M$16=$M$17,RIGHT($M21,3)="2SP"),VLOOKUP(CONCATENATE(LEFT($M21,2),"L"),$R$63:$T$90,3,FALSE),0)-IF(AND($N$16=H$18,$N$14&lt;&gt;$N$15,$N$16=$N$17,RIGHT($N21,3)="2SP"),VLOOKUP(CONCATENATE(LEFT($N21,2),"L"),$R$63:$T$90,3,FALSE),0)-IF(AND($O$16=H$18,$O$14&lt;&gt;$O$15,$O$16=$O$17,RIGHT($O21,3)="2SP"),VLOOKUP(CONCATENATE(LEFT($O21,2),"L"),$R$63:$T$90,3,FALSE),0)-IF(AND($P$16=H$18,$P$14&lt;&gt;$P$15,$P$16=$P$17,RIGHT($P21,3)="2SP"),VLOOKUP(CONCATENATE(LEFT($P21,2),"L"),$R$63:$T$90,3,FALSE),0)-IF(AND($Q$16=H$18,$Q$14&lt;&gt;$Q$15,$Q$16=$Q$17,RIGHT($Q21,3)="2SP"),VLOOKUP(CONCATENATE(LEFT($Q21,2),"L"),$R$63:$T$90,3,FALSE),0)-IF(AND($T$16=H$18,$T$14&lt;&gt;$T$15,$T$16=$T$17,RIGHT($T21,3)="2SP"),VLOOKUP(CONCATENATE(LEFT($T21,2),"L"),$R$63:$T$90,3,FALSE),0)-IF(AND($U$16=H$18,$U$14&lt;&gt;$U$15,$U$16=$U$17,RIGHT($U21,3)="2SP"),VLOOKUP(CONCATENATE(LEFT($U21,2),"L"),$R$63:$T$90,3,FALSE),0)-IF(AND($V$16=H$18,$V$14&lt;&gt;$V$15,$V$16=$V$17,RIGHT($V21,3)="2SP"),VLOOKUP(CONCATENATE(LEFT($V21,2),"L"),$R$63:$T$90,3,FALSE),0)-IF(AND($W$16=H$18,$W$14&lt;&gt;$W$15,$W$16=$W$17,RIGHT($W21,3)="2SP"),VLOOKUP(CONCATENATE(LEFT($W21,2),"L"),$R$63:$T$90,3,FALSE),0)-IF(AND($X$16=H$18,$X$14&lt;&gt;$X$15,$X$16=$X$17,RIGHT($X21,3)="2SP"),VLOOKUP(CONCATENATE(LEFT($X21,2),"L"),$R$63:$T$90,3,FALSE),0)-IF(AND($Y$16=H$18,$Y$14&lt;&gt;$Y$15,$Y$16=$Y$17,RIGHT($Y21,3)="2SP"),VLOOKUP(CONCATENATE(LEFT($Y21,2),"L"),$R$63:$T$90,3,FALSE),0)+IF(AND($K$6="CE",$T$59="2 Phases",H$18&lt;&gt;""),IF(VLOOKUP(CONCATENATE($A$18,"Line"),'Supply Attribution'!$F$31:$G$37,2,FALSE)="Line3",$A21,0)+IF(VLOOKUP(CONCATENATE($B$18,"Line"),'Supply Attribution'!$F$31:$G$37,2,FALSE)="Line3",$B21,0)+IF(VLOOKUP(CONCATENATE($C$18,"Line"),'Supply Attribution'!$F$31:$G$37,2,FALSE)="Line3",$C21,0)+IF(VLOOKUP(CONCATENATE($D$18,"Line"),'Supply Attribution'!$F$31:$G$37,2,FALSE)="Line3",$D21,0)+IF(VLOOKUP(CONCATENATE($E$18,"Line"),'Supply Attribution'!$F$31:$G$37,2,FALSE)="Line3",$E21,0)+IF(VLOOKUP(CONCATENATE($F$18,"Line"),'Supply Attribution'!$F$31:$G$37,2,FALSE)="Line3",$F21,0)-IF(AND($K$16=I$18,$K$14&lt;&gt;$K$15,$K$16=$K$17,RIGHT($K21,3)="2SP"),VLOOKUP(CONCATENATE(LEFT($K21,2),"L"),$R$63:$T$90,3,FALSE),0)-IF(AND($L$16=I$18,$L$14&lt;&gt;$L$15,$L$16=$L$17,RIGHT($L21,3)="2SP"),VLOOKUP(CONCATENATE(LEFT($L21,2),"L"),$R$63:$T$90,3,FALSE),0)-IF(AND($M$16=I$18,$M$14&lt;&gt;$M$15,$M$16=$M$17,RIGHT($M21,3)="2SP"),VLOOKUP(CONCATENATE(LEFT($M21,2),"L"),$R$63:$T$90,3,FALSE),0)-IF(AND($N$16=I$18,$N$14&lt;&gt;$N$15,$N$16=$N$17,RIGHT($N21,3)="2SP"),VLOOKUP(CONCATENATE(LEFT($N21,2),"L"),$R$63:$T$90,3,FALSE),0)-IF(AND($O$16=I$18,$O$14&lt;&gt;$O$15,$O$16=$O$17,RIGHT($O21,3)="2SP"),VLOOKUP(CONCATENATE(LEFT($O21,2),"L"),$R$63:$T$90,3,FALSE),0)-IF(AND($P$16=I$18,$P$14&lt;&gt;$P$15,$P$16=$P$17,RIGHT($P21,3)="2SP"),VLOOKUP(CONCATENATE(LEFT($P21,2),"L"),$R$63:$T$90,3,FALSE),0)-IF(AND($Q$16=I$18,$Q$14&lt;&gt;$Q$15,$Q$16=$Q$17,RIGHT($Q21,3)="2SP"),VLOOKUP(CONCATENATE(LEFT($Q21,2),"L"),$R$63:$T$90,3,FALSE),0)-IF(AND($T$16=I$18,$T$14&lt;&gt;$T$15,$T$16=$T$17,RIGHT($T21,3)="2SP"),VLOOKUP(CONCATENATE(LEFT($T21,2),"L"),$R$63:$T$90,3,FALSE),0)-IF(AND($U$16=I$18,$U$14&lt;&gt;$U$15,$U$16=$U$17,RIGHT($U21,3)="2SP"),VLOOKUP(CONCATENATE(LEFT($U21,2),"L"),$R$63:$T$90,3,FALSE),0)-IF(AND($V$16=I$18,$V$14&lt;&gt;$V$15,$V$16=$V$17,RIGHT($V21,3)="2SP"),VLOOKUP(CONCATENATE(LEFT($V21,2),"L"),$R$63:$T$90,3,FALSE),0)-IF(AND($W$16=I$18,$W$14&lt;&gt;$W$15,$W$16=$W$17,RIGHT($W21,3)="2SP"),VLOOKUP(CONCATENATE(LEFT($W21,2),"L"),$R$63:$T$90,3,FALSE),0)-IF(AND($X$16=I$18,$X$14&lt;&gt;$X$15,$X$16=$X$17,RIGHT($X21,3)="2SP"),VLOOKUP(CONCATENATE(LEFT($X21,2),"L"),$R$63:$T$90,3,FALSE),0)-IF(AND($Y$16=I$18,$Y$14&lt;&gt;$Y$15,$Y$16=$Y$17,RIGHT($Y21,3)="2SP"),VLOOKUP(CONCATENATE(LEFT($Y21,2),"L"),$R$63:$T$90,3,FALSE),0),0),"")</f>
        <v/>
      </c>
      <c r="I21" s="271" t="str">
        <f>IF(I$18&lt;&gt;"",IF(VLOOKUP(CONCATENATE($A$18,"Line"),'Supply Attribution'!$F$31:$G$37,2,FALSE)=I$18,$A21,0)+IF(VLOOKUP(CONCATENATE($B$18,"Line"),'Supply Attribution'!$F$31:$G$37,2,FALSE)=I$18,$B21,0)+IF(VLOOKUP(CONCATENATE($C$18,"Line"),'Supply Attribution'!$F$31:$G$37,2,FALSE)=I$18,$C21,0)+IF(VLOOKUP(CONCATENATE($D$18,"Line"),'Supply Attribution'!$F$31:$G$37,2,FALSE)=I$18,$D21,0)+IF(VLOOKUP(CONCATENATE($E$18,"Line"),'Supply Attribution'!$F$31:$G$37,2,FALSE)=I$18,$E21,0)+IF(VLOOKUP(CONCATENATE($F$18,"Line"),'Supply Attribution'!$F$31:$G$37,2,FALSE)=I$18,$F21,0)+IF($K$6="UL",LEFT($S$90,2),0)-IF(AND($K$16=I$18,$K$14&lt;&gt;$K$15,$K$16=$K$17,RIGHT($K21,3)="2SP"),VLOOKUP(CONCATENATE(LEFT($K21,2),"L"),$R$63:$T$90,3,FALSE),0)-IF(AND($L$16=I$18,$L$14&lt;&gt;$L$15,$L$16=$L$17,RIGHT($L21,3)="2SP"),VLOOKUP(CONCATENATE(LEFT($L21,2),"L"),$R$63:$T$90,3,FALSE),0)-IF(AND($M$16=I$18,$M$14&lt;&gt;$M$15,$M$16=$M$17,RIGHT($M21,3)="2SP"),VLOOKUP(CONCATENATE(LEFT($M21,2),"L"),$R$63:$T$90,3,FALSE),0)-IF(AND($N$16=I$18,$N$14&lt;&gt;$N$15,$N$16=$N$17,RIGHT($N21,3)="2SP"),VLOOKUP(CONCATENATE(LEFT($N21,2),"L"),$R$63:$T$90,3,FALSE),0)-IF(AND($O$16=I$18,$O$14&lt;&gt;$O$15,$O$16=$O$17,RIGHT($O21,3)="2SP"),VLOOKUP(CONCATENATE(LEFT($O21,2),"L"),$R$63:$T$90,3,FALSE),0)-IF(AND($P$16=I$18,$P$14&lt;&gt;$P$15,$P$16=$P$17,RIGHT($P21,3)="2SP"),VLOOKUP(CONCATENATE(LEFT($P21,2),"L"),$R$63:$T$90,3,FALSE),0)-IF(AND($Q$16=I$18,$Q$14&lt;&gt;$Q$15,$Q$16=$Q$17,RIGHT($Q21,3)="2SP"),VLOOKUP(CONCATENATE(LEFT($Q21,2),"L"),$R$63:$T$90,3,FALSE),0)-IF(AND($T$16=I$18,$T$14&lt;&gt;$T$15,$T$16=$T$17,RIGHT($T21,3)="2SP"),VLOOKUP(CONCATENATE(LEFT($T21,2),"L"),$R$63:$T$90,3,FALSE),0)-IF(AND($U$16=I$18,$U$14&lt;&gt;$U$15,$U$16=$U$17,RIGHT($U21,3)="2SP"),VLOOKUP(CONCATENATE(LEFT($U21,2),"L"),$R$63:$T$90,3,FALSE),0)-IF(AND($V$16=I$18,$V$14&lt;&gt;$V$15,$V$16=$V$17,RIGHT($V21,3)="2SP"),VLOOKUP(CONCATENATE(LEFT($V21,2),"L"),$R$63:$T$90,3,FALSE),0)-IF(AND($W$16=I$18,$W$14&lt;&gt;$W$15,$W$16=$W$17,RIGHT($W21,3)="2SP"),VLOOKUP(CONCATENATE(LEFT($W21,2),"L"),$R$63:$T$90,3,FALSE),0)-IF(AND($X$16=I$18,$X$14&lt;&gt;$X$15,$X$16=$X$17,RIGHT($X21,3)="2SP"),VLOOKUP(CONCATENATE(LEFT($X21,2),"L"),$R$63:$T$90,3,FALSE),0)-IF(AND($Y$16=I$18,$Y$14&lt;&gt;$Y$15,$Y$16=$Y$17,RIGHT($Y21,3)="2SP"),VLOOKUP(CONCATENATE(LEFT($Y21,2),"L"),$R$63:$T$90,3,FALSE),0),"")</f>
        <v/>
      </c>
      <c r="J21" s="129">
        <v>44</v>
      </c>
      <c r="K21" s="130" t="s">
        <v>22</v>
      </c>
      <c r="L21" s="130" t="s">
        <v>566</v>
      </c>
      <c r="M21" s="130" t="s">
        <v>391</v>
      </c>
      <c r="N21" s="130" t="s">
        <v>24</v>
      </c>
      <c r="O21" s="130" t="s">
        <v>286</v>
      </c>
      <c r="P21" s="130"/>
      <c r="Q21" s="130"/>
      <c r="R21" s="130"/>
      <c r="S21" s="130"/>
      <c r="T21" s="130"/>
      <c r="U21" s="130"/>
      <c r="V21" s="130"/>
      <c r="W21" s="130"/>
      <c r="X21" s="130"/>
      <c r="Y21" s="130"/>
      <c r="Z21" s="131" t="s">
        <v>24</v>
      </c>
      <c r="AA21" s="131" t="s">
        <v>357</v>
      </c>
      <c r="AB21" s="132" t="s">
        <v>164</v>
      </c>
      <c r="AC21" s="132" t="s">
        <v>568</v>
      </c>
      <c r="AD21" s="132" t="s">
        <v>164</v>
      </c>
      <c r="AE21" s="133">
        <f t="shared" ref="AE21:AE52" si="0">J21</f>
        <v>44</v>
      </c>
      <c r="AF21" s="78"/>
    </row>
    <row r="22" spans="1:32" ht="13.15" customHeight="1">
      <c r="A22" s="270">
        <f>IF(AND($K22&lt;&gt;"",$K22&lt;&gt;"--",$K22&lt;&gt;"O3/CP",$K$14=A$18),IF(LEFT($K22,1)="P",VLOOKUP(CONCATENATE(LEFT($K22,2),"H"),$R$63:$T$91,3,FALSE),VLOOKUP($K22,$R$63:$T$91,3,FALSE)))+IF(AND($K22&lt;&gt;"",$K22&lt;&gt;"O3/CP",$K$15=A$18,MID($K22,4,1)="2",$K$15&lt;&gt;$K$14),VLOOKUP(CONCATENATE(LEFT($K22,2),"L"),$R$63:$T$91,3,FALSE),0)+IF(AND($K22="O3/CP",$K$14=A$18),VLOOKUP("O3",$R$63:$T$91,3,FALSE)+VLOOKUP("CP",$R$63:$T$91,3,FALSE),0)+IF(AND($L22&lt;&gt;"",$L22&lt;&gt;"--",$L22&lt;&gt;"O3/CP",$L$14=A$18),IF(LEFT($L22,1)="P",VLOOKUP(CONCATENATE(LEFT($L22,2),"H"),$R$63:$T$91,3,FALSE),VLOOKUP($L22,$R$63:$T$91,3,FALSE)))+IF(AND($L22&lt;&gt;"",$L22&lt;&gt;"O3/CP",$L$15=A$18,MID($L22,4,1)="2",$L$15&lt;&gt;$L$14),VLOOKUP(CONCATENATE(LEFT($L22,2),"L"),$R$63:$T$91,3,FALSE),0)+IF(AND($L22="O3/CP",$L$14=A$18),VLOOKUP("O3",$R$63:$T$91,3,FALSE)+VLOOKUP("CP",$R$63:$T$91,3,FALSE),0)+IF(AND($M22&lt;&gt;"",$M22&lt;&gt;"--",$M22&lt;&gt;"O3/CP",$M$14=A$18),IF(LEFT($M22,1)="P",VLOOKUP(CONCATENATE(LEFT($M22,2),"H"),$R$63:$T$91,3,FALSE),VLOOKUP($M22,$R$63:$T$91,3,FALSE)))+IF(AND($M22&lt;&gt;"",$M22&lt;&gt;"O3/CP",$M$15=A$18,MID($M22,4,1)="2",$M$15&lt;&gt;$M$14),VLOOKUP(CONCATENATE(LEFT($M22,2),"L"),$R$63:$T$91,3,FALSE),0)+IF(AND($M22="O3/CP",$M$14=A$18),VLOOKUP("O3",$R$63:$T$91,3,FALSE)+VLOOKUP("CP",$R$63:$T$91,3,FALSE),0)+IF(AND($N22&lt;&gt;"",$N22&lt;&gt;"--",$N22&lt;&gt;"O3/CP",$N$14=A$18),IF(LEFT($N22,1)="P",VLOOKUP(CONCATENATE(LEFT($N22,2),"H"),$R$63:$T$91,3,FALSE),VLOOKUP($N22,$R$63:$T$91,3,FALSE)))+IF(AND($N22&lt;&gt;"",$N22&lt;&gt;"O3/CP",$N$15=A$18,MID($N22,4,1)="2",$N$15&lt;&gt;$N$14),VLOOKUP(CONCATENATE(LEFT($N22,2),"L"),$R$63:$T$91,3,FALSE),0)+IF(AND($N22="O3/CP",$N$14=A$18),VLOOKUP("O3",$R$63:$T$91,3,FALSE)+VLOOKUP("CP",$R$63:$T$91,3,FALSE),0)+IF(AND($O22&lt;&gt;"",$O22&lt;&gt;"--",$O22&lt;&gt;"O3/CP",$O$14=A$18),IF(LEFT($O22,1)="P",VLOOKUP(CONCATENATE(LEFT($O22,2),"H"),$R$63:$T$91,3,FALSE),VLOOKUP($O22,$R$63:$T$91,3,FALSE)))+IF(AND($O22&lt;&gt;"",$O22&lt;&gt;"O3/CP",$O$15=A$18,MID($O22,4,1)="2",$O$15&lt;&gt;$O$14),VLOOKUP(CONCATENATE(LEFT($O22,2),"L"),$R$63:$T$91,3,FALSE),0)+IF(AND($O22="O3/CP",$O$14=A$18),VLOOKUP("O3",$R$63:$T$91,3,FALSE)+VLOOKUP("CP",$R$63:$T$91,3,FALSE),0)+IF(AND($P22&lt;&gt;"",$P22&lt;&gt;"--",$P22&lt;&gt;"O3/CP",$P$14=A$18),IF(LEFT($P22,1)="P",VLOOKUP(CONCATENATE(LEFT($P22,2),"H"),$R$63:$T$91,3,FALSE),VLOOKUP($P22,$R$63:$T$91,3,FALSE)))+IF(AND($P22&lt;&gt;"",$P22&lt;&gt;"O3/CP",$P$15=A$18,MID($P22,4,1)="2",$P$15&lt;&gt;$P$14),VLOOKUP(CONCATENATE(LEFT($P22,2),"L"),$R$63:$T$91,3,FALSE),0)+IF(AND($P22="O3/CP",$P$14=A$18),VLOOKUP("O3",$R$63:$T$91,3,FALSE)+VLOOKUP("CP",$R$63:$T$91,3,FALSE),0)+IF(AND($Q22&lt;&gt;"",$Q22&lt;&gt;"--",$Q22&lt;&gt;"O3/CP",$Q$14=A$18),IF(LEFT($Q22,1)="P",VLOOKUP(CONCATENATE(LEFT($Q22,2),"H"),$R$63:$T$91,3,FALSE),VLOOKUP($Q22,$R$63:$T$91,3,FALSE)))+IF(AND($Q22&lt;&gt;"",$Q22&lt;&gt;"O3/CP",$Q$15=A$18,MID($Q22,4,1)="2",$Q$15&lt;&gt;$Q$14),VLOOKUP(CONCATENATE(LEFT($Q22,2),"L"),$R$63:$T$91,3,FALSE),0)+IF(AND($Q22="O3/CP",$Q$14=A$18),VLOOKUP("O3",$R$63:$T$91,3,FALSE)+VLOOKUP("CP",$R$63:$T$91,3,FALSE),0)+IF(AND($R22&lt;&gt;"",$R22&lt;&gt;"--",$R22&lt;&gt;"O3/CP",$R$14=A$18),IF(LEFT($R22,1)="P",VLOOKUP(CONCATENATE(LEFT($R22,2),"H"),$R$63:$T$91,3,FALSE),VLOOKUP($R22,$R$63:$T$91,3,FALSE)))+IF(AND($R22&lt;&gt;"",$R22&lt;&gt;"O3/CP",$R$15=A$18,MID($R22,4,1)="2",$R$15&lt;&gt;$R$14),VLOOKUP(CONCATENATE(LEFT($R22,2),"L"),$R$63:$T$91,3,FALSE),0)+IF(AND($R22="O3/CP",$R$14=A$18),VLOOKUP("O3",$R$63:$T$91,3,FALSE)+VLOOKUP("CP",$R$63:$T$91,3,FALSE),0)+IF(AND($S22&lt;&gt;"",$S22&lt;&gt;"--",$S22&lt;&gt;"O3/CP",$S$14=A$18),IF(LEFT($S22,1)="P",VLOOKUP(CONCATENATE(LEFT($S22,2),"H"),$R$63:$T$91,3,FALSE),VLOOKUP($S22,$R$63:$T$91,3,FALSE)))+IF(AND($S22&lt;&gt;"",$S22&lt;&gt;"O3/CP",$S$15=A$18,MID($S22,4,1)="2",$S$15&lt;&gt;$S$14),VLOOKUP(CONCATENATE(LEFT($S22,2),"L"),$R$63:$T$91,3,FALSE),0)+IF(AND($S22="O3/CP",$S$14=A$18),VLOOKUP("O3",$R$63:$T$91,3,FALSE)+VLOOKUP("CP",$R$63:$T$91,3,FALSE),0)+IF(AND($T22&lt;&gt;"",$T22&lt;&gt;"--",$T22&lt;&gt;"O3/CP",$T$14=A$18),IF(LEFT($T22,1)="P",VLOOKUP(CONCATENATE(LEFT($T22,2),"H"),$R$63:$T$91,3,FALSE),VLOOKUP($T22,$R$63:$T$91,3,FALSE)))+IF(AND($T22&lt;&gt;"",$T22&lt;&gt;"O3/CP",$T$15=A$18,MID($T22,4,1)="2",$T$15&lt;&gt;$T$14),VLOOKUP(CONCATENATE(LEFT($T22,2),"L"),$R$63:$T$91,3,FALSE),0)+IF(AND($T22="O3/CP",$T$14=A$18),VLOOKUP("O3",$R$63:$T$91,3,FALSE)+VLOOKUP("CP",$R$63:$T$91,3,FALSE),0)+IF(AND($U22&lt;&gt;"",$U22&lt;&gt;"--",$U22&lt;&gt;"O3/CP",$U$14=A$18),IF(LEFT($U22,1)="P",VLOOKUP(CONCATENATE(LEFT($U22,2),"H"),$R$63:$T$91,3,FALSE),VLOOKUP($U22,$R$63:$T$91,3,FALSE)))+IF(AND($U22&lt;&gt;"",$U22&lt;&gt;"O3/CP",$U$15=A$18,MID($U22,4,1)="2",$U$15&lt;&gt;$U$14),VLOOKUP(CONCATENATE(LEFT($U22,2),"L"),$R$63:$T$91,3,FALSE),0)+IF(AND($U22="O3/CP",$T$14=A$18),VLOOKUP("O3",$R$63:$T$91,3,FALSE)+VLOOKUP("CP",$R$63:$T$91,3,FALSE),0)+IF(AND($V22&lt;&gt;"",$V22&lt;&gt;"--",$V22&lt;&gt;"O3/CP",$V$14=A$18),IF(LEFT($V22,1)="P",VLOOKUP(CONCATENATE(LEFT($V22,2),"H"),$R$63:$T$91,3,FALSE),VLOOKUP($V22,$R$63:$T$91,3,FALSE)))+IF(AND($V22&lt;&gt;"",$V22&lt;&gt;"O3/CP",$V$15=A$18,MID($V22,4,1)="2",$V$15&lt;&gt;$V$14),VLOOKUP(CONCATENATE(LEFT($V22,2),"L"),$R$63:$T$91,3,FALSE),0)+IF(AND($V22="O3/CP",$V$14=A$18),VLOOKUP("O3",$R$63:$T$91,3,FALSE)+VLOOKUP("CP",$R$63:$T$91,3,FALSE),0)+IF(AND($W22&lt;&gt;"",$W22&lt;&gt;"--",$W22&lt;&gt;"O3/CP",$W$14=A$18),IF(LEFT($W22,1)="P",VLOOKUP(CONCATENATE(LEFT($W22,2),"H"),$R$63:$T$91,3,FALSE),VLOOKUP($W22,$R$63:$T$91,3,FALSE)))+IF(AND($W22&lt;&gt;"",$W22&lt;&gt;"O3/CP",$W$15=A$18,MID($W22,4,1)="2",$W$15&lt;&gt;$W$14),VLOOKUP(CONCATENATE(LEFT($W22,2),"L"),$R$63:$T$91,3,FALSE),0)+IF(AND($W22="O3/CP",$W$14=A$18),VLOOKUP("O3",$R$63:$T$91,3,FALSE)+VLOOKUP("CP",$R$63:$T$91,3,FALSE),0)+IF(AND($X22&lt;&gt;"",$X22&lt;&gt;"--",$X22&lt;&gt;"O3/CP",$X$14=A$18),IF(LEFT($X22,1)="P",VLOOKUP(CONCATENATE(LEFT($X22,2),"H"),$R$63:$T$91,3,FALSE),VLOOKUP($X22,$R$63:$T$91,3,FALSE)))+IF(AND($X22&lt;&gt;"",$X22&lt;&gt;"O3/CP",$X$15=A$18,MID($X22,4,1)="2",$X$15&lt;&gt;$X$14),VLOOKUP(CONCATENATE(LEFT($X22,2),"L"),$R$63:$T$91,3,FALSE),0)+IF(AND($X22="O3/CP",$X$14=A$18),VLOOKUP("O3",$R$63:$T$91,3,FALSE)+VLOOKUP("CP",$R$63:$T$91,3,FALSE),0)+IF(AND($Y22&lt;&gt;"",$Y22&lt;&gt;"--",$Y22&lt;&gt;"O3/CP",$Y$14=A$18),IF(LEFT($Y22,1)="P",VLOOKUP(CONCATENATE(LEFT($Y22,2),"H"),$R$63:$T$91,3,FALSE),VLOOKUP($Y22,$R$63:$T$91,3,FALSE)))+IF(AND($Y22&lt;&gt;"",$Y22&lt;&gt;"O3/CP",$Y$15=A$18,MID($Y22,4,1)="2",$Y$15&lt;&gt;$Y$14),VLOOKUP(CONCATENATE(LEFT($Y22,2),"L"),$R$63:$T$91,3,FALSE),0)+IF(AND($Y22="O3/CP",$Y$14=A$18),VLOOKUP("O3",$R$63:$T$91,3,FALSE)+VLOOKUP("CP",$R$63:$T$91,3,FALSE),0)+IF(AND($K$6="CE",'[3]Supply Attribution'!$G$20=A$18),LEFT($S$90,2),0)+IF(AND($X$86&lt;&gt;"Not Set",$X$87=A$18),$X$86,0)</f>
        <v>14</v>
      </c>
      <c r="B22" s="269">
        <f>IF(AND($K22&lt;&gt;"",$K22&lt;&gt;"--",$K22&lt;&gt;"O3/CP",$K$14=B$18),IF(LEFT($K22,1)="P",VLOOKUP(CONCATENATE(LEFT($K22,2),"H"),$R$63:$T$91,3,FALSE),VLOOKUP($K22,$R$63:$T$91,3,FALSE)))+IF(AND($K22&lt;&gt;"",$K22&lt;&gt;"O3/CP",$K$15=B$18,MID($K22,4,1)="2",$K$15&lt;&gt;$K$14),VLOOKUP(CONCATENATE(LEFT($K22,2),"L"),$R$63:$T$91,3,FALSE),0)+IF(AND($K22="O3/CP",$K$14=B$18),VLOOKUP("O3",$R$63:$T$91,3,FALSE)+VLOOKUP("CP",$R$63:$T$91,3,FALSE),0)+IF(AND($L22&lt;&gt;"",$L22&lt;&gt;"--",$L22&lt;&gt;"O3/CP",$L$14=B$18),IF(LEFT($L22,1)="P",VLOOKUP(CONCATENATE(LEFT($L22,2),"H"),$R$63:$T$91,3,FALSE),VLOOKUP($L22,$R$63:$T$91,3,FALSE)))+IF(AND($L22&lt;&gt;"",$L22&lt;&gt;"O3/CP",$L$15=B$18,MID($L22,4,1)="2",$L$15&lt;&gt;$L$14),VLOOKUP(CONCATENATE(LEFT($L22,2),"L"),$R$63:$T$91,3,FALSE),0)+IF(AND($L22="O3/CP",$L$14=B$18),VLOOKUP("O3",$R$63:$T$91,3,FALSE)+VLOOKUP("CP",$R$63:$T$91,3,FALSE),0)+IF(AND($M22&lt;&gt;"",$M22&lt;&gt;"--",$M22&lt;&gt;"O3/CP",$M$14=B$18),IF(LEFT($M22,1)="P",VLOOKUP(CONCATENATE(LEFT($M22,2),"H"),$R$63:$T$91,3,FALSE),VLOOKUP($M22,$R$63:$T$91,3,FALSE)))+IF(AND($M22&lt;&gt;"",$M22&lt;&gt;"O3/CP",$M$15=B$18,MID($M22,4,1)="2",$M$15&lt;&gt;$M$14),VLOOKUP(CONCATENATE(LEFT($M22,2),"L"),$R$63:$T$91,3,FALSE),0)+IF(AND($M22="O3/CP",$M$14=B$18),VLOOKUP("O3",$R$63:$T$91,3,FALSE)+VLOOKUP("CP",$R$63:$T$91,3,FALSE),0)+IF(AND($N22&lt;&gt;"",$N22&lt;&gt;"--",$N22&lt;&gt;"O3/CP",$N$14=B$18),IF(LEFT($N22,1)="P",VLOOKUP(CONCATENATE(LEFT($N22,2),"H"),$R$63:$T$91,3,FALSE),VLOOKUP($N22,$R$63:$T$91,3,FALSE)))+IF(AND($N22&lt;&gt;"",$N22&lt;&gt;"O3/CP",$N$15=B$18,MID($N22,4,1)="2",$N$15&lt;&gt;$N$14),VLOOKUP(CONCATENATE(LEFT($N22,2),"L"),$R$63:$T$91,3,FALSE),0)+IF(AND($N22="O3/CP",$N$14=B$18),VLOOKUP("O3",$R$63:$T$91,3,FALSE)+VLOOKUP("CP",$R$63:$T$91,3,FALSE),0)+IF(AND($O22&lt;&gt;"",$O22&lt;&gt;"--",$O22&lt;&gt;"O3/CP",$O$14=B$18),IF(LEFT($O22,1)="P",VLOOKUP(CONCATENATE(LEFT($O22,2),"H"),$R$63:$T$91,3,FALSE),VLOOKUP($O22,$R$63:$T$91,3,FALSE)))+IF(AND($O22&lt;&gt;"",$O22&lt;&gt;"O3/CP",$O$15=B$18,MID($O22,4,1)="2",$O$15&lt;&gt;$O$14),VLOOKUP(CONCATENATE(LEFT($O22,2),"L"),$R$63:$T$91,3,FALSE),0)+IF(AND($O22="O3/CP",$O$14=B$18),VLOOKUP("O3",$R$63:$T$91,3,FALSE)+VLOOKUP("CP",$R$63:$T$91,3,FALSE),0)+IF(AND($P22&lt;&gt;"",$P22&lt;&gt;"--",$P22&lt;&gt;"O3/CP",$P$14=B$18),IF(LEFT($P22,1)="P",VLOOKUP(CONCATENATE(LEFT($P22,2),"H"),$R$63:$T$91,3,FALSE),VLOOKUP($P22,$R$63:$T$91,3,FALSE)))+IF(AND($P22&lt;&gt;"",$P22&lt;&gt;"O3/CP",$P$15=B$18,MID($P22,4,1)="2",$P$15&lt;&gt;$P$14),VLOOKUP(CONCATENATE(LEFT($P22,2),"L"),$R$63:$T$91,3,FALSE),0)+IF(AND($P22="O3/CP",$P$14=B$18),VLOOKUP("O3",$R$63:$T$91,3,FALSE)+VLOOKUP("CP",$R$63:$T$91,3,FALSE),0)+IF(AND($Q22&lt;&gt;"",$Q22&lt;&gt;"--",$Q22&lt;&gt;"O3/CP",$Q$14=B$18),IF(LEFT($Q22,1)="P",VLOOKUP(CONCATENATE(LEFT($Q22,2),"H"),$R$63:$T$91,3,FALSE),VLOOKUP($Q22,$R$63:$T$91,3,FALSE)))+IF(AND($Q22&lt;&gt;"",$Q22&lt;&gt;"O3/CP",$Q$15=B$18,MID($Q22,4,1)="2",$Q$15&lt;&gt;$Q$14),VLOOKUP(CONCATENATE(LEFT($Q22,2),"L"),$R$63:$T$91,3,FALSE),0)+IF(AND($Q22="O3/CP",$Q$14=B$18),VLOOKUP("O3",$R$63:$T$91,3,FALSE)+VLOOKUP("CP",$R$63:$T$91,3,FALSE),0)+IF(AND($R22&lt;&gt;"",$R22&lt;&gt;"--",$R22&lt;&gt;"O3/CP",$R$14=B$18),IF(LEFT($R22,1)="P",VLOOKUP(CONCATENATE(LEFT($R22,2),"H"),$R$63:$T$91,3,FALSE),VLOOKUP($R22,$R$63:$T$91,3,FALSE)))+IF(AND($R22&lt;&gt;"",$R22&lt;&gt;"O3/CP",$R$15=B$18,MID($R22,4,1)="2",$R$15&lt;&gt;$R$14),VLOOKUP(CONCATENATE(LEFT($R22,2),"L"),$R$63:$T$91,3,FALSE),0)+IF(AND($R22="O3/CP",$R$14=B$18),VLOOKUP("O3",$R$63:$T$91,3,FALSE)+VLOOKUP("CP",$R$63:$T$91,3,FALSE),0)+IF(AND($S22&lt;&gt;"",$S22&lt;&gt;"--",$S22&lt;&gt;"O3/CP",$S$14=B$18),IF(LEFT($S22,1)="P",VLOOKUP(CONCATENATE(LEFT($S22,2),"H"),$R$63:$T$91,3,FALSE),VLOOKUP($S22,$R$63:$T$91,3,FALSE)))+IF(AND($S22&lt;&gt;"",$S22&lt;&gt;"O3/CP",$S$15=B$18,MID($S22,4,1)="2",$S$15&lt;&gt;$S$14),VLOOKUP(CONCATENATE(LEFT($S22,2),"L"),$R$63:$T$91,3,FALSE),0)+IF(AND($S22="O3/CP",$S$14=B$18),VLOOKUP("O3",$R$63:$T$91,3,FALSE)+VLOOKUP("CP",$R$63:$T$91,3,FALSE),0)+IF(AND($T22&lt;&gt;"",$T22&lt;&gt;"--",$T22&lt;&gt;"O3/CP",$T$14=B$18),IF(LEFT($T22,1)="P",VLOOKUP(CONCATENATE(LEFT($T22,2),"H"),$R$63:$T$91,3,FALSE),VLOOKUP($T22,$R$63:$T$91,3,FALSE)))+IF(AND($T22&lt;&gt;"",$T22&lt;&gt;"O3/CP",$T$15=B$18,MID($T22,4,1)="2",$T$15&lt;&gt;$T$14),VLOOKUP(CONCATENATE(LEFT($T22,2),"L"),$R$63:$T$91,3,FALSE),0)+IF(AND($T22="O3/CP",$T$14=B$18),VLOOKUP("O3",$R$63:$T$91,3,FALSE)+VLOOKUP("CP",$R$63:$T$91,3,FALSE),0)+IF(AND($U22&lt;&gt;"",$U22&lt;&gt;"--",$U22&lt;&gt;"O3/CP",$U$14=B$18),IF(LEFT($U22,1)="P",VLOOKUP(CONCATENATE(LEFT($U22,2),"H"),$R$63:$T$91,3,FALSE),VLOOKUP($U22,$R$63:$T$91,3,FALSE)))+IF(AND($U22&lt;&gt;"",$U22&lt;&gt;"O3/CP",$U$15=B$18,MID($U22,4,1)="2",$U$15&lt;&gt;$U$14),VLOOKUP(CONCATENATE(LEFT($U22,2),"L"),$R$63:$T$91,3,FALSE),0)+IF(AND($U22="O3/CP",$T$14=B$18),VLOOKUP("O3",$R$63:$T$91,3,FALSE)+VLOOKUP("CP",$R$63:$T$91,3,FALSE),0)+IF(AND($V22&lt;&gt;"",$V22&lt;&gt;"--",$V22&lt;&gt;"O3/CP",$V$14=B$18),IF(LEFT($V22,1)="P",VLOOKUP(CONCATENATE(LEFT($V22,2),"H"),$R$63:$T$91,3,FALSE),VLOOKUP($V22,$R$63:$T$91,3,FALSE)))+IF(AND($V22&lt;&gt;"",$V22&lt;&gt;"O3/CP",$V$15=B$18,MID($V22,4,1)="2",$V$15&lt;&gt;$V$14),VLOOKUP(CONCATENATE(LEFT($V22,2),"L"),$R$63:$T$91,3,FALSE),0)+IF(AND($V22="O3/CP",$V$14=B$18),VLOOKUP("O3",$R$63:$T$91,3,FALSE)+VLOOKUP("CP",$R$63:$T$91,3,FALSE),0)+IF(AND($W22&lt;&gt;"",$W22&lt;&gt;"--",$W22&lt;&gt;"O3/CP",$W$14=B$18),IF(LEFT($W22,1)="P",VLOOKUP(CONCATENATE(LEFT($W22,2),"H"),$R$63:$T$91,3,FALSE),VLOOKUP($W22,$R$63:$T$91,3,FALSE)))+IF(AND($W22&lt;&gt;"",$W22&lt;&gt;"O3/CP",$W$15=B$18,MID($W22,4,1)="2",$W$15&lt;&gt;$W$14),VLOOKUP(CONCATENATE(LEFT($W22,2),"L"),$R$63:$T$91,3,FALSE),0)+IF(AND($W22="O3/CP",$W$14=B$18),VLOOKUP("O3",$R$63:$T$91,3,FALSE)+VLOOKUP("CP",$R$63:$T$91,3,FALSE),0)+IF(AND($X22&lt;&gt;"",$X22&lt;&gt;"--",$X22&lt;&gt;"O3/CP",$X$14=B$18),IF(LEFT($X22,1)="P",VLOOKUP(CONCATENATE(LEFT($X22,2),"H"),$R$63:$T$91,3,FALSE),VLOOKUP($X22,$R$63:$T$91,3,FALSE)))+IF(AND($X22&lt;&gt;"",$X22&lt;&gt;"O3/CP",$X$15=B$18,MID($X22,4,1)="2",$X$15&lt;&gt;$X$14),VLOOKUP(CONCATENATE(LEFT($X22,2),"L"),$R$63:$T$91,3,FALSE),0)+IF(AND($X22="O3/CP",$X$14=B$18),VLOOKUP("O3",$R$63:$T$91,3,FALSE)+VLOOKUP("CP",$R$63:$T$91,3,FALSE),0)+IF(AND($Y22&lt;&gt;"",$Y22&lt;&gt;"--",$Y22&lt;&gt;"O3/CP",$Y$14=B$18),IF(LEFT($Y22,1)="P",VLOOKUP(CONCATENATE(LEFT($Y22,2),"H"),$R$63:$T$91,3,FALSE),VLOOKUP($Y22,$R$63:$T$91,3,FALSE)))+IF(AND($Y22&lt;&gt;"",$Y22&lt;&gt;"O3/CP",$Y$15=B$18,MID($Y22,4,1)="2",$Y$15&lt;&gt;$Y$14),VLOOKUP(CONCATENATE(LEFT($Y22,2),"L"),$R$63:$T$91,3,FALSE),0)+IF(AND($Y22="O3/CP",$Y$14=B$18),VLOOKUP("O3",$R$63:$T$91,3,FALSE)+VLOOKUP("CP",$R$63:$T$91,3,FALSE),0)+IF(AND($K$6="CE",'[3]Supply Attribution'!$G$20=B$18),LEFT($S$90,2),0)+IF(AND($X$86&lt;&gt;"Not Set",$X$87=B$18),$X$86,0)</f>
        <v>4</v>
      </c>
      <c r="C22" s="269">
        <f>IF(AND($K22&lt;&gt;"",$K22&lt;&gt;"--",$K22&lt;&gt;"O3/CP",$K$14=C$18),IF(LEFT($K22,1)="P",VLOOKUP(CONCATENATE(LEFT($K22,2),"H"),$R$63:$T$91,3,FALSE),VLOOKUP($K22,$R$63:$T$91,3,FALSE)))+IF(AND($K22&lt;&gt;"",$K22&lt;&gt;"O3/CP",$K$15=C$18,MID($K22,4,1)="2",$K$15&lt;&gt;$K$14),VLOOKUP(CONCATENATE(LEFT($K22,2),"L"),$R$63:$T$91,3,FALSE),0)+IF(AND($K22="O3/CP",$K$14=C$18),VLOOKUP("O3",$R$63:$T$91,3,FALSE)+VLOOKUP("CP",$R$63:$T$91,3,FALSE),0)+IF(AND($L22&lt;&gt;"",$L22&lt;&gt;"--",$L22&lt;&gt;"O3/CP",$L$14=C$18),IF(LEFT($L22,1)="P",VLOOKUP(CONCATENATE(LEFT($L22,2),"H"),$R$63:$T$91,3,FALSE),VLOOKUP($L22,$R$63:$T$91,3,FALSE)))+IF(AND($L22&lt;&gt;"",$L22&lt;&gt;"O3/CP",$L$15=C$18,MID($L22,4,1)="2",$L$15&lt;&gt;$L$14),VLOOKUP(CONCATENATE(LEFT($L22,2),"L"),$R$63:$T$91,3,FALSE),0)+IF(AND($L22="O3/CP",$L$14=C$18),VLOOKUP("O3",$R$63:$T$91,3,FALSE)+VLOOKUP("CP",$R$63:$T$91,3,FALSE),0)+IF(AND($M22&lt;&gt;"",$M22&lt;&gt;"--",$M22&lt;&gt;"O3/CP",$M$14=C$18),IF(LEFT($M22,1)="P",VLOOKUP(CONCATENATE(LEFT($M22,2),"H"),$R$63:$T$91,3,FALSE),VLOOKUP($M22,$R$63:$T$91,3,FALSE)))+IF(AND($M22&lt;&gt;"",$M22&lt;&gt;"O3/CP",$M$15=C$18,MID($M22,4,1)="2",$M$15&lt;&gt;$M$14),VLOOKUP(CONCATENATE(LEFT($M22,2),"L"),$R$63:$T$91,3,FALSE),0)+IF(AND($M22="O3/CP",$M$14=C$18),VLOOKUP("O3",$R$63:$T$91,3,FALSE)+VLOOKUP("CP",$R$63:$T$91,3,FALSE),0)+IF(AND($N22&lt;&gt;"",$N22&lt;&gt;"--",$N22&lt;&gt;"O3/CP",$N$14=C$18),IF(LEFT($N22,1)="P",VLOOKUP(CONCATENATE(LEFT($N22,2),"H"),$R$63:$T$91,3,FALSE),VLOOKUP($N22,$R$63:$T$91,3,FALSE)))+IF(AND($N22&lt;&gt;"",$N22&lt;&gt;"O3/CP",$N$15=C$18,MID($N22,4,1)="2",$N$15&lt;&gt;$N$14),VLOOKUP(CONCATENATE(LEFT($N22,2),"L"),$R$63:$T$91,3,FALSE),0)+IF(AND($N22="O3/CP",$N$14=C$18),VLOOKUP("O3",$R$63:$T$91,3,FALSE)+VLOOKUP("CP",$R$63:$T$91,3,FALSE),0)+IF(AND($O22&lt;&gt;"",$O22&lt;&gt;"--",$O22&lt;&gt;"O3/CP",$O$14=C$18),IF(LEFT($O22,1)="P",VLOOKUP(CONCATENATE(LEFT($O22,2),"H"),$R$63:$T$91,3,FALSE),VLOOKUP($O22,$R$63:$T$91,3,FALSE)))+IF(AND($O22&lt;&gt;"",$O22&lt;&gt;"O3/CP",$O$15=C$18,MID($O22,4,1)="2",$O$15&lt;&gt;$O$14),VLOOKUP(CONCATENATE(LEFT($O22,2),"L"),$R$63:$T$91,3,FALSE),0)+IF(AND($O22="O3/CP",$O$14=C$18),VLOOKUP("O3",$R$63:$T$91,3,FALSE)+VLOOKUP("CP",$R$63:$T$91,3,FALSE),0)+IF(AND($P22&lt;&gt;"",$P22&lt;&gt;"--",$P22&lt;&gt;"O3/CP",$P$14=C$18),IF(LEFT($P22,1)="P",VLOOKUP(CONCATENATE(LEFT($P22,2),"H"),$R$63:$T$91,3,FALSE),VLOOKUP($P22,$R$63:$T$91,3,FALSE)))+IF(AND($P22&lt;&gt;"",$P22&lt;&gt;"O3/CP",$P$15=C$18,MID($P22,4,1)="2",$P$15&lt;&gt;$P$14),VLOOKUP(CONCATENATE(LEFT($P22,2),"L"),$R$63:$T$91,3,FALSE),0)+IF(AND($P22="O3/CP",$P$14=C$18),VLOOKUP("O3",$R$63:$T$91,3,FALSE)+VLOOKUP("CP",$R$63:$T$91,3,FALSE),0)+IF(AND($Q22&lt;&gt;"",$Q22&lt;&gt;"--",$Q22&lt;&gt;"O3/CP",$Q$14=C$18),IF(LEFT($Q22,1)="P",VLOOKUP(CONCATENATE(LEFT($Q22,2),"H"),$R$63:$T$91,3,FALSE),VLOOKUP($Q22,$R$63:$T$91,3,FALSE)))+IF(AND($Q22&lt;&gt;"",$Q22&lt;&gt;"O3/CP",$Q$15=C$18,MID($Q22,4,1)="2",$Q$15&lt;&gt;$Q$14),VLOOKUP(CONCATENATE(LEFT($Q22,2),"L"),$R$63:$T$91,3,FALSE),0)+IF(AND($Q22="O3/CP",$Q$14=C$18),VLOOKUP("O3",$R$63:$T$91,3,FALSE)+VLOOKUP("CP",$R$63:$T$91,3,FALSE),0)+IF(AND($R22&lt;&gt;"",$R22&lt;&gt;"--",$R22&lt;&gt;"O3/CP",$R$14=C$18),IF(LEFT($R22,1)="P",VLOOKUP(CONCATENATE(LEFT($R22,2),"H"),$R$63:$T$91,3,FALSE),VLOOKUP($R22,$R$63:$T$91,3,FALSE)))+IF(AND($R22&lt;&gt;"",$R22&lt;&gt;"O3/CP",$R$15=C$18,MID($R22,4,1)="2",$R$15&lt;&gt;$R$14),VLOOKUP(CONCATENATE(LEFT($R22,2),"L"),$R$63:$T$91,3,FALSE),0)+IF(AND($R22="O3/CP",$R$14=C$18),VLOOKUP("O3",$R$63:$T$91,3,FALSE)+VLOOKUP("CP",$R$63:$T$91,3,FALSE),0)+IF(AND($S22&lt;&gt;"",$S22&lt;&gt;"--",$S22&lt;&gt;"O3/CP",$S$14=C$18),IF(LEFT($S22,1)="P",VLOOKUP(CONCATENATE(LEFT($S22,2),"H"),$R$63:$T$91,3,FALSE),VLOOKUP($S22,$R$63:$T$91,3,FALSE)))+IF(AND($S22&lt;&gt;"",$S22&lt;&gt;"O3/CP",$S$15=C$18,MID($S22,4,1)="2",$S$15&lt;&gt;$S$14),VLOOKUP(CONCATENATE(LEFT($S22,2),"L"),$R$63:$T$91,3,FALSE),0)+IF(AND($S22="O3/CP",$S$14=C$18),VLOOKUP("O3",$R$63:$T$91,3,FALSE)+VLOOKUP("CP",$R$63:$T$91,3,FALSE),0)+IF(AND($T22&lt;&gt;"",$T22&lt;&gt;"--",$T22&lt;&gt;"O3/CP",$T$14=C$18),IF(LEFT($T22,1)="P",VLOOKUP(CONCATENATE(LEFT($T22,2),"H"),$R$63:$T$91,3,FALSE),VLOOKUP($T22,$R$63:$T$91,3,FALSE)))+IF(AND($T22&lt;&gt;"",$T22&lt;&gt;"O3/CP",$T$15=C$18,MID($T22,4,1)="2",$T$15&lt;&gt;$T$14),VLOOKUP(CONCATENATE(LEFT($T22,2),"L"),$R$63:$T$91,3,FALSE),0)+IF(AND($T22="O3/CP",$T$14=C$18),VLOOKUP("O3",$R$63:$T$91,3,FALSE)+VLOOKUP("CP",$R$63:$T$91,3,FALSE),0)+IF(AND($U22&lt;&gt;"",$U22&lt;&gt;"--",$U22&lt;&gt;"O3/CP",$U$14=C$18),IF(LEFT($U22,1)="P",VLOOKUP(CONCATENATE(LEFT($U22,2),"H"),$R$63:$T$91,3,FALSE),VLOOKUP($U22,$R$63:$T$91,3,FALSE)))+IF(AND($U22&lt;&gt;"",$U22&lt;&gt;"O3/CP",$U$15=C$18,MID($U22,4,1)="2",$U$15&lt;&gt;$U$14),VLOOKUP(CONCATENATE(LEFT($U22,2),"L"),$R$63:$T$91,3,FALSE),0)+IF(AND($U22="O3/CP",$T$14=C$18),VLOOKUP("O3",$R$63:$T$91,3,FALSE)+VLOOKUP("CP",$R$63:$T$91,3,FALSE),0)+IF(AND($V22&lt;&gt;"",$V22&lt;&gt;"--",$V22&lt;&gt;"O3/CP",$V$14=C$18),IF(LEFT($V22,1)="P",VLOOKUP(CONCATENATE(LEFT($V22,2),"H"),$R$63:$T$91,3,FALSE),VLOOKUP($V22,$R$63:$T$91,3,FALSE)))+IF(AND($V22&lt;&gt;"",$V22&lt;&gt;"O3/CP",$V$15=C$18,MID($V22,4,1)="2",$V$15&lt;&gt;$V$14),VLOOKUP(CONCATENATE(LEFT($V22,2),"L"),$R$63:$T$91,3,FALSE),0)+IF(AND($V22="O3/CP",$V$14=C$18),VLOOKUP("O3",$R$63:$T$91,3,FALSE)+VLOOKUP("CP",$R$63:$T$91,3,FALSE),0)+IF(AND($W22&lt;&gt;"",$W22&lt;&gt;"--",$W22&lt;&gt;"O3/CP",$W$14=C$18),IF(LEFT($W22,1)="P",VLOOKUP(CONCATENATE(LEFT($W22,2),"H"),$R$63:$T$91,3,FALSE),VLOOKUP($W22,$R$63:$T$91,3,FALSE)))+IF(AND($W22&lt;&gt;"",$W22&lt;&gt;"O3/CP",$W$15=C$18,MID($W22,4,1)="2",$W$15&lt;&gt;$W$14),VLOOKUP(CONCATENATE(LEFT($W22,2),"L"),$R$63:$T$91,3,FALSE),0)+IF(AND($W22="O3/CP",$W$14=C$18),VLOOKUP("O3",$R$63:$T$91,3,FALSE)+VLOOKUP("CP",$R$63:$T$91,3,FALSE),0)+IF(AND($X22&lt;&gt;"",$X22&lt;&gt;"--",$X22&lt;&gt;"O3/CP",$X$14=C$18),IF(LEFT($X22,1)="P",VLOOKUP(CONCATENATE(LEFT($X22,2),"H"),$R$63:$T$91,3,FALSE),VLOOKUP($X22,$R$63:$T$91,3,FALSE)))+IF(AND($X22&lt;&gt;"",$X22&lt;&gt;"O3/CP",$X$15=C$18,MID($X22,4,1)="2",$X$15&lt;&gt;$X$14),VLOOKUP(CONCATENATE(LEFT($X22,2),"L"),$R$63:$T$91,3,FALSE),0)+IF(AND($X22="O3/CP",$X$14=C$18),VLOOKUP("O3",$R$63:$T$91,3,FALSE)+VLOOKUP("CP",$R$63:$T$91,3,FALSE),0)+IF(AND($Y22&lt;&gt;"",$Y22&lt;&gt;"--",$Y22&lt;&gt;"O3/CP",$Y$14=C$18),IF(LEFT($Y22,1)="P",VLOOKUP(CONCATENATE(LEFT($Y22,2),"H"),$R$63:$T$91,3,FALSE),VLOOKUP($Y22,$R$63:$T$91,3,FALSE)))+IF(AND($Y22&lt;&gt;"",$Y22&lt;&gt;"O3/CP",$Y$15=C$18,MID($Y22,4,1)="2",$Y$15&lt;&gt;$Y$14),VLOOKUP(CONCATENATE(LEFT($Y22,2),"L"),$R$63:$T$91,3,FALSE),0)+IF(AND($Y22="O3/CP",$Y$14=C$18),VLOOKUP("O3",$R$63:$T$91,3,FALSE)+VLOOKUP("CP",$R$63:$T$91,3,FALSE),0)+IF(AND($K$6="CE",'[3]Supply Attribution'!$G$20=C$18),LEFT($S$90,2),0)+IF(AND($X$86&lt;&gt;"Not Set",$X$87=C$18),$X$86,0)</f>
        <v>14</v>
      </c>
      <c r="D22" s="269">
        <f>IF(AND($K22&lt;&gt;"",$K22&lt;&gt;"--",$K22&lt;&gt;"O3/CP",$K$14=D$18),IF(LEFT($K22,1)="P",VLOOKUP(CONCATENATE(LEFT($K22,2),"H"),$R$63:$T$91,3,FALSE),VLOOKUP($K22,$R$63:$T$91,3,FALSE)))+IF(AND($K22&lt;&gt;"",$K22&lt;&gt;"O3/CP",$K$15=D$18,MID($K22,4,1)="2",$K$15&lt;&gt;$K$14),VLOOKUP(CONCATENATE(LEFT($K22,2),"L"),$R$63:$T$91,3,FALSE),0)+IF(AND($K22="O3/CP",$K$14=D$18),VLOOKUP("O3",$R$63:$T$91,3,FALSE)+VLOOKUP("CP",$R$63:$T$91,3,FALSE),0)+IF(AND($L22&lt;&gt;"",$L22&lt;&gt;"--",$L22&lt;&gt;"O3/CP",$L$14=D$18),IF(LEFT($L22,1)="P",VLOOKUP(CONCATENATE(LEFT($L22,2),"H"),$R$63:$T$91,3,FALSE),VLOOKUP($L22,$R$63:$T$91,3,FALSE)))+IF(AND($L22&lt;&gt;"",$L22&lt;&gt;"O3/CP",$L$15=D$18,MID($L22,4,1)="2",$L$15&lt;&gt;$L$14),VLOOKUP(CONCATENATE(LEFT($L22,2),"L"),$R$63:$T$91,3,FALSE),0)+IF(AND($L22="O3/CP",$L$14=D$18),VLOOKUP("O3",$R$63:$T$91,3,FALSE)+VLOOKUP("CP",$R$63:$T$91,3,FALSE),0)+IF(AND($M22&lt;&gt;"",$M22&lt;&gt;"--",$M22&lt;&gt;"O3/CP",$M$14=D$18),IF(LEFT($M22,1)="P",VLOOKUP(CONCATENATE(LEFT($M22,2),"H"),$R$63:$T$91,3,FALSE),VLOOKUP($M22,$R$63:$T$91,3,FALSE)))+IF(AND($M22&lt;&gt;"",$M22&lt;&gt;"O3/CP",$M$15=D$18,MID($M22,4,1)="2",$M$15&lt;&gt;$M$14),VLOOKUP(CONCATENATE(LEFT($M22,2),"L"),$R$63:$T$91,3,FALSE),0)+IF(AND($M22="O3/CP",$M$14=D$18),VLOOKUP("O3",$R$63:$T$91,3,FALSE)+VLOOKUP("CP",$R$63:$T$91,3,FALSE),0)+IF(AND($N22&lt;&gt;"",$N22&lt;&gt;"--",$N22&lt;&gt;"O3/CP",$N$14=D$18),IF(LEFT($N22,1)="P",VLOOKUP(CONCATENATE(LEFT($N22,2),"H"),$R$63:$T$91,3,FALSE),VLOOKUP($N22,$R$63:$T$91,3,FALSE)))+IF(AND($N22&lt;&gt;"",$N22&lt;&gt;"O3/CP",$N$15=D$18,MID($N22,4,1)="2",$N$15&lt;&gt;$N$14),VLOOKUP(CONCATENATE(LEFT($N22,2),"L"),$R$63:$T$91,3,FALSE),0)+IF(AND($N22="O3/CP",$N$14=D$18),VLOOKUP("O3",$R$63:$T$91,3,FALSE)+VLOOKUP("CP",$R$63:$T$91,3,FALSE),0)+IF(AND($O22&lt;&gt;"",$O22&lt;&gt;"--",$O22&lt;&gt;"O3/CP",$O$14=D$18),IF(LEFT($O22,1)="P",VLOOKUP(CONCATENATE(LEFT($O22,2),"H"),$R$63:$T$91,3,FALSE),VLOOKUP($O22,$R$63:$T$91,3,FALSE)))+IF(AND($O22&lt;&gt;"",$O22&lt;&gt;"O3/CP",$O$15=D$18,MID($O22,4,1)="2",$O$15&lt;&gt;$O$14),VLOOKUP(CONCATENATE(LEFT($O22,2),"L"),$R$63:$T$91,3,FALSE),0)+IF(AND($O22="O3/CP",$O$14=D$18),VLOOKUP("O3",$R$63:$T$91,3,FALSE)+VLOOKUP("CP",$R$63:$T$91,3,FALSE),0)+IF(AND($P22&lt;&gt;"",$P22&lt;&gt;"--",$P22&lt;&gt;"O3/CP",$P$14=D$18),IF(LEFT($P22,1)="P",VLOOKUP(CONCATENATE(LEFT($P22,2),"H"),$R$63:$T$91,3,FALSE),VLOOKUP($P22,$R$63:$T$91,3,FALSE)))+IF(AND($P22&lt;&gt;"",$P22&lt;&gt;"O3/CP",$P$15=D$18,MID($P22,4,1)="2",$P$15&lt;&gt;$P$14),VLOOKUP(CONCATENATE(LEFT($P22,2),"L"),$R$63:$T$91,3,FALSE),0)+IF(AND($P22="O3/CP",$P$14=D$18),VLOOKUP("O3",$R$63:$T$91,3,FALSE)+VLOOKUP("CP",$R$63:$T$91,3,FALSE),0)+IF(AND($Q22&lt;&gt;"",$Q22&lt;&gt;"--",$Q22&lt;&gt;"O3/CP",$Q$14=D$18),IF(LEFT($Q22,1)="P",VLOOKUP(CONCATENATE(LEFT($Q22,2),"H"),$R$63:$T$91,3,FALSE),VLOOKUP($Q22,$R$63:$T$91,3,FALSE)))+IF(AND($Q22&lt;&gt;"",$Q22&lt;&gt;"O3/CP",$Q$15=D$18,MID($Q22,4,1)="2",$Q$15&lt;&gt;$Q$14),VLOOKUP(CONCATENATE(LEFT($Q22,2),"L"),$R$63:$T$91,3,FALSE),0)+IF(AND($Q22="O3/CP",$Q$14=D$18),VLOOKUP("O3",$R$63:$T$91,3,FALSE)+VLOOKUP("CP",$R$63:$T$91,3,FALSE),0)+IF(AND($R22&lt;&gt;"",$R22&lt;&gt;"--",$R22&lt;&gt;"O3/CP",$R$14=D$18),IF(LEFT($R22,1)="P",VLOOKUP(CONCATENATE(LEFT($R22,2),"H"),$R$63:$T$91,3,FALSE),VLOOKUP($R22,$R$63:$T$91,3,FALSE)))+IF(AND($R22&lt;&gt;"",$R22&lt;&gt;"O3/CP",$R$15=D$18,MID($R22,4,1)="2",$R$15&lt;&gt;$R$14),VLOOKUP(CONCATENATE(LEFT($R22,2),"L"),$R$63:$T$91,3,FALSE),0)+IF(AND($R22="O3/CP",$R$14=D$18),VLOOKUP("O3",$R$63:$T$91,3,FALSE)+VLOOKUP("CP",$R$63:$T$91,3,FALSE),0)+IF(AND($S22&lt;&gt;"",$S22&lt;&gt;"--",$S22&lt;&gt;"O3/CP",$S$14=D$18),IF(LEFT($S22,1)="P",VLOOKUP(CONCATENATE(LEFT($S22,2),"H"),$R$63:$T$91,3,FALSE),VLOOKUP($S22,$R$63:$T$91,3,FALSE)))+IF(AND($S22&lt;&gt;"",$S22&lt;&gt;"O3/CP",$S$15=D$18,MID($S22,4,1)="2",$S$15&lt;&gt;$S$14),VLOOKUP(CONCATENATE(LEFT($S22,2),"L"),$R$63:$T$91,3,FALSE),0)+IF(AND($S22="O3/CP",$S$14=D$18),VLOOKUP("O3",$R$63:$T$91,3,FALSE)+VLOOKUP("CP",$R$63:$T$91,3,FALSE),0)+IF(AND($T22&lt;&gt;"",$T22&lt;&gt;"--",$T22&lt;&gt;"O3/CP",$T$14=D$18),IF(LEFT($T22,1)="P",VLOOKUP(CONCATENATE(LEFT($T22,2),"H"),$R$63:$T$91,3,FALSE),VLOOKUP($T22,$R$63:$T$91,3,FALSE)))+IF(AND($T22&lt;&gt;"",$T22&lt;&gt;"O3/CP",$T$15=D$18,MID($T22,4,1)="2",$T$15&lt;&gt;$T$14),VLOOKUP(CONCATENATE(LEFT($T22,2),"L"),$R$63:$T$91,3,FALSE),0)+IF(AND($T22="O3/CP",$T$14=D$18),VLOOKUP("O3",$R$63:$T$91,3,FALSE)+VLOOKUP("CP",$R$63:$T$91,3,FALSE),0)+IF(AND($U22&lt;&gt;"",$U22&lt;&gt;"--",$U22&lt;&gt;"O3/CP",$U$14=D$18),IF(LEFT($U22,1)="P",VLOOKUP(CONCATENATE(LEFT($U22,2),"H"),$R$63:$T$91,3,FALSE),VLOOKUP($U22,$R$63:$T$91,3,FALSE)))+IF(AND($U22&lt;&gt;"",$U22&lt;&gt;"O3/CP",$U$15=D$18,MID($U22,4,1)="2",$U$15&lt;&gt;$U$14),VLOOKUP(CONCATENATE(LEFT($U22,2),"L"),$R$63:$T$91,3,FALSE),0)+IF(AND($U22="O3/CP",$T$14=D$18),VLOOKUP("O3",$R$63:$T$91,3,FALSE)+VLOOKUP("CP",$R$63:$T$91,3,FALSE),0)+IF(AND($V22&lt;&gt;"",$V22&lt;&gt;"--",$V22&lt;&gt;"O3/CP",$V$14=D$18),IF(LEFT($V22,1)="P",VLOOKUP(CONCATENATE(LEFT($V22,2),"H"),$R$63:$T$91,3,FALSE),VLOOKUP($V22,$R$63:$T$91,3,FALSE)))+IF(AND($V22&lt;&gt;"",$V22&lt;&gt;"O3/CP",$V$15=D$18,MID($V22,4,1)="2",$V$15&lt;&gt;$V$14),VLOOKUP(CONCATENATE(LEFT($V22,2),"L"),$R$63:$T$91,3,FALSE),0)+IF(AND($V22="O3/CP",$V$14=D$18),VLOOKUP("O3",$R$63:$T$91,3,FALSE)+VLOOKUP("CP",$R$63:$T$91,3,FALSE),0)+IF(AND($W22&lt;&gt;"",$W22&lt;&gt;"--",$W22&lt;&gt;"O3/CP",$W$14=D$18),IF(LEFT($W22,1)="P",VLOOKUP(CONCATENATE(LEFT($W22,2),"H"),$R$63:$T$91,3,FALSE),VLOOKUP($W22,$R$63:$T$91,3,FALSE)))+IF(AND($W22&lt;&gt;"",$W22&lt;&gt;"O3/CP",$W$15=D$18,MID($W22,4,1)="2",$W$15&lt;&gt;$W$14),VLOOKUP(CONCATENATE(LEFT($W22,2),"L"),$R$63:$T$91,3,FALSE),0)+IF(AND($W22="O3/CP",$W$14=D$18),VLOOKUP("O3",$R$63:$T$91,3,FALSE)+VLOOKUP("CP",$R$63:$T$91,3,FALSE),0)+IF(AND($X22&lt;&gt;"",$X22&lt;&gt;"--",$X22&lt;&gt;"O3/CP",$X$14=D$18),IF(LEFT($X22,1)="P",VLOOKUP(CONCATENATE(LEFT($X22,2),"H"),$R$63:$T$91,3,FALSE),VLOOKUP($X22,$R$63:$T$91,3,FALSE)))+IF(AND($X22&lt;&gt;"",$X22&lt;&gt;"O3/CP",$X$15=D$18,MID($X22,4,1)="2",$X$15&lt;&gt;$X$14),VLOOKUP(CONCATENATE(LEFT($X22,2),"L"),$R$63:$T$91,3,FALSE),0)+IF(AND($X22="O3/CP",$X$14=D$18),VLOOKUP("O3",$R$63:$T$91,3,FALSE)+VLOOKUP("CP",$R$63:$T$91,3,FALSE),0)+IF(AND($Y22&lt;&gt;"",$Y22&lt;&gt;"--",$Y22&lt;&gt;"O3/CP",$Y$14=D$18),IF(LEFT($Y22,1)="P",VLOOKUP(CONCATENATE(LEFT($Y22,2),"H"),$R$63:$T$91,3,FALSE),VLOOKUP($Y22,$R$63:$T$91,3,FALSE)))+IF(AND($Y22&lt;&gt;"",$Y22&lt;&gt;"O3/CP",$Y$15=D$18,MID($Y22,4,1)="2",$Y$15&lt;&gt;$Y$14),VLOOKUP(CONCATENATE(LEFT($Y22,2),"L"),$R$63:$T$91,3,FALSE),0)+IF(AND($Y22="O3/CP",$Y$14=D$18),VLOOKUP("O3",$R$63:$T$91,3,FALSE)+VLOOKUP("CP",$R$63:$T$91,3,FALSE),0)+IF(AND($K$6="CE",'[3]Supply Attribution'!$G$20=D$18),LEFT($S$90,2),0)+IF(AND($X$86&lt;&gt;"Not Set",$X$87=D$18),$X$86,0)</f>
        <v>0</v>
      </c>
      <c r="E22" s="269">
        <f>IF(AND($K22&lt;&gt;"",$K22&lt;&gt;"--",$K22&lt;&gt;"O3/CP",$K$14=E$18),IF(LEFT($K22,1)="P",VLOOKUP(CONCATENATE(LEFT($K22,2),"H"),$R$63:$T$91,3,FALSE),VLOOKUP($K22,$R$63:$T$91,3,FALSE)))+IF(AND($K22&lt;&gt;"",$K22&lt;&gt;"O3/CP",$K$15=E$18,MID($K22,4,1)="2",$K$15&lt;&gt;$K$14),VLOOKUP(CONCATENATE(LEFT($K22,2),"L"),$R$63:$T$91,3,FALSE),0)+IF(AND($K22="O3/CP",$K$14=E$18),VLOOKUP("O3",$R$63:$T$91,3,FALSE)+VLOOKUP("CP",$R$63:$T$91,3,FALSE),0)+IF(AND($L22&lt;&gt;"",$L22&lt;&gt;"--",$L22&lt;&gt;"O3/CP",$L$14=E$18),IF(LEFT($L22,1)="P",VLOOKUP(CONCATENATE(LEFT($L22,2),"H"),$R$63:$T$91,3,FALSE),VLOOKUP($L22,$R$63:$T$91,3,FALSE)))+IF(AND($L22&lt;&gt;"",$L22&lt;&gt;"O3/CP",$L$15=E$18,MID($L22,4,1)="2",$L$15&lt;&gt;$L$14),VLOOKUP(CONCATENATE(LEFT($L22,2),"L"),$R$63:$T$91,3,FALSE),0)+IF(AND($L22="O3/CP",$L$14=E$18),VLOOKUP("O3",$R$63:$T$91,3,FALSE)+VLOOKUP("CP",$R$63:$T$91,3,FALSE),0)+IF(AND($M22&lt;&gt;"",$M22&lt;&gt;"--",$M22&lt;&gt;"O3/CP",$M$14=E$18),IF(LEFT($M22,1)="P",VLOOKUP(CONCATENATE(LEFT($M22,2),"H"),$R$63:$T$91,3,FALSE),VLOOKUP($M22,$R$63:$T$91,3,FALSE)))+IF(AND($M22&lt;&gt;"",$M22&lt;&gt;"O3/CP",$M$15=E$18,MID($M22,4,1)="2",$M$15&lt;&gt;$M$14),VLOOKUP(CONCATENATE(LEFT($M22,2),"L"),$R$63:$T$91,3,FALSE),0)+IF(AND($M22="O3/CP",$M$14=E$18),VLOOKUP("O3",$R$63:$T$91,3,FALSE)+VLOOKUP("CP",$R$63:$T$91,3,FALSE),0)+IF(AND($N22&lt;&gt;"",$N22&lt;&gt;"--",$N22&lt;&gt;"O3/CP",$N$14=E$18),IF(LEFT($N22,1)="P",VLOOKUP(CONCATENATE(LEFT($N22,2),"H"),$R$63:$T$91,3,FALSE),VLOOKUP($N22,$R$63:$T$91,3,FALSE)))+IF(AND($N22&lt;&gt;"",$N22&lt;&gt;"O3/CP",$N$15=E$18,MID($N22,4,1)="2",$N$15&lt;&gt;$N$14),VLOOKUP(CONCATENATE(LEFT($N22,2),"L"),$R$63:$T$91,3,FALSE),0)+IF(AND($N22="O3/CP",$N$14=E$18),VLOOKUP("O3",$R$63:$T$91,3,FALSE)+VLOOKUP("CP",$R$63:$T$91,3,FALSE),0)+IF(AND($O22&lt;&gt;"",$O22&lt;&gt;"--",$O22&lt;&gt;"O3/CP",$O$14=E$18),IF(LEFT($O22,1)="P",VLOOKUP(CONCATENATE(LEFT($O22,2),"H"),$R$63:$T$91,3,FALSE),VLOOKUP($O22,$R$63:$T$91,3,FALSE)))+IF(AND($O22&lt;&gt;"",$O22&lt;&gt;"O3/CP",$O$15=E$18,MID($O22,4,1)="2",$O$15&lt;&gt;$O$14),VLOOKUP(CONCATENATE(LEFT($O22,2),"L"),$R$63:$T$91,3,FALSE),0)+IF(AND($O22="O3/CP",$O$14=E$18),VLOOKUP("O3",$R$63:$T$91,3,FALSE)+VLOOKUP("CP",$R$63:$T$91,3,FALSE),0)+IF(AND($P22&lt;&gt;"",$P22&lt;&gt;"--",$P22&lt;&gt;"O3/CP",$P$14=E$18),IF(LEFT($P22,1)="P",VLOOKUP(CONCATENATE(LEFT($P22,2),"H"),$R$63:$T$91,3,FALSE),VLOOKUP($P22,$R$63:$T$91,3,FALSE)))+IF(AND($P22&lt;&gt;"",$P22&lt;&gt;"O3/CP",$P$15=E$18,MID($P22,4,1)="2",$P$15&lt;&gt;$P$14),VLOOKUP(CONCATENATE(LEFT($P22,2),"L"),$R$63:$T$91,3,FALSE),0)+IF(AND($P22="O3/CP",$P$14=E$18),VLOOKUP("O3",$R$63:$T$91,3,FALSE)+VLOOKUP("CP",$R$63:$T$91,3,FALSE),0)+IF(AND($Q22&lt;&gt;"",$Q22&lt;&gt;"--",$Q22&lt;&gt;"O3/CP",$Q$14=E$18),IF(LEFT($Q22,1)="P",VLOOKUP(CONCATENATE(LEFT($Q22,2),"H"),$R$63:$T$91,3,FALSE),VLOOKUP($Q22,$R$63:$T$91,3,FALSE)))+IF(AND($Q22&lt;&gt;"",$Q22&lt;&gt;"O3/CP",$Q$15=E$18,MID($Q22,4,1)="2",$Q$15&lt;&gt;$Q$14),VLOOKUP(CONCATENATE(LEFT($Q22,2),"L"),$R$63:$T$91,3,FALSE),0)+IF(AND($Q22="O3/CP",$Q$14=E$18),VLOOKUP("O3",$R$63:$T$91,3,FALSE)+VLOOKUP("CP",$R$63:$T$91,3,FALSE),0)+IF(AND($R22&lt;&gt;"",$R22&lt;&gt;"--",$R22&lt;&gt;"O3/CP",$R$14=E$18),IF(LEFT($R22,1)="P",VLOOKUP(CONCATENATE(LEFT($R22,2),"H"),$R$63:$T$91,3,FALSE),VLOOKUP($R22,$R$63:$T$91,3,FALSE)))+IF(AND($R22&lt;&gt;"",$R22&lt;&gt;"O3/CP",$R$15=E$18,MID($R22,4,1)="2",$R$15&lt;&gt;$R$14),VLOOKUP(CONCATENATE(LEFT($R22,2),"L"),$R$63:$T$91,3,FALSE),0)+IF(AND($R22="O3/CP",$R$14=E$18),VLOOKUP("O3",$R$63:$T$91,3,FALSE)+VLOOKUP("CP",$R$63:$T$91,3,FALSE),0)+IF(AND($S22&lt;&gt;"",$S22&lt;&gt;"--",$S22&lt;&gt;"O3/CP",$S$14=E$18),IF(LEFT($S22,1)="P",VLOOKUP(CONCATENATE(LEFT($S22,2),"H"),$R$63:$T$91,3,FALSE),VLOOKUP($S22,$R$63:$T$91,3,FALSE)))+IF(AND($S22&lt;&gt;"",$S22&lt;&gt;"O3/CP",$S$15=E$18,MID($S22,4,1)="2",$S$15&lt;&gt;$S$14),VLOOKUP(CONCATENATE(LEFT($S22,2),"L"),$R$63:$T$91,3,FALSE),0)+IF(AND($S22="O3/CP",$S$14=E$18),VLOOKUP("O3",$R$63:$T$91,3,FALSE)+VLOOKUP("CP",$R$63:$T$91,3,FALSE),0)+IF(AND($T22&lt;&gt;"",$T22&lt;&gt;"--",$T22&lt;&gt;"O3/CP",$T$14=E$18),IF(LEFT($T22,1)="P",VLOOKUP(CONCATENATE(LEFT($T22,2),"H"),$R$63:$T$91,3,FALSE),VLOOKUP($T22,$R$63:$T$91,3,FALSE)))+IF(AND($T22&lt;&gt;"",$T22&lt;&gt;"O3/CP",$T$15=E$18,MID($T22,4,1)="2",$T$15&lt;&gt;$T$14),VLOOKUP(CONCATENATE(LEFT($T22,2),"L"),$R$63:$T$91,3,FALSE),0)+IF(AND($T22="O3/CP",$T$14=E$18),VLOOKUP("O3",$R$63:$T$91,3,FALSE)+VLOOKUP("CP",$R$63:$T$91,3,FALSE),0)+IF(AND($U22&lt;&gt;"",$U22&lt;&gt;"--",$U22&lt;&gt;"O3/CP",$U$14=E$18),IF(LEFT($U22,1)="P",VLOOKUP(CONCATENATE(LEFT($U22,2),"H"),$R$63:$T$91,3,FALSE),VLOOKUP($U22,$R$63:$T$91,3,FALSE)))+IF(AND($U22&lt;&gt;"",$U22&lt;&gt;"O3/CP",$U$15=E$18,MID($U22,4,1)="2",$U$15&lt;&gt;$U$14),VLOOKUP(CONCATENATE(LEFT($U22,2),"L"),$R$63:$T$91,3,FALSE),0)+IF(AND($U22="O3/CP",$T$14=E$18),VLOOKUP("O3",$R$63:$T$91,3,FALSE)+VLOOKUP("CP",$R$63:$T$91,3,FALSE),0)+IF(AND($V22&lt;&gt;"",$V22&lt;&gt;"--",$V22&lt;&gt;"O3/CP",$V$14=E$18),IF(LEFT($V22,1)="P",VLOOKUP(CONCATENATE(LEFT($V22,2),"H"),$R$63:$T$91,3,FALSE),VLOOKUP($V22,$R$63:$T$91,3,FALSE)))+IF(AND($V22&lt;&gt;"",$V22&lt;&gt;"O3/CP",$V$15=E$18,MID($V22,4,1)="2",$V$15&lt;&gt;$V$14),VLOOKUP(CONCATENATE(LEFT($V22,2),"L"),$R$63:$T$91,3,FALSE),0)+IF(AND($V22="O3/CP",$V$14=E$18),VLOOKUP("O3",$R$63:$T$91,3,FALSE)+VLOOKUP("CP",$R$63:$T$91,3,FALSE),0)+IF(AND($W22&lt;&gt;"",$W22&lt;&gt;"--",$W22&lt;&gt;"O3/CP",$W$14=E$18),IF(LEFT($W22,1)="P",VLOOKUP(CONCATENATE(LEFT($W22,2),"H"),$R$63:$T$91,3,FALSE),VLOOKUP($W22,$R$63:$T$91,3,FALSE)))+IF(AND($W22&lt;&gt;"",$W22&lt;&gt;"O3/CP",$W$15=E$18,MID($W22,4,1)="2",$W$15&lt;&gt;$W$14),VLOOKUP(CONCATENATE(LEFT($W22,2),"L"),$R$63:$T$91,3,FALSE),0)+IF(AND($W22="O3/CP",$W$14=E$18),VLOOKUP("O3",$R$63:$T$91,3,FALSE)+VLOOKUP("CP",$R$63:$T$91,3,FALSE),0)+IF(AND($X22&lt;&gt;"",$X22&lt;&gt;"--",$X22&lt;&gt;"O3/CP",$X$14=E$18),IF(LEFT($X22,1)="P",VLOOKUP(CONCATENATE(LEFT($X22,2),"H"),$R$63:$T$91,3,FALSE),VLOOKUP($X22,$R$63:$T$91,3,FALSE)))+IF(AND($X22&lt;&gt;"",$X22&lt;&gt;"O3/CP",$X$15=E$18,MID($X22,4,1)="2",$X$15&lt;&gt;$X$14),VLOOKUP(CONCATENATE(LEFT($X22,2),"L"),$R$63:$T$91,3,FALSE),0)+IF(AND($X22="O3/CP",$X$14=E$18),VLOOKUP("O3",$R$63:$T$91,3,FALSE)+VLOOKUP("CP",$R$63:$T$91,3,FALSE),0)+IF(AND($Y22&lt;&gt;"",$Y22&lt;&gt;"--",$Y22&lt;&gt;"O3/CP",$Y$14=E$18),IF(LEFT($Y22,1)="P",VLOOKUP(CONCATENATE(LEFT($Y22,2),"H"),$R$63:$T$91,3,FALSE),VLOOKUP($Y22,$R$63:$T$91,3,FALSE)))+IF(AND($Y22&lt;&gt;"",$Y22&lt;&gt;"O3/CP",$Y$15=E$18,MID($Y22,4,1)="2",$Y$15&lt;&gt;$Y$14),VLOOKUP(CONCATENATE(LEFT($Y22,2),"L"),$R$63:$T$91,3,FALSE),0)+IF(AND($Y22="O3/CP",$Y$14=E$18),VLOOKUP("O3",$R$63:$T$91,3,FALSE)+VLOOKUP("CP",$R$63:$T$91,3,FALSE),0)+IF(AND($K$6="CE",'[3]Supply Attribution'!$G$20=E$18),LEFT($S$90,2),0)+IF(AND($X$86&lt;&gt;"Not Set",$X$87=E$18),$X$86,0)</f>
        <v>0</v>
      </c>
      <c r="F22" s="268">
        <f>IF(AND($K22&lt;&gt;"",$K22&lt;&gt;"--",$K22&lt;&gt;"O3/CP",$K$14=F$18),IF(LEFT($K22,1)="P",VLOOKUP(CONCATENATE(LEFT($K22,2),"H"),$R$63:$T$91,3,FALSE),VLOOKUP($K22,$R$63:$T$91,3,FALSE)))+IF(AND($K22&lt;&gt;"",$K22&lt;&gt;"O3/CP",$K$15=F$18,MID($K22,4,1)="2",$K$15&lt;&gt;$K$14),VLOOKUP(CONCATENATE(LEFT($K22,2),"L"),$R$63:$T$91,3,FALSE),0)+IF(AND($K22="O3/CP",$K$14=F$18),VLOOKUP("O3",$R$63:$T$91,3,FALSE)+VLOOKUP("CP",$R$63:$T$91,3,FALSE),0)+IF(AND($L22&lt;&gt;"",$L22&lt;&gt;"--",$L22&lt;&gt;"O3/CP",$L$14=F$18),IF(LEFT($L22,1)="P",VLOOKUP(CONCATENATE(LEFT($L22,2),"H"),$R$63:$T$91,3,FALSE),VLOOKUP($L22,$R$63:$T$91,3,FALSE)))+IF(AND($L22&lt;&gt;"",$L22&lt;&gt;"O3/CP",$L$15=F$18,MID($L22,4,1)="2",$L$15&lt;&gt;$L$14),VLOOKUP(CONCATENATE(LEFT($L22,2),"L"),$R$63:$T$91,3,FALSE),0)+IF(AND($L22="O3/CP",$L$14=F$18),VLOOKUP("O3",$R$63:$T$91,3,FALSE)+VLOOKUP("CP",$R$63:$T$91,3,FALSE),0)+IF(AND($M22&lt;&gt;"",$M22&lt;&gt;"--",$M22&lt;&gt;"O3/CP",$M$14=F$18),IF(LEFT($M22,1)="P",VLOOKUP(CONCATENATE(LEFT($M22,2),"H"),$R$63:$T$91,3,FALSE),VLOOKUP($M22,$R$63:$T$91,3,FALSE)))+IF(AND($M22&lt;&gt;"",$M22&lt;&gt;"O3/CP",$M$15=F$18,MID($M22,4,1)="2",$M$15&lt;&gt;$M$14),VLOOKUP(CONCATENATE(LEFT($M22,2),"L"),$R$63:$T$91,3,FALSE),0)+IF(AND($M22="O3/CP",$M$14=F$18),VLOOKUP("O3",$R$63:$T$91,3,FALSE)+VLOOKUP("CP",$R$63:$T$91,3,FALSE),0)+IF(AND($N22&lt;&gt;"",$N22&lt;&gt;"--",$N22&lt;&gt;"O3/CP",$N$14=F$18),IF(LEFT($N22,1)="P",VLOOKUP(CONCATENATE(LEFT($N22,2),"H"),$R$63:$T$91,3,FALSE),VLOOKUP($N22,$R$63:$T$91,3,FALSE)))+IF(AND($N22&lt;&gt;"",$N22&lt;&gt;"O3/CP",$N$15=F$18,MID($N22,4,1)="2",$N$15&lt;&gt;$N$14),VLOOKUP(CONCATENATE(LEFT($N22,2),"L"),$R$63:$T$91,3,FALSE),0)+IF(AND($N22="O3/CP",$N$14=F$18),VLOOKUP("O3",$R$63:$T$91,3,FALSE)+VLOOKUP("CP",$R$63:$T$91,3,FALSE),0)+IF(AND($O22&lt;&gt;"",$O22&lt;&gt;"--",$O22&lt;&gt;"O3/CP",$O$14=F$18),IF(LEFT($O22,1)="P",VLOOKUP(CONCATENATE(LEFT($O22,2),"H"),$R$63:$T$91,3,FALSE),VLOOKUP($O22,$R$63:$T$91,3,FALSE)))+IF(AND($O22&lt;&gt;"",$O22&lt;&gt;"O3/CP",$O$15=F$18,MID($O22,4,1)="2",$O$15&lt;&gt;$O$14),VLOOKUP(CONCATENATE(LEFT($O22,2),"L"),$R$63:$T$91,3,FALSE),0)+IF(AND($O22="O3/CP",$O$14=F$18),VLOOKUP("O3",$R$63:$T$91,3,FALSE)+VLOOKUP("CP",$R$63:$T$91,3,FALSE),0)+IF(AND($P22&lt;&gt;"",$P22&lt;&gt;"--",$P22&lt;&gt;"O3/CP",$P$14=F$18),IF(LEFT($P22,1)="P",VLOOKUP(CONCATENATE(LEFT($P22,2),"H"),$R$63:$T$91,3,FALSE),VLOOKUP($P22,$R$63:$T$91,3,FALSE)))+IF(AND($P22&lt;&gt;"",$P22&lt;&gt;"O3/CP",$P$15=F$18,MID($P22,4,1)="2",$P$15&lt;&gt;$P$14),VLOOKUP(CONCATENATE(LEFT($P22,2),"L"),$R$63:$T$91,3,FALSE),0)+IF(AND($P22="O3/CP",$P$14=F$18),VLOOKUP("O3",$R$63:$T$91,3,FALSE)+VLOOKUP("CP",$R$63:$T$91,3,FALSE),0)+IF(AND($Q22&lt;&gt;"",$Q22&lt;&gt;"--",$Q22&lt;&gt;"O3/CP",$Q$14=F$18),IF(LEFT($Q22,1)="P",VLOOKUP(CONCATENATE(LEFT($Q22,2),"H"),$R$63:$T$91,3,FALSE),VLOOKUP($Q22,$R$63:$T$91,3,FALSE)))+IF(AND($Q22&lt;&gt;"",$Q22&lt;&gt;"O3/CP",$Q$15=F$18,MID($Q22,4,1)="2",$Q$15&lt;&gt;$Q$14),VLOOKUP(CONCATENATE(LEFT($Q22,2),"L"),$R$63:$T$91,3,FALSE),0)+IF(AND($Q22="O3/CP",$Q$14=F$18),VLOOKUP("O3",$R$63:$T$91,3,FALSE)+VLOOKUP("CP",$R$63:$T$91,3,FALSE),0)+IF(AND($R22&lt;&gt;"",$R22&lt;&gt;"--",$R22&lt;&gt;"O3/CP",$R$14=F$18),IF(LEFT($R22,1)="P",VLOOKUP(CONCATENATE(LEFT($R22,2),"H"),$R$63:$T$91,3,FALSE),VLOOKUP($R22,$R$63:$T$91,3,FALSE)))+IF(AND($R22&lt;&gt;"",$R22&lt;&gt;"O3/CP",$R$15=F$18,MID($R22,4,1)="2",$R$15&lt;&gt;$R$14),VLOOKUP(CONCATENATE(LEFT($R22,2),"L"),$R$63:$T$91,3,FALSE),0)+IF(AND($R22="O3/CP",$R$14=F$18),VLOOKUP("O3",$R$63:$T$91,3,FALSE)+VLOOKUP("CP",$R$63:$T$91,3,FALSE),0)+IF(AND($S22&lt;&gt;"",$S22&lt;&gt;"--",$S22&lt;&gt;"O3/CP",$S$14=F$18),IF(LEFT($S22,1)="P",VLOOKUP(CONCATENATE(LEFT($S22,2),"H"),$R$63:$T$91,3,FALSE),VLOOKUP($S22,$R$63:$T$91,3,FALSE)))+IF(AND($S22&lt;&gt;"",$S22&lt;&gt;"O3/CP",$S$15=F$18,MID($S22,4,1)="2",$S$15&lt;&gt;$S$14),VLOOKUP(CONCATENATE(LEFT($S22,2),"L"),$R$63:$T$91,3,FALSE),0)+IF(AND($S22="O3/CP",$S$14=F$18),VLOOKUP("O3",$R$63:$T$91,3,FALSE)+VLOOKUP("CP",$R$63:$T$91,3,FALSE),0)+IF(AND($T22&lt;&gt;"",$T22&lt;&gt;"--",$T22&lt;&gt;"O3/CP",$T$14=F$18),IF(LEFT($T22,1)="P",VLOOKUP(CONCATENATE(LEFT($T22,2),"H"),$R$63:$T$91,3,FALSE),VLOOKUP($T22,$R$63:$T$91,3,FALSE)))+IF(AND($T22&lt;&gt;"",$T22&lt;&gt;"O3/CP",$T$15=F$18,MID($T22,4,1)="2",$T$15&lt;&gt;$T$14),VLOOKUP(CONCATENATE(LEFT($T22,2),"L"),$R$63:$T$91,3,FALSE),0)+IF(AND($T22="O3/CP",$T$14=F$18),VLOOKUP("O3",$R$63:$T$91,3,FALSE)+VLOOKUP("CP",$R$63:$T$91,3,FALSE),0)+IF(AND($U22&lt;&gt;"",$U22&lt;&gt;"--",$U22&lt;&gt;"O3/CP",$U$14=F$18),IF(LEFT($U22,1)="P",VLOOKUP(CONCATENATE(LEFT($U22,2),"H"),$R$63:$T$91,3,FALSE),VLOOKUP($U22,$R$63:$T$91,3,FALSE)))+IF(AND($U22&lt;&gt;"",$U22&lt;&gt;"O3/CP",$U$15=F$18,MID($U22,4,1)="2",$U$15&lt;&gt;$U$14),VLOOKUP(CONCATENATE(LEFT($U22,2),"L"),$R$63:$T$91,3,FALSE),0)+IF(AND($U22="O3/CP",$T$14=F$18),VLOOKUP("O3",$R$63:$T$91,3,FALSE)+VLOOKUP("CP",$R$63:$T$91,3,FALSE),0)+IF(AND($V22&lt;&gt;"",$V22&lt;&gt;"--",$V22&lt;&gt;"O3/CP",$V$14=F$18),IF(LEFT($V22,1)="P",VLOOKUP(CONCATENATE(LEFT($V22,2),"H"),$R$63:$T$91,3,FALSE),VLOOKUP($V22,$R$63:$T$91,3,FALSE)))+IF(AND($V22&lt;&gt;"",$V22&lt;&gt;"O3/CP",$V$15=F$18,MID($V22,4,1)="2",$V$15&lt;&gt;$V$14),VLOOKUP(CONCATENATE(LEFT($V22,2),"L"),$R$63:$T$91,3,FALSE),0)+IF(AND($V22="O3/CP",$V$14=F$18),VLOOKUP("O3",$R$63:$T$91,3,FALSE)+VLOOKUP("CP",$R$63:$T$91,3,FALSE),0)+IF(AND($W22&lt;&gt;"",$W22&lt;&gt;"--",$W22&lt;&gt;"O3/CP",$W$14=F$18),IF(LEFT($W22,1)="P",VLOOKUP(CONCATENATE(LEFT($W22,2),"H"),$R$63:$T$91,3,FALSE),VLOOKUP($W22,$R$63:$T$91,3,FALSE)))+IF(AND($W22&lt;&gt;"",$W22&lt;&gt;"O3/CP",$W$15=F$18,MID($W22,4,1)="2",$W$15&lt;&gt;$W$14),VLOOKUP(CONCATENATE(LEFT($W22,2),"L"),$R$63:$T$91,3,FALSE),0)+IF(AND($W22="O3/CP",$W$14=F$18),VLOOKUP("O3",$R$63:$T$91,3,FALSE)+VLOOKUP("CP",$R$63:$T$91,3,FALSE),0)+IF(AND($X22&lt;&gt;"",$X22&lt;&gt;"--",$X22&lt;&gt;"O3/CP",$X$14=F$18),IF(LEFT($X22,1)="P",VLOOKUP(CONCATENATE(LEFT($X22,2),"H"),$R$63:$T$91,3,FALSE),VLOOKUP($X22,$R$63:$T$91,3,FALSE)))+IF(AND($X22&lt;&gt;"",$X22&lt;&gt;"O3/CP",$X$15=F$18,MID($X22,4,1)="2",$X$15&lt;&gt;$X$14),VLOOKUP(CONCATENATE(LEFT($X22,2),"L"),$R$63:$T$91,3,FALSE),0)+IF(AND($X22="O3/CP",$X$14=F$18),VLOOKUP("O3",$R$63:$T$91,3,FALSE)+VLOOKUP("CP",$R$63:$T$91,3,FALSE),0)+IF(AND($Y22&lt;&gt;"",$Y22&lt;&gt;"--",$Y22&lt;&gt;"O3/CP",$Y$14=F$18),IF(LEFT($Y22,1)="P",VLOOKUP(CONCATENATE(LEFT($Y22,2),"H"),$R$63:$T$91,3,FALSE),VLOOKUP($Y22,$R$63:$T$91,3,FALSE)))+IF(AND($Y22&lt;&gt;"",$Y22&lt;&gt;"O3/CP",$Y$15=F$18,MID($Y22,4,1)="2",$Y$15&lt;&gt;$Y$14),VLOOKUP(CONCATENATE(LEFT($Y22,2),"L"),$R$63:$T$91,3,FALSE),0)+IF(AND($Y22="O3/CP",$Y$14=F$18),VLOOKUP("O3",$R$63:$T$91,3,FALSE)+VLOOKUP("CP",$R$63:$T$91,3,FALSE),0)+IF(AND($K$6="CE",'[3]Supply Attribution'!$G$20=F$18),LEFT($S$90,2),0)+IF(AND($X$86&lt;&gt;"Not Set",$X$87=F$18),$X$86,0)</f>
        <v>0</v>
      </c>
      <c r="G22" s="269">
        <f>IF(AND($K$6="CE",$T$59="1 Phase"),SUM(A22:F22)-IF(AND($K$14&lt;&gt;$K$15,RIGHT($K22,3)="2SP"),VLOOKUP(CONCATENATE(LEFT($K22,2),"L"),$R$63:$T$90,3,FALSE),0)-IF(AND($L$14&lt;&gt;$L$15,RIGHT($L22,3)="2SP"),VLOOKUP(CONCATENATE(LEFT($L22,2),"L"),$R$63:$T$90,3,FALSE),0)-IF(AND($M$14&lt;&gt;$M$15,RIGHT($M22,3)="2SP"),VLOOKUP(CONCATENATE(LEFT($M22,2),"L"),$R$63:$T$90,3,FALSE),0)-IF(AND($N$14&lt;&gt;$N$15,RIGHT($N22,3)="2SP"),VLOOKUP(CONCATENATE(LEFT($N22,2),"L"),$R$63:$T$90,3,FALSE),0)-IF(AND($O$14&lt;&gt;$O$15,RIGHT($O22,3)="2SP"),VLOOKUP(CONCATENATE(LEFT($O22,2),"L"),$R$63:$T$90,3,FALSE),0)-IF(AND($P$14&lt;&gt;$P$15,RIGHT($P22,3)="2SP"),VLOOKUP(CONCATENATE(LEFT($P22,2),"L"),$R$63:$T$90,3,FALSE),0)-IF(AND($Q$14&lt;&gt;$Q$15,RIGHT($Q22,3)="2SP"),VLOOKUP(CONCATENATE(LEFT($Q22,2),"L"),$R$63:$T$90,3,FALSE),0)-IF(AND($R$14&lt;&gt;$R$15,RIGHT($T22,3)="2SP"),VLOOKUP(CONCATENATE(LEFT($R22,2),"L"),$R$63:$T$90,3,FALSE),0)-IF(AND($S$14&lt;&gt;$S$15,RIGHT($T22,3)="2SP"),VLOOKUP(CONCATENATE(LEFT($S22,2),"L"),$R$63:$T$90,3,FALSE),0)-IF(AND($T$14&lt;&gt;$T$15,RIGHT($T22,3)="2SP"),VLOOKUP(CONCATENATE(LEFT($T22,2),"L"),$R$63:$T$90,3,FALSE),0)-IF(AND($U$14&lt;&gt;$U$15,RIGHT($U22,3)="2SP"),VLOOKUP(CONCATENATE(LEFT($U22,2),"L"),$R$63:$T$90,3,FALSE),0)-IF(AND($V$14&lt;&gt;$V$15,RIGHT($V22,3)="2SP"),VLOOKUP(CONCATENATE(LEFT($V22,2),"L"),$R$63:$T$90,3,FALSE),0)-IF(AND($W$14&lt;&gt;$W$15,RIGHT($W22,3)="2SP"),VLOOKUP(CONCATENATE(LEFT($W22,2),"L"),$R$63:$T$90,3,FALSE),0)-IF(AND($X$14&lt;&gt;$X$15,RIGHT($X22,3)="2SP"),VLOOKUP(CONCATENATE(LEFT($X22,2),"L"),$R$63:$T$90,3,FALSE),0)-IF(AND($Y$14&lt;&gt;$Y$15,RIGHT($Y22,3)="2SP"),VLOOKUP(CONCATENATE(LEFT($Y22,2),"L"),$R$63:$T$90,3,FALSE),0),IF(VLOOKUP(CONCATENATE($A$18,"Line"),'[3]Supply Attribution'!$F$31:$G$37,2,FALSE)=G$18,$A22,0)+IF(VLOOKUP(CONCATENATE($B$18,"Line"),'[3]Supply Attribution'!$F$31:$G$37,2,FALSE)=G$18,$B22,0)+IF(VLOOKUP(CONCATENATE($C$18,"Line"),'[3]Supply Attribution'!$F$31:$G$37,2,FALSE)=G$18,$C22,0)+IF(VLOOKUP(CONCATENATE($D$18,"Line"),'[3]Supply Attribution'!$F$31:$G$37,2,FALSE)=G$18,$D22,0)+IF(VLOOKUP(CONCATENATE($E$18,"Line"),'[3]Supply Attribution'!$F$31:$G$37,2,FALSE)=G$18,$E22,0)+IF(VLOOKUP(CONCATENATE($F$18,"Line"),'[3]Supply Attribution'!$F$31:$G$37,2,FALSE)=G$18,$F22,0)+IF($K$6="UL",LEFT($S$90,2),0)-IF(AND($K$16=G$18,$K$14&lt;&gt;$K$15,$K$16=$K$17,RIGHT($K22,3)="2SP"),VLOOKUP(CONCATENATE(LEFT($K22,2),"L"),$R$63:$T$90,3,FALSE),0)-IF(AND($L$16=G$18,$L$14&lt;&gt;$L$15,$L$16=$L$17,RIGHT($L22,3)="2SP"),VLOOKUP(CONCATENATE(LEFT($L22,2),"L"),$R$63:$T$90,3,FALSE),0)-IF(AND($M$16=G$18,$M$14&lt;&gt;$M$15,$M$16=$M$17,RIGHT($M22,3)="2SP"),VLOOKUP(CONCATENATE(LEFT($M22,2),"L"),$R$63:$T$90,3,FALSE),0)-IF(AND($N$16=G$18,$N$14&lt;&gt;$N$15,$N$16=$N$17,RIGHT($N22,3)="2SP"),VLOOKUP(CONCATENATE(LEFT($N22,2),"L"),$R$63:$T$90,3,FALSE),0)-IF(AND($O$16=G$18,$O$14&lt;&gt;$O$15,$O$16=$O$17,RIGHT($O22,3)="2SP"),VLOOKUP(CONCATENATE(LEFT($O22,2),"L"),$R$63:$T$90,3,FALSE),0)-IF(AND($P$16=G$18,$P$14&lt;&gt;$P$15,$P$16=$P$17,RIGHT($P22,3)="2SP"),VLOOKUP(CONCATENATE(LEFT($P22,2),"L"),$R$63:$T$90,3,FALSE),0)-IF(AND($Q$16=G$18,$Q$14&lt;&gt;$Q$15,$Q$16=$Q$17,RIGHT($Q22,3)="2SP"),VLOOKUP(CONCATENATE(LEFT($Q22,2),"L"),$R$63:$T$90,3,FALSE),0)-IF(AND($R$16=G$18,$R$14&lt;&gt;$R$15,$R$16=$R$17,RIGHT($R22,3)="2SP"),VLOOKUP(CONCATENATE(LEFT($R22,2),"L"),$R$63:$T$90,3,FALSE),0)-IF(AND($S$16=G$18,$S$14&lt;&gt;$S$15,$S$16=$S$17,RIGHT($S22,3)="2SP"),VLOOKUP(CONCATENATE(LEFT($S22,2),"L"),$R$63:$T$90,3,FALSE),0)-IF(AND($T$16=G$18,$T$14&lt;&gt;$T$15,$T$16=$T$17,RIGHT($T22,3)="2SP"),VLOOKUP(CONCATENATE(LEFT($T22,2),"L"),$R$63:$T$90,3,FALSE),0)-IF(AND($U$16=G$18,$U$14&lt;&gt;$U$15,$U$16=$U$17,RIGHT($U22,3)="2SP"),VLOOKUP(CONCATENATE(LEFT($U22,2),"L"),$R$63:$T$90,3,FALSE),0)-IF(AND($V$16=G$18,$V$14&lt;&gt;$V$15,$V$16=$V$17,RIGHT($V22,3)="2SP"),VLOOKUP(CONCATENATE(LEFT($V22,2),"L"),$R$63:$T$90,3,FALSE),0)-IF(AND($W$16=G$18,$W$14&lt;&gt;$W$15,$W$16=$W$17,RIGHT($W22,3)="2SP"),VLOOKUP(CONCATENATE(LEFT($W22,2),"L"),$R$63:$T$90,3,FALSE),0)-IF(AND($X$16=G$18,$X$14&lt;&gt;$X$15,$X$16=$X$17,RIGHT($X22,3)="2SP"),VLOOKUP(CONCATENATE(LEFT($X22,2),"L"),$R$63:$T$90,3,FALSE),0)-IF(AND($Y$16=G$18,$Y$14&lt;&gt;$Y$15,$Y$16=$Y$17,RIGHT($Y22,3)="2SP"),VLOOKUP(CONCATENATE(LEFT($Y22,2),"L"),$R$63:$T$90,3,FALSE),0))</f>
        <v>45</v>
      </c>
      <c r="H22" s="269" t="str">
        <f>IF(H$18&lt;&gt;"",IF(VLOOKUP(CONCATENATE($A$18,"Line"),'Supply Attribution'!$F$31:$G$37,2,FALSE)=H$18,$A22,0)+IF(VLOOKUP(CONCATENATE($B$18,"Line"),'Supply Attribution'!$F$31:$G$37,2,FALSE)=H$18,$B22,0)+IF(VLOOKUP(CONCATENATE($C$18,"Line"),'Supply Attribution'!$F$31:$G$37,2,FALSE)=H$18,$C22,0)+IF(VLOOKUP(CONCATENATE($D$18,"Line"),'Supply Attribution'!$F$31:$G$37,2,FALSE)=H$18,$D22,0)+IF(VLOOKUP(CONCATENATE($E$18,"Line"),'Supply Attribution'!$F$31:$G$37,2,FALSE)=H$18,$E22,0)+IF(VLOOKUP(CONCATENATE($F$18,"Line"),'Supply Attribution'!$F$31:$G$37,2,FALSE)=H$18,$F22,0)+IF($K$6="UL",LEFT($S$90,2),0)-IF(AND($K$16=H$18,$K$14&lt;&gt;$K$15,$K$16=$K$17,RIGHT($K22,3)="2SP"),VLOOKUP(CONCATENATE(LEFT($K22,2),"L"),$R$63:$T$90,3,FALSE),0)-IF(AND($L$16=H$18,$L$14&lt;&gt;$L$15,$L$16=$L$17,RIGHT($L22,3)="2SP"),VLOOKUP(CONCATENATE(LEFT($L22,2),"L"),$R$63:$T$90,3,FALSE),0)-IF(AND($M$16=H$18,$M$14&lt;&gt;$M$15,$M$16=$M$17,RIGHT($M22,3)="2SP"),VLOOKUP(CONCATENATE(LEFT($M22,2),"L"),$R$63:$T$90,3,FALSE),0)-IF(AND($N$16=H$18,$N$14&lt;&gt;$N$15,$N$16=$N$17,RIGHT($N22,3)="2SP"),VLOOKUP(CONCATENATE(LEFT($N22,2),"L"),$R$63:$T$90,3,FALSE),0)-IF(AND($O$16=H$18,$O$14&lt;&gt;$O$15,$O$16=$O$17,RIGHT($O22,3)="2SP"),VLOOKUP(CONCATENATE(LEFT($O22,2),"L"),$R$63:$T$90,3,FALSE),0)-IF(AND($P$16=H$18,$P$14&lt;&gt;$P$15,$P$16=$P$17,RIGHT($P22,3)="2SP"),VLOOKUP(CONCATENATE(LEFT($P22,2),"L"),$R$63:$T$90,3,FALSE),0)-IF(AND($Q$16=H$18,$Q$14&lt;&gt;$Q$15,$Q$16=$Q$17,RIGHT($Q22,3)="2SP"),VLOOKUP(CONCATENATE(LEFT($Q22,2),"L"),$R$63:$T$90,3,FALSE),0)-IF(AND($T$16=H$18,$T$14&lt;&gt;$T$15,$T$16=$T$17,RIGHT($T22,3)="2SP"),VLOOKUP(CONCATENATE(LEFT($T22,2),"L"),$R$63:$T$90,3,FALSE),0)-IF(AND($U$16=H$18,$U$14&lt;&gt;$U$15,$U$16=$U$17,RIGHT($U22,3)="2SP"),VLOOKUP(CONCATENATE(LEFT($U22,2),"L"),$R$63:$T$90,3,FALSE),0)-IF(AND($V$16=H$18,$V$14&lt;&gt;$V$15,$V$16=$V$17,RIGHT($V22,3)="2SP"),VLOOKUP(CONCATENATE(LEFT($V22,2),"L"),$R$63:$T$90,3,FALSE),0)-IF(AND($W$16=H$18,$W$14&lt;&gt;$W$15,$W$16=$W$17,RIGHT($W22,3)="2SP"),VLOOKUP(CONCATENATE(LEFT($W22,2),"L"),$R$63:$T$90,3,FALSE),0)-IF(AND($X$16=H$18,$X$14&lt;&gt;$X$15,$X$16=$X$17,RIGHT($X22,3)="2SP"),VLOOKUP(CONCATENATE(LEFT($X22,2),"L"),$R$63:$T$90,3,FALSE),0)-IF(AND($Y$16=H$18,$Y$14&lt;&gt;$Y$15,$Y$16=$Y$17,RIGHT($Y22,3)="2SP"),VLOOKUP(CONCATENATE(LEFT($Y22,2),"L"),$R$63:$T$90,3,FALSE),0)+IF(AND($K$6="CE",$T$59="2 Phases",H$18&lt;&gt;""),IF(VLOOKUP(CONCATENATE($A$18,"Line"),'Supply Attribution'!$F$31:$G$37,2,FALSE)="Line3",$A22,0)+IF(VLOOKUP(CONCATENATE($B$18,"Line"),'Supply Attribution'!$F$31:$G$37,2,FALSE)="Line3",$B22,0)+IF(VLOOKUP(CONCATENATE($C$18,"Line"),'Supply Attribution'!$F$31:$G$37,2,FALSE)="Line3",$C22,0)+IF(VLOOKUP(CONCATENATE($D$18,"Line"),'Supply Attribution'!$F$31:$G$37,2,FALSE)="Line3",$D22,0)+IF(VLOOKUP(CONCATENATE($E$18,"Line"),'Supply Attribution'!$F$31:$G$37,2,FALSE)="Line3",$E22,0)+IF(VLOOKUP(CONCATENATE($F$18,"Line"),'Supply Attribution'!$F$31:$G$37,2,FALSE)="Line3",$F22,0)-IF(AND($K$16=I$18,$K$14&lt;&gt;$K$15,$K$16=$K$17,RIGHT($K22,3)="2SP"),VLOOKUP(CONCATENATE(LEFT($K22,2),"L"),$R$63:$T$90,3,FALSE),0)-IF(AND($L$16=I$18,$L$14&lt;&gt;$L$15,$L$16=$L$17,RIGHT($L22,3)="2SP"),VLOOKUP(CONCATENATE(LEFT($L22,2),"L"),$R$63:$T$90,3,FALSE),0)-IF(AND($M$16=I$18,$M$14&lt;&gt;$M$15,$M$16=$M$17,RIGHT($M22,3)="2SP"),VLOOKUP(CONCATENATE(LEFT($M22,2),"L"),$R$63:$T$90,3,FALSE),0)-IF(AND($N$16=I$18,$N$14&lt;&gt;$N$15,$N$16=$N$17,RIGHT($N22,3)="2SP"),VLOOKUP(CONCATENATE(LEFT($N22,2),"L"),$R$63:$T$90,3,FALSE),0)-IF(AND($O$16=I$18,$O$14&lt;&gt;$O$15,$O$16=$O$17,RIGHT($O22,3)="2SP"),VLOOKUP(CONCATENATE(LEFT($O22,2),"L"),$R$63:$T$90,3,FALSE),0)-IF(AND($P$16=I$18,$P$14&lt;&gt;$P$15,$P$16=$P$17,RIGHT($P22,3)="2SP"),VLOOKUP(CONCATENATE(LEFT($P22,2),"L"),$R$63:$T$90,3,FALSE),0)-IF(AND($Q$16=I$18,$Q$14&lt;&gt;$Q$15,$Q$16=$Q$17,RIGHT($Q22,3)="2SP"),VLOOKUP(CONCATENATE(LEFT($Q22,2),"L"),$R$63:$T$90,3,FALSE),0)-IF(AND($T$16=I$18,$T$14&lt;&gt;$T$15,$T$16=$T$17,RIGHT($T22,3)="2SP"),VLOOKUP(CONCATENATE(LEFT($T22,2),"L"),$R$63:$T$90,3,FALSE),0)-IF(AND($U$16=I$18,$U$14&lt;&gt;$U$15,$U$16=$U$17,RIGHT($U22,3)="2SP"),VLOOKUP(CONCATENATE(LEFT($U22,2),"L"),$R$63:$T$90,3,FALSE),0)-IF(AND($V$16=I$18,$V$14&lt;&gt;$V$15,$V$16=$V$17,RIGHT($V22,3)="2SP"),VLOOKUP(CONCATENATE(LEFT($V22,2),"L"),$R$63:$T$90,3,FALSE),0)-IF(AND($W$16=I$18,$W$14&lt;&gt;$W$15,$W$16=$W$17,RIGHT($W22,3)="2SP"),VLOOKUP(CONCATENATE(LEFT($W22,2),"L"),$R$63:$T$90,3,FALSE),0)-IF(AND($X$16=I$18,$X$14&lt;&gt;$X$15,$X$16=$X$17,RIGHT($X22,3)="2SP"),VLOOKUP(CONCATENATE(LEFT($X22,2),"L"),$R$63:$T$90,3,FALSE),0)-IF(AND($Y$16=I$18,$Y$14&lt;&gt;$Y$15,$Y$16=$Y$17,RIGHT($Y22,3)="2SP"),VLOOKUP(CONCATENATE(LEFT($Y22,2),"L"),$R$63:$T$90,3,FALSE),0),0),"")</f>
        <v/>
      </c>
      <c r="I22" s="269" t="str">
        <f>IF(I$18&lt;&gt;"",IF(VLOOKUP(CONCATENATE($A$18,"Line"),'Supply Attribution'!$F$31:$G$37,2,FALSE)=I$18,$A22,0)+IF(VLOOKUP(CONCATENATE($B$18,"Line"),'Supply Attribution'!$F$31:$G$37,2,FALSE)=I$18,$B22,0)+IF(VLOOKUP(CONCATENATE($C$18,"Line"),'Supply Attribution'!$F$31:$G$37,2,FALSE)=I$18,$C22,0)+IF(VLOOKUP(CONCATENATE($D$18,"Line"),'Supply Attribution'!$F$31:$G$37,2,FALSE)=I$18,$D22,0)+IF(VLOOKUP(CONCATENATE($E$18,"Line"),'Supply Attribution'!$F$31:$G$37,2,FALSE)=I$18,$E22,0)+IF(VLOOKUP(CONCATENATE($F$18,"Line"),'Supply Attribution'!$F$31:$G$37,2,FALSE)=I$18,$F22,0)+IF($K$6="UL",LEFT($S$90,2),0)-IF(AND($K$16=I$18,$K$14&lt;&gt;$K$15,$K$16=$K$17,RIGHT($K22,3)="2SP"),VLOOKUP(CONCATENATE(LEFT($K22,2),"L"),$R$63:$T$90,3,FALSE),0)-IF(AND($L$16=I$18,$L$14&lt;&gt;$L$15,$L$16=$L$17,RIGHT($L22,3)="2SP"),VLOOKUP(CONCATENATE(LEFT($L22,2),"L"),$R$63:$T$90,3,FALSE),0)-IF(AND($M$16=I$18,$M$14&lt;&gt;$M$15,$M$16=$M$17,RIGHT($M22,3)="2SP"),VLOOKUP(CONCATENATE(LEFT($M22,2),"L"),$R$63:$T$90,3,FALSE),0)-IF(AND($N$16=I$18,$N$14&lt;&gt;$N$15,$N$16=$N$17,RIGHT($N22,3)="2SP"),VLOOKUP(CONCATENATE(LEFT($N22,2),"L"),$R$63:$T$90,3,FALSE),0)-IF(AND($O$16=I$18,$O$14&lt;&gt;$O$15,$O$16=$O$17,RIGHT($O22,3)="2SP"),VLOOKUP(CONCATENATE(LEFT($O22,2),"L"),$R$63:$T$90,3,FALSE),0)-IF(AND($P$16=I$18,$P$14&lt;&gt;$P$15,$P$16=$P$17,RIGHT($P22,3)="2SP"),VLOOKUP(CONCATENATE(LEFT($P22,2),"L"),$R$63:$T$90,3,FALSE),0)-IF(AND($Q$16=I$18,$Q$14&lt;&gt;$Q$15,$Q$16=$Q$17,RIGHT($Q22,3)="2SP"),VLOOKUP(CONCATENATE(LEFT($Q22,2),"L"),$R$63:$T$90,3,FALSE),0)-IF(AND($T$16=I$18,$T$14&lt;&gt;$T$15,$T$16=$T$17,RIGHT($T22,3)="2SP"),VLOOKUP(CONCATENATE(LEFT($T22,2),"L"),$R$63:$T$90,3,FALSE),0)-IF(AND($U$16=I$18,$U$14&lt;&gt;$U$15,$U$16=$U$17,RIGHT($U22,3)="2SP"),VLOOKUP(CONCATENATE(LEFT($U22,2),"L"),$R$63:$T$90,3,FALSE),0)-IF(AND($V$16=I$18,$V$14&lt;&gt;$V$15,$V$16=$V$17,RIGHT($V22,3)="2SP"),VLOOKUP(CONCATENATE(LEFT($V22,2),"L"),$R$63:$T$90,3,FALSE),0)-IF(AND($W$16=I$18,$W$14&lt;&gt;$W$15,$W$16=$W$17,RIGHT($W22,3)="2SP"),VLOOKUP(CONCATENATE(LEFT($W22,2),"L"),$R$63:$T$90,3,FALSE),0)-IF(AND($X$16=I$18,$X$14&lt;&gt;$X$15,$X$16=$X$17,RIGHT($X22,3)="2SP"),VLOOKUP(CONCATENATE(LEFT($X22,2),"L"),$R$63:$T$90,3,FALSE),0)-IF(AND($Y$16=I$18,$Y$14&lt;&gt;$Y$15,$Y$16=$Y$17,RIGHT($Y22,3)="2SP"),VLOOKUP(CONCATENATE(LEFT($Y22,2),"L"),$R$63:$T$90,3,FALSE),0),"")</f>
        <v/>
      </c>
      <c r="J22" s="134">
        <v>144</v>
      </c>
      <c r="K22" s="135" t="s">
        <v>24</v>
      </c>
      <c r="L22" s="135" t="s">
        <v>457</v>
      </c>
      <c r="M22" s="135" t="s">
        <v>411</v>
      </c>
      <c r="N22" s="135" t="s">
        <v>24</v>
      </c>
      <c r="O22" s="135" t="s">
        <v>286</v>
      </c>
      <c r="P22" s="135"/>
      <c r="Q22" s="135"/>
      <c r="R22" s="135"/>
      <c r="S22" s="135"/>
      <c r="T22" s="135"/>
      <c r="U22" s="135"/>
      <c r="V22" s="135"/>
      <c r="W22" s="135"/>
      <c r="X22" s="135"/>
      <c r="Y22" s="135"/>
      <c r="Z22" s="136" t="s">
        <v>24</v>
      </c>
      <c r="AA22" s="136" t="s">
        <v>357</v>
      </c>
      <c r="AB22" s="137" t="s">
        <v>164</v>
      </c>
      <c r="AC22" s="137" t="s">
        <v>568</v>
      </c>
      <c r="AD22" s="137" t="s">
        <v>164</v>
      </c>
      <c r="AE22" s="138">
        <f t="shared" si="0"/>
        <v>144</v>
      </c>
      <c r="AF22" s="78"/>
    </row>
    <row r="23" spans="1:32" ht="13.15" customHeight="1">
      <c r="A23" s="264">
        <f>IF(AND($K23&lt;&gt;"",$K23&lt;&gt;"--",$K23&lt;&gt;"O3/CP",$K$14=A$18),IF(LEFT($K23,1)="P",VLOOKUP(CONCATENATE(LEFT($K23,2),"H"),$R$63:$T$91,3,FALSE),VLOOKUP($K23,$R$63:$T$91,3,FALSE)))+IF(AND($K23&lt;&gt;"",$K23&lt;&gt;"O3/CP",$K$15=A$18,MID($K23,4,1)="2",$K$15&lt;&gt;$K$14),VLOOKUP(CONCATENATE(LEFT($K23,2),"L"),$R$63:$T$91,3,FALSE),0)+IF(AND($K23="O3/CP",$K$14=A$18),VLOOKUP("O3",$R$63:$T$91,3,FALSE)+VLOOKUP("CP",$R$63:$T$91,3,FALSE),0)+IF(AND($L23&lt;&gt;"",$L23&lt;&gt;"--",$L23&lt;&gt;"O3/CP",$L$14=A$18),IF(LEFT($L23,1)="P",VLOOKUP(CONCATENATE(LEFT($L23,2),"H"),$R$63:$T$91,3,FALSE),VLOOKUP($L23,$R$63:$T$91,3,FALSE)))+IF(AND($L23&lt;&gt;"",$L23&lt;&gt;"O3/CP",$L$15=A$18,MID($L23,4,1)="2",$L$15&lt;&gt;$L$14),VLOOKUP(CONCATENATE(LEFT($L23,2),"L"),$R$63:$T$91,3,FALSE),0)+IF(AND($L23="O3/CP",$L$14=A$18),VLOOKUP("O3",$R$63:$T$91,3,FALSE)+VLOOKUP("CP",$R$63:$T$91,3,FALSE),0)+IF(AND($M23&lt;&gt;"",$M23&lt;&gt;"--",$M23&lt;&gt;"O3/CP",$M$14=A$18),IF(LEFT($M23,1)="P",VLOOKUP(CONCATENATE(LEFT($M23,2),"H"),$R$63:$T$91,3,FALSE),VLOOKUP($M23,$R$63:$T$91,3,FALSE)))+IF(AND($M23&lt;&gt;"",$M23&lt;&gt;"O3/CP",$M$15=A$18,MID($M23,4,1)="2",$M$15&lt;&gt;$M$14),VLOOKUP(CONCATENATE(LEFT($M23,2),"L"),$R$63:$T$91,3,FALSE),0)+IF(AND($M23="O3/CP",$M$14=A$18),VLOOKUP("O3",$R$63:$T$91,3,FALSE)+VLOOKUP("CP",$R$63:$T$91,3,FALSE),0)+IF(AND($N23&lt;&gt;"",$N23&lt;&gt;"--",$N23&lt;&gt;"O3/CP",$N$14=A$18),IF(LEFT($N23,1)="P",VLOOKUP(CONCATENATE(LEFT($N23,2),"H"),$R$63:$T$91,3,FALSE),VLOOKUP($N23,$R$63:$T$91,3,FALSE)))+IF(AND($N23&lt;&gt;"",$N23&lt;&gt;"O3/CP",$N$15=A$18,MID($N23,4,1)="2",$N$15&lt;&gt;$N$14),VLOOKUP(CONCATENATE(LEFT($N23,2),"L"),$R$63:$T$91,3,FALSE),0)+IF(AND($N23="O3/CP",$N$14=A$18),VLOOKUP("O3",$R$63:$T$91,3,FALSE)+VLOOKUP("CP",$R$63:$T$91,3,FALSE),0)+IF(AND($O23&lt;&gt;"",$O23&lt;&gt;"--",$O23&lt;&gt;"O3/CP",$O$14=A$18),IF(LEFT($O23,1)="P",VLOOKUP(CONCATENATE(LEFT($O23,2),"H"),$R$63:$T$91,3,FALSE),VLOOKUP($O23,$R$63:$T$91,3,FALSE)))+IF(AND($O23&lt;&gt;"",$O23&lt;&gt;"O3/CP",$O$15=A$18,MID($O23,4,1)="2",$O$15&lt;&gt;$O$14),VLOOKUP(CONCATENATE(LEFT($O23,2),"L"),$R$63:$T$91,3,FALSE),0)+IF(AND($O23="O3/CP",$O$14=A$18),VLOOKUP("O3",$R$63:$T$91,3,FALSE)+VLOOKUP("CP",$R$63:$T$91,3,FALSE),0)+IF(AND($P23&lt;&gt;"",$P23&lt;&gt;"--",$P23&lt;&gt;"O3/CP",$P$14=A$18),IF(LEFT($P23,1)="P",VLOOKUP(CONCATENATE(LEFT($P23,2),"H"),$R$63:$T$91,3,FALSE),VLOOKUP($P23,$R$63:$T$91,3,FALSE)))+IF(AND($P23&lt;&gt;"",$P23&lt;&gt;"O3/CP",$P$15=A$18,MID($P23,4,1)="2",$P$15&lt;&gt;$P$14),VLOOKUP(CONCATENATE(LEFT($P23,2),"L"),$R$63:$T$91,3,FALSE),0)+IF(AND($P23="O3/CP",$P$14=A$18),VLOOKUP("O3",$R$63:$T$91,3,FALSE)+VLOOKUP("CP",$R$63:$T$91,3,FALSE),0)+IF(AND($Q23&lt;&gt;"",$Q23&lt;&gt;"--",$Q23&lt;&gt;"O3/CP",$Q$14=A$18),IF(LEFT($Q23,1)="P",VLOOKUP(CONCATENATE(LEFT($Q23,2),"H"),$R$63:$T$91,3,FALSE),VLOOKUP($Q23,$R$63:$T$91,3,FALSE)))+IF(AND($Q23&lt;&gt;"",$Q23&lt;&gt;"O3/CP",$Q$15=A$18,MID($Q23,4,1)="2",$Q$15&lt;&gt;$Q$14),VLOOKUP(CONCATENATE(LEFT($Q23,2),"L"),$R$63:$T$91,3,FALSE),0)+IF(AND($Q23="O3/CP",$Q$14=A$18),VLOOKUP("O3",$R$63:$T$91,3,FALSE)+VLOOKUP("CP",$R$63:$T$91,3,FALSE),0)+IF(AND($R23&lt;&gt;"",$R23&lt;&gt;"--",$R23&lt;&gt;"O3/CP",$R$14=A$18),IF(LEFT($R23,1)="P",VLOOKUP(CONCATENATE(LEFT($R23,2),"H"),$R$63:$T$91,3,FALSE),VLOOKUP($R23,$R$63:$T$91,3,FALSE)))+IF(AND($R23&lt;&gt;"",$R23&lt;&gt;"O3/CP",$R$15=A$18,MID($R23,4,1)="2",$R$15&lt;&gt;$R$14),VLOOKUP(CONCATENATE(LEFT($R23,2),"L"),$R$63:$T$91,3,FALSE),0)+IF(AND($R23="O3/CP",$R$14=A$18),VLOOKUP("O3",$R$63:$T$91,3,FALSE)+VLOOKUP("CP",$R$63:$T$91,3,FALSE),0)+IF(AND($S23&lt;&gt;"",$S23&lt;&gt;"--",$S23&lt;&gt;"O3/CP",$S$14=A$18),IF(LEFT($S23,1)="P",VLOOKUP(CONCATENATE(LEFT($S23,2),"H"),$R$63:$T$91,3,FALSE),VLOOKUP($S23,$R$63:$T$91,3,FALSE)))+IF(AND($S23&lt;&gt;"",$S23&lt;&gt;"O3/CP",$S$15=A$18,MID($S23,4,1)="2",$S$15&lt;&gt;$S$14),VLOOKUP(CONCATENATE(LEFT($S23,2),"L"),$R$63:$T$91,3,FALSE),0)+IF(AND($S23="O3/CP",$S$14=A$18),VLOOKUP("O3",$R$63:$T$91,3,FALSE)+VLOOKUP("CP",$R$63:$T$91,3,FALSE),0)+IF(AND($T23&lt;&gt;"",$T23&lt;&gt;"--",$T23&lt;&gt;"O3/CP",$T$14=A$18),IF(LEFT($T23,1)="P",VLOOKUP(CONCATENATE(LEFT($T23,2),"H"),$R$63:$T$91,3,FALSE),VLOOKUP($T23,$R$63:$T$91,3,FALSE)))+IF(AND($T23&lt;&gt;"",$T23&lt;&gt;"O3/CP",$T$15=A$18,MID($T23,4,1)="2",$T$15&lt;&gt;$T$14),VLOOKUP(CONCATENATE(LEFT($T23,2),"L"),$R$63:$T$91,3,FALSE),0)+IF(AND($T23="O3/CP",$T$14=A$18),VLOOKUP("O3",$R$63:$T$91,3,FALSE)+VLOOKUP("CP",$R$63:$T$91,3,FALSE),0)+IF(AND($U23&lt;&gt;"",$U23&lt;&gt;"--",$U23&lt;&gt;"O3/CP",$U$14=A$18),IF(LEFT($U23,1)="P",VLOOKUP(CONCATENATE(LEFT($U23,2),"H"),$R$63:$T$91,3,FALSE),VLOOKUP($U23,$R$63:$T$91,3,FALSE)))+IF(AND($U23&lt;&gt;"",$U23&lt;&gt;"O3/CP",$U$15=A$18,MID($U23,4,1)="2",$U$15&lt;&gt;$U$14),VLOOKUP(CONCATENATE(LEFT($U23,2),"L"),$R$63:$T$91,3,FALSE),0)+IF(AND($U23="O3/CP",$T$14=A$18),VLOOKUP("O3",$R$63:$T$91,3,FALSE)+VLOOKUP("CP",$R$63:$T$91,3,FALSE),0)+IF(AND($V23&lt;&gt;"",$V23&lt;&gt;"--",$V23&lt;&gt;"O3/CP",$V$14=A$18),IF(LEFT($V23,1)="P",VLOOKUP(CONCATENATE(LEFT($V23,2),"H"),$R$63:$T$91,3,FALSE),VLOOKUP($V23,$R$63:$T$91,3,FALSE)))+IF(AND($V23&lt;&gt;"",$V23&lt;&gt;"O3/CP",$V$15=A$18,MID($V23,4,1)="2",$V$15&lt;&gt;$V$14),VLOOKUP(CONCATENATE(LEFT($V23,2),"L"),$R$63:$T$91,3,FALSE),0)+IF(AND($V23="O3/CP",$V$14=A$18),VLOOKUP("O3",$R$63:$T$91,3,FALSE)+VLOOKUP("CP",$R$63:$T$91,3,FALSE),0)+IF(AND($W23&lt;&gt;"",$W23&lt;&gt;"--",$W23&lt;&gt;"O3/CP",$W$14=A$18),IF(LEFT($W23,1)="P",VLOOKUP(CONCATENATE(LEFT($W23,2),"H"),$R$63:$T$91,3,FALSE),VLOOKUP($W23,$R$63:$T$91,3,FALSE)))+IF(AND($W23&lt;&gt;"",$W23&lt;&gt;"O3/CP",$W$15=A$18,MID($W23,4,1)="2",$W$15&lt;&gt;$W$14),VLOOKUP(CONCATENATE(LEFT($W23,2),"L"),$R$63:$T$91,3,FALSE),0)+IF(AND($W23="O3/CP",$W$14=A$18),VLOOKUP("O3",$R$63:$T$91,3,FALSE)+VLOOKUP("CP",$R$63:$T$91,3,FALSE),0)+IF(AND($X23&lt;&gt;"",$X23&lt;&gt;"--",$X23&lt;&gt;"O3/CP",$X$14=A$18),IF(LEFT($X23,1)="P",VLOOKUP(CONCATENATE(LEFT($X23,2),"H"),$R$63:$T$91,3,FALSE),VLOOKUP($X23,$R$63:$T$91,3,FALSE)))+IF(AND($X23&lt;&gt;"",$X23&lt;&gt;"O3/CP",$X$15=A$18,MID($X23,4,1)="2",$X$15&lt;&gt;$X$14),VLOOKUP(CONCATENATE(LEFT($X23,2),"L"),$R$63:$T$91,3,FALSE),0)+IF(AND($X23="O3/CP",$X$14=A$18),VLOOKUP("O3",$R$63:$T$91,3,FALSE)+VLOOKUP("CP",$R$63:$T$91,3,FALSE),0)+IF(AND($Y23&lt;&gt;"",$Y23&lt;&gt;"--",$Y23&lt;&gt;"O3/CP",$Y$14=A$18),IF(LEFT($Y23,1)="P",VLOOKUP(CONCATENATE(LEFT($Y23,2),"H"),$R$63:$T$91,3,FALSE),VLOOKUP($Y23,$R$63:$T$91,3,FALSE)))+IF(AND($Y23&lt;&gt;"",$Y23&lt;&gt;"O3/CP",$Y$15=A$18,MID($Y23,4,1)="2",$Y$15&lt;&gt;$Y$14),VLOOKUP(CONCATENATE(LEFT($Y23,2),"L"),$R$63:$T$91,3,FALSE),0)+IF(AND($Y23="O3/CP",$Y$14=A$18),VLOOKUP("O3",$R$63:$T$91,3,FALSE)+VLOOKUP("CP",$R$63:$T$91,3,FALSE),0)+IF(AND($K$6="CE",'[3]Supply Attribution'!$G$20=A$18),LEFT($S$90,2),0)+IF(AND($X$86&lt;&gt;"Not Set",$X$87=A$18),$X$86,0)</f>
        <v>14</v>
      </c>
      <c r="B23" s="271">
        <f>IF(AND($K23&lt;&gt;"",$K23&lt;&gt;"--",$K23&lt;&gt;"O3/CP",$K$14=B$18),IF(LEFT($K23,1)="P",VLOOKUP(CONCATENATE(LEFT($K23,2),"H"),$R$63:$T$91,3,FALSE),VLOOKUP($K23,$R$63:$T$91,3,FALSE)))+IF(AND($K23&lt;&gt;"",$K23&lt;&gt;"O3/CP",$K$15=B$18,MID($K23,4,1)="2",$K$15&lt;&gt;$K$14),VLOOKUP(CONCATENATE(LEFT($K23,2),"L"),$R$63:$T$91,3,FALSE),0)+IF(AND($K23="O3/CP",$K$14=B$18),VLOOKUP("O3",$R$63:$T$91,3,FALSE)+VLOOKUP("CP",$R$63:$T$91,3,FALSE),0)+IF(AND($L23&lt;&gt;"",$L23&lt;&gt;"--",$L23&lt;&gt;"O3/CP",$L$14=B$18),IF(LEFT($L23,1)="P",VLOOKUP(CONCATENATE(LEFT($L23,2),"H"),$R$63:$T$91,3,FALSE),VLOOKUP($L23,$R$63:$T$91,3,FALSE)))+IF(AND($L23&lt;&gt;"",$L23&lt;&gt;"O3/CP",$L$15=B$18,MID($L23,4,1)="2",$L$15&lt;&gt;$L$14),VLOOKUP(CONCATENATE(LEFT($L23,2),"L"),$R$63:$T$91,3,FALSE),0)+IF(AND($L23="O3/CP",$L$14=B$18),VLOOKUP("O3",$R$63:$T$91,3,FALSE)+VLOOKUP("CP",$R$63:$T$91,3,FALSE),0)+IF(AND($M23&lt;&gt;"",$M23&lt;&gt;"--",$M23&lt;&gt;"O3/CP",$M$14=B$18),IF(LEFT($M23,1)="P",VLOOKUP(CONCATENATE(LEFT($M23,2),"H"),$R$63:$T$91,3,FALSE),VLOOKUP($M23,$R$63:$T$91,3,FALSE)))+IF(AND($M23&lt;&gt;"",$M23&lt;&gt;"O3/CP",$M$15=B$18,MID($M23,4,1)="2",$M$15&lt;&gt;$M$14),VLOOKUP(CONCATENATE(LEFT($M23,2),"L"),$R$63:$T$91,3,FALSE),0)+IF(AND($M23="O3/CP",$M$14=B$18),VLOOKUP("O3",$R$63:$T$91,3,FALSE)+VLOOKUP("CP",$R$63:$T$91,3,FALSE),0)+IF(AND($N23&lt;&gt;"",$N23&lt;&gt;"--",$N23&lt;&gt;"O3/CP",$N$14=B$18),IF(LEFT($N23,1)="P",VLOOKUP(CONCATENATE(LEFT($N23,2),"H"),$R$63:$T$91,3,FALSE),VLOOKUP($N23,$R$63:$T$91,3,FALSE)))+IF(AND($N23&lt;&gt;"",$N23&lt;&gt;"O3/CP",$N$15=B$18,MID($N23,4,1)="2",$N$15&lt;&gt;$N$14),VLOOKUP(CONCATENATE(LEFT($N23,2),"L"),$R$63:$T$91,3,FALSE),0)+IF(AND($N23="O3/CP",$N$14=B$18),VLOOKUP("O3",$R$63:$T$91,3,FALSE)+VLOOKUP("CP",$R$63:$T$91,3,FALSE),0)+IF(AND($O23&lt;&gt;"",$O23&lt;&gt;"--",$O23&lt;&gt;"O3/CP",$O$14=B$18),IF(LEFT($O23,1)="P",VLOOKUP(CONCATENATE(LEFT($O23,2),"H"),$R$63:$T$91,3,FALSE),VLOOKUP($O23,$R$63:$T$91,3,FALSE)))+IF(AND($O23&lt;&gt;"",$O23&lt;&gt;"O3/CP",$O$15=B$18,MID($O23,4,1)="2",$O$15&lt;&gt;$O$14),VLOOKUP(CONCATENATE(LEFT($O23,2),"L"),$R$63:$T$91,3,FALSE),0)+IF(AND($O23="O3/CP",$O$14=B$18),VLOOKUP("O3",$R$63:$T$91,3,FALSE)+VLOOKUP("CP",$R$63:$T$91,3,FALSE),0)+IF(AND($P23&lt;&gt;"",$P23&lt;&gt;"--",$P23&lt;&gt;"O3/CP",$P$14=B$18),IF(LEFT($P23,1)="P",VLOOKUP(CONCATENATE(LEFT($P23,2),"H"),$R$63:$T$91,3,FALSE),VLOOKUP($P23,$R$63:$T$91,3,FALSE)))+IF(AND($P23&lt;&gt;"",$P23&lt;&gt;"O3/CP",$P$15=B$18,MID($P23,4,1)="2",$P$15&lt;&gt;$P$14),VLOOKUP(CONCATENATE(LEFT($P23,2),"L"),$R$63:$T$91,3,FALSE),0)+IF(AND($P23="O3/CP",$P$14=B$18),VLOOKUP("O3",$R$63:$T$91,3,FALSE)+VLOOKUP("CP",$R$63:$T$91,3,FALSE),0)+IF(AND($Q23&lt;&gt;"",$Q23&lt;&gt;"--",$Q23&lt;&gt;"O3/CP",$Q$14=B$18),IF(LEFT($Q23,1)="P",VLOOKUP(CONCATENATE(LEFT($Q23,2),"H"),$R$63:$T$91,3,FALSE),VLOOKUP($Q23,$R$63:$T$91,3,FALSE)))+IF(AND($Q23&lt;&gt;"",$Q23&lt;&gt;"O3/CP",$Q$15=B$18,MID($Q23,4,1)="2",$Q$15&lt;&gt;$Q$14),VLOOKUP(CONCATENATE(LEFT($Q23,2),"L"),$R$63:$T$91,3,FALSE),0)+IF(AND($Q23="O3/CP",$Q$14=B$18),VLOOKUP("O3",$R$63:$T$91,3,FALSE)+VLOOKUP("CP",$R$63:$T$91,3,FALSE),0)+IF(AND($R23&lt;&gt;"",$R23&lt;&gt;"--",$R23&lt;&gt;"O3/CP",$R$14=B$18),IF(LEFT($R23,1)="P",VLOOKUP(CONCATENATE(LEFT($R23,2),"H"),$R$63:$T$91,3,FALSE),VLOOKUP($R23,$R$63:$T$91,3,FALSE)))+IF(AND($R23&lt;&gt;"",$R23&lt;&gt;"O3/CP",$R$15=B$18,MID($R23,4,1)="2",$R$15&lt;&gt;$R$14),VLOOKUP(CONCATENATE(LEFT($R23,2),"L"),$R$63:$T$91,3,FALSE),0)+IF(AND($R23="O3/CP",$R$14=B$18),VLOOKUP("O3",$R$63:$T$91,3,FALSE)+VLOOKUP("CP",$R$63:$T$91,3,FALSE),0)+IF(AND($S23&lt;&gt;"",$S23&lt;&gt;"--",$S23&lt;&gt;"O3/CP",$S$14=B$18),IF(LEFT($S23,1)="P",VLOOKUP(CONCATENATE(LEFT($S23,2),"H"),$R$63:$T$91,3,FALSE),VLOOKUP($S23,$R$63:$T$91,3,FALSE)))+IF(AND($S23&lt;&gt;"",$S23&lt;&gt;"O3/CP",$S$15=B$18,MID($S23,4,1)="2",$S$15&lt;&gt;$S$14),VLOOKUP(CONCATENATE(LEFT($S23,2),"L"),$R$63:$T$91,3,FALSE),0)+IF(AND($S23="O3/CP",$S$14=B$18),VLOOKUP("O3",$R$63:$T$91,3,FALSE)+VLOOKUP("CP",$R$63:$T$91,3,FALSE),0)+IF(AND($T23&lt;&gt;"",$T23&lt;&gt;"--",$T23&lt;&gt;"O3/CP",$T$14=B$18),IF(LEFT($T23,1)="P",VLOOKUP(CONCATENATE(LEFT($T23,2),"H"),$R$63:$T$91,3,FALSE),VLOOKUP($T23,$R$63:$T$91,3,FALSE)))+IF(AND($T23&lt;&gt;"",$T23&lt;&gt;"O3/CP",$T$15=B$18,MID($T23,4,1)="2",$T$15&lt;&gt;$T$14),VLOOKUP(CONCATENATE(LEFT($T23,2),"L"),$R$63:$T$91,3,FALSE),0)+IF(AND($T23="O3/CP",$T$14=B$18),VLOOKUP("O3",$R$63:$T$91,3,FALSE)+VLOOKUP("CP",$R$63:$T$91,3,FALSE),0)+IF(AND($U23&lt;&gt;"",$U23&lt;&gt;"--",$U23&lt;&gt;"O3/CP",$U$14=B$18),IF(LEFT($U23,1)="P",VLOOKUP(CONCATENATE(LEFT($U23,2),"H"),$R$63:$T$91,3,FALSE),VLOOKUP($U23,$R$63:$T$91,3,FALSE)))+IF(AND($U23&lt;&gt;"",$U23&lt;&gt;"O3/CP",$U$15=B$18,MID($U23,4,1)="2",$U$15&lt;&gt;$U$14),VLOOKUP(CONCATENATE(LEFT($U23,2),"L"),$R$63:$T$91,3,FALSE),0)+IF(AND($U23="O3/CP",$T$14=B$18),VLOOKUP("O3",$R$63:$T$91,3,FALSE)+VLOOKUP("CP",$R$63:$T$91,3,FALSE),0)+IF(AND($V23&lt;&gt;"",$V23&lt;&gt;"--",$V23&lt;&gt;"O3/CP",$V$14=B$18),IF(LEFT($V23,1)="P",VLOOKUP(CONCATENATE(LEFT($V23,2),"H"),$R$63:$T$91,3,FALSE),VLOOKUP($V23,$R$63:$T$91,3,FALSE)))+IF(AND($V23&lt;&gt;"",$V23&lt;&gt;"O3/CP",$V$15=B$18,MID($V23,4,1)="2",$V$15&lt;&gt;$V$14),VLOOKUP(CONCATENATE(LEFT($V23,2),"L"),$R$63:$T$91,3,FALSE),0)+IF(AND($V23="O3/CP",$V$14=B$18),VLOOKUP("O3",$R$63:$T$91,3,FALSE)+VLOOKUP("CP",$R$63:$T$91,3,FALSE),0)+IF(AND($W23&lt;&gt;"",$W23&lt;&gt;"--",$W23&lt;&gt;"O3/CP",$W$14=B$18),IF(LEFT($W23,1)="P",VLOOKUP(CONCATENATE(LEFT($W23,2),"H"),$R$63:$T$91,3,FALSE),VLOOKUP($W23,$R$63:$T$91,3,FALSE)))+IF(AND($W23&lt;&gt;"",$W23&lt;&gt;"O3/CP",$W$15=B$18,MID($W23,4,1)="2",$W$15&lt;&gt;$W$14),VLOOKUP(CONCATENATE(LEFT($W23,2),"L"),$R$63:$T$91,3,FALSE),0)+IF(AND($W23="O3/CP",$W$14=B$18),VLOOKUP("O3",$R$63:$T$91,3,FALSE)+VLOOKUP("CP",$R$63:$T$91,3,FALSE),0)+IF(AND($X23&lt;&gt;"",$X23&lt;&gt;"--",$X23&lt;&gt;"O3/CP",$X$14=B$18),IF(LEFT($X23,1)="P",VLOOKUP(CONCATENATE(LEFT($X23,2),"H"),$R$63:$T$91,3,FALSE),VLOOKUP($X23,$R$63:$T$91,3,FALSE)))+IF(AND($X23&lt;&gt;"",$X23&lt;&gt;"O3/CP",$X$15=B$18,MID($X23,4,1)="2",$X$15&lt;&gt;$X$14),VLOOKUP(CONCATENATE(LEFT($X23,2),"L"),$R$63:$T$91,3,FALSE),0)+IF(AND($X23="O3/CP",$X$14=B$18),VLOOKUP("O3",$R$63:$T$91,3,FALSE)+VLOOKUP("CP",$R$63:$T$91,3,FALSE),0)+IF(AND($Y23&lt;&gt;"",$Y23&lt;&gt;"--",$Y23&lt;&gt;"O3/CP",$Y$14=B$18),IF(LEFT($Y23,1)="P",VLOOKUP(CONCATENATE(LEFT($Y23,2),"H"),$R$63:$T$91,3,FALSE),VLOOKUP($Y23,$R$63:$T$91,3,FALSE)))+IF(AND($Y23&lt;&gt;"",$Y23&lt;&gt;"O3/CP",$Y$15=B$18,MID($Y23,4,1)="2",$Y$15&lt;&gt;$Y$14),VLOOKUP(CONCATENATE(LEFT($Y23,2),"L"),$R$63:$T$91,3,FALSE),0)+IF(AND($Y23="O3/CP",$Y$14=B$18),VLOOKUP("O3",$R$63:$T$91,3,FALSE)+VLOOKUP("CP",$R$63:$T$91,3,FALSE),0)+IF(AND($K$6="CE",'[3]Supply Attribution'!$G$20=B$18),LEFT($S$90,2),0)+IF(AND($X$86&lt;&gt;"Not Set",$X$87=B$18),$X$86,0)</f>
        <v>6</v>
      </c>
      <c r="C23" s="271">
        <f>IF(AND($K23&lt;&gt;"",$K23&lt;&gt;"--",$K23&lt;&gt;"O3/CP",$K$14=C$18),IF(LEFT($K23,1)="P",VLOOKUP(CONCATENATE(LEFT($K23,2),"H"),$R$63:$T$91,3,FALSE),VLOOKUP($K23,$R$63:$T$91,3,FALSE)))+IF(AND($K23&lt;&gt;"",$K23&lt;&gt;"O3/CP",$K$15=C$18,MID($K23,4,1)="2",$K$15&lt;&gt;$K$14),VLOOKUP(CONCATENATE(LEFT($K23,2),"L"),$R$63:$T$91,3,FALSE),0)+IF(AND($K23="O3/CP",$K$14=C$18),VLOOKUP("O3",$R$63:$T$91,3,FALSE)+VLOOKUP("CP",$R$63:$T$91,3,FALSE),0)+IF(AND($L23&lt;&gt;"",$L23&lt;&gt;"--",$L23&lt;&gt;"O3/CP",$L$14=C$18),IF(LEFT($L23,1)="P",VLOOKUP(CONCATENATE(LEFT($L23,2),"H"),$R$63:$T$91,3,FALSE),VLOOKUP($L23,$R$63:$T$91,3,FALSE)))+IF(AND($L23&lt;&gt;"",$L23&lt;&gt;"O3/CP",$L$15=C$18,MID($L23,4,1)="2",$L$15&lt;&gt;$L$14),VLOOKUP(CONCATENATE(LEFT($L23,2),"L"),$R$63:$T$91,3,FALSE),0)+IF(AND($L23="O3/CP",$L$14=C$18),VLOOKUP("O3",$R$63:$T$91,3,FALSE)+VLOOKUP("CP",$R$63:$T$91,3,FALSE),0)+IF(AND($M23&lt;&gt;"",$M23&lt;&gt;"--",$M23&lt;&gt;"O3/CP",$M$14=C$18),IF(LEFT($M23,1)="P",VLOOKUP(CONCATENATE(LEFT($M23,2),"H"),$R$63:$T$91,3,FALSE),VLOOKUP($M23,$R$63:$T$91,3,FALSE)))+IF(AND($M23&lt;&gt;"",$M23&lt;&gt;"O3/CP",$M$15=C$18,MID($M23,4,1)="2",$M$15&lt;&gt;$M$14),VLOOKUP(CONCATENATE(LEFT($M23,2),"L"),$R$63:$T$91,3,FALSE),0)+IF(AND($M23="O3/CP",$M$14=C$18),VLOOKUP("O3",$R$63:$T$91,3,FALSE)+VLOOKUP("CP",$R$63:$T$91,3,FALSE),0)+IF(AND($N23&lt;&gt;"",$N23&lt;&gt;"--",$N23&lt;&gt;"O3/CP",$N$14=C$18),IF(LEFT($N23,1)="P",VLOOKUP(CONCATENATE(LEFT($N23,2),"H"),$R$63:$T$91,3,FALSE),VLOOKUP($N23,$R$63:$T$91,3,FALSE)))+IF(AND($N23&lt;&gt;"",$N23&lt;&gt;"O3/CP",$N$15=C$18,MID($N23,4,1)="2",$N$15&lt;&gt;$N$14),VLOOKUP(CONCATENATE(LEFT($N23,2),"L"),$R$63:$T$91,3,FALSE),0)+IF(AND($N23="O3/CP",$N$14=C$18),VLOOKUP("O3",$R$63:$T$91,3,FALSE)+VLOOKUP("CP",$R$63:$T$91,3,FALSE),0)+IF(AND($O23&lt;&gt;"",$O23&lt;&gt;"--",$O23&lt;&gt;"O3/CP",$O$14=C$18),IF(LEFT($O23,1)="P",VLOOKUP(CONCATENATE(LEFT($O23,2),"H"),$R$63:$T$91,3,FALSE),VLOOKUP($O23,$R$63:$T$91,3,FALSE)))+IF(AND($O23&lt;&gt;"",$O23&lt;&gt;"O3/CP",$O$15=C$18,MID($O23,4,1)="2",$O$15&lt;&gt;$O$14),VLOOKUP(CONCATENATE(LEFT($O23,2),"L"),$R$63:$T$91,3,FALSE),0)+IF(AND($O23="O3/CP",$O$14=C$18),VLOOKUP("O3",$R$63:$T$91,3,FALSE)+VLOOKUP("CP",$R$63:$T$91,3,FALSE),0)+IF(AND($P23&lt;&gt;"",$P23&lt;&gt;"--",$P23&lt;&gt;"O3/CP",$P$14=C$18),IF(LEFT($P23,1)="P",VLOOKUP(CONCATENATE(LEFT($P23,2),"H"),$R$63:$T$91,3,FALSE),VLOOKUP($P23,$R$63:$T$91,3,FALSE)))+IF(AND($P23&lt;&gt;"",$P23&lt;&gt;"O3/CP",$P$15=C$18,MID($P23,4,1)="2",$P$15&lt;&gt;$P$14),VLOOKUP(CONCATENATE(LEFT($P23,2),"L"),$R$63:$T$91,3,FALSE),0)+IF(AND($P23="O3/CP",$P$14=C$18),VLOOKUP("O3",$R$63:$T$91,3,FALSE)+VLOOKUP("CP",$R$63:$T$91,3,FALSE),0)+IF(AND($Q23&lt;&gt;"",$Q23&lt;&gt;"--",$Q23&lt;&gt;"O3/CP",$Q$14=C$18),IF(LEFT($Q23,1)="P",VLOOKUP(CONCATENATE(LEFT($Q23,2),"H"),$R$63:$T$91,3,FALSE),VLOOKUP($Q23,$R$63:$T$91,3,FALSE)))+IF(AND($Q23&lt;&gt;"",$Q23&lt;&gt;"O3/CP",$Q$15=C$18,MID($Q23,4,1)="2",$Q$15&lt;&gt;$Q$14),VLOOKUP(CONCATENATE(LEFT($Q23,2),"L"),$R$63:$T$91,3,FALSE),0)+IF(AND($Q23="O3/CP",$Q$14=C$18),VLOOKUP("O3",$R$63:$T$91,3,FALSE)+VLOOKUP("CP",$R$63:$T$91,3,FALSE),0)+IF(AND($R23&lt;&gt;"",$R23&lt;&gt;"--",$R23&lt;&gt;"O3/CP",$R$14=C$18),IF(LEFT($R23,1)="P",VLOOKUP(CONCATENATE(LEFT($R23,2),"H"),$R$63:$T$91,3,FALSE),VLOOKUP($R23,$R$63:$T$91,3,FALSE)))+IF(AND($R23&lt;&gt;"",$R23&lt;&gt;"O3/CP",$R$15=C$18,MID($R23,4,1)="2",$R$15&lt;&gt;$R$14),VLOOKUP(CONCATENATE(LEFT($R23,2),"L"),$R$63:$T$91,3,FALSE),0)+IF(AND($R23="O3/CP",$R$14=C$18),VLOOKUP("O3",$R$63:$T$91,3,FALSE)+VLOOKUP("CP",$R$63:$T$91,3,FALSE),0)+IF(AND($S23&lt;&gt;"",$S23&lt;&gt;"--",$S23&lt;&gt;"O3/CP",$S$14=C$18),IF(LEFT($S23,1)="P",VLOOKUP(CONCATENATE(LEFT($S23,2),"H"),$R$63:$T$91,3,FALSE),VLOOKUP($S23,$R$63:$T$91,3,FALSE)))+IF(AND($S23&lt;&gt;"",$S23&lt;&gt;"O3/CP",$S$15=C$18,MID($S23,4,1)="2",$S$15&lt;&gt;$S$14),VLOOKUP(CONCATENATE(LEFT($S23,2),"L"),$R$63:$T$91,3,FALSE),0)+IF(AND($S23="O3/CP",$S$14=C$18),VLOOKUP("O3",$R$63:$T$91,3,FALSE)+VLOOKUP("CP",$R$63:$T$91,3,FALSE),0)+IF(AND($T23&lt;&gt;"",$T23&lt;&gt;"--",$T23&lt;&gt;"O3/CP",$T$14=C$18),IF(LEFT($T23,1)="P",VLOOKUP(CONCATENATE(LEFT($T23,2),"H"),$R$63:$T$91,3,FALSE),VLOOKUP($T23,$R$63:$T$91,3,FALSE)))+IF(AND($T23&lt;&gt;"",$T23&lt;&gt;"O3/CP",$T$15=C$18,MID($T23,4,1)="2",$T$15&lt;&gt;$T$14),VLOOKUP(CONCATENATE(LEFT($T23,2),"L"),$R$63:$T$91,3,FALSE),0)+IF(AND($T23="O3/CP",$T$14=C$18),VLOOKUP("O3",$R$63:$T$91,3,FALSE)+VLOOKUP("CP",$R$63:$T$91,3,FALSE),0)+IF(AND($U23&lt;&gt;"",$U23&lt;&gt;"--",$U23&lt;&gt;"O3/CP",$U$14=C$18),IF(LEFT($U23,1)="P",VLOOKUP(CONCATENATE(LEFT($U23,2),"H"),$R$63:$T$91,3,FALSE),VLOOKUP($U23,$R$63:$T$91,3,FALSE)))+IF(AND($U23&lt;&gt;"",$U23&lt;&gt;"O3/CP",$U$15=C$18,MID($U23,4,1)="2",$U$15&lt;&gt;$U$14),VLOOKUP(CONCATENATE(LEFT($U23,2),"L"),$R$63:$T$91,3,FALSE),0)+IF(AND($U23="O3/CP",$T$14=C$18),VLOOKUP("O3",$R$63:$T$91,3,FALSE)+VLOOKUP("CP",$R$63:$T$91,3,FALSE),0)+IF(AND($V23&lt;&gt;"",$V23&lt;&gt;"--",$V23&lt;&gt;"O3/CP",$V$14=C$18),IF(LEFT($V23,1)="P",VLOOKUP(CONCATENATE(LEFT($V23,2),"H"),$R$63:$T$91,3,FALSE),VLOOKUP($V23,$R$63:$T$91,3,FALSE)))+IF(AND($V23&lt;&gt;"",$V23&lt;&gt;"O3/CP",$V$15=C$18,MID($V23,4,1)="2",$V$15&lt;&gt;$V$14),VLOOKUP(CONCATENATE(LEFT($V23,2),"L"),$R$63:$T$91,3,FALSE),0)+IF(AND($V23="O3/CP",$V$14=C$18),VLOOKUP("O3",$R$63:$T$91,3,FALSE)+VLOOKUP("CP",$R$63:$T$91,3,FALSE),0)+IF(AND($W23&lt;&gt;"",$W23&lt;&gt;"--",$W23&lt;&gt;"O3/CP",$W$14=C$18),IF(LEFT($W23,1)="P",VLOOKUP(CONCATENATE(LEFT($W23,2),"H"),$R$63:$T$91,3,FALSE),VLOOKUP($W23,$R$63:$T$91,3,FALSE)))+IF(AND($W23&lt;&gt;"",$W23&lt;&gt;"O3/CP",$W$15=C$18,MID($W23,4,1)="2",$W$15&lt;&gt;$W$14),VLOOKUP(CONCATENATE(LEFT($W23,2),"L"),$R$63:$T$91,3,FALSE),0)+IF(AND($W23="O3/CP",$W$14=C$18),VLOOKUP("O3",$R$63:$T$91,3,FALSE)+VLOOKUP("CP",$R$63:$T$91,3,FALSE),0)+IF(AND($X23&lt;&gt;"",$X23&lt;&gt;"--",$X23&lt;&gt;"O3/CP",$X$14=C$18),IF(LEFT($X23,1)="P",VLOOKUP(CONCATENATE(LEFT($X23,2),"H"),$R$63:$T$91,3,FALSE),VLOOKUP($X23,$R$63:$T$91,3,FALSE)))+IF(AND($X23&lt;&gt;"",$X23&lt;&gt;"O3/CP",$X$15=C$18,MID($X23,4,1)="2",$X$15&lt;&gt;$X$14),VLOOKUP(CONCATENATE(LEFT($X23,2),"L"),$R$63:$T$91,3,FALSE),0)+IF(AND($X23="O3/CP",$X$14=C$18),VLOOKUP("O3",$R$63:$T$91,3,FALSE)+VLOOKUP("CP",$R$63:$T$91,3,FALSE),0)+IF(AND($Y23&lt;&gt;"",$Y23&lt;&gt;"--",$Y23&lt;&gt;"O3/CP",$Y$14=C$18),IF(LEFT($Y23,1)="P",VLOOKUP(CONCATENATE(LEFT($Y23,2),"H"),$R$63:$T$91,3,FALSE),VLOOKUP($Y23,$R$63:$T$91,3,FALSE)))+IF(AND($Y23&lt;&gt;"",$Y23&lt;&gt;"O3/CP",$Y$15=C$18,MID($Y23,4,1)="2",$Y$15&lt;&gt;$Y$14),VLOOKUP(CONCATENATE(LEFT($Y23,2),"L"),$R$63:$T$91,3,FALSE),0)+IF(AND($Y23="O3/CP",$Y$14=C$18),VLOOKUP("O3",$R$63:$T$91,3,FALSE)+VLOOKUP("CP",$R$63:$T$91,3,FALSE),0)+IF(AND($K$6="CE",'[3]Supply Attribution'!$G$20=C$18),LEFT($S$90,2),0)+IF(AND($X$86&lt;&gt;"Not Set",$X$87=C$18),$X$86,0)</f>
        <v>14</v>
      </c>
      <c r="D23" s="271">
        <f>IF(AND($K23&lt;&gt;"",$K23&lt;&gt;"--",$K23&lt;&gt;"O3/CP",$K$14=D$18),IF(LEFT($K23,1)="P",VLOOKUP(CONCATENATE(LEFT($K23,2),"H"),$R$63:$T$91,3,FALSE),VLOOKUP($K23,$R$63:$T$91,3,FALSE)))+IF(AND($K23&lt;&gt;"",$K23&lt;&gt;"O3/CP",$K$15=D$18,MID($K23,4,1)="2",$K$15&lt;&gt;$K$14),VLOOKUP(CONCATENATE(LEFT($K23,2),"L"),$R$63:$T$91,3,FALSE),0)+IF(AND($K23="O3/CP",$K$14=D$18),VLOOKUP("O3",$R$63:$T$91,3,FALSE)+VLOOKUP("CP",$R$63:$T$91,3,FALSE),0)+IF(AND($L23&lt;&gt;"",$L23&lt;&gt;"--",$L23&lt;&gt;"O3/CP",$L$14=D$18),IF(LEFT($L23,1)="P",VLOOKUP(CONCATENATE(LEFT($L23,2),"H"),$R$63:$T$91,3,FALSE),VLOOKUP($L23,$R$63:$T$91,3,FALSE)))+IF(AND($L23&lt;&gt;"",$L23&lt;&gt;"O3/CP",$L$15=D$18,MID($L23,4,1)="2",$L$15&lt;&gt;$L$14),VLOOKUP(CONCATENATE(LEFT($L23,2),"L"),$R$63:$T$91,3,FALSE),0)+IF(AND($L23="O3/CP",$L$14=D$18),VLOOKUP("O3",$R$63:$T$91,3,FALSE)+VLOOKUP("CP",$R$63:$T$91,3,FALSE),0)+IF(AND($M23&lt;&gt;"",$M23&lt;&gt;"--",$M23&lt;&gt;"O3/CP",$M$14=D$18),IF(LEFT($M23,1)="P",VLOOKUP(CONCATENATE(LEFT($M23,2),"H"),$R$63:$T$91,3,FALSE),VLOOKUP($M23,$R$63:$T$91,3,FALSE)))+IF(AND($M23&lt;&gt;"",$M23&lt;&gt;"O3/CP",$M$15=D$18,MID($M23,4,1)="2",$M$15&lt;&gt;$M$14),VLOOKUP(CONCATENATE(LEFT($M23,2),"L"),$R$63:$T$91,3,FALSE),0)+IF(AND($M23="O3/CP",$M$14=D$18),VLOOKUP("O3",$R$63:$T$91,3,FALSE)+VLOOKUP("CP",$R$63:$T$91,3,FALSE),0)+IF(AND($N23&lt;&gt;"",$N23&lt;&gt;"--",$N23&lt;&gt;"O3/CP",$N$14=D$18),IF(LEFT($N23,1)="P",VLOOKUP(CONCATENATE(LEFT($N23,2),"H"),$R$63:$T$91,3,FALSE),VLOOKUP($N23,$R$63:$T$91,3,FALSE)))+IF(AND($N23&lt;&gt;"",$N23&lt;&gt;"O3/CP",$N$15=D$18,MID($N23,4,1)="2",$N$15&lt;&gt;$N$14),VLOOKUP(CONCATENATE(LEFT($N23,2),"L"),$R$63:$T$91,3,FALSE),0)+IF(AND($N23="O3/CP",$N$14=D$18),VLOOKUP("O3",$R$63:$T$91,3,FALSE)+VLOOKUP("CP",$R$63:$T$91,3,FALSE),0)+IF(AND($O23&lt;&gt;"",$O23&lt;&gt;"--",$O23&lt;&gt;"O3/CP",$O$14=D$18),IF(LEFT($O23,1)="P",VLOOKUP(CONCATENATE(LEFT($O23,2),"H"),$R$63:$T$91,3,FALSE),VLOOKUP($O23,$R$63:$T$91,3,FALSE)))+IF(AND($O23&lt;&gt;"",$O23&lt;&gt;"O3/CP",$O$15=D$18,MID($O23,4,1)="2",$O$15&lt;&gt;$O$14),VLOOKUP(CONCATENATE(LEFT($O23,2),"L"),$R$63:$T$91,3,FALSE),0)+IF(AND($O23="O3/CP",$O$14=D$18),VLOOKUP("O3",$R$63:$T$91,3,FALSE)+VLOOKUP("CP",$R$63:$T$91,3,FALSE),0)+IF(AND($P23&lt;&gt;"",$P23&lt;&gt;"--",$P23&lt;&gt;"O3/CP",$P$14=D$18),IF(LEFT($P23,1)="P",VLOOKUP(CONCATENATE(LEFT($P23,2),"H"),$R$63:$T$91,3,FALSE),VLOOKUP($P23,$R$63:$T$91,3,FALSE)))+IF(AND($P23&lt;&gt;"",$P23&lt;&gt;"O3/CP",$P$15=D$18,MID($P23,4,1)="2",$P$15&lt;&gt;$P$14),VLOOKUP(CONCATENATE(LEFT($P23,2),"L"),$R$63:$T$91,3,FALSE),0)+IF(AND($P23="O3/CP",$P$14=D$18),VLOOKUP("O3",$R$63:$T$91,3,FALSE)+VLOOKUP("CP",$R$63:$T$91,3,FALSE),0)+IF(AND($Q23&lt;&gt;"",$Q23&lt;&gt;"--",$Q23&lt;&gt;"O3/CP",$Q$14=D$18),IF(LEFT($Q23,1)="P",VLOOKUP(CONCATENATE(LEFT($Q23,2),"H"),$R$63:$T$91,3,FALSE),VLOOKUP($Q23,$R$63:$T$91,3,FALSE)))+IF(AND($Q23&lt;&gt;"",$Q23&lt;&gt;"O3/CP",$Q$15=D$18,MID($Q23,4,1)="2",$Q$15&lt;&gt;$Q$14),VLOOKUP(CONCATENATE(LEFT($Q23,2),"L"),$R$63:$T$91,3,FALSE),0)+IF(AND($Q23="O3/CP",$Q$14=D$18),VLOOKUP("O3",$R$63:$T$91,3,FALSE)+VLOOKUP("CP",$R$63:$T$91,3,FALSE),0)+IF(AND($R23&lt;&gt;"",$R23&lt;&gt;"--",$R23&lt;&gt;"O3/CP",$R$14=D$18),IF(LEFT($R23,1)="P",VLOOKUP(CONCATENATE(LEFT($R23,2),"H"),$R$63:$T$91,3,FALSE),VLOOKUP($R23,$R$63:$T$91,3,FALSE)))+IF(AND($R23&lt;&gt;"",$R23&lt;&gt;"O3/CP",$R$15=D$18,MID($R23,4,1)="2",$R$15&lt;&gt;$R$14),VLOOKUP(CONCATENATE(LEFT($R23,2),"L"),$R$63:$T$91,3,FALSE),0)+IF(AND($R23="O3/CP",$R$14=D$18),VLOOKUP("O3",$R$63:$T$91,3,FALSE)+VLOOKUP("CP",$R$63:$T$91,3,FALSE),0)+IF(AND($S23&lt;&gt;"",$S23&lt;&gt;"--",$S23&lt;&gt;"O3/CP",$S$14=D$18),IF(LEFT($S23,1)="P",VLOOKUP(CONCATENATE(LEFT($S23,2),"H"),$R$63:$T$91,3,FALSE),VLOOKUP($S23,$R$63:$T$91,3,FALSE)))+IF(AND($S23&lt;&gt;"",$S23&lt;&gt;"O3/CP",$S$15=D$18,MID($S23,4,1)="2",$S$15&lt;&gt;$S$14),VLOOKUP(CONCATENATE(LEFT($S23,2),"L"),$R$63:$T$91,3,FALSE),0)+IF(AND($S23="O3/CP",$S$14=D$18),VLOOKUP("O3",$R$63:$T$91,3,FALSE)+VLOOKUP("CP",$R$63:$T$91,3,FALSE),0)+IF(AND($T23&lt;&gt;"",$T23&lt;&gt;"--",$T23&lt;&gt;"O3/CP",$T$14=D$18),IF(LEFT($T23,1)="P",VLOOKUP(CONCATENATE(LEFT($T23,2),"H"),$R$63:$T$91,3,FALSE),VLOOKUP($T23,$R$63:$T$91,3,FALSE)))+IF(AND($T23&lt;&gt;"",$T23&lt;&gt;"O3/CP",$T$15=D$18,MID($T23,4,1)="2",$T$15&lt;&gt;$T$14),VLOOKUP(CONCATENATE(LEFT($T23,2),"L"),$R$63:$T$91,3,FALSE),0)+IF(AND($T23="O3/CP",$T$14=D$18),VLOOKUP("O3",$R$63:$T$91,3,FALSE)+VLOOKUP("CP",$R$63:$T$91,3,FALSE),0)+IF(AND($U23&lt;&gt;"",$U23&lt;&gt;"--",$U23&lt;&gt;"O3/CP",$U$14=D$18),IF(LEFT($U23,1)="P",VLOOKUP(CONCATENATE(LEFT($U23,2),"H"),$R$63:$T$91,3,FALSE),VLOOKUP($U23,$R$63:$T$91,3,FALSE)))+IF(AND($U23&lt;&gt;"",$U23&lt;&gt;"O3/CP",$U$15=D$18,MID($U23,4,1)="2",$U$15&lt;&gt;$U$14),VLOOKUP(CONCATENATE(LEFT($U23,2),"L"),$R$63:$T$91,3,FALSE),0)+IF(AND($U23="O3/CP",$T$14=D$18),VLOOKUP("O3",$R$63:$T$91,3,FALSE)+VLOOKUP("CP",$R$63:$T$91,3,FALSE),0)+IF(AND($V23&lt;&gt;"",$V23&lt;&gt;"--",$V23&lt;&gt;"O3/CP",$V$14=D$18),IF(LEFT($V23,1)="P",VLOOKUP(CONCATENATE(LEFT($V23,2),"H"),$R$63:$T$91,3,FALSE),VLOOKUP($V23,$R$63:$T$91,3,FALSE)))+IF(AND($V23&lt;&gt;"",$V23&lt;&gt;"O3/CP",$V$15=D$18,MID($V23,4,1)="2",$V$15&lt;&gt;$V$14),VLOOKUP(CONCATENATE(LEFT($V23,2),"L"),$R$63:$T$91,3,FALSE),0)+IF(AND($V23="O3/CP",$V$14=D$18),VLOOKUP("O3",$R$63:$T$91,3,FALSE)+VLOOKUP("CP",$R$63:$T$91,3,FALSE),0)+IF(AND($W23&lt;&gt;"",$W23&lt;&gt;"--",$W23&lt;&gt;"O3/CP",$W$14=D$18),IF(LEFT($W23,1)="P",VLOOKUP(CONCATENATE(LEFT($W23,2),"H"),$R$63:$T$91,3,FALSE),VLOOKUP($W23,$R$63:$T$91,3,FALSE)))+IF(AND($W23&lt;&gt;"",$W23&lt;&gt;"O3/CP",$W$15=D$18,MID($W23,4,1)="2",$W$15&lt;&gt;$W$14),VLOOKUP(CONCATENATE(LEFT($W23,2),"L"),$R$63:$T$91,3,FALSE),0)+IF(AND($W23="O3/CP",$W$14=D$18),VLOOKUP("O3",$R$63:$T$91,3,FALSE)+VLOOKUP("CP",$R$63:$T$91,3,FALSE),0)+IF(AND($X23&lt;&gt;"",$X23&lt;&gt;"--",$X23&lt;&gt;"O3/CP",$X$14=D$18),IF(LEFT($X23,1)="P",VLOOKUP(CONCATENATE(LEFT($X23,2),"H"),$R$63:$T$91,3,FALSE),VLOOKUP($X23,$R$63:$T$91,3,FALSE)))+IF(AND($X23&lt;&gt;"",$X23&lt;&gt;"O3/CP",$X$15=D$18,MID($X23,4,1)="2",$X$15&lt;&gt;$X$14),VLOOKUP(CONCATENATE(LEFT($X23,2),"L"),$R$63:$T$91,3,FALSE),0)+IF(AND($X23="O3/CP",$X$14=D$18),VLOOKUP("O3",$R$63:$T$91,3,FALSE)+VLOOKUP("CP",$R$63:$T$91,3,FALSE),0)+IF(AND($Y23&lt;&gt;"",$Y23&lt;&gt;"--",$Y23&lt;&gt;"O3/CP",$Y$14=D$18),IF(LEFT($Y23,1)="P",VLOOKUP(CONCATENATE(LEFT($Y23,2),"H"),$R$63:$T$91,3,FALSE),VLOOKUP($Y23,$R$63:$T$91,3,FALSE)))+IF(AND($Y23&lt;&gt;"",$Y23&lt;&gt;"O3/CP",$Y$15=D$18,MID($Y23,4,1)="2",$Y$15&lt;&gt;$Y$14),VLOOKUP(CONCATENATE(LEFT($Y23,2),"L"),$R$63:$T$91,3,FALSE),0)+IF(AND($Y23="O3/CP",$Y$14=D$18),VLOOKUP("O3",$R$63:$T$91,3,FALSE)+VLOOKUP("CP",$R$63:$T$91,3,FALSE),0)+IF(AND($K$6="CE",'[3]Supply Attribution'!$G$20=D$18),LEFT($S$90,2),0)+IF(AND($X$86&lt;&gt;"Not Set",$X$87=D$18),$X$86,0)</f>
        <v>0</v>
      </c>
      <c r="E23" s="271">
        <f>IF(AND($K23&lt;&gt;"",$K23&lt;&gt;"--",$K23&lt;&gt;"O3/CP",$K$14=E$18),IF(LEFT($K23,1)="P",VLOOKUP(CONCATENATE(LEFT($K23,2),"H"),$R$63:$T$91,3,FALSE),VLOOKUP($K23,$R$63:$T$91,3,FALSE)))+IF(AND($K23&lt;&gt;"",$K23&lt;&gt;"O3/CP",$K$15=E$18,MID($K23,4,1)="2",$K$15&lt;&gt;$K$14),VLOOKUP(CONCATENATE(LEFT($K23,2),"L"),$R$63:$T$91,3,FALSE),0)+IF(AND($K23="O3/CP",$K$14=E$18),VLOOKUP("O3",$R$63:$T$91,3,FALSE)+VLOOKUP("CP",$R$63:$T$91,3,FALSE),0)+IF(AND($L23&lt;&gt;"",$L23&lt;&gt;"--",$L23&lt;&gt;"O3/CP",$L$14=E$18),IF(LEFT($L23,1)="P",VLOOKUP(CONCATENATE(LEFT($L23,2),"H"),$R$63:$T$91,3,FALSE),VLOOKUP($L23,$R$63:$T$91,3,FALSE)))+IF(AND($L23&lt;&gt;"",$L23&lt;&gt;"O3/CP",$L$15=E$18,MID($L23,4,1)="2",$L$15&lt;&gt;$L$14),VLOOKUP(CONCATENATE(LEFT($L23,2),"L"),$R$63:$T$91,3,FALSE),0)+IF(AND($L23="O3/CP",$L$14=E$18),VLOOKUP("O3",$R$63:$T$91,3,FALSE)+VLOOKUP("CP",$R$63:$T$91,3,FALSE),0)+IF(AND($M23&lt;&gt;"",$M23&lt;&gt;"--",$M23&lt;&gt;"O3/CP",$M$14=E$18),IF(LEFT($M23,1)="P",VLOOKUP(CONCATENATE(LEFT($M23,2),"H"),$R$63:$T$91,3,FALSE),VLOOKUP($M23,$R$63:$T$91,3,FALSE)))+IF(AND($M23&lt;&gt;"",$M23&lt;&gt;"O3/CP",$M$15=E$18,MID($M23,4,1)="2",$M$15&lt;&gt;$M$14),VLOOKUP(CONCATENATE(LEFT($M23,2),"L"),$R$63:$T$91,3,FALSE),0)+IF(AND($M23="O3/CP",$M$14=E$18),VLOOKUP("O3",$R$63:$T$91,3,FALSE)+VLOOKUP("CP",$R$63:$T$91,3,FALSE),0)+IF(AND($N23&lt;&gt;"",$N23&lt;&gt;"--",$N23&lt;&gt;"O3/CP",$N$14=E$18),IF(LEFT($N23,1)="P",VLOOKUP(CONCATENATE(LEFT($N23,2),"H"),$R$63:$T$91,3,FALSE),VLOOKUP($N23,$R$63:$T$91,3,FALSE)))+IF(AND($N23&lt;&gt;"",$N23&lt;&gt;"O3/CP",$N$15=E$18,MID($N23,4,1)="2",$N$15&lt;&gt;$N$14),VLOOKUP(CONCATENATE(LEFT($N23,2),"L"),$R$63:$T$91,3,FALSE),0)+IF(AND($N23="O3/CP",$N$14=E$18),VLOOKUP("O3",$R$63:$T$91,3,FALSE)+VLOOKUP("CP",$R$63:$T$91,3,FALSE),0)+IF(AND($O23&lt;&gt;"",$O23&lt;&gt;"--",$O23&lt;&gt;"O3/CP",$O$14=E$18),IF(LEFT($O23,1)="P",VLOOKUP(CONCATENATE(LEFT($O23,2),"H"),$R$63:$T$91,3,FALSE),VLOOKUP($O23,$R$63:$T$91,3,FALSE)))+IF(AND($O23&lt;&gt;"",$O23&lt;&gt;"O3/CP",$O$15=E$18,MID($O23,4,1)="2",$O$15&lt;&gt;$O$14),VLOOKUP(CONCATENATE(LEFT($O23,2),"L"),$R$63:$T$91,3,FALSE),0)+IF(AND($O23="O3/CP",$O$14=E$18),VLOOKUP("O3",$R$63:$T$91,3,FALSE)+VLOOKUP("CP",$R$63:$T$91,3,FALSE),0)+IF(AND($P23&lt;&gt;"",$P23&lt;&gt;"--",$P23&lt;&gt;"O3/CP",$P$14=E$18),IF(LEFT($P23,1)="P",VLOOKUP(CONCATENATE(LEFT($P23,2),"H"),$R$63:$T$91,3,FALSE),VLOOKUP($P23,$R$63:$T$91,3,FALSE)))+IF(AND($P23&lt;&gt;"",$P23&lt;&gt;"O3/CP",$P$15=E$18,MID($P23,4,1)="2",$P$15&lt;&gt;$P$14),VLOOKUP(CONCATENATE(LEFT($P23,2),"L"),$R$63:$T$91,3,FALSE),0)+IF(AND($P23="O3/CP",$P$14=E$18),VLOOKUP("O3",$R$63:$T$91,3,FALSE)+VLOOKUP("CP",$R$63:$T$91,3,FALSE),0)+IF(AND($Q23&lt;&gt;"",$Q23&lt;&gt;"--",$Q23&lt;&gt;"O3/CP",$Q$14=E$18),IF(LEFT($Q23,1)="P",VLOOKUP(CONCATENATE(LEFT($Q23,2),"H"),$R$63:$T$91,3,FALSE),VLOOKUP($Q23,$R$63:$T$91,3,FALSE)))+IF(AND($Q23&lt;&gt;"",$Q23&lt;&gt;"O3/CP",$Q$15=E$18,MID($Q23,4,1)="2",$Q$15&lt;&gt;$Q$14),VLOOKUP(CONCATENATE(LEFT($Q23,2),"L"),$R$63:$T$91,3,FALSE),0)+IF(AND($Q23="O3/CP",$Q$14=E$18),VLOOKUP("O3",$R$63:$T$91,3,FALSE)+VLOOKUP("CP",$R$63:$T$91,3,FALSE),0)+IF(AND($R23&lt;&gt;"",$R23&lt;&gt;"--",$R23&lt;&gt;"O3/CP",$R$14=E$18),IF(LEFT($R23,1)="P",VLOOKUP(CONCATENATE(LEFT($R23,2),"H"),$R$63:$T$91,3,FALSE),VLOOKUP($R23,$R$63:$T$91,3,FALSE)))+IF(AND($R23&lt;&gt;"",$R23&lt;&gt;"O3/CP",$R$15=E$18,MID($R23,4,1)="2",$R$15&lt;&gt;$R$14),VLOOKUP(CONCATENATE(LEFT($R23,2),"L"),$R$63:$T$91,3,FALSE),0)+IF(AND($R23="O3/CP",$R$14=E$18),VLOOKUP("O3",$R$63:$T$91,3,FALSE)+VLOOKUP("CP",$R$63:$T$91,3,FALSE),0)+IF(AND($S23&lt;&gt;"",$S23&lt;&gt;"--",$S23&lt;&gt;"O3/CP",$S$14=E$18),IF(LEFT($S23,1)="P",VLOOKUP(CONCATENATE(LEFT($S23,2),"H"),$R$63:$T$91,3,FALSE),VLOOKUP($S23,$R$63:$T$91,3,FALSE)))+IF(AND($S23&lt;&gt;"",$S23&lt;&gt;"O3/CP",$S$15=E$18,MID($S23,4,1)="2",$S$15&lt;&gt;$S$14),VLOOKUP(CONCATENATE(LEFT($S23,2),"L"),$R$63:$T$91,3,FALSE),0)+IF(AND($S23="O3/CP",$S$14=E$18),VLOOKUP("O3",$R$63:$T$91,3,FALSE)+VLOOKUP("CP",$R$63:$T$91,3,FALSE),0)+IF(AND($T23&lt;&gt;"",$T23&lt;&gt;"--",$T23&lt;&gt;"O3/CP",$T$14=E$18),IF(LEFT($T23,1)="P",VLOOKUP(CONCATENATE(LEFT($T23,2),"H"),$R$63:$T$91,3,FALSE),VLOOKUP($T23,$R$63:$T$91,3,FALSE)))+IF(AND($T23&lt;&gt;"",$T23&lt;&gt;"O3/CP",$T$15=E$18,MID($T23,4,1)="2",$T$15&lt;&gt;$T$14),VLOOKUP(CONCATENATE(LEFT($T23,2),"L"),$R$63:$T$91,3,FALSE),0)+IF(AND($T23="O3/CP",$T$14=E$18),VLOOKUP("O3",$R$63:$T$91,3,FALSE)+VLOOKUP("CP",$R$63:$T$91,3,FALSE),0)+IF(AND($U23&lt;&gt;"",$U23&lt;&gt;"--",$U23&lt;&gt;"O3/CP",$U$14=E$18),IF(LEFT($U23,1)="P",VLOOKUP(CONCATENATE(LEFT($U23,2),"H"),$R$63:$T$91,3,FALSE),VLOOKUP($U23,$R$63:$T$91,3,FALSE)))+IF(AND($U23&lt;&gt;"",$U23&lt;&gt;"O3/CP",$U$15=E$18,MID($U23,4,1)="2",$U$15&lt;&gt;$U$14),VLOOKUP(CONCATENATE(LEFT($U23,2),"L"),$R$63:$T$91,3,FALSE),0)+IF(AND($U23="O3/CP",$T$14=E$18),VLOOKUP("O3",$R$63:$T$91,3,FALSE)+VLOOKUP("CP",$R$63:$T$91,3,FALSE),0)+IF(AND($V23&lt;&gt;"",$V23&lt;&gt;"--",$V23&lt;&gt;"O3/CP",$V$14=E$18),IF(LEFT($V23,1)="P",VLOOKUP(CONCATENATE(LEFT($V23,2),"H"),$R$63:$T$91,3,FALSE),VLOOKUP($V23,$R$63:$T$91,3,FALSE)))+IF(AND($V23&lt;&gt;"",$V23&lt;&gt;"O3/CP",$V$15=E$18,MID($V23,4,1)="2",$V$15&lt;&gt;$V$14),VLOOKUP(CONCATENATE(LEFT($V23,2),"L"),$R$63:$T$91,3,FALSE),0)+IF(AND($V23="O3/CP",$V$14=E$18),VLOOKUP("O3",$R$63:$T$91,3,FALSE)+VLOOKUP("CP",$R$63:$T$91,3,FALSE),0)+IF(AND($W23&lt;&gt;"",$W23&lt;&gt;"--",$W23&lt;&gt;"O3/CP",$W$14=E$18),IF(LEFT($W23,1)="P",VLOOKUP(CONCATENATE(LEFT($W23,2),"H"),$R$63:$T$91,3,FALSE),VLOOKUP($W23,$R$63:$T$91,3,FALSE)))+IF(AND($W23&lt;&gt;"",$W23&lt;&gt;"O3/CP",$W$15=E$18,MID($W23,4,1)="2",$W$15&lt;&gt;$W$14),VLOOKUP(CONCATENATE(LEFT($W23,2),"L"),$R$63:$T$91,3,FALSE),0)+IF(AND($W23="O3/CP",$W$14=E$18),VLOOKUP("O3",$R$63:$T$91,3,FALSE)+VLOOKUP("CP",$R$63:$T$91,3,FALSE),0)+IF(AND($X23&lt;&gt;"",$X23&lt;&gt;"--",$X23&lt;&gt;"O3/CP",$X$14=E$18),IF(LEFT($X23,1)="P",VLOOKUP(CONCATENATE(LEFT($X23,2),"H"),$R$63:$T$91,3,FALSE),VLOOKUP($X23,$R$63:$T$91,3,FALSE)))+IF(AND($X23&lt;&gt;"",$X23&lt;&gt;"O3/CP",$X$15=E$18,MID($X23,4,1)="2",$X$15&lt;&gt;$X$14),VLOOKUP(CONCATENATE(LEFT($X23,2),"L"),$R$63:$T$91,3,FALSE),0)+IF(AND($X23="O3/CP",$X$14=E$18),VLOOKUP("O3",$R$63:$T$91,3,FALSE)+VLOOKUP("CP",$R$63:$T$91,3,FALSE),0)+IF(AND($Y23&lt;&gt;"",$Y23&lt;&gt;"--",$Y23&lt;&gt;"O3/CP",$Y$14=E$18),IF(LEFT($Y23,1)="P",VLOOKUP(CONCATENATE(LEFT($Y23,2),"H"),$R$63:$T$91,3,FALSE),VLOOKUP($Y23,$R$63:$T$91,3,FALSE)))+IF(AND($Y23&lt;&gt;"",$Y23&lt;&gt;"O3/CP",$Y$15=E$18,MID($Y23,4,1)="2",$Y$15&lt;&gt;$Y$14),VLOOKUP(CONCATENATE(LEFT($Y23,2),"L"),$R$63:$T$91,3,FALSE),0)+IF(AND($Y23="O3/CP",$Y$14=E$18),VLOOKUP("O3",$R$63:$T$91,3,FALSE)+VLOOKUP("CP",$R$63:$T$91,3,FALSE),0)+IF(AND($K$6="CE",'[3]Supply Attribution'!$G$20=E$18),LEFT($S$90,2),0)+IF(AND($X$86&lt;&gt;"Not Set",$X$87=E$18),$X$86,0)</f>
        <v>0</v>
      </c>
      <c r="F23" s="272">
        <f>IF(AND($K23&lt;&gt;"",$K23&lt;&gt;"--",$K23&lt;&gt;"O3/CP",$K$14=F$18),IF(LEFT($K23,1)="P",VLOOKUP(CONCATENATE(LEFT($K23,2),"H"),$R$63:$T$91,3,FALSE),VLOOKUP($K23,$R$63:$T$91,3,FALSE)))+IF(AND($K23&lt;&gt;"",$K23&lt;&gt;"O3/CP",$K$15=F$18,MID($K23,4,1)="2",$K$15&lt;&gt;$K$14),VLOOKUP(CONCATENATE(LEFT($K23,2),"L"),$R$63:$T$91,3,FALSE),0)+IF(AND($K23="O3/CP",$K$14=F$18),VLOOKUP("O3",$R$63:$T$91,3,FALSE)+VLOOKUP("CP",$R$63:$T$91,3,FALSE),0)+IF(AND($L23&lt;&gt;"",$L23&lt;&gt;"--",$L23&lt;&gt;"O3/CP",$L$14=F$18),IF(LEFT($L23,1)="P",VLOOKUP(CONCATENATE(LEFT($L23,2),"H"),$R$63:$T$91,3,FALSE),VLOOKUP($L23,$R$63:$T$91,3,FALSE)))+IF(AND($L23&lt;&gt;"",$L23&lt;&gt;"O3/CP",$L$15=F$18,MID($L23,4,1)="2",$L$15&lt;&gt;$L$14),VLOOKUP(CONCATENATE(LEFT($L23,2),"L"),$R$63:$T$91,3,FALSE),0)+IF(AND($L23="O3/CP",$L$14=F$18),VLOOKUP("O3",$R$63:$T$91,3,FALSE)+VLOOKUP("CP",$R$63:$T$91,3,FALSE),0)+IF(AND($M23&lt;&gt;"",$M23&lt;&gt;"--",$M23&lt;&gt;"O3/CP",$M$14=F$18),IF(LEFT($M23,1)="P",VLOOKUP(CONCATENATE(LEFT($M23,2),"H"),$R$63:$T$91,3,FALSE),VLOOKUP($M23,$R$63:$T$91,3,FALSE)))+IF(AND($M23&lt;&gt;"",$M23&lt;&gt;"O3/CP",$M$15=F$18,MID($M23,4,1)="2",$M$15&lt;&gt;$M$14),VLOOKUP(CONCATENATE(LEFT($M23,2),"L"),$R$63:$T$91,3,FALSE),0)+IF(AND($M23="O3/CP",$M$14=F$18),VLOOKUP("O3",$R$63:$T$91,3,FALSE)+VLOOKUP("CP",$R$63:$T$91,3,FALSE),0)+IF(AND($N23&lt;&gt;"",$N23&lt;&gt;"--",$N23&lt;&gt;"O3/CP",$N$14=F$18),IF(LEFT($N23,1)="P",VLOOKUP(CONCATENATE(LEFT($N23,2),"H"),$R$63:$T$91,3,FALSE),VLOOKUP($N23,$R$63:$T$91,3,FALSE)))+IF(AND($N23&lt;&gt;"",$N23&lt;&gt;"O3/CP",$N$15=F$18,MID($N23,4,1)="2",$N$15&lt;&gt;$N$14),VLOOKUP(CONCATENATE(LEFT($N23,2),"L"),$R$63:$T$91,3,FALSE),0)+IF(AND($N23="O3/CP",$N$14=F$18),VLOOKUP("O3",$R$63:$T$91,3,FALSE)+VLOOKUP("CP",$R$63:$T$91,3,FALSE),0)+IF(AND($O23&lt;&gt;"",$O23&lt;&gt;"--",$O23&lt;&gt;"O3/CP",$O$14=F$18),IF(LEFT($O23,1)="P",VLOOKUP(CONCATENATE(LEFT($O23,2),"H"),$R$63:$T$91,3,FALSE),VLOOKUP($O23,$R$63:$T$91,3,FALSE)))+IF(AND($O23&lt;&gt;"",$O23&lt;&gt;"O3/CP",$O$15=F$18,MID($O23,4,1)="2",$O$15&lt;&gt;$O$14),VLOOKUP(CONCATENATE(LEFT($O23,2),"L"),$R$63:$T$91,3,FALSE),0)+IF(AND($O23="O3/CP",$O$14=F$18),VLOOKUP("O3",$R$63:$T$91,3,FALSE)+VLOOKUP("CP",$R$63:$T$91,3,FALSE),0)+IF(AND($P23&lt;&gt;"",$P23&lt;&gt;"--",$P23&lt;&gt;"O3/CP",$P$14=F$18),IF(LEFT($P23,1)="P",VLOOKUP(CONCATENATE(LEFT($P23,2),"H"),$R$63:$T$91,3,FALSE),VLOOKUP($P23,$R$63:$T$91,3,FALSE)))+IF(AND($P23&lt;&gt;"",$P23&lt;&gt;"O3/CP",$P$15=F$18,MID($P23,4,1)="2",$P$15&lt;&gt;$P$14),VLOOKUP(CONCATENATE(LEFT($P23,2),"L"),$R$63:$T$91,3,FALSE),0)+IF(AND($P23="O3/CP",$P$14=F$18),VLOOKUP("O3",$R$63:$T$91,3,FALSE)+VLOOKUP("CP",$R$63:$T$91,3,FALSE),0)+IF(AND($Q23&lt;&gt;"",$Q23&lt;&gt;"--",$Q23&lt;&gt;"O3/CP",$Q$14=F$18),IF(LEFT($Q23,1)="P",VLOOKUP(CONCATENATE(LEFT($Q23,2),"H"),$R$63:$T$91,3,FALSE),VLOOKUP($Q23,$R$63:$T$91,3,FALSE)))+IF(AND($Q23&lt;&gt;"",$Q23&lt;&gt;"O3/CP",$Q$15=F$18,MID($Q23,4,1)="2",$Q$15&lt;&gt;$Q$14),VLOOKUP(CONCATENATE(LEFT($Q23,2),"L"),$R$63:$T$91,3,FALSE),0)+IF(AND($Q23="O3/CP",$Q$14=F$18),VLOOKUP("O3",$R$63:$T$91,3,FALSE)+VLOOKUP("CP",$R$63:$T$91,3,FALSE),0)+IF(AND($R23&lt;&gt;"",$R23&lt;&gt;"--",$R23&lt;&gt;"O3/CP",$R$14=F$18),IF(LEFT($R23,1)="P",VLOOKUP(CONCATENATE(LEFT($R23,2),"H"),$R$63:$T$91,3,FALSE),VLOOKUP($R23,$R$63:$T$91,3,FALSE)))+IF(AND($R23&lt;&gt;"",$R23&lt;&gt;"O3/CP",$R$15=F$18,MID($R23,4,1)="2",$R$15&lt;&gt;$R$14),VLOOKUP(CONCATENATE(LEFT($R23,2),"L"),$R$63:$T$91,3,FALSE),0)+IF(AND($R23="O3/CP",$R$14=F$18),VLOOKUP("O3",$R$63:$T$91,3,FALSE)+VLOOKUP("CP",$R$63:$T$91,3,FALSE),0)+IF(AND($S23&lt;&gt;"",$S23&lt;&gt;"--",$S23&lt;&gt;"O3/CP",$S$14=F$18),IF(LEFT($S23,1)="P",VLOOKUP(CONCATENATE(LEFT($S23,2),"H"),$R$63:$T$91,3,FALSE),VLOOKUP($S23,$R$63:$T$91,3,FALSE)))+IF(AND($S23&lt;&gt;"",$S23&lt;&gt;"O3/CP",$S$15=F$18,MID($S23,4,1)="2",$S$15&lt;&gt;$S$14),VLOOKUP(CONCATENATE(LEFT($S23,2),"L"),$R$63:$T$91,3,FALSE),0)+IF(AND($S23="O3/CP",$S$14=F$18),VLOOKUP("O3",$R$63:$T$91,3,FALSE)+VLOOKUP("CP",$R$63:$T$91,3,FALSE),0)+IF(AND($T23&lt;&gt;"",$T23&lt;&gt;"--",$T23&lt;&gt;"O3/CP",$T$14=F$18),IF(LEFT($T23,1)="P",VLOOKUP(CONCATENATE(LEFT($T23,2),"H"),$R$63:$T$91,3,FALSE),VLOOKUP($T23,$R$63:$T$91,3,FALSE)))+IF(AND($T23&lt;&gt;"",$T23&lt;&gt;"O3/CP",$T$15=F$18,MID($T23,4,1)="2",$T$15&lt;&gt;$T$14),VLOOKUP(CONCATENATE(LEFT($T23,2),"L"),$R$63:$T$91,3,FALSE),0)+IF(AND($T23="O3/CP",$T$14=F$18),VLOOKUP("O3",$R$63:$T$91,3,FALSE)+VLOOKUP("CP",$R$63:$T$91,3,FALSE),0)+IF(AND($U23&lt;&gt;"",$U23&lt;&gt;"--",$U23&lt;&gt;"O3/CP",$U$14=F$18),IF(LEFT($U23,1)="P",VLOOKUP(CONCATENATE(LEFT($U23,2),"H"),$R$63:$T$91,3,FALSE),VLOOKUP($U23,$R$63:$T$91,3,FALSE)))+IF(AND($U23&lt;&gt;"",$U23&lt;&gt;"O3/CP",$U$15=F$18,MID($U23,4,1)="2",$U$15&lt;&gt;$U$14),VLOOKUP(CONCATENATE(LEFT($U23,2),"L"),$R$63:$T$91,3,FALSE),0)+IF(AND($U23="O3/CP",$T$14=F$18),VLOOKUP("O3",$R$63:$T$91,3,FALSE)+VLOOKUP("CP",$R$63:$T$91,3,FALSE),0)+IF(AND($V23&lt;&gt;"",$V23&lt;&gt;"--",$V23&lt;&gt;"O3/CP",$V$14=F$18),IF(LEFT($V23,1)="P",VLOOKUP(CONCATENATE(LEFT($V23,2),"H"),$R$63:$T$91,3,FALSE),VLOOKUP($V23,$R$63:$T$91,3,FALSE)))+IF(AND($V23&lt;&gt;"",$V23&lt;&gt;"O3/CP",$V$15=F$18,MID($V23,4,1)="2",$V$15&lt;&gt;$V$14),VLOOKUP(CONCATENATE(LEFT($V23,2),"L"),$R$63:$T$91,3,FALSE),0)+IF(AND($V23="O3/CP",$V$14=F$18),VLOOKUP("O3",$R$63:$T$91,3,FALSE)+VLOOKUP("CP",$R$63:$T$91,3,FALSE),0)+IF(AND($W23&lt;&gt;"",$W23&lt;&gt;"--",$W23&lt;&gt;"O3/CP",$W$14=F$18),IF(LEFT($W23,1)="P",VLOOKUP(CONCATENATE(LEFT($W23,2),"H"),$R$63:$T$91,3,FALSE),VLOOKUP($W23,$R$63:$T$91,3,FALSE)))+IF(AND($W23&lt;&gt;"",$W23&lt;&gt;"O3/CP",$W$15=F$18,MID($W23,4,1)="2",$W$15&lt;&gt;$W$14),VLOOKUP(CONCATENATE(LEFT($W23,2),"L"),$R$63:$T$91,3,FALSE),0)+IF(AND($W23="O3/CP",$W$14=F$18),VLOOKUP("O3",$R$63:$T$91,3,FALSE)+VLOOKUP("CP",$R$63:$T$91,3,FALSE),0)+IF(AND($X23&lt;&gt;"",$X23&lt;&gt;"--",$X23&lt;&gt;"O3/CP",$X$14=F$18),IF(LEFT($X23,1)="P",VLOOKUP(CONCATENATE(LEFT($X23,2),"H"),$R$63:$T$91,3,FALSE),VLOOKUP($X23,$R$63:$T$91,3,FALSE)))+IF(AND($X23&lt;&gt;"",$X23&lt;&gt;"O3/CP",$X$15=F$18,MID($X23,4,1)="2",$X$15&lt;&gt;$X$14),VLOOKUP(CONCATENATE(LEFT($X23,2),"L"),$R$63:$T$91,3,FALSE),0)+IF(AND($X23="O3/CP",$X$14=F$18),VLOOKUP("O3",$R$63:$T$91,3,FALSE)+VLOOKUP("CP",$R$63:$T$91,3,FALSE),0)+IF(AND($Y23&lt;&gt;"",$Y23&lt;&gt;"--",$Y23&lt;&gt;"O3/CP",$Y$14=F$18),IF(LEFT($Y23,1)="P",VLOOKUP(CONCATENATE(LEFT($Y23,2),"H"),$R$63:$T$91,3,FALSE),VLOOKUP($Y23,$R$63:$T$91,3,FALSE)))+IF(AND($Y23&lt;&gt;"",$Y23&lt;&gt;"O3/CP",$Y$15=F$18,MID($Y23,4,1)="2",$Y$15&lt;&gt;$Y$14),VLOOKUP(CONCATENATE(LEFT($Y23,2),"L"),$R$63:$T$91,3,FALSE),0)+IF(AND($Y23="O3/CP",$Y$14=F$18),VLOOKUP("O3",$R$63:$T$91,3,FALSE)+VLOOKUP("CP",$R$63:$T$91,3,FALSE),0)+IF(AND($K$6="CE",'[3]Supply Attribution'!$G$20=F$18),LEFT($S$90,2),0)+IF(AND($X$86&lt;&gt;"Not Set",$X$87=F$18),$X$86,0)</f>
        <v>0</v>
      </c>
      <c r="G23" s="271">
        <f>IF(AND($K$6="CE",$T$59="1 Phase"),SUM(A23:F23)-IF(AND($K$14&lt;&gt;$K$15,RIGHT($K23,3)="2SP"),VLOOKUP(CONCATENATE(LEFT($K23,2),"L"),$R$63:$T$90,3,FALSE),0)-IF(AND($L$14&lt;&gt;$L$15,RIGHT($L23,3)="2SP"),VLOOKUP(CONCATENATE(LEFT($L23,2),"L"),$R$63:$T$90,3,FALSE),0)-IF(AND($M$14&lt;&gt;$M$15,RIGHT($M23,3)="2SP"),VLOOKUP(CONCATENATE(LEFT($M23,2),"L"),$R$63:$T$90,3,FALSE),0)-IF(AND($N$14&lt;&gt;$N$15,RIGHT($N23,3)="2SP"),VLOOKUP(CONCATENATE(LEFT($N23,2),"L"),$R$63:$T$90,3,FALSE),0)-IF(AND($O$14&lt;&gt;$O$15,RIGHT($O23,3)="2SP"),VLOOKUP(CONCATENATE(LEFT($O23,2),"L"),$R$63:$T$90,3,FALSE),0)-IF(AND($P$14&lt;&gt;$P$15,RIGHT($P23,3)="2SP"),VLOOKUP(CONCATENATE(LEFT($P23,2),"L"),$R$63:$T$90,3,FALSE),0)-IF(AND($Q$14&lt;&gt;$Q$15,RIGHT($Q23,3)="2SP"),VLOOKUP(CONCATENATE(LEFT($Q23,2),"L"),$R$63:$T$90,3,FALSE),0)-IF(AND($R$14&lt;&gt;$R$15,RIGHT($T23,3)="2SP"),VLOOKUP(CONCATENATE(LEFT($R23,2),"L"),$R$63:$T$90,3,FALSE),0)-IF(AND($S$14&lt;&gt;$S$15,RIGHT($T23,3)="2SP"),VLOOKUP(CONCATENATE(LEFT($S23,2),"L"),$R$63:$T$90,3,FALSE),0)-IF(AND($T$14&lt;&gt;$T$15,RIGHT($T23,3)="2SP"),VLOOKUP(CONCATENATE(LEFT($T23,2),"L"),$R$63:$T$90,3,FALSE),0)-IF(AND($U$14&lt;&gt;$U$15,RIGHT($U23,3)="2SP"),VLOOKUP(CONCATENATE(LEFT($U23,2),"L"),$R$63:$T$90,3,FALSE),0)-IF(AND($V$14&lt;&gt;$V$15,RIGHT($V23,3)="2SP"),VLOOKUP(CONCATENATE(LEFT($V23,2),"L"),$R$63:$T$90,3,FALSE),0)-IF(AND($W$14&lt;&gt;$W$15,RIGHT($W23,3)="2SP"),VLOOKUP(CONCATENATE(LEFT($W23,2),"L"),$R$63:$T$90,3,FALSE),0)-IF(AND($X$14&lt;&gt;$X$15,RIGHT($X23,3)="2SP"),VLOOKUP(CONCATENATE(LEFT($X23,2),"L"),$R$63:$T$90,3,FALSE),0)-IF(AND($Y$14&lt;&gt;$Y$15,RIGHT($Y23,3)="2SP"),VLOOKUP(CONCATENATE(LEFT($Y23,2),"L"),$R$63:$T$90,3,FALSE),0),IF(VLOOKUP(CONCATENATE($A$18,"Line"),'[3]Supply Attribution'!$F$31:$G$37,2,FALSE)=G$18,$A23,0)+IF(VLOOKUP(CONCATENATE($B$18,"Line"),'[3]Supply Attribution'!$F$31:$G$37,2,FALSE)=G$18,$B23,0)+IF(VLOOKUP(CONCATENATE($C$18,"Line"),'[3]Supply Attribution'!$F$31:$G$37,2,FALSE)=G$18,$C23,0)+IF(VLOOKUP(CONCATENATE($D$18,"Line"),'[3]Supply Attribution'!$F$31:$G$37,2,FALSE)=G$18,$D23,0)+IF(VLOOKUP(CONCATENATE($E$18,"Line"),'[3]Supply Attribution'!$F$31:$G$37,2,FALSE)=G$18,$E23,0)+IF(VLOOKUP(CONCATENATE($F$18,"Line"),'[3]Supply Attribution'!$F$31:$G$37,2,FALSE)=G$18,$F23,0)+IF($K$6="UL",LEFT($S$90,2),0)-IF(AND($K$16=G$18,$K$14&lt;&gt;$K$15,$K$16=$K$17,RIGHT($K23,3)="2SP"),VLOOKUP(CONCATENATE(LEFT($K23,2),"L"),$R$63:$T$90,3,FALSE),0)-IF(AND($L$16=G$18,$L$14&lt;&gt;$L$15,$L$16=$L$17,RIGHT($L23,3)="2SP"),VLOOKUP(CONCATENATE(LEFT($L23,2),"L"),$R$63:$T$90,3,FALSE),0)-IF(AND($M$16=G$18,$M$14&lt;&gt;$M$15,$M$16=$M$17,RIGHT($M23,3)="2SP"),VLOOKUP(CONCATENATE(LEFT($M23,2),"L"),$R$63:$T$90,3,FALSE),0)-IF(AND($N$16=G$18,$N$14&lt;&gt;$N$15,$N$16=$N$17,RIGHT($N23,3)="2SP"),VLOOKUP(CONCATENATE(LEFT($N23,2),"L"),$R$63:$T$90,3,FALSE),0)-IF(AND($O$16=G$18,$O$14&lt;&gt;$O$15,$O$16=$O$17,RIGHT($O23,3)="2SP"),VLOOKUP(CONCATENATE(LEFT($O23,2),"L"),$R$63:$T$90,3,FALSE),0)-IF(AND($P$16=G$18,$P$14&lt;&gt;$P$15,$P$16=$P$17,RIGHT($P23,3)="2SP"),VLOOKUP(CONCATENATE(LEFT($P23,2),"L"),$R$63:$T$90,3,FALSE),0)-IF(AND($Q$16=G$18,$Q$14&lt;&gt;$Q$15,$Q$16=$Q$17,RIGHT($Q23,3)="2SP"),VLOOKUP(CONCATENATE(LEFT($Q23,2),"L"),$R$63:$T$90,3,FALSE),0)-IF(AND($R$16=G$18,$R$14&lt;&gt;$R$15,$R$16=$R$17,RIGHT($R23,3)="2SP"),VLOOKUP(CONCATENATE(LEFT($R23,2),"L"),$R$63:$T$90,3,FALSE),0)-IF(AND($S$16=G$18,$S$14&lt;&gt;$S$15,$S$16=$S$17,RIGHT($S23,3)="2SP"),VLOOKUP(CONCATENATE(LEFT($S23,2),"L"),$R$63:$T$90,3,FALSE),0)-IF(AND($T$16=G$18,$T$14&lt;&gt;$T$15,$T$16=$T$17,RIGHT($T23,3)="2SP"),VLOOKUP(CONCATENATE(LEFT($T23,2),"L"),$R$63:$T$90,3,FALSE),0)-IF(AND($U$16=G$18,$U$14&lt;&gt;$U$15,$U$16=$U$17,RIGHT($U23,3)="2SP"),VLOOKUP(CONCATENATE(LEFT($U23,2),"L"),$R$63:$T$90,3,FALSE),0)-IF(AND($V$16=G$18,$V$14&lt;&gt;$V$15,$V$16=$V$17,RIGHT($V23,3)="2SP"),VLOOKUP(CONCATENATE(LEFT($V23,2),"L"),$R$63:$T$90,3,FALSE),0)-IF(AND($W$16=G$18,$W$14&lt;&gt;$W$15,$W$16=$W$17,RIGHT($W23,3)="2SP"),VLOOKUP(CONCATENATE(LEFT($W23,2),"L"),$R$63:$T$90,3,FALSE),0)-IF(AND($X$16=G$18,$X$14&lt;&gt;$X$15,$X$16=$X$17,RIGHT($X23,3)="2SP"),VLOOKUP(CONCATENATE(LEFT($X23,2),"L"),$R$63:$T$90,3,FALSE),0)-IF(AND($Y$16=G$18,$Y$14&lt;&gt;$Y$15,$Y$16=$Y$17,RIGHT($Y23,3)="2SP"),VLOOKUP(CONCATENATE(LEFT($Y23,2),"L"),$R$63:$T$90,3,FALSE),0))</f>
        <v>47</v>
      </c>
      <c r="H23" s="271" t="str">
        <f>IF(H$18&lt;&gt;"",IF(VLOOKUP(CONCATENATE($A$18,"Line"),'Supply Attribution'!$F$31:$G$37,2,FALSE)=H$18,$A23,0)+IF(VLOOKUP(CONCATENATE($B$18,"Line"),'Supply Attribution'!$F$31:$G$37,2,FALSE)=H$18,$B23,0)+IF(VLOOKUP(CONCATENATE($C$18,"Line"),'Supply Attribution'!$F$31:$G$37,2,FALSE)=H$18,$C23,0)+IF(VLOOKUP(CONCATENATE($D$18,"Line"),'Supply Attribution'!$F$31:$G$37,2,FALSE)=H$18,$D23,0)+IF(VLOOKUP(CONCATENATE($E$18,"Line"),'Supply Attribution'!$F$31:$G$37,2,FALSE)=H$18,$E23,0)+IF(VLOOKUP(CONCATENATE($F$18,"Line"),'Supply Attribution'!$F$31:$G$37,2,FALSE)=H$18,$F23,0)+IF($K$6="UL",LEFT($S$90,2),0)-IF(AND($K$16=H$18,$K$14&lt;&gt;$K$15,$K$16=$K$17,RIGHT($K23,3)="2SP"),VLOOKUP(CONCATENATE(LEFT($K23,2),"L"),$R$63:$T$90,3,FALSE),0)-IF(AND($L$16=H$18,$L$14&lt;&gt;$L$15,$L$16=$L$17,RIGHT($L23,3)="2SP"),VLOOKUP(CONCATENATE(LEFT($L23,2),"L"),$R$63:$T$90,3,FALSE),0)-IF(AND($M$16=H$18,$M$14&lt;&gt;$M$15,$M$16=$M$17,RIGHT($M23,3)="2SP"),VLOOKUP(CONCATENATE(LEFT($M23,2),"L"),$R$63:$T$90,3,FALSE),0)-IF(AND($N$16=H$18,$N$14&lt;&gt;$N$15,$N$16=$N$17,RIGHT($N23,3)="2SP"),VLOOKUP(CONCATENATE(LEFT($N23,2),"L"),$R$63:$T$90,3,FALSE),0)-IF(AND($O$16=H$18,$O$14&lt;&gt;$O$15,$O$16=$O$17,RIGHT($O23,3)="2SP"),VLOOKUP(CONCATENATE(LEFT($O23,2),"L"),$R$63:$T$90,3,FALSE),0)-IF(AND($P$16=H$18,$P$14&lt;&gt;$P$15,$P$16=$P$17,RIGHT($P23,3)="2SP"),VLOOKUP(CONCATENATE(LEFT($P23,2),"L"),$R$63:$T$90,3,FALSE),0)-IF(AND($Q$16=H$18,$Q$14&lt;&gt;$Q$15,$Q$16=$Q$17,RIGHT($Q23,3)="2SP"),VLOOKUP(CONCATENATE(LEFT($Q23,2),"L"),$R$63:$T$90,3,FALSE),0)-IF(AND($T$16=H$18,$T$14&lt;&gt;$T$15,$T$16=$T$17,RIGHT($T23,3)="2SP"),VLOOKUP(CONCATENATE(LEFT($T23,2),"L"),$R$63:$T$90,3,FALSE),0)-IF(AND($U$16=H$18,$U$14&lt;&gt;$U$15,$U$16=$U$17,RIGHT($U23,3)="2SP"),VLOOKUP(CONCATENATE(LEFT($U23,2),"L"),$R$63:$T$90,3,FALSE),0)-IF(AND($V$16=H$18,$V$14&lt;&gt;$V$15,$V$16=$V$17,RIGHT($V23,3)="2SP"),VLOOKUP(CONCATENATE(LEFT($V23,2),"L"),$R$63:$T$90,3,FALSE),0)-IF(AND($W$16=H$18,$W$14&lt;&gt;$W$15,$W$16=$W$17,RIGHT($W23,3)="2SP"),VLOOKUP(CONCATENATE(LEFT($W23,2),"L"),$R$63:$T$90,3,FALSE),0)-IF(AND($X$16=H$18,$X$14&lt;&gt;$X$15,$X$16=$X$17,RIGHT($X23,3)="2SP"),VLOOKUP(CONCATENATE(LEFT($X23,2),"L"),$R$63:$T$90,3,FALSE),0)-IF(AND($Y$16=H$18,$Y$14&lt;&gt;$Y$15,$Y$16=$Y$17,RIGHT($Y23,3)="2SP"),VLOOKUP(CONCATENATE(LEFT($Y23,2),"L"),$R$63:$T$90,3,FALSE),0)+IF(AND($K$6="CE",$T$59="2 Phases",H$18&lt;&gt;""),IF(VLOOKUP(CONCATENATE($A$18,"Line"),'Supply Attribution'!$F$31:$G$37,2,FALSE)="Line3",$A23,0)+IF(VLOOKUP(CONCATENATE($B$18,"Line"),'Supply Attribution'!$F$31:$G$37,2,FALSE)="Line3",$B23,0)+IF(VLOOKUP(CONCATENATE($C$18,"Line"),'Supply Attribution'!$F$31:$G$37,2,FALSE)="Line3",$C23,0)+IF(VLOOKUP(CONCATENATE($D$18,"Line"),'Supply Attribution'!$F$31:$G$37,2,FALSE)="Line3",$D23,0)+IF(VLOOKUP(CONCATENATE($E$18,"Line"),'Supply Attribution'!$F$31:$G$37,2,FALSE)="Line3",$E23,0)+IF(VLOOKUP(CONCATENATE($F$18,"Line"),'Supply Attribution'!$F$31:$G$37,2,FALSE)="Line3",$F23,0)-IF(AND($K$16=I$18,$K$14&lt;&gt;$K$15,$K$16=$K$17,RIGHT($K23,3)="2SP"),VLOOKUP(CONCATENATE(LEFT($K23,2),"L"),$R$63:$T$90,3,FALSE),0)-IF(AND($L$16=I$18,$L$14&lt;&gt;$L$15,$L$16=$L$17,RIGHT($L23,3)="2SP"),VLOOKUP(CONCATENATE(LEFT($L23,2),"L"),$R$63:$T$90,3,FALSE),0)-IF(AND($M$16=I$18,$M$14&lt;&gt;$M$15,$M$16=$M$17,RIGHT($M23,3)="2SP"),VLOOKUP(CONCATENATE(LEFT($M23,2),"L"),$R$63:$T$90,3,FALSE),0)-IF(AND($N$16=I$18,$N$14&lt;&gt;$N$15,$N$16=$N$17,RIGHT($N23,3)="2SP"),VLOOKUP(CONCATENATE(LEFT($N23,2),"L"),$R$63:$T$90,3,FALSE),0)-IF(AND($O$16=I$18,$O$14&lt;&gt;$O$15,$O$16=$O$17,RIGHT($O23,3)="2SP"),VLOOKUP(CONCATENATE(LEFT($O23,2),"L"),$R$63:$T$90,3,FALSE),0)-IF(AND($P$16=I$18,$P$14&lt;&gt;$P$15,$P$16=$P$17,RIGHT($P23,3)="2SP"),VLOOKUP(CONCATENATE(LEFT($P23,2),"L"),$R$63:$T$90,3,FALSE),0)-IF(AND($Q$16=I$18,$Q$14&lt;&gt;$Q$15,$Q$16=$Q$17,RIGHT($Q23,3)="2SP"),VLOOKUP(CONCATENATE(LEFT($Q23,2),"L"),$R$63:$T$90,3,FALSE),0)-IF(AND($T$16=I$18,$T$14&lt;&gt;$T$15,$T$16=$T$17,RIGHT($T23,3)="2SP"),VLOOKUP(CONCATENATE(LEFT($T23,2),"L"),$R$63:$T$90,3,FALSE),0)-IF(AND($U$16=I$18,$U$14&lt;&gt;$U$15,$U$16=$U$17,RIGHT($U23,3)="2SP"),VLOOKUP(CONCATENATE(LEFT($U23,2),"L"),$R$63:$T$90,3,FALSE),0)-IF(AND($V$16=I$18,$V$14&lt;&gt;$V$15,$V$16=$V$17,RIGHT($V23,3)="2SP"),VLOOKUP(CONCATENATE(LEFT($V23,2),"L"),$R$63:$T$90,3,FALSE),0)-IF(AND($W$16=I$18,$W$14&lt;&gt;$W$15,$W$16=$W$17,RIGHT($W23,3)="2SP"),VLOOKUP(CONCATENATE(LEFT($W23,2),"L"),$R$63:$T$90,3,FALSE),0)-IF(AND($X$16=I$18,$X$14&lt;&gt;$X$15,$X$16=$X$17,RIGHT($X23,3)="2SP"),VLOOKUP(CONCATENATE(LEFT($X23,2),"L"),$R$63:$T$90,3,FALSE),0)-IF(AND($Y$16=I$18,$Y$14&lt;&gt;$Y$15,$Y$16=$Y$17,RIGHT($Y23,3)="2SP"),VLOOKUP(CONCATENATE(LEFT($Y23,2),"L"),$R$63:$T$90,3,FALSE),0),0),"")</f>
        <v/>
      </c>
      <c r="I23" s="271" t="str">
        <f>IF(I$18&lt;&gt;"",IF(VLOOKUP(CONCATENATE($A$18,"Line"),'Supply Attribution'!$F$31:$G$37,2,FALSE)=I$18,$A23,0)+IF(VLOOKUP(CONCATENATE($B$18,"Line"),'Supply Attribution'!$F$31:$G$37,2,FALSE)=I$18,$B23,0)+IF(VLOOKUP(CONCATENATE($C$18,"Line"),'Supply Attribution'!$F$31:$G$37,2,FALSE)=I$18,$C23,0)+IF(VLOOKUP(CONCATENATE($D$18,"Line"),'Supply Attribution'!$F$31:$G$37,2,FALSE)=I$18,$D23,0)+IF(VLOOKUP(CONCATENATE($E$18,"Line"),'Supply Attribution'!$F$31:$G$37,2,FALSE)=I$18,$E23,0)+IF(VLOOKUP(CONCATENATE($F$18,"Line"),'Supply Attribution'!$F$31:$G$37,2,FALSE)=I$18,$F23,0)+IF($K$6="UL",LEFT($S$90,2),0)-IF(AND($K$16=I$18,$K$14&lt;&gt;$K$15,$K$16=$K$17,RIGHT($K23,3)="2SP"),VLOOKUP(CONCATENATE(LEFT($K23,2),"L"),$R$63:$T$90,3,FALSE),0)-IF(AND($L$16=I$18,$L$14&lt;&gt;$L$15,$L$16=$L$17,RIGHT($L23,3)="2SP"),VLOOKUP(CONCATENATE(LEFT($L23,2),"L"),$R$63:$T$90,3,FALSE),0)-IF(AND($M$16=I$18,$M$14&lt;&gt;$M$15,$M$16=$M$17,RIGHT($M23,3)="2SP"),VLOOKUP(CONCATENATE(LEFT($M23,2),"L"),$R$63:$T$90,3,FALSE),0)-IF(AND($N$16=I$18,$N$14&lt;&gt;$N$15,$N$16=$N$17,RIGHT($N23,3)="2SP"),VLOOKUP(CONCATENATE(LEFT($N23,2),"L"),$R$63:$T$90,3,FALSE),0)-IF(AND($O$16=I$18,$O$14&lt;&gt;$O$15,$O$16=$O$17,RIGHT($O23,3)="2SP"),VLOOKUP(CONCATENATE(LEFT($O23,2),"L"),$R$63:$T$90,3,FALSE),0)-IF(AND($P$16=I$18,$P$14&lt;&gt;$P$15,$P$16=$P$17,RIGHT($P23,3)="2SP"),VLOOKUP(CONCATENATE(LEFT($P23,2),"L"),$R$63:$T$90,3,FALSE),0)-IF(AND($Q$16=I$18,$Q$14&lt;&gt;$Q$15,$Q$16=$Q$17,RIGHT($Q23,3)="2SP"),VLOOKUP(CONCATENATE(LEFT($Q23,2),"L"),$R$63:$T$90,3,FALSE),0)-IF(AND($T$16=I$18,$T$14&lt;&gt;$T$15,$T$16=$T$17,RIGHT($T23,3)="2SP"),VLOOKUP(CONCATENATE(LEFT($T23,2),"L"),$R$63:$T$90,3,FALSE),0)-IF(AND($U$16=I$18,$U$14&lt;&gt;$U$15,$U$16=$U$17,RIGHT($U23,3)="2SP"),VLOOKUP(CONCATENATE(LEFT($U23,2),"L"),$R$63:$T$90,3,FALSE),0)-IF(AND($V$16=I$18,$V$14&lt;&gt;$V$15,$V$16=$V$17,RIGHT($V23,3)="2SP"),VLOOKUP(CONCATENATE(LEFT($V23,2),"L"),$R$63:$T$90,3,FALSE),0)-IF(AND($W$16=I$18,$W$14&lt;&gt;$W$15,$W$16=$W$17,RIGHT($W23,3)="2SP"),VLOOKUP(CONCATENATE(LEFT($W23,2),"L"),$R$63:$T$90,3,FALSE),0)-IF(AND($X$16=I$18,$X$14&lt;&gt;$X$15,$X$16=$X$17,RIGHT($X23,3)="2SP"),VLOOKUP(CONCATENATE(LEFT($X23,2),"L"),$R$63:$T$90,3,FALSE),0)-IF(AND($Y$16=I$18,$Y$14&lt;&gt;$Y$15,$Y$16=$Y$17,RIGHT($Y23,3)="2SP"),VLOOKUP(CONCATENATE(LEFT($Y23,2),"L"),$R$63:$T$90,3,FALSE),0),"")</f>
        <v/>
      </c>
      <c r="J23" s="129">
        <v>45</v>
      </c>
      <c r="K23" s="130" t="s">
        <v>389</v>
      </c>
      <c r="L23" s="130" t="s">
        <v>566</v>
      </c>
      <c r="M23" s="130" t="s">
        <v>391</v>
      </c>
      <c r="N23" s="130" t="s">
        <v>24</v>
      </c>
      <c r="O23" s="130" t="s">
        <v>286</v>
      </c>
      <c r="P23" s="130"/>
      <c r="Q23" s="130"/>
      <c r="R23" s="130"/>
      <c r="S23" s="130"/>
      <c r="T23" s="130"/>
      <c r="U23" s="130"/>
      <c r="V23" s="130"/>
      <c r="W23" s="130"/>
      <c r="X23" s="130"/>
      <c r="Y23" s="130"/>
      <c r="Z23" s="131" t="s">
        <v>7</v>
      </c>
      <c r="AA23" s="131" t="s">
        <v>357</v>
      </c>
      <c r="AB23" s="132" t="s">
        <v>18</v>
      </c>
      <c r="AC23" s="132" t="s">
        <v>183</v>
      </c>
      <c r="AD23" s="132" t="s">
        <v>18</v>
      </c>
      <c r="AE23" s="133">
        <f t="shared" si="0"/>
        <v>45</v>
      </c>
      <c r="AF23" s="78"/>
    </row>
    <row r="24" spans="1:32" ht="13.15" customHeight="1">
      <c r="A24" s="270">
        <f>IF(AND($K24&lt;&gt;"",$K24&lt;&gt;"--",$K24&lt;&gt;"O3/CP",$K$14=A$18),IF(LEFT($K24,1)="P",VLOOKUP(CONCATENATE(LEFT($K24,2),"H"),$R$63:$T$91,3,FALSE),VLOOKUP($K24,$R$63:$T$91,3,FALSE)))+IF(AND($K24&lt;&gt;"",$K24&lt;&gt;"O3/CP",$K$15=A$18,MID($K24,4,1)="2",$K$15&lt;&gt;$K$14),VLOOKUP(CONCATENATE(LEFT($K24,2),"L"),$R$63:$T$91,3,FALSE),0)+IF(AND($K24="O3/CP",$K$14=A$18),VLOOKUP("O3",$R$63:$T$91,3,FALSE)+VLOOKUP("CP",$R$63:$T$91,3,FALSE),0)+IF(AND($L24&lt;&gt;"",$L24&lt;&gt;"--",$L24&lt;&gt;"O3/CP",$L$14=A$18),IF(LEFT($L24,1)="P",VLOOKUP(CONCATENATE(LEFT($L24,2),"H"),$R$63:$T$91,3,FALSE),VLOOKUP($L24,$R$63:$T$91,3,FALSE)))+IF(AND($L24&lt;&gt;"",$L24&lt;&gt;"O3/CP",$L$15=A$18,MID($L24,4,1)="2",$L$15&lt;&gt;$L$14),VLOOKUP(CONCATENATE(LEFT($L24,2),"L"),$R$63:$T$91,3,FALSE),0)+IF(AND($L24="O3/CP",$L$14=A$18),VLOOKUP("O3",$R$63:$T$91,3,FALSE)+VLOOKUP("CP",$R$63:$T$91,3,FALSE),0)+IF(AND($M24&lt;&gt;"",$M24&lt;&gt;"--",$M24&lt;&gt;"O3/CP",$M$14=A$18),IF(LEFT($M24,1)="P",VLOOKUP(CONCATENATE(LEFT($M24,2),"H"),$R$63:$T$91,3,FALSE),VLOOKUP($M24,$R$63:$T$91,3,FALSE)))+IF(AND($M24&lt;&gt;"",$M24&lt;&gt;"O3/CP",$M$15=A$18,MID($M24,4,1)="2",$M$15&lt;&gt;$M$14),VLOOKUP(CONCATENATE(LEFT($M24,2),"L"),$R$63:$T$91,3,FALSE),0)+IF(AND($M24="O3/CP",$M$14=A$18),VLOOKUP("O3",$R$63:$T$91,3,FALSE)+VLOOKUP("CP",$R$63:$T$91,3,FALSE),0)+IF(AND($N24&lt;&gt;"",$N24&lt;&gt;"--",$N24&lt;&gt;"O3/CP",$N$14=A$18),IF(LEFT($N24,1)="P",VLOOKUP(CONCATENATE(LEFT($N24,2),"H"),$R$63:$T$91,3,FALSE),VLOOKUP($N24,$R$63:$T$91,3,FALSE)))+IF(AND($N24&lt;&gt;"",$N24&lt;&gt;"O3/CP",$N$15=A$18,MID($N24,4,1)="2",$N$15&lt;&gt;$N$14),VLOOKUP(CONCATENATE(LEFT($N24,2),"L"),$R$63:$T$91,3,FALSE),0)+IF(AND($N24="O3/CP",$N$14=A$18),VLOOKUP("O3",$R$63:$T$91,3,FALSE)+VLOOKUP("CP",$R$63:$T$91,3,FALSE),0)+IF(AND($O24&lt;&gt;"",$O24&lt;&gt;"--",$O24&lt;&gt;"O3/CP",$O$14=A$18),IF(LEFT($O24,1)="P",VLOOKUP(CONCATENATE(LEFT($O24,2),"H"),$R$63:$T$91,3,FALSE),VLOOKUP($O24,$R$63:$T$91,3,FALSE)))+IF(AND($O24&lt;&gt;"",$O24&lt;&gt;"O3/CP",$O$15=A$18,MID($O24,4,1)="2",$O$15&lt;&gt;$O$14),VLOOKUP(CONCATENATE(LEFT($O24,2),"L"),$R$63:$T$91,3,FALSE),0)+IF(AND($O24="O3/CP",$O$14=A$18),VLOOKUP("O3",$R$63:$T$91,3,FALSE)+VLOOKUP("CP",$R$63:$T$91,3,FALSE),0)+IF(AND($P24&lt;&gt;"",$P24&lt;&gt;"--",$P24&lt;&gt;"O3/CP",$P$14=A$18),IF(LEFT($P24,1)="P",VLOOKUP(CONCATENATE(LEFT($P24,2),"H"),$R$63:$T$91,3,FALSE),VLOOKUP($P24,$R$63:$T$91,3,FALSE)))+IF(AND($P24&lt;&gt;"",$P24&lt;&gt;"O3/CP",$P$15=A$18,MID($P24,4,1)="2",$P$15&lt;&gt;$P$14),VLOOKUP(CONCATENATE(LEFT($P24,2),"L"),$R$63:$T$91,3,FALSE),0)+IF(AND($P24="O3/CP",$P$14=A$18),VLOOKUP("O3",$R$63:$T$91,3,FALSE)+VLOOKUP("CP",$R$63:$T$91,3,FALSE),0)+IF(AND($Q24&lt;&gt;"",$Q24&lt;&gt;"--",$Q24&lt;&gt;"O3/CP",$Q$14=A$18),IF(LEFT($Q24,1)="P",VLOOKUP(CONCATENATE(LEFT($Q24,2),"H"),$R$63:$T$91,3,FALSE),VLOOKUP($Q24,$R$63:$T$91,3,FALSE)))+IF(AND($Q24&lt;&gt;"",$Q24&lt;&gt;"O3/CP",$Q$15=A$18,MID($Q24,4,1)="2",$Q$15&lt;&gt;$Q$14),VLOOKUP(CONCATENATE(LEFT($Q24,2),"L"),$R$63:$T$91,3,FALSE),0)+IF(AND($Q24="O3/CP",$Q$14=A$18),VLOOKUP("O3",$R$63:$T$91,3,FALSE)+VLOOKUP("CP",$R$63:$T$91,3,FALSE),0)+IF(AND($R24&lt;&gt;"",$R24&lt;&gt;"--",$R24&lt;&gt;"O3/CP",$R$14=A$18),IF(LEFT($R24,1)="P",VLOOKUP(CONCATENATE(LEFT($R24,2),"H"),$R$63:$T$91,3,FALSE),VLOOKUP($R24,$R$63:$T$91,3,FALSE)))+IF(AND($R24&lt;&gt;"",$R24&lt;&gt;"O3/CP",$R$15=A$18,MID($R24,4,1)="2",$R$15&lt;&gt;$R$14),VLOOKUP(CONCATENATE(LEFT($R24,2),"L"),$R$63:$T$91,3,FALSE),0)+IF(AND($R24="O3/CP",$R$14=A$18),VLOOKUP("O3",$R$63:$T$91,3,FALSE)+VLOOKUP("CP",$R$63:$T$91,3,FALSE),0)+IF(AND($S24&lt;&gt;"",$S24&lt;&gt;"--",$S24&lt;&gt;"O3/CP",$S$14=A$18),IF(LEFT($S24,1)="P",VLOOKUP(CONCATENATE(LEFT($S24,2),"H"),$R$63:$T$91,3,FALSE),VLOOKUP($S24,$R$63:$T$91,3,FALSE)))+IF(AND($S24&lt;&gt;"",$S24&lt;&gt;"O3/CP",$S$15=A$18,MID($S24,4,1)="2",$S$15&lt;&gt;$S$14),VLOOKUP(CONCATENATE(LEFT($S24,2),"L"),$R$63:$T$91,3,FALSE),0)+IF(AND($S24="O3/CP",$S$14=A$18),VLOOKUP("O3",$R$63:$T$91,3,FALSE)+VLOOKUP("CP",$R$63:$T$91,3,FALSE),0)+IF(AND($T24&lt;&gt;"",$T24&lt;&gt;"--",$T24&lt;&gt;"O3/CP",$T$14=A$18),IF(LEFT($T24,1)="P",VLOOKUP(CONCATENATE(LEFT($T24,2),"H"),$R$63:$T$91,3,FALSE),VLOOKUP($T24,$R$63:$T$91,3,FALSE)))+IF(AND($T24&lt;&gt;"",$T24&lt;&gt;"O3/CP",$T$15=A$18,MID($T24,4,1)="2",$T$15&lt;&gt;$T$14),VLOOKUP(CONCATENATE(LEFT($T24,2),"L"),$R$63:$T$91,3,FALSE),0)+IF(AND($T24="O3/CP",$T$14=A$18),VLOOKUP("O3",$R$63:$T$91,3,FALSE)+VLOOKUP("CP",$R$63:$T$91,3,FALSE),0)+IF(AND($U24&lt;&gt;"",$U24&lt;&gt;"--",$U24&lt;&gt;"O3/CP",$U$14=A$18),IF(LEFT($U24,1)="P",VLOOKUP(CONCATENATE(LEFT($U24,2),"H"),$R$63:$T$91,3,FALSE),VLOOKUP($U24,$R$63:$T$91,3,FALSE)))+IF(AND($U24&lt;&gt;"",$U24&lt;&gt;"O3/CP",$U$15=A$18,MID($U24,4,1)="2",$U$15&lt;&gt;$U$14),VLOOKUP(CONCATENATE(LEFT($U24,2),"L"),$R$63:$T$91,3,FALSE),0)+IF(AND($U24="O3/CP",$T$14=A$18),VLOOKUP("O3",$R$63:$T$91,3,FALSE)+VLOOKUP("CP",$R$63:$T$91,3,FALSE),0)+IF(AND($V24&lt;&gt;"",$V24&lt;&gt;"--",$V24&lt;&gt;"O3/CP",$V$14=A$18),IF(LEFT($V24,1)="P",VLOOKUP(CONCATENATE(LEFT($V24,2),"H"),$R$63:$T$91,3,FALSE),VLOOKUP($V24,$R$63:$T$91,3,FALSE)))+IF(AND($V24&lt;&gt;"",$V24&lt;&gt;"O3/CP",$V$15=A$18,MID($V24,4,1)="2",$V$15&lt;&gt;$V$14),VLOOKUP(CONCATENATE(LEFT($V24,2),"L"),$R$63:$T$91,3,FALSE),0)+IF(AND($V24="O3/CP",$V$14=A$18),VLOOKUP("O3",$R$63:$T$91,3,FALSE)+VLOOKUP("CP",$R$63:$T$91,3,FALSE),0)+IF(AND($W24&lt;&gt;"",$W24&lt;&gt;"--",$W24&lt;&gt;"O3/CP",$W$14=A$18),IF(LEFT($W24,1)="P",VLOOKUP(CONCATENATE(LEFT($W24,2),"H"),$R$63:$T$91,3,FALSE),VLOOKUP($W24,$R$63:$T$91,3,FALSE)))+IF(AND($W24&lt;&gt;"",$W24&lt;&gt;"O3/CP",$W$15=A$18,MID($W24,4,1)="2",$W$15&lt;&gt;$W$14),VLOOKUP(CONCATENATE(LEFT($W24,2),"L"),$R$63:$T$91,3,FALSE),0)+IF(AND($W24="O3/CP",$W$14=A$18),VLOOKUP("O3",$R$63:$T$91,3,FALSE)+VLOOKUP("CP",$R$63:$T$91,3,FALSE),0)+IF(AND($X24&lt;&gt;"",$X24&lt;&gt;"--",$X24&lt;&gt;"O3/CP",$X$14=A$18),IF(LEFT($X24,1)="P",VLOOKUP(CONCATENATE(LEFT($X24,2),"H"),$R$63:$T$91,3,FALSE),VLOOKUP($X24,$R$63:$T$91,3,FALSE)))+IF(AND($X24&lt;&gt;"",$X24&lt;&gt;"O3/CP",$X$15=A$18,MID($X24,4,1)="2",$X$15&lt;&gt;$X$14),VLOOKUP(CONCATENATE(LEFT($X24,2),"L"),$R$63:$T$91,3,FALSE),0)+IF(AND($X24="O3/CP",$X$14=A$18),VLOOKUP("O3",$R$63:$T$91,3,FALSE)+VLOOKUP("CP",$R$63:$T$91,3,FALSE),0)+IF(AND($Y24&lt;&gt;"",$Y24&lt;&gt;"--",$Y24&lt;&gt;"O3/CP",$Y$14=A$18),IF(LEFT($Y24,1)="P",VLOOKUP(CONCATENATE(LEFT($Y24,2),"H"),$R$63:$T$91,3,FALSE),VLOOKUP($Y24,$R$63:$T$91,3,FALSE)))+IF(AND($Y24&lt;&gt;"",$Y24&lt;&gt;"O3/CP",$Y$15=A$18,MID($Y24,4,1)="2",$Y$15&lt;&gt;$Y$14),VLOOKUP(CONCATENATE(LEFT($Y24,2),"L"),$R$63:$T$91,3,FALSE),0)+IF(AND($Y24="O3/CP",$Y$14=A$18),VLOOKUP("O3",$R$63:$T$91,3,FALSE)+VLOOKUP("CP",$R$63:$T$91,3,FALSE),0)+IF(AND($K$6="CE",'[3]Supply Attribution'!$G$20=A$18),LEFT($S$90,2),0)+IF(AND($X$86&lt;&gt;"Not Set",$X$87=A$18),$X$86,0)</f>
        <v>14</v>
      </c>
      <c r="B24" s="269">
        <f>IF(AND($K24&lt;&gt;"",$K24&lt;&gt;"--",$K24&lt;&gt;"O3/CP",$K$14=B$18),IF(LEFT($K24,1)="P",VLOOKUP(CONCATENATE(LEFT($K24,2),"H"),$R$63:$T$91,3,FALSE),VLOOKUP($K24,$R$63:$T$91,3,FALSE)))+IF(AND($K24&lt;&gt;"",$K24&lt;&gt;"O3/CP",$K$15=B$18,MID($K24,4,1)="2",$K$15&lt;&gt;$K$14),VLOOKUP(CONCATENATE(LEFT($K24,2),"L"),$R$63:$T$91,3,FALSE),0)+IF(AND($K24="O3/CP",$K$14=B$18),VLOOKUP("O3",$R$63:$T$91,3,FALSE)+VLOOKUP("CP",$R$63:$T$91,3,FALSE),0)+IF(AND($L24&lt;&gt;"",$L24&lt;&gt;"--",$L24&lt;&gt;"O3/CP",$L$14=B$18),IF(LEFT($L24,1)="P",VLOOKUP(CONCATENATE(LEFT($L24,2),"H"),$R$63:$T$91,3,FALSE),VLOOKUP($L24,$R$63:$T$91,3,FALSE)))+IF(AND($L24&lt;&gt;"",$L24&lt;&gt;"O3/CP",$L$15=B$18,MID($L24,4,1)="2",$L$15&lt;&gt;$L$14),VLOOKUP(CONCATENATE(LEFT($L24,2),"L"),$R$63:$T$91,3,FALSE),0)+IF(AND($L24="O3/CP",$L$14=B$18),VLOOKUP("O3",$R$63:$T$91,3,FALSE)+VLOOKUP("CP",$R$63:$T$91,3,FALSE),0)+IF(AND($M24&lt;&gt;"",$M24&lt;&gt;"--",$M24&lt;&gt;"O3/CP",$M$14=B$18),IF(LEFT($M24,1)="P",VLOOKUP(CONCATENATE(LEFT($M24,2),"H"),$R$63:$T$91,3,FALSE),VLOOKUP($M24,$R$63:$T$91,3,FALSE)))+IF(AND($M24&lt;&gt;"",$M24&lt;&gt;"O3/CP",$M$15=B$18,MID($M24,4,1)="2",$M$15&lt;&gt;$M$14),VLOOKUP(CONCATENATE(LEFT($M24,2),"L"),$R$63:$T$91,3,FALSE),0)+IF(AND($M24="O3/CP",$M$14=B$18),VLOOKUP("O3",$R$63:$T$91,3,FALSE)+VLOOKUP("CP",$R$63:$T$91,3,FALSE),0)+IF(AND($N24&lt;&gt;"",$N24&lt;&gt;"--",$N24&lt;&gt;"O3/CP",$N$14=B$18),IF(LEFT($N24,1)="P",VLOOKUP(CONCATENATE(LEFT($N24,2),"H"),$R$63:$T$91,3,FALSE),VLOOKUP($N24,$R$63:$T$91,3,FALSE)))+IF(AND($N24&lt;&gt;"",$N24&lt;&gt;"O3/CP",$N$15=B$18,MID($N24,4,1)="2",$N$15&lt;&gt;$N$14),VLOOKUP(CONCATENATE(LEFT($N24,2),"L"),$R$63:$T$91,3,FALSE),0)+IF(AND($N24="O3/CP",$N$14=B$18),VLOOKUP("O3",$R$63:$T$91,3,FALSE)+VLOOKUP("CP",$R$63:$T$91,3,FALSE),0)+IF(AND($O24&lt;&gt;"",$O24&lt;&gt;"--",$O24&lt;&gt;"O3/CP",$O$14=B$18),IF(LEFT($O24,1)="P",VLOOKUP(CONCATENATE(LEFT($O24,2),"H"),$R$63:$T$91,3,FALSE),VLOOKUP($O24,$R$63:$T$91,3,FALSE)))+IF(AND($O24&lt;&gt;"",$O24&lt;&gt;"O3/CP",$O$15=B$18,MID($O24,4,1)="2",$O$15&lt;&gt;$O$14),VLOOKUP(CONCATENATE(LEFT($O24,2),"L"),$R$63:$T$91,3,FALSE),0)+IF(AND($O24="O3/CP",$O$14=B$18),VLOOKUP("O3",$R$63:$T$91,3,FALSE)+VLOOKUP("CP",$R$63:$T$91,3,FALSE),0)+IF(AND($P24&lt;&gt;"",$P24&lt;&gt;"--",$P24&lt;&gt;"O3/CP",$P$14=B$18),IF(LEFT($P24,1)="P",VLOOKUP(CONCATENATE(LEFT($P24,2),"H"),$R$63:$T$91,3,FALSE),VLOOKUP($P24,$R$63:$T$91,3,FALSE)))+IF(AND($P24&lt;&gt;"",$P24&lt;&gt;"O3/CP",$P$15=B$18,MID($P24,4,1)="2",$P$15&lt;&gt;$P$14),VLOOKUP(CONCATENATE(LEFT($P24,2),"L"),$R$63:$T$91,3,FALSE),0)+IF(AND($P24="O3/CP",$P$14=B$18),VLOOKUP("O3",$R$63:$T$91,3,FALSE)+VLOOKUP("CP",$R$63:$T$91,3,FALSE),0)+IF(AND($Q24&lt;&gt;"",$Q24&lt;&gt;"--",$Q24&lt;&gt;"O3/CP",$Q$14=B$18),IF(LEFT($Q24,1)="P",VLOOKUP(CONCATENATE(LEFT($Q24,2),"H"),$R$63:$T$91,3,FALSE),VLOOKUP($Q24,$R$63:$T$91,3,FALSE)))+IF(AND($Q24&lt;&gt;"",$Q24&lt;&gt;"O3/CP",$Q$15=B$18,MID($Q24,4,1)="2",$Q$15&lt;&gt;$Q$14),VLOOKUP(CONCATENATE(LEFT($Q24,2),"L"),$R$63:$T$91,3,FALSE),0)+IF(AND($Q24="O3/CP",$Q$14=B$18),VLOOKUP("O3",$R$63:$T$91,3,FALSE)+VLOOKUP("CP",$R$63:$T$91,3,FALSE),0)+IF(AND($R24&lt;&gt;"",$R24&lt;&gt;"--",$R24&lt;&gt;"O3/CP",$R$14=B$18),IF(LEFT($R24,1)="P",VLOOKUP(CONCATENATE(LEFT($R24,2),"H"),$R$63:$T$91,3,FALSE),VLOOKUP($R24,$R$63:$T$91,3,FALSE)))+IF(AND($R24&lt;&gt;"",$R24&lt;&gt;"O3/CP",$R$15=B$18,MID($R24,4,1)="2",$R$15&lt;&gt;$R$14),VLOOKUP(CONCATENATE(LEFT($R24,2),"L"),$R$63:$T$91,3,FALSE),0)+IF(AND($R24="O3/CP",$R$14=B$18),VLOOKUP("O3",$R$63:$T$91,3,FALSE)+VLOOKUP("CP",$R$63:$T$91,3,FALSE),0)+IF(AND($S24&lt;&gt;"",$S24&lt;&gt;"--",$S24&lt;&gt;"O3/CP",$S$14=B$18),IF(LEFT($S24,1)="P",VLOOKUP(CONCATENATE(LEFT($S24,2),"H"),$R$63:$T$91,3,FALSE),VLOOKUP($S24,$R$63:$T$91,3,FALSE)))+IF(AND($S24&lt;&gt;"",$S24&lt;&gt;"O3/CP",$S$15=B$18,MID($S24,4,1)="2",$S$15&lt;&gt;$S$14),VLOOKUP(CONCATENATE(LEFT($S24,2),"L"),$R$63:$T$91,3,FALSE),0)+IF(AND($S24="O3/CP",$S$14=B$18),VLOOKUP("O3",$R$63:$T$91,3,FALSE)+VLOOKUP("CP",$R$63:$T$91,3,FALSE),0)+IF(AND($T24&lt;&gt;"",$T24&lt;&gt;"--",$T24&lt;&gt;"O3/CP",$T$14=B$18),IF(LEFT($T24,1)="P",VLOOKUP(CONCATENATE(LEFT($T24,2),"H"),$R$63:$T$91,3,FALSE),VLOOKUP($T24,$R$63:$T$91,3,FALSE)))+IF(AND($T24&lt;&gt;"",$T24&lt;&gt;"O3/CP",$T$15=B$18,MID($T24,4,1)="2",$T$15&lt;&gt;$T$14),VLOOKUP(CONCATENATE(LEFT($T24,2),"L"),$R$63:$T$91,3,FALSE),0)+IF(AND($T24="O3/CP",$T$14=B$18),VLOOKUP("O3",$R$63:$T$91,3,FALSE)+VLOOKUP("CP",$R$63:$T$91,3,FALSE),0)+IF(AND($U24&lt;&gt;"",$U24&lt;&gt;"--",$U24&lt;&gt;"O3/CP",$U$14=B$18),IF(LEFT($U24,1)="P",VLOOKUP(CONCATENATE(LEFT($U24,2),"H"),$R$63:$T$91,3,FALSE),VLOOKUP($U24,$R$63:$T$91,3,FALSE)))+IF(AND($U24&lt;&gt;"",$U24&lt;&gt;"O3/CP",$U$15=B$18,MID($U24,4,1)="2",$U$15&lt;&gt;$U$14),VLOOKUP(CONCATENATE(LEFT($U24,2),"L"),$R$63:$T$91,3,FALSE),0)+IF(AND($U24="O3/CP",$T$14=B$18),VLOOKUP("O3",$R$63:$T$91,3,FALSE)+VLOOKUP("CP",$R$63:$T$91,3,FALSE),0)+IF(AND($V24&lt;&gt;"",$V24&lt;&gt;"--",$V24&lt;&gt;"O3/CP",$V$14=B$18),IF(LEFT($V24,1)="P",VLOOKUP(CONCATENATE(LEFT($V24,2),"H"),$R$63:$T$91,3,FALSE),VLOOKUP($V24,$R$63:$T$91,3,FALSE)))+IF(AND($V24&lt;&gt;"",$V24&lt;&gt;"O3/CP",$V$15=B$18,MID($V24,4,1)="2",$V$15&lt;&gt;$V$14),VLOOKUP(CONCATENATE(LEFT($V24,2),"L"),$R$63:$T$91,3,FALSE),0)+IF(AND($V24="O3/CP",$V$14=B$18),VLOOKUP("O3",$R$63:$T$91,3,FALSE)+VLOOKUP("CP",$R$63:$T$91,3,FALSE),0)+IF(AND($W24&lt;&gt;"",$W24&lt;&gt;"--",$W24&lt;&gt;"O3/CP",$W$14=B$18),IF(LEFT($W24,1)="P",VLOOKUP(CONCATENATE(LEFT($W24,2),"H"),$R$63:$T$91,3,FALSE),VLOOKUP($W24,$R$63:$T$91,3,FALSE)))+IF(AND($W24&lt;&gt;"",$W24&lt;&gt;"O3/CP",$W$15=B$18,MID($W24,4,1)="2",$W$15&lt;&gt;$W$14),VLOOKUP(CONCATENATE(LEFT($W24,2),"L"),$R$63:$T$91,3,FALSE),0)+IF(AND($W24="O3/CP",$W$14=B$18),VLOOKUP("O3",$R$63:$T$91,3,FALSE)+VLOOKUP("CP",$R$63:$T$91,3,FALSE),0)+IF(AND($X24&lt;&gt;"",$X24&lt;&gt;"--",$X24&lt;&gt;"O3/CP",$X$14=B$18),IF(LEFT($X24,1)="P",VLOOKUP(CONCATENATE(LEFT($X24,2),"H"),$R$63:$T$91,3,FALSE),VLOOKUP($X24,$R$63:$T$91,3,FALSE)))+IF(AND($X24&lt;&gt;"",$X24&lt;&gt;"O3/CP",$X$15=B$18,MID($X24,4,1)="2",$X$15&lt;&gt;$X$14),VLOOKUP(CONCATENATE(LEFT($X24,2),"L"),$R$63:$T$91,3,FALSE),0)+IF(AND($X24="O3/CP",$X$14=B$18),VLOOKUP("O3",$R$63:$T$91,3,FALSE)+VLOOKUP("CP",$R$63:$T$91,3,FALSE),0)+IF(AND($Y24&lt;&gt;"",$Y24&lt;&gt;"--",$Y24&lt;&gt;"O3/CP",$Y$14=B$18),IF(LEFT($Y24,1)="P",VLOOKUP(CONCATENATE(LEFT($Y24,2),"H"),$R$63:$T$91,3,FALSE),VLOOKUP($Y24,$R$63:$T$91,3,FALSE)))+IF(AND($Y24&lt;&gt;"",$Y24&lt;&gt;"O3/CP",$Y$15=B$18,MID($Y24,4,1)="2",$Y$15&lt;&gt;$Y$14),VLOOKUP(CONCATENATE(LEFT($Y24,2),"L"),$R$63:$T$91,3,FALSE),0)+IF(AND($Y24="O3/CP",$Y$14=B$18),VLOOKUP("O3",$R$63:$T$91,3,FALSE)+VLOOKUP("CP",$R$63:$T$91,3,FALSE),0)+IF(AND($K$6="CE",'[3]Supply Attribution'!$G$20=B$18),LEFT($S$90,2),0)+IF(AND($X$86&lt;&gt;"Not Set",$X$87=B$18),$X$86,0)</f>
        <v>4</v>
      </c>
      <c r="C24" s="269">
        <f>IF(AND($K24&lt;&gt;"",$K24&lt;&gt;"--",$K24&lt;&gt;"O3/CP",$K$14=C$18),IF(LEFT($K24,1)="P",VLOOKUP(CONCATENATE(LEFT($K24,2),"H"),$R$63:$T$91,3,FALSE),VLOOKUP($K24,$R$63:$T$91,3,FALSE)))+IF(AND($K24&lt;&gt;"",$K24&lt;&gt;"O3/CP",$K$15=C$18,MID($K24,4,1)="2",$K$15&lt;&gt;$K$14),VLOOKUP(CONCATENATE(LEFT($K24,2),"L"),$R$63:$T$91,3,FALSE),0)+IF(AND($K24="O3/CP",$K$14=C$18),VLOOKUP("O3",$R$63:$T$91,3,FALSE)+VLOOKUP("CP",$R$63:$T$91,3,FALSE),0)+IF(AND($L24&lt;&gt;"",$L24&lt;&gt;"--",$L24&lt;&gt;"O3/CP",$L$14=C$18),IF(LEFT($L24,1)="P",VLOOKUP(CONCATENATE(LEFT($L24,2),"H"),$R$63:$T$91,3,FALSE),VLOOKUP($L24,$R$63:$T$91,3,FALSE)))+IF(AND($L24&lt;&gt;"",$L24&lt;&gt;"O3/CP",$L$15=C$18,MID($L24,4,1)="2",$L$15&lt;&gt;$L$14),VLOOKUP(CONCATENATE(LEFT($L24,2),"L"),$R$63:$T$91,3,FALSE),0)+IF(AND($L24="O3/CP",$L$14=C$18),VLOOKUP("O3",$R$63:$T$91,3,FALSE)+VLOOKUP("CP",$R$63:$T$91,3,FALSE),0)+IF(AND($M24&lt;&gt;"",$M24&lt;&gt;"--",$M24&lt;&gt;"O3/CP",$M$14=C$18),IF(LEFT($M24,1)="P",VLOOKUP(CONCATENATE(LEFT($M24,2),"H"),$R$63:$T$91,3,FALSE),VLOOKUP($M24,$R$63:$T$91,3,FALSE)))+IF(AND($M24&lt;&gt;"",$M24&lt;&gt;"O3/CP",$M$15=C$18,MID($M24,4,1)="2",$M$15&lt;&gt;$M$14),VLOOKUP(CONCATENATE(LEFT($M24,2),"L"),$R$63:$T$91,3,FALSE),0)+IF(AND($M24="O3/CP",$M$14=C$18),VLOOKUP("O3",$R$63:$T$91,3,FALSE)+VLOOKUP("CP",$R$63:$T$91,3,FALSE),0)+IF(AND($N24&lt;&gt;"",$N24&lt;&gt;"--",$N24&lt;&gt;"O3/CP",$N$14=C$18),IF(LEFT($N24,1)="P",VLOOKUP(CONCATENATE(LEFT($N24,2),"H"),$R$63:$T$91,3,FALSE),VLOOKUP($N24,$R$63:$T$91,3,FALSE)))+IF(AND($N24&lt;&gt;"",$N24&lt;&gt;"O3/CP",$N$15=C$18,MID($N24,4,1)="2",$N$15&lt;&gt;$N$14),VLOOKUP(CONCATENATE(LEFT($N24,2),"L"),$R$63:$T$91,3,FALSE),0)+IF(AND($N24="O3/CP",$N$14=C$18),VLOOKUP("O3",$R$63:$T$91,3,FALSE)+VLOOKUP("CP",$R$63:$T$91,3,FALSE),0)+IF(AND($O24&lt;&gt;"",$O24&lt;&gt;"--",$O24&lt;&gt;"O3/CP",$O$14=C$18),IF(LEFT($O24,1)="P",VLOOKUP(CONCATENATE(LEFT($O24,2),"H"),$R$63:$T$91,3,FALSE),VLOOKUP($O24,$R$63:$T$91,3,FALSE)))+IF(AND($O24&lt;&gt;"",$O24&lt;&gt;"O3/CP",$O$15=C$18,MID($O24,4,1)="2",$O$15&lt;&gt;$O$14),VLOOKUP(CONCATENATE(LEFT($O24,2),"L"),$R$63:$T$91,3,FALSE),0)+IF(AND($O24="O3/CP",$O$14=C$18),VLOOKUP("O3",$R$63:$T$91,3,FALSE)+VLOOKUP("CP",$R$63:$T$91,3,FALSE),0)+IF(AND($P24&lt;&gt;"",$P24&lt;&gt;"--",$P24&lt;&gt;"O3/CP",$P$14=C$18),IF(LEFT($P24,1)="P",VLOOKUP(CONCATENATE(LEFT($P24,2),"H"),$R$63:$T$91,3,FALSE),VLOOKUP($P24,$R$63:$T$91,3,FALSE)))+IF(AND($P24&lt;&gt;"",$P24&lt;&gt;"O3/CP",$P$15=C$18,MID($P24,4,1)="2",$P$15&lt;&gt;$P$14),VLOOKUP(CONCATENATE(LEFT($P24,2),"L"),$R$63:$T$91,3,FALSE),0)+IF(AND($P24="O3/CP",$P$14=C$18),VLOOKUP("O3",$R$63:$T$91,3,FALSE)+VLOOKUP("CP",$R$63:$T$91,3,FALSE),0)+IF(AND($Q24&lt;&gt;"",$Q24&lt;&gt;"--",$Q24&lt;&gt;"O3/CP",$Q$14=C$18),IF(LEFT($Q24,1)="P",VLOOKUP(CONCATENATE(LEFT($Q24,2),"H"),$R$63:$T$91,3,FALSE),VLOOKUP($Q24,$R$63:$T$91,3,FALSE)))+IF(AND($Q24&lt;&gt;"",$Q24&lt;&gt;"O3/CP",$Q$15=C$18,MID($Q24,4,1)="2",$Q$15&lt;&gt;$Q$14),VLOOKUP(CONCATENATE(LEFT($Q24,2),"L"),$R$63:$T$91,3,FALSE),0)+IF(AND($Q24="O3/CP",$Q$14=C$18),VLOOKUP("O3",$R$63:$T$91,3,FALSE)+VLOOKUP("CP",$R$63:$T$91,3,FALSE),0)+IF(AND($R24&lt;&gt;"",$R24&lt;&gt;"--",$R24&lt;&gt;"O3/CP",$R$14=C$18),IF(LEFT($R24,1)="P",VLOOKUP(CONCATENATE(LEFT($R24,2),"H"),$R$63:$T$91,3,FALSE),VLOOKUP($R24,$R$63:$T$91,3,FALSE)))+IF(AND($R24&lt;&gt;"",$R24&lt;&gt;"O3/CP",$R$15=C$18,MID($R24,4,1)="2",$R$15&lt;&gt;$R$14),VLOOKUP(CONCATENATE(LEFT($R24,2),"L"),$R$63:$T$91,3,FALSE),0)+IF(AND($R24="O3/CP",$R$14=C$18),VLOOKUP("O3",$R$63:$T$91,3,FALSE)+VLOOKUP("CP",$R$63:$T$91,3,FALSE),0)+IF(AND($S24&lt;&gt;"",$S24&lt;&gt;"--",$S24&lt;&gt;"O3/CP",$S$14=C$18),IF(LEFT($S24,1)="P",VLOOKUP(CONCATENATE(LEFT($S24,2),"H"),$R$63:$T$91,3,FALSE),VLOOKUP($S24,$R$63:$T$91,3,FALSE)))+IF(AND($S24&lt;&gt;"",$S24&lt;&gt;"O3/CP",$S$15=C$18,MID($S24,4,1)="2",$S$15&lt;&gt;$S$14),VLOOKUP(CONCATENATE(LEFT($S24,2),"L"),$R$63:$T$91,3,FALSE),0)+IF(AND($S24="O3/CP",$S$14=C$18),VLOOKUP("O3",$R$63:$T$91,3,FALSE)+VLOOKUP("CP",$R$63:$T$91,3,FALSE),0)+IF(AND($T24&lt;&gt;"",$T24&lt;&gt;"--",$T24&lt;&gt;"O3/CP",$T$14=C$18),IF(LEFT($T24,1)="P",VLOOKUP(CONCATENATE(LEFT($T24,2),"H"),$R$63:$T$91,3,FALSE),VLOOKUP($T24,$R$63:$T$91,3,FALSE)))+IF(AND($T24&lt;&gt;"",$T24&lt;&gt;"O3/CP",$T$15=C$18,MID($T24,4,1)="2",$T$15&lt;&gt;$T$14),VLOOKUP(CONCATENATE(LEFT($T24,2),"L"),$R$63:$T$91,3,FALSE),0)+IF(AND($T24="O3/CP",$T$14=C$18),VLOOKUP("O3",$R$63:$T$91,3,FALSE)+VLOOKUP("CP",$R$63:$T$91,3,FALSE),0)+IF(AND($U24&lt;&gt;"",$U24&lt;&gt;"--",$U24&lt;&gt;"O3/CP",$U$14=C$18),IF(LEFT($U24,1)="P",VLOOKUP(CONCATENATE(LEFT($U24,2),"H"),$R$63:$T$91,3,FALSE),VLOOKUP($U24,$R$63:$T$91,3,FALSE)))+IF(AND($U24&lt;&gt;"",$U24&lt;&gt;"O3/CP",$U$15=C$18,MID($U24,4,1)="2",$U$15&lt;&gt;$U$14),VLOOKUP(CONCATENATE(LEFT($U24,2),"L"),$R$63:$T$91,3,FALSE),0)+IF(AND($U24="O3/CP",$T$14=C$18),VLOOKUP("O3",$R$63:$T$91,3,FALSE)+VLOOKUP("CP",$R$63:$T$91,3,FALSE),0)+IF(AND($V24&lt;&gt;"",$V24&lt;&gt;"--",$V24&lt;&gt;"O3/CP",$V$14=C$18),IF(LEFT($V24,1)="P",VLOOKUP(CONCATENATE(LEFT($V24,2),"H"),$R$63:$T$91,3,FALSE),VLOOKUP($V24,$R$63:$T$91,3,FALSE)))+IF(AND($V24&lt;&gt;"",$V24&lt;&gt;"O3/CP",$V$15=C$18,MID($V24,4,1)="2",$V$15&lt;&gt;$V$14),VLOOKUP(CONCATENATE(LEFT($V24,2),"L"),$R$63:$T$91,3,FALSE),0)+IF(AND($V24="O3/CP",$V$14=C$18),VLOOKUP("O3",$R$63:$T$91,3,FALSE)+VLOOKUP("CP",$R$63:$T$91,3,FALSE),0)+IF(AND($W24&lt;&gt;"",$W24&lt;&gt;"--",$W24&lt;&gt;"O3/CP",$W$14=C$18),IF(LEFT($W24,1)="P",VLOOKUP(CONCATENATE(LEFT($W24,2),"H"),$R$63:$T$91,3,FALSE),VLOOKUP($W24,$R$63:$T$91,3,FALSE)))+IF(AND($W24&lt;&gt;"",$W24&lt;&gt;"O3/CP",$W$15=C$18,MID($W24,4,1)="2",$W$15&lt;&gt;$W$14),VLOOKUP(CONCATENATE(LEFT($W24,2),"L"),$R$63:$T$91,3,FALSE),0)+IF(AND($W24="O3/CP",$W$14=C$18),VLOOKUP("O3",$R$63:$T$91,3,FALSE)+VLOOKUP("CP",$R$63:$T$91,3,FALSE),0)+IF(AND($X24&lt;&gt;"",$X24&lt;&gt;"--",$X24&lt;&gt;"O3/CP",$X$14=C$18),IF(LEFT($X24,1)="P",VLOOKUP(CONCATENATE(LEFT($X24,2),"H"),$R$63:$T$91,3,FALSE),VLOOKUP($X24,$R$63:$T$91,3,FALSE)))+IF(AND($X24&lt;&gt;"",$X24&lt;&gt;"O3/CP",$X$15=C$18,MID($X24,4,1)="2",$X$15&lt;&gt;$X$14),VLOOKUP(CONCATENATE(LEFT($X24,2),"L"),$R$63:$T$91,3,FALSE),0)+IF(AND($X24="O3/CP",$X$14=C$18),VLOOKUP("O3",$R$63:$T$91,3,FALSE)+VLOOKUP("CP",$R$63:$T$91,3,FALSE),0)+IF(AND($Y24&lt;&gt;"",$Y24&lt;&gt;"--",$Y24&lt;&gt;"O3/CP",$Y$14=C$18),IF(LEFT($Y24,1)="P",VLOOKUP(CONCATENATE(LEFT($Y24,2),"H"),$R$63:$T$91,3,FALSE),VLOOKUP($Y24,$R$63:$T$91,3,FALSE)))+IF(AND($Y24&lt;&gt;"",$Y24&lt;&gt;"O3/CP",$Y$15=C$18,MID($Y24,4,1)="2",$Y$15&lt;&gt;$Y$14),VLOOKUP(CONCATENATE(LEFT($Y24,2),"L"),$R$63:$T$91,3,FALSE),0)+IF(AND($Y24="O3/CP",$Y$14=C$18),VLOOKUP("O3",$R$63:$T$91,3,FALSE)+VLOOKUP("CP",$R$63:$T$91,3,FALSE),0)+IF(AND($K$6="CE",'[3]Supply Attribution'!$G$20=C$18),LEFT($S$90,2),0)+IF(AND($X$86&lt;&gt;"Not Set",$X$87=C$18),$X$86,0)</f>
        <v>0</v>
      </c>
      <c r="D24" s="269">
        <f>IF(AND($K24&lt;&gt;"",$K24&lt;&gt;"--",$K24&lt;&gt;"O3/CP",$K$14=D$18),IF(LEFT($K24,1)="P",VLOOKUP(CONCATENATE(LEFT($K24,2),"H"),$R$63:$T$91,3,FALSE),VLOOKUP($K24,$R$63:$T$91,3,FALSE)))+IF(AND($K24&lt;&gt;"",$K24&lt;&gt;"O3/CP",$K$15=D$18,MID($K24,4,1)="2",$K$15&lt;&gt;$K$14),VLOOKUP(CONCATENATE(LEFT($K24,2),"L"),$R$63:$T$91,3,FALSE),0)+IF(AND($K24="O3/CP",$K$14=D$18),VLOOKUP("O3",$R$63:$T$91,3,FALSE)+VLOOKUP("CP",$R$63:$T$91,3,FALSE),0)+IF(AND($L24&lt;&gt;"",$L24&lt;&gt;"--",$L24&lt;&gt;"O3/CP",$L$14=D$18),IF(LEFT($L24,1)="P",VLOOKUP(CONCATENATE(LEFT($L24,2),"H"),$R$63:$T$91,3,FALSE),VLOOKUP($L24,$R$63:$T$91,3,FALSE)))+IF(AND($L24&lt;&gt;"",$L24&lt;&gt;"O3/CP",$L$15=D$18,MID($L24,4,1)="2",$L$15&lt;&gt;$L$14),VLOOKUP(CONCATENATE(LEFT($L24,2),"L"),$R$63:$T$91,3,FALSE),0)+IF(AND($L24="O3/CP",$L$14=D$18),VLOOKUP("O3",$R$63:$T$91,3,FALSE)+VLOOKUP("CP",$R$63:$T$91,3,FALSE),0)+IF(AND($M24&lt;&gt;"",$M24&lt;&gt;"--",$M24&lt;&gt;"O3/CP",$M$14=D$18),IF(LEFT($M24,1)="P",VLOOKUP(CONCATENATE(LEFT($M24,2),"H"),$R$63:$T$91,3,FALSE),VLOOKUP($M24,$R$63:$T$91,3,FALSE)))+IF(AND($M24&lt;&gt;"",$M24&lt;&gt;"O3/CP",$M$15=D$18,MID($M24,4,1)="2",$M$15&lt;&gt;$M$14),VLOOKUP(CONCATENATE(LEFT($M24,2),"L"),$R$63:$T$91,3,FALSE),0)+IF(AND($M24="O3/CP",$M$14=D$18),VLOOKUP("O3",$R$63:$T$91,3,FALSE)+VLOOKUP("CP",$R$63:$T$91,3,FALSE),0)+IF(AND($N24&lt;&gt;"",$N24&lt;&gt;"--",$N24&lt;&gt;"O3/CP",$N$14=D$18),IF(LEFT($N24,1)="P",VLOOKUP(CONCATENATE(LEFT($N24,2),"H"),$R$63:$T$91,3,FALSE),VLOOKUP($N24,$R$63:$T$91,3,FALSE)))+IF(AND($N24&lt;&gt;"",$N24&lt;&gt;"O3/CP",$N$15=D$18,MID($N24,4,1)="2",$N$15&lt;&gt;$N$14),VLOOKUP(CONCATENATE(LEFT($N24,2),"L"),$R$63:$T$91,3,FALSE),0)+IF(AND($N24="O3/CP",$N$14=D$18),VLOOKUP("O3",$R$63:$T$91,3,FALSE)+VLOOKUP("CP",$R$63:$T$91,3,FALSE),0)+IF(AND($O24&lt;&gt;"",$O24&lt;&gt;"--",$O24&lt;&gt;"O3/CP",$O$14=D$18),IF(LEFT($O24,1)="P",VLOOKUP(CONCATENATE(LEFT($O24,2),"H"),$R$63:$T$91,3,FALSE),VLOOKUP($O24,$R$63:$T$91,3,FALSE)))+IF(AND($O24&lt;&gt;"",$O24&lt;&gt;"O3/CP",$O$15=D$18,MID($O24,4,1)="2",$O$15&lt;&gt;$O$14),VLOOKUP(CONCATENATE(LEFT($O24,2),"L"),$R$63:$T$91,3,FALSE),0)+IF(AND($O24="O3/CP",$O$14=D$18),VLOOKUP("O3",$R$63:$T$91,3,FALSE)+VLOOKUP("CP",$R$63:$T$91,3,FALSE),0)+IF(AND($P24&lt;&gt;"",$P24&lt;&gt;"--",$P24&lt;&gt;"O3/CP",$P$14=D$18),IF(LEFT($P24,1)="P",VLOOKUP(CONCATENATE(LEFT($P24,2),"H"),$R$63:$T$91,3,FALSE),VLOOKUP($P24,$R$63:$T$91,3,FALSE)))+IF(AND($P24&lt;&gt;"",$P24&lt;&gt;"O3/CP",$P$15=D$18,MID($P24,4,1)="2",$P$15&lt;&gt;$P$14),VLOOKUP(CONCATENATE(LEFT($P24,2),"L"),$R$63:$T$91,3,FALSE),0)+IF(AND($P24="O3/CP",$P$14=D$18),VLOOKUP("O3",$R$63:$T$91,3,FALSE)+VLOOKUP("CP",$R$63:$T$91,3,FALSE),0)+IF(AND($Q24&lt;&gt;"",$Q24&lt;&gt;"--",$Q24&lt;&gt;"O3/CP",$Q$14=D$18),IF(LEFT($Q24,1)="P",VLOOKUP(CONCATENATE(LEFT($Q24,2),"H"),$R$63:$T$91,3,FALSE),VLOOKUP($Q24,$R$63:$T$91,3,FALSE)))+IF(AND($Q24&lt;&gt;"",$Q24&lt;&gt;"O3/CP",$Q$15=D$18,MID($Q24,4,1)="2",$Q$15&lt;&gt;$Q$14),VLOOKUP(CONCATENATE(LEFT($Q24,2),"L"),$R$63:$T$91,3,FALSE),0)+IF(AND($Q24="O3/CP",$Q$14=D$18),VLOOKUP("O3",$R$63:$T$91,3,FALSE)+VLOOKUP("CP",$R$63:$T$91,3,FALSE),0)+IF(AND($R24&lt;&gt;"",$R24&lt;&gt;"--",$R24&lt;&gt;"O3/CP",$R$14=D$18),IF(LEFT($R24,1)="P",VLOOKUP(CONCATENATE(LEFT($R24,2),"H"),$R$63:$T$91,3,FALSE),VLOOKUP($R24,$R$63:$T$91,3,FALSE)))+IF(AND($R24&lt;&gt;"",$R24&lt;&gt;"O3/CP",$R$15=D$18,MID($R24,4,1)="2",$R$15&lt;&gt;$R$14),VLOOKUP(CONCATENATE(LEFT($R24,2),"L"),$R$63:$T$91,3,FALSE),0)+IF(AND($R24="O3/CP",$R$14=D$18),VLOOKUP("O3",$R$63:$T$91,3,FALSE)+VLOOKUP("CP",$R$63:$T$91,3,FALSE),0)+IF(AND($S24&lt;&gt;"",$S24&lt;&gt;"--",$S24&lt;&gt;"O3/CP",$S$14=D$18),IF(LEFT($S24,1)="P",VLOOKUP(CONCATENATE(LEFT($S24,2),"H"),$R$63:$T$91,3,FALSE),VLOOKUP($S24,$R$63:$T$91,3,FALSE)))+IF(AND($S24&lt;&gt;"",$S24&lt;&gt;"O3/CP",$S$15=D$18,MID($S24,4,1)="2",$S$15&lt;&gt;$S$14),VLOOKUP(CONCATENATE(LEFT($S24,2),"L"),$R$63:$T$91,3,FALSE),0)+IF(AND($S24="O3/CP",$S$14=D$18),VLOOKUP("O3",$R$63:$T$91,3,FALSE)+VLOOKUP("CP",$R$63:$T$91,3,FALSE),0)+IF(AND($T24&lt;&gt;"",$T24&lt;&gt;"--",$T24&lt;&gt;"O3/CP",$T$14=D$18),IF(LEFT($T24,1)="P",VLOOKUP(CONCATENATE(LEFT($T24,2),"H"),$R$63:$T$91,3,FALSE),VLOOKUP($T24,$R$63:$T$91,3,FALSE)))+IF(AND($T24&lt;&gt;"",$T24&lt;&gt;"O3/CP",$T$15=D$18,MID($T24,4,1)="2",$T$15&lt;&gt;$T$14),VLOOKUP(CONCATENATE(LEFT($T24,2),"L"),$R$63:$T$91,3,FALSE),0)+IF(AND($T24="O3/CP",$T$14=D$18),VLOOKUP("O3",$R$63:$T$91,3,FALSE)+VLOOKUP("CP",$R$63:$T$91,3,FALSE),0)+IF(AND($U24&lt;&gt;"",$U24&lt;&gt;"--",$U24&lt;&gt;"O3/CP",$U$14=D$18),IF(LEFT($U24,1)="P",VLOOKUP(CONCATENATE(LEFT($U24,2),"H"),$R$63:$T$91,3,FALSE),VLOOKUP($U24,$R$63:$T$91,3,FALSE)))+IF(AND($U24&lt;&gt;"",$U24&lt;&gt;"O3/CP",$U$15=D$18,MID($U24,4,1)="2",$U$15&lt;&gt;$U$14),VLOOKUP(CONCATENATE(LEFT($U24,2),"L"),$R$63:$T$91,3,FALSE),0)+IF(AND($U24="O3/CP",$T$14=D$18),VLOOKUP("O3",$R$63:$T$91,3,FALSE)+VLOOKUP("CP",$R$63:$T$91,3,FALSE),0)+IF(AND($V24&lt;&gt;"",$V24&lt;&gt;"--",$V24&lt;&gt;"O3/CP",$V$14=D$18),IF(LEFT($V24,1)="P",VLOOKUP(CONCATENATE(LEFT($V24,2),"H"),$R$63:$T$91,3,FALSE),VLOOKUP($V24,$R$63:$T$91,3,FALSE)))+IF(AND($V24&lt;&gt;"",$V24&lt;&gt;"O3/CP",$V$15=D$18,MID($V24,4,1)="2",$V$15&lt;&gt;$V$14),VLOOKUP(CONCATENATE(LEFT($V24,2),"L"),$R$63:$T$91,3,FALSE),0)+IF(AND($V24="O3/CP",$V$14=D$18),VLOOKUP("O3",$R$63:$T$91,3,FALSE)+VLOOKUP("CP",$R$63:$T$91,3,FALSE),0)+IF(AND($W24&lt;&gt;"",$W24&lt;&gt;"--",$W24&lt;&gt;"O3/CP",$W$14=D$18),IF(LEFT($W24,1)="P",VLOOKUP(CONCATENATE(LEFT($W24,2),"H"),$R$63:$T$91,3,FALSE),VLOOKUP($W24,$R$63:$T$91,3,FALSE)))+IF(AND($W24&lt;&gt;"",$W24&lt;&gt;"O3/CP",$W$15=D$18,MID($W24,4,1)="2",$W$15&lt;&gt;$W$14),VLOOKUP(CONCATENATE(LEFT($W24,2),"L"),$R$63:$T$91,3,FALSE),0)+IF(AND($W24="O3/CP",$W$14=D$18),VLOOKUP("O3",$R$63:$T$91,3,FALSE)+VLOOKUP("CP",$R$63:$T$91,3,FALSE),0)+IF(AND($X24&lt;&gt;"",$X24&lt;&gt;"--",$X24&lt;&gt;"O3/CP",$X$14=D$18),IF(LEFT($X24,1)="P",VLOOKUP(CONCATENATE(LEFT($X24,2),"H"),$R$63:$T$91,3,FALSE),VLOOKUP($X24,$R$63:$T$91,3,FALSE)))+IF(AND($X24&lt;&gt;"",$X24&lt;&gt;"O3/CP",$X$15=D$18,MID($X24,4,1)="2",$X$15&lt;&gt;$X$14),VLOOKUP(CONCATENATE(LEFT($X24,2),"L"),$R$63:$T$91,3,FALSE),0)+IF(AND($X24="O3/CP",$X$14=D$18),VLOOKUP("O3",$R$63:$T$91,3,FALSE)+VLOOKUP("CP",$R$63:$T$91,3,FALSE),0)+IF(AND($Y24&lt;&gt;"",$Y24&lt;&gt;"--",$Y24&lt;&gt;"O3/CP",$Y$14=D$18),IF(LEFT($Y24,1)="P",VLOOKUP(CONCATENATE(LEFT($Y24,2),"H"),$R$63:$T$91,3,FALSE),VLOOKUP($Y24,$R$63:$T$91,3,FALSE)))+IF(AND($Y24&lt;&gt;"",$Y24&lt;&gt;"O3/CP",$Y$15=D$18,MID($Y24,4,1)="2",$Y$15&lt;&gt;$Y$14),VLOOKUP(CONCATENATE(LEFT($Y24,2),"L"),$R$63:$T$91,3,FALSE),0)+IF(AND($Y24="O3/CP",$Y$14=D$18),VLOOKUP("O3",$R$63:$T$91,3,FALSE)+VLOOKUP("CP",$R$63:$T$91,3,FALSE),0)+IF(AND($K$6="CE",'[3]Supply Attribution'!$G$20=D$18),LEFT($S$90,2),0)+IF(AND($X$86&lt;&gt;"Not Set",$X$87=D$18),$X$86,0)</f>
        <v>0</v>
      </c>
      <c r="E24" s="269">
        <f>IF(AND($K24&lt;&gt;"",$K24&lt;&gt;"--",$K24&lt;&gt;"O3/CP",$K$14=E$18),IF(LEFT($K24,1)="P",VLOOKUP(CONCATENATE(LEFT($K24,2),"H"),$R$63:$T$91,3,FALSE),VLOOKUP($K24,$R$63:$T$91,3,FALSE)))+IF(AND($K24&lt;&gt;"",$K24&lt;&gt;"O3/CP",$K$15=E$18,MID($K24,4,1)="2",$K$15&lt;&gt;$K$14),VLOOKUP(CONCATENATE(LEFT($K24,2),"L"),$R$63:$T$91,3,FALSE),0)+IF(AND($K24="O3/CP",$K$14=E$18),VLOOKUP("O3",$R$63:$T$91,3,FALSE)+VLOOKUP("CP",$R$63:$T$91,3,FALSE),0)+IF(AND($L24&lt;&gt;"",$L24&lt;&gt;"--",$L24&lt;&gt;"O3/CP",$L$14=E$18),IF(LEFT($L24,1)="P",VLOOKUP(CONCATENATE(LEFT($L24,2),"H"),$R$63:$T$91,3,FALSE),VLOOKUP($L24,$R$63:$T$91,3,FALSE)))+IF(AND($L24&lt;&gt;"",$L24&lt;&gt;"O3/CP",$L$15=E$18,MID($L24,4,1)="2",$L$15&lt;&gt;$L$14),VLOOKUP(CONCATENATE(LEFT($L24,2),"L"),$R$63:$T$91,3,FALSE),0)+IF(AND($L24="O3/CP",$L$14=E$18),VLOOKUP("O3",$R$63:$T$91,3,FALSE)+VLOOKUP("CP",$R$63:$T$91,3,FALSE),0)+IF(AND($M24&lt;&gt;"",$M24&lt;&gt;"--",$M24&lt;&gt;"O3/CP",$M$14=E$18),IF(LEFT($M24,1)="P",VLOOKUP(CONCATENATE(LEFT($M24,2),"H"),$R$63:$T$91,3,FALSE),VLOOKUP($M24,$R$63:$T$91,3,FALSE)))+IF(AND($M24&lt;&gt;"",$M24&lt;&gt;"O3/CP",$M$15=E$18,MID($M24,4,1)="2",$M$15&lt;&gt;$M$14),VLOOKUP(CONCATENATE(LEFT($M24,2),"L"),$R$63:$T$91,3,FALSE),0)+IF(AND($M24="O3/CP",$M$14=E$18),VLOOKUP("O3",$R$63:$T$91,3,FALSE)+VLOOKUP("CP",$R$63:$T$91,3,FALSE),0)+IF(AND($N24&lt;&gt;"",$N24&lt;&gt;"--",$N24&lt;&gt;"O3/CP",$N$14=E$18),IF(LEFT($N24,1)="P",VLOOKUP(CONCATENATE(LEFT($N24,2),"H"),$R$63:$T$91,3,FALSE),VLOOKUP($N24,$R$63:$T$91,3,FALSE)))+IF(AND($N24&lt;&gt;"",$N24&lt;&gt;"O3/CP",$N$15=E$18,MID($N24,4,1)="2",$N$15&lt;&gt;$N$14),VLOOKUP(CONCATENATE(LEFT($N24,2),"L"),$R$63:$T$91,3,FALSE),0)+IF(AND($N24="O3/CP",$N$14=E$18),VLOOKUP("O3",$R$63:$T$91,3,FALSE)+VLOOKUP("CP",$R$63:$T$91,3,FALSE),0)+IF(AND($O24&lt;&gt;"",$O24&lt;&gt;"--",$O24&lt;&gt;"O3/CP",$O$14=E$18),IF(LEFT($O24,1)="P",VLOOKUP(CONCATENATE(LEFT($O24,2),"H"),$R$63:$T$91,3,FALSE),VLOOKUP($O24,$R$63:$T$91,3,FALSE)))+IF(AND($O24&lt;&gt;"",$O24&lt;&gt;"O3/CP",$O$15=E$18,MID($O24,4,1)="2",$O$15&lt;&gt;$O$14),VLOOKUP(CONCATENATE(LEFT($O24,2),"L"),$R$63:$T$91,3,FALSE),0)+IF(AND($O24="O3/CP",$O$14=E$18),VLOOKUP("O3",$R$63:$T$91,3,FALSE)+VLOOKUP("CP",$R$63:$T$91,3,FALSE),0)+IF(AND($P24&lt;&gt;"",$P24&lt;&gt;"--",$P24&lt;&gt;"O3/CP",$P$14=E$18),IF(LEFT($P24,1)="P",VLOOKUP(CONCATENATE(LEFT($P24,2),"H"),$R$63:$T$91,3,FALSE),VLOOKUP($P24,$R$63:$T$91,3,FALSE)))+IF(AND($P24&lt;&gt;"",$P24&lt;&gt;"O3/CP",$P$15=E$18,MID($P24,4,1)="2",$P$15&lt;&gt;$P$14),VLOOKUP(CONCATENATE(LEFT($P24,2),"L"),$R$63:$T$91,3,FALSE),0)+IF(AND($P24="O3/CP",$P$14=E$18),VLOOKUP("O3",$R$63:$T$91,3,FALSE)+VLOOKUP("CP",$R$63:$T$91,3,FALSE),0)+IF(AND($Q24&lt;&gt;"",$Q24&lt;&gt;"--",$Q24&lt;&gt;"O3/CP",$Q$14=E$18),IF(LEFT($Q24,1)="P",VLOOKUP(CONCATENATE(LEFT($Q24,2),"H"),$R$63:$T$91,3,FALSE),VLOOKUP($Q24,$R$63:$T$91,3,FALSE)))+IF(AND($Q24&lt;&gt;"",$Q24&lt;&gt;"O3/CP",$Q$15=E$18,MID($Q24,4,1)="2",$Q$15&lt;&gt;$Q$14),VLOOKUP(CONCATENATE(LEFT($Q24,2),"L"),$R$63:$T$91,3,FALSE),0)+IF(AND($Q24="O3/CP",$Q$14=E$18),VLOOKUP("O3",$R$63:$T$91,3,FALSE)+VLOOKUP("CP",$R$63:$T$91,3,FALSE),0)+IF(AND($R24&lt;&gt;"",$R24&lt;&gt;"--",$R24&lt;&gt;"O3/CP",$R$14=E$18),IF(LEFT($R24,1)="P",VLOOKUP(CONCATENATE(LEFT($R24,2),"H"),$R$63:$T$91,3,FALSE),VLOOKUP($R24,$R$63:$T$91,3,FALSE)))+IF(AND($R24&lt;&gt;"",$R24&lt;&gt;"O3/CP",$R$15=E$18,MID($R24,4,1)="2",$R$15&lt;&gt;$R$14),VLOOKUP(CONCATENATE(LEFT($R24,2),"L"),$R$63:$T$91,3,FALSE),0)+IF(AND($R24="O3/CP",$R$14=E$18),VLOOKUP("O3",$R$63:$T$91,3,FALSE)+VLOOKUP("CP",$R$63:$T$91,3,FALSE),0)+IF(AND($S24&lt;&gt;"",$S24&lt;&gt;"--",$S24&lt;&gt;"O3/CP",$S$14=E$18),IF(LEFT($S24,1)="P",VLOOKUP(CONCATENATE(LEFT($S24,2),"H"),$R$63:$T$91,3,FALSE),VLOOKUP($S24,$R$63:$T$91,3,FALSE)))+IF(AND($S24&lt;&gt;"",$S24&lt;&gt;"O3/CP",$S$15=E$18,MID($S24,4,1)="2",$S$15&lt;&gt;$S$14),VLOOKUP(CONCATENATE(LEFT($S24,2),"L"),$R$63:$T$91,3,FALSE),0)+IF(AND($S24="O3/CP",$S$14=E$18),VLOOKUP("O3",$R$63:$T$91,3,FALSE)+VLOOKUP("CP",$R$63:$T$91,3,FALSE),0)+IF(AND($T24&lt;&gt;"",$T24&lt;&gt;"--",$T24&lt;&gt;"O3/CP",$T$14=E$18),IF(LEFT($T24,1)="P",VLOOKUP(CONCATENATE(LEFT($T24,2),"H"),$R$63:$T$91,3,FALSE),VLOOKUP($T24,$R$63:$T$91,3,FALSE)))+IF(AND($T24&lt;&gt;"",$T24&lt;&gt;"O3/CP",$T$15=E$18,MID($T24,4,1)="2",$T$15&lt;&gt;$T$14),VLOOKUP(CONCATENATE(LEFT($T24,2),"L"),$R$63:$T$91,3,FALSE),0)+IF(AND($T24="O3/CP",$T$14=E$18),VLOOKUP("O3",$R$63:$T$91,3,FALSE)+VLOOKUP("CP",$R$63:$T$91,3,FALSE),0)+IF(AND($U24&lt;&gt;"",$U24&lt;&gt;"--",$U24&lt;&gt;"O3/CP",$U$14=E$18),IF(LEFT($U24,1)="P",VLOOKUP(CONCATENATE(LEFT($U24,2),"H"),$R$63:$T$91,3,FALSE),VLOOKUP($U24,$R$63:$T$91,3,FALSE)))+IF(AND($U24&lt;&gt;"",$U24&lt;&gt;"O3/CP",$U$15=E$18,MID($U24,4,1)="2",$U$15&lt;&gt;$U$14),VLOOKUP(CONCATENATE(LEFT($U24,2),"L"),$R$63:$T$91,3,FALSE),0)+IF(AND($U24="O3/CP",$T$14=E$18),VLOOKUP("O3",$R$63:$T$91,3,FALSE)+VLOOKUP("CP",$R$63:$T$91,3,FALSE),0)+IF(AND($V24&lt;&gt;"",$V24&lt;&gt;"--",$V24&lt;&gt;"O3/CP",$V$14=E$18),IF(LEFT($V24,1)="P",VLOOKUP(CONCATENATE(LEFT($V24,2),"H"),$R$63:$T$91,3,FALSE),VLOOKUP($V24,$R$63:$T$91,3,FALSE)))+IF(AND($V24&lt;&gt;"",$V24&lt;&gt;"O3/CP",$V$15=E$18,MID($V24,4,1)="2",$V$15&lt;&gt;$V$14),VLOOKUP(CONCATENATE(LEFT($V24,2),"L"),$R$63:$T$91,3,FALSE),0)+IF(AND($V24="O3/CP",$V$14=E$18),VLOOKUP("O3",$R$63:$T$91,3,FALSE)+VLOOKUP("CP",$R$63:$T$91,3,FALSE),0)+IF(AND($W24&lt;&gt;"",$W24&lt;&gt;"--",$W24&lt;&gt;"O3/CP",$W$14=E$18),IF(LEFT($W24,1)="P",VLOOKUP(CONCATENATE(LEFT($W24,2),"H"),$R$63:$T$91,3,FALSE),VLOOKUP($W24,$R$63:$T$91,3,FALSE)))+IF(AND($W24&lt;&gt;"",$W24&lt;&gt;"O3/CP",$W$15=E$18,MID($W24,4,1)="2",$W$15&lt;&gt;$W$14),VLOOKUP(CONCATENATE(LEFT($W24,2),"L"),$R$63:$T$91,3,FALSE),0)+IF(AND($W24="O3/CP",$W$14=E$18),VLOOKUP("O3",$R$63:$T$91,3,FALSE)+VLOOKUP("CP",$R$63:$T$91,3,FALSE),0)+IF(AND($X24&lt;&gt;"",$X24&lt;&gt;"--",$X24&lt;&gt;"O3/CP",$X$14=E$18),IF(LEFT($X24,1)="P",VLOOKUP(CONCATENATE(LEFT($X24,2),"H"),$R$63:$T$91,3,FALSE),VLOOKUP($X24,$R$63:$T$91,3,FALSE)))+IF(AND($X24&lt;&gt;"",$X24&lt;&gt;"O3/CP",$X$15=E$18,MID($X24,4,1)="2",$X$15&lt;&gt;$X$14),VLOOKUP(CONCATENATE(LEFT($X24,2),"L"),$R$63:$T$91,3,FALSE),0)+IF(AND($X24="O3/CP",$X$14=E$18),VLOOKUP("O3",$R$63:$T$91,3,FALSE)+VLOOKUP("CP",$R$63:$T$91,3,FALSE),0)+IF(AND($Y24&lt;&gt;"",$Y24&lt;&gt;"--",$Y24&lt;&gt;"O3/CP",$Y$14=E$18),IF(LEFT($Y24,1)="P",VLOOKUP(CONCATENATE(LEFT($Y24,2),"H"),$R$63:$T$91,3,FALSE),VLOOKUP($Y24,$R$63:$T$91,3,FALSE)))+IF(AND($Y24&lt;&gt;"",$Y24&lt;&gt;"O3/CP",$Y$15=E$18,MID($Y24,4,1)="2",$Y$15&lt;&gt;$Y$14),VLOOKUP(CONCATENATE(LEFT($Y24,2),"L"),$R$63:$T$91,3,FALSE),0)+IF(AND($Y24="O3/CP",$Y$14=E$18),VLOOKUP("O3",$R$63:$T$91,3,FALSE)+VLOOKUP("CP",$R$63:$T$91,3,FALSE),0)+IF(AND($K$6="CE",'[3]Supply Attribution'!$G$20=E$18),LEFT($S$90,2),0)+IF(AND($X$86&lt;&gt;"Not Set",$X$87=E$18),$X$86,0)</f>
        <v>0</v>
      </c>
      <c r="F24" s="268">
        <f>IF(AND($K24&lt;&gt;"",$K24&lt;&gt;"--",$K24&lt;&gt;"O3/CP",$K$14=F$18),IF(LEFT($K24,1)="P",VLOOKUP(CONCATENATE(LEFT($K24,2),"H"),$R$63:$T$91,3,FALSE),VLOOKUP($K24,$R$63:$T$91,3,FALSE)))+IF(AND($K24&lt;&gt;"",$K24&lt;&gt;"O3/CP",$K$15=F$18,MID($K24,4,1)="2",$K$15&lt;&gt;$K$14),VLOOKUP(CONCATENATE(LEFT($K24,2),"L"),$R$63:$T$91,3,FALSE),0)+IF(AND($K24="O3/CP",$K$14=F$18),VLOOKUP("O3",$R$63:$T$91,3,FALSE)+VLOOKUP("CP",$R$63:$T$91,3,FALSE),0)+IF(AND($L24&lt;&gt;"",$L24&lt;&gt;"--",$L24&lt;&gt;"O3/CP",$L$14=F$18),IF(LEFT($L24,1)="P",VLOOKUP(CONCATENATE(LEFT($L24,2),"H"),$R$63:$T$91,3,FALSE),VLOOKUP($L24,$R$63:$T$91,3,FALSE)))+IF(AND($L24&lt;&gt;"",$L24&lt;&gt;"O3/CP",$L$15=F$18,MID($L24,4,1)="2",$L$15&lt;&gt;$L$14),VLOOKUP(CONCATENATE(LEFT($L24,2),"L"),$R$63:$T$91,3,FALSE),0)+IF(AND($L24="O3/CP",$L$14=F$18),VLOOKUP("O3",$R$63:$T$91,3,FALSE)+VLOOKUP("CP",$R$63:$T$91,3,FALSE),0)+IF(AND($M24&lt;&gt;"",$M24&lt;&gt;"--",$M24&lt;&gt;"O3/CP",$M$14=F$18),IF(LEFT($M24,1)="P",VLOOKUP(CONCATENATE(LEFT($M24,2),"H"),$R$63:$T$91,3,FALSE),VLOOKUP($M24,$R$63:$T$91,3,FALSE)))+IF(AND($M24&lt;&gt;"",$M24&lt;&gt;"O3/CP",$M$15=F$18,MID($M24,4,1)="2",$M$15&lt;&gt;$M$14),VLOOKUP(CONCATENATE(LEFT($M24,2),"L"),$R$63:$T$91,3,FALSE),0)+IF(AND($M24="O3/CP",$M$14=F$18),VLOOKUP("O3",$R$63:$T$91,3,FALSE)+VLOOKUP("CP",$R$63:$T$91,3,FALSE),0)+IF(AND($N24&lt;&gt;"",$N24&lt;&gt;"--",$N24&lt;&gt;"O3/CP",$N$14=F$18),IF(LEFT($N24,1)="P",VLOOKUP(CONCATENATE(LEFT($N24,2),"H"),$R$63:$T$91,3,FALSE),VLOOKUP($N24,$R$63:$T$91,3,FALSE)))+IF(AND($N24&lt;&gt;"",$N24&lt;&gt;"O3/CP",$N$15=F$18,MID($N24,4,1)="2",$N$15&lt;&gt;$N$14),VLOOKUP(CONCATENATE(LEFT($N24,2),"L"),$R$63:$T$91,3,FALSE),0)+IF(AND($N24="O3/CP",$N$14=F$18),VLOOKUP("O3",$R$63:$T$91,3,FALSE)+VLOOKUP("CP",$R$63:$T$91,3,FALSE),0)+IF(AND($O24&lt;&gt;"",$O24&lt;&gt;"--",$O24&lt;&gt;"O3/CP",$O$14=F$18),IF(LEFT($O24,1)="P",VLOOKUP(CONCATENATE(LEFT($O24,2),"H"),$R$63:$T$91,3,FALSE),VLOOKUP($O24,$R$63:$T$91,3,FALSE)))+IF(AND($O24&lt;&gt;"",$O24&lt;&gt;"O3/CP",$O$15=F$18,MID($O24,4,1)="2",$O$15&lt;&gt;$O$14),VLOOKUP(CONCATENATE(LEFT($O24,2),"L"),$R$63:$T$91,3,FALSE),0)+IF(AND($O24="O3/CP",$O$14=F$18),VLOOKUP("O3",$R$63:$T$91,3,FALSE)+VLOOKUP("CP",$R$63:$T$91,3,FALSE),0)+IF(AND($P24&lt;&gt;"",$P24&lt;&gt;"--",$P24&lt;&gt;"O3/CP",$P$14=F$18),IF(LEFT($P24,1)="P",VLOOKUP(CONCATENATE(LEFT($P24,2),"H"),$R$63:$T$91,3,FALSE),VLOOKUP($P24,$R$63:$T$91,3,FALSE)))+IF(AND($P24&lt;&gt;"",$P24&lt;&gt;"O3/CP",$P$15=F$18,MID($P24,4,1)="2",$P$15&lt;&gt;$P$14),VLOOKUP(CONCATENATE(LEFT($P24,2),"L"),$R$63:$T$91,3,FALSE),0)+IF(AND($P24="O3/CP",$P$14=F$18),VLOOKUP("O3",$R$63:$T$91,3,FALSE)+VLOOKUP("CP",$R$63:$T$91,3,FALSE),0)+IF(AND($Q24&lt;&gt;"",$Q24&lt;&gt;"--",$Q24&lt;&gt;"O3/CP",$Q$14=F$18),IF(LEFT($Q24,1)="P",VLOOKUP(CONCATENATE(LEFT($Q24,2),"H"),$R$63:$T$91,3,FALSE),VLOOKUP($Q24,$R$63:$T$91,3,FALSE)))+IF(AND($Q24&lt;&gt;"",$Q24&lt;&gt;"O3/CP",$Q$15=F$18,MID($Q24,4,1)="2",$Q$15&lt;&gt;$Q$14),VLOOKUP(CONCATENATE(LEFT($Q24,2),"L"),$R$63:$T$91,3,FALSE),0)+IF(AND($Q24="O3/CP",$Q$14=F$18),VLOOKUP("O3",$R$63:$T$91,3,FALSE)+VLOOKUP("CP",$R$63:$T$91,3,FALSE),0)+IF(AND($R24&lt;&gt;"",$R24&lt;&gt;"--",$R24&lt;&gt;"O3/CP",$R$14=F$18),IF(LEFT($R24,1)="P",VLOOKUP(CONCATENATE(LEFT($R24,2),"H"),$R$63:$T$91,3,FALSE),VLOOKUP($R24,$R$63:$T$91,3,FALSE)))+IF(AND($R24&lt;&gt;"",$R24&lt;&gt;"O3/CP",$R$15=F$18,MID($R24,4,1)="2",$R$15&lt;&gt;$R$14),VLOOKUP(CONCATENATE(LEFT($R24,2),"L"),$R$63:$T$91,3,FALSE),0)+IF(AND($R24="O3/CP",$R$14=F$18),VLOOKUP("O3",$R$63:$T$91,3,FALSE)+VLOOKUP("CP",$R$63:$T$91,3,FALSE),0)+IF(AND($S24&lt;&gt;"",$S24&lt;&gt;"--",$S24&lt;&gt;"O3/CP",$S$14=F$18),IF(LEFT($S24,1)="P",VLOOKUP(CONCATENATE(LEFT($S24,2),"H"),$R$63:$T$91,3,FALSE),VLOOKUP($S24,$R$63:$T$91,3,FALSE)))+IF(AND($S24&lt;&gt;"",$S24&lt;&gt;"O3/CP",$S$15=F$18,MID($S24,4,1)="2",$S$15&lt;&gt;$S$14),VLOOKUP(CONCATENATE(LEFT($S24,2),"L"),$R$63:$T$91,3,FALSE),0)+IF(AND($S24="O3/CP",$S$14=F$18),VLOOKUP("O3",$R$63:$T$91,3,FALSE)+VLOOKUP("CP",$R$63:$T$91,3,FALSE),0)+IF(AND($T24&lt;&gt;"",$T24&lt;&gt;"--",$T24&lt;&gt;"O3/CP",$T$14=F$18),IF(LEFT($T24,1)="P",VLOOKUP(CONCATENATE(LEFT($T24,2),"H"),$R$63:$T$91,3,FALSE),VLOOKUP($T24,$R$63:$T$91,3,FALSE)))+IF(AND($T24&lt;&gt;"",$T24&lt;&gt;"O3/CP",$T$15=F$18,MID($T24,4,1)="2",$T$15&lt;&gt;$T$14),VLOOKUP(CONCATENATE(LEFT($T24,2),"L"),$R$63:$T$91,3,FALSE),0)+IF(AND($T24="O3/CP",$T$14=F$18),VLOOKUP("O3",$R$63:$T$91,3,FALSE)+VLOOKUP("CP",$R$63:$T$91,3,FALSE),0)+IF(AND($U24&lt;&gt;"",$U24&lt;&gt;"--",$U24&lt;&gt;"O3/CP",$U$14=F$18),IF(LEFT($U24,1)="P",VLOOKUP(CONCATENATE(LEFT($U24,2),"H"),$R$63:$T$91,3,FALSE),VLOOKUP($U24,$R$63:$T$91,3,FALSE)))+IF(AND($U24&lt;&gt;"",$U24&lt;&gt;"O3/CP",$U$15=F$18,MID($U24,4,1)="2",$U$15&lt;&gt;$U$14),VLOOKUP(CONCATENATE(LEFT($U24,2),"L"),$R$63:$T$91,3,FALSE),0)+IF(AND($U24="O3/CP",$T$14=F$18),VLOOKUP("O3",$R$63:$T$91,3,FALSE)+VLOOKUP("CP",$R$63:$T$91,3,FALSE),0)+IF(AND($V24&lt;&gt;"",$V24&lt;&gt;"--",$V24&lt;&gt;"O3/CP",$V$14=F$18),IF(LEFT($V24,1)="P",VLOOKUP(CONCATENATE(LEFT($V24,2),"H"),$R$63:$T$91,3,FALSE),VLOOKUP($V24,$R$63:$T$91,3,FALSE)))+IF(AND($V24&lt;&gt;"",$V24&lt;&gt;"O3/CP",$V$15=F$18,MID($V24,4,1)="2",$V$15&lt;&gt;$V$14),VLOOKUP(CONCATENATE(LEFT($V24,2),"L"),$R$63:$T$91,3,FALSE),0)+IF(AND($V24="O3/CP",$V$14=F$18),VLOOKUP("O3",$R$63:$T$91,3,FALSE)+VLOOKUP("CP",$R$63:$T$91,3,FALSE),0)+IF(AND($W24&lt;&gt;"",$W24&lt;&gt;"--",$W24&lt;&gt;"O3/CP",$W$14=F$18),IF(LEFT($W24,1)="P",VLOOKUP(CONCATENATE(LEFT($W24,2),"H"),$R$63:$T$91,3,FALSE),VLOOKUP($W24,$R$63:$T$91,3,FALSE)))+IF(AND($W24&lt;&gt;"",$W24&lt;&gt;"O3/CP",$W$15=F$18,MID($W24,4,1)="2",$W$15&lt;&gt;$W$14),VLOOKUP(CONCATENATE(LEFT($W24,2),"L"),$R$63:$T$91,3,FALSE),0)+IF(AND($W24="O3/CP",$W$14=F$18),VLOOKUP("O3",$R$63:$T$91,3,FALSE)+VLOOKUP("CP",$R$63:$T$91,3,FALSE),0)+IF(AND($X24&lt;&gt;"",$X24&lt;&gt;"--",$X24&lt;&gt;"O3/CP",$X$14=F$18),IF(LEFT($X24,1)="P",VLOOKUP(CONCATENATE(LEFT($X24,2),"H"),$R$63:$T$91,3,FALSE),VLOOKUP($X24,$R$63:$T$91,3,FALSE)))+IF(AND($X24&lt;&gt;"",$X24&lt;&gt;"O3/CP",$X$15=F$18,MID($X24,4,1)="2",$X$15&lt;&gt;$X$14),VLOOKUP(CONCATENATE(LEFT($X24,2),"L"),$R$63:$T$91,3,FALSE),0)+IF(AND($X24="O3/CP",$X$14=F$18),VLOOKUP("O3",$R$63:$T$91,3,FALSE)+VLOOKUP("CP",$R$63:$T$91,3,FALSE),0)+IF(AND($Y24&lt;&gt;"",$Y24&lt;&gt;"--",$Y24&lt;&gt;"O3/CP",$Y$14=F$18),IF(LEFT($Y24,1)="P",VLOOKUP(CONCATENATE(LEFT($Y24,2),"H"),$R$63:$T$91,3,FALSE),VLOOKUP($Y24,$R$63:$T$91,3,FALSE)))+IF(AND($Y24&lt;&gt;"",$Y24&lt;&gt;"O3/CP",$Y$15=F$18,MID($Y24,4,1)="2",$Y$15&lt;&gt;$Y$14),VLOOKUP(CONCATENATE(LEFT($Y24,2),"L"),$R$63:$T$91,3,FALSE),0)+IF(AND($Y24="O3/CP",$Y$14=F$18),VLOOKUP("O3",$R$63:$T$91,3,FALSE)+VLOOKUP("CP",$R$63:$T$91,3,FALSE),0)+IF(AND($K$6="CE",'[3]Supply Attribution'!$G$20=F$18),LEFT($S$90,2),0)+IF(AND($X$86&lt;&gt;"Not Set",$X$87=F$18),$X$86,0)</f>
        <v>0</v>
      </c>
      <c r="G24" s="269">
        <f>IF(AND($K$6="CE",$T$59="1 Phase"),SUM(A24:F24)-IF(AND($K$14&lt;&gt;$K$15,RIGHT($K24,3)="2SP"),VLOOKUP(CONCATENATE(LEFT($K24,2),"L"),$R$63:$T$90,3,FALSE),0)-IF(AND($L$14&lt;&gt;$L$15,RIGHT($L24,3)="2SP"),VLOOKUP(CONCATENATE(LEFT($L24,2),"L"),$R$63:$T$90,3,FALSE),0)-IF(AND($M$14&lt;&gt;$M$15,RIGHT($M24,3)="2SP"),VLOOKUP(CONCATENATE(LEFT($M24,2),"L"),$R$63:$T$90,3,FALSE),0)-IF(AND($N$14&lt;&gt;$N$15,RIGHT($N24,3)="2SP"),VLOOKUP(CONCATENATE(LEFT($N24,2),"L"),$R$63:$T$90,3,FALSE),0)-IF(AND($O$14&lt;&gt;$O$15,RIGHT($O24,3)="2SP"),VLOOKUP(CONCATENATE(LEFT($O24,2),"L"),$R$63:$T$90,3,FALSE),0)-IF(AND($P$14&lt;&gt;$P$15,RIGHT($P24,3)="2SP"),VLOOKUP(CONCATENATE(LEFT($P24,2),"L"),$R$63:$T$90,3,FALSE),0)-IF(AND($Q$14&lt;&gt;$Q$15,RIGHT($Q24,3)="2SP"),VLOOKUP(CONCATENATE(LEFT($Q24,2),"L"),$R$63:$T$90,3,FALSE),0)-IF(AND($R$14&lt;&gt;$R$15,RIGHT($T24,3)="2SP"),VLOOKUP(CONCATENATE(LEFT($R24,2),"L"),$R$63:$T$90,3,FALSE),0)-IF(AND($S$14&lt;&gt;$S$15,RIGHT($T24,3)="2SP"),VLOOKUP(CONCATENATE(LEFT($S24,2),"L"),$R$63:$T$90,3,FALSE),0)-IF(AND($T$14&lt;&gt;$T$15,RIGHT($T24,3)="2SP"),VLOOKUP(CONCATENATE(LEFT($T24,2),"L"),$R$63:$T$90,3,FALSE),0)-IF(AND($U$14&lt;&gt;$U$15,RIGHT($U24,3)="2SP"),VLOOKUP(CONCATENATE(LEFT($U24,2),"L"),$R$63:$T$90,3,FALSE),0)-IF(AND($V$14&lt;&gt;$V$15,RIGHT($V24,3)="2SP"),VLOOKUP(CONCATENATE(LEFT($V24,2),"L"),$R$63:$T$90,3,FALSE),0)-IF(AND($W$14&lt;&gt;$W$15,RIGHT($W24,3)="2SP"),VLOOKUP(CONCATENATE(LEFT($W24,2),"L"),$R$63:$T$90,3,FALSE),0)-IF(AND($X$14&lt;&gt;$X$15,RIGHT($X24,3)="2SP"),VLOOKUP(CONCATENATE(LEFT($X24,2),"L"),$R$63:$T$90,3,FALSE),0)-IF(AND($Y$14&lt;&gt;$Y$15,RIGHT($Y24,3)="2SP"),VLOOKUP(CONCATENATE(LEFT($Y24,2),"L"),$R$63:$T$90,3,FALSE),0),IF(VLOOKUP(CONCATENATE($A$18,"Line"),'[3]Supply Attribution'!$F$31:$G$37,2,FALSE)=G$18,$A24,0)+IF(VLOOKUP(CONCATENATE($B$18,"Line"),'[3]Supply Attribution'!$F$31:$G$37,2,FALSE)=G$18,$B24,0)+IF(VLOOKUP(CONCATENATE($C$18,"Line"),'[3]Supply Attribution'!$F$31:$G$37,2,FALSE)=G$18,$C24,0)+IF(VLOOKUP(CONCATENATE($D$18,"Line"),'[3]Supply Attribution'!$F$31:$G$37,2,FALSE)=G$18,$D24,0)+IF(VLOOKUP(CONCATENATE($E$18,"Line"),'[3]Supply Attribution'!$F$31:$G$37,2,FALSE)=G$18,$E24,0)+IF(VLOOKUP(CONCATENATE($F$18,"Line"),'[3]Supply Attribution'!$F$31:$G$37,2,FALSE)=G$18,$F24,0)+IF($K$6="UL",LEFT($S$90,2),0)-IF(AND($K$16=G$18,$K$14&lt;&gt;$K$15,$K$16=$K$17,RIGHT($K24,3)="2SP"),VLOOKUP(CONCATENATE(LEFT($K24,2),"L"),$R$63:$T$90,3,FALSE),0)-IF(AND($L$16=G$18,$L$14&lt;&gt;$L$15,$L$16=$L$17,RIGHT($L24,3)="2SP"),VLOOKUP(CONCATENATE(LEFT($L24,2),"L"),$R$63:$T$90,3,FALSE),0)-IF(AND($M$16=G$18,$M$14&lt;&gt;$M$15,$M$16=$M$17,RIGHT($M24,3)="2SP"),VLOOKUP(CONCATENATE(LEFT($M24,2),"L"),$R$63:$T$90,3,FALSE),0)-IF(AND($N$16=G$18,$N$14&lt;&gt;$N$15,$N$16=$N$17,RIGHT($N24,3)="2SP"),VLOOKUP(CONCATENATE(LEFT($N24,2),"L"),$R$63:$T$90,3,FALSE),0)-IF(AND($O$16=G$18,$O$14&lt;&gt;$O$15,$O$16=$O$17,RIGHT($O24,3)="2SP"),VLOOKUP(CONCATENATE(LEFT($O24,2),"L"),$R$63:$T$90,3,FALSE),0)-IF(AND($P$16=G$18,$P$14&lt;&gt;$P$15,$P$16=$P$17,RIGHT($P24,3)="2SP"),VLOOKUP(CONCATENATE(LEFT($P24,2),"L"),$R$63:$T$90,3,FALSE),0)-IF(AND($Q$16=G$18,$Q$14&lt;&gt;$Q$15,$Q$16=$Q$17,RIGHT($Q24,3)="2SP"),VLOOKUP(CONCATENATE(LEFT($Q24,2),"L"),$R$63:$T$90,3,FALSE),0)-IF(AND($R$16=G$18,$R$14&lt;&gt;$R$15,$R$16=$R$17,RIGHT($R24,3)="2SP"),VLOOKUP(CONCATENATE(LEFT($R24,2),"L"),$R$63:$T$90,3,FALSE),0)-IF(AND($S$16=G$18,$S$14&lt;&gt;$S$15,$S$16=$S$17,RIGHT($S24,3)="2SP"),VLOOKUP(CONCATENATE(LEFT($S24,2),"L"),$R$63:$T$90,3,FALSE),0)-IF(AND($T$16=G$18,$T$14&lt;&gt;$T$15,$T$16=$T$17,RIGHT($T24,3)="2SP"),VLOOKUP(CONCATENATE(LEFT($T24,2),"L"),$R$63:$T$90,3,FALSE),0)-IF(AND($U$16=G$18,$U$14&lt;&gt;$U$15,$U$16=$U$17,RIGHT($U24,3)="2SP"),VLOOKUP(CONCATENATE(LEFT($U24,2),"L"),$R$63:$T$90,3,FALSE),0)-IF(AND($V$16=G$18,$V$14&lt;&gt;$V$15,$V$16=$V$17,RIGHT($V24,3)="2SP"),VLOOKUP(CONCATENATE(LEFT($V24,2),"L"),$R$63:$T$90,3,FALSE),0)-IF(AND($W$16=G$18,$W$14&lt;&gt;$W$15,$W$16=$W$17,RIGHT($W24,3)="2SP"),VLOOKUP(CONCATENATE(LEFT($W24,2),"L"),$R$63:$T$90,3,FALSE),0)-IF(AND($X$16=G$18,$X$14&lt;&gt;$X$15,$X$16=$X$17,RIGHT($X24,3)="2SP"),VLOOKUP(CONCATENATE(LEFT($X24,2),"L"),$R$63:$T$90,3,FALSE),0)-IF(AND($Y$16=G$18,$Y$14&lt;&gt;$Y$15,$Y$16=$Y$17,RIGHT($Y24,3)="2SP"),VLOOKUP(CONCATENATE(LEFT($Y24,2),"L"),$R$63:$T$90,3,FALSE),0))</f>
        <v>31</v>
      </c>
      <c r="H24" s="269" t="str">
        <f>IF(H$18&lt;&gt;"",IF(VLOOKUP(CONCATENATE($A$18,"Line"),'Supply Attribution'!$F$31:$G$37,2,FALSE)=H$18,$A24,0)+IF(VLOOKUP(CONCATENATE($B$18,"Line"),'Supply Attribution'!$F$31:$G$37,2,FALSE)=H$18,$B24,0)+IF(VLOOKUP(CONCATENATE($C$18,"Line"),'Supply Attribution'!$F$31:$G$37,2,FALSE)=H$18,$C24,0)+IF(VLOOKUP(CONCATENATE($D$18,"Line"),'Supply Attribution'!$F$31:$G$37,2,FALSE)=H$18,$D24,0)+IF(VLOOKUP(CONCATENATE($E$18,"Line"),'Supply Attribution'!$F$31:$G$37,2,FALSE)=H$18,$E24,0)+IF(VLOOKUP(CONCATENATE($F$18,"Line"),'Supply Attribution'!$F$31:$G$37,2,FALSE)=H$18,$F24,0)+IF($K$6="UL",LEFT($S$90,2),0)-IF(AND($K$16=H$18,$K$14&lt;&gt;$K$15,$K$16=$K$17,RIGHT($K24,3)="2SP"),VLOOKUP(CONCATENATE(LEFT($K24,2),"L"),$R$63:$T$90,3,FALSE),0)-IF(AND($L$16=H$18,$L$14&lt;&gt;$L$15,$L$16=$L$17,RIGHT($L24,3)="2SP"),VLOOKUP(CONCATENATE(LEFT($L24,2),"L"),$R$63:$T$90,3,FALSE),0)-IF(AND($M$16=H$18,$M$14&lt;&gt;$M$15,$M$16=$M$17,RIGHT($M24,3)="2SP"),VLOOKUP(CONCATENATE(LEFT($M24,2),"L"),$R$63:$T$90,3,FALSE),0)-IF(AND($N$16=H$18,$N$14&lt;&gt;$N$15,$N$16=$N$17,RIGHT($N24,3)="2SP"),VLOOKUP(CONCATENATE(LEFT($N24,2),"L"),$R$63:$T$90,3,FALSE),0)-IF(AND($O$16=H$18,$O$14&lt;&gt;$O$15,$O$16=$O$17,RIGHT($O24,3)="2SP"),VLOOKUP(CONCATENATE(LEFT($O24,2),"L"),$R$63:$T$90,3,FALSE),0)-IF(AND($P$16=H$18,$P$14&lt;&gt;$P$15,$P$16=$P$17,RIGHT($P24,3)="2SP"),VLOOKUP(CONCATENATE(LEFT($P24,2),"L"),$R$63:$T$90,3,FALSE),0)-IF(AND($Q$16=H$18,$Q$14&lt;&gt;$Q$15,$Q$16=$Q$17,RIGHT($Q24,3)="2SP"),VLOOKUP(CONCATENATE(LEFT($Q24,2),"L"),$R$63:$T$90,3,FALSE),0)-IF(AND($T$16=H$18,$T$14&lt;&gt;$T$15,$T$16=$T$17,RIGHT($T24,3)="2SP"),VLOOKUP(CONCATENATE(LEFT($T24,2),"L"),$R$63:$T$90,3,FALSE),0)-IF(AND($U$16=H$18,$U$14&lt;&gt;$U$15,$U$16=$U$17,RIGHT($U24,3)="2SP"),VLOOKUP(CONCATENATE(LEFT($U24,2),"L"),$R$63:$T$90,3,FALSE),0)-IF(AND($V$16=H$18,$V$14&lt;&gt;$V$15,$V$16=$V$17,RIGHT($V24,3)="2SP"),VLOOKUP(CONCATENATE(LEFT($V24,2),"L"),$R$63:$T$90,3,FALSE),0)-IF(AND($W$16=H$18,$W$14&lt;&gt;$W$15,$W$16=$W$17,RIGHT($W24,3)="2SP"),VLOOKUP(CONCATENATE(LEFT($W24,2),"L"),$R$63:$T$90,3,FALSE),0)-IF(AND($X$16=H$18,$X$14&lt;&gt;$X$15,$X$16=$X$17,RIGHT($X24,3)="2SP"),VLOOKUP(CONCATENATE(LEFT($X24,2),"L"),$R$63:$T$90,3,FALSE),0)-IF(AND($Y$16=H$18,$Y$14&lt;&gt;$Y$15,$Y$16=$Y$17,RIGHT($Y24,3)="2SP"),VLOOKUP(CONCATENATE(LEFT($Y24,2),"L"),$R$63:$T$90,3,FALSE),0)+IF(AND($K$6="CE",$T$59="2 Phases",H$18&lt;&gt;""),IF(VLOOKUP(CONCATENATE($A$18,"Line"),'Supply Attribution'!$F$31:$G$37,2,FALSE)="Line3",$A24,0)+IF(VLOOKUP(CONCATENATE($B$18,"Line"),'Supply Attribution'!$F$31:$G$37,2,FALSE)="Line3",$B24,0)+IF(VLOOKUP(CONCATENATE($C$18,"Line"),'Supply Attribution'!$F$31:$G$37,2,FALSE)="Line3",$C24,0)+IF(VLOOKUP(CONCATENATE($D$18,"Line"),'Supply Attribution'!$F$31:$G$37,2,FALSE)="Line3",$D24,0)+IF(VLOOKUP(CONCATENATE($E$18,"Line"),'Supply Attribution'!$F$31:$G$37,2,FALSE)="Line3",$E24,0)+IF(VLOOKUP(CONCATENATE($F$18,"Line"),'Supply Attribution'!$F$31:$G$37,2,FALSE)="Line3",$F24,0)-IF(AND($K$16=I$18,$K$14&lt;&gt;$K$15,$K$16=$K$17,RIGHT($K24,3)="2SP"),VLOOKUP(CONCATENATE(LEFT($K24,2),"L"),$R$63:$T$90,3,FALSE),0)-IF(AND($L$16=I$18,$L$14&lt;&gt;$L$15,$L$16=$L$17,RIGHT($L24,3)="2SP"),VLOOKUP(CONCATENATE(LEFT($L24,2),"L"),$R$63:$T$90,3,FALSE),0)-IF(AND($M$16=I$18,$M$14&lt;&gt;$M$15,$M$16=$M$17,RIGHT($M24,3)="2SP"),VLOOKUP(CONCATENATE(LEFT($M24,2),"L"),$R$63:$T$90,3,FALSE),0)-IF(AND($N$16=I$18,$N$14&lt;&gt;$N$15,$N$16=$N$17,RIGHT($N24,3)="2SP"),VLOOKUP(CONCATENATE(LEFT($N24,2),"L"),$R$63:$T$90,3,FALSE),0)-IF(AND($O$16=I$18,$O$14&lt;&gt;$O$15,$O$16=$O$17,RIGHT($O24,3)="2SP"),VLOOKUP(CONCATENATE(LEFT($O24,2),"L"),$R$63:$T$90,3,FALSE),0)-IF(AND($P$16=I$18,$P$14&lt;&gt;$P$15,$P$16=$P$17,RIGHT($P24,3)="2SP"),VLOOKUP(CONCATENATE(LEFT($P24,2),"L"),$R$63:$T$90,3,FALSE),0)-IF(AND($Q$16=I$18,$Q$14&lt;&gt;$Q$15,$Q$16=$Q$17,RIGHT($Q24,3)="2SP"),VLOOKUP(CONCATENATE(LEFT($Q24,2),"L"),$R$63:$T$90,3,FALSE),0)-IF(AND($T$16=I$18,$T$14&lt;&gt;$T$15,$T$16=$T$17,RIGHT($T24,3)="2SP"),VLOOKUP(CONCATENATE(LEFT($T24,2),"L"),$R$63:$T$90,3,FALSE),0)-IF(AND($U$16=I$18,$U$14&lt;&gt;$U$15,$U$16=$U$17,RIGHT($U24,3)="2SP"),VLOOKUP(CONCATENATE(LEFT($U24,2),"L"),$R$63:$T$90,3,FALSE),0)-IF(AND($V$16=I$18,$V$14&lt;&gt;$V$15,$V$16=$V$17,RIGHT($V24,3)="2SP"),VLOOKUP(CONCATENATE(LEFT($V24,2),"L"),$R$63:$T$90,3,FALSE),0)-IF(AND($W$16=I$18,$W$14&lt;&gt;$W$15,$W$16=$W$17,RIGHT($W24,3)="2SP"),VLOOKUP(CONCATENATE(LEFT($W24,2),"L"),$R$63:$T$90,3,FALSE),0)-IF(AND($X$16=I$18,$X$14&lt;&gt;$X$15,$X$16=$X$17,RIGHT($X24,3)="2SP"),VLOOKUP(CONCATENATE(LEFT($X24,2),"L"),$R$63:$T$90,3,FALSE),0)-IF(AND($Y$16=I$18,$Y$14&lt;&gt;$Y$15,$Y$16=$Y$17,RIGHT($Y24,3)="2SP"),VLOOKUP(CONCATENATE(LEFT($Y24,2),"L"),$R$63:$T$90,3,FALSE),0),0),"")</f>
        <v/>
      </c>
      <c r="I24" s="269" t="str">
        <f>IF(I$18&lt;&gt;"",IF(VLOOKUP(CONCATENATE($A$18,"Line"),'Supply Attribution'!$F$31:$G$37,2,FALSE)=I$18,$A24,0)+IF(VLOOKUP(CONCATENATE($B$18,"Line"),'Supply Attribution'!$F$31:$G$37,2,FALSE)=I$18,$B24,0)+IF(VLOOKUP(CONCATENATE($C$18,"Line"),'Supply Attribution'!$F$31:$G$37,2,FALSE)=I$18,$C24,0)+IF(VLOOKUP(CONCATENATE($D$18,"Line"),'Supply Attribution'!$F$31:$G$37,2,FALSE)=I$18,$D24,0)+IF(VLOOKUP(CONCATENATE($E$18,"Line"),'Supply Attribution'!$F$31:$G$37,2,FALSE)=I$18,$E24,0)+IF(VLOOKUP(CONCATENATE($F$18,"Line"),'Supply Attribution'!$F$31:$G$37,2,FALSE)=I$18,$F24,0)+IF($K$6="UL",LEFT($S$90,2),0)-IF(AND($K$16=I$18,$K$14&lt;&gt;$K$15,$K$16=$K$17,RIGHT($K24,3)="2SP"),VLOOKUP(CONCATENATE(LEFT($K24,2),"L"),$R$63:$T$90,3,FALSE),0)-IF(AND($L$16=I$18,$L$14&lt;&gt;$L$15,$L$16=$L$17,RIGHT($L24,3)="2SP"),VLOOKUP(CONCATENATE(LEFT($L24,2),"L"),$R$63:$T$90,3,FALSE),0)-IF(AND($M$16=I$18,$M$14&lt;&gt;$M$15,$M$16=$M$17,RIGHT($M24,3)="2SP"),VLOOKUP(CONCATENATE(LEFT($M24,2),"L"),$R$63:$T$90,3,FALSE),0)-IF(AND($N$16=I$18,$N$14&lt;&gt;$N$15,$N$16=$N$17,RIGHT($N24,3)="2SP"),VLOOKUP(CONCATENATE(LEFT($N24,2),"L"),$R$63:$T$90,3,FALSE),0)-IF(AND($O$16=I$18,$O$14&lt;&gt;$O$15,$O$16=$O$17,RIGHT($O24,3)="2SP"),VLOOKUP(CONCATENATE(LEFT($O24,2),"L"),$R$63:$T$90,3,FALSE),0)-IF(AND($P$16=I$18,$P$14&lt;&gt;$P$15,$P$16=$P$17,RIGHT($P24,3)="2SP"),VLOOKUP(CONCATENATE(LEFT($P24,2),"L"),$R$63:$T$90,3,FALSE),0)-IF(AND($Q$16=I$18,$Q$14&lt;&gt;$Q$15,$Q$16=$Q$17,RIGHT($Q24,3)="2SP"),VLOOKUP(CONCATENATE(LEFT($Q24,2),"L"),$R$63:$T$90,3,FALSE),0)-IF(AND($T$16=I$18,$T$14&lt;&gt;$T$15,$T$16=$T$17,RIGHT($T24,3)="2SP"),VLOOKUP(CONCATENATE(LEFT($T24,2),"L"),$R$63:$T$90,3,FALSE),0)-IF(AND($U$16=I$18,$U$14&lt;&gt;$U$15,$U$16=$U$17,RIGHT($U24,3)="2SP"),VLOOKUP(CONCATENATE(LEFT($U24,2),"L"),$R$63:$T$90,3,FALSE),0)-IF(AND($V$16=I$18,$V$14&lt;&gt;$V$15,$V$16=$V$17,RIGHT($V24,3)="2SP"),VLOOKUP(CONCATENATE(LEFT($V24,2),"L"),$R$63:$T$90,3,FALSE),0)-IF(AND($W$16=I$18,$W$14&lt;&gt;$W$15,$W$16=$W$17,RIGHT($W24,3)="2SP"),VLOOKUP(CONCATENATE(LEFT($W24,2),"L"),$R$63:$T$90,3,FALSE),0)-IF(AND($X$16=I$18,$X$14&lt;&gt;$X$15,$X$16=$X$17,RIGHT($X24,3)="2SP"),VLOOKUP(CONCATENATE(LEFT($X24,2),"L"),$R$63:$T$90,3,FALSE),0)-IF(AND($Y$16=I$18,$Y$14&lt;&gt;$Y$15,$Y$16=$Y$17,RIGHT($Y24,3)="2SP"),VLOOKUP(CONCATENATE(LEFT($Y24,2),"L"),$R$63:$T$90,3,FALSE),0),"")</f>
        <v/>
      </c>
      <c r="J24" s="134">
        <v>145</v>
      </c>
      <c r="K24" s="135" t="s">
        <v>24</v>
      </c>
      <c r="L24" s="135" t="s">
        <v>24</v>
      </c>
      <c r="M24" s="135" t="s">
        <v>411</v>
      </c>
      <c r="N24" s="135" t="s">
        <v>24</v>
      </c>
      <c r="O24" s="135" t="s">
        <v>286</v>
      </c>
      <c r="P24" s="135"/>
      <c r="Q24" s="135"/>
      <c r="R24" s="135"/>
      <c r="S24" s="135"/>
      <c r="T24" s="135"/>
      <c r="U24" s="135"/>
      <c r="V24" s="135"/>
      <c r="W24" s="135"/>
      <c r="X24" s="135"/>
      <c r="Y24" s="135"/>
      <c r="Z24" s="136" t="s">
        <v>7</v>
      </c>
      <c r="AA24" s="136" t="s">
        <v>357</v>
      </c>
      <c r="AB24" s="137" t="s">
        <v>18</v>
      </c>
      <c r="AC24" s="137" t="s">
        <v>183</v>
      </c>
      <c r="AD24" s="137" t="s">
        <v>18</v>
      </c>
      <c r="AE24" s="138">
        <f t="shared" si="0"/>
        <v>145</v>
      </c>
      <c r="AF24" s="78"/>
    </row>
    <row r="25" spans="1:32" ht="13.15" customHeight="1">
      <c r="A25" s="264">
        <f>IF(AND($K25&lt;&gt;"",$K25&lt;&gt;"--",$K25&lt;&gt;"O3/CP",$K$14=A$18),IF(LEFT($K25,1)="P",VLOOKUP(CONCATENATE(LEFT($K25,2),"H"),$R$63:$T$91,3,FALSE),VLOOKUP($K25,$R$63:$T$91,3,FALSE)))+IF(AND($K25&lt;&gt;"",$K25&lt;&gt;"O3/CP",$K$15=A$18,MID($K25,4,1)="2",$K$15&lt;&gt;$K$14),VLOOKUP(CONCATENATE(LEFT($K25,2),"L"),$R$63:$T$91,3,FALSE),0)+IF(AND($K25="O3/CP",$K$14=A$18),VLOOKUP("O3",$R$63:$T$91,3,FALSE)+VLOOKUP("CP",$R$63:$T$91,3,FALSE),0)+IF(AND($L25&lt;&gt;"",$L25&lt;&gt;"--",$L25&lt;&gt;"O3/CP",$L$14=A$18),IF(LEFT($L25,1)="P",VLOOKUP(CONCATENATE(LEFT($L25,2),"H"),$R$63:$T$91,3,FALSE),VLOOKUP($L25,$R$63:$T$91,3,FALSE)))+IF(AND($L25&lt;&gt;"",$L25&lt;&gt;"O3/CP",$L$15=A$18,MID($L25,4,1)="2",$L$15&lt;&gt;$L$14),VLOOKUP(CONCATENATE(LEFT($L25,2),"L"),$R$63:$T$91,3,FALSE),0)+IF(AND($L25="O3/CP",$L$14=A$18),VLOOKUP("O3",$R$63:$T$91,3,FALSE)+VLOOKUP("CP",$R$63:$T$91,3,FALSE),0)+IF(AND($M25&lt;&gt;"",$M25&lt;&gt;"--",$M25&lt;&gt;"O3/CP",$M$14=A$18),IF(LEFT($M25,1)="P",VLOOKUP(CONCATENATE(LEFT($M25,2),"H"),$R$63:$T$91,3,FALSE),VLOOKUP($M25,$R$63:$T$91,3,FALSE)))+IF(AND($M25&lt;&gt;"",$M25&lt;&gt;"O3/CP",$M$15=A$18,MID($M25,4,1)="2",$M$15&lt;&gt;$M$14),VLOOKUP(CONCATENATE(LEFT($M25,2),"L"),$R$63:$T$91,3,FALSE),0)+IF(AND($M25="O3/CP",$M$14=A$18),VLOOKUP("O3",$R$63:$T$91,3,FALSE)+VLOOKUP("CP",$R$63:$T$91,3,FALSE),0)+IF(AND($N25&lt;&gt;"",$N25&lt;&gt;"--",$N25&lt;&gt;"O3/CP",$N$14=A$18),IF(LEFT($N25,1)="P",VLOOKUP(CONCATENATE(LEFT($N25,2),"H"),$R$63:$T$91,3,FALSE),VLOOKUP($N25,$R$63:$T$91,3,FALSE)))+IF(AND($N25&lt;&gt;"",$N25&lt;&gt;"O3/CP",$N$15=A$18,MID($N25,4,1)="2",$N$15&lt;&gt;$N$14),VLOOKUP(CONCATENATE(LEFT($N25,2),"L"),$R$63:$T$91,3,FALSE),0)+IF(AND($N25="O3/CP",$N$14=A$18),VLOOKUP("O3",$R$63:$T$91,3,FALSE)+VLOOKUP("CP",$R$63:$T$91,3,FALSE),0)+IF(AND($O25&lt;&gt;"",$O25&lt;&gt;"--",$O25&lt;&gt;"O3/CP",$O$14=A$18),IF(LEFT($O25,1)="P",VLOOKUP(CONCATENATE(LEFT($O25,2),"H"),$R$63:$T$91,3,FALSE),VLOOKUP($O25,$R$63:$T$91,3,FALSE)))+IF(AND($O25&lt;&gt;"",$O25&lt;&gt;"O3/CP",$O$15=A$18,MID($O25,4,1)="2",$O$15&lt;&gt;$O$14),VLOOKUP(CONCATENATE(LEFT($O25,2),"L"),$R$63:$T$91,3,FALSE),0)+IF(AND($O25="O3/CP",$O$14=A$18),VLOOKUP("O3",$R$63:$T$91,3,FALSE)+VLOOKUP("CP",$R$63:$T$91,3,FALSE),0)+IF(AND($P25&lt;&gt;"",$P25&lt;&gt;"--",$P25&lt;&gt;"O3/CP",$P$14=A$18),IF(LEFT($P25,1)="P",VLOOKUP(CONCATENATE(LEFT($P25,2),"H"),$R$63:$T$91,3,FALSE),VLOOKUP($P25,$R$63:$T$91,3,FALSE)))+IF(AND($P25&lt;&gt;"",$P25&lt;&gt;"O3/CP",$P$15=A$18,MID($P25,4,1)="2",$P$15&lt;&gt;$P$14),VLOOKUP(CONCATENATE(LEFT($P25,2),"L"),$R$63:$T$91,3,FALSE),0)+IF(AND($P25="O3/CP",$P$14=A$18),VLOOKUP("O3",$R$63:$T$91,3,FALSE)+VLOOKUP("CP",$R$63:$T$91,3,FALSE),0)+IF(AND($Q25&lt;&gt;"",$Q25&lt;&gt;"--",$Q25&lt;&gt;"O3/CP",$Q$14=A$18),IF(LEFT($Q25,1)="P",VLOOKUP(CONCATENATE(LEFT($Q25,2),"H"),$R$63:$T$91,3,FALSE),VLOOKUP($Q25,$R$63:$T$91,3,FALSE)))+IF(AND($Q25&lt;&gt;"",$Q25&lt;&gt;"O3/CP",$Q$15=A$18,MID($Q25,4,1)="2",$Q$15&lt;&gt;$Q$14),VLOOKUP(CONCATENATE(LEFT($Q25,2),"L"),$R$63:$T$91,3,FALSE),0)+IF(AND($Q25="O3/CP",$Q$14=A$18),VLOOKUP("O3",$R$63:$T$91,3,FALSE)+VLOOKUP("CP",$R$63:$T$91,3,FALSE),0)+IF(AND($R25&lt;&gt;"",$R25&lt;&gt;"--",$R25&lt;&gt;"O3/CP",$R$14=A$18),IF(LEFT($R25,1)="P",VLOOKUP(CONCATENATE(LEFT($R25,2),"H"),$R$63:$T$91,3,FALSE),VLOOKUP($R25,$R$63:$T$91,3,FALSE)))+IF(AND($R25&lt;&gt;"",$R25&lt;&gt;"O3/CP",$R$15=A$18,MID($R25,4,1)="2",$R$15&lt;&gt;$R$14),VLOOKUP(CONCATENATE(LEFT($R25,2),"L"),$R$63:$T$91,3,FALSE),0)+IF(AND($R25="O3/CP",$R$14=A$18),VLOOKUP("O3",$R$63:$T$91,3,FALSE)+VLOOKUP("CP",$R$63:$T$91,3,FALSE),0)+IF(AND($S25&lt;&gt;"",$S25&lt;&gt;"--",$S25&lt;&gt;"O3/CP",$S$14=A$18),IF(LEFT($S25,1)="P",VLOOKUP(CONCATENATE(LEFT($S25,2),"H"),$R$63:$T$91,3,FALSE),VLOOKUP($S25,$R$63:$T$91,3,FALSE)))+IF(AND($S25&lt;&gt;"",$S25&lt;&gt;"O3/CP",$S$15=A$18,MID($S25,4,1)="2",$S$15&lt;&gt;$S$14),VLOOKUP(CONCATENATE(LEFT($S25,2),"L"),$R$63:$T$91,3,FALSE),0)+IF(AND($S25="O3/CP",$S$14=A$18),VLOOKUP("O3",$R$63:$T$91,3,FALSE)+VLOOKUP("CP",$R$63:$T$91,3,FALSE),0)+IF(AND($T25&lt;&gt;"",$T25&lt;&gt;"--",$T25&lt;&gt;"O3/CP",$T$14=A$18),IF(LEFT($T25,1)="P",VLOOKUP(CONCATENATE(LEFT($T25,2),"H"),$R$63:$T$91,3,FALSE),VLOOKUP($T25,$R$63:$T$91,3,FALSE)))+IF(AND($T25&lt;&gt;"",$T25&lt;&gt;"O3/CP",$T$15=A$18,MID($T25,4,1)="2",$T$15&lt;&gt;$T$14),VLOOKUP(CONCATENATE(LEFT($T25,2),"L"),$R$63:$T$91,3,FALSE),0)+IF(AND($T25="O3/CP",$T$14=A$18),VLOOKUP("O3",$R$63:$T$91,3,FALSE)+VLOOKUP("CP",$R$63:$T$91,3,FALSE),0)+IF(AND($U25&lt;&gt;"",$U25&lt;&gt;"--",$U25&lt;&gt;"O3/CP",$U$14=A$18),IF(LEFT($U25,1)="P",VLOOKUP(CONCATENATE(LEFT($U25,2),"H"),$R$63:$T$91,3,FALSE),VLOOKUP($U25,$R$63:$T$91,3,FALSE)))+IF(AND($U25&lt;&gt;"",$U25&lt;&gt;"O3/CP",$U$15=A$18,MID($U25,4,1)="2",$U$15&lt;&gt;$U$14),VLOOKUP(CONCATENATE(LEFT($U25,2),"L"),$R$63:$T$91,3,FALSE),0)+IF(AND($U25="O3/CP",$T$14=A$18),VLOOKUP("O3",$R$63:$T$91,3,FALSE)+VLOOKUP("CP",$R$63:$T$91,3,FALSE),0)+IF(AND($V25&lt;&gt;"",$V25&lt;&gt;"--",$V25&lt;&gt;"O3/CP",$V$14=A$18),IF(LEFT($V25,1)="P",VLOOKUP(CONCATENATE(LEFT($V25,2),"H"),$R$63:$T$91,3,FALSE),VLOOKUP($V25,$R$63:$T$91,3,FALSE)))+IF(AND($V25&lt;&gt;"",$V25&lt;&gt;"O3/CP",$V$15=A$18,MID($V25,4,1)="2",$V$15&lt;&gt;$V$14),VLOOKUP(CONCATENATE(LEFT($V25,2),"L"),$R$63:$T$91,3,FALSE),0)+IF(AND($V25="O3/CP",$V$14=A$18),VLOOKUP("O3",$R$63:$T$91,3,FALSE)+VLOOKUP("CP",$R$63:$T$91,3,FALSE),0)+IF(AND($W25&lt;&gt;"",$W25&lt;&gt;"--",$W25&lt;&gt;"O3/CP",$W$14=A$18),IF(LEFT($W25,1)="P",VLOOKUP(CONCATENATE(LEFT($W25,2),"H"),$R$63:$T$91,3,FALSE),VLOOKUP($W25,$R$63:$T$91,3,FALSE)))+IF(AND($W25&lt;&gt;"",$W25&lt;&gt;"O3/CP",$W$15=A$18,MID($W25,4,1)="2",$W$15&lt;&gt;$W$14),VLOOKUP(CONCATENATE(LEFT($W25,2),"L"),$R$63:$T$91,3,FALSE),0)+IF(AND($W25="O3/CP",$W$14=A$18),VLOOKUP("O3",$R$63:$T$91,3,FALSE)+VLOOKUP("CP",$R$63:$T$91,3,FALSE),0)+IF(AND($X25&lt;&gt;"",$X25&lt;&gt;"--",$X25&lt;&gt;"O3/CP",$X$14=A$18),IF(LEFT($X25,1)="P",VLOOKUP(CONCATENATE(LEFT($X25,2),"H"),$R$63:$T$91,3,FALSE),VLOOKUP($X25,$R$63:$T$91,3,FALSE)))+IF(AND($X25&lt;&gt;"",$X25&lt;&gt;"O3/CP",$X$15=A$18,MID($X25,4,1)="2",$X$15&lt;&gt;$X$14),VLOOKUP(CONCATENATE(LEFT($X25,2),"L"),$R$63:$T$91,3,FALSE),0)+IF(AND($X25="O3/CP",$X$14=A$18),VLOOKUP("O3",$R$63:$T$91,3,FALSE)+VLOOKUP("CP",$R$63:$T$91,3,FALSE),0)+IF(AND($Y25&lt;&gt;"",$Y25&lt;&gt;"--",$Y25&lt;&gt;"O3/CP",$Y$14=A$18),IF(LEFT($Y25,1)="P",VLOOKUP(CONCATENATE(LEFT($Y25,2),"H"),$R$63:$T$91,3,FALSE),VLOOKUP($Y25,$R$63:$T$91,3,FALSE)))+IF(AND($Y25&lt;&gt;"",$Y25&lt;&gt;"O3/CP",$Y$15=A$18,MID($Y25,4,1)="2",$Y$15&lt;&gt;$Y$14),VLOOKUP(CONCATENATE(LEFT($Y25,2),"L"),$R$63:$T$91,3,FALSE),0)+IF(AND($Y25="O3/CP",$Y$14=A$18),VLOOKUP("O3",$R$63:$T$91,3,FALSE)+VLOOKUP("CP",$R$63:$T$91,3,FALSE),0)+IF(AND($K$6="CE",'[3]Supply Attribution'!$G$20=A$18),LEFT($S$90,2),0)+IF(AND($X$86&lt;&gt;"Not Set",$X$87=A$18),$X$86,0)</f>
        <v>14</v>
      </c>
      <c r="B25" s="271">
        <f>IF(AND($K25&lt;&gt;"",$K25&lt;&gt;"--",$K25&lt;&gt;"O3/CP",$K$14=B$18),IF(LEFT($K25,1)="P",VLOOKUP(CONCATENATE(LEFT($K25,2),"H"),$R$63:$T$91,3,FALSE),VLOOKUP($K25,$R$63:$T$91,3,FALSE)))+IF(AND($K25&lt;&gt;"",$K25&lt;&gt;"O3/CP",$K$15=B$18,MID($K25,4,1)="2",$K$15&lt;&gt;$K$14),VLOOKUP(CONCATENATE(LEFT($K25,2),"L"),$R$63:$T$91,3,FALSE),0)+IF(AND($K25="O3/CP",$K$14=B$18),VLOOKUP("O3",$R$63:$T$91,3,FALSE)+VLOOKUP("CP",$R$63:$T$91,3,FALSE),0)+IF(AND($L25&lt;&gt;"",$L25&lt;&gt;"--",$L25&lt;&gt;"O3/CP",$L$14=B$18),IF(LEFT($L25,1)="P",VLOOKUP(CONCATENATE(LEFT($L25,2),"H"),$R$63:$T$91,3,FALSE),VLOOKUP($L25,$R$63:$T$91,3,FALSE)))+IF(AND($L25&lt;&gt;"",$L25&lt;&gt;"O3/CP",$L$15=B$18,MID($L25,4,1)="2",$L$15&lt;&gt;$L$14),VLOOKUP(CONCATENATE(LEFT($L25,2),"L"),$R$63:$T$91,3,FALSE),0)+IF(AND($L25="O3/CP",$L$14=B$18),VLOOKUP("O3",$R$63:$T$91,3,FALSE)+VLOOKUP("CP",$R$63:$T$91,3,FALSE),0)+IF(AND($M25&lt;&gt;"",$M25&lt;&gt;"--",$M25&lt;&gt;"O3/CP",$M$14=B$18),IF(LEFT($M25,1)="P",VLOOKUP(CONCATENATE(LEFT($M25,2),"H"),$R$63:$T$91,3,FALSE),VLOOKUP($M25,$R$63:$T$91,3,FALSE)))+IF(AND($M25&lt;&gt;"",$M25&lt;&gt;"O3/CP",$M$15=B$18,MID($M25,4,1)="2",$M$15&lt;&gt;$M$14),VLOOKUP(CONCATENATE(LEFT($M25,2),"L"),$R$63:$T$91,3,FALSE),0)+IF(AND($M25="O3/CP",$M$14=B$18),VLOOKUP("O3",$R$63:$T$91,3,FALSE)+VLOOKUP("CP",$R$63:$T$91,3,FALSE),0)+IF(AND($N25&lt;&gt;"",$N25&lt;&gt;"--",$N25&lt;&gt;"O3/CP",$N$14=B$18),IF(LEFT($N25,1)="P",VLOOKUP(CONCATENATE(LEFT($N25,2),"H"),$R$63:$T$91,3,FALSE),VLOOKUP($N25,$R$63:$T$91,3,FALSE)))+IF(AND($N25&lt;&gt;"",$N25&lt;&gt;"O3/CP",$N$15=B$18,MID($N25,4,1)="2",$N$15&lt;&gt;$N$14),VLOOKUP(CONCATENATE(LEFT($N25,2),"L"),$R$63:$T$91,3,FALSE),0)+IF(AND($N25="O3/CP",$N$14=B$18),VLOOKUP("O3",$R$63:$T$91,3,FALSE)+VLOOKUP("CP",$R$63:$T$91,3,FALSE),0)+IF(AND($O25&lt;&gt;"",$O25&lt;&gt;"--",$O25&lt;&gt;"O3/CP",$O$14=B$18),IF(LEFT($O25,1)="P",VLOOKUP(CONCATENATE(LEFT($O25,2),"H"),$R$63:$T$91,3,FALSE),VLOOKUP($O25,$R$63:$T$91,3,FALSE)))+IF(AND($O25&lt;&gt;"",$O25&lt;&gt;"O3/CP",$O$15=B$18,MID($O25,4,1)="2",$O$15&lt;&gt;$O$14),VLOOKUP(CONCATENATE(LEFT($O25,2),"L"),$R$63:$T$91,3,FALSE),0)+IF(AND($O25="O3/CP",$O$14=B$18),VLOOKUP("O3",$R$63:$T$91,3,FALSE)+VLOOKUP("CP",$R$63:$T$91,3,FALSE),0)+IF(AND($P25&lt;&gt;"",$P25&lt;&gt;"--",$P25&lt;&gt;"O3/CP",$P$14=B$18),IF(LEFT($P25,1)="P",VLOOKUP(CONCATENATE(LEFT($P25,2),"H"),$R$63:$T$91,3,FALSE),VLOOKUP($P25,$R$63:$T$91,3,FALSE)))+IF(AND($P25&lt;&gt;"",$P25&lt;&gt;"O3/CP",$P$15=B$18,MID($P25,4,1)="2",$P$15&lt;&gt;$P$14),VLOOKUP(CONCATENATE(LEFT($P25,2),"L"),$R$63:$T$91,3,FALSE),0)+IF(AND($P25="O3/CP",$P$14=B$18),VLOOKUP("O3",$R$63:$T$91,3,FALSE)+VLOOKUP("CP",$R$63:$T$91,3,FALSE),0)+IF(AND($Q25&lt;&gt;"",$Q25&lt;&gt;"--",$Q25&lt;&gt;"O3/CP",$Q$14=B$18),IF(LEFT($Q25,1)="P",VLOOKUP(CONCATENATE(LEFT($Q25,2),"H"),$R$63:$T$91,3,FALSE),VLOOKUP($Q25,$R$63:$T$91,3,FALSE)))+IF(AND($Q25&lt;&gt;"",$Q25&lt;&gt;"O3/CP",$Q$15=B$18,MID($Q25,4,1)="2",$Q$15&lt;&gt;$Q$14),VLOOKUP(CONCATENATE(LEFT($Q25,2),"L"),$R$63:$T$91,3,FALSE),0)+IF(AND($Q25="O3/CP",$Q$14=B$18),VLOOKUP("O3",$R$63:$T$91,3,FALSE)+VLOOKUP("CP",$R$63:$T$91,3,FALSE),0)+IF(AND($R25&lt;&gt;"",$R25&lt;&gt;"--",$R25&lt;&gt;"O3/CP",$R$14=B$18),IF(LEFT($R25,1)="P",VLOOKUP(CONCATENATE(LEFT($R25,2),"H"),$R$63:$T$91,3,FALSE),VLOOKUP($R25,$R$63:$T$91,3,FALSE)))+IF(AND($R25&lt;&gt;"",$R25&lt;&gt;"O3/CP",$R$15=B$18,MID($R25,4,1)="2",$R$15&lt;&gt;$R$14),VLOOKUP(CONCATENATE(LEFT($R25,2),"L"),$R$63:$T$91,3,FALSE),0)+IF(AND($R25="O3/CP",$R$14=B$18),VLOOKUP("O3",$R$63:$T$91,3,FALSE)+VLOOKUP("CP",$R$63:$T$91,3,FALSE),0)+IF(AND($S25&lt;&gt;"",$S25&lt;&gt;"--",$S25&lt;&gt;"O3/CP",$S$14=B$18),IF(LEFT($S25,1)="P",VLOOKUP(CONCATENATE(LEFT($S25,2),"H"),$R$63:$T$91,3,FALSE),VLOOKUP($S25,$R$63:$T$91,3,FALSE)))+IF(AND($S25&lt;&gt;"",$S25&lt;&gt;"O3/CP",$S$15=B$18,MID($S25,4,1)="2",$S$15&lt;&gt;$S$14),VLOOKUP(CONCATENATE(LEFT($S25,2),"L"),$R$63:$T$91,3,FALSE),0)+IF(AND($S25="O3/CP",$S$14=B$18),VLOOKUP("O3",$R$63:$T$91,3,FALSE)+VLOOKUP("CP",$R$63:$T$91,3,FALSE),0)+IF(AND($T25&lt;&gt;"",$T25&lt;&gt;"--",$T25&lt;&gt;"O3/CP",$T$14=B$18),IF(LEFT($T25,1)="P",VLOOKUP(CONCATENATE(LEFT($T25,2),"H"),$R$63:$T$91,3,FALSE),VLOOKUP($T25,$R$63:$T$91,3,FALSE)))+IF(AND($T25&lt;&gt;"",$T25&lt;&gt;"O3/CP",$T$15=B$18,MID($T25,4,1)="2",$T$15&lt;&gt;$T$14),VLOOKUP(CONCATENATE(LEFT($T25,2),"L"),$R$63:$T$91,3,FALSE),0)+IF(AND($T25="O3/CP",$T$14=B$18),VLOOKUP("O3",$R$63:$T$91,3,FALSE)+VLOOKUP("CP",$R$63:$T$91,3,FALSE),0)+IF(AND($U25&lt;&gt;"",$U25&lt;&gt;"--",$U25&lt;&gt;"O3/CP",$U$14=B$18),IF(LEFT($U25,1)="P",VLOOKUP(CONCATENATE(LEFT($U25,2),"H"),$R$63:$T$91,3,FALSE),VLOOKUP($U25,$R$63:$T$91,3,FALSE)))+IF(AND($U25&lt;&gt;"",$U25&lt;&gt;"O3/CP",$U$15=B$18,MID($U25,4,1)="2",$U$15&lt;&gt;$U$14),VLOOKUP(CONCATENATE(LEFT($U25,2),"L"),$R$63:$T$91,3,FALSE),0)+IF(AND($U25="O3/CP",$T$14=B$18),VLOOKUP("O3",$R$63:$T$91,3,FALSE)+VLOOKUP("CP",$R$63:$T$91,3,FALSE),0)+IF(AND($V25&lt;&gt;"",$V25&lt;&gt;"--",$V25&lt;&gt;"O3/CP",$V$14=B$18),IF(LEFT($V25,1)="P",VLOOKUP(CONCATENATE(LEFT($V25,2),"H"),$R$63:$T$91,3,FALSE),VLOOKUP($V25,$R$63:$T$91,3,FALSE)))+IF(AND($V25&lt;&gt;"",$V25&lt;&gt;"O3/CP",$V$15=B$18,MID($V25,4,1)="2",$V$15&lt;&gt;$V$14),VLOOKUP(CONCATENATE(LEFT($V25,2),"L"),$R$63:$T$91,3,FALSE),0)+IF(AND($V25="O3/CP",$V$14=B$18),VLOOKUP("O3",$R$63:$T$91,3,FALSE)+VLOOKUP("CP",$R$63:$T$91,3,FALSE),0)+IF(AND($W25&lt;&gt;"",$W25&lt;&gt;"--",$W25&lt;&gt;"O3/CP",$W$14=B$18),IF(LEFT($W25,1)="P",VLOOKUP(CONCATENATE(LEFT($W25,2),"H"),$R$63:$T$91,3,FALSE),VLOOKUP($W25,$R$63:$T$91,3,FALSE)))+IF(AND($W25&lt;&gt;"",$W25&lt;&gt;"O3/CP",$W$15=B$18,MID($W25,4,1)="2",$W$15&lt;&gt;$W$14),VLOOKUP(CONCATENATE(LEFT($W25,2),"L"),$R$63:$T$91,3,FALSE),0)+IF(AND($W25="O3/CP",$W$14=B$18),VLOOKUP("O3",$R$63:$T$91,3,FALSE)+VLOOKUP("CP",$R$63:$T$91,3,FALSE),0)+IF(AND($X25&lt;&gt;"",$X25&lt;&gt;"--",$X25&lt;&gt;"O3/CP",$X$14=B$18),IF(LEFT($X25,1)="P",VLOOKUP(CONCATENATE(LEFT($X25,2),"H"),$R$63:$T$91,3,FALSE),VLOOKUP($X25,$R$63:$T$91,3,FALSE)))+IF(AND($X25&lt;&gt;"",$X25&lt;&gt;"O3/CP",$X$15=B$18,MID($X25,4,1)="2",$X$15&lt;&gt;$X$14),VLOOKUP(CONCATENATE(LEFT($X25,2),"L"),$R$63:$T$91,3,FALSE),0)+IF(AND($X25="O3/CP",$X$14=B$18),VLOOKUP("O3",$R$63:$T$91,3,FALSE)+VLOOKUP("CP",$R$63:$T$91,3,FALSE),0)+IF(AND($Y25&lt;&gt;"",$Y25&lt;&gt;"--",$Y25&lt;&gt;"O3/CP",$Y$14=B$18),IF(LEFT($Y25,1)="P",VLOOKUP(CONCATENATE(LEFT($Y25,2),"H"),$R$63:$T$91,3,FALSE),VLOOKUP($Y25,$R$63:$T$91,3,FALSE)))+IF(AND($Y25&lt;&gt;"",$Y25&lt;&gt;"O3/CP",$Y$15=B$18,MID($Y25,4,1)="2",$Y$15&lt;&gt;$Y$14),VLOOKUP(CONCATENATE(LEFT($Y25,2),"L"),$R$63:$T$91,3,FALSE),0)+IF(AND($Y25="O3/CP",$Y$14=B$18),VLOOKUP("O3",$R$63:$T$91,3,FALSE)+VLOOKUP("CP",$R$63:$T$91,3,FALSE),0)+IF(AND($K$6="CE",'[3]Supply Attribution'!$G$20=B$18),LEFT($S$90,2),0)+IF(AND($X$86&lt;&gt;"Not Set",$X$87=B$18),$X$86,0)</f>
        <v>6</v>
      </c>
      <c r="C25" s="271">
        <f>IF(AND($K25&lt;&gt;"",$K25&lt;&gt;"--",$K25&lt;&gt;"O3/CP",$K$14=C$18),IF(LEFT($K25,1)="P",VLOOKUP(CONCATENATE(LEFT($K25,2),"H"),$R$63:$T$91,3,FALSE),VLOOKUP($K25,$R$63:$T$91,3,FALSE)))+IF(AND($K25&lt;&gt;"",$K25&lt;&gt;"O3/CP",$K$15=C$18,MID($K25,4,1)="2",$K$15&lt;&gt;$K$14),VLOOKUP(CONCATENATE(LEFT($K25,2),"L"),$R$63:$T$91,3,FALSE),0)+IF(AND($K25="O3/CP",$K$14=C$18),VLOOKUP("O3",$R$63:$T$91,3,FALSE)+VLOOKUP("CP",$R$63:$T$91,3,FALSE),0)+IF(AND($L25&lt;&gt;"",$L25&lt;&gt;"--",$L25&lt;&gt;"O3/CP",$L$14=C$18),IF(LEFT($L25,1)="P",VLOOKUP(CONCATENATE(LEFT($L25,2),"H"),$R$63:$T$91,3,FALSE),VLOOKUP($L25,$R$63:$T$91,3,FALSE)))+IF(AND($L25&lt;&gt;"",$L25&lt;&gt;"O3/CP",$L$15=C$18,MID($L25,4,1)="2",$L$15&lt;&gt;$L$14),VLOOKUP(CONCATENATE(LEFT($L25,2),"L"),$R$63:$T$91,3,FALSE),0)+IF(AND($L25="O3/CP",$L$14=C$18),VLOOKUP("O3",$R$63:$T$91,3,FALSE)+VLOOKUP("CP",$R$63:$T$91,3,FALSE),0)+IF(AND($M25&lt;&gt;"",$M25&lt;&gt;"--",$M25&lt;&gt;"O3/CP",$M$14=C$18),IF(LEFT($M25,1)="P",VLOOKUP(CONCATENATE(LEFT($M25,2),"H"),$R$63:$T$91,3,FALSE),VLOOKUP($M25,$R$63:$T$91,3,FALSE)))+IF(AND($M25&lt;&gt;"",$M25&lt;&gt;"O3/CP",$M$15=C$18,MID($M25,4,1)="2",$M$15&lt;&gt;$M$14),VLOOKUP(CONCATENATE(LEFT($M25,2),"L"),$R$63:$T$91,3,FALSE),0)+IF(AND($M25="O3/CP",$M$14=C$18),VLOOKUP("O3",$R$63:$T$91,3,FALSE)+VLOOKUP("CP",$R$63:$T$91,3,FALSE),0)+IF(AND($N25&lt;&gt;"",$N25&lt;&gt;"--",$N25&lt;&gt;"O3/CP",$N$14=C$18),IF(LEFT($N25,1)="P",VLOOKUP(CONCATENATE(LEFT($N25,2),"H"),$R$63:$T$91,3,FALSE),VLOOKUP($N25,$R$63:$T$91,3,FALSE)))+IF(AND($N25&lt;&gt;"",$N25&lt;&gt;"O3/CP",$N$15=C$18,MID($N25,4,1)="2",$N$15&lt;&gt;$N$14),VLOOKUP(CONCATENATE(LEFT($N25,2),"L"),$R$63:$T$91,3,FALSE),0)+IF(AND($N25="O3/CP",$N$14=C$18),VLOOKUP("O3",$R$63:$T$91,3,FALSE)+VLOOKUP("CP",$R$63:$T$91,3,FALSE),0)+IF(AND($O25&lt;&gt;"",$O25&lt;&gt;"--",$O25&lt;&gt;"O3/CP",$O$14=C$18),IF(LEFT($O25,1)="P",VLOOKUP(CONCATENATE(LEFT($O25,2),"H"),$R$63:$T$91,3,FALSE),VLOOKUP($O25,$R$63:$T$91,3,FALSE)))+IF(AND($O25&lt;&gt;"",$O25&lt;&gt;"O3/CP",$O$15=C$18,MID($O25,4,1)="2",$O$15&lt;&gt;$O$14),VLOOKUP(CONCATENATE(LEFT($O25,2),"L"),$R$63:$T$91,3,FALSE),0)+IF(AND($O25="O3/CP",$O$14=C$18),VLOOKUP("O3",$R$63:$T$91,3,FALSE)+VLOOKUP("CP",$R$63:$T$91,3,FALSE),0)+IF(AND($P25&lt;&gt;"",$P25&lt;&gt;"--",$P25&lt;&gt;"O3/CP",$P$14=C$18),IF(LEFT($P25,1)="P",VLOOKUP(CONCATENATE(LEFT($P25,2),"H"),$R$63:$T$91,3,FALSE),VLOOKUP($P25,$R$63:$T$91,3,FALSE)))+IF(AND($P25&lt;&gt;"",$P25&lt;&gt;"O3/CP",$P$15=C$18,MID($P25,4,1)="2",$P$15&lt;&gt;$P$14),VLOOKUP(CONCATENATE(LEFT($P25,2),"L"),$R$63:$T$91,3,FALSE),0)+IF(AND($P25="O3/CP",$P$14=C$18),VLOOKUP("O3",$R$63:$T$91,3,FALSE)+VLOOKUP("CP",$R$63:$T$91,3,FALSE),0)+IF(AND($Q25&lt;&gt;"",$Q25&lt;&gt;"--",$Q25&lt;&gt;"O3/CP",$Q$14=C$18),IF(LEFT($Q25,1)="P",VLOOKUP(CONCATENATE(LEFT($Q25,2),"H"),$R$63:$T$91,3,FALSE),VLOOKUP($Q25,$R$63:$T$91,3,FALSE)))+IF(AND($Q25&lt;&gt;"",$Q25&lt;&gt;"O3/CP",$Q$15=C$18,MID($Q25,4,1)="2",$Q$15&lt;&gt;$Q$14),VLOOKUP(CONCATENATE(LEFT($Q25,2),"L"),$R$63:$T$91,3,FALSE),0)+IF(AND($Q25="O3/CP",$Q$14=C$18),VLOOKUP("O3",$R$63:$T$91,3,FALSE)+VLOOKUP("CP",$R$63:$T$91,3,FALSE),0)+IF(AND($R25&lt;&gt;"",$R25&lt;&gt;"--",$R25&lt;&gt;"O3/CP",$R$14=C$18),IF(LEFT($R25,1)="P",VLOOKUP(CONCATENATE(LEFT($R25,2),"H"),$R$63:$T$91,3,FALSE),VLOOKUP($R25,$R$63:$T$91,3,FALSE)))+IF(AND($R25&lt;&gt;"",$R25&lt;&gt;"O3/CP",$R$15=C$18,MID($R25,4,1)="2",$R$15&lt;&gt;$R$14),VLOOKUP(CONCATENATE(LEFT($R25,2),"L"),$R$63:$T$91,3,FALSE),0)+IF(AND($R25="O3/CP",$R$14=C$18),VLOOKUP("O3",$R$63:$T$91,3,FALSE)+VLOOKUP("CP",$R$63:$T$91,3,FALSE),0)+IF(AND($S25&lt;&gt;"",$S25&lt;&gt;"--",$S25&lt;&gt;"O3/CP",$S$14=C$18),IF(LEFT($S25,1)="P",VLOOKUP(CONCATENATE(LEFT($S25,2),"H"),$R$63:$T$91,3,FALSE),VLOOKUP($S25,$R$63:$T$91,3,FALSE)))+IF(AND($S25&lt;&gt;"",$S25&lt;&gt;"O3/CP",$S$15=C$18,MID($S25,4,1)="2",$S$15&lt;&gt;$S$14),VLOOKUP(CONCATENATE(LEFT($S25,2),"L"),$R$63:$T$91,3,FALSE),0)+IF(AND($S25="O3/CP",$S$14=C$18),VLOOKUP("O3",$R$63:$T$91,3,FALSE)+VLOOKUP("CP",$R$63:$T$91,3,FALSE),0)+IF(AND($T25&lt;&gt;"",$T25&lt;&gt;"--",$T25&lt;&gt;"O3/CP",$T$14=C$18),IF(LEFT($T25,1)="P",VLOOKUP(CONCATENATE(LEFT($T25,2),"H"),$R$63:$T$91,3,FALSE),VLOOKUP($T25,$R$63:$T$91,3,FALSE)))+IF(AND($T25&lt;&gt;"",$T25&lt;&gt;"O3/CP",$T$15=C$18,MID($T25,4,1)="2",$T$15&lt;&gt;$T$14),VLOOKUP(CONCATENATE(LEFT($T25,2),"L"),$R$63:$T$91,3,FALSE),0)+IF(AND($T25="O3/CP",$T$14=C$18),VLOOKUP("O3",$R$63:$T$91,3,FALSE)+VLOOKUP("CP",$R$63:$T$91,3,FALSE),0)+IF(AND($U25&lt;&gt;"",$U25&lt;&gt;"--",$U25&lt;&gt;"O3/CP",$U$14=C$18),IF(LEFT($U25,1)="P",VLOOKUP(CONCATENATE(LEFT($U25,2),"H"),$R$63:$T$91,3,FALSE),VLOOKUP($U25,$R$63:$T$91,3,FALSE)))+IF(AND($U25&lt;&gt;"",$U25&lt;&gt;"O3/CP",$U$15=C$18,MID($U25,4,1)="2",$U$15&lt;&gt;$U$14),VLOOKUP(CONCATENATE(LEFT($U25,2),"L"),$R$63:$T$91,3,FALSE),0)+IF(AND($U25="O3/CP",$T$14=C$18),VLOOKUP("O3",$R$63:$T$91,3,FALSE)+VLOOKUP("CP",$R$63:$T$91,3,FALSE),0)+IF(AND($V25&lt;&gt;"",$V25&lt;&gt;"--",$V25&lt;&gt;"O3/CP",$V$14=C$18),IF(LEFT($V25,1)="P",VLOOKUP(CONCATENATE(LEFT($V25,2),"H"),$R$63:$T$91,3,FALSE),VLOOKUP($V25,$R$63:$T$91,3,FALSE)))+IF(AND($V25&lt;&gt;"",$V25&lt;&gt;"O3/CP",$V$15=C$18,MID($V25,4,1)="2",$V$15&lt;&gt;$V$14),VLOOKUP(CONCATENATE(LEFT($V25,2),"L"),$R$63:$T$91,3,FALSE),0)+IF(AND($V25="O3/CP",$V$14=C$18),VLOOKUP("O3",$R$63:$T$91,3,FALSE)+VLOOKUP("CP",$R$63:$T$91,3,FALSE),0)+IF(AND($W25&lt;&gt;"",$W25&lt;&gt;"--",$W25&lt;&gt;"O3/CP",$W$14=C$18),IF(LEFT($W25,1)="P",VLOOKUP(CONCATENATE(LEFT($W25,2),"H"),$R$63:$T$91,3,FALSE),VLOOKUP($W25,$R$63:$T$91,3,FALSE)))+IF(AND($W25&lt;&gt;"",$W25&lt;&gt;"O3/CP",$W$15=C$18,MID($W25,4,1)="2",$W$15&lt;&gt;$W$14),VLOOKUP(CONCATENATE(LEFT($W25,2),"L"),$R$63:$T$91,3,FALSE),0)+IF(AND($W25="O3/CP",$W$14=C$18),VLOOKUP("O3",$R$63:$T$91,3,FALSE)+VLOOKUP("CP",$R$63:$T$91,3,FALSE),0)+IF(AND($X25&lt;&gt;"",$X25&lt;&gt;"--",$X25&lt;&gt;"O3/CP",$X$14=C$18),IF(LEFT($X25,1)="P",VLOOKUP(CONCATENATE(LEFT($X25,2),"H"),$R$63:$T$91,3,FALSE),VLOOKUP($X25,$R$63:$T$91,3,FALSE)))+IF(AND($X25&lt;&gt;"",$X25&lt;&gt;"O3/CP",$X$15=C$18,MID($X25,4,1)="2",$X$15&lt;&gt;$X$14),VLOOKUP(CONCATENATE(LEFT($X25,2),"L"),$R$63:$T$91,3,FALSE),0)+IF(AND($X25="O3/CP",$X$14=C$18),VLOOKUP("O3",$R$63:$T$91,3,FALSE)+VLOOKUP("CP",$R$63:$T$91,3,FALSE),0)+IF(AND($Y25&lt;&gt;"",$Y25&lt;&gt;"--",$Y25&lt;&gt;"O3/CP",$Y$14=C$18),IF(LEFT($Y25,1)="P",VLOOKUP(CONCATENATE(LEFT($Y25,2),"H"),$R$63:$T$91,3,FALSE),VLOOKUP($Y25,$R$63:$T$91,3,FALSE)))+IF(AND($Y25&lt;&gt;"",$Y25&lt;&gt;"O3/CP",$Y$15=C$18,MID($Y25,4,1)="2",$Y$15&lt;&gt;$Y$14),VLOOKUP(CONCATENATE(LEFT($Y25,2),"L"),$R$63:$T$91,3,FALSE),0)+IF(AND($Y25="O3/CP",$Y$14=C$18),VLOOKUP("O3",$R$63:$T$91,3,FALSE)+VLOOKUP("CP",$R$63:$T$91,3,FALSE),0)+IF(AND($K$6="CE",'[3]Supply Attribution'!$G$20=C$18),LEFT($S$90,2),0)+IF(AND($X$86&lt;&gt;"Not Set",$X$87=C$18),$X$86,0)</f>
        <v>14</v>
      </c>
      <c r="D25" s="271">
        <f>IF(AND($K25&lt;&gt;"",$K25&lt;&gt;"--",$K25&lt;&gt;"O3/CP",$K$14=D$18),IF(LEFT($K25,1)="P",VLOOKUP(CONCATENATE(LEFT($K25,2),"H"),$R$63:$T$91,3,FALSE),VLOOKUP($K25,$R$63:$T$91,3,FALSE)))+IF(AND($K25&lt;&gt;"",$K25&lt;&gt;"O3/CP",$K$15=D$18,MID($K25,4,1)="2",$K$15&lt;&gt;$K$14),VLOOKUP(CONCATENATE(LEFT($K25,2),"L"),$R$63:$T$91,3,FALSE),0)+IF(AND($K25="O3/CP",$K$14=D$18),VLOOKUP("O3",$R$63:$T$91,3,FALSE)+VLOOKUP("CP",$R$63:$T$91,3,FALSE),0)+IF(AND($L25&lt;&gt;"",$L25&lt;&gt;"--",$L25&lt;&gt;"O3/CP",$L$14=D$18),IF(LEFT($L25,1)="P",VLOOKUP(CONCATENATE(LEFT($L25,2),"H"),$R$63:$T$91,3,FALSE),VLOOKUP($L25,$R$63:$T$91,3,FALSE)))+IF(AND($L25&lt;&gt;"",$L25&lt;&gt;"O3/CP",$L$15=D$18,MID($L25,4,1)="2",$L$15&lt;&gt;$L$14),VLOOKUP(CONCATENATE(LEFT($L25,2),"L"),$R$63:$T$91,3,FALSE),0)+IF(AND($L25="O3/CP",$L$14=D$18),VLOOKUP("O3",$R$63:$T$91,3,FALSE)+VLOOKUP("CP",$R$63:$T$91,3,FALSE),0)+IF(AND($M25&lt;&gt;"",$M25&lt;&gt;"--",$M25&lt;&gt;"O3/CP",$M$14=D$18),IF(LEFT($M25,1)="P",VLOOKUP(CONCATENATE(LEFT($M25,2),"H"),$R$63:$T$91,3,FALSE),VLOOKUP($M25,$R$63:$T$91,3,FALSE)))+IF(AND($M25&lt;&gt;"",$M25&lt;&gt;"O3/CP",$M$15=D$18,MID($M25,4,1)="2",$M$15&lt;&gt;$M$14),VLOOKUP(CONCATENATE(LEFT($M25,2),"L"),$R$63:$T$91,3,FALSE),0)+IF(AND($M25="O3/CP",$M$14=D$18),VLOOKUP("O3",$R$63:$T$91,3,FALSE)+VLOOKUP("CP",$R$63:$T$91,3,FALSE),0)+IF(AND($N25&lt;&gt;"",$N25&lt;&gt;"--",$N25&lt;&gt;"O3/CP",$N$14=D$18),IF(LEFT($N25,1)="P",VLOOKUP(CONCATENATE(LEFT($N25,2),"H"),$R$63:$T$91,3,FALSE),VLOOKUP($N25,$R$63:$T$91,3,FALSE)))+IF(AND($N25&lt;&gt;"",$N25&lt;&gt;"O3/CP",$N$15=D$18,MID($N25,4,1)="2",$N$15&lt;&gt;$N$14),VLOOKUP(CONCATENATE(LEFT($N25,2),"L"),$R$63:$T$91,3,FALSE),0)+IF(AND($N25="O3/CP",$N$14=D$18),VLOOKUP("O3",$R$63:$T$91,3,FALSE)+VLOOKUP("CP",$R$63:$T$91,3,FALSE),0)+IF(AND($O25&lt;&gt;"",$O25&lt;&gt;"--",$O25&lt;&gt;"O3/CP",$O$14=D$18),IF(LEFT($O25,1)="P",VLOOKUP(CONCATENATE(LEFT($O25,2),"H"),$R$63:$T$91,3,FALSE),VLOOKUP($O25,$R$63:$T$91,3,FALSE)))+IF(AND($O25&lt;&gt;"",$O25&lt;&gt;"O3/CP",$O$15=D$18,MID($O25,4,1)="2",$O$15&lt;&gt;$O$14),VLOOKUP(CONCATENATE(LEFT($O25,2),"L"),$R$63:$T$91,3,FALSE),0)+IF(AND($O25="O3/CP",$O$14=D$18),VLOOKUP("O3",$R$63:$T$91,3,FALSE)+VLOOKUP("CP",$R$63:$T$91,3,FALSE),0)+IF(AND($P25&lt;&gt;"",$P25&lt;&gt;"--",$P25&lt;&gt;"O3/CP",$P$14=D$18),IF(LEFT($P25,1)="P",VLOOKUP(CONCATENATE(LEFT($P25,2),"H"),$R$63:$T$91,3,FALSE),VLOOKUP($P25,$R$63:$T$91,3,FALSE)))+IF(AND($P25&lt;&gt;"",$P25&lt;&gt;"O3/CP",$P$15=D$18,MID($P25,4,1)="2",$P$15&lt;&gt;$P$14),VLOOKUP(CONCATENATE(LEFT($P25,2),"L"),$R$63:$T$91,3,FALSE),0)+IF(AND($P25="O3/CP",$P$14=D$18),VLOOKUP("O3",$R$63:$T$91,3,FALSE)+VLOOKUP("CP",$R$63:$T$91,3,FALSE),0)+IF(AND($Q25&lt;&gt;"",$Q25&lt;&gt;"--",$Q25&lt;&gt;"O3/CP",$Q$14=D$18),IF(LEFT($Q25,1)="P",VLOOKUP(CONCATENATE(LEFT($Q25,2),"H"),$R$63:$T$91,3,FALSE),VLOOKUP($Q25,$R$63:$T$91,3,FALSE)))+IF(AND($Q25&lt;&gt;"",$Q25&lt;&gt;"O3/CP",$Q$15=D$18,MID($Q25,4,1)="2",$Q$15&lt;&gt;$Q$14),VLOOKUP(CONCATENATE(LEFT($Q25,2),"L"),$R$63:$T$91,3,FALSE),0)+IF(AND($Q25="O3/CP",$Q$14=D$18),VLOOKUP("O3",$R$63:$T$91,3,FALSE)+VLOOKUP("CP",$R$63:$T$91,3,FALSE),0)+IF(AND($R25&lt;&gt;"",$R25&lt;&gt;"--",$R25&lt;&gt;"O3/CP",$R$14=D$18),IF(LEFT($R25,1)="P",VLOOKUP(CONCATENATE(LEFT($R25,2),"H"),$R$63:$T$91,3,FALSE),VLOOKUP($R25,$R$63:$T$91,3,FALSE)))+IF(AND($R25&lt;&gt;"",$R25&lt;&gt;"O3/CP",$R$15=D$18,MID($R25,4,1)="2",$R$15&lt;&gt;$R$14),VLOOKUP(CONCATENATE(LEFT($R25,2),"L"),$R$63:$T$91,3,FALSE),0)+IF(AND($R25="O3/CP",$R$14=D$18),VLOOKUP("O3",$R$63:$T$91,3,FALSE)+VLOOKUP("CP",$R$63:$T$91,3,FALSE),0)+IF(AND($S25&lt;&gt;"",$S25&lt;&gt;"--",$S25&lt;&gt;"O3/CP",$S$14=D$18),IF(LEFT($S25,1)="P",VLOOKUP(CONCATENATE(LEFT($S25,2),"H"),$R$63:$T$91,3,FALSE),VLOOKUP($S25,$R$63:$T$91,3,FALSE)))+IF(AND($S25&lt;&gt;"",$S25&lt;&gt;"O3/CP",$S$15=D$18,MID($S25,4,1)="2",$S$15&lt;&gt;$S$14),VLOOKUP(CONCATENATE(LEFT($S25,2),"L"),$R$63:$T$91,3,FALSE),0)+IF(AND($S25="O3/CP",$S$14=D$18),VLOOKUP("O3",$R$63:$T$91,3,FALSE)+VLOOKUP("CP",$R$63:$T$91,3,FALSE),0)+IF(AND($T25&lt;&gt;"",$T25&lt;&gt;"--",$T25&lt;&gt;"O3/CP",$T$14=D$18),IF(LEFT($T25,1)="P",VLOOKUP(CONCATENATE(LEFT($T25,2),"H"),$R$63:$T$91,3,FALSE),VLOOKUP($T25,$R$63:$T$91,3,FALSE)))+IF(AND($T25&lt;&gt;"",$T25&lt;&gt;"O3/CP",$T$15=D$18,MID($T25,4,1)="2",$T$15&lt;&gt;$T$14),VLOOKUP(CONCATENATE(LEFT($T25,2),"L"),$R$63:$T$91,3,FALSE),0)+IF(AND($T25="O3/CP",$T$14=D$18),VLOOKUP("O3",$R$63:$T$91,3,FALSE)+VLOOKUP("CP",$R$63:$T$91,3,FALSE),0)+IF(AND($U25&lt;&gt;"",$U25&lt;&gt;"--",$U25&lt;&gt;"O3/CP",$U$14=D$18),IF(LEFT($U25,1)="P",VLOOKUP(CONCATENATE(LEFT($U25,2),"H"),$R$63:$T$91,3,FALSE),VLOOKUP($U25,$R$63:$T$91,3,FALSE)))+IF(AND($U25&lt;&gt;"",$U25&lt;&gt;"O3/CP",$U$15=D$18,MID($U25,4,1)="2",$U$15&lt;&gt;$U$14),VLOOKUP(CONCATENATE(LEFT($U25,2),"L"),$R$63:$T$91,3,FALSE),0)+IF(AND($U25="O3/CP",$T$14=D$18),VLOOKUP("O3",$R$63:$T$91,3,FALSE)+VLOOKUP("CP",$R$63:$T$91,3,FALSE),0)+IF(AND($V25&lt;&gt;"",$V25&lt;&gt;"--",$V25&lt;&gt;"O3/CP",$V$14=D$18),IF(LEFT($V25,1)="P",VLOOKUP(CONCATENATE(LEFT($V25,2),"H"),$R$63:$T$91,3,FALSE),VLOOKUP($V25,$R$63:$T$91,3,FALSE)))+IF(AND($V25&lt;&gt;"",$V25&lt;&gt;"O3/CP",$V$15=D$18,MID($V25,4,1)="2",$V$15&lt;&gt;$V$14),VLOOKUP(CONCATENATE(LEFT($V25,2),"L"),$R$63:$T$91,3,FALSE),0)+IF(AND($V25="O3/CP",$V$14=D$18),VLOOKUP("O3",$R$63:$T$91,3,FALSE)+VLOOKUP("CP",$R$63:$T$91,3,FALSE),0)+IF(AND($W25&lt;&gt;"",$W25&lt;&gt;"--",$W25&lt;&gt;"O3/CP",$W$14=D$18),IF(LEFT($W25,1)="P",VLOOKUP(CONCATENATE(LEFT($W25,2),"H"),$R$63:$T$91,3,FALSE),VLOOKUP($W25,$R$63:$T$91,3,FALSE)))+IF(AND($W25&lt;&gt;"",$W25&lt;&gt;"O3/CP",$W$15=D$18,MID($W25,4,1)="2",$W$15&lt;&gt;$W$14),VLOOKUP(CONCATENATE(LEFT($W25,2),"L"),$R$63:$T$91,3,FALSE),0)+IF(AND($W25="O3/CP",$W$14=D$18),VLOOKUP("O3",$R$63:$T$91,3,FALSE)+VLOOKUP("CP",$R$63:$T$91,3,FALSE),0)+IF(AND($X25&lt;&gt;"",$X25&lt;&gt;"--",$X25&lt;&gt;"O3/CP",$X$14=D$18),IF(LEFT($X25,1)="P",VLOOKUP(CONCATENATE(LEFT($X25,2),"H"),$R$63:$T$91,3,FALSE),VLOOKUP($X25,$R$63:$T$91,3,FALSE)))+IF(AND($X25&lt;&gt;"",$X25&lt;&gt;"O3/CP",$X$15=D$18,MID($X25,4,1)="2",$X$15&lt;&gt;$X$14),VLOOKUP(CONCATENATE(LEFT($X25,2),"L"),$R$63:$T$91,3,FALSE),0)+IF(AND($X25="O3/CP",$X$14=D$18),VLOOKUP("O3",$R$63:$T$91,3,FALSE)+VLOOKUP("CP",$R$63:$T$91,3,FALSE),0)+IF(AND($Y25&lt;&gt;"",$Y25&lt;&gt;"--",$Y25&lt;&gt;"O3/CP",$Y$14=D$18),IF(LEFT($Y25,1)="P",VLOOKUP(CONCATENATE(LEFT($Y25,2),"H"),$R$63:$T$91,3,FALSE),VLOOKUP($Y25,$R$63:$T$91,3,FALSE)))+IF(AND($Y25&lt;&gt;"",$Y25&lt;&gt;"O3/CP",$Y$15=D$18,MID($Y25,4,1)="2",$Y$15&lt;&gt;$Y$14),VLOOKUP(CONCATENATE(LEFT($Y25,2),"L"),$R$63:$T$91,3,FALSE),0)+IF(AND($Y25="O3/CP",$Y$14=D$18),VLOOKUP("O3",$R$63:$T$91,3,FALSE)+VLOOKUP("CP",$R$63:$T$91,3,FALSE),0)+IF(AND($K$6="CE",'[3]Supply Attribution'!$G$20=D$18),LEFT($S$90,2),0)+IF(AND($X$86&lt;&gt;"Not Set",$X$87=D$18),$X$86,0)</f>
        <v>0</v>
      </c>
      <c r="E25" s="271">
        <f>IF(AND($K25&lt;&gt;"",$K25&lt;&gt;"--",$K25&lt;&gt;"O3/CP",$K$14=E$18),IF(LEFT($K25,1)="P",VLOOKUP(CONCATENATE(LEFT($K25,2),"H"),$R$63:$T$91,3,FALSE),VLOOKUP($K25,$R$63:$T$91,3,FALSE)))+IF(AND($K25&lt;&gt;"",$K25&lt;&gt;"O3/CP",$K$15=E$18,MID($K25,4,1)="2",$K$15&lt;&gt;$K$14),VLOOKUP(CONCATENATE(LEFT($K25,2),"L"),$R$63:$T$91,3,FALSE),0)+IF(AND($K25="O3/CP",$K$14=E$18),VLOOKUP("O3",$R$63:$T$91,3,FALSE)+VLOOKUP("CP",$R$63:$T$91,3,FALSE),0)+IF(AND($L25&lt;&gt;"",$L25&lt;&gt;"--",$L25&lt;&gt;"O3/CP",$L$14=E$18),IF(LEFT($L25,1)="P",VLOOKUP(CONCATENATE(LEFT($L25,2),"H"),$R$63:$T$91,3,FALSE),VLOOKUP($L25,$R$63:$T$91,3,FALSE)))+IF(AND($L25&lt;&gt;"",$L25&lt;&gt;"O3/CP",$L$15=E$18,MID($L25,4,1)="2",$L$15&lt;&gt;$L$14),VLOOKUP(CONCATENATE(LEFT($L25,2),"L"),$R$63:$T$91,3,FALSE),0)+IF(AND($L25="O3/CP",$L$14=E$18),VLOOKUP("O3",$R$63:$T$91,3,FALSE)+VLOOKUP("CP",$R$63:$T$91,3,FALSE),0)+IF(AND($M25&lt;&gt;"",$M25&lt;&gt;"--",$M25&lt;&gt;"O3/CP",$M$14=E$18),IF(LEFT($M25,1)="P",VLOOKUP(CONCATENATE(LEFT($M25,2),"H"),$R$63:$T$91,3,FALSE),VLOOKUP($M25,$R$63:$T$91,3,FALSE)))+IF(AND($M25&lt;&gt;"",$M25&lt;&gt;"O3/CP",$M$15=E$18,MID($M25,4,1)="2",$M$15&lt;&gt;$M$14),VLOOKUP(CONCATENATE(LEFT($M25,2),"L"),$R$63:$T$91,3,FALSE),0)+IF(AND($M25="O3/CP",$M$14=E$18),VLOOKUP("O3",$R$63:$T$91,3,FALSE)+VLOOKUP("CP",$R$63:$T$91,3,FALSE),0)+IF(AND($N25&lt;&gt;"",$N25&lt;&gt;"--",$N25&lt;&gt;"O3/CP",$N$14=E$18),IF(LEFT($N25,1)="P",VLOOKUP(CONCATENATE(LEFT($N25,2),"H"),$R$63:$T$91,3,FALSE),VLOOKUP($N25,$R$63:$T$91,3,FALSE)))+IF(AND($N25&lt;&gt;"",$N25&lt;&gt;"O3/CP",$N$15=E$18,MID($N25,4,1)="2",$N$15&lt;&gt;$N$14),VLOOKUP(CONCATENATE(LEFT($N25,2),"L"),$R$63:$T$91,3,FALSE),0)+IF(AND($N25="O3/CP",$N$14=E$18),VLOOKUP("O3",$R$63:$T$91,3,FALSE)+VLOOKUP("CP",$R$63:$T$91,3,FALSE),0)+IF(AND($O25&lt;&gt;"",$O25&lt;&gt;"--",$O25&lt;&gt;"O3/CP",$O$14=E$18),IF(LEFT($O25,1)="P",VLOOKUP(CONCATENATE(LEFT($O25,2),"H"),$R$63:$T$91,3,FALSE),VLOOKUP($O25,$R$63:$T$91,3,FALSE)))+IF(AND($O25&lt;&gt;"",$O25&lt;&gt;"O3/CP",$O$15=E$18,MID($O25,4,1)="2",$O$15&lt;&gt;$O$14),VLOOKUP(CONCATENATE(LEFT($O25,2),"L"),$R$63:$T$91,3,FALSE),0)+IF(AND($O25="O3/CP",$O$14=E$18),VLOOKUP("O3",$R$63:$T$91,3,FALSE)+VLOOKUP("CP",$R$63:$T$91,3,FALSE),0)+IF(AND($P25&lt;&gt;"",$P25&lt;&gt;"--",$P25&lt;&gt;"O3/CP",$P$14=E$18),IF(LEFT($P25,1)="P",VLOOKUP(CONCATENATE(LEFT($P25,2),"H"),$R$63:$T$91,3,FALSE),VLOOKUP($P25,$R$63:$T$91,3,FALSE)))+IF(AND($P25&lt;&gt;"",$P25&lt;&gt;"O3/CP",$P$15=E$18,MID($P25,4,1)="2",$P$15&lt;&gt;$P$14),VLOOKUP(CONCATENATE(LEFT($P25,2),"L"),$R$63:$T$91,3,FALSE),0)+IF(AND($P25="O3/CP",$P$14=E$18),VLOOKUP("O3",$R$63:$T$91,3,FALSE)+VLOOKUP("CP",$R$63:$T$91,3,FALSE),0)+IF(AND($Q25&lt;&gt;"",$Q25&lt;&gt;"--",$Q25&lt;&gt;"O3/CP",$Q$14=E$18),IF(LEFT($Q25,1)="P",VLOOKUP(CONCATENATE(LEFT($Q25,2),"H"),$R$63:$T$91,3,FALSE),VLOOKUP($Q25,$R$63:$T$91,3,FALSE)))+IF(AND($Q25&lt;&gt;"",$Q25&lt;&gt;"O3/CP",$Q$15=E$18,MID($Q25,4,1)="2",$Q$15&lt;&gt;$Q$14),VLOOKUP(CONCATENATE(LEFT($Q25,2),"L"),$R$63:$T$91,3,FALSE),0)+IF(AND($Q25="O3/CP",$Q$14=E$18),VLOOKUP("O3",$R$63:$T$91,3,FALSE)+VLOOKUP("CP",$R$63:$T$91,3,FALSE),0)+IF(AND($R25&lt;&gt;"",$R25&lt;&gt;"--",$R25&lt;&gt;"O3/CP",$R$14=E$18),IF(LEFT($R25,1)="P",VLOOKUP(CONCATENATE(LEFT($R25,2),"H"),$R$63:$T$91,3,FALSE),VLOOKUP($R25,$R$63:$T$91,3,FALSE)))+IF(AND($R25&lt;&gt;"",$R25&lt;&gt;"O3/CP",$R$15=E$18,MID($R25,4,1)="2",$R$15&lt;&gt;$R$14),VLOOKUP(CONCATENATE(LEFT($R25,2),"L"),$R$63:$T$91,3,FALSE),0)+IF(AND($R25="O3/CP",$R$14=E$18),VLOOKUP("O3",$R$63:$T$91,3,FALSE)+VLOOKUP("CP",$R$63:$T$91,3,FALSE),0)+IF(AND($S25&lt;&gt;"",$S25&lt;&gt;"--",$S25&lt;&gt;"O3/CP",$S$14=E$18),IF(LEFT($S25,1)="P",VLOOKUP(CONCATENATE(LEFT($S25,2),"H"),$R$63:$T$91,3,FALSE),VLOOKUP($S25,$R$63:$T$91,3,FALSE)))+IF(AND($S25&lt;&gt;"",$S25&lt;&gt;"O3/CP",$S$15=E$18,MID($S25,4,1)="2",$S$15&lt;&gt;$S$14),VLOOKUP(CONCATENATE(LEFT($S25,2),"L"),$R$63:$T$91,3,FALSE),0)+IF(AND($S25="O3/CP",$S$14=E$18),VLOOKUP("O3",$R$63:$T$91,3,FALSE)+VLOOKUP("CP",$R$63:$T$91,3,FALSE),0)+IF(AND($T25&lt;&gt;"",$T25&lt;&gt;"--",$T25&lt;&gt;"O3/CP",$T$14=E$18),IF(LEFT($T25,1)="P",VLOOKUP(CONCATENATE(LEFT($T25,2),"H"),$R$63:$T$91,3,FALSE),VLOOKUP($T25,$R$63:$T$91,3,FALSE)))+IF(AND($T25&lt;&gt;"",$T25&lt;&gt;"O3/CP",$T$15=E$18,MID($T25,4,1)="2",$T$15&lt;&gt;$T$14),VLOOKUP(CONCATENATE(LEFT($T25,2),"L"),$R$63:$T$91,3,FALSE),0)+IF(AND($T25="O3/CP",$T$14=E$18),VLOOKUP("O3",$R$63:$T$91,3,FALSE)+VLOOKUP("CP",$R$63:$T$91,3,FALSE),0)+IF(AND($U25&lt;&gt;"",$U25&lt;&gt;"--",$U25&lt;&gt;"O3/CP",$U$14=E$18),IF(LEFT($U25,1)="P",VLOOKUP(CONCATENATE(LEFT($U25,2),"H"),$R$63:$T$91,3,FALSE),VLOOKUP($U25,$R$63:$T$91,3,FALSE)))+IF(AND($U25&lt;&gt;"",$U25&lt;&gt;"O3/CP",$U$15=E$18,MID($U25,4,1)="2",$U$15&lt;&gt;$U$14),VLOOKUP(CONCATENATE(LEFT($U25,2),"L"),$R$63:$T$91,3,FALSE),0)+IF(AND($U25="O3/CP",$T$14=E$18),VLOOKUP("O3",$R$63:$T$91,3,FALSE)+VLOOKUP("CP",$R$63:$T$91,3,FALSE),0)+IF(AND($V25&lt;&gt;"",$V25&lt;&gt;"--",$V25&lt;&gt;"O3/CP",$V$14=E$18),IF(LEFT($V25,1)="P",VLOOKUP(CONCATENATE(LEFT($V25,2),"H"),$R$63:$T$91,3,FALSE),VLOOKUP($V25,$R$63:$T$91,3,FALSE)))+IF(AND($V25&lt;&gt;"",$V25&lt;&gt;"O3/CP",$V$15=E$18,MID($V25,4,1)="2",$V$15&lt;&gt;$V$14),VLOOKUP(CONCATENATE(LEFT($V25,2),"L"),$R$63:$T$91,3,FALSE),0)+IF(AND($V25="O3/CP",$V$14=E$18),VLOOKUP("O3",$R$63:$T$91,3,FALSE)+VLOOKUP("CP",$R$63:$T$91,3,FALSE),0)+IF(AND($W25&lt;&gt;"",$W25&lt;&gt;"--",$W25&lt;&gt;"O3/CP",$W$14=E$18),IF(LEFT($W25,1)="P",VLOOKUP(CONCATENATE(LEFT($W25,2),"H"),$R$63:$T$91,3,FALSE),VLOOKUP($W25,$R$63:$T$91,3,FALSE)))+IF(AND($W25&lt;&gt;"",$W25&lt;&gt;"O3/CP",$W$15=E$18,MID($W25,4,1)="2",$W$15&lt;&gt;$W$14),VLOOKUP(CONCATENATE(LEFT($W25,2),"L"),$R$63:$T$91,3,FALSE),0)+IF(AND($W25="O3/CP",$W$14=E$18),VLOOKUP("O3",$R$63:$T$91,3,FALSE)+VLOOKUP("CP",$R$63:$T$91,3,FALSE),0)+IF(AND($X25&lt;&gt;"",$X25&lt;&gt;"--",$X25&lt;&gt;"O3/CP",$X$14=E$18),IF(LEFT($X25,1)="P",VLOOKUP(CONCATENATE(LEFT($X25,2),"H"),$R$63:$T$91,3,FALSE),VLOOKUP($X25,$R$63:$T$91,3,FALSE)))+IF(AND($X25&lt;&gt;"",$X25&lt;&gt;"O3/CP",$X$15=E$18,MID($X25,4,1)="2",$X$15&lt;&gt;$X$14),VLOOKUP(CONCATENATE(LEFT($X25,2),"L"),$R$63:$T$91,3,FALSE),0)+IF(AND($X25="O3/CP",$X$14=E$18),VLOOKUP("O3",$R$63:$T$91,3,FALSE)+VLOOKUP("CP",$R$63:$T$91,3,FALSE),0)+IF(AND($Y25&lt;&gt;"",$Y25&lt;&gt;"--",$Y25&lt;&gt;"O3/CP",$Y$14=E$18),IF(LEFT($Y25,1)="P",VLOOKUP(CONCATENATE(LEFT($Y25,2),"H"),$R$63:$T$91,3,FALSE),VLOOKUP($Y25,$R$63:$T$91,3,FALSE)))+IF(AND($Y25&lt;&gt;"",$Y25&lt;&gt;"O3/CP",$Y$15=E$18,MID($Y25,4,1)="2",$Y$15&lt;&gt;$Y$14),VLOOKUP(CONCATENATE(LEFT($Y25,2),"L"),$R$63:$T$91,3,FALSE),0)+IF(AND($Y25="O3/CP",$Y$14=E$18),VLOOKUP("O3",$R$63:$T$91,3,FALSE)+VLOOKUP("CP",$R$63:$T$91,3,FALSE),0)+IF(AND($K$6="CE",'[3]Supply Attribution'!$G$20=E$18),LEFT($S$90,2),0)+IF(AND($X$86&lt;&gt;"Not Set",$X$87=E$18),$X$86,0)</f>
        <v>0</v>
      </c>
      <c r="F25" s="272">
        <f>IF(AND($K25&lt;&gt;"",$K25&lt;&gt;"--",$K25&lt;&gt;"O3/CP",$K$14=F$18),IF(LEFT($K25,1)="P",VLOOKUP(CONCATENATE(LEFT($K25,2),"H"),$R$63:$T$91,3,FALSE),VLOOKUP($K25,$R$63:$T$91,3,FALSE)))+IF(AND($K25&lt;&gt;"",$K25&lt;&gt;"O3/CP",$K$15=F$18,MID($K25,4,1)="2",$K$15&lt;&gt;$K$14),VLOOKUP(CONCATENATE(LEFT($K25,2),"L"),$R$63:$T$91,3,FALSE),0)+IF(AND($K25="O3/CP",$K$14=F$18),VLOOKUP("O3",$R$63:$T$91,3,FALSE)+VLOOKUP("CP",$R$63:$T$91,3,FALSE),0)+IF(AND($L25&lt;&gt;"",$L25&lt;&gt;"--",$L25&lt;&gt;"O3/CP",$L$14=F$18),IF(LEFT($L25,1)="P",VLOOKUP(CONCATENATE(LEFT($L25,2),"H"),$R$63:$T$91,3,FALSE),VLOOKUP($L25,$R$63:$T$91,3,FALSE)))+IF(AND($L25&lt;&gt;"",$L25&lt;&gt;"O3/CP",$L$15=F$18,MID($L25,4,1)="2",$L$15&lt;&gt;$L$14),VLOOKUP(CONCATENATE(LEFT($L25,2),"L"),$R$63:$T$91,3,FALSE),0)+IF(AND($L25="O3/CP",$L$14=F$18),VLOOKUP("O3",$R$63:$T$91,3,FALSE)+VLOOKUP("CP",$R$63:$T$91,3,FALSE),0)+IF(AND($M25&lt;&gt;"",$M25&lt;&gt;"--",$M25&lt;&gt;"O3/CP",$M$14=F$18),IF(LEFT($M25,1)="P",VLOOKUP(CONCATENATE(LEFT($M25,2),"H"),$R$63:$T$91,3,FALSE),VLOOKUP($M25,$R$63:$T$91,3,FALSE)))+IF(AND($M25&lt;&gt;"",$M25&lt;&gt;"O3/CP",$M$15=F$18,MID($M25,4,1)="2",$M$15&lt;&gt;$M$14),VLOOKUP(CONCATENATE(LEFT($M25,2),"L"),$R$63:$T$91,3,FALSE),0)+IF(AND($M25="O3/CP",$M$14=F$18),VLOOKUP("O3",$R$63:$T$91,3,FALSE)+VLOOKUP("CP",$R$63:$T$91,3,FALSE),0)+IF(AND($N25&lt;&gt;"",$N25&lt;&gt;"--",$N25&lt;&gt;"O3/CP",$N$14=F$18),IF(LEFT($N25,1)="P",VLOOKUP(CONCATENATE(LEFT($N25,2),"H"),$R$63:$T$91,3,FALSE),VLOOKUP($N25,$R$63:$T$91,3,FALSE)))+IF(AND($N25&lt;&gt;"",$N25&lt;&gt;"O3/CP",$N$15=F$18,MID($N25,4,1)="2",$N$15&lt;&gt;$N$14),VLOOKUP(CONCATENATE(LEFT($N25,2),"L"),$R$63:$T$91,3,FALSE),0)+IF(AND($N25="O3/CP",$N$14=F$18),VLOOKUP("O3",$R$63:$T$91,3,FALSE)+VLOOKUP("CP",$R$63:$T$91,3,FALSE),0)+IF(AND($O25&lt;&gt;"",$O25&lt;&gt;"--",$O25&lt;&gt;"O3/CP",$O$14=F$18),IF(LEFT($O25,1)="P",VLOOKUP(CONCATENATE(LEFT($O25,2),"H"),$R$63:$T$91,3,FALSE),VLOOKUP($O25,$R$63:$T$91,3,FALSE)))+IF(AND($O25&lt;&gt;"",$O25&lt;&gt;"O3/CP",$O$15=F$18,MID($O25,4,1)="2",$O$15&lt;&gt;$O$14),VLOOKUP(CONCATENATE(LEFT($O25,2),"L"),$R$63:$T$91,3,FALSE),0)+IF(AND($O25="O3/CP",$O$14=F$18),VLOOKUP("O3",$R$63:$T$91,3,FALSE)+VLOOKUP("CP",$R$63:$T$91,3,FALSE),0)+IF(AND($P25&lt;&gt;"",$P25&lt;&gt;"--",$P25&lt;&gt;"O3/CP",$P$14=F$18),IF(LEFT($P25,1)="P",VLOOKUP(CONCATENATE(LEFT($P25,2),"H"),$R$63:$T$91,3,FALSE),VLOOKUP($P25,$R$63:$T$91,3,FALSE)))+IF(AND($P25&lt;&gt;"",$P25&lt;&gt;"O3/CP",$P$15=F$18,MID($P25,4,1)="2",$P$15&lt;&gt;$P$14),VLOOKUP(CONCATENATE(LEFT($P25,2),"L"),$R$63:$T$91,3,FALSE),0)+IF(AND($P25="O3/CP",$P$14=F$18),VLOOKUP("O3",$R$63:$T$91,3,FALSE)+VLOOKUP("CP",$R$63:$T$91,3,FALSE),0)+IF(AND($Q25&lt;&gt;"",$Q25&lt;&gt;"--",$Q25&lt;&gt;"O3/CP",$Q$14=F$18),IF(LEFT($Q25,1)="P",VLOOKUP(CONCATENATE(LEFT($Q25,2),"H"),$R$63:$T$91,3,FALSE),VLOOKUP($Q25,$R$63:$T$91,3,FALSE)))+IF(AND($Q25&lt;&gt;"",$Q25&lt;&gt;"O3/CP",$Q$15=F$18,MID($Q25,4,1)="2",$Q$15&lt;&gt;$Q$14),VLOOKUP(CONCATENATE(LEFT($Q25,2),"L"),$R$63:$T$91,3,FALSE),0)+IF(AND($Q25="O3/CP",$Q$14=F$18),VLOOKUP("O3",$R$63:$T$91,3,FALSE)+VLOOKUP("CP",$R$63:$T$91,3,FALSE),0)+IF(AND($R25&lt;&gt;"",$R25&lt;&gt;"--",$R25&lt;&gt;"O3/CP",$R$14=F$18),IF(LEFT($R25,1)="P",VLOOKUP(CONCATENATE(LEFT($R25,2),"H"),$R$63:$T$91,3,FALSE),VLOOKUP($R25,$R$63:$T$91,3,FALSE)))+IF(AND($R25&lt;&gt;"",$R25&lt;&gt;"O3/CP",$R$15=F$18,MID($R25,4,1)="2",$R$15&lt;&gt;$R$14),VLOOKUP(CONCATENATE(LEFT($R25,2),"L"),$R$63:$T$91,3,FALSE),0)+IF(AND($R25="O3/CP",$R$14=F$18),VLOOKUP("O3",$R$63:$T$91,3,FALSE)+VLOOKUP("CP",$R$63:$T$91,3,FALSE),0)+IF(AND($S25&lt;&gt;"",$S25&lt;&gt;"--",$S25&lt;&gt;"O3/CP",$S$14=F$18),IF(LEFT($S25,1)="P",VLOOKUP(CONCATENATE(LEFT($S25,2),"H"),$R$63:$T$91,3,FALSE),VLOOKUP($S25,$R$63:$T$91,3,FALSE)))+IF(AND($S25&lt;&gt;"",$S25&lt;&gt;"O3/CP",$S$15=F$18,MID($S25,4,1)="2",$S$15&lt;&gt;$S$14),VLOOKUP(CONCATENATE(LEFT($S25,2),"L"),$R$63:$T$91,3,FALSE),0)+IF(AND($S25="O3/CP",$S$14=F$18),VLOOKUP("O3",$R$63:$T$91,3,FALSE)+VLOOKUP("CP",$R$63:$T$91,3,FALSE),0)+IF(AND($T25&lt;&gt;"",$T25&lt;&gt;"--",$T25&lt;&gt;"O3/CP",$T$14=F$18),IF(LEFT($T25,1)="P",VLOOKUP(CONCATENATE(LEFT($T25,2),"H"),$R$63:$T$91,3,FALSE),VLOOKUP($T25,$R$63:$T$91,3,FALSE)))+IF(AND($T25&lt;&gt;"",$T25&lt;&gt;"O3/CP",$T$15=F$18,MID($T25,4,1)="2",$T$15&lt;&gt;$T$14),VLOOKUP(CONCATENATE(LEFT($T25,2),"L"),$R$63:$T$91,3,FALSE),0)+IF(AND($T25="O3/CP",$T$14=F$18),VLOOKUP("O3",$R$63:$T$91,3,FALSE)+VLOOKUP("CP",$R$63:$T$91,3,FALSE),0)+IF(AND($U25&lt;&gt;"",$U25&lt;&gt;"--",$U25&lt;&gt;"O3/CP",$U$14=F$18),IF(LEFT($U25,1)="P",VLOOKUP(CONCATENATE(LEFT($U25,2),"H"),$R$63:$T$91,3,FALSE),VLOOKUP($U25,$R$63:$T$91,3,FALSE)))+IF(AND($U25&lt;&gt;"",$U25&lt;&gt;"O3/CP",$U$15=F$18,MID($U25,4,1)="2",$U$15&lt;&gt;$U$14),VLOOKUP(CONCATENATE(LEFT($U25,2),"L"),$R$63:$T$91,3,FALSE),0)+IF(AND($U25="O3/CP",$T$14=F$18),VLOOKUP("O3",$R$63:$T$91,3,FALSE)+VLOOKUP("CP",$R$63:$T$91,3,FALSE),0)+IF(AND($V25&lt;&gt;"",$V25&lt;&gt;"--",$V25&lt;&gt;"O3/CP",$V$14=F$18),IF(LEFT($V25,1)="P",VLOOKUP(CONCATENATE(LEFT($V25,2),"H"),$R$63:$T$91,3,FALSE),VLOOKUP($V25,$R$63:$T$91,3,FALSE)))+IF(AND($V25&lt;&gt;"",$V25&lt;&gt;"O3/CP",$V$15=F$18,MID($V25,4,1)="2",$V$15&lt;&gt;$V$14),VLOOKUP(CONCATENATE(LEFT($V25,2),"L"),$R$63:$T$91,3,FALSE),0)+IF(AND($V25="O3/CP",$V$14=F$18),VLOOKUP("O3",$R$63:$T$91,3,FALSE)+VLOOKUP("CP",$R$63:$T$91,3,FALSE),0)+IF(AND($W25&lt;&gt;"",$W25&lt;&gt;"--",$W25&lt;&gt;"O3/CP",$W$14=F$18),IF(LEFT($W25,1)="P",VLOOKUP(CONCATENATE(LEFT($W25,2),"H"),$R$63:$T$91,3,FALSE),VLOOKUP($W25,$R$63:$T$91,3,FALSE)))+IF(AND($W25&lt;&gt;"",$W25&lt;&gt;"O3/CP",$W$15=F$18,MID($W25,4,1)="2",$W$15&lt;&gt;$W$14),VLOOKUP(CONCATENATE(LEFT($W25,2),"L"),$R$63:$T$91,3,FALSE),0)+IF(AND($W25="O3/CP",$W$14=F$18),VLOOKUP("O3",$R$63:$T$91,3,FALSE)+VLOOKUP("CP",$R$63:$T$91,3,FALSE),0)+IF(AND($X25&lt;&gt;"",$X25&lt;&gt;"--",$X25&lt;&gt;"O3/CP",$X$14=F$18),IF(LEFT($X25,1)="P",VLOOKUP(CONCATENATE(LEFT($X25,2),"H"),$R$63:$T$91,3,FALSE),VLOOKUP($X25,$R$63:$T$91,3,FALSE)))+IF(AND($X25&lt;&gt;"",$X25&lt;&gt;"O3/CP",$X$15=F$18,MID($X25,4,1)="2",$X$15&lt;&gt;$X$14),VLOOKUP(CONCATENATE(LEFT($X25,2),"L"),$R$63:$T$91,3,FALSE),0)+IF(AND($X25="O3/CP",$X$14=F$18),VLOOKUP("O3",$R$63:$T$91,3,FALSE)+VLOOKUP("CP",$R$63:$T$91,3,FALSE),0)+IF(AND($Y25&lt;&gt;"",$Y25&lt;&gt;"--",$Y25&lt;&gt;"O3/CP",$Y$14=F$18),IF(LEFT($Y25,1)="P",VLOOKUP(CONCATENATE(LEFT($Y25,2),"H"),$R$63:$T$91,3,FALSE),VLOOKUP($Y25,$R$63:$T$91,3,FALSE)))+IF(AND($Y25&lt;&gt;"",$Y25&lt;&gt;"O3/CP",$Y$15=F$18,MID($Y25,4,1)="2",$Y$15&lt;&gt;$Y$14),VLOOKUP(CONCATENATE(LEFT($Y25,2),"L"),$R$63:$T$91,3,FALSE),0)+IF(AND($Y25="O3/CP",$Y$14=F$18),VLOOKUP("O3",$R$63:$T$91,3,FALSE)+VLOOKUP("CP",$R$63:$T$91,3,FALSE),0)+IF(AND($K$6="CE",'[3]Supply Attribution'!$G$20=F$18),LEFT($S$90,2),0)+IF(AND($X$86&lt;&gt;"Not Set",$X$87=F$18),$X$86,0)</f>
        <v>0</v>
      </c>
      <c r="G25" s="271">
        <f>IF(AND($K$6="CE",$T$59="1 Phase"),SUM(A25:F25)-IF(AND($K$14&lt;&gt;$K$15,RIGHT($K25,3)="2SP"),VLOOKUP(CONCATENATE(LEFT($K25,2),"L"),$R$63:$T$90,3,FALSE),0)-IF(AND($L$14&lt;&gt;$L$15,RIGHT($L25,3)="2SP"),VLOOKUP(CONCATENATE(LEFT($L25,2),"L"),$R$63:$T$90,3,FALSE),0)-IF(AND($M$14&lt;&gt;$M$15,RIGHT($M25,3)="2SP"),VLOOKUP(CONCATENATE(LEFT($M25,2),"L"),$R$63:$T$90,3,FALSE),0)-IF(AND($N$14&lt;&gt;$N$15,RIGHT($N25,3)="2SP"),VLOOKUP(CONCATENATE(LEFT($N25,2),"L"),$R$63:$T$90,3,FALSE),0)-IF(AND($O$14&lt;&gt;$O$15,RIGHT($O25,3)="2SP"),VLOOKUP(CONCATENATE(LEFT($O25,2),"L"),$R$63:$T$90,3,FALSE),0)-IF(AND($P$14&lt;&gt;$P$15,RIGHT($P25,3)="2SP"),VLOOKUP(CONCATENATE(LEFT($P25,2),"L"),$R$63:$T$90,3,FALSE),0)-IF(AND($Q$14&lt;&gt;$Q$15,RIGHT($Q25,3)="2SP"),VLOOKUP(CONCATENATE(LEFT($Q25,2),"L"),$R$63:$T$90,3,FALSE),0)-IF(AND($R$14&lt;&gt;$R$15,RIGHT($T25,3)="2SP"),VLOOKUP(CONCATENATE(LEFT($R25,2),"L"),$R$63:$T$90,3,FALSE),0)-IF(AND($S$14&lt;&gt;$S$15,RIGHT($T25,3)="2SP"),VLOOKUP(CONCATENATE(LEFT($S25,2),"L"),$R$63:$T$90,3,FALSE),0)-IF(AND($T$14&lt;&gt;$T$15,RIGHT($T25,3)="2SP"),VLOOKUP(CONCATENATE(LEFT($T25,2),"L"),$R$63:$T$90,3,FALSE),0)-IF(AND($U$14&lt;&gt;$U$15,RIGHT($U25,3)="2SP"),VLOOKUP(CONCATENATE(LEFT($U25,2),"L"),$R$63:$T$90,3,FALSE),0)-IF(AND($V$14&lt;&gt;$V$15,RIGHT($V25,3)="2SP"),VLOOKUP(CONCATENATE(LEFT($V25,2),"L"),$R$63:$T$90,3,FALSE),0)-IF(AND($W$14&lt;&gt;$W$15,RIGHT($W25,3)="2SP"),VLOOKUP(CONCATENATE(LEFT($W25,2),"L"),$R$63:$T$90,3,FALSE),0)-IF(AND($X$14&lt;&gt;$X$15,RIGHT($X25,3)="2SP"),VLOOKUP(CONCATENATE(LEFT($X25,2),"L"),$R$63:$T$90,3,FALSE),0)-IF(AND($Y$14&lt;&gt;$Y$15,RIGHT($Y25,3)="2SP"),VLOOKUP(CONCATENATE(LEFT($Y25,2),"L"),$R$63:$T$90,3,FALSE),0),IF(VLOOKUP(CONCATENATE($A$18,"Line"),'[3]Supply Attribution'!$F$31:$G$37,2,FALSE)=G$18,$A25,0)+IF(VLOOKUP(CONCATENATE($B$18,"Line"),'[3]Supply Attribution'!$F$31:$G$37,2,FALSE)=G$18,$B25,0)+IF(VLOOKUP(CONCATENATE($C$18,"Line"),'[3]Supply Attribution'!$F$31:$G$37,2,FALSE)=G$18,$C25,0)+IF(VLOOKUP(CONCATENATE($D$18,"Line"),'[3]Supply Attribution'!$F$31:$G$37,2,FALSE)=G$18,$D25,0)+IF(VLOOKUP(CONCATENATE($E$18,"Line"),'[3]Supply Attribution'!$F$31:$G$37,2,FALSE)=G$18,$E25,0)+IF(VLOOKUP(CONCATENATE($F$18,"Line"),'[3]Supply Attribution'!$F$31:$G$37,2,FALSE)=G$18,$F25,0)+IF($K$6="UL",LEFT($S$90,2),0)-IF(AND($K$16=G$18,$K$14&lt;&gt;$K$15,$K$16=$K$17,RIGHT($K25,3)="2SP"),VLOOKUP(CONCATENATE(LEFT($K25,2),"L"),$R$63:$T$90,3,FALSE),0)-IF(AND($L$16=G$18,$L$14&lt;&gt;$L$15,$L$16=$L$17,RIGHT($L25,3)="2SP"),VLOOKUP(CONCATENATE(LEFT($L25,2),"L"),$R$63:$T$90,3,FALSE),0)-IF(AND($M$16=G$18,$M$14&lt;&gt;$M$15,$M$16=$M$17,RIGHT($M25,3)="2SP"),VLOOKUP(CONCATENATE(LEFT($M25,2),"L"),$R$63:$T$90,3,FALSE),0)-IF(AND($N$16=G$18,$N$14&lt;&gt;$N$15,$N$16=$N$17,RIGHT($N25,3)="2SP"),VLOOKUP(CONCATENATE(LEFT($N25,2),"L"),$R$63:$T$90,3,FALSE),0)-IF(AND($O$16=G$18,$O$14&lt;&gt;$O$15,$O$16=$O$17,RIGHT($O25,3)="2SP"),VLOOKUP(CONCATENATE(LEFT($O25,2),"L"),$R$63:$T$90,3,FALSE),0)-IF(AND($P$16=G$18,$P$14&lt;&gt;$P$15,$P$16=$P$17,RIGHT($P25,3)="2SP"),VLOOKUP(CONCATENATE(LEFT($P25,2),"L"),$R$63:$T$90,3,FALSE),0)-IF(AND($Q$16=G$18,$Q$14&lt;&gt;$Q$15,$Q$16=$Q$17,RIGHT($Q25,3)="2SP"),VLOOKUP(CONCATENATE(LEFT($Q25,2),"L"),$R$63:$T$90,3,FALSE),0)-IF(AND($R$16=G$18,$R$14&lt;&gt;$R$15,$R$16=$R$17,RIGHT($R25,3)="2SP"),VLOOKUP(CONCATENATE(LEFT($R25,2),"L"),$R$63:$T$90,3,FALSE),0)-IF(AND($S$16=G$18,$S$14&lt;&gt;$S$15,$S$16=$S$17,RIGHT($S25,3)="2SP"),VLOOKUP(CONCATENATE(LEFT($S25,2),"L"),$R$63:$T$90,3,FALSE),0)-IF(AND($T$16=G$18,$T$14&lt;&gt;$T$15,$T$16=$T$17,RIGHT($T25,3)="2SP"),VLOOKUP(CONCATENATE(LEFT($T25,2),"L"),$R$63:$T$90,3,FALSE),0)-IF(AND($U$16=G$18,$U$14&lt;&gt;$U$15,$U$16=$U$17,RIGHT($U25,3)="2SP"),VLOOKUP(CONCATENATE(LEFT($U25,2),"L"),$R$63:$T$90,3,FALSE),0)-IF(AND($V$16=G$18,$V$14&lt;&gt;$V$15,$V$16=$V$17,RIGHT($V25,3)="2SP"),VLOOKUP(CONCATENATE(LEFT($V25,2),"L"),$R$63:$T$90,3,FALSE),0)-IF(AND($W$16=G$18,$W$14&lt;&gt;$W$15,$W$16=$W$17,RIGHT($W25,3)="2SP"),VLOOKUP(CONCATENATE(LEFT($W25,2),"L"),$R$63:$T$90,3,FALSE),0)-IF(AND($X$16=G$18,$X$14&lt;&gt;$X$15,$X$16=$X$17,RIGHT($X25,3)="2SP"),VLOOKUP(CONCATENATE(LEFT($X25,2),"L"),$R$63:$T$90,3,FALSE),0)-IF(AND($Y$16=G$18,$Y$14&lt;&gt;$Y$15,$Y$16=$Y$17,RIGHT($Y25,3)="2SP"),VLOOKUP(CONCATENATE(LEFT($Y25,2),"L"),$R$63:$T$90,3,FALSE),0))</f>
        <v>47</v>
      </c>
      <c r="H25" s="271" t="str">
        <f>IF(H$18&lt;&gt;"",IF(VLOOKUP(CONCATENATE($A$18,"Line"),'Supply Attribution'!$F$31:$G$37,2,FALSE)=H$18,$A25,0)+IF(VLOOKUP(CONCATENATE($B$18,"Line"),'Supply Attribution'!$F$31:$G$37,2,FALSE)=H$18,$B25,0)+IF(VLOOKUP(CONCATENATE($C$18,"Line"),'Supply Attribution'!$F$31:$G$37,2,FALSE)=H$18,$C25,0)+IF(VLOOKUP(CONCATENATE($D$18,"Line"),'Supply Attribution'!$F$31:$G$37,2,FALSE)=H$18,$D25,0)+IF(VLOOKUP(CONCATENATE($E$18,"Line"),'Supply Attribution'!$F$31:$G$37,2,FALSE)=H$18,$E25,0)+IF(VLOOKUP(CONCATENATE($F$18,"Line"),'Supply Attribution'!$F$31:$G$37,2,FALSE)=H$18,$F25,0)+IF($K$6="UL",LEFT($S$90,2),0)-IF(AND($K$16=H$18,$K$14&lt;&gt;$K$15,$K$16=$K$17,RIGHT($K25,3)="2SP"),VLOOKUP(CONCATENATE(LEFT($K25,2),"L"),$R$63:$T$90,3,FALSE),0)-IF(AND($L$16=H$18,$L$14&lt;&gt;$L$15,$L$16=$L$17,RIGHT($L25,3)="2SP"),VLOOKUP(CONCATENATE(LEFT($L25,2),"L"),$R$63:$T$90,3,FALSE),0)-IF(AND($M$16=H$18,$M$14&lt;&gt;$M$15,$M$16=$M$17,RIGHT($M25,3)="2SP"),VLOOKUP(CONCATENATE(LEFT($M25,2),"L"),$R$63:$T$90,3,FALSE),0)-IF(AND($N$16=H$18,$N$14&lt;&gt;$N$15,$N$16=$N$17,RIGHT($N25,3)="2SP"),VLOOKUP(CONCATENATE(LEFT($N25,2),"L"),$R$63:$T$90,3,FALSE),0)-IF(AND($O$16=H$18,$O$14&lt;&gt;$O$15,$O$16=$O$17,RIGHT($O25,3)="2SP"),VLOOKUP(CONCATENATE(LEFT($O25,2),"L"),$R$63:$T$90,3,FALSE),0)-IF(AND($P$16=H$18,$P$14&lt;&gt;$P$15,$P$16=$P$17,RIGHT($P25,3)="2SP"),VLOOKUP(CONCATENATE(LEFT($P25,2),"L"),$R$63:$T$90,3,FALSE),0)-IF(AND($Q$16=H$18,$Q$14&lt;&gt;$Q$15,$Q$16=$Q$17,RIGHT($Q25,3)="2SP"),VLOOKUP(CONCATENATE(LEFT($Q25,2),"L"),$R$63:$T$90,3,FALSE),0)-IF(AND($T$16=H$18,$T$14&lt;&gt;$T$15,$T$16=$T$17,RIGHT($T25,3)="2SP"),VLOOKUP(CONCATENATE(LEFT($T25,2),"L"),$R$63:$T$90,3,FALSE),0)-IF(AND($U$16=H$18,$U$14&lt;&gt;$U$15,$U$16=$U$17,RIGHT($U25,3)="2SP"),VLOOKUP(CONCATENATE(LEFT($U25,2),"L"),$R$63:$T$90,3,FALSE),0)-IF(AND($V$16=H$18,$V$14&lt;&gt;$V$15,$V$16=$V$17,RIGHT($V25,3)="2SP"),VLOOKUP(CONCATENATE(LEFT($V25,2),"L"),$R$63:$T$90,3,FALSE),0)-IF(AND($W$16=H$18,$W$14&lt;&gt;$W$15,$W$16=$W$17,RIGHT($W25,3)="2SP"),VLOOKUP(CONCATENATE(LEFT($W25,2),"L"),$R$63:$T$90,3,FALSE),0)-IF(AND($X$16=H$18,$X$14&lt;&gt;$X$15,$X$16=$X$17,RIGHT($X25,3)="2SP"),VLOOKUP(CONCATENATE(LEFT($X25,2),"L"),$R$63:$T$90,3,FALSE),0)-IF(AND($Y$16=H$18,$Y$14&lt;&gt;$Y$15,$Y$16=$Y$17,RIGHT($Y25,3)="2SP"),VLOOKUP(CONCATENATE(LEFT($Y25,2),"L"),$R$63:$T$90,3,FALSE),0)+IF(AND($K$6="CE",$T$59="2 Phases",H$18&lt;&gt;""),IF(VLOOKUP(CONCATENATE($A$18,"Line"),'Supply Attribution'!$F$31:$G$37,2,FALSE)="Line3",$A25,0)+IF(VLOOKUP(CONCATENATE($B$18,"Line"),'Supply Attribution'!$F$31:$G$37,2,FALSE)="Line3",$B25,0)+IF(VLOOKUP(CONCATENATE($C$18,"Line"),'Supply Attribution'!$F$31:$G$37,2,FALSE)="Line3",$C25,0)+IF(VLOOKUP(CONCATENATE($D$18,"Line"),'Supply Attribution'!$F$31:$G$37,2,FALSE)="Line3",$D25,0)+IF(VLOOKUP(CONCATENATE($E$18,"Line"),'Supply Attribution'!$F$31:$G$37,2,FALSE)="Line3",$E25,0)+IF(VLOOKUP(CONCATENATE($F$18,"Line"),'Supply Attribution'!$F$31:$G$37,2,FALSE)="Line3",$F25,0)-IF(AND($K$16=I$18,$K$14&lt;&gt;$K$15,$K$16=$K$17,RIGHT($K25,3)="2SP"),VLOOKUP(CONCATENATE(LEFT($K25,2),"L"),$R$63:$T$90,3,FALSE),0)-IF(AND($L$16=I$18,$L$14&lt;&gt;$L$15,$L$16=$L$17,RIGHT($L25,3)="2SP"),VLOOKUP(CONCATENATE(LEFT($L25,2),"L"),$R$63:$T$90,3,FALSE),0)-IF(AND($M$16=I$18,$M$14&lt;&gt;$M$15,$M$16=$M$17,RIGHT($M25,3)="2SP"),VLOOKUP(CONCATENATE(LEFT($M25,2),"L"),$R$63:$T$90,3,FALSE),0)-IF(AND($N$16=I$18,$N$14&lt;&gt;$N$15,$N$16=$N$17,RIGHT($N25,3)="2SP"),VLOOKUP(CONCATENATE(LEFT($N25,2),"L"),$R$63:$T$90,3,FALSE),0)-IF(AND($O$16=I$18,$O$14&lt;&gt;$O$15,$O$16=$O$17,RIGHT($O25,3)="2SP"),VLOOKUP(CONCATENATE(LEFT($O25,2),"L"),$R$63:$T$90,3,FALSE),0)-IF(AND($P$16=I$18,$P$14&lt;&gt;$P$15,$P$16=$P$17,RIGHT($P25,3)="2SP"),VLOOKUP(CONCATENATE(LEFT($P25,2),"L"),$R$63:$T$90,3,FALSE),0)-IF(AND($Q$16=I$18,$Q$14&lt;&gt;$Q$15,$Q$16=$Q$17,RIGHT($Q25,3)="2SP"),VLOOKUP(CONCATENATE(LEFT($Q25,2),"L"),$R$63:$T$90,3,FALSE),0)-IF(AND($T$16=I$18,$T$14&lt;&gt;$T$15,$T$16=$T$17,RIGHT($T25,3)="2SP"),VLOOKUP(CONCATENATE(LEFT($T25,2),"L"),$R$63:$T$90,3,FALSE),0)-IF(AND($U$16=I$18,$U$14&lt;&gt;$U$15,$U$16=$U$17,RIGHT($U25,3)="2SP"),VLOOKUP(CONCATENATE(LEFT($U25,2),"L"),$R$63:$T$90,3,FALSE),0)-IF(AND($V$16=I$18,$V$14&lt;&gt;$V$15,$V$16=$V$17,RIGHT($V25,3)="2SP"),VLOOKUP(CONCATENATE(LEFT($V25,2),"L"),$R$63:$T$90,3,FALSE),0)-IF(AND($W$16=I$18,$W$14&lt;&gt;$W$15,$W$16=$W$17,RIGHT($W25,3)="2SP"),VLOOKUP(CONCATENATE(LEFT($W25,2),"L"),$R$63:$T$90,3,FALSE),0)-IF(AND($X$16=I$18,$X$14&lt;&gt;$X$15,$X$16=$X$17,RIGHT($X25,3)="2SP"),VLOOKUP(CONCATENATE(LEFT($X25,2),"L"),$R$63:$T$90,3,FALSE),0)-IF(AND($Y$16=I$18,$Y$14&lt;&gt;$Y$15,$Y$16=$Y$17,RIGHT($Y25,3)="2SP"),VLOOKUP(CONCATENATE(LEFT($Y25,2),"L"),$R$63:$T$90,3,FALSE),0),0),"")</f>
        <v/>
      </c>
      <c r="I25" s="271" t="str">
        <f>IF(I$18&lt;&gt;"",IF(VLOOKUP(CONCATENATE($A$18,"Line"),'Supply Attribution'!$F$31:$G$37,2,FALSE)=I$18,$A25,0)+IF(VLOOKUP(CONCATENATE($B$18,"Line"),'Supply Attribution'!$F$31:$G$37,2,FALSE)=I$18,$B25,0)+IF(VLOOKUP(CONCATENATE($C$18,"Line"),'Supply Attribution'!$F$31:$G$37,2,FALSE)=I$18,$C25,0)+IF(VLOOKUP(CONCATENATE($D$18,"Line"),'Supply Attribution'!$F$31:$G$37,2,FALSE)=I$18,$D25,0)+IF(VLOOKUP(CONCATENATE($E$18,"Line"),'Supply Attribution'!$F$31:$G$37,2,FALSE)=I$18,$E25,0)+IF(VLOOKUP(CONCATENATE($F$18,"Line"),'Supply Attribution'!$F$31:$G$37,2,FALSE)=I$18,$F25,0)+IF($K$6="UL",LEFT($S$90,2),0)-IF(AND($K$16=I$18,$K$14&lt;&gt;$K$15,$K$16=$K$17,RIGHT($K25,3)="2SP"),VLOOKUP(CONCATENATE(LEFT($K25,2),"L"),$R$63:$T$90,3,FALSE),0)-IF(AND($L$16=I$18,$L$14&lt;&gt;$L$15,$L$16=$L$17,RIGHT($L25,3)="2SP"),VLOOKUP(CONCATENATE(LEFT($L25,2),"L"),$R$63:$T$90,3,FALSE),0)-IF(AND($M$16=I$18,$M$14&lt;&gt;$M$15,$M$16=$M$17,RIGHT($M25,3)="2SP"),VLOOKUP(CONCATENATE(LEFT($M25,2),"L"),$R$63:$T$90,3,FALSE),0)-IF(AND($N$16=I$18,$N$14&lt;&gt;$N$15,$N$16=$N$17,RIGHT($N25,3)="2SP"),VLOOKUP(CONCATENATE(LEFT($N25,2),"L"),$R$63:$T$90,3,FALSE),0)-IF(AND($O$16=I$18,$O$14&lt;&gt;$O$15,$O$16=$O$17,RIGHT($O25,3)="2SP"),VLOOKUP(CONCATENATE(LEFT($O25,2),"L"),$R$63:$T$90,3,FALSE),0)-IF(AND($P$16=I$18,$P$14&lt;&gt;$P$15,$P$16=$P$17,RIGHT($P25,3)="2SP"),VLOOKUP(CONCATENATE(LEFT($P25,2),"L"),$R$63:$T$90,3,FALSE),0)-IF(AND($Q$16=I$18,$Q$14&lt;&gt;$Q$15,$Q$16=$Q$17,RIGHT($Q25,3)="2SP"),VLOOKUP(CONCATENATE(LEFT($Q25,2),"L"),$R$63:$T$90,3,FALSE),0)-IF(AND($T$16=I$18,$T$14&lt;&gt;$T$15,$T$16=$T$17,RIGHT($T25,3)="2SP"),VLOOKUP(CONCATENATE(LEFT($T25,2),"L"),$R$63:$T$90,3,FALSE),0)-IF(AND($U$16=I$18,$U$14&lt;&gt;$U$15,$U$16=$U$17,RIGHT($U25,3)="2SP"),VLOOKUP(CONCATENATE(LEFT($U25,2),"L"),$R$63:$T$90,3,FALSE),0)-IF(AND($V$16=I$18,$V$14&lt;&gt;$V$15,$V$16=$V$17,RIGHT($V25,3)="2SP"),VLOOKUP(CONCATENATE(LEFT($V25,2),"L"),$R$63:$T$90,3,FALSE),0)-IF(AND($W$16=I$18,$W$14&lt;&gt;$W$15,$W$16=$W$17,RIGHT($W25,3)="2SP"),VLOOKUP(CONCATENATE(LEFT($W25,2),"L"),$R$63:$T$90,3,FALSE),0)-IF(AND($X$16=I$18,$X$14&lt;&gt;$X$15,$X$16=$X$17,RIGHT($X25,3)="2SP"),VLOOKUP(CONCATENATE(LEFT($X25,2),"L"),$R$63:$T$90,3,FALSE),0)-IF(AND($Y$16=I$18,$Y$14&lt;&gt;$Y$15,$Y$16=$Y$17,RIGHT($Y25,3)="2SP"),VLOOKUP(CONCATENATE(LEFT($Y25,2),"L"),$R$63:$T$90,3,FALSE),0),"")</f>
        <v/>
      </c>
      <c r="J25" s="129">
        <v>46</v>
      </c>
      <c r="K25" s="130" t="s">
        <v>389</v>
      </c>
      <c r="L25" s="130" t="s">
        <v>566</v>
      </c>
      <c r="M25" s="130" t="s">
        <v>391</v>
      </c>
      <c r="N25" s="130" t="s">
        <v>24</v>
      </c>
      <c r="O25" s="130" t="s">
        <v>286</v>
      </c>
      <c r="P25" s="130"/>
      <c r="Q25" s="130"/>
      <c r="R25" s="130"/>
      <c r="S25" s="130"/>
      <c r="T25" s="130"/>
      <c r="U25" s="130"/>
      <c r="V25" s="130"/>
      <c r="W25" s="130"/>
      <c r="X25" s="130"/>
      <c r="Y25" s="130"/>
      <c r="Z25" s="131" t="s">
        <v>7</v>
      </c>
      <c r="AA25" s="131" t="s">
        <v>357</v>
      </c>
      <c r="AB25" s="132" t="s">
        <v>18</v>
      </c>
      <c r="AC25" s="132" t="s">
        <v>183</v>
      </c>
      <c r="AD25" s="132" t="s">
        <v>18</v>
      </c>
      <c r="AE25" s="133">
        <f t="shared" si="0"/>
        <v>46</v>
      </c>
      <c r="AF25" s="78"/>
    </row>
    <row r="26" spans="1:32" ht="13.15" customHeight="1">
      <c r="A26" s="270">
        <f>IF(AND($K26&lt;&gt;"",$K26&lt;&gt;"--",$K26&lt;&gt;"O3/CP",$K$14=A$18),IF(LEFT($K26,1)="P",VLOOKUP(CONCATENATE(LEFT($K26,2),"H"),$R$63:$T$91,3,FALSE),VLOOKUP($K26,$R$63:$T$91,3,FALSE)))+IF(AND($K26&lt;&gt;"",$K26&lt;&gt;"O3/CP",$K$15=A$18,MID($K26,4,1)="2",$K$15&lt;&gt;$K$14),VLOOKUP(CONCATENATE(LEFT($K26,2),"L"),$R$63:$T$91,3,FALSE),0)+IF(AND($K26="O3/CP",$K$14=A$18),VLOOKUP("O3",$R$63:$T$91,3,FALSE)+VLOOKUP("CP",$R$63:$T$91,3,FALSE),0)+IF(AND($L26&lt;&gt;"",$L26&lt;&gt;"--",$L26&lt;&gt;"O3/CP",$L$14=A$18),IF(LEFT($L26,1)="P",VLOOKUP(CONCATENATE(LEFT($L26,2),"H"),$R$63:$T$91,3,FALSE),VLOOKUP($L26,$R$63:$T$91,3,FALSE)))+IF(AND($L26&lt;&gt;"",$L26&lt;&gt;"O3/CP",$L$15=A$18,MID($L26,4,1)="2",$L$15&lt;&gt;$L$14),VLOOKUP(CONCATENATE(LEFT($L26,2),"L"),$R$63:$T$91,3,FALSE),0)+IF(AND($L26="O3/CP",$L$14=A$18),VLOOKUP("O3",$R$63:$T$91,3,FALSE)+VLOOKUP("CP",$R$63:$T$91,3,FALSE),0)+IF(AND($M26&lt;&gt;"",$M26&lt;&gt;"--",$M26&lt;&gt;"O3/CP",$M$14=A$18),IF(LEFT($M26,1)="P",VLOOKUP(CONCATENATE(LEFT($M26,2),"H"),$R$63:$T$91,3,FALSE),VLOOKUP($M26,$R$63:$T$91,3,FALSE)))+IF(AND($M26&lt;&gt;"",$M26&lt;&gt;"O3/CP",$M$15=A$18,MID($M26,4,1)="2",$M$15&lt;&gt;$M$14),VLOOKUP(CONCATENATE(LEFT($M26,2),"L"),$R$63:$T$91,3,FALSE),0)+IF(AND($M26="O3/CP",$M$14=A$18),VLOOKUP("O3",$R$63:$T$91,3,FALSE)+VLOOKUP("CP",$R$63:$T$91,3,FALSE),0)+IF(AND($N26&lt;&gt;"",$N26&lt;&gt;"--",$N26&lt;&gt;"O3/CP",$N$14=A$18),IF(LEFT($N26,1)="P",VLOOKUP(CONCATENATE(LEFT($N26,2),"H"),$R$63:$T$91,3,FALSE),VLOOKUP($N26,$R$63:$T$91,3,FALSE)))+IF(AND($N26&lt;&gt;"",$N26&lt;&gt;"O3/CP",$N$15=A$18,MID($N26,4,1)="2",$N$15&lt;&gt;$N$14),VLOOKUP(CONCATENATE(LEFT($N26,2),"L"),$R$63:$T$91,3,FALSE),0)+IF(AND($N26="O3/CP",$N$14=A$18),VLOOKUP("O3",$R$63:$T$91,3,FALSE)+VLOOKUP("CP",$R$63:$T$91,3,FALSE),0)+IF(AND($O26&lt;&gt;"",$O26&lt;&gt;"--",$O26&lt;&gt;"O3/CP",$O$14=A$18),IF(LEFT($O26,1)="P",VLOOKUP(CONCATENATE(LEFT($O26,2),"H"),$R$63:$T$91,3,FALSE),VLOOKUP($O26,$R$63:$T$91,3,FALSE)))+IF(AND($O26&lt;&gt;"",$O26&lt;&gt;"O3/CP",$O$15=A$18,MID($O26,4,1)="2",$O$15&lt;&gt;$O$14),VLOOKUP(CONCATENATE(LEFT($O26,2),"L"),$R$63:$T$91,3,FALSE),0)+IF(AND($O26="O3/CP",$O$14=A$18),VLOOKUP("O3",$R$63:$T$91,3,FALSE)+VLOOKUP("CP",$R$63:$T$91,3,FALSE),0)+IF(AND($P26&lt;&gt;"",$P26&lt;&gt;"--",$P26&lt;&gt;"O3/CP",$P$14=A$18),IF(LEFT($P26,1)="P",VLOOKUP(CONCATENATE(LEFT($P26,2),"H"),$R$63:$T$91,3,FALSE),VLOOKUP($P26,$R$63:$T$91,3,FALSE)))+IF(AND($P26&lt;&gt;"",$P26&lt;&gt;"O3/CP",$P$15=A$18,MID($P26,4,1)="2",$P$15&lt;&gt;$P$14),VLOOKUP(CONCATENATE(LEFT($P26,2),"L"),$R$63:$T$91,3,FALSE),0)+IF(AND($P26="O3/CP",$P$14=A$18),VLOOKUP("O3",$R$63:$T$91,3,FALSE)+VLOOKUP("CP",$R$63:$T$91,3,FALSE),0)+IF(AND($Q26&lt;&gt;"",$Q26&lt;&gt;"--",$Q26&lt;&gt;"O3/CP",$Q$14=A$18),IF(LEFT($Q26,1)="P",VLOOKUP(CONCATENATE(LEFT($Q26,2),"H"),$R$63:$T$91,3,FALSE),VLOOKUP($Q26,$R$63:$T$91,3,FALSE)))+IF(AND($Q26&lt;&gt;"",$Q26&lt;&gt;"O3/CP",$Q$15=A$18,MID($Q26,4,1)="2",$Q$15&lt;&gt;$Q$14),VLOOKUP(CONCATENATE(LEFT($Q26,2),"L"),$R$63:$T$91,3,FALSE),0)+IF(AND($Q26="O3/CP",$Q$14=A$18),VLOOKUP("O3",$R$63:$T$91,3,FALSE)+VLOOKUP("CP",$R$63:$T$91,3,FALSE),0)+IF(AND($R26&lt;&gt;"",$R26&lt;&gt;"--",$R26&lt;&gt;"O3/CP",$R$14=A$18),IF(LEFT($R26,1)="P",VLOOKUP(CONCATENATE(LEFT($R26,2),"H"),$R$63:$T$91,3,FALSE),VLOOKUP($R26,$R$63:$T$91,3,FALSE)))+IF(AND($R26&lt;&gt;"",$R26&lt;&gt;"O3/CP",$R$15=A$18,MID($R26,4,1)="2",$R$15&lt;&gt;$R$14),VLOOKUP(CONCATENATE(LEFT($R26,2),"L"),$R$63:$T$91,3,FALSE),0)+IF(AND($R26="O3/CP",$R$14=A$18),VLOOKUP("O3",$R$63:$T$91,3,FALSE)+VLOOKUP("CP",$R$63:$T$91,3,FALSE),0)+IF(AND($S26&lt;&gt;"",$S26&lt;&gt;"--",$S26&lt;&gt;"O3/CP",$S$14=A$18),IF(LEFT($S26,1)="P",VLOOKUP(CONCATENATE(LEFT($S26,2),"H"),$R$63:$T$91,3,FALSE),VLOOKUP($S26,$R$63:$T$91,3,FALSE)))+IF(AND($S26&lt;&gt;"",$S26&lt;&gt;"O3/CP",$S$15=A$18,MID($S26,4,1)="2",$S$15&lt;&gt;$S$14),VLOOKUP(CONCATENATE(LEFT($S26,2),"L"),$R$63:$T$91,3,FALSE),0)+IF(AND($S26="O3/CP",$S$14=A$18),VLOOKUP("O3",$R$63:$T$91,3,FALSE)+VLOOKUP("CP",$R$63:$T$91,3,FALSE),0)+IF(AND($T26&lt;&gt;"",$T26&lt;&gt;"--",$T26&lt;&gt;"O3/CP",$T$14=A$18),IF(LEFT($T26,1)="P",VLOOKUP(CONCATENATE(LEFT($T26,2),"H"),$R$63:$T$91,3,FALSE),VLOOKUP($T26,$R$63:$T$91,3,FALSE)))+IF(AND($T26&lt;&gt;"",$T26&lt;&gt;"O3/CP",$T$15=A$18,MID($T26,4,1)="2",$T$15&lt;&gt;$T$14),VLOOKUP(CONCATENATE(LEFT($T26,2),"L"),$R$63:$T$91,3,FALSE),0)+IF(AND($T26="O3/CP",$T$14=A$18),VLOOKUP("O3",$R$63:$T$91,3,FALSE)+VLOOKUP("CP",$R$63:$T$91,3,FALSE),0)+IF(AND($U26&lt;&gt;"",$U26&lt;&gt;"--",$U26&lt;&gt;"O3/CP",$U$14=A$18),IF(LEFT($U26,1)="P",VLOOKUP(CONCATENATE(LEFT($U26,2),"H"),$R$63:$T$91,3,FALSE),VLOOKUP($U26,$R$63:$T$91,3,FALSE)))+IF(AND($U26&lt;&gt;"",$U26&lt;&gt;"O3/CP",$U$15=A$18,MID($U26,4,1)="2",$U$15&lt;&gt;$U$14),VLOOKUP(CONCATENATE(LEFT($U26,2),"L"),$R$63:$T$91,3,FALSE),0)+IF(AND($U26="O3/CP",$T$14=A$18),VLOOKUP("O3",$R$63:$T$91,3,FALSE)+VLOOKUP("CP",$R$63:$T$91,3,FALSE),0)+IF(AND($V26&lt;&gt;"",$V26&lt;&gt;"--",$V26&lt;&gt;"O3/CP",$V$14=A$18),IF(LEFT($V26,1)="P",VLOOKUP(CONCATENATE(LEFT($V26,2),"H"),$R$63:$T$91,3,FALSE),VLOOKUP($V26,$R$63:$T$91,3,FALSE)))+IF(AND($V26&lt;&gt;"",$V26&lt;&gt;"O3/CP",$V$15=A$18,MID($V26,4,1)="2",$V$15&lt;&gt;$V$14),VLOOKUP(CONCATENATE(LEFT($V26,2),"L"),$R$63:$T$91,3,FALSE),0)+IF(AND($V26="O3/CP",$V$14=A$18),VLOOKUP("O3",$R$63:$T$91,3,FALSE)+VLOOKUP("CP",$R$63:$T$91,3,FALSE),0)+IF(AND($W26&lt;&gt;"",$W26&lt;&gt;"--",$W26&lt;&gt;"O3/CP",$W$14=A$18),IF(LEFT($W26,1)="P",VLOOKUP(CONCATENATE(LEFT($W26,2),"H"),$R$63:$T$91,3,FALSE),VLOOKUP($W26,$R$63:$T$91,3,FALSE)))+IF(AND($W26&lt;&gt;"",$W26&lt;&gt;"O3/CP",$W$15=A$18,MID($W26,4,1)="2",$W$15&lt;&gt;$W$14),VLOOKUP(CONCATENATE(LEFT($W26,2),"L"),$R$63:$T$91,3,FALSE),0)+IF(AND($W26="O3/CP",$W$14=A$18),VLOOKUP("O3",$R$63:$T$91,3,FALSE)+VLOOKUP("CP",$R$63:$T$91,3,FALSE),0)+IF(AND($X26&lt;&gt;"",$X26&lt;&gt;"--",$X26&lt;&gt;"O3/CP",$X$14=A$18),IF(LEFT($X26,1)="P",VLOOKUP(CONCATENATE(LEFT($X26,2),"H"),$R$63:$T$91,3,FALSE),VLOOKUP($X26,$R$63:$T$91,3,FALSE)))+IF(AND($X26&lt;&gt;"",$X26&lt;&gt;"O3/CP",$X$15=A$18,MID($X26,4,1)="2",$X$15&lt;&gt;$X$14),VLOOKUP(CONCATENATE(LEFT($X26,2),"L"),$R$63:$T$91,3,FALSE),0)+IF(AND($X26="O3/CP",$X$14=A$18),VLOOKUP("O3",$R$63:$T$91,3,FALSE)+VLOOKUP("CP",$R$63:$T$91,3,FALSE),0)+IF(AND($Y26&lt;&gt;"",$Y26&lt;&gt;"--",$Y26&lt;&gt;"O3/CP",$Y$14=A$18),IF(LEFT($Y26,1)="P",VLOOKUP(CONCATENATE(LEFT($Y26,2),"H"),$R$63:$T$91,3,FALSE),VLOOKUP($Y26,$R$63:$T$91,3,FALSE)))+IF(AND($Y26&lt;&gt;"",$Y26&lt;&gt;"O3/CP",$Y$15=A$18,MID($Y26,4,1)="2",$Y$15&lt;&gt;$Y$14),VLOOKUP(CONCATENATE(LEFT($Y26,2),"L"),$R$63:$T$91,3,FALSE),0)+IF(AND($Y26="O3/CP",$Y$14=A$18),VLOOKUP("O3",$R$63:$T$91,3,FALSE)+VLOOKUP("CP",$R$63:$T$91,3,FALSE),0)+IF(AND($K$6="CE",'[3]Supply Attribution'!$G$20=A$18),LEFT($S$90,2),0)+IF(AND($X$86&lt;&gt;"Not Set",$X$87=A$18),$X$86,0)</f>
        <v>14</v>
      </c>
      <c r="B26" s="269">
        <f>IF(AND($K26&lt;&gt;"",$K26&lt;&gt;"--",$K26&lt;&gt;"O3/CP",$K$14=B$18),IF(LEFT($K26,1)="P",VLOOKUP(CONCATENATE(LEFT($K26,2),"H"),$R$63:$T$91,3,FALSE),VLOOKUP($K26,$R$63:$T$91,3,FALSE)))+IF(AND($K26&lt;&gt;"",$K26&lt;&gt;"O3/CP",$K$15=B$18,MID($K26,4,1)="2",$K$15&lt;&gt;$K$14),VLOOKUP(CONCATENATE(LEFT($K26,2),"L"),$R$63:$T$91,3,FALSE),0)+IF(AND($K26="O3/CP",$K$14=B$18),VLOOKUP("O3",$R$63:$T$91,3,FALSE)+VLOOKUP("CP",$R$63:$T$91,3,FALSE),0)+IF(AND($L26&lt;&gt;"",$L26&lt;&gt;"--",$L26&lt;&gt;"O3/CP",$L$14=B$18),IF(LEFT($L26,1)="P",VLOOKUP(CONCATENATE(LEFT($L26,2),"H"),$R$63:$T$91,3,FALSE),VLOOKUP($L26,$R$63:$T$91,3,FALSE)))+IF(AND($L26&lt;&gt;"",$L26&lt;&gt;"O3/CP",$L$15=B$18,MID($L26,4,1)="2",$L$15&lt;&gt;$L$14),VLOOKUP(CONCATENATE(LEFT($L26,2),"L"),$R$63:$T$91,3,FALSE),0)+IF(AND($L26="O3/CP",$L$14=B$18),VLOOKUP("O3",$R$63:$T$91,3,FALSE)+VLOOKUP("CP",$R$63:$T$91,3,FALSE),0)+IF(AND($M26&lt;&gt;"",$M26&lt;&gt;"--",$M26&lt;&gt;"O3/CP",$M$14=B$18),IF(LEFT($M26,1)="P",VLOOKUP(CONCATENATE(LEFT($M26,2),"H"),$R$63:$T$91,3,FALSE),VLOOKUP($M26,$R$63:$T$91,3,FALSE)))+IF(AND($M26&lt;&gt;"",$M26&lt;&gt;"O3/CP",$M$15=B$18,MID($M26,4,1)="2",$M$15&lt;&gt;$M$14),VLOOKUP(CONCATENATE(LEFT($M26,2),"L"),$R$63:$T$91,3,FALSE),0)+IF(AND($M26="O3/CP",$M$14=B$18),VLOOKUP("O3",$R$63:$T$91,3,FALSE)+VLOOKUP("CP",$R$63:$T$91,3,FALSE),0)+IF(AND($N26&lt;&gt;"",$N26&lt;&gt;"--",$N26&lt;&gt;"O3/CP",$N$14=B$18),IF(LEFT($N26,1)="P",VLOOKUP(CONCATENATE(LEFT($N26,2),"H"),$R$63:$T$91,3,FALSE),VLOOKUP($N26,$R$63:$T$91,3,FALSE)))+IF(AND($N26&lt;&gt;"",$N26&lt;&gt;"O3/CP",$N$15=B$18,MID($N26,4,1)="2",$N$15&lt;&gt;$N$14),VLOOKUP(CONCATENATE(LEFT($N26,2),"L"),$R$63:$T$91,3,FALSE),0)+IF(AND($N26="O3/CP",$N$14=B$18),VLOOKUP("O3",$R$63:$T$91,3,FALSE)+VLOOKUP("CP",$R$63:$T$91,3,FALSE),0)+IF(AND($O26&lt;&gt;"",$O26&lt;&gt;"--",$O26&lt;&gt;"O3/CP",$O$14=B$18),IF(LEFT($O26,1)="P",VLOOKUP(CONCATENATE(LEFT($O26,2),"H"),$R$63:$T$91,3,FALSE),VLOOKUP($O26,$R$63:$T$91,3,FALSE)))+IF(AND($O26&lt;&gt;"",$O26&lt;&gt;"O3/CP",$O$15=B$18,MID($O26,4,1)="2",$O$15&lt;&gt;$O$14),VLOOKUP(CONCATENATE(LEFT($O26,2),"L"),$R$63:$T$91,3,FALSE),0)+IF(AND($O26="O3/CP",$O$14=B$18),VLOOKUP("O3",$R$63:$T$91,3,FALSE)+VLOOKUP("CP",$R$63:$T$91,3,FALSE),0)+IF(AND($P26&lt;&gt;"",$P26&lt;&gt;"--",$P26&lt;&gt;"O3/CP",$P$14=B$18),IF(LEFT($P26,1)="P",VLOOKUP(CONCATENATE(LEFT($P26,2),"H"),$R$63:$T$91,3,FALSE),VLOOKUP($P26,$R$63:$T$91,3,FALSE)))+IF(AND($P26&lt;&gt;"",$P26&lt;&gt;"O3/CP",$P$15=B$18,MID($P26,4,1)="2",$P$15&lt;&gt;$P$14),VLOOKUP(CONCATENATE(LEFT($P26,2),"L"),$R$63:$T$91,3,FALSE),0)+IF(AND($P26="O3/CP",$P$14=B$18),VLOOKUP("O3",$R$63:$T$91,3,FALSE)+VLOOKUP("CP",$R$63:$T$91,3,FALSE),0)+IF(AND($Q26&lt;&gt;"",$Q26&lt;&gt;"--",$Q26&lt;&gt;"O3/CP",$Q$14=B$18),IF(LEFT($Q26,1)="P",VLOOKUP(CONCATENATE(LEFT($Q26,2),"H"),$R$63:$T$91,3,FALSE),VLOOKUP($Q26,$R$63:$T$91,3,FALSE)))+IF(AND($Q26&lt;&gt;"",$Q26&lt;&gt;"O3/CP",$Q$15=B$18,MID($Q26,4,1)="2",$Q$15&lt;&gt;$Q$14),VLOOKUP(CONCATENATE(LEFT($Q26,2),"L"),$R$63:$T$91,3,FALSE),0)+IF(AND($Q26="O3/CP",$Q$14=B$18),VLOOKUP("O3",$R$63:$T$91,3,FALSE)+VLOOKUP("CP",$R$63:$T$91,3,FALSE),0)+IF(AND($R26&lt;&gt;"",$R26&lt;&gt;"--",$R26&lt;&gt;"O3/CP",$R$14=B$18),IF(LEFT($R26,1)="P",VLOOKUP(CONCATENATE(LEFT($R26,2),"H"),$R$63:$T$91,3,FALSE),VLOOKUP($R26,$R$63:$T$91,3,FALSE)))+IF(AND($R26&lt;&gt;"",$R26&lt;&gt;"O3/CP",$R$15=B$18,MID($R26,4,1)="2",$R$15&lt;&gt;$R$14),VLOOKUP(CONCATENATE(LEFT($R26,2),"L"),$R$63:$T$91,3,FALSE),0)+IF(AND($R26="O3/CP",$R$14=B$18),VLOOKUP("O3",$R$63:$T$91,3,FALSE)+VLOOKUP("CP",$R$63:$T$91,3,FALSE),0)+IF(AND($S26&lt;&gt;"",$S26&lt;&gt;"--",$S26&lt;&gt;"O3/CP",$S$14=B$18),IF(LEFT($S26,1)="P",VLOOKUP(CONCATENATE(LEFT($S26,2),"H"),$R$63:$T$91,3,FALSE),VLOOKUP($S26,$R$63:$T$91,3,FALSE)))+IF(AND($S26&lt;&gt;"",$S26&lt;&gt;"O3/CP",$S$15=B$18,MID($S26,4,1)="2",$S$15&lt;&gt;$S$14),VLOOKUP(CONCATENATE(LEFT($S26,2),"L"),$R$63:$T$91,3,FALSE),0)+IF(AND($S26="O3/CP",$S$14=B$18),VLOOKUP("O3",$R$63:$T$91,3,FALSE)+VLOOKUP("CP",$R$63:$T$91,3,FALSE),0)+IF(AND($T26&lt;&gt;"",$T26&lt;&gt;"--",$T26&lt;&gt;"O3/CP",$T$14=B$18),IF(LEFT($T26,1)="P",VLOOKUP(CONCATENATE(LEFT($T26,2),"H"),$R$63:$T$91,3,FALSE),VLOOKUP($T26,$R$63:$T$91,3,FALSE)))+IF(AND($T26&lt;&gt;"",$T26&lt;&gt;"O3/CP",$T$15=B$18,MID($T26,4,1)="2",$T$15&lt;&gt;$T$14),VLOOKUP(CONCATENATE(LEFT($T26,2),"L"),$R$63:$T$91,3,FALSE),0)+IF(AND($T26="O3/CP",$T$14=B$18),VLOOKUP("O3",$R$63:$T$91,3,FALSE)+VLOOKUP("CP",$R$63:$T$91,3,FALSE),0)+IF(AND($U26&lt;&gt;"",$U26&lt;&gt;"--",$U26&lt;&gt;"O3/CP",$U$14=B$18),IF(LEFT($U26,1)="P",VLOOKUP(CONCATENATE(LEFT($U26,2),"H"),$R$63:$T$91,3,FALSE),VLOOKUP($U26,$R$63:$T$91,3,FALSE)))+IF(AND($U26&lt;&gt;"",$U26&lt;&gt;"O3/CP",$U$15=B$18,MID($U26,4,1)="2",$U$15&lt;&gt;$U$14),VLOOKUP(CONCATENATE(LEFT($U26,2),"L"),$R$63:$T$91,3,FALSE),0)+IF(AND($U26="O3/CP",$T$14=B$18),VLOOKUP("O3",$R$63:$T$91,3,FALSE)+VLOOKUP("CP",$R$63:$T$91,3,FALSE),0)+IF(AND($V26&lt;&gt;"",$V26&lt;&gt;"--",$V26&lt;&gt;"O3/CP",$V$14=B$18),IF(LEFT($V26,1)="P",VLOOKUP(CONCATENATE(LEFT($V26,2),"H"),$R$63:$T$91,3,FALSE),VLOOKUP($V26,$R$63:$T$91,3,FALSE)))+IF(AND($V26&lt;&gt;"",$V26&lt;&gt;"O3/CP",$V$15=B$18,MID($V26,4,1)="2",$V$15&lt;&gt;$V$14),VLOOKUP(CONCATENATE(LEFT($V26,2),"L"),$R$63:$T$91,3,FALSE),0)+IF(AND($V26="O3/CP",$V$14=B$18),VLOOKUP("O3",$R$63:$T$91,3,FALSE)+VLOOKUP("CP",$R$63:$T$91,3,FALSE),0)+IF(AND($W26&lt;&gt;"",$W26&lt;&gt;"--",$W26&lt;&gt;"O3/CP",$W$14=B$18),IF(LEFT($W26,1)="P",VLOOKUP(CONCATENATE(LEFT($W26,2),"H"),$R$63:$T$91,3,FALSE),VLOOKUP($W26,$R$63:$T$91,3,FALSE)))+IF(AND($W26&lt;&gt;"",$W26&lt;&gt;"O3/CP",$W$15=B$18,MID($W26,4,1)="2",$W$15&lt;&gt;$W$14),VLOOKUP(CONCATENATE(LEFT($W26,2),"L"),$R$63:$T$91,3,FALSE),0)+IF(AND($W26="O3/CP",$W$14=B$18),VLOOKUP("O3",$R$63:$T$91,3,FALSE)+VLOOKUP("CP",$R$63:$T$91,3,FALSE),0)+IF(AND($X26&lt;&gt;"",$X26&lt;&gt;"--",$X26&lt;&gt;"O3/CP",$X$14=B$18),IF(LEFT($X26,1)="P",VLOOKUP(CONCATENATE(LEFT($X26,2),"H"),$R$63:$T$91,3,FALSE),VLOOKUP($X26,$R$63:$T$91,3,FALSE)))+IF(AND($X26&lt;&gt;"",$X26&lt;&gt;"O3/CP",$X$15=B$18,MID($X26,4,1)="2",$X$15&lt;&gt;$X$14),VLOOKUP(CONCATENATE(LEFT($X26,2),"L"),$R$63:$T$91,3,FALSE),0)+IF(AND($X26="O3/CP",$X$14=B$18),VLOOKUP("O3",$R$63:$T$91,3,FALSE)+VLOOKUP("CP",$R$63:$T$91,3,FALSE),0)+IF(AND($Y26&lt;&gt;"",$Y26&lt;&gt;"--",$Y26&lt;&gt;"O3/CP",$Y$14=B$18),IF(LEFT($Y26,1)="P",VLOOKUP(CONCATENATE(LEFT($Y26,2),"H"),$R$63:$T$91,3,FALSE),VLOOKUP($Y26,$R$63:$T$91,3,FALSE)))+IF(AND($Y26&lt;&gt;"",$Y26&lt;&gt;"O3/CP",$Y$15=B$18,MID($Y26,4,1)="2",$Y$15&lt;&gt;$Y$14),VLOOKUP(CONCATENATE(LEFT($Y26,2),"L"),$R$63:$T$91,3,FALSE),0)+IF(AND($Y26="O3/CP",$Y$14=B$18),VLOOKUP("O3",$R$63:$T$91,3,FALSE)+VLOOKUP("CP",$R$63:$T$91,3,FALSE),0)+IF(AND($K$6="CE",'[3]Supply Attribution'!$G$20=B$18),LEFT($S$90,2),0)+IF(AND($X$86&lt;&gt;"Not Set",$X$87=B$18),$X$86,0)</f>
        <v>4</v>
      </c>
      <c r="C26" s="269">
        <f>IF(AND($K26&lt;&gt;"",$K26&lt;&gt;"--",$K26&lt;&gt;"O3/CP",$K$14=C$18),IF(LEFT($K26,1)="P",VLOOKUP(CONCATENATE(LEFT($K26,2),"H"),$R$63:$T$91,3,FALSE),VLOOKUP($K26,$R$63:$T$91,3,FALSE)))+IF(AND($K26&lt;&gt;"",$K26&lt;&gt;"O3/CP",$K$15=C$18,MID($K26,4,1)="2",$K$15&lt;&gt;$K$14),VLOOKUP(CONCATENATE(LEFT($K26,2),"L"),$R$63:$T$91,3,FALSE),0)+IF(AND($K26="O3/CP",$K$14=C$18),VLOOKUP("O3",$R$63:$T$91,3,FALSE)+VLOOKUP("CP",$R$63:$T$91,3,FALSE),0)+IF(AND($L26&lt;&gt;"",$L26&lt;&gt;"--",$L26&lt;&gt;"O3/CP",$L$14=C$18),IF(LEFT($L26,1)="P",VLOOKUP(CONCATENATE(LEFT($L26,2),"H"),$R$63:$T$91,3,FALSE),VLOOKUP($L26,$R$63:$T$91,3,FALSE)))+IF(AND($L26&lt;&gt;"",$L26&lt;&gt;"O3/CP",$L$15=C$18,MID($L26,4,1)="2",$L$15&lt;&gt;$L$14),VLOOKUP(CONCATENATE(LEFT($L26,2),"L"),$R$63:$T$91,3,FALSE),0)+IF(AND($L26="O3/CP",$L$14=C$18),VLOOKUP("O3",$R$63:$T$91,3,FALSE)+VLOOKUP("CP",$R$63:$T$91,3,FALSE),0)+IF(AND($M26&lt;&gt;"",$M26&lt;&gt;"--",$M26&lt;&gt;"O3/CP",$M$14=C$18),IF(LEFT($M26,1)="P",VLOOKUP(CONCATENATE(LEFT($M26,2),"H"),$R$63:$T$91,3,FALSE),VLOOKUP($M26,$R$63:$T$91,3,FALSE)))+IF(AND($M26&lt;&gt;"",$M26&lt;&gt;"O3/CP",$M$15=C$18,MID($M26,4,1)="2",$M$15&lt;&gt;$M$14),VLOOKUP(CONCATENATE(LEFT($M26,2),"L"),$R$63:$T$91,3,FALSE),0)+IF(AND($M26="O3/CP",$M$14=C$18),VLOOKUP("O3",$R$63:$T$91,3,FALSE)+VLOOKUP("CP",$R$63:$T$91,3,FALSE),0)+IF(AND($N26&lt;&gt;"",$N26&lt;&gt;"--",$N26&lt;&gt;"O3/CP",$N$14=C$18),IF(LEFT($N26,1)="P",VLOOKUP(CONCATENATE(LEFT($N26,2),"H"),$R$63:$T$91,3,FALSE),VLOOKUP($N26,$R$63:$T$91,3,FALSE)))+IF(AND($N26&lt;&gt;"",$N26&lt;&gt;"O3/CP",$N$15=C$18,MID($N26,4,1)="2",$N$15&lt;&gt;$N$14),VLOOKUP(CONCATENATE(LEFT($N26,2),"L"),$R$63:$T$91,3,FALSE),0)+IF(AND($N26="O3/CP",$N$14=C$18),VLOOKUP("O3",$R$63:$T$91,3,FALSE)+VLOOKUP("CP",$R$63:$T$91,3,FALSE),0)+IF(AND($O26&lt;&gt;"",$O26&lt;&gt;"--",$O26&lt;&gt;"O3/CP",$O$14=C$18),IF(LEFT($O26,1)="P",VLOOKUP(CONCATENATE(LEFT($O26,2),"H"),$R$63:$T$91,3,FALSE),VLOOKUP($O26,$R$63:$T$91,3,FALSE)))+IF(AND($O26&lt;&gt;"",$O26&lt;&gt;"O3/CP",$O$15=C$18,MID($O26,4,1)="2",$O$15&lt;&gt;$O$14),VLOOKUP(CONCATENATE(LEFT($O26,2),"L"),$R$63:$T$91,3,FALSE),0)+IF(AND($O26="O3/CP",$O$14=C$18),VLOOKUP("O3",$R$63:$T$91,3,FALSE)+VLOOKUP("CP",$R$63:$T$91,3,FALSE),0)+IF(AND($P26&lt;&gt;"",$P26&lt;&gt;"--",$P26&lt;&gt;"O3/CP",$P$14=C$18),IF(LEFT($P26,1)="P",VLOOKUP(CONCATENATE(LEFT($P26,2),"H"),$R$63:$T$91,3,FALSE),VLOOKUP($P26,$R$63:$T$91,3,FALSE)))+IF(AND($P26&lt;&gt;"",$P26&lt;&gt;"O3/CP",$P$15=C$18,MID($P26,4,1)="2",$P$15&lt;&gt;$P$14),VLOOKUP(CONCATENATE(LEFT($P26,2),"L"),$R$63:$T$91,3,FALSE),0)+IF(AND($P26="O3/CP",$P$14=C$18),VLOOKUP("O3",$R$63:$T$91,3,FALSE)+VLOOKUP("CP",$R$63:$T$91,3,FALSE),0)+IF(AND($Q26&lt;&gt;"",$Q26&lt;&gt;"--",$Q26&lt;&gt;"O3/CP",$Q$14=C$18),IF(LEFT($Q26,1)="P",VLOOKUP(CONCATENATE(LEFT($Q26,2),"H"),$R$63:$T$91,3,FALSE),VLOOKUP($Q26,$R$63:$T$91,3,FALSE)))+IF(AND($Q26&lt;&gt;"",$Q26&lt;&gt;"O3/CP",$Q$15=C$18,MID($Q26,4,1)="2",$Q$15&lt;&gt;$Q$14),VLOOKUP(CONCATENATE(LEFT($Q26,2),"L"),$R$63:$T$91,3,FALSE),0)+IF(AND($Q26="O3/CP",$Q$14=C$18),VLOOKUP("O3",$R$63:$T$91,3,FALSE)+VLOOKUP("CP",$R$63:$T$91,3,FALSE),0)+IF(AND($R26&lt;&gt;"",$R26&lt;&gt;"--",$R26&lt;&gt;"O3/CP",$R$14=C$18),IF(LEFT($R26,1)="P",VLOOKUP(CONCATENATE(LEFT($R26,2),"H"),$R$63:$T$91,3,FALSE),VLOOKUP($R26,$R$63:$T$91,3,FALSE)))+IF(AND($R26&lt;&gt;"",$R26&lt;&gt;"O3/CP",$R$15=C$18,MID($R26,4,1)="2",$R$15&lt;&gt;$R$14),VLOOKUP(CONCATENATE(LEFT($R26,2),"L"),$R$63:$T$91,3,FALSE),0)+IF(AND($R26="O3/CP",$R$14=C$18),VLOOKUP("O3",$R$63:$T$91,3,FALSE)+VLOOKUP("CP",$R$63:$T$91,3,FALSE),0)+IF(AND($S26&lt;&gt;"",$S26&lt;&gt;"--",$S26&lt;&gt;"O3/CP",$S$14=C$18),IF(LEFT($S26,1)="P",VLOOKUP(CONCATENATE(LEFT($S26,2),"H"),$R$63:$T$91,3,FALSE),VLOOKUP($S26,$R$63:$T$91,3,FALSE)))+IF(AND($S26&lt;&gt;"",$S26&lt;&gt;"O3/CP",$S$15=C$18,MID($S26,4,1)="2",$S$15&lt;&gt;$S$14),VLOOKUP(CONCATENATE(LEFT($S26,2),"L"),$R$63:$T$91,3,FALSE),0)+IF(AND($S26="O3/CP",$S$14=C$18),VLOOKUP("O3",$R$63:$T$91,3,FALSE)+VLOOKUP("CP",$R$63:$T$91,3,FALSE),0)+IF(AND($T26&lt;&gt;"",$T26&lt;&gt;"--",$T26&lt;&gt;"O3/CP",$T$14=C$18),IF(LEFT($T26,1)="P",VLOOKUP(CONCATENATE(LEFT($T26,2),"H"),$R$63:$T$91,3,FALSE),VLOOKUP($T26,$R$63:$T$91,3,FALSE)))+IF(AND($T26&lt;&gt;"",$T26&lt;&gt;"O3/CP",$T$15=C$18,MID($T26,4,1)="2",$T$15&lt;&gt;$T$14),VLOOKUP(CONCATENATE(LEFT($T26,2),"L"),$R$63:$T$91,3,FALSE),0)+IF(AND($T26="O3/CP",$T$14=C$18),VLOOKUP("O3",$R$63:$T$91,3,FALSE)+VLOOKUP("CP",$R$63:$T$91,3,FALSE),0)+IF(AND($U26&lt;&gt;"",$U26&lt;&gt;"--",$U26&lt;&gt;"O3/CP",$U$14=C$18),IF(LEFT($U26,1)="P",VLOOKUP(CONCATENATE(LEFT($U26,2),"H"),$R$63:$T$91,3,FALSE),VLOOKUP($U26,$R$63:$T$91,3,FALSE)))+IF(AND($U26&lt;&gt;"",$U26&lt;&gt;"O3/CP",$U$15=C$18,MID($U26,4,1)="2",$U$15&lt;&gt;$U$14),VLOOKUP(CONCATENATE(LEFT($U26,2),"L"),$R$63:$T$91,3,FALSE),0)+IF(AND($U26="O3/CP",$T$14=C$18),VLOOKUP("O3",$R$63:$T$91,3,FALSE)+VLOOKUP("CP",$R$63:$T$91,3,FALSE),0)+IF(AND($V26&lt;&gt;"",$V26&lt;&gt;"--",$V26&lt;&gt;"O3/CP",$V$14=C$18),IF(LEFT($V26,1)="P",VLOOKUP(CONCATENATE(LEFT($V26,2),"H"),$R$63:$T$91,3,FALSE),VLOOKUP($V26,$R$63:$T$91,3,FALSE)))+IF(AND($V26&lt;&gt;"",$V26&lt;&gt;"O3/CP",$V$15=C$18,MID($V26,4,1)="2",$V$15&lt;&gt;$V$14),VLOOKUP(CONCATENATE(LEFT($V26,2),"L"),$R$63:$T$91,3,FALSE),0)+IF(AND($V26="O3/CP",$V$14=C$18),VLOOKUP("O3",$R$63:$T$91,3,FALSE)+VLOOKUP("CP",$R$63:$T$91,3,FALSE),0)+IF(AND($W26&lt;&gt;"",$W26&lt;&gt;"--",$W26&lt;&gt;"O3/CP",$W$14=C$18),IF(LEFT($W26,1)="P",VLOOKUP(CONCATENATE(LEFT($W26,2),"H"),$R$63:$T$91,3,FALSE),VLOOKUP($W26,$R$63:$T$91,3,FALSE)))+IF(AND($W26&lt;&gt;"",$W26&lt;&gt;"O3/CP",$W$15=C$18,MID($W26,4,1)="2",$W$15&lt;&gt;$W$14),VLOOKUP(CONCATENATE(LEFT($W26,2),"L"),$R$63:$T$91,3,FALSE),0)+IF(AND($W26="O3/CP",$W$14=C$18),VLOOKUP("O3",$R$63:$T$91,3,FALSE)+VLOOKUP("CP",$R$63:$T$91,3,FALSE),0)+IF(AND($X26&lt;&gt;"",$X26&lt;&gt;"--",$X26&lt;&gt;"O3/CP",$X$14=C$18),IF(LEFT($X26,1)="P",VLOOKUP(CONCATENATE(LEFT($X26,2),"H"),$R$63:$T$91,3,FALSE),VLOOKUP($X26,$R$63:$T$91,3,FALSE)))+IF(AND($X26&lt;&gt;"",$X26&lt;&gt;"O3/CP",$X$15=C$18,MID($X26,4,1)="2",$X$15&lt;&gt;$X$14),VLOOKUP(CONCATENATE(LEFT($X26,2),"L"),$R$63:$T$91,3,FALSE),0)+IF(AND($X26="O3/CP",$X$14=C$18),VLOOKUP("O3",$R$63:$T$91,3,FALSE)+VLOOKUP("CP",$R$63:$T$91,3,FALSE),0)+IF(AND($Y26&lt;&gt;"",$Y26&lt;&gt;"--",$Y26&lt;&gt;"O3/CP",$Y$14=C$18),IF(LEFT($Y26,1)="P",VLOOKUP(CONCATENATE(LEFT($Y26,2),"H"),$R$63:$T$91,3,FALSE),VLOOKUP($Y26,$R$63:$T$91,3,FALSE)))+IF(AND($Y26&lt;&gt;"",$Y26&lt;&gt;"O3/CP",$Y$15=C$18,MID($Y26,4,1)="2",$Y$15&lt;&gt;$Y$14),VLOOKUP(CONCATENATE(LEFT($Y26,2),"L"),$R$63:$T$91,3,FALSE),0)+IF(AND($Y26="O3/CP",$Y$14=C$18),VLOOKUP("O3",$R$63:$T$91,3,FALSE)+VLOOKUP("CP",$R$63:$T$91,3,FALSE),0)+IF(AND($K$6="CE",'[3]Supply Attribution'!$G$20=C$18),LEFT($S$90,2),0)+IF(AND($X$86&lt;&gt;"Not Set",$X$87=C$18),$X$86,0)</f>
        <v>14</v>
      </c>
      <c r="D26" s="269">
        <f>IF(AND($K26&lt;&gt;"",$K26&lt;&gt;"--",$K26&lt;&gt;"O3/CP",$K$14=D$18),IF(LEFT($K26,1)="P",VLOOKUP(CONCATENATE(LEFT($K26,2),"H"),$R$63:$T$91,3,FALSE),VLOOKUP($K26,$R$63:$T$91,3,FALSE)))+IF(AND($K26&lt;&gt;"",$K26&lt;&gt;"O3/CP",$K$15=D$18,MID($K26,4,1)="2",$K$15&lt;&gt;$K$14),VLOOKUP(CONCATENATE(LEFT($K26,2),"L"),$R$63:$T$91,3,FALSE),0)+IF(AND($K26="O3/CP",$K$14=D$18),VLOOKUP("O3",$R$63:$T$91,3,FALSE)+VLOOKUP("CP",$R$63:$T$91,3,FALSE),0)+IF(AND($L26&lt;&gt;"",$L26&lt;&gt;"--",$L26&lt;&gt;"O3/CP",$L$14=D$18),IF(LEFT($L26,1)="P",VLOOKUP(CONCATENATE(LEFT($L26,2),"H"),$R$63:$T$91,3,FALSE),VLOOKUP($L26,$R$63:$T$91,3,FALSE)))+IF(AND($L26&lt;&gt;"",$L26&lt;&gt;"O3/CP",$L$15=D$18,MID($L26,4,1)="2",$L$15&lt;&gt;$L$14),VLOOKUP(CONCATENATE(LEFT($L26,2),"L"),$R$63:$T$91,3,FALSE),0)+IF(AND($L26="O3/CP",$L$14=D$18),VLOOKUP("O3",$R$63:$T$91,3,FALSE)+VLOOKUP("CP",$R$63:$T$91,3,FALSE),0)+IF(AND($M26&lt;&gt;"",$M26&lt;&gt;"--",$M26&lt;&gt;"O3/CP",$M$14=D$18),IF(LEFT($M26,1)="P",VLOOKUP(CONCATENATE(LEFT($M26,2),"H"),$R$63:$T$91,3,FALSE),VLOOKUP($M26,$R$63:$T$91,3,FALSE)))+IF(AND($M26&lt;&gt;"",$M26&lt;&gt;"O3/CP",$M$15=D$18,MID($M26,4,1)="2",$M$15&lt;&gt;$M$14),VLOOKUP(CONCATENATE(LEFT($M26,2),"L"),$R$63:$T$91,3,FALSE),0)+IF(AND($M26="O3/CP",$M$14=D$18),VLOOKUP("O3",$R$63:$T$91,3,FALSE)+VLOOKUP("CP",$R$63:$T$91,3,FALSE),0)+IF(AND($N26&lt;&gt;"",$N26&lt;&gt;"--",$N26&lt;&gt;"O3/CP",$N$14=D$18),IF(LEFT($N26,1)="P",VLOOKUP(CONCATENATE(LEFT($N26,2),"H"),$R$63:$T$91,3,FALSE),VLOOKUP($N26,$R$63:$T$91,3,FALSE)))+IF(AND($N26&lt;&gt;"",$N26&lt;&gt;"O3/CP",$N$15=D$18,MID($N26,4,1)="2",$N$15&lt;&gt;$N$14),VLOOKUP(CONCATENATE(LEFT($N26,2),"L"),$R$63:$T$91,3,FALSE),0)+IF(AND($N26="O3/CP",$N$14=D$18),VLOOKUP("O3",$R$63:$T$91,3,FALSE)+VLOOKUP("CP",$R$63:$T$91,3,FALSE),0)+IF(AND($O26&lt;&gt;"",$O26&lt;&gt;"--",$O26&lt;&gt;"O3/CP",$O$14=D$18),IF(LEFT($O26,1)="P",VLOOKUP(CONCATENATE(LEFT($O26,2),"H"),$R$63:$T$91,3,FALSE),VLOOKUP($O26,$R$63:$T$91,3,FALSE)))+IF(AND($O26&lt;&gt;"",$O26&lt;&gt;"O3/CP",$O$15=D$18,MID($O26,4,1)="2",$O$15&lt;&gt;$O$14),VLOOKUP(CONCATENATE(LEFT($O26,2),"L"),$R$63:$T$91,3,FALSE),0)+IF(AND($O26="O3/CP",$O$14=D$18),VLOOKUP("O3",$R$63:$T$91,3,FALSE)+VLOOKUP("CP",$R$63:$T$91,3,FALSE),0)+IF(AND($P26&lt;&gt;"",$P26&lt;&gt;"--",$P26&lt;&gt;"O3/CP",$P$14=D$18),IF(LEFT($P26,1)="P",VLOOKUP(CONCATENATE(LEFT($P26,2),"H"),$R$63:$T$91,3,FALSE),VLOOKUP($P26,$R$63:$T$91,3,FALSE)))+IF(AND($P26&lt;&gt;"",$P26&lt;&gt;"O3/CP",$P$15=D$18,MID($P26,4,1)="2",$P$15&lt;&gt;$P$14),VLOOKUP(CONCATENATE(LEFT($P26,2),"L"),$R$63:$T$91,3,FALSE),0)+IF(AND($P26="O3/CP",$P$14=D$18),VLOOKUP("O3",$R$63:$T$91,3,FALSE)+VLOOKUP("CP",$R$63:$T$91,3,FALSE),0)+IF(AND($Q26&lt;&gt;"",$Q26&lt;&gt;"--",$Q26&lt;&gt;"O3/CP",$Q$14=D$18),IF(LEFT($Q26,1)="P",VLOOKUP(CONCATENATE(LEFT($Q26,2),"H"),$R$63:$T$91,3,FALSE),VLOOKUP($Q26,$R$63:$T$91,3,FALSE)))+IF(AND($Q26&lt;&gt;"",$Q26&lt;&gt;"O3/CP",$Q$15=D$18,MID($Q26,4,1)="2",$Q$15&lt;&gt;$Q$14),VLOOKUP(CONCATENATE(LEFT($Q26,2),"L"),$R$63:$T$91,3,FALSE),0)+IF(AND($Q26="O3/CP",$Q$14=D$18),VLOOKUP("O3",$R$63:$T$91,3,FALSE)+VLOOKUP("CP",$R$63:$T$91,3,FALSE),0)+IF(AND($R26&lt;&gt;"",$R26&lt;&gt;"--",$R26&lt;&gt;"O3/CP",$R$14=D$18),IF(LEFT($R26,1)="P",VLOOKUP(CONCATENATE(LEFT($R26,2),"H"),$R$63:$T$91,3,FALSE),VLOOKUP($R26,$R$63:$T$91,3,FALSE)))+IF(AND($R26&lt;&gt;"",$R26&lt;&gt;"O3/CP",$R$15=D$18,MID($R26,4,1)="2",$R$15&lt;&gt;$R$14),VLOOKUP(CONCATENATE(LEFT($R26,2),"L"),$R$63:$T$91,3,FALSE),0)+IF(AND($R26="O3/CP",$R$14=D$18),VLOOKUP("O3",$R$63:$T$91,3,FALSE)+VLOOKUP("CP",$R$63:$T$91,3,FALSE),0)+IF(AND($S26&lt;&gt;"",$S26&lt;&gt;"--",$S26&lt;&gt;"O3/CP",$S$14=D$18),IF(LEFT($S26,1)="P",VLOOKUP(CONCATENATE(LEFT($S26,2),"H"),$R$63:$T$91,3,FALSE),VLOOKUP($S26,$R$63:$T$91,3,FALSE)))+IF(AND($S26&lt;&gt;"",$S26&lt;&gt;"O3/CP",$S$15=D$18,MID($S26,4,1)="2",$S$15&lt;&gt;$S$14),VLOOKUP(CONCATENATE(LEFT($S26,2),"L"),$R$63:$T$91,3,FALSE),0)+IF(AND($S26="O3/CP",$S$14=D$18),VLOOKUP("O3",$R$63:$T$91,3,FALSE)+VLOOKUP("CP",$R$63:$T$91,3,FALSE),0)+IF(AND($T26&lt;&gt;"",$T26&lt;&gt;"--",$T26&lt;&gt;"O3/CP",$T$14=D$18),IF(LEFT($T26,1)="P",VLOOKUP(CONCATENATE(LEFT($T26,2),"H"),$R$63:$T$91,3,FALSE),VLOOKUP($T26,$R$63:$T$91,3,FALSE)))+IF(AND($T26&lt;&gt;"",$T26&lt;&gt;"O3/CP",$T$15=D$18,MID($T26,4,1)="2",$T$15&lt;&gt;$T$14),VLOOKUP(CONCATENATE(LEFT($T26,2),"L"),$R$63:$T$91,3,FALSE),0)+IF(AND($T26="O3/CP",$T$14=D$18),VLOOKUP("O3",$R$63:$T$91,3,FALSE)+VLOOKUP("CP",$R$63:$T$91,3,FALSE),0)+IF(AND($U26&lt;&gt;"",$U26&lt;&gt;"--",$U26&lt;&gt;"O3/CP",$U$14=D$18),IF(LEFT($U26,1)="P",VLOOKUP(CONCATENATE(LEFT($U26,2),"H"),$R$63:$T$91,3,FALSE),VLOOKUP($U26,$R$63:$T$91,3,FALSE)))+IF(AND($U26&lt;&gt;"",$U26&lt;&gt;"O3/CP",$U$15=D$18,MID($U26,4,1)="2",$U$15&lt;&gt;$U$14),VLOOKUP(CONCATENATE(LEFT($U26,2),"L"),$R$63:$T$91,3,FALSE),0)+IF(AND($U26="O3/CP",$T$14=D$18),VLOOKUP("O3",$R$63:$T$91,3,FALSE)+VLOOKUP("CP",$R$63:$T$91,3,FALSE),0)+IF(AND($V26&lt;&gt;"",$V26&lt;&gt;"--",$V26&lt;&gt;"O3/CP",$V$14=D$18),IF(LEFT($V26,1)="P",VLOOKUP(CONCATENATE(LEFT($V26,2),"H"),$R$63:$T$91,3,FALSE),VLOOKUP($V26,$R$63:$T$91,3,FALSE)))+IF(AND($V26&lt;&gt;"",$V26&lt;&gt;"O3/CP",$V$15=D$18,MID($V26,4,1)="2",$V$15&lt;&gt;$V$14),VLOOKUP(CONCATENATE(LEFT($V26,2),"L"),$R$63:$T$91,3,FALSE),0)+IF(AND($V26="O3/CP",$V$14=D$18),VLOOKUP("O3",$R$63:$T$91,3,FALSE)+VLOOKUP("CP",$R$63:$T$91,3,FALSE),0)+IF(AND($W26&lt;&gt;"",$W26&lt;&gt;"--",$W26&lt;&gt;"O3/CP",$W$14=D$18),IF(LEFT($W26,1)="P",VLOOKUP(CONCATENATE(LEFT($W26,2),"H"),$R$63:$T$91,3,FALSE),VLOOKUP($W26,$R$63:$T$91,3,FALSE)))+IF(AND($W26&lt;&gt;"",$W26&lt;&gt;"O3/CP",$W$15=D$18,MID($W26,4,1)="2",$W$15&lt;&gt;$W$14),VLOOKUP(CONCATENATE(LEFT($W26,2),"L"),$R$63:$T$91,3,FALSE),0)+IF(AND($W26="O3/CP",$W$14=D$18),VLOOKUP("O3",$R$63:$T$91,3,FALSE)+VLOOKUP("CP",$R$63:$T$91,3,FALSE),0)+IF(AND($X26&lt;&gt;"",$X26&lt;&gt;"--",$X26&lt;&gt;"O3/CP",$X$14=D$18),IF(LEFT($X26,1)="P",VLOOKUP(CONCATENATE(LEFT($X26,2),"H"),$R$63:$T$91,3,FALSE),VLOOKUP($X26,$R$63:$T$91,3,FALSE)))+IF(AND($X26&lt;&gt;"",$X26&lt;&gt;"O3/CP",$X$15=D$18,MID($X26,4,1)="2",$X$15&lt;&gt;$X$14),VLOOKUP(CONCATENATE(LEFT($X26,2),"L"),$R$63:$T$91,3,FALSE),0)+IF(AND($X26="O3/CP",$X$14=D$18),VLOOKUP("O3",$R$63:$T$91,3,FALSE)+VLOOKUP("CP",$R$63:$T$91,3,FALSE),0)+IF(AND($Y26&lt;&gt;"",$Y26&lt;&gt;"--",$Y26&lt;&gt;"O3/CP",$Y$14=D$18),IF(LEFT($Y26,1)="P",VLOOKUP(CONCATENATE(LEFT($Y26,2),"H"),$R$63:$T$91,3,FALSE),VLOOKUP($Y26,$R$63:$T$91,3,FALSE)))+IF(AND($Y26&lt;&gt;"",$Y26&lt;&gt;"O3/CP",$Y$15=D$18,MID($Y26,4,1)="2",$Y$15&lt;&gt;$Y$14),VLOOKUP(CONCATENATE(LEFT($Y26,2),"L"),$R$63:$T$91,3,FALSE),0)+IF(AND($Y26="O3/CP",$Y$14=D$18),VLOOKUP("O3",$R$63:$T$91,3,FALSE)+VLOOKUP("CP",$R$63:$T$91,3,FALSE),0)+IF(AND($K$6="CE",'[3]Supply Attribution'!$G$20=D$18),LEFT($S$90,2),0)+IF(AND($X$86&lt;&gt;"Not Set",$X$87=D$18),$X$86,0)</f>
        <v>0</v>
      </c>
      <c r="E26" s="269">
        <f>IF(AND($K26&lt;&gt;"",$K26&lt;&gt;"--",$K26&lt;&gt;"O3/CP",$K$14=E$18),IF(LEFT($K26,1)="P",VLOOKUP(CONCATENATE(LEFT($K26,2),"H"),$R$63:$T$91,3,FALSE),VLOOKUP($K26,$R$63:$T$91,3,FALSE)))+IF(AND($K26&lt;&gt;"",$K26&lt;&gt;"O3/CP",$K$15=E$18,MID($K26,4,1)="2",$K$15&lt;&gt;$K$14),VLOOKUP(CONCATENATE(LEFT($K26,2),"L"),$R$63:$T$91,3,FALSE),0)+IF(AND($K26="O3/CP",$K$14=E$18),VLOOKUP("O3",$R$63:$T$91,3,FALSE)+VLOOKUP("CP",$R$63:$T$91,3,FALSE),0)+IF(AND($L26&lt;&gt;"",$L26&lt;&gt;"--",$L26&lt;&gt;"O3/CP",$L$14=E$18),IF(LEFT($L26,1)="P",VLOOKUP(CONCATENATE(LEFT($L26,2),"H"),$R$63:$T$91,3,FALSE),VLOOKUP($L26,$R$63:$T$91,3,FALSE)))+IF(AND($L26&lt;&gt;"",$L26&lt;&gt;"O3/CP",$L$15=E$18,MID($L26,4,1)="2",$L$15&lt;&gt;$L$14),VLOOKUP(CONCATENATE(LEFT($L26,2),"L"),$R$63:$T$91,3,FALSE),0)+IF(AND($L26="O3/CP",$L$14=E$18),VLOOKUP("O3",$R$63:$T$91,3,FALSE)+VLOOKUP("CP",$R$63:$T$91,3,FALSE),0)+IF(AND($M26&lt;&gt;"",$M26&lt;&gt;"--",$M26&lt;&gt;"O3/CP",$M$14=E$18),IF(LEFT($M26,1)="P",VLOOKUP(CONCATENATE(LEFT($M26,2),"H"),$R$63:$T$91,3,FALSE),VLOOKUP($M26,$R$63:$T$91,3,FALSE)))+IF(AND($M26&lt;&gt;"",$M26&lt;&gt;"O3/CP",$M$15=E$18,MID($M26,4,1)="2",$M$15&lt;&gt;$M$14),VLOOKUP(CONCATENATE(LEFT($M26,2),"L"),$R$63:$T$91,3,FALSE),0)+IF(AND($M26="O3/CP",$M$14=E$18),VLOOKUP("O3",$R$63:$T$91,3,FALSE)+VLOOKUP("CP",$R$63:$T$91,3,FALSE),0)+IF(AND($N26&lt;&gt;"",$N26&lt;&gt;"--",$N26&lt;&gt;"O3/CP",$N$14=E$18),IF(LEFT($N26,1)="P",VLOOKUP(CONCATENATE(LEFT($N26,2),"H"),$R$63:$T$91,3,FALSE),VLOOKUP($N26,$R$63:$T$91,3,FALSE)))+IF(AND($N26&lt;&gt;"",$N26&lt;&gt;"O3/CP",$N$15=E$18,MID($N26,4,1)="2",$N$15&lt;&gt;$N$14),VLOOKUP(CONCATENATE(LEFT($N26,2),"L"),$R$63:$T$91,3,FALSE),0)+IF(AND($N26="O3/CP",$N$14=E$18),VLOOKUP("O3",$R$63:$T$91,3,FALSE)+VLOOKUP("CP",$R$63:$T$91,3,FALSE),0)+IF(AND($O26&lt;&gt;"",$O26&lt;&gt;"--",$O26&lt;&gt;"O3/CP",$O$14=E$18),IF(LEFT($O26,1)="P",VLOOKUP(CONCATENATE(LEFT($O26,2),"H"),$R$63:$T$91,3,FALSE),VLOOKUP($O26,$R$63:$T$91,3,FALSE)))+IF(AND($O26&lt;&gt;"",$O26&lt;&gt;"O3/CP",$O$15=E$18,MID($O26,4,1)="2",$O$15&lt;&gt;$O$14),VLOOKUP(CONCATENATE(LEFT($O26,2),"L"),$R$63:$T$91,3,FALSE),0)+IF(AND($O26="O3/CP",$O$14=E$18),VLOOKUP("O3",$R$63:$T$91,3,FALSE)+VLOOKUP("CP",$R$63:$T$91,3,FALSE),0)+IF(AND($P26&lt;&gt;"",$P26&lt;&gt;"--",$P26&lt;&gt;"O3/CP",$P$14=E$18),IF(LEFT($P26,1)="P",VLOOKUP(CONCATENATE(LEFT($P26,2),"H"),$R$63:$T$91,3,FALSE),VLOOKUP($P26,$R$63:$T$91,3,FALSE)))+IF(AND($P26&lt;&gt;"",$P26&lt;&gt;"O3/CP",$P$15=E$18,MID($P26,4,1)="2",$P$15&lt;&gt;$P$14),VLOOKUP(CONCATENATE(LEFT($P26,2),"L"),$R$63:$T$91,3,FALSE),0)+IF(AND($P26="O3/CP",$P$14=E$18),VLOOKUP("O3",$R$63:$T$91,3,FALSE)+VLOOKUP("CP",$R$63:$T$91,3,FALSE),0)+IF(AND($Q26&lt;&gt;"",$Q26&lt;&gt;"--",$Q26&lt;&gt;"O3/CP",$Q$14=E$18),IF(LEFT($Q26,1)="P",VLOOKUP(CONCATENATE(LEFT($Q26,2),"H"),$R$63:$T$91,3,FALSE),VLOOKUP($Q26,$R$63:$T$91,3,FALSE)))+IF(AND($Q26&lt;&gt;"",$Q26&lt;&gt;"O3/CP",$Q$15=E$18,MID($Q26,4,1)="2",$Q$15&lt;&gt;$Q$14),VLOOKUP(CONCATENATE(LEFT($Q26,2),"L"),$R$63:$T$91,3,FALSE),0)+IF(AND($Q26="O3/CP",$Q$14=E$18),VLOOKUP("O3",$R$63:$T$91,3,FALSE)+VLOOKUP("CP",$R$63:$T$91,3,FALSE),0)+IF(AND($R26&lt;&gt;"",$R26&lt;&gt;"--",$R26&lt;&gt;"O3/CP",$R$14=E$18),IF(LEFT($R26,1)="P",VLOOKUP(CONCATENATE(LEFT($R26,2),"H"),$R$63:$T$91,3,FALSE),VLOOKUP($R26,$R$63:$T$91,3,FALSE)))+IF(AND($R26&lt;&gt;"",$R26&lt;&gt;"O3/CP",$R$15=E$18,MID($R26,4,1)="2",$R$15&lt;&gt;$R$14),VLOOKUP(CONCATENATE(LEFT($R26,2),"L"),$R$63:$T$91,3,FALSE),0)+IF(AND($R26="O3/CP",$R$14=E$18),VLOOKUP("O3",$R$63:$T$91,3,FALSE)+VLOOKUP("CP",$R$63:$T$91,3,FALSE),0)+IF(AND($S26&lt;&gt;"",$S26&lt;&gt;"--",$S26&lt;&gt;"O3/CP",$S$14=E$18),IF(LEFT($S26,1)="P",VLOOKUP(CONCATENATE(LEFT($S26,2),"H"),$R$63:$T$91,3,FALSE),VLOOKUP($S26,$R$63:$T$91,3,FALSE)))+IF(AND($S26&lt;&gt;"",$S26&lt;&gt;"O3/CP",$S$15=E$18,MID($S26,4,1)="2",$S$15&lt;&gt;$S$14),VLOOKUP(CONCATENATE(LEFT($S26,2),"L"),$R$63:$T$91,3,FALSE),0)+IF(AND($S26="O3/CP",$S$14=E$18),VLOOKUP("O3",$R$63:$T$91,3,FALSE)+VLOOKUP("CP",$R$63:$T$91,3,FALSE),0)+IF(AND($T26&lt;&gt;"",$T26&lt;&gt;"--",$T26&lt;&gt;"O3/CP",$T$14=E$18),IF(LEFT($T26,1)="P",VLOOKUP(CONCATENATE(LEFT($T26,2),"H"),$R$63:$T$91,3,FALSE),VLOOKUP($T26,$R$63:$T$91,3,FALSE)))+IF(AND($T26&lt;&gt;"",$T26&lt;&gt;"O3/CP",$T$15=E$18,MID($T26,4,1)="2",$T$15&lt;&gt;$T$14),VLOOKUP(CONCATENATE(LEFT($T26,2),"L"),$R$63:$T$91,3,FALSE),0)+IF(AND($T26="O3/CP",$T$14=E$18),VLOOKUP("O3",$R$63:$T$91,3,FALSE)+VLOOKUP("CP",$R$63:$T$91,3,FALSE),0)+IF(AND($U26&lt;&gt;"",$U26&lt;&gt;"--",$U26&lt;&gt;"O3/CP",$U$14=E$18),IF(LEFT($U26,1)="P",VLOOKUP(CONCATENATE(LEFT($U26,2),"H"),$R$63:$T$91,3,FALSE),VLOOKUP($U26,$R$63:$T$91,3,FALSE)))+IF(AND($U26&lt;&gt;"",$U26&lt;&gt;"O3/CP",$U$15=E$18,MID($U26,4,1)="2",$U$15&lt;&gt;$U$14),VLOOKUP(CONCATENATE(LEFT($U26,2),"L"),$R$63:$T$91,3,FALSE),0)+IF(AND($U26="O3/CP",$T$14=E$18),VLOOKUP("O3",$R$63:$T$91,3,FALSE)+VLOOKUP("CP",$R$63:$T$91,3,FALSE),0)+IF(AND($V26&lt;&gt;"",$V26&lt;&gt;"--",$V26&lt;&gt;"O3/CP",$V$14=E$18),IF(LEFT($V26,1)="P",VLOOKUP(CONCATENATE(LEFT($V26,2),"H"),$R$63:$T$91,3,FALSE),VLOOKUP($V26,$R$63:$T$91,3,FALSE)))+IF(AND($V26&lt;&gt;"",$V26&lt;&gt;"O3/CP",$V$15=E$18,MID($V26,4,1)="2",$V$15&lt;&gt;$V$14),VLOOKUP(CONCATENATE(LEFT($V26,2),"L"),$R$63:$T$91,3,FALSE),0)+IF(AND($V26="O3/CP",$V$14=E$18),VLOOKUP("O3",$R$63:$T$91,3,FALSE)+VLOOKUP("CP",$R$63:$T$91,3,FALSE),0)+IF(AND($W26&lt;&gt;"",$W26&lt;&gt;"--",$W26&lt;&gt;"O3/CP",$W$14=E$18),IF(LEFT($W26,1)="P",VLOOKUP(CONCATENATE(LEFT($W26,2),"H"),$R$63:$T$91,3,FALSE),VLOOKUP($W26,$R$63:$T$91,3,FALSE)))+IF(AND($W26&lt;&gt;"",$W26&lt;&gt;"O3/CP",$W$15=E$18,MID($W26,4,1)="2",$W$15&lt;&gt;$W$14),VLOOKUP(CONCATENATE(LEFT($W26,2),"L"),$R$63:$T$91,3,FALSE),0)+IF(AND($W26="O3/CP",$W$14=E$18),VLOOKUP("O3",$R$63:$T$91,3,FALSE)+VLOOKUP("CP",$R$63:$T$91,3,FALSE),0)+IF(AND($X26&lt;&gt;"",$X26&lt;&gt;"--",$X26&lt;&gt;"O3/CP",$X$14=E$18),IF(LEFT($X26,1)="P",VLOOKUP(CONCATENATE(LEFT($X26,2),"H"),$R$63:$T$91,3,FALSE),VLOOKUP($X26,$R$63:$T$91,3,FALSE)))+IF(AND($X26&lt;&gt;"",$X26&lt;&gt;"O3/CP",$X$15=E$18,MID($X26,4,1)="2",$X$15&lt;&gt;$X$14),VLOOKUP(CONCATENATE(LEFT($X26,2),"L"),$R$63:$T$91,3,FALSE),0)+IF(AND($X26="O3/CP",$X$14=E$18),VLOOKUP("O3",$R$63:$T$91,3,FALSE)+VLOOKUP("CP",$R$63:$T$91,3,FALSE),0)+IF(AND($Y26&lt;&gt;"",$Y26&lt;&gt;"--",$Y26&lt;&gt;"O3/CP",$Y$14=E$18),IF(LEFT($Y26,1)="P",VLOOKUP(CONCATENATE(LEFT($Y26,2),"H"),$R$63:$T$91,3,FALSE),VLOOKUP($Y26,$R$63:$T$91,3,FALSE)))+IF(AND($Y26&lt;&gt;"",$Y26&lt;&gt;"O3/CP",$Y$15=E$18,MID($Y26,4,1)="2",$Y$15&lt;&gt;$Y$14),VLOOKUP(CONCATENATE(LEFT($Y26,2),"L"),$R$63:$T$91,3,FALSE),0)+IF(AND($Y26="O3/CP",$Y$14=E$18),VLOOKUP("O3",$R$63:$T$91,3,FALSE)+VLOOKUP("CP",$R$63:$T$91,3,FALSE),0)+IF(AND($K$6="CE",'[3]Supply Attribution'!$G$20=E$18),LEFT($S$90,2),0)+IF(AND($X$86&lt;&gt;"Not Set",$X$87=E$18),$X$86,0)</f>
        <v>0</v>
      </c>
      <c r="F26" s="268">
        <f>IF(AND($K26&lt;&gt;"",$K26&lt;&gt;"--",$K26&lt;&gt;"O3/CP",$K$14=F$18),IF(LEFT($K26,1)="P",VLOOKUP(CONCATENATE(LEFT($K26,2),"H"),$R$63:$T$91,3,FALSE),VLOOKUP($K26,$R$63:$T$91,3,FALSE)))+IF(AND($K26&lt;&gt;"",$K26&lt;&gt;"O3/CP",$K$15=F$18,MID($K26,4,1)="2",$K$15&lt;&gt;$K$14),VLOOKUP(CONCATENATE(LEFT($K26,2),"L"),$R$63:$T$91,3,FALSE),0)+IF(AND($K26="O3/CP",$K$14=F$18),VLOOKUP("O3",$R$63:$T$91,3,FALSE)+VLOOKUP("CP",$R$63:$T$91,3,FALSE),0)+IF(AND($L26&lt;&gt;"",$L26&lt;&gt;"--",$L26&lt;&gt;"O3/CP",$L$14=F$18),IF(LEFT($L26,1)="P",VLOOKUP(CONCATENATE(LEFT($L26,2),"H"),$R$63:$T$91,3,FALSE),VLOOKUP($L26,$R$63:$T$91,3,FALSE)))+IF(AND($L26&lt;&gt;"",$L26&lt;&gt;"O3/CP",$L$15=F$18,MID($L26,4,1)="2",$L$15&lt;&gt;$L$14),VLOOKUP(CONCATENATE(LEFT($L26,2),"L"),$R$63:$T$91,3,FALSE),0)+IF(AND($L26="O3/CP",$L$14=F$18),VLOOKUP("O3",$R$63:$T$91,3,FALSE)+VLOOKUP("CP",$R$63:$T$91,3,FALSE),0)+IF(AND($M26&lt;&gt;"",$M26&lt;&gt;"--",$M26&lt;&gt;"O3/CP",$M$14=F$18),IF(LEFT($M26,1)="P",VLOOKUP(CONCATENATE(LEFT($M26,2),"H"),$R$63:$T$91,3,FALSE),VLOOKUP($M26,$R$63:$T$91,3,FALSE)))+IF(AND($M26&lt;&gt;"",$M26&lt;&gt;"O3/CP",$M$15=F$18,MID($M26,4,1)="2",$M$15&lt;&gt;$M$14),VLOOKUP(CONCATENATE(LEFT($M26,2),"L"),$R$63:$T$91,3,FALSE),0)+IF(AND($M26="O3/CP",$M$14=F$18),VLOOKUP("O3",$R$63:$T$91,3,FALSE)+VLOOKUP("CP",$R$63:$T$91,3,FALSE),0)+IF(AND($N26&lt;&gt;"",$N26&lt;&gt;"--",$N26&lt;&gt;"O3/CP",$N$14=F$18),IF(LEFT($N26,1)="P",VLOOKUP(CONCATENATE(LEFT($N26,2),"H"),$R$63:$T$91,3,FALSE),VLOOKUP($N26,$R$63:$T$91,3,FALSE)))+IF(AND($N26&lt;&gt;"",$N26&lt;&gt;"O3/CP",$N$15=F$18,MID($N26,4,1)="2",$N$15&lt;&gt;$N$14),VLOOKUP(CONCATENATE(LEFT($N26,2),"L"),$R$63:$T$91,3,FALSE),0)+IF(AND($N26="O3/CP",$N$14=F$18),VLOOKUP("O3",$R$63:$T$91,3,FALSE)+VLOOKUP("CP",$R$63:$T$91,3,FALSE),0)+IF(AND($O26&lt;&gt;"",$O26&lt;&gt;"--",$O26&lt;&gt;"O3/CP",$O$14=F$18),IF(LEFT($O26,1)="P",VLOOKUP(CONCATENATE(LEFT($O26,2),"H"),$R$63:$T$91,3,FALSE),VLOOKUP($O26,$R$63:$T$91,3,FALSE)))+IF(AND($O26&lt;&gt;"",$O26&lt;&gt;"O3/CP",$O$15=F$18,MID($O26,4,1)="2",$O$15&lt;&gt;$O$14),VLOOKUP(CONCATENATE(LEFT($O26,2),"L"),$R$63:$T$91,3,FALSE),0)+IF(AND($O26="O3/CP",$O$14=F$18),VLOOKUP("O3",$R$63:$T$91,3,FALSE)+VLOOKUP("CP",$R$63:$T$91,3,FALSE),0)+IF(AND($P26&lt;&gt;"",$P26&lt;&gt;"--",$P26&lt;&gt;"O3/CP",$P$14=F$18),IF(LEFT($P26,1)="P",VLOOKUP(CONCATENATE(LEFT($P26,2),"H"),$R$63:$T$91,3,FALSE),VLOOKUP($P26,$R$63:$T$91,3,FALSE)))+IF(AND($P26&lt;&gt;"",$P26&lt;&gt;"O3/CP",$P$15=F$18,MID($P26,4,1)="2",$P$15&lt;&gt;$P$14),VLOOKUP(CONCATENATE(LEFT($P26,2),"L"),$R$63:$T$91,3,FALSE),0)+IF(AND($P26="O3/CP",$P$14=F$18),VLOOKUP("O3",$R$63:$T$91,3,FALSE)+VLOOKUP("CP",$R$63:$T$91,3,FALSE),0)+IF(AND($Q26&lt;&gt;"",$Q26&lt;&gt;"--",$Q26&lt;&gt;"O3/CP",$Q$14=F$18),IF(LEFT($Q26,1)="P",VLOOKUP(CONCATENATE(LEFT($Q26,2),"H"),$R$63:$T$91,3,FALSE),VLOOKUP($Q26,$R$63:$T$91,3,FALSE)))+IF(AND($Q26&lt;&gt;"",$Q26&lt;&gt;"O3/CP",$Q$15=F$18,MID($Q26,4,1)="2",$Q$15&lt;&gt;$Q$14),VLOOKUP(CONCATENATE(LEFT($Q26,2),"L"),$R$63:$T$91,3,FALSE),0)+IF(AND($Q26="O3/CP",$Q$14=F$18),VLOOKUP("O3",$R$63:$T$91,3,FALSE)+VLOOKUP("CP",$R$63:$T$91,3,FALSE),0)+IF(AND($R26&lt;&gt;"",$R26&lt;&gt;"--",$R26&lt;&gt;"O3/CP",$R$14=F$18),IF(LEFT($R26,1)="P",VLOOKUP(CONCATENATE(LEFT($R26,2),"H"),$R$63:$T$91,3,FALSE),VLOOKUP($R26,$R$63:$T$91,3,FALSE)))+IF(AND($R26&lt;&gt;"",$R26&lt;&gt;"O3/CP",$R$15=F$18,MID($R26,4,1)="2",$R$15&lt;&gt;$R$14),VLOOKUP(CONCATENATE(LEFT($R26,2),"L"),$R$63:$T$91,3,FALSE),0)+IF(AND($R26="O3/CP",$R$14=F$18),VLOOKUP("O3",$R$63:$T$91,3,FALSE)+VLOOKUP("CP",$R$63:$T$91,3,FALSE),0)+IF(AND($S26&lt;&gt;"",$S26&lt;&gt;"--",$S26&lt;&gt;"O3/CP",$S$14=F$18),IF(LEFT($S26,1)="P",VLOOKUP(CONCATENATE(LEFT($S26,2),"H"),$R$63:$T$91,3,FALSE),VLOOKUP($S26,$R$63:$T$91,3,FALSE)))+IF(AND($S26&lt;&gt;"",$S26&lt;&gt;"O3/CP",$S$15=F$18,MID($S26,4,1)="2",$S$15&lt;&gt;$S$14),VLOOKUP(CONCATENATE(LEFT($S26,2),"L"),$R$63:$T$91,3,FALSE),0)+IF(AND($S26="O3/CP",$S$14=F$18),VLOOKUP("O3",$R$63:$T$91,3,FALSE)+VLOOKUP("CP",$R$63:$T$91,3,FALSE),0)+IF(AND($T26&lt;&gt;"",$T26&lt;&gt;"--",$T26&lt;&gt;"O3/CP",$T$14=F$18),IF(LEFT($T26,1)="P",VLOOKUP(CONCATENATE(LEFT($T26,2),"H"),$R$63:$T$91,3,FALSE),VLOOKUP($T26,$R$63:$T$91,3,FALSE)))+IF(AND($T26&lt;&gt;"",$T26&lt;&gt;"O3/CP",$T$15=F$18,MID($T26,4,1)="2",$T$15&lt;&gt;$T$14),VLOOKUP(CONCATENATE(LEFT($T26,2),"L"),$R$63:$T$91,3,FALSE),0)+IF(AND($T26="O3/CP",$T$14=F$18),VLOOKUP("O3",$R$63:$T$91,3,FALSE)+VLOOKUP("CP",$R$63:$T$91,3,FALSE),0)+IF(AND($U26&lt;&gt;"",$U26&lt;&gt;"--",$U26&lt;&gt;"O3/CP",$U$14=F$18),IF(LEFT($U26,1)="P",VLOOKUP(CONCATENATE(LEFT($U26,2),"H"),$R$63:$T$91,3,FALSE),VLOOKUP($U26,$R$63:$T$91,3,FALSE)))+IF(AND($U26&lt;&gt;"",$U26&lt;&gt;"O3/CP",$U$15=F$18,MID($U26,4,1)="2",$U$15&lt;&gt;$U$14),VLOOKUP(CONCATENATE(LEFT($U26,2),"L"),$R$63:$T$91,3,FALSE),0)+IF(AND($U26="O3/CP",$T$14=F$18),VLOOKUP("O3",$R$63:$T$91,3,FALSE)+VLOOKUP("CP",$R$63:$T$91,3,FALSE),0)+IF(AND($V26&lt;&gt;"",$V26&lt;&gt;"--",$V26&lt;&gt;"O3/CP",$V$14=F$18),IF(LEFT($V26,1)="P",VLOOKUP(CONCATENATE(LEFT($V26,2),"H"),$R$63:$T$91,3,FALSE),VLOOKUP($V26,$R$63:$T$91,3,FALSE)))+IF(AND($V26&lt;&gt;"",$V26&lt;&gt;"O3/CP",$V$15=F$18,MID($V26,4,1)="2",$V$15&lt;&gt;$V$14),VLOOKUP(CONCATENATE(LEFT($V26,2),"L"),$R$63:$T$91,3,FALSE),0)+IF(AND($V26="O3/CP",$V$14=F$18),VLOOKUP("O3",$R$63:$T$91,3,FALSE)+VLOOKUP("CP",$R$63:$T$91,3,FALSE),0)+IF(AND($W26&lt;&gt;"",$W26&lt;&gt;"--",$W26&lt;&gt;"O3/CP",$W$14=F$18),IF(LEFT($W26,1)="P",VLOOKUP(CONCATENATE(LEFT($W26,2),"H"),$R$63:$T$91,3,FALSE),VLOOKUP($W26,$R$63:$T$91,3,FALSE)))+IF(AND($W26&lt;&gt;"",$W26&lt;&gt;"O3/CP",$W$15=F$18,MID($W26,4,1)="2",$W$15&lt;&gt;$W$14),VLOOKUP(CONCATENATE(LEFT($W26,2),"L"),$R$63:$T$91,3,FALSE),0)+IF(AND($W26="O3/CP",$W$14=F$18),VLOOKUP("O3",$R$63:$T$91,3,FALSE)+VLOOKUP("CP",$R$63:$T$91,3,FALSE),0)+IF(AND($X26&lt;&gt;"",$X26&lt;&gt;"--",$X26&lt;&gt;"O3/CP",$X$14=F$18),IF(LEFT($X26,1)="P",VLOOKUP(CONCATENATE(LEFT($X26,2),"H"),$R$63:$T$91,3,FALSE),VLOOKUP($X26,$R$63:$T$91,3,FALSE)))+IF(AND($X26&lt;&gt;"",$X26&lt;&gt;"O3/CP",$X$15=F$18,MID($X26,4,1)="2",$X$15&lt;&gt;$X$14),VLOOKUP(CONCATENATE(LEFT($X26,2),"L"),$R$63:$T$91,3,FALSE),0)+IF(AND($X26="O3/CP",$X$14=F$18),VLOOKUP("O3",$R$63:$T$91,3,FALSE)+VLOOKUP("CP",$R$63:$T$91,3,FALSE),0)+IF(AND($Y26&lt;&gt;"",$Y26&lt;&gt;"--",$Y26&lt;&gt;"O3/CP",$Y$14=F$18),IF(LEFT($Y26,1)="P",VLOOKUP(CONCATENATE(LEFT($Y26,2),"H"),$R$63:$T$91,3,FALSE),VLOOKUP($Y26,$R$63:$T$91,3,FALSE)))+IF(AND($Y26&lt;&gt;"",$Y26&lt;&gt;"O3/CP",$Y$15=F$18,MID($Y26,4,1)="2",$Y$15&lt;&gt;$Y$14),VLOOKUP(CONCATENATE(LEFT($Y26,2),"L"),$R$63:$T$91,3,FALSE),0)+IF(AND($Y26="O3/CP",$Y$14=F$18),VLOOKUP("O3",$R$63:$T$91,3,FALSE)+VLOOKUP("CP",$R$63:$T$91,3,FALSE),0)+IF(AND($K$6="CE",'[3]Supply Attribution'!$G$20=F$18),LEFT($S$90,2),0)+IF(AND($X$86&lt;&gt;"Not Set",$X$87=F$18),$X$86,0)</f>
        <v>0</v>
      </c>
      <c r="G26" s="269">
        <f>IF(AND($K$6="CE",$T$59="1 Phase"),SUM(A26:F26)-IF(AND($K$14&lt;&gt;$K$15,RIGHT($K26,3)="2SP"),VLOOKUP(CONCATENATE(LEFT($K26,2),"L"),$R$63:$T$90,3,FALSE),0)-IF(AND($L$14&lt;&gt;$L$15,RIGHT($L26,3)="2SP"),VLOOKUP(CONCATENATE(LEFT($L26,2),"L"),$R$63:$T$90,3,FALSE),0)-IF(AND($M$14&lt;&gt;$M$15,RIGHT($M26,3)="2SP"),VLOOKUP(CONCATENATE(LEFT($M26,2),"L"),$R$63:$T$90,3,FALSE),0)-IF(AND($N$14&lt;&gt;$N$15,RIGHT($N26,3)="2SP"),VLOOKUP(CONCATENATE(LEFT($N26,2),"L"),$R$63:$T$90,3,FALSE),0)-IF(AND($O$14&lt;&gt;$O$15,RIGHT($O26,3)="2SP"),VLOOKUP(CONCATENATE(LEFT($O26,2),"L"),$R$63:$T$90,3,FALSE),0)-IF(AND($P$14&lt;&gt;$P$15,RIGHT($P26,3)="2SP"),VLOOKUP(CONCATENATE(LEFT($P26,2),"L"),$R$63:$T$90,3,FALSE),0)-IF(AND($Q$14&lt;&gt;$Q$15,RIGHT($Q26,3)="2SP"),VLOOKUP(CONCATENATE(LEFT($Q26,2),"L"),$R$63:$T$90,3,FALSE),0)-IF(AND($R$14&lt;&gt;$R$15,RIGHT($T26,3)="2SP"),VLOOKUP(CONCATENATE(LEFT($R26,2),"L"),$R$63:$T$90,3,FALSE),0)-IF(AND($S$14&lt;&gt;$S$15,RIGHT($T26,3)="2SP"),VLOOKUP(CONCATENATE(LEFT($S26,2),"L"),$R$63:$T$90,3,FALSE),0)-IF(AND($T$14&lt;&gt;$T$15,RIGHT($T26,3)="2SP"),VLOOKUP(CONCATENATE(LEFT($T26,2),"L"),$R$63:$T$90,3,FALSE),0)-IF(AND($U$14&lt;&gt;$U$15,RIGHT($U26,3)="2SP"),VLOOKUP(CONCATENATE(LEFT($U26,2),"L"),$R$63:$T$90,3,FALSE),0)-IF(AND($V$14&lt;&gt;$V$15,RIGHT($V26,3)="2SP"),VLOOKUP(CONCATENATE(LEFT($V26,2),"L"),$R$63:$T$90,3,FALSE),0)-IF(AND($W$14&lt;&gt;$W$15,RIGHT($W26,3)="2SP"),VLOOKUP(CONCATENATE(LEFT($W26,2),"L"),$R$63:$T$90,3,FALSE),0)-IF(AND($X$14&lt;&gt;$X$15,RIGHT($X26,3)="2SP"),VLOOKUP(CONCATENATE(LEFT($X26,2),"L"),$R$63:$T$90,3,FALSE),0)-IF(AND($Y$14&lt;&gt;$Y$15,RIGHT($Y26,3)="2SP"),VLOOKUP(CONCATENATE(LEFT($Y26,2),"L"),$R$63:$T$90,3,FALSE),0),IF(VLOOKUP(CONCATENATE($A$18,"Line"),'[3]Supply Attribution'!$F$31:$G$37,2,FALSE)=G$18,$A26,0)+IF(VLOOKUP(CONCATENATE($B$18,"Line"),'[3]Supply Attribution'!$F$31:$G$37,2,FALSE)=G$18,$B26,0)+IF(VLOOKUP(CONCATENATE($C$18,"Line"),'[3]Supply Attribution'!$F$31:$G$37,2,FALSE)=G$18,$C26,0)+IF(VLOOKUP(CONCATENATE($D$18,"Line"),'[3]Supply Attribution'!$F$31:$G$37,2,FALSE)=G$18,$D26,0)+IF(VLOOKUP(CONCATENATE($E$18,"Line"),'[3]Supply Attribution'!$F$31:$G$37,2,FALSE)=G$18,$E26,0)+IF(VLOOKUP(CONCATENATE($F$18,"Line"),'[3]Supply Attribution'!$F$31:$G$37,2,FALSE)=G$18,$F26,0)+IF($K$6="UL",LEFT($S$90,2),0)-IF(AND($K$16=G$18,$K$14&lt;&gt;$K$15,$K$16=$K$17,RIGHT($K26,3)="2SP"),VLOOKUP(CONCATENATE(LEFT($K26,2),"L"),$R$63:$T$90,3,FALSE),0)-IF(AND($L$16=G$18,$L$14&lt;&gt;$L$15,$L$16=$L$17,RIGHT($L26,3)="2SP"),VLOOKUP(CONCATENATE(LEFT($L26,2),"L"),$R$63:$T$90,3,FALSE),0)-IF(AND($M$16=G$18,$M$14&lt;&gt;$M$15,$M$16=$M$17,RIGHT($M26,3)="2SP"),VLOOKUP(CONCATENATE(LEFT($M26,2),"L"),$R$63:$T$90,3,FALSE),0)-IF(AND($N$16=G$18,$N$14&lt;&gt;$N$15,$N$16=$N$17,RIGHT($N26,3)="2SP"),VLOOKUP(CONCATENATE(LEFT($N26,2),"L"),$R$63:$T$90,3,FALSE),0)-IF(AND($O$16=G$18,$O$14&lt;&gt;$O$15,$O$16=$O$17,RIGHT($O26,3)="2SP"),VLOOKUP(CONCATENATE(LEFT($O26,2),"L"),$R$63:$T$90,3,FALSE),0)-IF(AND($P$16=G$18,$P$14&lt;&gt;$P$15,$P$16=$P$17,RIGHT($P26,3)="2SP"),VLOOKUP(CONCATENATE(LEFT($P26,2),"L"),$R$63:$T$90,3,FALSE),0)-IF(AND($Q$16=G$18,$Q$14&lt;&gt;$Q$15,$Q$16=$Q$17,RIGHT($Q26,3)="2SP"),VLOOKUP(CONCATENATE(LEFT($Q26,2),"L"),$R$63:$T$90,3,FALSE),0)-IF(AND($R$16=G$18,$R$14&lt;&gt;$R$15,$R$16=$R$17,RIGHT($R26,3)="2SP"),VLOOKUP(CONCATENATE(LEFT($R26,2),"L"),$R$63:$T$90,3,FALSE),0)-IF(AND($S$16=G$18,$S$14&lt;&gt;$S$15,$S$16=$S$17,RIGHT($S26,3)="2SP"),VLOOKUP(CONCATENATE(LEFT($S26,2),"L"),$R$63:$T$90,3,FALSE),0)-IF(AND($T$16=G$18,$T$14&lt;&gt;$T$15,$T$16=$T$17,RIGHT($T26,3)="2SP"),VLOOKUP(CONCATENATE(LEFT($T26,2),"L"),$R$63:$T$90,3,FALSE),0)-IF(AND($U$16=G$18,$U$14&lt;&gt;$U$15,$U$16=$U$17,RIGHT($U26,3)="2SP"),VLOOKUP(CONCATENATE(LEFT($U26,2),"L"),$R$63:$T$90,3,FALSE),0)-IF(AND($V$16=G$18,$V$14&lt;&gt;$V$15,$V$16=$V$17,RIGHT($V26,3)="2SP"),VLOOKUP(CONCATENATE(LEFT($V26,2),"L"),$R$63:$T$90,3,FALSE),0)-IF(AND($W$16=G$18,$W$14&lt;&gt;$W$15,$W$16=$W$17,RIGHT($W26,3)="2SP"),VLOOKUP(CONCATENATE(LEFT($W26,2),"L"),$R$63:$T$90,3,FALSE),0)-IF(AND($X$16=G$18,$X$14&lt;&gt;$X$15,$X$16=$X$17,RIGHT($X26,3)="2SP"),VLOOKUP(CONCATENATE(LEFT($X26,2),"L"),$R$63:$T$90,3,FALSE),0)-IF(AND($Y$16=G$18,$Y$14&lt;&gt;$Y$15,$Y$16=$Y$17,RIGHT($Y26,3)="2SP"),VLOOKUP(CONCATENATE(LEFT($Y26,2),"L"),$R$63:$T$90,3,FALSE),0))</f>
        <v>45</v>
      </c>
      <c r="H26" s="269" t="str">
        <f>IF(H$18&lt;&gt;"",IF(VLOOKUP(CONCATENATE($A$18,"Line"),'Supply Attribution'!$F$31:$G$37,2,FALSE)=H$18,$A26,0)+IF(VLOOKUP(CONCATENATE($B$18,"Line"),'Supply Attribution'!$F$31:$G$37,2,FALSE)=H$18,$B26,0)+IF(VLOOKUP(CONCATENATE($C$18,"Line"),'Supply Attribution'!$F$31:$G$37,2,FALSE)=H$18,$C26,0)+IF(VLOOKUP(CONCATENATE($D$18,"Line"),'Supply Attribution'!$F$31:$G$37,2,FALSE)=H$18,$D26,0)+IF(VLOOKUP(CONCATENATE($E$18,"Line"),'Supply Attribution'!$F$31:$G$37,2,FALSE)=H$18,$E26,0)+IF(VLOOKUP(CONCATENATE($F$18,"Line"),'Supply Attribution'!$F$31:$G$37,2,FALSE)=H$18,$F26,0)+IF($K$6="UL",LEFT($S$90,2),0)-IF(AND($K$16=H$18,$K$14&lt;&gt;$K$15,$K$16=$K$17,RIGHT($K26,3)="2SP"),VLOOKUP(CONCATENATE(LEFT($K26,2),"L"),$R$63:$T$90,3,FALSE),0)-IF(AND($L$16=H$18,$L$14&lt;&gt;$L$15,$L$16=$L$17,RIGHT($L26,3)="2SP"),VLOOKUP(CONCATENATE(LEFT($L26,2),"L"),$R$63:$T$90,3,FALSE),0)-IF(AND($M$16=H$18,$M$14&lt;&gt;$M$15,$M$16=$M$17,RIGHT($M26,3)="2SP"),VLOOKUP(CONCATENATE(LEFT($M26,2),"L"),$R$63:$T$90,3,FALSE),0)-IF(AND($N$16=H$18,$N$14&lt;&gt;$N$15,$N$16=$N$17,RIGHT($N26,3)="2SP"),VLOOKUP(CONCATENATE(LEFT($N26,2),"L"),$R$63:$T$90,3,FALSE),0)-IF(AND($O$16=H$18,$O$14&lt;&gt;$O$15,$O$16=$O$17,RIGHT($O26,3)="2SP"),VLOOKUP(CONCATENATE(LEFT($O26,2),"L"),$R$63:$T$90,3,FALSE),0)-IF(AND($P$16=H$18,$P$14&lt;&gt;$P$15,$P$16=$P$17,RIGHT($P26,3)="2SP"),VLOOKUP(CONCATENATE(LEFT($P26,2),"L"),$R$63:$T$90,3,FALSE),0)-IF(AND($Q$16=H$18,$Q$14&lt;&gt;$Q$15,$Q$16=$Q$17,RIGHT($Q26,3)="2SP"),VLOOKUP(CONCATENATE(LEFT($Q26,2),"L"),$R$63:$T$90,3,FALSE),0)-IF(AND($T$16=H$18,$T$14&lt;&gt;$T$15,$T$16=$T$17,RIGHT($T26,3)="2SP"),VLOOKUP(CONCATENATE(LEFT($T26,2),"L"),$R$63:$T$90,3,FALSE),0)-IF(AND($U$16=H$18,$U$14&lt;&gt;$U$15,$U$16=$U$17,RIGHT($U26,3)="2SP"),VLOOKUP(CONCATENATE(LEFT($U26,2),"L"),$R$63:$T$90,3,FALSE),0)-IF(AND($V$16=H$18,$V$14&lt;&gt;$V$15,$V$16=$V$17,RIGHT($V26,3)="2SP"),VLOOKUP(CONCATENATE(LEFT($V26,2),"L"),$R$63:$T$90,3,FALSE),0)-IF(AND($W$16=H$18,$W$14&lt;&gt;$W$15,$W$16=$W$17,RIGHT($W26,3)="2SP"),VLOOKUP(CONCATENATE(LEFT($W26,2),"L"),$R$63:$T$90,3,FALSE),0)-IF(AND($X$16=H$18,$X$14&lt;&gt;$X$15,$X$16=$X$17,RIGHT($X26,3)="2SP"),VLOOKUP(CONCATENATE(LEFT($X26,2),"L"),$R$63:$T$90,3,FALSE),0)-IF(AND($Y$16=H$18,$Y$14&lt;&gt;$Y$15,$Y$16=$Y$17,RIGHT($Y26,3)="2SP"),VLOOKUP(CONCATENATE(LEFT($Y26,2),"L"),$R$63:$T$90,3,FALSE),0)+IF(AND($K$6="CE",$T$59="2 Phases",H$18&lt;&gt;""),IF(VLOOKUP(CONCATENATE($A$18,"Line"),'Supply Attribution'!$F$31:$G$37,2,FALSE)="Line3",$A26,0)+IF(VLOOKUP(CONCATENATE($B$18,"Line"),'Supply Attribution'!$F$31:$G$37,2,FALSE)="Line3",$B26,0)+IF(VLOOKUP(CONCATENATE($C$18,"Line"),'Supply Attribution'!$F$31:$G$37,2,FALSE)="Line3",$C26,0)+IF(VLOOKUP(CONCATENATE($D$18,"Line"),'Supply Attribution'!$F$31:$G$37,2,FALSE)="Line3",$D26,0)+IF(VLOOKUP(CONCATENATE($E$18,"Line"),'Supply Attribution'!$F$31:$G$37,2,FALSE)="Line3",$E26,0)+IF(VLOOKUP(CONCATENATE($F$18,"Line"),'Supply Attribution'!$F$31:$G$37,2,FALSE)="Line3",$F26,0)-IF(AND($K$16=I$18,$K$14&lt;&gt;$K$15,$K$16=$K$17,RIGHT($K26,3)="2SP"),VLOOKUP(CONCATENATE(LEFT($K26,2),"L"),$R$63:$T$90,3,FALSE),0)-IF(AND($L$16=I$18,$L$14&lt;&gt;$L$15,$L$16=$L$17,RIGHT($L26,3)="2SP"),VLOOKUP(CONCATENATE(LEFT($L26,2),"L"),$R$63:$T$90,3,FALSE),0)-IF(AND($M$16=I$18,$M$14&lt;&gt;$M$15,$M$16=$M$17,RIGHT($M26,3)="2SP"),VLOOKUP(CONCATENATE(LEFT($M26,2),"L"),$R$63:$T$90,3,FALSE),0)-IF(AND($N$16=I$18,$N$14&lt;&gt;$N$15,$N$16=$N$17,RIGHT($N26,3)="2SP"),VLOOKUP(CONCATENATE(LEFT($N26,2),"L"),$R$63:$T$90,3,FALSE),0)-IF(AND($O$16=I$18,$O$14&lt;&gt;$O$15,$O$16=$O$17,RIGHT($O26,3)="2SP"),VLOOKUP(CONCATENATE(LEFT($O26,2),"L"),$R$63:$T$90,3,FALSE),0)-IF(AND($P$16=I$18,$P$14&lt;&gt;$P$15,$P$16=$P$17,RIGHT($P26,3)="2SP"),VLOOKUP(CONCATENATE(LEFT($P26,2),"L"),$R$63:$T$90,3,FALSE),0)-IF(AND($Q$16=I$18,$Q$14&lt;&gt;$Q$15,$Q$16=$Q$17,RIGHT($Q26,3)="2SP"),VLOOKUP(CONCATENATE(LEFT($Q26,2),"L"),$R$63:$T$90,3,FALSE),0)-IF(AND($T$16=I$18,$T$14&lt;&gt;$T$15,$T$16=$T$17,RIGHT($T26,3)="2SP"),VLOOKUP(CONCATENATE(LEFT($T26,2),"L"),$R$63:$T$90,3,FALSE),0)-IF(AND($U$16=I$18,$U$14&lt;&gt;$U$15,$U$16=$U$17,RIGHT($U26,3)="2SP"),VLOOKUP(CONCATENATE(LEFT($U26,2),"L"),$R$63:$T$90,3,FALSE),0)-IF(AND($V$16=I$18,$V$14&lt;&gt;$V$15,$V$16=$V$17,RIGHT($V26,3)="2SP"),VLOOKUP(CONCATENATE(LEFT($V26,2),"L"),$R$63:$T$90,3,FALSE),0)-IF(AND($W$16=I$18,$W$14&lt;&gt;$W$15,$W$16=$W$17,RIGHT($W26,3)="2SP"),VLOOKUP(CONCATENATE(LEFT($W26,2),"L"),$R$63:$T$90,3,FALSE),0)-IF(AND($X$16=I$18,$X$14&lt;&gt;$X$15,$X$16=$X$17,RIGHT($X26,3)="2SP"),VLOOKUP(CONCATENATE(LEFT($X26,2),"L"),$R$63:$T$90,3,FALSE),0)-IF(AND($Y$16=I$18,$Y$14&lt;&gt;$Y$15,$Y$16=$Y$17,RIGHT($Y26,3)="2SP"),VLOOKUP(CONCATENATE(LEFT($Y26,2),"L"),$R$63:$T$90,3,FALSE),0),0),"")</f>
        <v/>
      </c>
      <c r="I26" s="269" t="str">
        <f>IF(I$18&lt;&gt;"",IF(VLOOKUP(CONCATENATE($A$18,"Line"),'Supply Attribution'!$F$31:$G$37,2,FALSE)=I$18,$A26,0)+IF(VLOOKUP(CONCATENATE($B$18,"Line"),'Supply Attribution'!$F$31:$G$37,2,FALSE)=I$18,$B26,0)+IF(VLOOKUP(CONCATENATE($C$18,"Line"),'Supply Attribution'!$F$31:$G$37,2,FALSE)=I$18,$C26,0)+IF(VLOOKUP(CONCATENATE($D$18,"Line"),'Supply Attribution'!$F$31:$G$37,2,FALSE)=I$18,$D26,0)+IF(VLOOKUP(CONCATENATE($E$18,"Line"),'Supply Attribution'!$F$31:$G$37,2,FALSE)=I$18,$E26,0)+IF(VLOOKUP(CONCATENATE($F$18,"Line"),'Supply Attribution'!$F$31:$G$37,2,FALSE)=I$18,$F26,0)+IF($K$6="UL",LEFT($S$90,2),0)-IF(AND($K$16=I$18,$K$14&lt;&gt;$K$15,$K$16=$K$17,RIGHT($K26,3)="2SP"),VLOOKUP(CONCATENATE(LEFT($K26,2),"L"),$R$63:$T$90,3,FALSE),0)-IF(AND($L$16=I$18,$L$14&lt;&gt;$L$15,$L$16=$L$17,RIGHT($L26,3)="2SP"),VLOOKUP(CONCATENATE(LEFT($L26,2),"L"),$R$63:$T$90,3,FALSE),0)-IF(AND($M$16=I$18,$M$14&lt;&gt;$M$15,$M$16=$M$17,RIGHT($M26,3)="2SP"),VLOOKUP(CONCATENATE(LEFT($M26,2),"L"),$R$63:$T$90,3,FALSE),0)-IF(AND($N$16=I$18,$N$14&lt;&gt;$N$15,$N$16=$N$17,RIGHT($N26,3)="2SP"),VLOOKUP(CONCATENATE(LEFT($N26,2),"L"),$R$63:$T$90,3,FALSE),0)-IF(AND($O$16=I$18,$O$14&lt;&gt;$O$15,$O$16=$O$17,RIGHT($O26,3)="2SP"),VLOOKUP(CONCATENATE(LEFT($O26,2),"L"),$R$63:$T$90,3,FALSE),0)-IF(AND($P$16=I$18,$P$14&lt;&gt;$P$15,$P$16=$P$17,RIGHT($P26,3)="2SP"),VLOOKUP(CONCATENATE(LEFT($P26,2),"L"),$R$63:$T$90,3,FALSE),0)-IF(AND($Q$16=I$18,$Q$14&lt;&gt;$Q$15,$Q$16=$Q$17,RIGHT($Q26,3)="2SP"),VLOOKUP(CONCATENATE(LEFT($Q26,2),"L"),$R$63:$T$90,3,FALSE),0)-IF(AND($T$16=I$18,$T$14&lt;&gt;$T$15,$T$16=$T$17,RIGHT($T26,3)="2SP"),VLOOKUP(CONCATENATE(LEFT($T26,2),"L"),$R$63:$T$90,3,FALSE),0)-IF(AND($U$16=I$18,$U$14&lt;&gt;$U$15,$U$16=$U$17,RIGHT($U26,3)="2SP"),VLOOKUP(CONCATENATE(LEFT($U26,2),"L"),$R$63:$T$90,3,FALSE),0)-IF(AND($V$16=I$18,$V$14&lt;&gt;$V$15,$V$16=$V$17,RIGHT($V26,3)="2SP"),VLOOKUP(CONCATENATE(LEFT($V26,2),"L"),$R$63:$T$90,3,FALSE),0)-IF(AND($W$16=I$18,$W$14&lt;&gt;$W$15,$W$16=$W$17,RIGHT($W26,3)="2SP"),VLOOKUP(CONCATENATE(LEFT($W26,2),"L"),$R$63:$T$90,3,FALSE),0)-IF(AND($X$16=I$18,$X$14&lt;&gt;$X$15,$X$16=$X$17,RIGHT($X26,3)="2SP"),VLOOKUP(CONCATENATE(LEFT($X26,2),"L"),$R$63:$T$90,3,FALSE),0)-IF(AND($Y$16=I$18,$Y$14&lt;&gt;$Y$15,$Y$16=$Y$17,RIGHT($Y26,3)="2SP"),VLOOKUP(CONCATENATE(LEFT($Y26,2),"L"),$R$63:$T$90,3,FALSE),0),"")</f>
        <v/>
      </c>
      <c r="J26" s="134">
        <v>146</v>
      </c>
      <c r="K26" s="135" t="s">
        <v>24</v>
      </c>
      <c r="L26" s="135" t="s">
        <v>457</v>
      </c>
      <c r="M26" s="135" t="s">
        <v>411</v>
      </c>
      <c r="N26" s="135" t="s">
        <v>24</v>
      </c>
      <c r="O26" s="135" t="s">
        <v>286</v>
      </c>
      <c r="P26" s="135"/>
      <c r="Q26" s="135"/>
      <c r="R26" s="135"/>
      <c r="S26" s="135"/>
      <c r="T26" s="135"/>
      <c r="U26" s="135"/>
      <c r="V26" s="135"/>
      <c r="W26" s="135"/>
      <c r="X26" s="135"/>
      <c r="Y26" s="135"/>
      <c r="Z26" s="136" t="s">
        <v>7</v>
      </c>
      <c r="AA26" s="136" t="s">
        <v>357</v>
      </c>
      <c r="AB26" s="137" t="s">
        <v>18</v>
      </c>
      <c r="AC26" s="137" t="s">
        <v>183</v>
      </c>
      <c r="AD26" s="137" t="s">
        <v>18</v>
      </c>
      <c r="AE26" s="138">
        <f t="shared" si="0"/>
        <v>146</v>
      </c>
      <c r="AF26" s="78"/>
    </row>
    <row r="27" spans="1:32" ht="13.15" customHeight="1">
      <c r="A27" s="264">
        <f>IF(AND($K27&lt;&gt;"",$K27&lt;&gt;"--",$K27&lt;&gt;"O3/CP",$K$14=A$18),IF(LEFT($K27,1)="P",VLOOKUP(CONCATENATE(LEFT($K27,2),"H"),$R$63:$T$91,3,FALSE),VLOOKUP($K27,$R$63:$T$91,3,FALSE)))+IF(AND($K27&lt;&gt;"",$K27&lt;&gt;"O3/CP",$K$15=A$18,MID($K27,4,1)="2",$K$15&lt;&gt;$K$14),VLOOKUP(CONCATENATE(LEFT($K27,2),"L"),$R$63:$T$91,3,FALSE),0)+IF(AND($K27="O3/CP",$K$14=A$18),VLOOKUP("O3",$R$63:$T$91,3,FALSE)+VLOOKUP("CP",$R$63:$T$91,3,FALSE),0)+IF(AND($L27&lt;&gt;"",$L27&lt;&gt;"--",$L27&lt;&gt;"O3/CP",$L$14=A$18),IF(LEFT($L27,1)="P",VLOOKUP(CONCATENATE(LEFT($L27,2),"H"),$R$63:$T$91,3,FALSE),VLOOKUP($L27,$R$63:$T$91,3,FALSE)))+IF(AND($L27&lt;&gt;"",$L27&lt;&gt;"O3/CP",$L$15=A$18,MID($L27,4,1)="2",$L$15&lt;&gt;$L$14),VLOOKUP(CONCATENATE(LEFT($L27,2),"L"),$R$63:$T$91,3,FALSE),0)+IF(AND($L27="O3/CP",$L$14=A$18),VLOOKUP("O3",$R$63:$T$91,3,FALSE)+VLOOKUP("CP",$R$63:$T$91,3,FALSE),0)+IF(AND($M27&lt;&gt;"",$M27&lt;&gt;"--",$M27&lt;&gt;"O3/CP",$M$14=A$18),IF(LEFT($M27,1)="P",VLOOKUP(CONCATENATE(LEFT($M27,2),"H"),$R$63:$T$91,3,FALSE),VLOOKUP($M27,$R$63:$T$91,3,FALSE)))+IF(AND($M27&lt;&gt;"",$M27&lt;&gt;"O3/CP",$M$15=A$18,MID($M27,4,1)="2",$M$15&lt;&gt;$M$14),VLOOKUP(CONCATENATE(LEFT($M27,2),"L"),$R$63:$T$91,3,FALSE),0)+IF(AND($M27="O3/CP",$M$14=A$18),VLOOKUP("O3",$R$63:$T$91,3,FALSE)+VLOOKUP("CP",$R$63:$T$91,3,FALSE),0)+IF(AND($N27&lt;&gt;"",$N27&lt;&gt;"--",$N27&lt;&gt;"O3/CP",$N$14=A$18),IF(LEFT($N27,1)="P",VLOOKUP(CONCATENATE(LEFT($N27,2),"H"),$R$63:$T$91,3,FALSE),VLOOKUP($N27,$R$63:$T$91,3,FALSE)))+IF(AND($N27&lt;&gt;"",$N27&lt;&gt;"O3/CP",$N$15=A$18,MID($N27,4,1)="2",$N$15&lt;&gt;$N$14),VLOOKUP(CONCATENATE(LEFT($N27,2),"L"),$R$63:$T$91,3,FALSE),0)+IF(AND($N27="O3/CP",$N$14=A$18),VLOOKUP("O3",$R$63:$T$91,3,FALSE)+VLOOKUP("CP",$R$63:$T$91,3,FALSE),0)+IF(AND($O27&lt;&gt;"",$O27&lt;&gt;"--",$O27&lt;&gt;"O3/CP",$O$14=A$18),IF(LEFT($O27,1)="P",VLOOKUP(CONCATENATE(LEFT($O27,2),"H"),$R$63:$T$91,3,FALSE),VLOOKUP($O27,$R$63:$T$91,3,FALSE)))+IF(AND($O27&lt;&gt;"",$O27&lt;&gt;"O3/CP",$O$15=A$18,MID($O27,4,1)="2",$O$15&lt;&gt;$O$14),VLOOKUP(CONCATENATE(LEFT($O27,2),"L"),$R$63:$T$91,3,FALSE),0)+IF(AND($O27="O3/CP",$O$14=A$18),VLOOKUP("O3",$R$63:$T$91,3,FALSE)+VLOOKUP("CP",$R$63:$T$91,3,FALSE),0)+IF(AND($P27&lt;&gt;"",$P27&lt;&gt;"--",$P27&lt;&gt;"O3/CP",$P$14=A$18),IF(LEFT($P27,1)="P",VLOOKUP(CONCATENATE(LEFT($P27,2),"H"),$R$63:$T$91,3,FALSE),VLOOKUP($P27,$R$63:$T$91,3,FALSE)))+IF(AND($P27&lt;&gt;"",$P27&lt;&gt;"O3/CP",$P$15=A$18,MID($P27,4,1)="2",$P$15&lt;&gt;$P$14),VLOOKUP(CONCATENATE(LEFT($P27,2),"L"),$R$63:$T$91,3,FALSE),0)+IF(AND($P27="O3/CP",$P$14=A$18),VLOOKUP("O3",$R$63:$T$91,3,FALSE)+VLOOKUP("CP",$R$63:$T$91,3,FALSE),0)+IF(AND($Q27&lt;&gt;"",$Q27&lt;&gt;"--",$Q27&lt;&gt;"O3/CP",$Q$14=A$18),IF(LEFT($Q27,1)="P",VLOOKUP(CONCATENATE(LEFT($Q27,2),"H"),$R$63:$T$91,3,FALSE),VLOOKUP($Q27,$R$63:$T$91,3,FALSE)))+IF(AND($Q27&lt;&gt;"",$Q27&lt;&gt;"O3/CP",$Q$15=A$18,MID($Q27,4,1)="2",$Q$15&lt;&gt;$Q$14),VLOOKUP(CONCATENATE(LEFT($Q27,2),"L"),$R$63:$T$91,3,FALSE),0)+IF(AND($Q27="O3/CP",$Q$14=A$18),VLOOKUP("O3",$R$63:$T$91,3,FALSE)+VLOOKUP("CP",$R$63:$T$91,3,FALSE),0)+IF(AND($R27&lt;&gt;"",$R27&lt;&gt;"--",$R27&lt;&gt;"O3/CP",$R$14=A$18),IF(LEFT($R27,1)="P",VLOOKUP(CONCATENATE(LEFT($R27,2),"H"),$R$63:$T$91,3,FALSE),VLOOKUP($R27,$R$63:$T$91,3,FALSE)))+IF(AND($R27&lt;&gt;"",$R27&lt;&gt;"O3/CP",$R$15=A$18,MID($R27,4,1)="2",$R$15&lt;&gt;$R$14),VLOOKUP(CONCATENATE(LEFT($R27,2),"L"),$R$63:$T$91,3,FALSE),0)+IF(AND($R27="O3/CP",$R$14=A$18),VLOOKUP("O3",$R$63:$T$91,3,FALSE)+VLOOKUP("CP",$R$63:$T$91,3,FALSE),0)+IF(AND($S27&lt;&gt;"",$S27&lt;&gt;"--",$S27&lt;&gt;"O3/CP",$S$14=A$18),IF(LEFT($S27,1)="P",VLOOKUP(CONCATENATE(LEFT($S27,2),"H"),$R$63:$T$91,3,FALSE),VLOOKUP($S27,$R$63:$T$91,3,FALSE)))+IF(AND($S27&lt;&gt;"",$S27&lt;&gt;"O3/CP",$S$15=A$18,MID($S27,4,1)="2",$S$15&lt;&gt;$S$14),VLOOKUP(CONCATENATE(LEFT($S27,2),"L"),$R$63:$T$91,3,FALSE),0)+IF(AND($S27="O3/CP",$S$14=A$18),VLOOKUP("O3",$R$63:$T$91,3,FALSE)+VLOOKUP("CP",$R$63:$T$91,3,FALSE),0)+IF(AND($T27&lt;&gt;"",$T27&lt;&gt;"--",$T27&lt;&gt;"O3/CP",$T$14=A$18),IF(LEFT($T27,1)="P",VLOOKUP(CONCATENATE(LEFT($T27,2),"H"),$R$63:$T$91,3,FALSE),VLOOKUP($T27,$R$63:$T$91,3,FALSE)))+IF(AND($T27&lt;&gt;"",$T27&lt;&gt;"O3/CP",$T$15=A$18,MID($T27,4,1)="2",$T$15&lt;&gt;$T$14),VLOOKUP(CONCATENATE(LEFT($T27,2),"L"),$R$63:$T$91,3,FALSE),0)+IF(AND($T27="O3/CP",$T$14=A$18),VLOOKUP("O3",$R$63:$T$91,3,FALSE)+VLOOKUP("CP",$R$63:$T$91,3,FALSE),0)+IF(AND($U27&lt;&gt;"",$U27&lt;&gt;"--",$U27&lt;&gt;"O3/CP",$U$14=A$18),IF(LEFT($U27,1)="P",VLOOKUP(CONCATENATE(LEFT($U27,2),"H"),$R$63:$T$91,3,FALSE),VLOOKUP($U27,$R$63:$T$91,3,FALSE)))+IF(AND($U27&lt;&gt;"",$U27&lt;&gt;"O3/CP",$U$15=A$18,MID($U27,4,1)="2",$U$15&lt;&gt;$U$14),VLOOKUP(CONCATENATE(LEFT($U27,2),"L"),$R$63:$T$91,3,FALSE),0)+IF(AND($U27="O3/CP",$T$14=A$18),VLOOKUP("O3",$R$63:$T$91,3,FALSE)+VLOOKUP("CP",$R$63:$T$91,3,FALSE),0)+IF(AND($V27&lt;&gt;"",$V27&lt;&gt;"--",$V27&lt;&gt;"O3/CP",$V$14=A$18),IF(LEFT($V27,1)="P",VLOOKUP(CONCATENATE(LEFT($V27,2),"H"),$R$63:$T$91,3,FALSE),VLOOKUP($V27,$R$63:$T$91,3,FALSE)))+IF(AND($V27&lt;&gt;"",$V27&lt;&gt;"O3/CP",$V$15=A$18,MID($V27,4,1)="2",$V$15&lt;&gt;$V$14),VLOOKUP(CONCATENATE(LEFT($V27,2),"L"),$R$63:$T$91,3,FALSE),0)+IF(AND($V27="O3/CP",$V$14=A$18),VLOOKUP("O3",$R$63:$T$91,3,FALSE)+VLOOKUP("CP",$R$63:$T$91,3,FALSE),0)+IF(AND($W27&lt;&gt;"",$W27&lt;&gt;"--",$W27&lt;&gt;"O3/CP",$W$14=A$18),IF(LEFT($W27,1)="P",VLOOKUP(CONCATENATE(LEFT($W27,2),"H"),$R$63:$T$91,3,FALSE),VLOOKUP($W27,$R$63:$T$91,3,FALSE)))+IF(AND($W27&lt;&gt;"",$W27&lt;&gt;"O3/CP",$W$15=A$18,MID($W27,4,1)="2",$W$15&lt;&gt;$W$14),VLOOKUP(CONCATENATE(LEFT($W27,2),"L"),$R$63:$T$91,3,FALSE),0)+IF(AND($W27="O3/CP",$W$14=A$18),VLOOKUP("O3",$R$63:$T$91,3,FALSE)+VLOOKUP("CP",$R$63:$T$91,3,FALSE),0)+IF(AND($X27&lt;&gt;"",$X27&lt;&gt;"--",$X27&lt;&gt;"O3/CP",$X$14=A$18),IF(LEFT($X27,1)="P",VLOOKUP(CONCATENATE(LEFT($X27,2),"H"),$R$63:$T$91,3,FALSE),VLOOKUP($X27,$R$63:$T$91,3,FALSE)))+IF(AND($X27&lt;&gt;"",$X27&lt;&gt;"O3/CP",$X$15=A$18,MID($X27,4,1)="2",$X$15&lt;&gt;$X$14),VLOOKUP(CONCATENATE(LEFT($X27,2),"L"),$R$63:$T$91,3,FALSE),0)+IF(AND($X27="O3/CP",$X$14=A$18),VLOOKUP("O3",$R$63:$T$91,3,FALSE)+VLOOKUP("CP",$R$63:$T$91,3,FALSE),0)+IF(AND($Y27&lt;&gt;"",$Y27&lt;&gt;"--",$Y27&lt;&gt;"O3/CP",$Y$14=A$18),IF(LEFT($Y27,1)="P",VLOOKUP(CONCATENATE(LEFT($Y27,2),"H"),$R$63:$T$91,3,FALSE),VLOOKUP($Y27,$R$63:$T$91,3,FALSE)))+IF(AND($Y27&lt;&gt;"",$Y27&lt;&gt;"O3/CP",$Y$15=A$18,MID($Y27,4,1)="2",$Y$15&lt;&gt;$Y$14),VLOOKUP(CONCATENATE(LEFT($Y27,2),"L"),$R$63:$T$91,3,FALSE),0)+IF(AND($Y27="O3/CP",$Y$14=A$18),VLOOKUP("O3",$R$63:$T$91,3,FALSE)+VLOOKUP("CP",$R$63:$T$91,3,FALSE),0)+IF(AND($K$6="CE",'[3]Supply Attribution'!$G$20=A$18),LEFT($S$90,2),0)+IF(AND($X$86&lt;&gt;"Not Set",$X$87=A$18),$X$86,0)</f>
        <v>0</v>
      </c>
      <c r="B27" s="271">
        <f>IF(AND($K27&lt;&gt;"",$K27&lt;&gt;"--",$K27&lt;&gt;"O3/CP",$K$14=B$18),IF(LEFT($K27,1)="P",VLOOKUP(CONCATENATE(LEFT($K27,2),"H"),$R$63:$T$91,3,FALSE),VLOOKUP($K27,$R$63:$T$91,3,FALSE)))+IF(AND($K27&lt;&gt;"",$K27&lt;&gt;"O3/CP",$K$15=B$18,MID($K27,4,1)="2",$K$15&lt;&gt;$K$14),VLOOKUP(CONCATENATE(LEFT($K27,2),"L"),$R$63:$T$91,3,FALSE),0)+IF(AND($K27="O3/CP",$K$14=B$18),VLOOKUP("O3",$R$63:$T$91,3,FALSE)+VLOOKUP("CP",$R$63:$T$91,3,FALSE),0)+IF(AND($L27&lt;&gt;"",$L27&lt;&gt;"--",$L27&lt;&gt;"O3/CP",$L$14=B$18),IF(LEFT($L27,1)="P",VLOOKUP(CONCATENATE(LEFT($L27,2),"H"),$R$63:$T$91,3,FALSE),VLOOKUP($L27,$R$63:$T$91,3,FALSE)))+IF(AND($L27&lt;&gt;"",$L27&lt;&gt;"O3/CP",$L$15=B$18,MID($L27,4,1)="2",$L$15&lt;&gt;$L$14),VLOOKUP(CONCATENATE(LEFT($L27,2),"L"),$R$63:$T$91,3,FALSE),0)+IF(AND($L27="O3/CP",$L$14=B$18),VLOOKUP("O3",$R$63:$T$91,3,FALSE)+VLOOKUP("CP",$R$63:$T$91,3,FALSE),0)+IF(AND($M27&lt;&gt;"",$M27&lt;&gt;"--",$M27&lt;&gt;"O3/CP",$M$14=B$18),IF(LEFT($M27,1)="P",VLOOKUP(CONCATENATE(LEFT($M27,2),"H"),$R$63:$T$91,3,FALSE),VLOOKUP($M27,$R$63:$T$91,3,FALSE)))+IF(AND($M27&lt;&gt;"",$M27&lt;&gt;"O3/CP",$M$15=B$18,MID($M27,4,1)="2",$M$15&lt;&gt;$M$14),VLOOKUP(CONCATENATE(LEFT($M27,2),"L"),$R$63:$T$91,3,FALSE),0)+IF(AND($M27="O3/CP",$M$14=B$18),VLOOKUP("O3",$R$63:$T$91,3,FALSE)+VLOOKUP("CP",$R$63:$T$91,3,FALSE),0)+IF(AND($N27&lt;&gt;"",$N27&lt;&gt;"--",$N27&lt;&gt;"O3/CP",$N$14=B$18),IF(LEFT($N27,1)="P",VLOOKUP(CONCATENATE(LEFT($N27,2),"H"),$R$63:$T$91,3,FALSE),VLOOKUP($N27,$R$63:$T$91,3,FALSE)))+IF(AND($N27&lt;&gt;"",$N27&lt;&gt;"O3/CP",$N$15=B$18,MID($N27,4,1)="2",$N$15&lt;&gt;$N$14),VLOOKUP(CONCATENATE(LEFT($N27,2),"L"),$R$63:$T$91,3,FALSE),0)+IF(AND($N27="O3/CP",$N$14=B$18),VLOOKUP("O3",$R$63:$T$91,3,FALSE)+VLOOKUP("CP",$R$63:$T$91,3,FALSE),0)+IF(AND($O27&lt;&gt;"",$O27&lt;&gt;"--",$O27&lt;&gt;"O3/CP",$O$14=B$18),IF(LEFT($O27,1)="P",VLOOKUP(CONCATENATE(LEFT($O27,2),"H"),$R$63:$T$91,3,FALSE),VLOOKUP($O27,$R$63:$T$91,3,FALSE)))+IF(AND($O27&lt;&gt;"",$O27&lt;&gt;"O3/CP",$O$15=B$18,MID($O27,4,1)="2",$O$15&lt;&gt;$O$14),VLOOKUP(CONCATENATE(LEFT($O27,2),"L"),$R$63:$T$91,3,FALSE),0)+IF(AND($O27="O3/CP",$O$14=B$18),VLOOKUP("O3",$R$63:$T$91,3,FALSE)+VLOOKUP("CP",$R$63:$T$91,3,FALSE),0)+IF(AND($P27&lt;&gt;"",$P27&lt;&gt;"--",$P27&lt;&gt;"O3/CP",$P$14=B$18),IF(LEFT($P27,1)="P",VLOOKUP(CONCATENATE(LEFT($P27,2),"H"),$R$63:$T$91,3,FALSE),VLOOKUP($P27,$R$63:$T$91,3,FALSE)))+IF(AND($P27&lt;&gt;"",$P27&lt;&gt;"O3/CP",$P$15=B$18,MID($P27,4,1)="2",$P$15&lt;&gt;$P$14),VLOOKUP(CONCATENATE(LEFT($P27,2),"L"),$R$63:$T$91,3,FALSE),0)+IF(AND($P27="O3/CP",$P$14=B$18),VLOOKUP("O3",$R$63:$T$91,3,FALSE)+VLOOKUP("CP",$R$63:$T$91,3,FALSE),0)+IF(AND($Q27&lt;&gt;"",$Q27&lt;&gt;"--",$Q27&lt;&gt;"O3/CP",$Q$14=B$18),IF(LEFT($Q27,1)="P",VLOOKUP(CONCATENATE(LEFT($Q27,2),"H"),$R$63:$T$91,3,FALSE),VLOOKUP($Q27,$R$63:$T$91,3,FALSE)))+IF(AND($Q27&lt;&gt;"",$Q27&lt;&gt;"O3/CP",$Q$15=B$18,MID($Q27,4,1)="2",$Q$15&lt;&gt;$Q$14),VLOOKUP(CONCATENATE(LEFT($Q27,2),"L"),$R$63:$T$91,3,FALSE),0)+IF(AND($Q27="O3/CP",$Q$14=B$18),VLOOKUP("O3",$R$63:$T$91,3,FALSE)+VLOOKUP("CP",$R$63:$T$91,3,FALSE),0)+IF(AND($R27&lt;&gt;"",$R27&lt;&gt;"--",$R27&lt;&gt;"O3/CP",$R$14=B$18),IF(LEFT($R27,1)="P",VLOOKUP(CONCATENATE(LEFT($R27,2),"H"),$R$63:$T$91,3,FALSE),VLOOKUP($R27,$R$63:$T$91,3,FALSE)))+IF(AND($R27&lt;&gt;"",$R27&lt;&gt;"O3/CP",$R$15=B$18,MID($R27,4,1)="2",$R$15&lt;&gt;$R$14),VLOOKUP(CONCATENATE(LEFT($R27,2),"L"),$R$63:$T$91,3,FALSE),0)+IF(AND($R27="O3/CP",$R$14=B$18),VLOOKUP("O3",$R$63:$T$91,3,FALSE)+VLOOKUP("CP",$R$63:$T$91,3,FALSE),0)+IF(AND($S27&lt;&gt;"",$S27&lt;&gt;"--",$S27&lt;&gt;"O3/CP",$S$14=B$18),IF(LEFT($S27,1)="P",VLOOKUP(CONCATENATE(LEFT($S27,2),"H"),$R$63:$T$91,3,FALSE),VLOOKUP($S27,$R$63:$T$91,3,FALSE)))+IF(AND($S27&lt;&gt;"",$S27&lt;&gt;"O3/CP",$S$15=B$18,MID($S27,4,1)="2",$S$15&lt;&gt;$S$14),VLOOKUP(CONCATENATE(LEFT($S27,2),"L"),$R$63:$T$91,3,FALSE),0)+IF(AND($S27="O3/CP",$S$14=B$18),VLOOKUP("O3",$R$63:$T$91,3,FALSE)+VLOOKUP("CP",$R$63:$T$91,3,FALSE),0)+IF(AND($T27&lt;&gt;"",$T27&lt;&gt;"--",$T27&lt;&gt;"O3/CP",$T$14=B$18),IF(LEFT($T27,1)="P",VLOOKUP(CONCATENATE(LEFT($T27,2),"H"),$R$63:$T$91,3,FALSE),VLOOKUP($T27,$R$63:$T$91,3,FALSE)))+IF(AND($T27&lt;&gt;"",$T27&lt;&gt;"O3/CP",$T$15=B$18,MID($T27,4,1)="2",$T$15&lt;&gt;$T$14),VLOOKUP(CONCATENATE(LEFT($T27,2),"L"),$R$63:$T$91,3,FALSE),0)+IF(AND($T27="O3/CP",$T$14=B$18),VLOOKUP("O3",$R$63:$T$91,3,FALSE)+VLOOKUP("CP",$R$63:$T$91,3,FALSE),0)+IF(AND($U27&lt;&gt;"",$U27&lt;&gt;"--",$U27&lt;&gt;"O3/CP",$U$14=B$18),IF(LEFT($U27,1)="P",VLOOKUP(CONCATENATE(LEFT($U27,2),"H"),$R$63:$T$91,3,FALSE),VLOOKUP($U27,$R$63:$T$91,3,FALSE)))+IF(AND($U27&lt;&gt;"",$U27&lt;&gt;"O3/CP",$U$15=B$18,MID($U27,4,1)="2",$U$15&lt;&gt;$U$14),VLOOKUP(CONCATENATE(LEFT($U27,2),"L"),$R$63:$T$91,3,FALSE),0)+IF(AND($U27="O3/CP",$T$14=B$18),VLOOKUP("O3",$R$63:$T$91,3,FALSE)+VLOOKUP("CP",$R$63:$T$91,3,FALSE),0)+IF(AND($V27&lt;&gt;"",$V27&lt;&gt;"--",$V27&lt;&gt;"O3/CP",$V$14=B$18),IF(LEFT($V27,1)="P",VLOOKUP(CONCATENATE(LEFT($V27,2),"H"),$R$63:$T$91,3,FALSE),VLOOKUP($V27,$R$63:$T$91,3,FALSE)))+IF(AND($V27&lt;&gt;"",$V27&lt;&gt;"O3/CP",$V$15=B$18,MID($V27,4,1)="2",$V$15&lt;&gt;$V$14),VLOOKUP(CONCATENATE(LEFT($V27,2),"L"),$R$63:$T$91,3,FALSE),0)+IF(AND($V27="O3/CP",$V$14=B$18),VLOOKUP("O3",$R$63:$T$91,3,FALSE)+VLOOKUP("CP",$R$63:$T$91,3,FALSE),0)+IF(AND($W27&lt;&gt;"",$W27&lt;&gt;"--",$W27&lt;&gt;"O3/CP",$W$14=B$18),IF(LEFT($W27,1)="P",VLOOKUP(CONCATENATE(LEFT($W27,2),"H"),$R$63:$T$91,3,FALSE),VLOOKUP($W27,$R$63:$T$91,3,FALSE)))+IF(AND($W27&lt;&gt;"",$W27&lt;&gt;"O3/CP",$W$15=B$18,MID($W27,4,1)="2",$W$15&lt;&gt;$W$14),VLOOKUP(CONCATENATE(LEFT($W27,2),"L"),$R$63:$T$91,3,FALSE),0)+IF(AND($W27="O3/CP",$W$14=B$18),VLOOKUP("O3",$R$63:$T$91,3,FALSE)+VLOOKUP("CP",$R$63:$T$91,3,FALSE),0)+IF(AND($X27&lt;&gt;"",$X27&lt;&gt;"--",$X27&lt;&gt;"O3/CP",$X$14=B$18),IF(LEFT($X27,1)="P",VLOOKUP(CONCATENATE(LEFT($X27,2),"H"),$R$63:$T$91,3,FALSE),VLOOKUP($X27,$R$63:$T$91,3,FALSE)))+IF(AND($X27&lt;&gt;"",$X27&lt;&gt;"O3/CP",$X$15=B$18,MID($X27,4,1)="2",$X$15&lt;&gt;$X$14),VLOOKUP(CONCATENATE(LEFT($X27,2),"L"),$R$63:$T$91,3,FALSE),0)+IF(AND($X27="O3/CP",$X$14=B$18),VLOOKUP("O3",$R$63:$T$91,3,FALSE)+VLOOKUP("CP",$R$63:$T$91,3,FALSE),0)+IF(AND($Y27&lt;&gt;"",$Y27&lt;&gt;"--",$Y27&lt;&gt;"O3/CP",$Y$14=B$18),IF(LEFT($Y27,1)="P",VLOOKUP(CONCATENATE(LEFT($Y27,2),"H"),$R$63:$T$91,3,FALSE),VLOOKUP($Y27,$R$63:$T$91,3,FALSE)))+IF(AND($Y27&lt;&gt;"",$Y27&lt;&gt;"O3/CP",$Y$15=B$18,MID($Y27,4,1)="2",$Y$15&lt;&gt;$Y$14),VLOOKUP(CONCATENATE(LEFT($Y27,2),"L"),$R$63:$T$91,3,FALSE),0)+IF(AND($Y27="O3/CP",$Y$14=B$18),VLOOKUP("O3",$R$63:$T$91,3,FALSE)+VLOOKUP("CP",$R$63:$T$91,3,FALSE),0)+IF(AND($K$6="CE",'[3]Supply Attribution'!$G$20=B$18),LEFT($S$90,2),0)+IF(AND($X$86&lt;&gt;"Not Set",$X$87=B$18),$X$86,0)</f>
        <v>0</v>
      </c>
      <c r="C27" s="271">
        <f>IF(AND($K27&lt;&gt;"",$K27&lt;&gt;"--",$K27&lt;&gt;"O3/CP",$K$14=C$18),IF(LEFT($K27,1)="P",VLOOKUP(CONCATENATE(LEFT($K27,2),"H"),$R$63:$T$91,3,FALSE),VLOOKUP($K27,$R$63:$T$91,3,FALSE)))+IF(AND($K27&lt;&gt;"",$K27&lt;&gt;"O3/CP",$K$15=C$18,MID($K27,4,1)="2",$K$15&lt;&gt;$K$14),VLOOKUP(CONCATENATE(LEFT($K27,2),"L"),$R$63:$T$91,3,FALSE),0)+IF(AND($K27="O3/CP",$K$14=C$18),VLOOKUP("O3",$R$63:$T$91,3,FALSE)+VLOOKUP("CP",$R$63:$T$91,3,FALSE),0)+IF(AND($L27&lt;&gt;"",$L27&lt;&gt;"--",$L27&lt;&gt;"O3/CP",$L$14=C$18),IF(LEFT($L27,1)="P",VLOOKUP(CONCATENATE(LEFT($L27,2),"H"),$R$63:$T$91,3,FALSE),VLOOKUP($L27,$R$63:$T$91,3,FALSE)))+IF(AND($L27&lt;&gt;"",$L27&lt;&gt;"O3/CP",$L$15=C$18,MID($L27,4,1)="2",$L$15&lt;&gt;$L$14),VLOOKUP(CONCATENATE(LEFT($L27,2),"L"),$R$63:$T$91,3,FALSE),0)+IF(AND($L27="O3/CP",$L$14=C$18),VLOOKUP("O3",$R$63:$T$91,3,FALSE)+VLOOKUP("CP",$R$63:$T$91,3,FALSE),0)+IF(AND($M27&lt;&gt;"",$M27&lt;&gt;"--",$M27&lt;&gt;"O3/CP",$M$14=C$18),IF(LEFT($M27,1)="P",VLOOKUP(CONCATENATE(LEFT($M27,2),"H"),$R$63:$T$91,3,FALSE),VLOOKUP($M27,$R$63:$T$91,3,FALSE)))+IF(AND($M27&lt;&gt;"",$M27&lt;&gt;"O3/CP",$M$15=C$18,MID($M27,4,1)="2",$M$15&lt;&gt;$M$14),VLOOKUP(CONCATENATE(LEFT($M27,2),"L"),$R$63:$T$91,3,FALSE),0)+IF(AND($M27="O3/CP",$M$14=C$18),VLOOKUP("O3",$R$63:$T$91,3,FALSE)+VLOOKUP("CP",$R$63:$T$91,3,FALSE),0)+IF(AND($N27&lt;&gt;"",$N27&lt;&gt;"--",$N27&lt;&gt;"O3/CP",$N$14=C$18),IF(LEFT($N27,1)="P",VLOOKUP(CONCATENATE(LEFT($N27,2),"H"),$R$63:$T$91,3,FALSE),VLOOKUP($N27,$R$63:$T$91,3,FALSE)))+IF(AND($N27&lt;&gt;"",$N27&lt;&gt;"O3/CP",$N$15=C$18,MID($N27,4,1)="2",$N$15&lt;&gt;$N$14),VLOOKUP(CONCATENATE(LEFT($N27,2),"L"),$R$63:$T$91,3,FALSE),0)+IF(AND($N27="O3/CP",$N$14=C$18),VLOOKUP("O3",$R$63:$T$91,3,FALSE)+VLOOKUP("CP",$R$63:$T$91,3,FALSE),0)+IF(AND($O27&lt;&gt;"",$O27&lt;&gt;"--",$O27&lt;&gt;"O3/CP",$O$14=C$18),IF(LEFT($O27,1)="P",VLOOKUP(CONCATENATE(LEFT($O27,2),"H"),$R$63:$T$91,3,FALSE),VLOOKUP($O27,$R$63:$T$91,3,FALSE)))+IF(AND($O27&lt;&gt;"",$O27&lt;&gt;"O3/CP",$O$15=C$18,MID($O27,4,1)="2",$O$15&lt;&gt;$O$14),VLOOKUP(CONCATENATE(LEFT($O27,2),"L"),$R$63:$T$91,3,FALSE),0)+IF(AND($O27="O3/CP",$O$14=C$18),VLOOKUP("O3",$R$63:$T$91,3,FALSE)+VLOOKUP("CP",$R$63:$T$91,3,FALSE),0)+IF(AND($P27&lt;&gt;"",$P27&lt;&gt;"--",$P27&lt;&gt;"O3/CP",$P$14=C$18),IF(LEFT($P27,1)="P",VLOOKUP(CONCATENATE(LEFT($P27,2),"H"),$R$63:$T$91,3,FALSE),VLOOKUP($P27,$R$63:$T$91,3,FALSE)))+IF(AND($P27&lt;&gt;"",$P27&lt;&gt;"O3/CP",$P$15=C$18,MID($P27,4,1)="2",$P$15&lt;&gt;$P$14),VLOOKUP(CONCATENATE(LEFT($P27,2),"L"),$R$63:$T$91,3,FALSE),0)+IF(AND($P27="O3/CP",$P$14=C$18),VLOOKUP("O3",$R$63:$T$91,3,FALSE)+VLOOKUP("CP",$R$63:$T$91,3,FALSE),0)+IF(AND($Q27&lt;&gt;"",$Q27&lt;&gt;"--",$Q27&lt;&gt;"O3/CP",$Q$14=C$18),IF(LEFT($Q27,1)="P",VLOOKUP(CONCATENATE(LEFT($Q27,2),"H"),$R$63:$T$91,3,FALSE),VLOOKUP($Q27,$R$63:$T$91,3,FALSE)))+IF(AND($Q27&lt;&gt;"",$Q27&lt;&gt;"O3/CP",$Q$15=C$18,MID($Q27,4,1)="2",$Q$15&lt;&gt;$Q$14),VLOOKUP(CONCATENATE(LEFT($Q27,2),"L"),$R$63:$T$91,3,FALSE),0)+IF(AND($Q27="O3/CP",$Q$14=C$18),VLOOKUP("O3",$R$63:$T$91,3,FALSE)+VLOOKUP("CP",$R$63:$T$91,3,FALSE),0)+IF(AND($R27&lt;&gt;"",$R27&lt;&gt;"--",$R27&lt;&gt;"O3/CP",$R$14=C$18),IF(LEFT($R27,1)="P",VLOOKUP(CONCATENATE(LEFT($R27,2),"H"),$R$63:$T$91,3,FALSE),VLOOKUP($R27,$R$63:$T$91,3,FALSE)))+IF(AND($R27&lt;&gt;"",$R27&lt;&gt;"O3/CP",$R$15=C$18,MID($R27,4,1)="2",$R$15&lt;&gt;$R$14),VLOOKUP(CONCATENATE(LEFT($R27,2),"L"),$R$63:$T$91,3,FALSE),0)+IF(AND($R27="O3/CP",$R$14=C$18),VLOOKUP("O3",$R$63:$T$91,3,FALSE)+VLOOKUP("CP",$R$63:$T$91,3,FALSE),0)+IF(AND($S27&lt;&gt;"",$S27&lt;&gt;"--",$S27&lt;&gt;"O3/CP",$S$14=C$18),IF(LEFT($S27,1)="P",VLOOKUP(CONCATENATE(LEFT($S27,2),"H"),$R$63:$T$91,3,FALSE),VLOOKUP($S27,$R$63:$T$91,3,FALSE)))+IF(AND($S27&lt;&gt;"",$S27&lt;&gt;"O3/CP",$S$15=C$18,MID($S27,4,1)="2",$S$15&lt;&gt;$S$14),VLOOKUP(CONCATENATE(LEFT($S27,2),"L"),$R$63:$T$91,3,FALSE),0)+IF(AND($S27="O3/CP",$S$14=C$18),VLOOKUP("O3",$R$63:$T$91,3,FALSE)+VLOOKUP("CP",$R$63:$T$91,3,FALSE),0)+IF(AND($T27&lt;&gt;"",$T27&lt;&gt;"--",$T27&lt;&gt;"O3/CP",$T$14=C$18),IF(LEFT($T27,1)="P",VLOOKUP(CONCATENATE(LEFT($T27,2),"H"),$R$63:$T$91,3,FALSE),VLOOKUP($T27,$R$63:$T$91,3,FALSE)))+IF(AND($T27&lt;&gt;"",$T27&lt;&gt;"O3/CP",$T$15=C$18,MID($T27,4,1)="2",$T$15&lt;&gt;$T$14),VLOOKUP(CONCATENATE(LEFT($T27,2),"L"),$R$63:$T$91,3,FALSE),0)+IF(AND($T27="O3/CP",$T$14=C$18),VLOOKUP("O3",$R$63:$T$91,3,FALSE)+VLOOKUP("CP",$R$63:$T$91,3,FALSE),0)+IF(AND($U27&lt;&gt;"",$U27&lt;&gt;"--",$U27&lt;&gt;"O3/CP",$U$14=C$18),IF(LEFT($U27,1)="P",VLOOKUP(CONCATENATE(LEFT($U27,2),"H"),$R$63:$T$91,3,FALSE),VLOOKUP($U27,$R$63:$T$91,3,FALSE)))+IF(AND($U27&lt;&gt;"",$U27&lt;&gt;"O3/CP",$U$15=C$18,MID($U27,4,1)="2",$U$15&lt;&gt;$U$14),VLOOKUP(CONCATENATE(LEFT($U27,2),"L"),$R$63:$T$91,3,FALSE),0)+IF(AND($U27="O3/CP",$T$14=C$18),VLOOKUP("O3",$R$63:$T$91,3,FALSE)+VLOOKUP("CP",$R$63:$T$91,3,FALSE),0)+IF(AND($V27&lt;&gt;"",$V27&lt;&gt;"--",$V27&lt;&gt;"O3/CP",$V$14=C$18),IF(LEFT($V27,1)="P",VLOOKUP(CONCATENATE(LEFT($V27,2),"H"),$R$63:$T$91,3,FALSE),VLOOKUP($V27,$R$63:$T$91,3,FALSE)))+IF(AND($V27&lt;&gt;"",$V27&lt;&gt;"O3/CP",$V$15=C$18,MID($V27,4,1)="2",$V$15&lt;&gt;$V$14),VLOOKUP(CONCATENATE(LEFT($V27,2),"L"),$R$63:$T$91,3,FALSE),0)+IF(AND($V27="O3/CP",$V$14=C$18),VLOOKUP("O3",$R$63:$T$91,3,FALSE)+VLOOKUP("CP",$R$63:$T$91,3,FALSE),0)+IF(AND($W27&lt;&gt;"",$W27&lt;&gt;"--",$W27&lt;&gt;"O3/CP",$W$14=C$18),IF(LEFT($W27,1)="P",VLOOKUP(CONCATENATE(LEFT($W27,2),"H"),$R$63:$T$91,3,FALSE),VLOOKUP($W27,$R$63:$T$91,3,FALSE)))+IF(AND($W27&lt;&gt;"",$W27&lt;&gt;"O3/CP",$W$15=C$18,MID($W27,4,1)="2",$W$15&lt;&gt;$W$14),VLOOKUP(CONCATENATE(LEFT($W27,2),"L"),$R$63:$T$91,3,FALSE),0)+IF(AND($W27="O3/CP",$W$14=C$18),VLOOKUP("O3",$R$63:$T$91,3,FALSE)+VLOOKUP("CP",$R$63:$T$91,3,FALSE),0)+IF(AND($X27&lt;&gt;"",$X27&lt;&gt;"--",$X27&lt;&gt;"O3/CP",$X$14=C$18),IF(LEFT($X27,1)="P",VLOOKUP(CONCATENATE(LEFT($X27,2),"H"),$R$63:$T$91,3,FALSE),VLOOKUP($X27,$R$63:$T$91,3,FALSE)))+IF(AND($X27&lt;&gt;"",$X27&lt;&gt;"O3/CP",$X$15=C$18,MID($X27,4,1)="2",$X$15&lt;&gt;$X$14),VLOOKUP(CONCATENATE(LEFT($X27,2),"L"),$R$63:$T$91,3,FALSE),0)+IF(AND($X27="O3/CP",$X$14=C$18),VLOOKUP("O3",$R$63:$T$91,3,FALSE)+VLOOKUP("CP",$R$63:$T$91,3,FALSE),0)+IF(AND($Y27&lt;&gt;"",$Y27&lt;&gt;"--",$Y27&lt;&gt;"O3/CP",$Y$14=C$18),IF(LEFT($Y27,1)="P",VLOOKUP(CONCATENATE(LEFT($Y27,2),"H"),$R$63:$T$91,3,FALSE),VLOOKUP($Y27,$R$63:$T$91,3,FALSE)))+IF(AND($Y27&lt;&gt;"",$Y27&lt;&gt;"O3/CP",$Y$15=C$18,MID($Y27,4,1)="2",$Y$15&lt;&gt;$Y$14),VLOOKUP(CONCATENATE(LEFT($Y27,2),"L"),$R$63:$T$91,3,FALSE),0)+IF(AND($Y27="O3/CP",$Y$14=C$18),VLOOKUP("O3",$R$63:$T$91,3,FALSE)+VLOOKUP("CP",$R$63:$T$91,3,FALSE),0)+IF(AND($K$6="CE",'[3]Supply Attribution'!$G$20=C$18),LEFT($S$90,2),0)+IF(AND($X$86&lt;&gt;"Not Set",$X$87=C$18),$X$86,0)</f>
        <v>0</v>
      </c>
      <c r="D27" s="271">
        <f>IF(AND($K27&lt;&gt;"",$K27&lt;&gt;"--",$K27&lt;&gt;"O3/CP",$K$14=D$18),IF(LEFT($K27,1)="P",VLOOKUP(CONCATENATE(LEFT($K27,2),"H"),$R$63:$T$91,3,FALSE),VLOOKUP($K27,$R$63:$T$91,3,FALSE)))+IF(AND($K27&lt;&gt;"",$K27&lt;&gt;"O3/CP",$K$15=D$18,MID($K27,4,1)="2",$K$15&lt;&gt;$K$14),VLOOKUP(CONCATENATE(LEFT($K27,2),"L"),$R$63:$T$91,3,FALSE),0)+IF(AND($K27="O3/CP",$K$14=D$18),VLOOKUP("O3",$R$63:$T$91,3,FALSE)+VLOOKUP("CP",$R$63:$T$91,3,FALSE),0)+IF(AND($L27&lt;&gt;"",$L27&lt;&gt;"--",$L27&lt;&gt;"O3/CP",$L$14=D$18),IF(LEFT($L27,1)="P",VLOOKUP(CONCATENATE(LEFT($L27,2),"H"),$R$63:$T$91,3,FALSE),VLOOKUP($L27,$R$63:$T$91,3,FALSE)))+IF(AND($L27&lt;&gt;"",$L27&lt;&gt;"O3/CP",$L$15=D$18,MID($L27,4,1)="2",$L$15&lt;&gt;$L$14),VLOOKUP(CONCATENATE(LEFT($L27,2),"L"),$R$63:$T$91,3,FALSE),0)+IF(AND($L27="O3/CP",$L$14=D$18),VLOOKUP("O3",$R$63:$T$91,3,FALSE)+VLOOKUP("CP",$R$63:$T$91,3,FALSE),0)+IF(AND($M27&lt;&gt;"",$M27&lt;&gt;"--",$M27&lt;&gt;"O3/CP",$M$14=D$18),IF(LEFT($M27,1)="P",VLOOKUP(CONCATENATE(LEFT($M27,2),"H"),$R$63:$T$91,3,FALSE),VLOOKUP($M27,$R$63:$T$91,3,FALSE)))+IF(AND($M27&lt;&gt;"",$M27&lt;&gt;"O3/CP",$M$15=D$18,MID($M27,4,1)="2",$M$15&lt;&gt;$M$14),VLOOKUP(CONCATENATE(LEFT($M27,2),"L"),$R$63:$T$91,3,FALSE),0)+IF(AND($M27="O3/CP",$M$14=D$18),VLOOKUP("O3",$R$63:$T$91,3,FALSE)+VLOOKUP("CP",$R$63:$T$91,3,FALSE),0)+IF(AND($N27&lt;&gt;"",$N27&lt;&gt;"--",$N27&lt;&gt;"O3/CP",$N$14=D$18),IF(LEFT($N27,1)="P",VLOOKUP(CONCATENATE(LEFT($N27,2),"H"),$R$63:$T$91,3,FALSE),VLOOKUP($N27,$R$63:$T$91,3,FALSE)))+IF(AND($N27&lt;&gt;"",$N27&lt;&gt;"O3/CP",$N$15=D$18,MID($N27,4,1)="2",$N$15&lt;&gt;$N$14),VLOOKUP(CONCATENATE(LEFT($N27,2),"L"),$R$63:$T$91,3,FALSE),0)+IF(AND($N27="O3/CP",$N$14=D$18),VLOOKUP("O3",$R$63:$T$91,3,FALSE)+VLOOKUP("CP",$R$63:$T$91,3,FALSE),0)+IF(AND($O27&lt;&gt;"",$O27&lt;&gt;"--",$O27&lt;&gt;"O3/CP",$O$14=D$18),IF(LEFT($O27,1)="P",VLOOKUP(CONCATENATE(LEFT($O27,2),"H"),$R$63:$T$91,3,FALSE),VLOOKUP($O27,$R$63:$T$91,3,FALSE)))+IF(AND($O27&lt;&gt;"",$O27&lt;&gt;"O3/CP",$O$15=D$18,MID($O27,4,1)="2",$O$15&lt;&gt;$O$14),VLOOKUP(CONCATENATE(LEFT($O27,2),"L"),$R$63:$T$91,3,FALSE),0)+IF(AND($O27="O3/CP",$O$14=D$18),VLOOKUP("O3",$R$63:$T$91,3,FALSE)+VLOOKUP("CP",$R$63:$T$91,3,FALSE),0)+IF(AND($P27&lt;&gt;"",$P27&lt;&gt;"--",$P27&lt;&gt;"O3/CP",$P$14=D$18),IF(LEFT($P27,1)="P",VLOOKUP(CONCATENATE(LEFT($P27,2),"H"),$R$63:$T$91,3,FALSE),VLOOKUP($P27,$R$63:$T$91,3,FALSE)))+IF(AND($P27&lt;&gt;"",$P27&lt;&gt;"O3/CP",$P$15=D$18,MID($P27,4,1)="2",$P$15&lt;&gt;$P$14),VLOOKUP(CONCATENATE(LEFT($P27,2),"L"),$R$63:$T$91,3,FALSE),0)+IF(AND($P27="O3/CP",$P$14=D$18),VLOOKUP("O3",$R$63:$T$91,3,FALSE)+VLOOKUP("CP",$R$63:$T$91,3,FALSE),0)+IF(AND($Q27&lt;&gt;"",$Q27&lt;&gt;"--",$Q27&lt;&gt;"O3/CP",$Q$14=D$18),IF(LEFT($Q27,1)="P",VLOOKUP(CONCATENATE(LEFT($Q27,2),"H"),$R$63:$T$91,3,FALSE),VLOOKUP($Q27,$R$63:$T$91,3,FALSE)))+IF(AND($Q27&lt;&gt;"",$Q27&lt;&gt;"O3/CP",$Q$15=D$18,MID($Q27,4,1)="2",$Q$15&lt;&gt;$Q$14),VLOOKUP(CONCATENATE(LEFT($Q27,2),"L"),$R$63:$T$91,3,FALSE),0)+IF(AND($Q27="O3/CP",$Q$14=D$18),VLOOKUP("O3",$R$63:$T$91,3,FALSE)+VLOOKUP("CP",$R$63:$T$91,3,FALSE),0)+IF(AND($R27&lt;&gt;"",$R27&lt;&gt;"--",$R27&lt;&gt;"O3/CP",$R$14=D$18),IF(LEFT($R27,1)="P",VLOOKUP(CONCATENATE(LEFT($R27,2),"H"),$R$63:$T$91,3,FALSE),VLOOKUP($R27,$R$63:$T$91,3,FALSE)))+IF(AND($R27&lt;&gt;"",$R27&lt;&gt;"O3/CP",$R$15=D$18,MID($R27,4,1)="2",$R$15&lt;&gt;$R$14),VLOOKUP(CONCATENATE(LEFT($R27,2),"L"),$R$63:$T$91,3,FALSE),0)+IF(AND($R27="O3/CP",$R$14=D$18),VLOOKUP("O3",$R$63:$T$91,3,FALSE)+VLOOKUP("CP",$R$63:$T$91,3,FALSE),0)+IF(AND($S27&lt;&gt;"",$S27&lt;&gt;"--",$S27&lt;&gt;"O3/CP",$S$14=D$18),IF(LEFT($S27,1)="P",VLOOKUP(CONCATENATE(LEFT($S27,2),"H"),$R$63:$T$91,3,FALSE),VLOOKUP($S27,$R$63:$T$91,3,FALSE)))+IF(AND($S27&lt;&gt;"",$S27&lt;&gt;"O3/CP",$S$15=D$18,MID($S27,4,1)="2",$S$15&lt;&gt;$S$14),VLOOKUP(CONCATENATE(LEFT($S27,2),"L"),$R$63:$T$91,3,FALSE),0)+IF(AND($S27="O3/CP",$S$14=D$18),VLOOKUP("O3",$R$63:$T$91,3,FALSE)+VLOOKUP("CP",$R$63:$T$91,3,FALSE),0)+IF(AND($T27&lt;&gt;"",$T27&lt;&gt;"--",$T27&lt;&gt;"O3/CP",$T$14=D$18),IF(LEFT($T27,1)="P",VLOOKUP(CONCATENATE(LEFT($T27,2),"H"),$R$63:$T$91,3,FALSE),VLOOKUP($T27,$R$63:$T$91,3,FALSE)))+IF(AND($T27&lt;&gt;"",$T27&lt;&gt;"O3/CP",$T$15=D$18,MID($T27,4,1)="2",$T$15&lt;&gt;$T$14),VLOOKUP(CONCATENATE(LEFT($T27,2),"L"),$R$63:$T$91,3,FALSE),0)+IF(AND($T27="O3/CP",$T$14=D$18),VLOOKUP("O3",$R$63:$T$91,3,FALSE)+VLOOKUP("CP",$R$63:$T$91,3,FALSE),0)+IF(AND($U27&lt;&gt;"",$U27&lt;&gt;"--",$U27&lt;&gt;"O3/CP",$U$14=D$18),IF(LEFT($U27,1)="P",VLOOKUP(CONCATENATE(LEFT($U27,2),"H"),$R$63:$T$91,3,FALSE),VLOOKUP($U27,$R$63:$T$91,3,FALSE)))+IF(AND($U27&lt;&gt;"",$U27&lt;&gt;"O3/CP",$U$15=D$18,MID($U27,4,1)="2",$U$15&lt;&gt;$U$14),VLOOKUP(CONCATENATE(LEFT($U27,2),"L"),$R$63:$T$91,3,FALSE),0)+IF(AND($U27="O3/CP",$T$14=D$18),VLOOKUP("O3",$R$63:$T$91,3,FALSE)+VLOOKUP("CP",$R$63:$T$91,3,FALSE),0)+IF(AND($V27&lt;&gt;"",$V27&lt;&gt;"--",$V27&lt;&gt;"O3/CP",$V$14=D$18),IF(LEFT($V27,1)="P",VLOOKUP(CONCATENATE(LEFT($V27,2),"H"),$R$63:$T$91,3,FALSE),VLOOKUP($V27,$R$63:$T$91,3,FALSE)))+IF(AND($V27&lt;&gt;"",$V27&lt;&gt;"O3/CP",$V$15=D$18,MID($V27,4,1)="2",$V$15&lt;&gt;$V$14),VLOOKUP(CONCATENATE(LEFT($V27,2),"L"),$R$63:$T$91,3,FALSE),0)+IF(AND($V27="O3/CP",$V$14=D$18),VLOOKUP("O3",$R$63:$T$91,3,FALSE)+VLOOKUP("CP",$R$63:$T$91,3,FALSE),0)+IF(AND($W27&lt;&gt;"",$W27&lt;&gt;"--",$W27&lt;&gt;"O3/CP",$W$14=D$18),IF(LEFT($W27,1)="P",VLOOKUP(CONCATENATE(LEFT($W27,2),"H"),$R$63:$T$91,3,FALSE),VLOOKUP($W27,$R$63:$T$91,3,FALSE)))+IF(AND($W27&lt;&gt;"",$W27&lt;&gt;"O3/CP",$W$15=D$18,MID($W27,4,1)="2",$W$15&lt;&gt;$W$14),VLOOKUP(CONCATENATE(LEFT($W27,2),"L"),$R$63:$T$91,3,FALSE),0)+IF(AND($W27="O3/CP",$W$14=D$18),VLOOKUP("O3",$R$63:$T$91,3,FALSE)+VLOOKUP("CP",$R$63:$T$91,3,FALSE),0)+IF(AND($X27&lt;&gt;"",$X27&lt;&gt;"--",$X27&lt;&gt;"O3/CP",$X$14=D$18),IF(LEFT($X27,1)="P",VLOOKUP(CONCATENATE(LEFT($X27,2),"H"),$R$63:$T$91,3,FALSE),VLOOKUP($X27,$R$63:$T$91,3,FALSE)))+IF(AND($X27&lt;&gt;"",$X27&lt;&gt;"O3/CP",$X$15=D$18,MID($X27,4,1)="2",$X$15&lt;&gt;$X$14),VLOOKUP(CONCATENATE(LEFT($X27,2),"L"),$R$63:$T$91,3,FALSE),0)+IF(AND($X27="O3/CP",$X$14=D$18),VLOOKUP("O3",$R$63:$T$91,3,FALSE)+VLOOKUP("CP",$R$63:$T$91,3,FALSE),0)+IF(AND($Y27&lt;&gt;"",$Y27&lt;&gt;"--",$Y27&lt;&gt;"O3/CP",$Y$14=D$18),IF(LEFT($Y27,1)="P",VLOOKUP(CONCATENATE(LEFT($Y27,2),"H"),$R$63:$T$91,3,FALSE),VLOOKUP($Y27,$R$63:$T$91,3,FALSE)))+IF(AND($Y27&lt;&gt;"",$Y27&lt;&gt;"O3/CP",$Y$15=D$18,MID($Y27,4,1)="2",$Y$15&lt;&gt;$Y$14),VLOOKUP(CONCATENATE(LEFT($Y27,2),"L"),$R$63:$T$91,3,FALSE),0)+IF(AND($Y27="O3/CP",$Y$14=D$18),VLOOKUP("O3",$R$63:$T$91,3,FALSE)+VLOOKUP("CP",$R$63:$T$91,3,FALSE),0)+IF(AND($K$6="CE",'[3]Supply Attribution'!$G$20=D$18),LEFT($S$90,2),0)+IF(AND($X$86&lt;&gt;"Not Set",$X$87=D$18),$X$86,0)</f>
        <v>0</v>
      </c>
      <c r="E27" s="271">
        <f>IF(AND($K27&lt;&gt;"",$K27&lt;&gt;"--",$K27&lt;&gt;"O3/CP",$K$14=E$18),IF(LEFT($K27,1)="P",VLOOKUP(CONCATENATE(LEFT($K27,2),"H"),$R$63:$T$91,3,FALSE),VLOOKUP($K27,$R$63:$T$91,3,FALSE)))+IF(AND($K27&lt;&gt;"",$K27&lt;&gt;"O3/CP",$K$15=E$18,MID($K27,4,1)="2",$K$15&lt;&gt;$K$14),VLOOKUP(CONCATENATE(LEFT($K27,2),"L"),$R$63:$T$91,3,FALSE),0)+IF(AND($K27="O3/CP",$K$14=E$18),VLOOKUP("O3",$R$63:$T$91,3,FALSE)+VLOOKUP("CP",$R$63:$T$91,3,FALSE),0)+IF(AND($L27&lt;&gt;"",$L27&lt;&gt;"--",$L27&lt;&gt;"O3/CP",$L$14=E$18),IF(LEFT($L27,1)="P",VLOOKUP(CONCATENATE(LEFT($L27,2),"H"),$R$63:$T$91,3,FALSE),VLOOKUP($L27,$R$63:$T$91,3,FALSE)))+IF(AND($L27&lt;&gt;"",$L27&lt;&gt;"O3/CP",$L$15=E$18,MID($L27,4,1)="2",$L$15&lt;&gt;$L$14),VLOOKUP(CONCATENATE(LEFT($L27,2),"L"),$R$63:$T$91,3,FALSE),0)+IF(AND($L27="O3/CP",$L$14=E$18),VLOOKUP("O3",$R$63:$T$91,3,FALSE)+VLOOKUP("CP",$R$63:$T$91,3,FALSE),0)+IF(AND($M27&lt;&gt;"",$M27&lt;&gt;"--",$M27&lt;&gt;"O3/CP",$M$14=E$18),IF(LEFT($M27,1)="P",VLOOKUP(CONCATENATE(LEFT($M27,2),"H"),$R$63:$T$91,3,FALSE),VLOOKUP($M27,$R$63:$T$91,3,FALSE)))+IF(AND($M27&lt;&gt;"",$M27&lt;&gt;"O3/CP",$M$15=E$18,MID($M27,4,1)="2",$M$15&lt;&gt;$M$14),VLOOKUP(CONCATENATE(LEFT($M27,2),"L"),$R$63:$T$91,3,FALSE),0)+IF(AND($M27="O3/CP",$M$14=E$18),VLOOKUP("O3",$R$63:$T$91,3,FALSE)+VLOOKUP("CP",$R$63:$T$91,3,FALSE),0)+IF(AND($N27&lt;&gt;"",$N27&lt;&gt;"--",$N27&lt;&gt;"O3/CP",$N$14=E$18),IF(LEFT($N27,1)="P",VLOOKUP(CONCATENATE(LEFT($N27,2),"H"),$R$63:$T$91,3,FALSE),VLOOKUP($N27,$R$63:$T$91,3,FALSE)))+IF(AND($N27&lt;&gt;"",$N27&lt;&gt;"O3/CP",$N$15=E$18,MID($N27,4,1)="2",$N$15&lt;&gt;$N$14),VLOOKUP(CONCATENATE(LEFT($N27,2),"L"),$R$63:$T$91,3,FALSE),0)+IF(AND($N27="O3/CP",$N$14=E$18),VLOOKUP("O3",$R$63:$T$91,3,FALSE)+VLOOKUP("CP",$R$63:$T$91,3,FALSE),0)+IF(AND($O27&lt;&gt;"",$O27&lt;&gt;"--",$O27&lt;&gt;"O3/CP",$O$14=E$18),IF(LEFT($O27,1)="P",VLOOKUP(CONCATENATE(LEFT($O27,2),"H"),$R$63:$T$91,3,FALSE),VLOOKUP($O27,$R$63:$T$91,3,FALSE)))+IF(AND($O27&lt;&gt;"",$O27&lt;&gt;"O3/CP",$O$15=E$18,MID($O27,4,1)="2",$O$15&lt;&gt;$O$14),VLOOKUP(CONCATENATE(LEFT($O27,2),"L"),$R$63:$T$91,3,FALSE),0)+IF(AND($O27="O3/CP",$O$14=E$18),VLOOKUP("O3",$R$63:$T$91,3,FALSE)+VLOOKUP("CP",$R$63:$T$91,3,FALSE),0)+IF(AND($P27&lt;&gt;"",$P27&lt;&gt;"--",$P27&lt;&gt;"O3/CP",$P$14=E$18),IF(LEFT($P27,1)="P",VLOOKUP(CONCATENATE(LEFT($P27,2),"H"),$R$63:$T$91,3,FALSE),VLOOKUP($P27,$R$63:$T$91,3,FALSE)))+IF(AND($P27&lt;&gt;"",$P27&lt;&gt;"O3/CP",$P$15=E$18,MID($P27,4,1)="2",$P$15&lt;&gt;$P$14),VLOOKUP(CONCATENATE(LEFT($P27,2),"L"),$R$63:$T$91,3,FALSE),0)+IF(AND($P27="O3/CP",$P$14=E$18),VLOOKUP("O3",$R$63:$T$91,3,FALSE)+VLOOKUP("CP",$R$63:$T$91,3,FALSE),0)+IF(AND($Q27&lt;&gt;"",$Q27&lt;&gt;"--",$Q27&lt;&gt;"O3/CP",$Q$14=E$18),IF(LEFT($Q27,1)="P",VLOOKUP(CONCATENATE(LEFT($Q27,2),"H"),$R$63:$T$91,3,FALSE),VLOOKUP($Q27,$R$63:$T$91,3,FALSE)))+IF(AND($Q27&lt;&gt;"",$Q27&lt;&gt;"O3/CP",$Q$15=E$18,MID($Q27,4,1)="2",$Q$15&lt;&gt;$Q$14),VLOOKUP(CONCATENATE(LEFT($Q27,2),"L"),$R$63:$T$91,3,FALSE),0)+IF(AND($Q27="O3/CP",$Q$14=E$18),VLOOKUP("O3",$R$63:$T$91,3,FALSE)+VLOOKUP("CP",$R$63:$T$91,3,FALSE),0)+IF(AND($R27&lt;&gt;"",$R27&lt;&gt;"--",$R27&lt;&gt;"O3/CP",$R$14=E$18),IF(LEFT($R27,1)="P",VLOOKUP(CONCATENATE(LEFT($R27,2),"H"),$R$63:$T$91,3,FALSE),VLOOKUP($R27,$R$63:$T$91,3,FALSE)))+IF(AND($R27&lt;&gt;"",$R27&lt;&gt;"O3/CP",$R$15=E$18,MID($R27,4,1)="2",$R$15&lt;&gt;$R$14),VLOOKUP(CONCATENATE(LEFT($R27,2),"L"),$R$63:$T$91,3,FALSE),0)+IF(AND($R27="O3/CP",$R$14=E$18),VLOOKUP("O3",$R$63:$T$91,3,FALSE)+VLOOKUP("CP",$R$63:$T$91,3,FALSE),0)+IF(AND($S27&lt;&gt;"",$S27&lt;&gt;"--",$S27&lt;&gt;"O3/CP",$S$14=E$18),IF(LEFT($S27,1)="P",VLOOKUP(CONCATENATE(LEFT($S27,2),"H"),$R$63:$T$91,3,FALSE),VLOOKUP($S27,$R$63:$T$91,3,FALSE)))+IF(AND($S27&lt;&gt;"",$S27&lt;&gt;"O3/CP",$S$15=E$18,MID($S27,4,1)="2",$S$15&lt;&gt;$S$14),VLOOKUP(CONCATENATE(LEFT($S27,2),"L"),$R$63:$T$91,3,FALSE),0)+IF(AND($S27="O3/CP",$S$14=E$18),VLOOKUP("O3",$R$63:$T$91,3,FALSE)+VLOOKUP("CP",$R$63:$T$91,3,FALSE),0)+IF(AND($T27&lt;&gt;"",$T27&lt;&gt;"--",$T27&lt;&gt;"O3/CP",$T$14=E$18),IF(LEFT($T27,1)="P",VLOOKUP(CONCATENATE(LEFT($T27,2),"H"),$R$63:$T$91,3,FALSE),VLOOKUP($T27,$R$63:$T$91,3,FALSE)))+IF(AND($T27&lt;&gt;"",$T27&lt;&gt;"O3/CP",$T$15=E$18,MID($T27,4,1)="2",$T$15&lt;&gt;$T$14),VLOOKUP(CONCATENATE(LEFT($T27,2),"L"),$R$63:$T$91,3,FALSE),0)+IF(AND($T27="O3/CP",$T$14=E$18),VLOOKUP("O3",$R$63:$T$91,3,FALSE)+VLOOKUP("CP",$R$63:$T$91,3,FALSE),0)+IF(AND($U27&lt;&gt;"",$U27&lt;&gt;"--",$U27&lt;&gt;"O3/CP",$U$14=E$18),IF(LEFT($U27,1)="P",VLOOKUP(CONCATENATE(LEFT($U27,2),"H"),$R$63:$T$91,3,FALSE),VLOOKUP($U27,$R$63:$T$91,3,FALSE)))+IF(AND($U27&lt;&gt;"",$U27&lt;&gt;"O3/CP",$U$15=E$18,MID($U27,4,1)="2",$U$15&lt;&gt;$U$14),VLOOKUP(CONCATENATE(LEFT($U27,2),"L"),$R$63:$T$91,3,FALSE),0)+IF(AND($U27="O3/CP",$T$14=E$18),VLOOKUP("O3",$R$63:$T$91,3,FALSE)+VLOOKUP("CP",$R$63:$T$91,3,FALSE),0)+IF(AND($V27&lt;&gt;"",$V27&lt;&gt;"--",$V27&lt;&gt;"O3/CP",$V$14=E$18),IF(LEFT($V27,1)="P",VLOOKUP(CONCATENATE(LEFT($V27,2),"H"),$R$63:$T$91,3,FALSE),VLOOKUP($V27,$R$63:$T$91,3,FALSE)))+IF(AND($V27&lt;&gt;"",$V27&lt;&gt;"O3/CP",$V$15=E$18,MID($V27,4,1)="2",$V$15&lt;&gt;$V$14),VLOOKUP(CONCATENATE(LEFT($V27,2),"L"),$R$63:$T$91,3,FALSE),0)+IF(AND($V27="O3/CP",$V$14=E$18),VLOOKUP("O3",$R$63:$T$91,3,FALSE)+VLOOKUP("CP",$R$63:$T$91,3,FALSE),0)+IF(AND($W27&lt;&gt;"",$W27&lt;&gt;"--",$W27&lt;&gt;"O3/CP",$W$14=E$18),IF(LEFT($W27,1)="P",VLOOKUP(CONCATENATE(LEFT($W27,2),"H"),$R$63:$T$91,3,FALSE),VLOOKUP($W27,$R$63:$T$91,3,FALSE)))+IF(AND($W27&lt;&gt;"",$W27&lt;&gt;"O3/CP",$W$15=E$18,MID($W27,4,1)="2",$W$15&lt;&gt;$W$14),VLOOKUP(CONCATENATE(LEFT($W27,2),"L"),$R$63:$T$91,3,FALSE),0)+IF(AND($W27="O3/CP",$W$14=E$18),VLOOKUP("O3",$R$63:$T$91,3,FALSE)+VLOOKUP("CP",$R$63:$T$91,3,FALSE),0)+IF(AND($X27&lt;&gt;"",$X27&lt;&gt;"--",$X27&lt;&gt;"O3/CP",$X$14=E$18),IF(LEFT($X27,1)="P",VLOOKUP(CONCATENATE(LEFT($X27,2),"H"),$R$63:$T$91,3,FALSE),VLOOKUP($X27,$R$63:$T$91,3,FALSE)))+IF(AND($X27&lt;&gt;"",$X27&lt;&gt;"O3/CP",$X$15=E$18,MID($X27,4,1)="2",$X$15&lt;&gt;$X$14),VLOOKUP(CONCATENATE(LEFT($X27,2),"L"),$R$63:$T$91,3,FALSE),0)+IF(AND($X27="O3/CP",$X$14=E$18),VLOOKUP("O3",$R$63:$T$91,3,FALSE)+VLOOKUP("CP",$R$63:$T$91,3,FALSE),0)+IF(AND($Y27&lt;&gt;"",$Y27&lt;&gt;"--",$Y27&lt;&gt;"O3/CP",$Y$14=E$18),IF(LEFT($Y27,1)="P",VLOOKUP(CONCATENATE(LEFT($Y27,2),"H"),$R$63:$T$91,3,FALSE),VLOOKUP($Y27,$R$63:$T$91,3,FALSE)))+IF(AND($Y27&lt;&gt;"",$Y27&lt;&gt;"O3/CP",$Y$15=E$18,MID($Y27,4,1)="2",$Y$15&lt;&gt;$Y$14),VLOOKUP(CONCATENATE(LEFT($Y27,2),"L"),$R$63:$T$91,3,FALSE),0)+IF(AND($Y27="O3/CP",$Y$14=E$18),VLOOKUP("O3",$R$63:$T$91,3,FALSE)+VLOOKUP("CP",$R$63:$T$91,3,FALSE),0)+IF(AND($K$6="CE",'[3]Supply Attribution'!$G$20=E$18),LEFT($S$90,2),0)+IF(AND($X$86&lt;&gt;"Not Set",$X$87=E$18),$X$86,0)</f>
        <v>0</v>
      </c>
      <c r="F27" s="272">
        <f>IF(AND($K27&lt;&gt;"",$K27&lt;&gt;"--",$K27&lt;&gt;"O3/CP",$K$14=F$18),IF(LEFT($K27,1)="P",VLOOKUP(CONCATENATE(LEFT($K27,2),"H"),$R$63:$T$91,3,FALSE),VLOOKUP($K27,$R$63:$T$91,3,FALSE)))+IF(AND($K27&lt;&gt;"",$K27&lt;&gt;"O3/CP",$K$15=F$18,MID($K27,4,1)="2",$K$15&lt;&gt;$K$14),VLOOKUP(CONCATENATE(LEFT($K27,2),"L"),$R$63:$T$91,3,FALSE),0)+IF(AND($K27="O3/CP",$K$14=F$18),VLOOKUP("O3",$R$63:$T$91,3,FALSE)+VLOOKUP("CP",$R$63:$T$91,3,FALSE),0)+IF(AND($L27&lt;&gt;"",$L27&lt;&gt;"--",$L27&lt;&gt;"O3/CP",$L$14=F$18),IF(LEFT($L27,1)="P",VLOOKUP(CONCATENATE(LEFT($L27,2),"H"),$R$63:$T$91,3,FALSE),VLOOKUP($L27,$R$63:$T$91,3,FALSE)))+IF(AND($L27&lt;&gt;"",$L27&lt;&gt;"O3/CP",$L$15=F$18,MID($L27,4,1)="2",$L$15&lt;&gt;$L$14),VLOOKUP(CONCATENATE(LEFT($L27,2),"L"),$R$63:$T$91,3,FALSE),0)+IF(AND($L27="O3/CP",$L$14=F$18),VLOOKUP("O3",$R$63:$T$91,3,FALSE)+VLOOKUP("CP",$R$63:$T$91,3,FALSE),0)+IF(AND($M27&lt;&gt;"",$M27&lt;&gt;"--",$M27&lt;&gt;"O3/CP",$M$14=F$18),IF(LEFT($M27,1)="P",VLOOKUP(CONCATENATE(LEFT($M27,2),"H"),$R$63:$T$91,3,FALSE),VLOOKUP($M27,$R$63:$T$91,3,FALSE)))+IF(AND($M27&lt;&gt;"",$M27&lt;&gt;"O3/CP",$M$15=F$18,MID($M27,4,1)="2",$M$15&lt;&gt;$M$14),VLOOKUP(CONCATENATE(LEFT($M27,2),"L"),$R$63:$T$91,3,FALSE),0)+IF(AND($M27="O3/CP",$M$14=F$18),VLOOKUP("O3",$R$63:$T$91,3,FALSE)+VLOOKUP("CP",$R$63:$T$91,3,FALSE),0)+IF(AND($N27&lt;&gt;"",$N27&lt;&gt;"--",$N27&lt;&gt;"O3/CP",$N$14=F$18),IF(LEFT($N27,1)="P",VLOOKUP(CONCATENATE(LEFT($N27,2),"H"),$R$63:$T$91,3,FALSE),VLOOKUP($N27,$R$63:$T$91,3,FALSE)))+IF(AND($N27&lt;&gt;"",$N27&lt;&gt;"O3/CP",$N$15=F$18,MID($N27,4,1)="2",$N$15&lt;&gt;$N$14),VLOOKUP(CONCATENATE(LEFT($N27,2),"L"),$R$63:$T$91,3,FALSE),0)+IF(AND($N27="O3/CP",$N$14=F$18),VLOOKUP("O3",$R$63:$T$91,3,FALSE)+VLOOKUP("CP",$R$63:$T$91,3,FALSE),0)+IF(AND($O27&lt;&gt;"",$O27&lt;&gt;"--",$O27&lt;&gt;"O3/CP",$O$14=F$18),IF(LEFT($O27,1)="P",VLOOKUP(CONCATENATE(LEFT($O27,2),"H"),$R$63:$T$91,3,FALSE),VLOOKUP($O27,$R$63:$T$91,3,FALSE)))+IF(AND($O27&lt;&gt;"",$O27&lt;&gt;"O3/CP",$O$15=F$18,MID($O27,4,1)="2",$O$15&lt;&gt;$O$14),VLOOKUP(CONCATENATE(LEFT($O27,2),"L"),$R$63:$T$91,3,FALSE),0)+IF(AND($O27="O3/CP",$O$14=F$18),VLOOKUP("O3",$R$63:$T$91,3,FALSE)+VLOOKUP("CP",$R$63:$T$91,3,FALSE),0)+IF(AND($P27&lt;&gt;"",$P27&lt;&gt;"--",$P27&lt;&gt;"O3/CP",$P$14=F$18),IF(LEFT($P27,1)="P",VLOOKUP(CONCATENATE(LEFT($P27,2),"H"),$R$63:$T$91,3,FALSE),VLOOKUP($P27,$R$63:$T$91,3,FALSE)))+IF(AND($P27&lt;&gt;"",$P27&lt;&gt;"O3/CP",$P$15=F$18,MID($P27,4,1)="2",$P$15&lt;&gt;$P$14),VLOOKUP(CONCATENATE(LEFT($P27,2),"L"),$R$63:$T$91,3,FALSE),0)+IF(AND($P27="O3/CP",$P$14=F$18),VLOOKUP("O3",$R$63:$T$91,3,FALSE)+VLOOKUP("CP",$R$63:$T$91,3,FALSE),0)+IF(AND($Q27&lt;&gt;"",$Q27&lt;&gt;"--",$Q27&lt;&gt;"O3/CP",$Q$14=F$18),IF(LEFT($Q27,1)="P",VLOOKUP(CONCATENATE(LEFT($Q27,2),"H"),$R$63:$T$91,3,FALSE),VLOOKUP($Q27,$R$63:$T$91,3,FALSE)))+IF(AND($Q27&lt;&gt;"",$Q27&lt;&gt;"O3/CP",$Q$15=F$18,MID($Q27,4,1)="2",$Q$15&lt;&gt;$Q$14),VLOOKUP(CONCATENATE(LEFT($Q27,2),"L"),$R$63:$T$91,3,FALSE),0)+IF(AND($Q27="O3/CP",$Q$14=F$18),VLOOKUP("O3",$R$63:$T$91,3,FALSE)+VLOOKUP("CP",$R$63:$T$91,3,FALSE),0)+IF(AND($R27&lt;&gt;"",$R27&lt;&gt;"--",$R27&lt;&gt;"O3/CP",$R$14=F$18),IF(LEFT($R27,1)="P",VLOOKUP(CONCATENATE(LEFT($R27,2),"H"),$R$63:$T$91,3,FALSE),VLOOKUP($R27,$R$63:$T$91,3,FALSE)))+IF(AND($R27&lt;&gt;"",$R27&lt;&gt;"O3/CP",$R$15=F$18,MID($R27,4,1)="2",$R$15&lt;&gt;$R$14),VLOOKUP(CONCATENATE(LEFT($R27,2),"L"),$R$63:$T$91,3,FALSE),0)+IF(AND($R27="O3/CP",$R$14=F$18),VLOOKUP("O3",$R$63:$T$91,3,FALSE)+VLOOKUP("CP",$R$63:$T$91,3,FALSE),0)+IF(AND($S27&lt;&gt;"",$S27&lt;&gt;"--",$S27&lt;&gt;"O3/CP",$S$14=F$18),IF(LEFT($S27,1)="P",VLOOKUP(CONCATENATE(LEFT($S27,2),"H"),$R$63:$T$91,3,FALSE),VLOOKUP($S27,$R$63:$T$91,3,FALSE)))+IF(AND($S27&lt;&gt;"",$S27&lt;&gt;"O3/CP",$S$15=F$18,MID($S27,4,1)="2",$S$15&lt;&gt;$S$14),VLOOKUP(CONCATENATE(LEFT($S27,2),"L"),$R$63:$T$91,3,FALSE),0)+IF(AND($S27="O3/CP",$S$14=F$18),VLOOKUP("O3",$R$63:$T$91,3,FALSE)+VLOOKUP("CP",$R$63:$T$91,3,FALSE),0)+IF(AND($T27&lt;&gt;"",$T27&lt;&gt;"--",$T27&lt;&gt;"O3/CP",$T$14=F$18),IF(LEFT($T27,1)="P",VLOOKUP(CONCATENATE(LEFT($T27,2),"H"),$R$63:$T$91,3,FALSE),VLOOKUP($T27,$R$63:$T$91,3,FALSE)))+IF(AND($T27&lt;&gt;"",$T27&lt;&gt;"O3/CP",$T$15=F$18,MID($T27,4,1)="2",$T$15&lt;&gt;$T$14),VLOOKUP(CONCATENATE(LEFT($T27,2),"L"),$R$63:$T$91,3,FALSE),0)+IF(AND($T27="O3/CP",$T$14=F$18),VLOOKUP("O3",$R$63:$T$91,3,FALSE)+VLOOKUP("CP",$R$63:$T$91,3,FALSE),0)+IF(AND($U27&lt;&gt;"",$U27&lt;&gt;"--",$U27&lt;&gt;"O3/CP",$U$14=F$18),IF(LEFT($U27,1)="P",VLOOKUP(CONCATENATE(LEFT($U27,2),"H"),$R$63:$T$91,3,FALSE),VLOOKUP($U27,$R$63:$T$91,3,FALSE)))+IF(AND($U27&lt;&gt;"",$U27&lt;&gt;"O3/CP",$U$15=F$18,MID($U27,4,1)="2",$U$15&lt;&gt;$U$14),VLOOKUP(CONCATENATE(LEFT($U27,2),"L"),$R$63:$T$91,3,FALSE),0)+IF(AND($U27="O3/CP",$T$14=F$18),VLOOKUP("O3",$R$63:$T$91,3,FALSE)+VLOOKUP("CP",$R$63:$T$91,3,FALSE),0)+IF(AND($V27&lt;&gt;"",$V27&lt;&gt;"--",$V27&lt;&gt;"O3/CP",$V$14=F$18),IF(LEFT($V27,1)="P",VLOOKUP(CONCATENATE(LEFT($V27,2),"H"),$R$63:$T$91,3,FALSE),VLOOKUP($V27,$R$63:$T$91,3,FALSE)))+IF(AND($V27&lt;&gt;"",$V27&lt;&gt;"O3/CP",$V$15=F$18,MID($V27,4,1)="2",$V$15&lt;&gt;$V$14),VLOOKUP(CONCATENATE(LEFT($V27,2),"L"),$R$63:$T$91,3,FALSE),0)+IF(AND($V27="O3/CP",$V$14=F$18),VLOOKUP("O3",$R$63:$T$91,3,FALSE)+VLOOKUP("CP",$R$63:$T$91,3,FALSE),0)+IF(AND($W27&lt;&gt;"",$W27&lt;&gt;"--",$W27&lt;&gt;"O3/CP",$W$14=F$18),IF(LEFT($W27,1)="P",VLOOKUP(CONCATENATE(LEFT($W27,2),"H"),$R$63:$T$91,3,FALSE),VLOOKUP($W27,$R$63:$T$91,3,FALSE)))+IF(AND($W27&lt;&gt;"",$W27&lt;&gt;"O3/CP",$W$15=F$18,MID($W27,4,1)="2",$W$15&lt;&gt;$W$14),VLOOKUP(CONCATENATE(LEFT($W27,2),"L"),$R$63:$T$91,3,FALSE),0)+IF(AND($W27="O3/CP",$W$14=F$18),VLOOKUP("O3",$R$63:$T$91,3,FALSE)+VLOOKUP("CP",$R$63:$T$91,3,FALSE),0)+IF(AND($X27&lt;&gt;"",$X27&lt;&gt;"--",$X27&lt;&gt;"O3/CP",$X$14=F$18),IF(LEFT($X27,1)="P",VLOOKUP(CONCATENATE(LEFT($X27,2),"H"),$R$63:$T$91,3,FALSE),VLOOKUP($X27,$R$63:$T$91,3,FALSE)))+IF(AND($X27&lt;&gt;"",$X27&lt;&gt;"O3/CP",$X$15=F$18,MID($X27,4,1)="2",$X$15&lt;&gt;$X$14),VLOOKUP(CONCATENATE(LEFT($X27,2),"L"),$R$63:$T$91,3,FALSE),0)+IF(AND($X27="O3/CP",$X$14=F$18),VLOOKUP("O3",$R$63:$T$91,3,FALSE)+VLOOKUP("CP",$R$63:$T$91,3,FALSE),0)+IF(AND($Y27&lt;&gt;"",$Y27&lt;&gt;"--",$Y27&lt;&gt;"O3/CP",$Y$14=F$18),IF(LEFT($Y27,1)="P",VLOOKUP(CONCATENATE(LEFT($Y27,2),"H"),$R$63:$T$91,3,FALSE),VLOOKUP($Y27,$R$63:$T$91,3,FALSE)))+IF(AND($Y27&lt;&gt;"",$Y27&lt;&gt;"O3/CP",$Y$15=F$18,MID($Y27,4,1)="2",$Y$15&lt;&gt;$Y$14),VLOOKUP(CONCATENATE(LEFT($Y27,2),"L"),$R$63:$T$91,3,FALSE),0)+IF(AND($Y27="O3/CP",$Y$14=F$18),VLOOKUP("O3",$R$63:$T$91,3,FALSE)+VLOOKUP("CP",$R$63:$T$91,3,FALSE),0)+IF(AND($K$6="CE",'[3]Supply Attribution'!$G$20=F$18),LEFT($S$90,2),0)+IF(AND($X$86&lt;&gt;"Not Set",$X$87=F$18),$X$86,0)</f>
        <v>0</v>
      </c>
      <c r="G27" s="271">
        <f>IF(AND($K$6="CE",$T$59="1 Phase"),SUM(A27:F27)-IF(AND($K$14&lt;&gt;$K$15,RIGHT($K27,3)="2SP"),VLOOKUP(CONCATENATE(LEFT($K27,2),"L"),$R$63:$T$90,3,FALSE),0)-IF(AND($L$14&lt;&gt;$L$15,RIGHT($L27,3)="2SP"),VLOOKUP(CONCATENATE(LEFT($L27,2),"L"),$R$63:$T$90,3,FALSE),0)-IF(AND($M$14&lt;&gt;$M$15,RIGHT($M27,3)="2SP"),VLOOKUP(CONCATENATE(LEFT($M27,2),"L"),$R$63:$T$90,3,FALSE),0)-IF(AND($N$14&lt;&gt;$N$15,RIGHT($N27,3)="2SP"),VLOOKUP(CONCATENATE(LEFT($N27,2),"L"),$R$63:$T$90,3,FALSE),0)-IF(AND($O$14&lt;&gt;$O$15,RIGHT($O27,3)="2SP"),VLOOKUP(CONCATENATE(LEFT($O27,2),"L"),$R$63:$T$90,3,FALSE),0)-IF(AND($P$14&lt;&gt;$P$15,RIGHT($P27,3)="2SP"),VLOOKUP(CONCATENATE(LEFT($P27,2),"L"),$R$63:$T$90,3,FALSE),0)-IF(AND($Q$14&lt;&gt;$Q$15,RIGHT($Q27,3)="2SP"),VLOOKUP(CONCATENATE(LEFT($Q27,2),"L"),$R$63:$T$90,3,FALSE),0)-IF(AND($R$14&lt;&gt;$R$15,RIGHT($T27,3)="2SP"),VLOOKUP(CONCATENATE(LEFT($R27,2),"L"),$R$63:$T$90,3,FALSE),0)-IF(AND($S$14&lt;&gt;$S$15,RIGHT($T27,3)="2SP"),VLOOKUP(CONCATENATE(LEFT($S27,2),"L"),$R$63:$T$90,3,FALSE),0)-IF(AND($T$14&lt;&gt;$T$15,RIGHT($T27,3)="2SP"),VLOOKUP(CONCATENATE(LEFT($T27,2),"L"),$R$63:$T$90,3,FALSE),0)-IF(AND($U$14&lt;&gt;$U$15,RIGHT($U27,3)="2SP"),VLOOKUP(CONCATENATE(LEFT($U27,2),"L"),$R$63:$T$90,3,FALSE),0)-IF(AND($V$14&lt;&gt;$V$15,RIGHT($V27,3)="2SP"),VLOOKUP(CONCATENATE(LEFT($V27,2),"L"),$R$63:$T$90,3,FALSE),0)-IF(AND($W$14&lt;&gt;$W$15,RIGHT($W27,3)="2SP"),VLOOKUP(CONCATENATE(LEFT($W27,2),"L"),$R$63:$T$90,3,FALSE),0)-IF(AND($X$14&lt;&gt;$X$15,RIGHT($X27,3)="2SP"),VLOOKUP(CONCATENATE(LEFT($X27,2),"L"),$R$63:$T$90,3,FALSE),0)-IF(AND($Y$14&lt;&gt;$Y$15,RIGHT($Y27,3)="2SP"),VLOOKUP(CONCATENATE(LEFT($Y27,2),"L"),$R$63:$T$90,3,FALSE),0),IF(VLOOKUP(CONCATENATE($A$18,"Line"),'[3]Supply Attribution'!$F$31:$G$37,2,FALSE)=G$18,$A27,0)+IF(VLOOKUP(CONCATENATE($B$18,"Line"),'[3]Supply Attribution'!$F$31:$G$37,2,FALSE)=G$18,$B27,0)+IF(VLOOKUP(CONCATENATE($C$18,"Line"),'[3]Supply Attribution'!$F$31:$G$37,2,FALSE)=G$18,$C27,0)+IF(VLOOKUP(CONCATENATE($D$18,"Line"),'[3]Supply Attribution'!$F$31:$G$37,2,FALSE)=G$18,$D27,0)+IF(VLOOKUP(CONCATENATE($E$18,"Line"),'[3]Supply Attribution'!$F$31:$G$37,2,FALSE)=G$18,$E27,0)+IF(VLOOKUP(CONCATENATE($F$18,"Line"),'[3]Supply Attribution'!$F$31:$G$37,2,FALSE)=G$18,$F27,0)+IF($K$6="UL",LEFT($S$90,2),0)-IF(AND($K$16=G$18,$K$14&lt;&gt;$K$15,$K$16=$K$17,RIGHT($K27,3)="2SP"),VLOOKUP(CONCATENATE(LEFT($K27,2),"L"),$R$63:$T$90,3,FALSE),0)-IF(AND($L$16=G$18,$L$14&lt;&gt;$L$15,$L$16=$L$17,RIGHT($L27,3)="2SP"),VLOOKUP(CONCATENATE(LEFT($L27,2),"L"),$R$63:$T$90,3,FALSE),0)-IF(AND($M$16=G$18,$M$14&lt;&gt;$M$15,$M$16=$M$17,RIGHT($M27,3)="2SP"),VLOOKUP(CONCATENATE(LEFT($M27,2),"L"),$R$63:$T$90,3,FALSE),0)-IF(AND($N$16=G$18,$N$14&lt;&gt;$N$15,$N$16=$N$17,RIGHT($N27,3)="2SP"),VLOOKUP(CONCATENATE(LEFT($N27,2),"L"),$R$63:$T$90,3,FALSE),0)-IF(AND($O$16=G$18,$O$14&lt;&gt;$O$15,$O$16=$O$17,RIGHT($O27,3)="2SP"),VLOOKUP(CONCATENATE(LEFT($O27,2),"L"),$R$63:$T$90,3,FALSE),0)-IF(AND($P$16=G$18,$P$14&lt;&gt;$P$15,$P$16=$P$17,RIGHT($P27,3)="2SP"),VLOOKUP(CONCATENATE(LEFT($P27,2),"L"),$R$63:$T$90,3,FALSE),0)-IF(AND($Q$16=G$18,$Q$14&lt;&gt;$Q$15,$Q$16=$Q$17,RIGHT($Q27,3)="2SP"),VLOOKUP(CONCATENATE(LEFT($Q27,2),"L"),$R$63:$T$90,3,FALSE),0)-IF(AND($R$16=G$18,$R$14&lt;&gt;$R$15,$R$16=$R$17,RIGHT($R27,3)="2SP"),VLOOKUP(CONCATENATE(LEFT($R27,2),"L"),$R$63:$T$90,3,FALSE),0)-IF(AND($S$16=G$18,$S$14&lt;&gt;$S$15,$S$16=$S$17,RIGHT($S27,3)="2SP"),VLOOKUP(CONCATENATE(LEFT($S27,2),"L"),$R$63:$T$90,3,FALSE),0)-IF(AND($T$16=G$18,$T$14&lt;&gt;$T$15,$T$16=$T$17,RIGHT($T27,3)="2SP"),VLOOKUP(CONCATENATE(LEFT($T27,2),"L"),$R$63:$T$90,3,FALSE),0)-IF(AND($U$16=G$18,$U$14&lt;&gt;$U$15,$U$16=$U$17,RIGHT($U27,3)="2SP"),VLOOKUP(CONCATENATE(LEFT($U27,2),"L"),$R$63:$T$90,3,FALSE),0)-IF(AND($V$16=G$18,$V$14&lt;&gt;$V$15,$V$16=$V$17,RIGHT($V27,3)="2SP"),VLOOKUP(CONCATENATE(LEFT($V27,2),"L"),$R$63:$T$90,3,FALSE),0)-IF(AND($W$16=G$18,$W$14&lt;&gt;$W$15,$W$16=$W$17,RIGHT($W27,3)="2SP"),VLOOKUP(CONCATENATE(LEFT($W27,2),"L"),$R$63:$T$90,3,FALSE),0)-IF(AND($X$16=G$18,$X$14&lt;&gt;$X$15,$X$16=$X$17,RIGHT($X27,3)="2SP"),VLOOKUP(CONCATENATE(LEFT($X27,2),"L"),$R$63:$T$90,3,FALSE),0)-IF(AND($Y$16=G$18,$Y$14&lt;&gt;$Y$15,$Y$16=$Y$17,RIGHT($Y27,3)="2SP"),VLOOKUP(CONCATENATE(LEFT($Y27,2),"L"),$R$63:$T$90,3,FALSE),0))</f>
        <v>17</v>
      </c>
      <c r="H27" s="271" t="str">
        <f>IF(H$18&lt;&gt;"",IF(VLOOKUP(CONCATENATE($A$18,"Line"),'Supply Attribution'!$F$31:$G$37,2,FALSE)=H$18,$A27,0)+IF(VLOOKUP(CONCATENATE($B$18,"Line"),'Supply Attribution'!$F$31:$G$37,2,FALSE)=H$18,$B27,0)+IF(VLOOKUP(CONCATENATE($C$18,"Line"),'Supply Attribution'!$F$31:$G$37,2,FALSE)=H$18,$C27,0)+IF(VLOOKUP(CONCATENATE($D$18,"Line"),'Supply Attribution'!$F$31:$G$37,2,FALSE)=H$18,$D27,0)+IF(VLOOKUP(CONCATENATE($E$18,"Line"),'Supply Attribution'!$F$31:$G$37,2,FALSE)=H$18,$E27,0)+IF(VLOOKUP(CONCATENATE($F$18,"Line"),'Supply Attribution'!$F$31:$G$37,2,FALSE)=H$18,$F27,0)+IF($K$6="UL",LEFT($S$90,2),0)-IF(AND($K$16=H$18,$K$14&lt;&gt;$K$15,$K$16=$K$17,RIGHT($K27,3)="2SP"),VLOOKUP(CONCATENATE(LEFT($K27,2),"L"),$R$63:$T$90,3,FALSE),0)-IF(AND($L$16=H$18,$L$14&lt;&gt;$L$15,$L$16=$L$17,RIGHT($L27,3)="2SP"),VLOOKUP(CONCATENATE(LEFT($L27,2),"L"),$R$63:$T$90,3,FALSE),0)-IF(AND($M$16=H$18,$M$14&lt;&gt;$M$15,$M$16=$M$17,RIGHT($M27,3)="2SP"),VLOOKUP(CONCATENATE(LEFT($M27,2),"L"),$R$63:$T$90,3,FALSE),0)-IF(AND($N$16=H$18,$N$14&lt;&gt;$N$15,$N$16=$N$17,RIGHT($N27,3)="2SP"),VLOOKUP(CONCATENATE(LEFT($N27,2),"L"),$R$63:$T$90,3,FALSE),0)-IF(AND($O$16=H$18,$O$14&lt;&gt;$O$15,$O$16=$O$17,RIGHT($O27,3)="2SP"),VLOOKUP(CONCATENATE(LEFT($O27,2),"L"),$R$63:$T$90,3,FALSE),0)-IF(AND($P$16=H$18,$P$14&lt;&gt;$P$15,$P$16=$P$17,RIGHT($P27,3)="2SP"),VLOOKUP(CONCATENATE(LEFT($P27,2),"L"),$R$63:$T$90,3,FALSE),0)-IF(AND($Q$16=H$18,$Q$14&lt;&gt;$Q$15,$Q$16=$Q$17,RIGHT($Q27,3)="2SP"),VLOOKUP(CONCATENATE(LEFT($Q27,2),"L"),$R$63:$T$90,3,FALSE),0)-IF(AND($T$16=H$18,$T$14&lt;&gt;$T$15,$T$16=$T$17,RIGHT($T27,3)="2SP"),VLOOKUP(CONCATENATE(LEFT($T27,2),"L"),$R$63:$T$90,3,FALSE),0)-IF(AND($U$16=H$18,$U$14&lt;&gt;$U$15,$U$16=$U$17,RIGHT($U27,3)="2SP"),VLOOKUP(CONCATENATE(LEFT($U27,2),"L"),$R$63:$T$90,3,FALSE),0)-IF(AND($V$16=H$18,$V$14&lt;&gt;$V$15,$V$16=$V$17,RIGHT($V27,3)="2SP"),VLOOKUP(CONCATENATE(LEFT($V27,2),"L"),$R$63:$T$90,3,FALSE),0)-IF(AND($W$16=H$18,$W$14&lt;&gt;$W$15,$W$16=$W$17,RIGHT($W27,3)="2SP"),VLOOKUP(CONCATENATE(LEFT($W27,2),"L"),$R$63:$T$90,3,FALSE),0)-IF(AND($X$16=H$18,$X$14&lt;&gt;$X$15,$X$16=$X$17,RIGHT($X27,3)="2SP"),VLOOKUP(CONCATENATE(LEFT($X27,2),"L"),$R$63:$T$90,3,FALSE),0)-IF(AND($Y$16=H$18,$Y$14&lt;&gt;$Y$15,$Y$16=$Y$17,RIGHT($Y27,3)="2SP"),VLOOKUP(CONCATENATE(LEFT($Y27,2),"L"),$R$63:$T$90,3,FALSE),0)+IF(AND($K$6="CE",$T$59="2 Phases",H$18&lt;&gt;""),IF(VLOOKUP(CONCATENATE($A$18,"Line"),'Supply Attribution'!$F$31:$G$37,2,FALSE)="Line3",$A27,0)+IF(VLOOKUP(CONCATENATE($B$18,"Line"),'Supply Attribution'!$F$31:$G$37,2,FALSE)="Line3",$B27,0)+IF(VLOOKUP(CONCATENATE($C$18,"Line"),'Supply Attribution'!$F$31:$G$37,2,FALSE)="Line3",$C27,0)+IF(VLOOKUP(CONCATENATE($D$18,"Line"),'Supply Attribution'!$F$31:$G$37,2,FALSE)="Line3",$D27,0)+IF(VLOOKUP(CONCATENATE($E$18,"Line"),'Supply Attribution'!$F$31:$G$37,2,FALSE)="Line3",$E27,0)+IF(VLOOKUP(CONCATENATE($F$18,"Line"),'Supply Attribution'!$F$31:$G$37,2,FALSE)="Line3",$F27,0)-IF(AND($K$16=I$18,$K$14&lt;&gt;$K$15,$K$16=$K$17,RIGHT($K27,3)="2SP"),VLOOKUP(CONCATENATE(LEFT($K27,2),"L"),$R$63:$T$90,3,FALSE),0)-IF(AND($L$16=I$18,$L$14&lt;&gt;$L$15,$L$16=$L$17,RIGHT($L27,3)="2SP"),VLOOKUP(CONCATENATE(LEFT($L27,2),"L"),$R$63:$T$90,3,FALSE),0)-IF(AND($M$16=I$18,$M$14&lt;&gt;$M$15,$M$16=$M$17,RIGHT($M27,3)="2SP"),VLOOKUP(CONCATENATE(LEFT($M27,2),"L"),$R$63:$T$90,3,FALSE),0)-IF(AND($N$16=I$18,$N$14&lt;&gt;$N$15,$N$16=$N$17,RIGHT($N27,3)="2SP"),VLOOKUP(CONCATENATE(LEFT($N27,2),"L"),$R$63:$T$90,3,FALSE),0)-IF(AND($O$16=I$18,$O$14&lt;&gt;$O$15,$O$16=$O$17,RIGHT($O27,3)="2SP"),VLOOKUP(CONCATENATE(LEFT($O27,2),"L"),$R$63:$T$90,3,FALSE),0)-IF(AND($P$16=I$18,$P$14&lt;&gt;$P$15,$P$16=$P$17,RIGHT($P27,3)="2SP"),VLOOKUP(CONCATENATE(LEFT($P27,2),"L"),$R$63:$T$90,3,FALSE),0)-IF(AND($Q$16=I$18,$Q$14&lt;&gt;$Q$15,$Q$16=$Q$17,RIGHT($Q27,3)="2SP"),VLOOKUP(CONCATENATE(LEFT($Q27,2),"L"),$R$63:$T$90,3,FALSE),0)-IF(AND($T$16=I$18,$T$14&lt;&gt;$T$15,$T$16=$T$17,RIGHT($T27,3)="2SP"),VLOOKUP(CONCATENATE(LEFT($T27,2),"L"),$R$63:$T$90,3,FALSE),0)-IF(AND($U$16=I$18,$U$14&lt;&gt;$U$15,$U$16=$U$17,RIGHT($U27,3)="2SP"),VLOOKUP(CONCATENATE(LEFT($U27,2),"L"),$R$63:$T$90,3,FALSE),0)-IF(AND($V$16=I$18,$V$14&lt;&gt;$V$15,$V$16=$V$17,RIGHT($V27,3)="2SP"),VLOOKUP(CONCATENATE(LEFT($V27,2),"L"),$R$63:$T$90,3,FALSE),0)-IF(AND($W$16=I$18,$W$14&lt;&gt;$W$15,$W$16=$W$17,RIGHT($W27,3)="2SP"),VLOOKUP(CONCATENATE(LEFT($W27,2),"L"),$R$63:$T$90,3,FALSE),0)-IF(AND($X$16=I$18,$X$14&lt;&gt;$X$15,$X$16=$X$17,RIGHT($X27,3)="2SP"),VLOOKUP(CONCATENATE(LEFT($X27,2),"L"),$R$63:$T$90,3,FALSE),0)-IF(AND($Y$16=I$18,$Y$14&lt;&gt;$Y$15,$Y$16=$Y$17,RIGHT($Y27,3)="2SP"),VLOOKUP(CONCATENATE(LEFT($Y27,2),"L"),$R$63:$T$90,3,FALSE),0),0),"")</f>
        <v/>
      </c>
      <c r="I27" s="271" t="str">
        <f>IF(I$18&lt;&gt;"",IF(VLOOKUP(CONCATENATE($A$18,"Line"),'Supply Attribution'!$F$31:$G$37,2,FALSE)=I$18,$A27,0)+IF(VLOOKUP(CONCATENATE($B$18,"Line"),'Supply Attribution'!$F$31:$G$37,2,FALSE)=I$18,$B27,0)+IF(VLOOKUP(CONCATENATE($C$18,"Line"),'Supply Attribution'!$F$31:$G$37,2,FALSE)=I$18,$C27,0)+IF(VLOOKUP(CONCATENATE($D$18,"Line"),'Supply Attribution'!$F$31:$G$37,2,FALSE)=I$18,$D27,0)+IF(VLOOKUP(CONCATENATE($E$18,"Line"),'Supply Attribution'!$F$31:$G$37,2,FALSE)=I$18,$E27,0)+IF(VLOOKUP(CONCATENATE($F$18,"Line"),'Supply Attribution'!$F$31:$G$37,2,FALSE)=I$18,$F27,0)+IF($K$6="UL",LEFT($S$90,2),0)-IF(AND($K$16=I$18,$K$14&lt;&gt;$K$15,$K$16=$K$17,RIGHT($K27,3)="2SP"),VLOOKUP(CONCATENATE(LEFT($K27,2),"L"),$R$63:$T$90,3,FALSE),0)-IF(AND($L$16=I$18,$L$14&lt;&gt;$L$15,$L$16=$L$17,RIGHT($L27,3)="2SP"),VLOOKUP(CONCATENATE(LEFT($L27,2),"L"),$R$63:$T$90,3,FALSE),0)-IF(AND($M$16=I$18,$M$14&lt;&gt;$M$15,$M$16=$M$17,RIGHT($M27,3)="2SP"),VLOOKUP(CONCATENATE(LEFT($M27,2),"L"),$R$63:$T$90,3,FALSE),0)-IF(AND($N$16=I$18,$N$14&lt;&gt;$N$15,$N$16=$N$17,RIGHT($N27,3)="2SP"),VLOOKUP(CONCATENATE(LEFT($N27,2),"L"),$R$63:$T$90,3,FALSE),0)-IF(AND($O$16=I$18,$O$14&lt;&gt;$O$15,$O$16=$O$17,RIGHT($O27,3)="2SP"),VLOOKUP(CONCATENATE(LEFT($O27,2),"L"),$R$63:$T$90,3,FALSE),0)-IF(AND($P$16=I$18,$P$14&lt;&gt;$P$15,$P$16=$P$17,RIGHT($P27,3)="2SP"),VLOOKUP(CONCATENATE(LEFT($P27,2),"L"),$R$63:$T$90,3,FALSE),0)-IF(AND($Q$16=I$18,$Q$14&lt;&gt;$Q$15,$Q$16=$Q$17,RIGHT($Q27,3)="2SP"),VLOOKUP(CONCATENATE(LEFT($Q27,2),"L"),$R$63:$T$90,3,FALSE),0)-IF(AND($T$16=I$18,$T$14&lt;&gt;$T$15,$T$16=$T$17,RIGHT($T27,3)="2SP"),VLOOKUP(CONCATENATE(LEFT($T27,2),"L"),$R$63:$T$90,3,FALSE),0)-IF(AND($U$16=I$18,$U$14&lt;&gt;$U$15,$U$16=$U$17,RIGHT($U27,3)="2SP"),VLOOKUP(CONCATENATE(LEFT($U27,2),"L"),$R$63:$T$90,3,FALSE),0)-IF(AND($V$16=I$18,$V$14&lt;&gt;$V$15,$V$16=$V$17,RIGHT($V27,3)="2SP"),VLOOKUP(CONCATENATE(LEFT($V27,2),"L"),$R$63:$T$90,3,FALSE),0)-IF(AND($W$16=I$18,$W$14&lt;&gt;$W$15,$W$16=$W$17,RIGHT($W27,3)="2SP"),VLOOKUP(CONCATENATE(LEFT($W27,2),"L"),$R$63:$T$90,3,FALSE),0)-IF(AND($X$16=I$18,$X$14&lt;&gt;$X$15,$X$16=$X$17,RIGHT($X27,3)="2SP"),VLOOKUP(CONCATENATE(LEFT($X27,2),"L"),$R$63:$T$90,3,FALSE),0)-IF(AND($Y$16=I$18,$Y$14&lt;&gt;$Y$15,$Y$16=$Y$17,RIGHT($Y27,3)="2SP"),VLOOKUP(CONCATENATE(LEFT($Y27,2),"L"),$R$63:$T$90,3,FALSE),0),"")</f>
        <v/>
      </c>
      <c r="J27" s="129"/>
      <c r="K27" s="130"/>
      <c r="L27" s="130"/>
      <c r="M27" s="130"/>
      <c r="N27" s="130"/>
      <c r="O27" s="130"/>
      <c r="P27" s="130"/>
      <c r="Q27" s="130"/>
      <c r="R27" s="130"/>
      <c r="S27" s="130"/>
      <c r="T27" s="130"/>
      <c r="U27" s="130"/>
      <c r="V27" s="130"/>
      <c r="W27" s="130"/>
      <c r="X27" s="130"/>
      <c r="Y27" s="130"/>
      <c r="Z27" s="131"/>
      <c r="AA27" s="131"/>
      <c r="AB27" s="132"/>
      <c r="AC27" s="132"/>
      <c r="AD27" s="132"/>
      <c r="AE27" s="133">
        <f t="shared" si="0"/>
        <v>0</v>
      </c>
      <c r="AF27" s="78"/>
    </row>
    <row r="28" spans="1:32" ht="13.15" customHeight="1">
      <c r="A28" s="270">
        <f>IF(AND($K28&lt;&gt;"",$K28&lt;&gt;"--",$K28&lt;&gt;"O3/CP",$K$14=A$18),IF(LEFT($K28,1)="P",VLOOKUP(CONCATENATE(LEFT($K28,2),"H"),$R$63:$T$91,3,FALSE),VLOOKUP($K28,$R$63:$T$91,3,FALSE)))+IF(AND($K28&lt;&gt;"",$K28&lt;&gt;"O3/CP",$K$15=A$18,MID($K28,4,1)="2",$K$15&lt;&gt;$K$14),VLOOKUP(CONCATENATE(LEFT($K28,2),"L"),$R$63:$T$91,3,FALSE),0)+IF(AND($K28="O3/CP",$K$14=A$18),VLOOKUP("O3",$R$63:$T$91,3,FALSE)+VLOOKUP("CP",$R$63:$T$91,3,FALSE),0)+IF(AND($L28&lt;&gt;"",$L28&lt;&gt;"--",$L28&lt;&gt;"O3/CP",$L$14=A$18),IF(LEFT($L28,1)="P",VLOOKUP(CONCATENATE(LEFT($L28,2),"H"),$R$63:$T$91,3,FALSE),VLOOKUP($L28,$R$63:$T$91,3,FALSE)))+IF(AND($L28&lt;&gt;"",$L28&lt;&gt;"O3/CP",$L$15=A$18,MID($L28,4,1)="2",$L$15&lt;&gt;$L$14),VLOOKUP(CONCATENATE(LEFT($L28,2),"L"),$R$63:$T$91,3,FALSE),0)+IF(AND($L28="O3/CP",$L$14=A$18),VLOOKUP("O3",$R$63:$T$91,3,FALSE)+VLOOKUP("CP",$R$63:$T$91,3,FALSE),0)+IF(AND($M28&lt;&gt;"",$M28&lt;&gt;"--",$M28&lt;&gt;"O3/CP",$M$14=A$18),IF(LEFT($M28,1)="P",VLOOKUP(CONCATENATE(LEFT($M28,2),"H"),$R$63:$T$91,3,FALSE),VLOOKUP($M28,$R$63:$T$91,3,FALSE)))+IF(AND($M28&lt;&gt;"",$M28&lt;&gt;"O3/CP",$M$15=A$18,MID($M28,4,1)="2",$M$15&lt;&gt;$M$14),VLOOKUP(CONCATENATE(LEFT($M28,2),"L"),$R$63:$T$91,3,FALSE),0)+IF(AND($M28="O3/CP",$M$14=A$18),VLOOKUP("O3",$R$63:$T$91,3,FALSE)+VLOOKUP("CP",$R$63:$T$91,3,FALSE),0)+IF(AND($N28&lt;&gt;"",$N28&lt;&gt;"--",$N28&lt;&gt;"O3/CP",$N$14=A$18),IF(LEFT($N28,1)="P",VLOOKUP(CONCATENATE(LEFT($N28,2),"H"),$R$63:$T$91,3,FALSE),VLOOKUP($N28,$R$63:$T$91,3,FALSE)))+IF(AND($N28&lt;&gt;"",$N28&lt;&gt;"O3/CP",$N$15=A$18,MID($N28,4,1)="2",$N$15&lt;&gt;$N$14),VLOOKUP(CONCATENATE(LEFT($N28,2),"L"),$R$63:$T$91,3,FALSE),0)+IF(AND($N28="O3/CP",$N$14=A$18),VLOOKUP("O3",$R$63:$T$91,3,FALSE)+VLOOKUP("CP",$R$63:$T$91,3,FALSE),0)+IF(AND($O28&lt;&gt;"",$O28&lt;&gt;"--",$O28&lt;&gt;"O3/CP",$O$14=A$18),IF(LEFT($O28,1)="P",VLOOKUP(CONCATENATE(LEFT($O28,2),"H"),$R$63:$T$91,3,FALSE),VLOOKUP($O28,$R$63:$T$91,3,FALSE)))+IF(AND($O28&lt;&gt;"",$O28&lt;&gt;"O3/CP",$O$15=A$18,MID($O28,4,1)="2",$O$15&lt;&gt;$O$14),VLOOKUP(CONCATENATE(LEFT($O28,2),"L"),$R$63:$T$91,3,FALSE),0)+IF(AND($O28="O3/CP",$O$14=A$18),VLOOKUP("O3",$R$63:$T$91,3,FALSE)+VLOOKUP("CP",$R$63:$T$91,3,FALSE),0)+IF(AND($P28&lt;&gt;"",$P28&lt;&gt;"--",$P28&lt;&gt;"O3/CP",$P$14=A$18),IF(LEFT($P28,1)="P",VLOOKUP(CONCATENATE(LEFT($P28,2),"H"),$R$63:$T$91,3,FALSE),VLOOKUP($P28,$R$63:$T$91,3,FALSE)))+IF(AND($P28&lt;&gt;"",$P28&lt;&gt;"O3/CP",$P$15=A$18,MID($P28,4,1)="2",$P$15&lt;&gt;$P$14),VLOOKUP(CONCATENATE(LEFT($P28,2),"L"),$R$63:$T$91,3,FALSE),0)+IF(AND($P28="O3/CP",$P$14=A$18),VLOOKUP("O3",$R$63:$T$91,3,FALSE)+VLOOKUP("CP",$R$63:$T$91,3,FALSE),0)+IF(AND($Q28&lt;&gt;"",$Q28&lt;&gt;"--",$Q28&lt;&gt;"O3/CP",$Q$14=A$18),IF(LEFT($Q28,1)="P",VLOOKUP(CONCATENATE(LEFT($Q28,2),"H"),$R$63:$T$91,3,FALSE),VLOOKUP($Q28,$R$63:$T$91,3,FALSE)))+IF(AND($Q28&lt;&gt;"",$Q28&lt;&gt;"O3/CP",$Q$15=A$18,MID($Q28,4,1)="2",$Q$15&lt;&gt;$Q$14),VLOOKUP(CONCATENATE(LEFT($Q28,2),"L"),$R$63:$T$91,3,FALSE),0)+IF(AND($Q28="O3/CP",$Q$14=A$18),VLOOKUP("O3",$R$63:$T$91,3,FALSE)+VLOOKUP("CP",$R$63:$T$91,3,FALSE),0)+IF(AND($R28&lt;&gt;"",$R28&lt;&gt;"--",$R28&lt;&gt;"O3/CP",$R$14=A$18),IF(LEFT($R28,1)="P",VLOOKUP(CONCATENATE(LEFT($R28,2),"H"),$R$63:$T$91,3,FALSE),VLOOKUP($R28,$R$63:$T$91,3,FALSE)))+IF(AND($R28&lt;&gt;"",$R28&lt;&gt;"O3/CP",$R$15=A$18,MID($R28,4,1)="2",$R$15&lt;&gt;$R$14),VLOOKUP(CONCATENATE(LEFT($R28,2),"L"),$R$63:$T$91,3,FALSE),0)+IF(AND($R28="O3/CP",$R$14=A$18),VLOOKUP("O3",$R$63:$T$91,3,FALSE)+VLOOKUP("CP",$R$63:$T$91,3,FALSE),0)+IF(AND($S28&lt;&gt;"",$S28&lt;&gt;"--",$S28&lt;&gt;"O3/CP",$S$14=A$18),IF(LEFT($S28,1)="P",VLOOKUP(CONCATENATE(LEFT($S28,2),"H"),$R$63:$T$91,3,FALSE),VLOOKUP($S28,$R$63:$T$91,3,FALSE)))+IF(AND($S28&lt;&gt;"",$S28&lt;&gt;"O3/CP",$S$15=A$18,MID($S28,4,1)="2",$S$15&lt;&gt;$S$14),VLOOKUP(CONCATENATE(LEFT($S28,2),"L"),$R$63:$T$91,3,FALSE),0)+IF(AND($S28="O3/CP",$S$14=A$18),VLOOKUP("O3",$R$63:$T$91,3,FALSE)+VLOOKUP("CP",$R$63:$T$91,3,FALSE),0)+IF(AND($T28&lt;&gt;"",$T28&lt;&gt;"--",$T28&lt;&gt;"O3/CP",$T$14=A$18),IF(LEFT($T28,1)="P",VLOOKUP(CONCATENATE(LEFT($T28,2),"H"),$R$63:$T$91,3,FALSE),VLOOKUP($T28,$R$63:$T$91,3,FALSE)))+IF(AND($T28&lt;&gt;"",$T28&lt;&gt;"O3/CP",$T$15=A$18,MID($T28,4,1)="2",$T$15&lt;&gt;$T$14),VLOOKUP(CONCATENATE(LEFT($T28,2),"L"),$R$63:$T$91,3,FALSE),0)+IF(AND($T28="O3/CP",$T$14=A$18),VLOOKUP("O3",$R$63:$T$91,3,FALSE)+VLOOKUP("CP",$R$63:$T$91,3,FALSE),0)+IF(AND($U28&lt;&gt;"",$U28&lt;&gt;"--",$U28&lt;&gt;"O3/CP",$U$14=A$18),IF(LEFT($U28,1)="P",VLOOKUP(CONCATENATE(LEFT($U28,2),"H"),$R$63:$T$91,3,FALSE),VLOOKUP($U28,$R$63:$T$91,3,FALSE)))+IF(AND($U28&lt;&gt;"",$U28&lt;&gt;"O3/CP",$U$15=A$18,MID($U28,4,1)="2",$U$15&lt;&gt;$U$14),VLOOKUP(CONCATENATE(LEFT($U28,2),"L"),$R$63:$T$91,3,FALSE),0)+IF(AND($U28="O3/CP",$T$14=A$18),VLOOKUP("O3",$R$63:$T$91,3,FALSE)+VLOOKUP("CP",$R$63:$T$91,3,FALSE),0)+IF(AND($V28&lt;&gt;"",$V28&lt;&gt;"--",$V28&lt;&gt;"O3/CP",$V$14=A$18),IF(LEFT($V28,1)="P",VLOOKUP(CONCATENATE(LEFT($V28,2),"H"),$R$63:$T$91,3,FALSE),VLOOKUP($V28,$R$63:$T$91,3,FALSE)))+IF(AND($V28&lt;&gt;"",$V28&lt;&gt;"O3/CP",$V$15=A$18,MID($V28,4,1)="2",$V$15&lt;&gt;$V$14),VLOOKUP(CONCATENATE(LEFT($V28,2),"L"),$R$63:$T$91,3,FALSE),0)+IF(AND($V28="O3/CP",$V$14=A$18),VLOOKUP("O3",$R$63:$T$91,3,FALSE)+VLOOKUP("CP",$R$63:$T$91,3,FALSE),0)+IF(AND($W28&lt;&gt;"",$W28&lt;&gt;"--",$W28&lt;&gt;"O3/CP",$W$14=A$18),IF(LEFT($W28,1)="P",VLOOKUP(CONCATENATE(LEFT($W28,2),"H"),$R$63:$T$91,3,FALSE),VLOOKUP($W28,$R$63:$T$91,3,FALSE)))+IF(AND($W28&lt;&gt;"",$W28&lt;&gt;"O3/CP",$W$15=A$18,MID($W28,4,1)="2",$W$15&lt;&gt;$W$14),VLOOKUP(CONCATENATE(LEFT($W28,2),"L"),$R$63:$T$91,3,FALSE),0)+IF(AND($W28="O3/CP",$W$14=A$18),VLOOKUP("O3",$R$63:$T$91,3,FALSE)+VLOOKUP("CP",$R$63:$T$91,3,FALSE),0)+IF(AND($X28&lt;&gt;"",$X28&lt;&gt;"--",$X28&lt;&gt;"O3/CP",$X$14=A$18),IF(LEFT($X28,1)="P",VLOOKUP(CONCATENATE(LEFT($X28,2),"H"),$R$63:$T$91,3,FALSE),VLOOKUP($X28,$R$63:$T$91,3,FALSE)))+IF(AND($X28&lt;&gt;"",$X28&lt;&gt;"O3/CP",$X$15=A$18,MID($X28,4,1)="2",$X$15&lt;&gt;$X$14),VLOOKUP(CONCATENATE(LEFT($X28,2),"L"),$R$63:$T$91,3,FALSE),0)+IF(AND($X28="O3/CP",$X$14=A$18),VLOOKUP("O3",$R$63:$T$91,3,FALSE)+VLOOKUP("CP",$R$63:$T$91,3,FALSE),0)+IF(AND($Y28&lt;&gt;"",$Y28&lt;&gt;"--",$Y28&lt;&gt;"O3/CP",$Y$14=A$18),IF(LEFT($Y28,1)="P",VLOOKUP(CONCATENATE(LEFT($Y28,2),"H"),$R$63:$T$91,3,FALSE),VLOOKUP($Y28,$R$63:$T$91,3,FALSE)))+IF(AND($Y28&lt;&gt;"",$Y28&lt;&gt;"O3/CP",$Y$15=A$18,MID($Y28,4,1)="2",$Y$15&lt;&gt;$Y$14),VLOOKUP(CONCATENATE(LEFT($Y28,2),"L"),$R$63:$T$91,3,FALSE),0)+IF(AND($Y28="O3/CP",$Y$14=A$18),VLOOKUP("O3",$R$63:$T$91,3,FALSE)+VLOOKUP("CP",$R$63:$T$91,3,FALSE),0)+IF(AND($K$6="CE",'[3]Supply Attribution'!$G$20=A$18),LEFT($S$90,2),0)+IF(AND($X$86&lt;&gt;"Not Set",$X$87=A$18),$X$86,0)</f>
        <v>0</v>
      </c>
      <c r="B28" s="269">
        <f>IF(AND($K28&lt;&gt;"",$K28&lt;&gt;"--",$K28&lt;&gt;"O3/CP",$K$14=B$18),IF(LEFT($K28,1)="P",VLOOKUP(CONCATENATE(LEFT($K28,2),"H"),$R$63:$T$91,3,FALSE),VLOOKUP($K28,$R$63:$T$91,3,FALSE)))+IF(AND($K28&lt;&gt;"",$K28&lt;&gt;"O3/CP",$K$15=B$18,MID($K28,4,1)="2",$K$15&lt;&gt;$K$14),VLOOKUP(CONCATENATE(LEFT($K28,2),"L"),$R$63:$T$91,3,FALSE),0)+IF(AND($K28="O3/CP",$K$14=B$18),VLOOKUP("O3",$R$63:$T$91,3,FALSE)+VLOOKUP("CP",$R$63:$T$91,3,FALSE),0)+IF(AND($L28&lt;&gt;"",$L28&lt;&gt;"--",$L28&lt;&gt;"O3/CP",$L$14=B$18),IF(LEFT($L28,1)="P",VLOOKUP(CONCATENATE(LEFT($L28,2),"H"),$R$63:$T$91,3,FALSE),VLOOKUP($L28,$R$63:$T$91,3,FALSE)))+IF(AND($L28&lt;&gt;"",$L28&lt;&gt;"O3/CP",$L$15=B$18,MID($L28,4,1)="2",$L$15&lt;&gt;$L$14),VLOOKUP(CONCATENATE(LEFT($L28,2),"L"),$R$63:$T$91,3,FALSE),0)+IF(AND($L28="O3/CP",$L$14=B$18),VLOOKUP("O3",$R$63:$T$91,3,FALSE)+VLOOKUP("CP",$R$63:$T$91,3,FALSE),0)+IF(AND($M28&lt;&gt;"",$M28&lt;&gt;"--",$M28&lt;&gt;"O3/CP",$M$14=B$18),IF(LEFT($M28,1)="P",VLOOKUP(CONCATENATE(LEFT($M28,2),"H"),$R$63:$T$91,3,FALSE),VLOOKUP($M28,$R$63:$T$91,3,FALSE)))+IF(AND($M28&lt;&gt;"",$M28&lt;&gt;"O3/CP",$M$15=B$18,MID($M28,4,1)="2",$M$15&lt;&gt;$M$14),VLOOKUP(CONCATENATE(LEFT($M28,2),"L"),$R$63:$T$91,3,FALSE),0)+IF(AND($M28="O3/CP",$M$14=B$18),VLOOKUP("O3",$R$63:$T$91,3,FALSE)+VLOOKUP("CP",$R$63:$T$91,3,FALSE),0)+IF(AND($N28&lt;&gt;"",$N28&lt;&gt;"--",$N28&lt;&gt;"O3/CP",$N$14=B$18),IF(LEFT($N28,1)="P",VLOOKUP(CONCATENATE(LEFT($N28,2),"H"),$R$63:$T$91,3,FALSE),VLOOKUP($N28,$R$63:$T$91,3,FALSE)))+IF(AND($N28&lt;&gt;"",$N28&lt;&gt;"O3/CP",$N$15=B$18,MID($N28,4,1)="2",$N$15&lt;&gt;$N$14),VLOOKUP(CONCATENATE(LEFT($N28,2),"L"),$R$63:$T$91,3,FALSE),0)+IF(AND($N28="O3/CP",$N$14=B$18),VLOOKUP("O3",$R$63:$T$91,3,FALSE)+VLOOKUP("CP",$R$63:$T$91,3,FALSE),0)+IF(AND($O28&lt;&gt;"",$O28&lt;&gt;"--",$O28&lt;&gt;"O3/CP",$O$14=B$18),IF(LEFT($O28,1)="P",VLOOKUP(CONCATENATE(LEFT($O28,2),"H"),$R$63:$T$91,3,FALSE),VLOOKUP($O28,$R$63:$T$91,3,FALSE)))+IF(AND($O28&lt;&gt;"",$O28&lt;&gt;"O3/CP",$O$15=B$18,MID($O28,4,1)="2",$O$15&lt;&gt;$O$14),VLOOKUP(CONCATENATE(LEFT($O28,2),"L"),$R$63:$T$91,3,FALSE),0)+IF(AND($O28="O3/CP",$O$14=B$18),VLOOKUP("O3",$R$63:$T$91,3,FALSE)+VLOOKUP("CP",$R$63:$T$91,3,FALSE),0)+IF(AND($P28&lt;&gt;"",$P28&lt;&gt;"--",$P28&lt;&gt;"O3/CP",$P$14=B$18),IF(LEFT($P28,1)="P",VLOOKUP(CONCATENATE(LEFT($P28,2),"H"),$R$63:$T$91,3,FALSE),VLOOKUP($P28,$R$63:$T$91,3,FALSE)))+IF(AND($P28&lt;&gt;"",$P28&lt;&gt;"O3/CP",$P$15=B$18,MID($P28,4,1)="2",$P$15&lt;&gt;$P$14),VLOOKUP(CONCATENATE(LEFT($P28,2),"L"),$R$63:$T$91,3,FALSE),0)+IF(AND($P28="O3/CP",$P$14=B$18),VLOOKUP("O3",$R$63:$T$91,3,FALSE)+VLOOKUP("CP",$R$63:$T$91,3,FALSE),0)+IF(AND($Q28&lt;&gt;"",$Q28&lt;&gt;"--",$Q28&lt;&gt;"O3/CP",$Q$14=B$18),IF(LEFT($Q28,1)="P",VLOOKUP(CONCATENATE(LEFT($Q28,2),"H"),$R$63:$T$91,3,FALSE),VLOOKUP($Q28,$R$63:$T$91,3,FALSE)))+IF(AND($Q28&lt;&gt;"",$Q28&lt;&gt;"O3/CP",$Q$15=B$18,MID($Q28,4,1)="2",$Q$15&lt;&gt;$Q$14),VLOOKUP(CONCATENATE(LEFT($Q28,2),"L"),$R$63:$T$91,3,FALSE),0)+IF(AND($Q28="O3/CP",$Q$14=B$18),VLOOKUP("O3",$R$63:$T$91,3,FALSE)+VLOOKUP("CP",$R$63:$T$91,3,FALSE),0)+IF(AND($R28&lt;&gt;"",$R28&lt;&gt;"--",$R28&lt;&gt;"O3/CP",$R$14=B$18),IF(LEFT($R28,1)="P",VLOOKUP(CONCATENATE(LEFT($R28,2),"H"),$R$63:$T$91,3,FALSE),VLOOKUP($R28,$R$63:$T$91,3,FALSE)))+IF(AND($R28&lt;&gt;"",$R28&lt;&gt;"O3/CP",$R$15=B$18,MID($R28,4,1)="2",$R$15&lt;&gt;$R$14),VLOOKUP(CONCATENATE(LEFT($R28,2),"L"),$R$63:$T$91,3,FALSE),0)+IF(AND($R28="O3/CP",$R$14=B$18),VLOOKUP("O3",$R$63:$T$91,3,FALSE)+VLOOKUP("CP",$R$63:$T$91,3,FALSE),0)+IF(AND($S28&lt;&gt;"",$S28&lt;&gt;"--",$S28&lt;&gt;"O3/CP",$S$14=B$18),IF(LEFT($S28,1)="P",VLOOKUP(CONCATENATE(LEFT($S28,2),"H"),$R$63:$T$91,3,FALSE),VLOOKUP($S28,$R$63:$T$91,3,FALSE)))+IF(AND($S28&lt;&gt;"",$S28&lt;&gt;"O3/CP",$S$15=B$18,MID($S28,4,1)="2",$S$15&lt;&gt;$S$14),VLOOKUP(CONCATENATE(LEFT($S28,2),"L"),$R$63:$T$91,3,FALSE),0)+IF(AND($S28="O3/CP",$S$14=B$18),VLOOKUP("O3",$R$63:$T$91,3,FALSE)+VLOOKUP("CP",$R$63:$T$91,3,FALSE),0)+IF(AND($T28&lt;&gt;"",$T28&lt;&gt;"--",$T28&lt;&gt;"O3/CP",$T$14=B$18),IF(LEFT($T28,1)="P",VLOOKUP(CONCATENATE(LEFT($T28,2),"H"),$R$63:$T$91,3,FALSE),VLOOKUP($T28,$R$63:$T$91,3,FALSE)))+IF(AND($T28&lt;&gt;"",$T28&lt;&gt;"O3/CP",$T$15=B$18,MID($T28,4,1)="2",$T$15&lt;&gt;$T$14),VLOOKUP(CONCATENATE(LEFT($T28,2),"L"),$R$63:$T$91,3,FALSE),0)+IF(AND($T28="O3/CP",$T$14=B$18),VLOOKUP("O3",$R$63:$T$91,3,FALSE)+VLOOKUP("CP",$R$63:$T$91,3,FALSE),0)+IF(AND($U28&lt;&gt;"",$U28&lt;&gt;"--",$U28&lt;&gt;"O3/CP",$U$14=B$18),IF(LEFT($U28,1)="P",VLOOKUP(CONCATENATE(LEFT($U28,2),"H"),$R$63:$T$91,3,FALSE),VLOOKUP($U28,$R$63:$T$91,3,FALSE)))+IF(AND($U28&lt;&gt;"",$U28&lt;&gt;"O3/CP",$U$15=B$18,MID($U28,4,1)="2",$U$15&lt;&gt;$U$14),VLOOKUP(CONCATENATE(LEFT($U28,2),"L"),$R$63:$T$91,3,FALSE),0)+IF(AND($U28="O3/CP",$T$14=B$18),VLOOKUP("O3",$R$63:$T$91,3,FALSE)+VLOOKUP("CP",$R$63:$T$91,3,FALSE),0)+IF(AND($V28&lt;&gt;"",$V28&lt;&gt;"--",$V28&lt;&gt;"O3/CP",$V$14=B$18),IF(LEFT($V28,1)="P",VLOOKUP(CONCATENATE(LEFT($V28,2),"H"),$R$63:$T$91,3,FALSE),VLOOKUP($V28,$R$63:$T$91,3,FALSE)))+IF(AND($V28&lt;&gt;"",$V28&lt;&gt;"O3/CP",$V$15=B$18,MID($V28,4,1)="2",$V$15&lt;&gt;$V$14),VLOOKUP(CONCATENATE(LEFT($V28,2),"L"),$R$63:$T$91,3,FALSE),0)+IF(AND($V28="O3/CP",$V$14=B$18),VLOOKUP("O3",$R$63:$T$91,3,FALSE)+VLOOKUP("CP",$R$63:$T$91,3,FALSE),0)+IF(AND($W28&lt;&gt;"",$W28&lt;&gt;"--",$W28&lt;&gt;"O3/CP",$W$14=B$18),IF(LEFT($W28,1)="P",VLOOKUP(CONCATENATE(LEFT($W28,2),"H"),$R$63:$T$91,3,FALSE),VLOOKUP($W28,$R$63:$T$91,3,FALSE)))+IF(AND($W28&lt;&gt;"",$W28&lt;&gt;"O3/CP",$W$15=B$18,MID($W28,4,1)="2",$W$15&lt;&gt;$W$14),VLOOKUP(CONCATENATE(LEFT($W28,2),"L"),$R$63:$T$91,3,FALSE),0)+IF(AND($W28="O3/CP",$W$14=B$18),VLOOKUP("O3",$R$63:$T$91,3,FALSE)+VLOOKUP("CP",$R$63:$T$91,3,FALSE),0)+IF(AND($X28&lt;&gt;"",$X28&lt;&gt;"--",$X28&lt;&gt;"O3/CP",$X$14=B$18),IF(LEFT($X28,1)="P",VLOOKUP(CONCATENATE(LEFT($X28,2),"H"),$R$63:$T$91,3,FALSE),VLOOKUP($X28,$R$63:$T$91,3,FALSE)))+IF(AND($X28&lt;&gt;"",$X28&lt;&gt;"O3/CP",$X$15=B$18,MID($X28,4,1)="2",$X$15&lt;&gt;$X$14),VLOOKUP(CONCATENATE(LEFT($X28,2),"L"),$R$63:$T$91,3,FALSE),0)+IF(AND($X28="O3/CP",$X$14=B$18),VLOOKUP("O3",$R$63:$T$91,3,FALSE)+VLOOKUP("CP",$R$63:$T$91,3,FALSE),0)+IF(AND($Y28&lt;&gt;"",$Y28&lt;&gt;"--",$Y28&lt;&gt;"O3/CP",$Y$14=B$18),IF(LEFT($Y28,1)="P",VLOOKUP(CONCATENATE(LEFT($Y28,2),"H"),$R$63:$T$91,3,FALSE),VLOOKUP($Y28,$R$63:$T$91,3,FALSE)))+IF(AND($Y28&lt;&gt;"",$Y28&lt;&gt;"O3/CP",$Y$15=B$18,MID($Y28,4,1)="2",$Y$15&lt;&gt;$Y$14),VLOOKUP(CONCATENATE(LEFT($Y28,2),"L"),$R$63:$T$91,3,FALSE),0)+IF(AND($Y28="O3/CP",$Y$14=B$18),VLOOKUP("O3",$R$63:$T$91,3,FALSE)+VLOOKUP("CP",$R$63:$T$91,3,FALSE),0)+IF(AND($K$6="CE",'[3]Supply Attribution'!$G$20=B$18),LEFT($S$90,2),0)+IF(AND($X$86&lt;&gt;"Not Set",$X$87=B$18),$X$86,0)</f>
        <v>0</v>
      </c>
      <c r="C28" s="269">
        <f>IF(AND($K28&lt;&gt;"",$K28&lt;&gt;"--",$K28&lt;&gt;"O3/CP",$K$14=C$18),IF(LEFT($K28,1)="P",VLOOKUP(CONCATENATE(LEFT($K28,2),"H"),$R$63:$T$91,3,FALSE),VLOOKUP($K28,$R$63:$T$91,3,FALSE)))+IF(AND($K28&lt;&gt;"",$K28&lt;&gt;"O3/CP",$K$15=C$18,MID($K28,4,1)="2",$K$15&lt;&gt;$K$14),VLOOKUP(CONCATENATE(LEFT($K28,2),"L"),$R$63:$T$91,3,FALSE),0)+IF(AND($K28="O3/CP",$K$14=C$18),VLOOKUP("O3",$R$63:$T$91,3,FALSE)+VLOOKUP("CP",$R$63:$T$91,3,FALSE),0)+IF(AND($L28&lt;&gt;"",$L28&lt;&gt;"--",$L28&lt;&gt;"O3/CP",$L$14=C$18),IF(LEFT($L28,1)="P",VLOOKUP(CONCATENATE(LEFT($L28,2),"H"),$R$63:$T$91,3,FALSE),VLOOKUP($L28,$R$63:$T$91,3,FALSE)))+IF(AND($L28&lt;&gt;"",$L28&lt;&gt;"O3/CP",$L$15=C$18,MID($L28,4,1)="2",$L$15&lt;&gt;$L$14),VLOOKUP(CONCATENATE(LEFT($L28,2),"L"),$R$63:$T$91,3,FALSE),0)+IF(AND($L28="O3/CP",$L$14=C$18),VLOOKUP("O3",$R$63:$T$91,3,FALSE)+VLOOKUP("CP",$R$63:$T$91,3,FALSE),0)+IF(AND($M28&lt;&gt;"",$M28&lt;&gt;"--",$M28&lt;&gt;"O3/CP",$M$14=C$18),IF(LEFT($M28,1)="P",VLOOKUP(CONCATENATE(LEFT($M28,2),"H"),$R$63:$T$91,3,FALSE),VLOOKUP($M28,$R$63:$T$91,3,FALSE)))+IF(AND($M28&lt;&gt;"",$M28&lt;&gt;"O3/CP",$M$15=C$18,MID($M28,4,1)="2",$M$15&lt;&gt;$M$14),VLOOKUP(CONCATENATE(LEFT($M28,2),"L"),$R$63:$T$91,3,FALSE),0)+IF(AND($M28="O3/CP",$M$14=C$18),VLOOKUP("O3",$R$63:$T$91,3,FALSE)+VLOOKUP("CP",$R$63:$T$91,3,FALSE),0)+IF(AND($N28&lt;&gt;"",$N28&lt;&gt;"--",$N28&lt;&gt;"O3/CP",$N$14=C$18),IF(LEFT($N28,1)="P",VLOOKUP(CONCATENATE(LEFT($N28,2),"H"),$R$63:$T$91,3,FALSE),VLOOKUP($N28,$R$63:$T$91,3,FALSE)))+IF(AND($N28&lt;&gt;"",$N28&lt;&gt;"O3/CP",$N$15=C$18,MID($N28,4,1)="2",$N$15&lt;&gt;$N$14),VLOOKUP(CONCATENATE(LEFT($N28,2),"L"),$R$63:$T$91,3,FALSE),0)+IF(AND($N28="O3/CP",$N$14=C$18),VLOOKUP("O3",$R$63:$T$91,3,FALSE)+VLOOKUP("CP",$R$63:$T$91,3,FALSE),0)+IF(AND($O28&lt;&gt;"",$O28&lt;&gt;"--",$O28&lt;&gt;"O3/CP",$O$14=C$18),IF(LEFT($O28,1)="P",VLOOKUP(CONCATENATE(LEFT($O28,2),"H"),$R$63:$T$91,3,FALSE),VLOOKUP($O28,$R$63:$T$91,3,FALSE)))+IF(AND($O28&lt;&gt;"",$O28&lt;&gt;"O3/CP",$O$15=C$18,MID($O28,4,1)="2",$O$15&lt;&gt;$O$14),VLOOKUP(CONCATENATE(LEFT($O28,2),"L"),$R$63:$T$91,3,FALSE),0)+IF(AND($O28="O3/CP",$O$14=C$18),VLOOKUP("O3",$R$63:$T$91,3,FALSE)+VLOOKUP("CP",$R$63:$T$91,3,FALSE),0)+IF(AND($P28&lt;&gt;"",$P28&lt;&gt;"--",$P28&lt;&gt;"O3/CP",$P$14=C$18),IF(LEFT($P28,1)="P",VLOOKUP(CONCATENATE(LEFT($P28,2),"H"),$R$63:$T$91,3,FALSE),VLOOKUP($P28,$R$63:$T$91,3,FALSE)))+IF(AND($P28&lt;&gt;"",$P28&lt;&gt;"O3/CP",$P$15=C$18,MID($P28,4,1)="2",$P$15&lt;&gt;$P$14),VLOOKUP(CONCATENATE(LEFT($P28,2),"L"),$R$63:$T$91,3,FALSE),0)+IF(AND($P28="O3/CP",$P$14=C$18),VLOOKUP("O3",$R$63:$T$91,3,FALSE)+VLOOKUP("CP",$R$63:$T$91,3,FALSE),0)+IF(AND($Q28&lt;&gt;"",$Q28&lt;&gt;"--",$Q28&lt;&gt;"O3/CP",$Q$14=C$18),IF(LEFT($Q28,1)="P",VLOOKUP(CONCATENATE(LEFT($Q28,2),"H"),$R$63:$T$91,3,FALSE),VLOOKUP($Q28,$R$63:$T$91,3,FALSE)))+IF(AND($Q28&lt;&gt;"",$Q28&lt;&gt;"O3/CP",$Q$15=C$18,MID($Q28,4,1)="2",$Q$15&lt;&gt;$Q$14),VLOOKUP(CONCATENATE(LEFT($Q28,2),"L"),$R$63:$T$91,3,FALSE),0)+IF(AND($Q28="O3/CP",$Q$14=C$18),VLOOKUP("O3",$R$63:$T$91,3,FALSE)+VLOOKUP("CP",$R$63:$T$91,3,FALSE),0)+IF(AND($R28&lt;&gt;"",$R28&lt;&gt;"--",$R28&lt;&gt;"O3/CP",$R$14=C$18),IF(LEFT($R28,1)="P",VLOOKUP(CONCATENATE(LEFT($R28,2),"H"),$R$63:$T$91,3,FALSE),VLOOKUP($R28,$R$63:$T$91,3,FALSE)))+IF(AND($R28&lt;&gt;"",$R28&lt;&gt;"O3/CP",$R$15=C$18,MID($R28,4,1)="2",$R$15&lt;&gt;$R$14),VLOOKUP(CONCATENATE(LEFT($R28,2),"L"),$R$63:$T$91,3,FALSE),0)+IF(AND($R28="O3/CP",$R$14=C$18),VLOOKUP("O3",$R$63:$T$91,3,FALSE)+VLOOKUP("CP",$R$63:$T$91,3,FALSE),0)+IF(AND($S28&lt;&gt;"",$S28&lt;&gt;"--",$S28&lt;&gt;"O3/CP",$S$14=C$18),IF(LEFT($S28,1)="P",VLOOKUP(CONCATENATE(LEFT($S28,2),"H"),$R$63:$T$91,3,FALSE),VLOOKUP($S28,$R$63:$T$91,3,FALSE)))+IF(AND($S28&lt;&gt;"",$S28&lt;&gt;"O3/CP",$S$15=C$18,MID($S28,4,1)="2",$S$15&lt;&gt;$S$14),VLOOKUP(CONCATENATE(LEFT($S28,2),"L"),$R$63:$T$91,3,FALSE),0)+IF(AND($S28="O3/CP",$S$14=C$18),VLOOKUP("O3",$R$63:$T$91,3,FALSE)+VLOOKUP("CP",$R$63:$T$91,3,FALSE),0)+IF(AND($T28&lt;&gt;"",$T28&lt;&gt;"--",$T28&lt;&gt;"O3/CP",$T$14=C$18),IF(LEFT($T28,1)="P",VLOOKUP(CONCATENATE(LEFT($T28,2),"H"),$R$63:$T$91,3,FALSE),VLOOKUP($T28,$R$63:$T$91,3,FALSE)))+IF(AND($T28&lt;&gt;"",$T28&lt;&gt;"O3/CP",$T$15=C$18,MID($T28,4,1)="2",$T$15&lt;&gt;$T$14),VLOOKUP(CONCATENATE(LEFT($T28,2),"L"),$R$63:$T$91,3,FALSE),0)+IF(AND($T28="O3/CP",$T$14=C$18),VLOOKUP("O3",$R$63:$T$91,3,FALSE)+VLOOKUP("CP",$R$63:$T$91,3,FALSE),0)+IF(AND($U28&lt;&gt;"",$U28&lt;&gt;"--",$U28&lt;&gt;"O3/CP",$U$14=C$18),IF(LEFT($U28,1)="P",VLOOKUP(CONCATENATE(LEFT($U28,2),"H"),$R$63:$T$91,3,FALSE),VLOOKUP($U28,$R$63:$T$91,3,FALSE)))+IF(AND($U28&lt;&gt;"",$U28&lt;&gt;"O3/CP",$U$15=C$18,MID($U28,4,1)="2",$U$15&lt;&gt;$U$14),VLOOKUP(CONCATENATE(LEFT($U28,2),"L"),$R$63:$T$91,3,FALSE),0)+IF(AND($U28="O3/CP",$T$14=C$18),VLOOKUP("O3",$R$63:$T$91,3,FALSE)+VLOOKUP("CP",$R$63:$T$91,3,FALSE),0)+IF(AND($V28&lt;&gt;"",$V28&lt;&gt;"--",$V28&lt;&gt;"O3/CP",$V$14=C$18),IF(LEFT($V28,1)="P",VLOOKUP(CONCATENATE(LEFT($V28,2),"H"),$R$63:$T$91,3,FALSE),VLOOKUP($V28,$R$63:$T$91,3,FALSE)))+IF(AND($V28&lt;&gt;"",$V28&lt;&gt;"O3/CP",$V$15=C$18,MID($V28,4,1)="2",$V$15&lt;&gt;$V$14),VLOOKUP(CONCATENATE(LEFT($V28,2),"L"),$R$63:$T$91,3,FALSE),0)+IF(AND($V28="O3/CP",$V$14=C$18),VLOOKUP("O3",$R$63:$T$91,3,FALSE)+VLOOKUP("CP",$R$63:$T$91,3,FALSE),0)+IF(AND($W28&lt;&gt;"",$W28&lt;&gt;"--",$W28&lt;&gt;"O3/CP",$W$14=C$18),IF(LEFT($W28,1)="P",VLOOKUP(CONCATENATE(LEFT($W28,2),"H"),$R$63:$T$91,3,FALSE),VLOOKUP($W28,$R$63:$T$91,3,FALSE)))+IF(AND($W28&lt;&gt;"",$W28&lt;&gt;"O3/CP",$W$15=C$18,MID($W28,4,1)="2",$W$15&lt;&gt;$W$14),VLOOKUP(CONCATENATE(LEFT($W28,2),"L"),$R$63:$T$91,3,FALSE),0)+IF(AND($W28="O3/CP",$W$14=C$18),VLOOKUP("O3",$R$63:$T$91,3,FALSE)+VLOOKUP("CP",$R$63:$T$91,3,FALSE),0)+IF(AND($X28&lt;&gt;"",$X28&lt;&gt;"--",$X28&lt;&gt;"O3/CP",$X$14=C$18),IF(LEFT($X28,1)="P",VLOOKUP(CONCATENATE(LEFT($X28,2),"H"),$R$63:$T$91,3,FALSE),VLOOKUP($X28,$R$63:$T$91,3,FALSE)))+IF(AND($X28&lt;&gt;"",$X28&lt;&gt;"O3/CP",$X$15=C$18,MID($X28,4,1)="2",$X$15&lt;&gt;$X$14),VLOOKUP(CONCATENATE(LEFT($X28,2),"L"),$R$63:$T$91,3,FALSE),0)+IF(AND($X28="O3/CP",$X$14=C$18),VLOOKUP("O3",$R$63:$T$91,3,FALSE)+VLOOKUP("CP",$R$63:$T$91,3,FALSE),0)+IF(AND($Y28&lt;&gt;"",$Y28&lt;&gt;"--",$Y28&lt;&gt;"O3/CP",$Y$14=C$18),IF(LEFT($Y28,1)="P",VLOOKUP(CONCATENATE(LEFT($Y28,2),"H"),$R$63:$T$91,3,FALSE),VLOOKUP($Y28,$R$63:$T$91,3,FALSE)))+IF(AND($Y28&lt;&gt;"",$Y28&lt;&gt;"O3/CP",$Y$15=C$18,MID($Y28,4,1)="2",$Y$15&lt;&gt;$Y$14),VLOOKUP(CONCATENATE(LEFT($Y28,2),"L"),$R$63:$T$91,3,FALSE),0)+IF(AND($Y28="O3/CP",$Y$14=C$18),VLOOKUP("O3",$R$63:$T$91,3,FALSE)+VLOOKUP("CP",$R$63:$T$91,3,FALSE),0)+IF(AND($K$6="CE",'[3]Supply Attribution'!$G$20=C$18),LEFT($S$90,2),0)+IF(AND($X$86&lt;&gt;"Not Set",$X$87=C$18),$X$86,0)</f>
        <v>0</v>
      </c>
      <c r="D28" s="269">
        <f>IF(AND($K28&lt;&gt;"",$K28&lt;&gt;"--",$K28&lt;&gt;"O3/CP",$K$14=D$18),IF(LEFT($K28,1)="P",VLOOKUP(CONCATENATE(LEFT($K28,2),"H"),$R$63:$T$91,3,FALSE),VLOOKUP($K28,$R$63:$T$91,3,FALSE)))+IF(AND($K28&lt;&gt;"",$K28&lt;&gt;"O3/CP",$K$15=D$18,MID($K28,4,1)="2",$K$15&lt;&gt;$K$14),VLOOKUP(CONCATENATE(LEFT($K28,2),"L"),$R$63:$T$91,3,FALSE),0)+IF(AND($K28="O3/CP",$K$14=D$18),VLOOKUP("O3",$R$63:$T$91,3,FALSE)+VLOOKUP("CP",$R$63:$T$91,3,FALSE),0)+IF(AND($L28&lt;&gt;"",$L28&lt;&gt;"--",$L28&lt;&gt;"O3/CP",$L$14=D$18),IF(LEFT($L28,1)="P",VLOOKUP(CONCATENATE(LEFT($L28,2),"H"),$R$63:$T$91,3,FALSE),VLOOKUP($L28,$R$63:$T$91,3,FALSE)))+IF(AND($L28&lt;&gt;"",$L28&lt;&gt;"O3/CP",$L$15=D$18,MID($L28,4,1)="2",$L$15&lt;&gt;$L$14),VLOOKUP(CONCATENATE(LEFT($L28,2),"L"),$R$63:$T$91,3,FALSE),0)+IF(AND($L28="O3/CP",$L$14=D$18),VLOOKUP("O3",$R$63:$T$91,3,FALSE)+VLOOKUP("CP",$R$63:$T$91,3,FALSE),0)+IF(AND($M28&lt;&gt;"",$M28&lt;&gt;"--",$M28&lt;&gt;"O3/CP",$M$14=D$18),IF(LEFT($M28,1)="P",VLOOKUP(CONCATENATE(LEFT($M28,2),"H"),$R$63:$T$91,3,FALSE),VLOOKUP($M28,$R$63:$T$91,3,FALSE)))+IF(AND($M28&lt;&gt;"",$M28&lt;&gt;"O3/CP",$M$15=D$18,MID($M28,4,1)="2",$M$15&lt;&gt;$M$14),VLOOKUP(CONCATENATE(LEFT($M28,2),"L"),$R$63:$T$91,3,FALSE),0)+IF(AND($M28="O3/CP",$M$14=D$18),VLOOKUP("O3",$R$63:$T$91,3,FALSE)+VLOOKUP("CP",$R$63:$T$91,3,FALSE),0)+IF(AND($N28&lt;&gt;"",$N28&lt;&gt;"--",$N28&lt;&gt;"O3/CP",$N$14=D$18),IF(LEFT($N28,1)="P",VLOOKUP(CONCATENATE(LEFT($N28,2),"H"),$R$63:$T$91,3,FALSE),VLOOKUP($N28,$R$63:$T$91,3,FALSE)))+IF(AND($N28&lt;&gt;"",$N28&lt;&gt;"O3/CP",$N$15=D$18,MID($N28,4,1)="2",$N$15&lt;&gt;$N$14),VLOOKUP(CONCATENATE(LEFT($N28,2),"L"),$R$63:$T$91,3,FALSE),0)+IF(AND($N28="O3/CP",$N$14=D$18),VLOOKUP("O3",$R$63:$T$91,3,FALSE)+VLOOKUP("CP",$R$63:$T$91,3,FALSE),0)+IF(AND($O28&lt;&gt;"",$O28&lt;&gt;"--",$O28&lt;&gt;"O3/CP",$O$14=D$18),IF(LEFT($O28,1)="P",VLOOKUP(CONCATENATE(LEFT($O28,2),"H"),$R$63:$T$91,3,FALSE),VLOOKUP($O28,$R$63:$T$91,3,FALSE)))+IF(AND($O28&lt;&gt;"",$O28&lt;&gt;"O3/CP",$O$15=D$18,MID($O28,4,1)="2",$O$15&lt;&gt;$O$14),VLOOKUP(CONCATENATE(LEFT($O28,2),"L"),$R$63:$T$91,3,FALSE),0)+IF(AND($O28="O3/CP",$O$14=D$18),VLOOKUP("O3",$R$63:$T$91,3,FALSE)+VLOOKUP("CP",$R$63:$T$91,3,FALSE),0)+IF(AND($P28&lt;&gt;"",$P28&lt;&gt;"--",$P28&lt;&gt;"O3/CP",$P$14=D$18),IF(LEFT($P28,1)="P",VLOOKUP(CONCATENATE(LEFT($P28,2),"H"),$R$63:$T$91,3,FALSE),VLOOKUP($P28,$R$63:$T$91,3,FALSE)))+IF(AND($P28&lt;&gt;"",$P28&lt;&gt;"O3/CP",$P$15=D$18,MID($P28,4,1)="2",$P$15&lt;&gt;$P$14),VLOOKUP(CONCATENATE(LEFT($P28,2),"L"),$R$63:$T$91,3,FALSE),0)+IF(AND($P28="O3/CP",$P$14=D$18),VLOOKUP("O3",$R$63:$T$91,3,FALSE)+VLOOKUP("CP",$R$63:$T$91,3,FALSE),0)+IF(AND($Q28&lt;&gt;"",$Q28&lt;&gt;"--",$Q28&lt;&gt;"O3/CP",$Q$14=D$18),IF(LEFT($Q28,1)="P",VLOOKUP(CONCATENATE(LEFT($Q28,2),"H"),$R$63:$T$91,3,FALSE),VLOOKUP($Q28,$R$63:$T$91,3,FALSE)))+IF(AND($Q28&lt;&gt;"",$Q28&lt;&gt;"O3/CP",$Q$15=D$18,MID($Q28,4,1)="2",$Q$15&lt;&gt;$Q$14),VLOOKUP(CONCATENATE(LEFT($Q28,2),"L"),$R$63:$T$91,3,FALSE),0)+IF(AND($Q28="O3/CP",$Q$14=D$18),VLOOKUP("O3",$R$63:$T$91,3,FALSE)+VLOOKUP("CP",$R$63:$T$91,3,FALSE),0)+IF(AND($R28&lt;&gt;"",$R28&lt;&gt;"--",$R28&lt;&gt;"O3/CP",$R$14=D$18),IF(LEFT($R28,1)="P",VLOOKUP(CONCATENATE(LEFT($R28,2),"H"),$R$63:$T$91,3,FALSE),VLOOKUP($R28,$R$63:$T$91,3,FALSE)))+IF(AND($R28&lt;&gt;"",$R28&lt;&gt;"O3/CP",$R$15=D$18,MID($R28,4,1)="2",$R$15&lt;&gt;$R$14),VLOOKUP(CONCATENATE(LEFT($R28,2),"L"),$R$63:$T$91,3,FALSE),0)+IF(AND($R28="O3/CP",$R$14=D$18),VLOOKUP("O3",$R$63:$T$91,3,FALSE)+VLOOKUP("CP",$R$63:$T$91,3,FALSE),0)+IF(AND($S28&lt;&gt;"",$S28&lt;&gt;"--",$S28&lt;&gt;"O3/CP",$S$14=D$18),IF(LEFT($S28,1)="P",VLOOKUP(CONCATENATE(LEFT($S28,2),"H"),$R$63:$T$91,3,FALSE),VLOOKUP($S28,$R$63:$T$91,3,FALSE)))+IF(AND($S28&lt;&gt;"",$S28&lt;&gt;"O3/CP",$S$15=D$18,MID($S28,4,1)="2",$S$15&lt;&gt;$S$14),VLOOKUP(CONCATENATE(LEFT($S28,2),"L"),$R$63:$T$91,3,FALSE),0)+IF(AND($S28="O3/CP",$S$14=D$18),VLOOKUP("O3",$R$63:$T$91,3,FALSE)+VLOOKUP("CP",$R$63:$T$91,3,FALSE),0)+IF(AND($T28&lt;&gt;"",$T28&lt;&gt;"--",$T28&lt;&gt;"O3/CP",$T$14=D$18),IF(LEFT($T28,1)="P",VLOOKUP(CONCATENATE(LEFT($T28,2),"H"),$R$63:$T$91,3,FALSE),VLOOKUP($T28,$R$63:$T$91,3,FALSE)))+IF(AND($T28&lt;&gt;"",$T28&lt;&gt;"O3/CP",$T$15=D$18,MID($T28,4,1)="2",$T$15&lt;&gt;$T$14),VLOOKUP(CONCATENATE(LEFT($T28,2),"L"),$R$63:$T$91,3,FALSE),0)+IF(AND($T28="O3/CP",$T$14=D$18),VLOOKUP("O3",$R$63:$T$91,3,FALSE)+VLOOKUP("CP",$R$63:$T$91,3,FALSE),0)+IF(AND($U28&lt;&gt;"",$U28&lt;&gt;"--",$U28&lt;&gt;"O3/CP",$U$14=D$18),IF(LEFT($U28,1)="P",VLOOKUP(CONCATENATE(LEFT($U28,2),"H"),$R$63:$T$91,3,FALSE),VLOOKUP($U28,$R$63:$T$91,3,FALSE)))+IF(AND($U28&lt;&gt;"",$U28&lt;&gt;"O3/CP",$U$15=D$18,MID($U28,4,1)="2",$U$15&lt;&gt;$U$14),VLOOKUP(CONCATENATE(LEFT($U28,2),"L"),$R$63:$T$91,3,FALSE),0)+IF(AND($U28="O3/CP",$T$14=D$18),VLOOKUP("O3",$R$63:$T$91,3,FALSE)+VLOOKUP("CP",$R$63:$T$91,3,FALSE),0)+IF(AND($V28&lt;&gt;"",$V28&lt;&gt;"--",$V28&lt;&gt;"O3/CP",$V$14=D$18),IF(LEFT($V28,1)="P",VLOOKUP(CONCATENATE(LEFT($V28,2),"H"),$R$63:$T$91,3,FALSE),VLOOKUP($V28,$R$63:$T$91,3,FALSE)))+IF(AND($V28&lt;&gt;"",$V28&lt;&gt;"O3/CP",$V$15=D$18,MID($V28,4,1)="2",$V$15&lt;&gt;$V$14),VLOOKUP(CONCATENATE(LEFT($V28,2),"L"),$R$63:$T$91,3,FALSE),0)+IF(AND($V28="O3/CP",$V$14=D$18),VLOOKUP("O3",$R$63:$T$91,3,FALSE)+VLOOKUP("CP",$R$63:$T$91,3,FALSE),0)+IF(AND($W28&lt;&gt;"",$W28&lt;&gt;"--",$W28&lt;&gt;"O3/CP",$W$14=D$18),IF(LEFT($W28,1)="P",VLOOKUP(CONCATENATE(LEFT($W28,2),"H"),$R$63:$T$91,3,FALSE),VLOOKUP($W28,$R$63:$T$91,3,FALSE)))+IF(AND($W28&lt;&gt;"",$W28&lt;&gt;"O3/CP",$W$15=D$18,MID($W28,4,1)="2",$W$15&lt;&gt;$W$14),VLOOKUP(CONCATENATE(LEFT($W28,2),"L"),$R$63:$T$91,3,FALSE),0)+IF(AND($W28="O3/CP",$W$14=D$18),VLOOKUP("O3",$R$63:$T$91,3,FALSE)+VLOOKUP("CP",$R$63:$T$91,3,FALSE),0)+IF(AND($X28&lt;&gt;"",$X28&lt;&gt;"--",$X28&lt;&gt;"O3/CP",$X$14=D$18),IF(LEFT($X28,1)="P",VLOOKUP(CONCATENATE(LEFT($X28,2),"H"),$R$63:$T$91,3,FALSE),VLOOKUP($X28,$R$63:$T$91,3,FALSE)))+IF(AND($X28&lt;&gt;"",$X28&lt;&gt;"O3/CP",$X$15=D$18,MID($X28,4,1)="2",$X$15&lt;&gt;$X$14),VLOOKUP(CONCATENATE(LEFT($X28,2),"L"),$R$63:$T$91,3,FALSE),0)+IF(AND($X28="O3/CP",$X$14=D$18),VLOOKUP("O3",$R$63:$T$91,3,FALSE)+VLOOKUP("CP",$R$63:$T$91,3,FALSE),0)+IF(AND($Y28&lt;&gt;"",$Y28&lt;&gt;"--",$Y28&lt;&gt;"O3/CP",$Y$14=D$18),IF(LEFT($Y28,1)="P",VLOOKUP(CONCATENATE(LEFT($Y28,2),"H"),$R$63:$T$91,3,FALSE),VLOOKUP($Y28,$R$63:$T$91,3,FALSE)))+IF(AND($Y28&lt;&gt;"",$Y28&lt;&gt;"O3/CP",$Y$15=D$18,MID($Y28,4,1)="2",$Y$15&lt;&gt;$Y$14),VLOOKUP(CONCATENATE(LEFT($Y28,2),"L"),$R$63:$T$91,3,FALSE),0)+IF(AND($Y28="O3/CP",$Y$14=D$18),VLOOKUP("O3",$R$63:$T$91,3,FALSE)+VLOOKUP("CP",$R$63:$T$91,3,FALSE),0)+IF(AND($K$6="CE",'[3]Supply Attribution'!$G$20=D$18),LEFT($S$90,2),0)+IF(AND($X$86&lt;&gt;"Not Set",$X$87=D$18),$X$86,0)</f>
        <v>0</v>
      </c>
      <c r="E28" s="269">
        <f>IF(AND($K28&lt;&gt;"",$K28&lt;&gt;"--",$K28&lt;&gt;"O3/CP",$K$14=E$18),IF(LEFT($K28,1)="P",VLOOKUP(CONCATENATE(LEFT($K28,2),"H"),$R$63:$T$91,3,FALSE),VLOOKUP($K28,$R$63:$T$91,3,FALSE)))+IF(AND($K28&lt;&gt;"",$K28&lt;&gt;"O3/CP",$K$15=E$18,MID($K28,4,1)="2",$K$15&lt;&gt;$K$14),VLOOKUP(CONCATENATE(LEFT($K28,2),"L"),$R$63:$T$91,3,FALSE),0)+IF(AND($K28="O3/CP",$K$14=E$18),VLOOKUP("O3",$R$63:$T$91,3,FALSE)+VLOOKUP("CP",$R$63:$T$91,3,FALSE),0)+IF(AND($L28&lt;&gt;"",$L28&lt;&gt;"--",$L28&lt;&gt;"O3/CP",$L$14=E$18),IF(LEFT($L28,1)="P",VLOOKUP(CONCATENATE(LEFT($L28,2),"H"),$R$63:$T$91,3,FALSE),VLOOKUP($L28,$R$63:$T$91,3,FALSE)))+IF(AND($L28&lt;&gt;"",$L28&lt;&gt;"O3/CP",$L$15=E$18,MID($L28,4,1)="2",$L$15&lt;&gt;$L$14),VLOOKUP(CONCATENATE(LEFT($L28,2),"L"),$R$63:$T$91,3,FALSE),0)+IF(AND($L28="O3/CP",$L$14=E$18),VLOOKUP("O3",$R$63:$T$91,3,FALSE)+VLOOKUP("CP",$R$63:$T$91,3,FALSE),0)+IF(AND($M28&lt;&gt;"",$M28&lt;&gt;"--",$M28&lt;&gt;"O3/CP",$M$14=E$18),IF(LEFT($M28,1)="P",VLOOKUP(CONCATENATE(LEFT($M28,2),"H"),$R$63:$T$91,3,FALSE),VLOOKUP($M28,$R$63:$T$91,3,FALSE)))+IF(AND($M28&lt;&gt;"",$M28&lt;&gt;"O3/CP",$M$15=E$18,MID($M28,4,1)="2",$M$15&lt;&gt;$M$14),VLOOKUP(CONCATENATE(LEFT($M28,2),"L"),$R$63:$T$91,3,FALSE),0)+IF(AND($M28="O3/CP",$M$14=E$18),VLOOKUP("O3",$R$63:$T$91,3,FALSE)+VLOOKUP("CP",$R$63:$T$91,3,FALSE),0)+IF(AND($N28&lt;&gt;"",$N28&lt;&gt;"--",$N28&lt;&gt;"O3/CP",$N$14=E$18),IF(LEFT($N28,1)="P",VLOOKUP(CONCATENATE(LEFT($N28,2),"H"),$R$63:$T$91,3,FALSE),VLOOKUP($N28,$R$63:$T$91,3,FALSE)))+IF(AND($N28&lt;&gt;"",$N28&lt;&gt;"O3/CP",$N$15=E$18,MID($N28,4,1)="2",$N$15&lt;&gt;$N$14),VLOOKUP(CONCATENATE(LEFT($N28,2),"L"),$R$63:$T$91,3,FALSE),0)+IF(AND($N28="O3/CP",$N$14=E$18),VLOOKUP("O3",$R$63:$T$91,3,FALSE)+VLOOKUP("CP",$R$63:$T$91,3,FALSE),0)+IF(AND($O28&lt;&gt;"",$O28&lt;&gt;"--",$O28&lt;&gt;"O3/CP",$O$14=E$18),IF(LEFT($O28,1)="P",VLOOKUP(CONCATENATE(LEFT($O28,2),"H"),$R$63:$T$91,3,FALSE),VLOOKUP($O28,$R$63:$T$91,3,FALSE)))+IF(AND($O28&lt;&gt;"",$O28&lt;&gt;"O3/CP",$O$15=E$18,MID($O28,4,1)="2",$O$15&lt;&gt;$O$14),VLOOKUP(CONCATENATE(LEFT($O28,2),"L"),$R$63:$T$91,3,FALSE),0)+IF(AND($O28="O3/CP",$O$14=E$18),VLOOKUP("O3",$R$63:$T$91,3,FALSE)+VLOOKUP("CP",$R$63:$T$91,3,FALSE),0)+IF(AND($P28&lt;&gt;"",$P28&lt;&gt;"--",$P28&lt;&gt;"O3/CP",$P$14=E$18),IF(LEFT($P28,1)="P",VLOOKUP(CONCATENATE(LEFT($P28,2),"H"),$R$63:$T$91,3,FALSE),VLOOKUP($P28,$R$63:$T$91,3,FALSE)))+IF(AND($P28&lt;&gt;"",$P28&lt;&gt;"O3/CP",$P$15=E$18,MID($P28,4,1)="2",$P$15&lt;&gt;$P$14),VLOOKUP(CONCATENATE(LEFT($P28,2),"L"),$R$63:$T$91,3,FALSE),0)+IF(AND($P28="O3/CP",$P$14=E$18),VLOOKUP("O3",$R$63:$T$91,3,FALSE)+VLOOKUP("CP",$R$63:$T$91,3,FALSE),0)+IF(AND($Q28&lt;&gt;"",$Q28&lt;&gt;"--",$Q28&lt;&gt;"O3/CP",$Q$14=E$18),IF(LEFT($Q28,1)="P",VLOOKUP(CONCATENATE(LEFT($Q28,2),"H"),$R$63:$T$91,3,FALSE),VLOOKUP($Q28,$R$63:$T$91,3,FALSE)))+IF(AND($Q28&lt;&gt;"",$Q28&lt;&gt;"O3/CP",$Q$15=E$18,MID($Q28,4,1)="2",$Q$15&lt;&gt;$Q$14),VLOOKUP(CONCATENATE(LEFT($Q28,2),"L"),$R$63:$T$91,3,FALSE),0)+IF(AND($Q28="O3/CP",$Q$14=E$18),VLOOKUP("O3",$R$63:$T$91,3,FALSE)+VLOOKUP("CP",$R$63:$T$91,3,FALSE),0)+IF(AND($R28&lt;&gt;"",$R28&lt;&gt;"--",$R28&lt;&gt;"O3/CP",$R$14=E$18),IF(LEFT($R28,1)="P",VLOOKUP(CONCATENATE(LEFT($R28,2),"H"),$R$63:$T$91,3,FALSE),VLOOKUP($R28,$R$63:$T$91,3,FALSE)))+IF(AND($R28&lt;&gt;"",$R28&lt;&gt;"O3/CP",$R$15=E$18,MID($R28,4,1)="2",$R$15&lt;&gt;$R$14),VLOOKUP(CONCATENATE(LEFT($R28,2),"L"),$R$63:$T$91,3,FALSE),0)+IF(AND($R28="O3/CP",$R$14=E$18),VLOOKUP("O3",$R$63:$T$91,3,FALSE)+VLOOKUP("CP",$R$63:$T$91,3,FALSE),0)+IF(AND($S28&lt;&gt;"",$S28&lt;&gt;"--",$S28&lt;&gt;"O3/CP",$S$14=E$18),IF(LEFT($S28,1)="P",VLOOKUP(CONCATENATE(LEFT($S28,2),"H"),$R$63:$T$91,3,FALSE),VLOOKUP($S28,$R$63:$T$91,3,FALSE)))+IF(AND($S28&lt;&gt;"",$S28&lt;&gt;"O3/CP",$S$15=E$18,MID($S28,4,1)="2",$S$15&lt;&gt;$S$14),VLOOKUP(CONCATENATE(LEFT($S28,2),"L"),$R$63:$T$91,3,FALSE),0)+IF(AND($S28="O3/CP",$S$14=E$18),VLOOKUP("O3",$R$63:$T$91,3,FALSE)+VLOOKUP("CP",$R$63:$T$91,3,FALSE),0)+IF(AND($T28&lt;&gt;"",$T28&lt;&gt;"--",$T28&lt;&gt;"O3/CP",$T$14=E$18),IF(LEFT($T28,1)="P",VLOOKUP(CONCATENATE(LEFT($T28,2),"H"),$R$63:$T$91,3,FALSE),VLOOKUP($T28,$R$63:$T$91,3,FALSE)))+IF(AND($T28&lt;&gt;"",$T28&lt;&gt;"O3/CP",$T$15=E$18,MID($T28,4,1)="2",$T$15&lt;&gt;$T$14),VLOOKUP(CONCATENATE(LEFT($T28,2),"L"),$R$63:$T$91,3,FALSE),0)+IF(AND($T28="O3/CP",$T$14=E$18),VLOOKUP("O3",$R$63:$T$91,3,FALSE)+VLOOKUP("CP",$R$63:$T$91,3,FALSE),0)+IF(AND($U28&lt;&gt;"",$U28&lt;&gt;"--",$U28&lt;&gt;"O3/CP",$U$14=E$18),IF(LEFT($U28,1)="P",VLOOKUP(CONCATENATE(LEFT($U28,2),"H"),$R$63:$T$91,3,FALSE),VLOOKUP($U28,$R$63:$T$91,3,FALSE)))+IF(AND($U28&lt;&gt;"",$U28&lt;&gt;"O3/CP",$U$15=E$18,MID($U28,4,1)="2",$U$15&lt;&gt;$U$14),VLOOKUP(CONCATENATE(LEFT($U28,2),"L"),$R$63:$T$91,3,FALSE),0)+IF(AND($U28="O3/CP",$T$14=E$18),VLOOKUP("O3",$R$63:$T$91,3,FALSE)+VLOOKUP("CP",$R$63:$T$91,3,FALSE),0)+IF(AND($V28&lt;&gt;"",$V28&lt;&gt;"--",$V28&lt;&gt;"O3/CP",$V$14=E$18),IF(LEFT($V28,1)="P",VLOOKUP(CONCATENATE(LEFT($V28,2),"H"),$R$63:$T$91,3,FALSE),VLOOKUP($V28,$R$63:$T$91,3,FALSE)))+IF(AND($V28&lt;&gt;"",$V28&lt;&gt;"O3/CP",$V$15=E$18,MID($V28,4,1)="2",$V$15&lt;&gt;$V$14),VLOOKUP(CONCATENATE(LEFT($V28,2),"L"),$R$63:$T$91,3,FALSE),0)+IF(AND($V28="O3/CP",$V$14=E$18),VLOOKUP("O3",$R$63:$T$91,3,FALSE)+VLOOKUP("CP",$R$63:$T$91,3,FALSE),0)+IF(AND($W28&lt;&gt;"",$W28&lt;&gt;"--",$W28&lt;&gt;"O3/CP",$W$14=E$18),IF(LEFT($W28,1)="P",VLOOKUP(CONCATENATE(LEFT($W28,2),"H"),$R$63:$T$91,3,FALSE),VLOOKUP($W28,$R$63:$T$91,3,FALSE)))+IF(AND($W28&lt;&gt;"",$W28&lt;&gt;"O3/CP",$W$15=E$18,MID($W28,4,1)="2",$W$15&lt;&gt;$W$14),VLOOKUP(CONCATENATE(LEFT($W28,2),"L"),$R$63:$T$91,3,FALSE),0)+IF(AND($W28="O3/CP",$W$14=E$18),VLOOKUP("O3",$R$63:$T$91,3,FALSE)+VLOOKUP("CP",$R$63:$T$91,3,FALSE),0)+IF(AND($X28&lt;&gt;"",$X28&lt;&gt;"--",$X28&lt;&gt;"O3/CP",$X$14=E$18),IF(LEFT($X28,1)="P",VLOOKUP(CONCATENATE(LEFT($X28,2),"H"),$R$63:$T$91,3,FALSE),VLOOKUP($X28,$R$63:$T$91,3,FALSE)))+IF(AND($X28&lt;&gt;"",$X28&lt;&gt;"O3/CP",$X$15=E$18,MID($X28,4,1)="2",$X$15&lt;&gt;$X$14),VLOOKUP(CONCATENATE(LEFT($X28,2),"L"),$R$63:$T$91,3,FALSE),0)+IF(AND($X28="O3/CP",$X$14=E$18),VLOOKUP("O3",$R$63:$T$91,3,FALSE)+VLOOKUP("CP",$R$63:$T$91,3,FALSE),0)+IF(AND($Y28&lt;&gt;"",$Y28&lt;&gt;"--",$Y28&lt;&gt;"O3/CP",$Y$14=E$18),IF(LEFT($Y28,1)="P",VLOOKUP(CONCATENATE(LEFT($Y28,2),"H"),$R$63:$T$91,3,FALSE),VLOOKUP($Y28,$R$63:$T$91,3,FALSE)))+IF(AND($Y28&lt;&gt;"",$Y28&lt;&gt;"O3/CP",$Y$15=E$18,MID($Y28,4,1)="2",$Y$15&lt;&gt;$Y$14),VLOOKUP(CONCATENATE(LEFT($Y28,2),"L"),$R$63:$T$91,3,FALSE),0)+IF(AND($Y28="O3/CP",$Y$14=E$18),VLOOKUP("O3",$R$63:$T$91,3,FALSE)+VLOOKUP("CP",$R$63:$T$91,3,FALSE),0)+IF(AND($K$6="CE",'[3]Supply Attribution'!$G$20=E$18),LEFT($S$90,2),0)+IF(AND($X$86&lt;&gt;"Not Set",$X$87=E$18),$X$86,0)</f>
        <v>0</v>
      </c>
      <c r="F28" s="268">
        <f>IF(AND($K28&lt;&gt;"",$K28&lt;&gt;"--",$K28&lt;&gt;"O3/CP",$K$14=F$18),IF(LEFT($K28,1)="P",VLOOKUP(CONCATENATE(LEFT($K28,2),"H"),$R$63:$T$91,3,FALSE),VLOOKUP($K28,$R$63:$T$91,3,FALSE)))+IF(AND($K28&lt;&gt;"",$K28&lt;&gt;"O3/CP",$K$15=F$18,MID($K28,4,1)="2",$K$15&lt;&gt;$K$14),VLOOKUP(CONCATENATE(LEFT($K28,2),"L"),$R$63:$T$91,3,FALSE),0)+IF(AND($K28="O3/CP",$K$14=F$18),VLOOKUP("O3",$R$63:$T$91,3,FALSE)+VLOOKUP("CP",$R$63:$T$91,3,FALSE),0)+IF(AND($L28&lt;&gt;"",$L28&lt;&gt;"--",$L28&lt;&gt;"O3/CP",$L$14=F$18),IF(LEFT($L28,1)="P",VLOOKUP(CONCATENATE(LEFT($L28,2),"H"),$R$63:$T$91,3,FALSE),VLOOKUP($L28,$R$63:$T$91,3,FALSE)))+IF(AND($L28&lt;&gt;"",$L28&lt;&gt;"O3/CP",$L$15=F$18,MID($L28,4,1)="2",$L$15&lt;&gt;$L$14),VLOOKUP(CONCATENATE(LEFT($L28,2),"L"),$R$63:$T$91,3,FALSE),0)+IF(AND($L28="O3/CP",$L$14=F$18),VLOOKUP("O3",$R$63:$T$91,3,FALSE)+VLOOKUP("CP",$R$63:$T$91,3,FALSE),0)+IF(AND($M28&lt;&gt;"",$M28&lt;&gt;"--",$M28&lt;&gt;"O3/CP",$M$14=F$18),IF(LEFT($M28,1)="P",VLOOKUP(CONCATENATE(LEFT($M28,2),"H"),$R$63:$T$91,3,FALSE),VLOOKUP($M28,$R$63:$T$91,3,FALSE)))+IF(AND($M28&lt;&gt;"",$M28&lt;&gt;"O3/CP",$M$15=F$18,MID($M28,4,1)="2",$M$15&lt;&gt;$M$14),VLOOKUP(CONCATENATE(LEFT($M28,2),"L"),$R$63:$T$91,3,FALSE),0)+IF(AND($M28="O3/CP",$M$14=F$18),VLOOKUP("O3",$R$63:$T$91,3,FALSE)+VLOOKUP("CP",$R$63:$T$91,3,FALSE),0)+IF(AND($N28&lt;&gt;"",$N28&lt;&gt;"--",$N28&lt;&gt;"O3/CP",$N$14=F$18),IF(LEFT($N28,1)="P",VLOOKUP(CONCATENATE(LEFT($N28,2),"H"),$R$63:$T$91,3,FALSE),VLOOKUP($N28,$R$63:$T$91,3,FALSE)))+IF(AND($N28&lt;&gt;"",$N28&lt;&gt;"O3/CP",$N$15=F$18,MID($N28,4,1)="2",$N$15&lt;&gt;$N$14),VLOOKUP(CONCATENATE(LEFT($N28,2),"L"),$R$63:$T$91,3,FALSE),0)+IF(AND($N28="O3/CP",$N$14=F$18),VLOOKUP("O3",$R$63:$T$91,3,FALSE)+VLOOKUP("CP",$R$63:$T$91,3,FALSE),0)+IF(AND($O28&lt;&gt;"",$O28&lt;&gt;"--",$O28&lt;&gt;"O3/CP",$O$14=F$18),IF(LEFT($O28,1)="P",VLOOKUP(CONCATENATE(LEFT($O28,2),"H"),$R$63:$T$91,3,FALSE),VLOOKUP($O28,$R$63:$T$91,3,FALSE)))+IF(AND($O28&lt;&gt;"",$O28&lt;&gt;"O3/CP",$O$15=F$18,MID($O28,4,1)="2",$O$15&lt;&gt;$O$14),VLOOKUP(CONCATENATE(LEFT($O28,2),"L"),$R$63:$T$91,3,FALSE),0)+IF(AND($O28="O3/CP",$O$14=F$18),VLOOKUP("O3",$R$63:$T$91,3,FALSE)+VLOOKUP("CP",$R$63:$T$91,3,FALSE),0)+IF(AND($P28&lt;&gt;"",$P28&lt;&gt;"--",$P28&lt;&gt;"O3/CP",$P$14=F$18),IF(LEFT($P28,1)="P",VLOOKUP(CONCATENATE(LEFT($P28,2),"H"),$R$63:$T$91,3,FALSE),VLOOKUP($P28,$R$63:$T$91,3,FALSE)))+IF(AND($P28&lt;&gt;"",$P28&lt;&gt;"O3/CP",$P$15=F$18,MID($P28,4,1)="2",$P$15&lt;&gt;$P$14),VLOOKUP(CONCATENATE(LEFT($P28,2),"L"),$R$63:$T$91,3,FALSE),0)+IF(AND($P28="O3/CP",$P$14=F$18),VLOOKUP("O3",$R$63:$T$91,3,FALSE)+VLOOKUP("CP",$R$63:$T$91,3,FALSE),0)+IF(AND($Q28&lt;&gt;"",$Q28&lt;&gt;"--",$Q28&lt;&gt;"O3/CP",$Q$14=F$18),IF(LEFT($Q28,1)="P",VLOOKUP(CONCATENATE(LEFT($Q28,2),"H"),$R$63:$T$91,3,FALSE),VLOOKUP($Q28,$R$63:$T$91,3,FALSE)))+IF(AND($Q28&lt;&gt;"",$Q28&lt;&gt;"O3/CP",$Q$15=F$18,MID($Q28,4,1)="2",$Q$15&lt;&gt;$Q$14),VLOOKUP(CONCATENATE(LEFT($Q28,2),"L"),$R$63:$T$91,3,FALSE),0)+IF(AND($Q28="O3/CP",$Q$14=F$18),VLOOKUP("O3",$R$63:$T$91,3,FALSE)+VLOOKUP("CP",$R$63:$T$91,3,FALSE),0)+IF(AND($R28&lt;&gt;"",$R28&lt;&gt;"--",$R28&lt;&gt;"O3/CP",$R$14=F$18),IF(LEFT($R28,1)="P",VLOOKUP(CONCATENATE(LEFT($R28,2),"H"),$R$63:$T$91,3,FALSE),VLOOKUP($R28,$R$63:$T$91,3,FALSE)))+IF(AND($R28&lt;&gt;"",$R28&lt;&gt;"O3/CP",$R$15=F$18,MID($R28,4,1)="2",$R$15&lt;&gt;$R$14),VLOOKUP(CONCATENATE(LEFT($R28,2),"L"),$R$63:$T$91,3,FALSE),0)+IF(AND($R28="O3/CP",$R$14=F$18),VLOOKUP("O3",$R$63:$T$91,3,FALSE)+VLOOKUP("CP",$R$63:$T$91,3,FALSE),0)+IF(AND($S28&lt;&gt;"",$S28&lt;&gt;"--",$S28&lt;&gt;"O3/CP",$S$14=F$18),IF(LEFT($S28,1)="P",VLOOKUP(CONCATENATE(LEFT($S28,2),"H"),$R$63:$T$91,3,FALSE),VLOOKUP($S28,$R$63:$T$91,3,FALSE)))+IF(AND($S28&lt;&gt;"",$S28&lt;&gt;"O3/CP",$S$15=F$18,MID($S28,4,1)="2",$S$15&lt;&gt;$S$14),VLOOKUP(CONCATENATE(LEFT($S28,2),"L"),$R$63:$T$91,3,FALSE),0)+IF(AND($S28="O3/CP",$S$14=F$18),VLOOKUP("O3",$R$63:$T$91,3,FALSE)+VLOOKUP("CP",$R$63:$T$91,3,FALSE),0)+IF(AND($T28&lt;&gt;"",$T28&lt;&gt;"--",$T28&lt;&gt;"O3/CP",$T$14=F$18),IF(LEFT($T28,1)="P",VLOOKUP(CONCATENATE(LEFT($T28,2),"H"),$R$63:$T$91,3,FALSE),VLOOKUP($T28,$R$63:$T$91,3,FALSE)))+IF(AND($T28&lt;&gt;"",$T28&lt;&gt;"O3/CP",$T$15=F$18,MID($T28,4,1)="2",$T$15&lt;&gt;$T$14),VLOOKUP(CONCATENATE(LEFT($T28,2),"L"),$R$63:$T$91,3,FALSE),0)+IF(AND($T28="O3/CP",$T$14=F$18),VLOOKUP("O3",$R$63:$T$91,3,FALSE)+VLOOKUP("CP",$R$63:$T$91,3,FALSE),0)+IF(AND($U28&lt;&gt;"",$U28&lt;&gt;"--",$U28&lt;&gt;"O3/CP",$U$14=F$18),IF(LEFT($U28,1)="P",VLOOKUP(CONCATENATE(LEFT($U28,2),"H"),$R$63:$T$91,3,FALSE),VLOOKUP($U28,$R$63:$T$91,3,FALSE)))+IF(AND($U28&lt;&gt;"",$U28&lt;&gt;"O3/CP",$U$15=F$18,MID($U28,4,1)="2",$U$15&lt;&gt;$U$14),VLOOKUP(CONCATENATE(LEFT($U28,2),"L"),$R$63:$T$91,3,FALSE),0)+IF(AND($U28="O3/CP",$T$14=F$18),VLOOKUP("O3",$R$63:$T$91,3,FALSE)+VLOOKUP("CP",$R$63:$T$91,3,FALSE),0)+IF(AND($V28&lt;&gt;"",$V28&lt;&gt;"--",$V28&lt;&gt;"O3/CP",$V$14=F$18),IF(LEFT($V28,1)="P",VLOOKUP(CONCATENATE(LEFT($V28,2),"H"),$R$63:$T$91,3,FALSE),VLOOKUP($V28,$R$63:$T$91,3,FALSE)))+IF(AND($V28&lt;&gt;"",$V28&lt;&gt;"O3/CP",$V$15=F$18,MID($V28,4,1)="2",$V$15&lt;&gt;$V$14),VLOOKUP(CONCATENATE(LEFT($V28,2),"L"),$R$63:$T$91,3,FALSE),0)+IF(AND($V28="O3/CP",$V$14=F$18),VLOOKUP("O3",$R$63:$T$91,3,FALSE)+VLOOKUP("CP",$R$63:$T$91,3,FALSE),0)+IF(AND($W28&lt;&gt;"",$W28&lt;&gt;"--",$W28&lt;&gt;"O3/CP",$W$14=F$18),IF(LEFT($W28,1)="P",VLOOKUP(CONCATENATE(LEFT($W28,2),"H"),$R$63:$T$91,3,FALSE),VLOOKUP($W28,$R$63:$T$91,3,FALSE)))+IF(AND($W28&lt;&gt;"",$W28&lt;&gt;"O3/CP",$W$15=F$18,MID($W28,4,1)="2",$W$15&lt;&gt;$W$14),VLOOKUP(CONCATENATE(LEFT($W28,2),"L"),$R$63:$T$91,3,FALSE),0)+IF(AND($W28="O3/CP",$W$14=F$18),VLOOKUP("O3",$R$63:$T$91,3,FALSE)+VLOOKUP("CP",$R$63:$T$91,3,FALSE),0)+IF(AND($X28&lt;&gt;"",$X28&lt;&gt;"--",$X28&lt;&gt;"O3/CP",$X$14=F$18),IF(LEFT($X28,1)="P",VLOOKUP(CONCATENATE(LEFT($X28,2),"H"),$R$63:$T$91,3,FALSE),VLOOKUP($X28,$R$63:$T$91,3,FALSE)))+IF(AND($X28&lt;&gt;"",$X28&lt;&gt;"O3/CP",$X$15=F$18,MID($X28,4,1)="2",$X$15&lt;&gt;$X$14),VLOOKUP(CONCATENATE(LEFT($X28,2),"L"),$R$63:$T$91,3,FALSE),0)+IF(AND($X28="O3/CP",$X$14=F$18),VLOOKUP("O3",$R$63:$T$91,3,FALSE)+VLOOKUP("CP",$R$63:$T$91,3,FALSE),0)+IF(AND($Y28&lt;&gt;"",$Y28&lt;&gt;"--",$Y28&lt;&gt;"O3/CP",$Y$14=F$18),IF(LEFT($Y28,1)="P",VLOOKUP(CONCATENATE(LEFT($Y28,2),"H"),$R$63:$T$91,3,FALSE),VLOOKUP($Y28,$R$63:$T$91,3,FALSE)))+IF(AND($Y28&lt;&gt;"",$Y28&lt;&gt;"O3/CP",$Y$15=F$18,MID($Y28,4,1)="2",$Y$15&lt;&gt;$Y$14),VLOOKUP(CONCATENATE(LEFT($Y28,2),"L"),$R$63:$T$91,3,FALSE),0)+IF(AND($Y28="O3/CP",$Y$14=F$18),VLOOKUP("O3",$R$63:$T$91,3,FALSE)+VLOOKUP("CP",$R$63:$T$91,3,FALSE),0)+IF(AND($K$6="CE",'[3]Supply Attribution'!$G$20=F$18),LEFT($S$90,2),0)+IF(AND($X$86&lt;&gt;"Not Set",$X$87=F$18),$X$86,0)</f>
        <v>0</v>
      </c>
      <c r="G28" s="269">
        <f>IF(AND($K$6="CE",$T$59="1 Phase"),SUM(A28:F28)-IF(AND($K$14&lt;&gt;$K$15,RIGHT($K28,3)="2SP"),VLOOKUP(CONCATENATE(LEFT($K28,2),"L"),$R$63:$T$90,3,FALSE),0)-IF(AND($L$14&lt;&gt;$L$15,RIGHT($L28,3)="2SP"),VLOOKUP(CONCATENATE(LEFT($L28,2),"L"),$R$63:$T$90,3,FALSE),0)-IF(AND($M$14&lt;&gt;$M$15,RIGHT($M28,3)="2SP"),VLOOKUP(CONCATENATE(LEFT($M28,2),"L"),$R$63:$T$90,3,FALSE),0)-IF(AND($N$14&lt;&gt;$N$15,RIGHT($N28,3)="2SP"),VLOOKUP(CONCATENATE(LEFT($N28,2),"L"),$R$63:$T$90,3,FALSE),0)-IF(AND($O$14&lt;&gt;$O$15,RIGHT($O28,3)="2SP"),VLOOKUP(CONCATENATE(LEFT($O28,2),"L"),$R$63:$T$90,3,FALSE),0)-IF(AND($P$14&lt;&gt;$P$15,RIGHT($P28,3)="2SP"),VLOOKUP(CONCATENATE(LEFT($P28,2),"L"),$R$63:$T$90,3,FALSE),0)-IF(AND($Q$14&lt;&gt;$Q$15,RIGHT($Q28,3)="2SP"),VLOOKUP(CONCATENATE(LEFT($Q28,2),"L"),$R$63:$T$90,3,FALSE),0)-IF(AND($R$14&lt;&gt;$R$15,RIGHT($T28,3)="2SP"),VLOOKUP(CONCATENATE(LEFT($R28,2),"L"),$R$63:$T$90,3,FALSE),0)-IF(AND($S$14&lt;&gt;$S$15,RIGHT($T28,3)="2SP"),VLOOKUP(CONCATENATE(LEFT($S28,2),"L"),$R$63:$T$90,3,FALSE),0)-IF(AND($T$14&lt;&gt;$T$15,RIGHT($T28,3)="2SP"),VLOOKUP(CONCATENATE(LEFT($T28,2),"L"),$R$63:$T$90,3,FALSE),0)-IF(AND($U$14&lt;&gt;$U$15,RIGHT($U28,3)="2SP"),VLOOKUP(CONCATENATE(LEFT($U28,2),"L"),$R$63:$T$90,3,FALSE),0)-IF(AND($V$14&lt;&gt;$V$15,RIGHT($V28,3)="2SP"),VLOOKUP(CONCATENATE(LEFT($V28,2),"L"),$R$63:$T$90,3,FALSE),0)-IF(AND($W$14&lt;&gt;$W$15,RIGHT($W28,3)="2SP"),VLOOKUP(CONCATENATE(LEFT($W28,2),"L"),$R$63:$T$90,3,FALSE),0)-IF(AND($X$14&lt;&gt;$X$15,RIGHT($X28,3)="2SP"),VLOOKUP(CONCATENATE(LEFT($X28,2),"L"),$R$63:$T$90,3,FALSE),0)-IF(AND($Y$14&lt;&gt;$Y$15,RIGHT($Y28,3)="2SP"),VLOOKUP(CONCATENATE(LEFT($Y28,2),"L"),$R$63:$T$90,3,FALSE),0),IF(VLOOKUP(CONCATENATE($A$18,"Line"),'[3]Supply Attribution'!$F$31:$G$37,2,FALSE)=G$18,$A28,0)+IF(VLOOKUP(CONCATENATE($B$18,"Line"),'[3]Supply Attribution'!$F$31:$G$37,2,FALSE)=G$18,$B28,0)+IF(VLOOKUP(CONCATENATE($C$18,"Line"),'[3]Supply Attribution'!$F$31:$G$37,2,FALSE)=G$18,$C28,0)+IF(VLOOKUP(CONCATENATE($D$18,"Line"),'[3]Supply Attribution'!$F$31:$G$37,2,FALSE)=G$18,$D28,0)+IF(VLOOKUP(CONCATENATE($E$18,"Line"),'[3]Supply Attribution'!$F$31:$G$37,2,FALSE)=G$18,$E28,0)+IF(VLOOKUP(CONCATENATE($F$18,"Line"),'[3]Supply Attribution'!$F$31:$G$37,2,FALSE)=G$18,$F28,0)+IF($K$6="UL",LEFT($S$90,2),0)-IF(AND($K$16=G$18,$K$14&lt;&gt;$K$15,$K$16=$K$17,RIGHT($K28,3)="2SP"),VLOOKUP(CONCATENATE(LEFT($K28,2),"L"),$R$63:$T$90,3,FALSE),0)-IF(AND($L$16=G$18,$L$14&lt;&gt;$L$15,$L$16=$L$17,RIGHT($L28,3)="2SP"),VLOOKUP(CONCATENATE(LEFT($L28,2),"L"),$R$63:$T$90,3,FALSE),0)-IF(AND($M$16=G$18,$M$14&lt;&gt;$M$15,$M$16=$M$17,RIGHT($M28,3)="2SP"),VLOOKUP(CONCATENATE(LEFT($M28,2),"L"),$R$63:$T$90,3,FALSE),0)-IF(AND($N$16=G$18,$N$14&lt;&gt;$N$15,$N$16=$N$17,RIGHT($N28,3)="2SP"),VLOOKUP(CONCATENATE(LEFT($N28,2),"L"),$R$63:$T$90,3,FALSE),0)-IF(AND($O$16=G$18,$O$14&lt;&gt;$O$15,$O$16=$O$17,RIGHT($O28,3)="2SP"),VLOOKUP(CONCATENATE(LEFT($O28,2),"L"),$R$63:$T$90,3,FALSE),0)-IF(AND($P$16=G$18,$P$14&lt;&gt;$P$15,$P$16=$P$17,RIGHT($P28,3)="2SP"),VLOOKUP(CONCATENATE(LEFT($P28,2),"L"),$R$63:$T$90,3,FALSE),0)-IF(AND($Q$16=G$18,$Q$14&lt;&gt;$Q$15,$Q$16=$Q$17,RIGHT($Q28,3)="2SP"),VLOOKUP(CONCATENATE(LEFT($Q28,2),"L"),$R$63:$T$90,3,FALSE),0)-IF(AND($R$16=G$18,$R$14&lt;&gt;$R$15,$R$16=$R$17,RIGHT($R28,3)="2SP"),VLOOKUP(CONCATENATE(LEFT($R28,2),"L"),$R$63:$T$90,3,FALSE),0)-IF(AND($S$16=G$18,$S$14&lt;&gt;$S$15,$S$16=$S$17,RIGHT($S28,3)="2SP"),VLOOKUP(CONCATENATE(LEFT($S28,2),"L"),$R$63:$T$90,3,FALSE),0)-IF(AND($T$16=G$18,$T$14&lt;&gt;$T$15,$T$16=$T$17,RIGHT($T28,3)="2SP"),VLOOKUP(CONCATENATE(LEFT($T28,2),"L"),$R$63:$T$90,3,FALSE),0)-IF(AND($U$16=G$18,$U$14&lt;&gt;$U$15,$U$16=$U$17,RIGHT($U28,3)="2SP"),VLOOKUP(CONCATENATE(LEFT($U28,2),"L"),$R$63:$T$90,3,FALSE),0)-IF(AND($V$16=G$18,$V$14&lt;&gt;$V$15,$V$16=$V$17,RIGHT($V28,3)="2SP"),VLOOKUP(CONCATENATE(LEFT($V28,2),"L"),$R$63:$T$90,3,FALSE),0)-IF(AND($W$16=G$18,$W$14&lt;&gt;$W$15,$W$16=$W$17,RIGHT($W28,3)="2SP"),VLOOKUP(CONCATENATE(LEFT($W28,2),"L"),$R$63:$T$90,3,FALSE),0)-IF(AND($X$16=G$18,$X$14&lt;&gt;$X$15,$X$16=$X$17,RIGHT($X28,3)="2SP"),VLOOKUP(CONCATENATE(LEFT($X28,2),"L"),$R$63:$T$90,3,FALSE),0)-IF(AND($Y$16=G$18,$Y$14&lt;&gt;$Y$15,$Y$16=$Y$17,RIGHT($Y28,3)="2SP"),VLOOKUP(CONCATENATE(LEFT($Y28,2),"L"),$R$63:$T$90,3,FALSE),0))</f>
        <v>17</v>
      </c>
      <c r="H28" s="269" t="str">
        <f>IF(H$18&lt;&gt;"",IF(VLOOKUP(CONCATENATE($A$18,"Line"),'Supply Attribution'!$F$31:$G$37,2,FALSE)=H$18,$A28,0)+IF(VLOOKUP(CONCATENATE($B$18,"Line"),'Supply Attribution'!$F$31:$G$37,2,FALSE)=H$18,$B28,0)+IF(VLOOKUP(CONCATENATE($C$18,"Line"),'Supply Attribution'!$F$31:$G$37,2,FALSE)=H$18,$C28,0)+IF(VLOOKUP(CONCATENATE($D$18,"Line"),'Supply Attribution'!$F$31:$G$37,2,FALSE)=H$18,$D28,0)+IF(VLOOKUP(CONCATENATE($E$18,"Line"),'Supply Attribution'!$F$31:$G$37,2,FALSE)=H$18,$E28,0)+IF(VLOOKUP(CONCATENATE($F$18,"Line"),'Supply Attribution'!$F$31:$G$37,2,FALSE)=H$18,$F28,0)+IF($K$6="UL",LEFT($S$90,2),0)-IF(AND($K$16=H$18,$K$14&lt;&gt;$K$15,$K$16=$K$17,RIGHT($K28,3)="2SP"),VLOOKUP(CONCATENATE(LEFT($K28,2),"L"),$R$63:$T$90,3,FALSE),0)-IF(AND($L$16=H$18,$L$14&lt;&gt;$L$15,$L$16=$L$17,RIGHT($L28,3)="2SP"),VLOOKUP(CONCATENATE(LEFT($L28,2),"L"),$R$63:$T$90,3,FALSE),0)-IF(AND($M$16=H$18,$M$14&lt;&gt;$M$15,$M$16=$M$17,RIGHT($M28,3)="2SP"),VLOOKUP(CONCATENATE(LEFT($M28,2),"L"),$R$63:$T$90,3,FALSE),0)-IF(AND($N$16=H$18,$N$14&lt;&gt;$N$15,$N$16=$N$17,RIGHT($N28,3)="2SP"),VLOOKUP(CONCATENATE(LEFT($N28,2),"L"),$R$63:$T$90,3,FALSE),0)-IF(AND($O$16=H$18,$O$14&lt;&gt;$O$15,$O$16=$O$17,RIGHT($O28,3)="2SP"),VLOOKUP(CONCATENATE(LEFT($O28,2),"L"),$R$63:$T$90,3,FALSE),0)-IF(AND($P$16=H$18,$P$14&lt;&gt;$P$15,$P$16=$P$17,RIGHT($P28,3)="2SP"),VLOOKUP(CONCATENATE(LEFT($P28,2),"L"),$R$63:$T$90,3,FALSE),0)-IF(AND($Q$16=H$18,$Q$14&lt;&gt;$Q$15,$Q$16=$Q$17,RIGHT($Q28,3)="2SP"),VLOOKUP(CONCATENATE(LEFT($Q28,2),"L"),$R$63:$T$90,3,FALSE),0)-IF(AND($T$16=H$18,$T$14&lt;&gt;$T$15,$T$16=$T$17,RIGHT($T28,3)="2SP"),VLOOKUP(CONCATENATE(LEFT($T28,2),"L"),$R$63:$T$90,3,FALSE),0)-IF(AND($U$16=H$18,$U$14&lt;&gt;$U$15,$U$16=$U$17,RIGHT($U28,3)="2SP"),VLOOKUP(CONCATENATE(LEFT($U28,2),"L"),$R$63:$T$90,3,FALSE),0)-IF(AND($V$16=H$18,$V$14&lt;&gt;$V$15,$V$16=$V$17,RIGHT($V28,3)="2SP"),VLOOKUP(CONCATENATE(LEFT($V28,2),"L"),$R$63:$T$90,3,FALSE),0)-IF(AND($W$16=H$18,$W$14&lt;&gt;$W$15,$W$16=$W$17,RIGHT($W28,3)="2SP"),VLOOKUP(CONCATENATE(LEFT($W28,2),"L"),$R$63:$T$90,3,FALSE),0)-IF(AND($X$16=H$18,$X$14&lt;&gt;$X$15,$X$16=$X$17,RIGHT($X28,3)="2SP"),VLOOKUP(CONCATENATE(LEFT($X28,2),"L"),$R$63:$T$90,3,FALSE),0)-IF(AND($Y$16=H$18,$Y$14&lt;&gt;$Y$15,$Y$16=$Y$17,RIGHT($Y28,3)="2SP"),VLOOKUP(CONCATENATE(LEFT($Y28,2),"L"),$R$63:$T$90,3,FALSE),0)+IF(AND($K$6="CE",$T$59="2 Phases",H$18&lt;&gt;""),IF(VLOOKUP(CONCATENATE($A$18,"Line"),'Supply Attribution'!$F$31:$G$37,2,FALSE)="Line3",$A28,0)+IF(VLOOKUP(CONCATENATE($B$18,"Line"),'Supply Attribution'!$F$31:$G$37,2,FALSE)="Line3",$B28,0)+IF(VLOOKUP(CONCATENATE($C$18,"Line"),'Supply Attribution'!$F$31:$G$37,2,FALSE)="Line3",$C28,0)+IF(VLOOKUP(CONCATENATE($D$18,"Line"),'Supply Attribution'!$F$31:$G$37,2,FALSE)="Line3",$D28,0)+IF(VLOOKUP(CONCATENATE($E$18,"Line"),'Supply Attribution'!$F$31:$G$37,2,FALSE)="Line3",$E28,0)+IF(VLOOKUP(CONCATENATE($F$18,"Line"),'Supply Attribution'!$F$31:$G$37,2,FALSE)="Line3",$F28,0)-IF(AND($K$16=I$18,$K$14&lt;&gt;$K$15,$K$16=$K$17,RIGHT($K28,3)="2SP"),VLOOKUP(CONCATENATE(LEFT($K28,2),"L"),$R$63:$T$90,3,FALSE),0)-IF(AND($L$16=I$18,$L$14&lt;&gt;$L$15,$L$16=$L$17,RIGHT($L28,3)="2SP"),VLOOKUP(CONCATENATE(LEFT($L28,2),"L"),$R$63:$T$90,3,FALSE),0)-IF(AND($M$16=I$18,$M$14&lt;&gt;$M$15,$M$16=$M$17,RIGHT($M28,3)="2SP"),VLOOKUP(CONCATENATE(LEFT($M28,2),"L"),$R$63:$T$90,3,FALSE),0)-IF(AND($N$16=I$18,$N$14&lt;&gt;$N$15,$N$16=$N$17,RIGHT($N28,3)="2SP"),VLOOKUP(CONCATENATE(LEFT($N28,2),"L"),$R$63:$T$90,3,FALSE),0)-IF(AND($O$16=I$18,$O$14&lt;&gt;$O$15,$O$16=$O$17,RIGHT($O28,3)="2SP"),VLOOKUP(CONCATENATE(LEFT($O28,2),"L"),$R$63:$T$90,3,FALSE),0)-IF(AND($P$16=I$18,$P$14&lt;&gt;$P$15,$P$16=$P$17,RIGHT($P28,3)="2SP"),VLOOKUP(CONCATENATE(LEFT($P28,2),"L"),$R$63:$T$90,3,FALSE),0)-IF(AND($Q$16=I$18,$Q$14&lt;&gt;$Q$15,$Q$16=$Q$17,RIGHT($Q28,3)="2SP"),VLOOKUP(CONCATENATE(LEFT($Q28,2),"L"),$R$63:$T$90,3,FALSE),0)-IF(AND($T$16=I$18,$T$14&lt;&gt;$T$15,$T$16=$T$17,RIGHT($T28,3)="2SP"),VLOOKUP(CONCATENATE(LEFT($T28,2),"L"),$R$63:$T$90,3,FALSE),0)-IF(AND($U$16=I$18,$U$14&lt;&gt;$U$15,$U$16=$U$17,RIGHT($U28,3)="2SP"),VLOOKUP(CONCATENATE(LEFT($U28,2),"L"),$R$63:$T$90,3,FALSE),0)-IF(AND($V$16=I$18,$V$14&lt;&gt;$V$15,$V$16=$V$17,RIGHT($V28,3)="2SP"),VLOOKUP(CONCATENATE(LEFT($V28,2),"L"),$R$63:$T$90,3,FALSE),0)-IF(AND($W$16=I$18,$W$14&lt;&gt;$W$15,$W$16=$W$17,RIGHT($W28,3)="2SP"),VLOOKUP(CONCATENATE(LEFT($W28,2),"L"),$R$63:$T$90,3,FALSE),0)-IF(AND($X$16=I$18,$X$14&lt;&gt;$X$15,$X$16=$X$17,RIGHT($X28,3)="2SP"),VLOOKUP(CONCATENATE(LEFT($X28,2),"L"),$R$63:$T$90,3,FALSE),0)-IF(AND($Y$16=I$18,$Y$14&lt;&gt;$Y$15,$Y$16=$Y$17,RIGHT($Y28,3)="2SP"),VLOOKUP(CONCATENATE(LEFT($Y28,2),"L"),$R$63:$T$90,3,FALSE),0),0),"")</f>
        <v/>
      </c>
      <c r="I28" s="269" t="str">
        <f>IF(I$18&lt;&gt;"",IF(VLOOKUP(CONCATENATE($A$18,"Line"),'Supply Attribution'!$F$31:$G$37,2,FALSE)=I$18,$A28,0)+IF(VLOOKUP(CONCATENATE($B$18,"Line"),'Supply Attribution'!$F$31:$G$37,2,FALSE)=I$18,$B28,0)+IF(VLOOKUP(CONCATENATE($C$18,"Line"),'Supply Attribution'!$F$31:$G$37,2,FALSE)=I$18,$C28,0)+IF(VLOOKUP(CONCATENATE($D$18,"Line"),'Supply Attribution'!$F$31:$G$37,2,FALSE)=I$18,$D28,0)+IF(VLOOKUP(CONCATENATE($E$18,"Line"),'Supply Attribution'!$F$31:$G$37,2,FALSE)=I$18,$E28,0)+IF(VLOOKUP(CONCATENATE($F$18,"Line"),'Supply Attribution'!$F$31:$G$37,2,FALSE)=I$18,$F28,0)+IF($K$6="UL",LEFT($S$90,2),0)-IF(AND($K$16=I$18,$K$14&lt;&gt;$K$15,$K$16=$K$17,RIGHT($K28,3)="2SP"),VLOOKUP(CONCATENATE(LEFT($K28,2),"L"),$R$63:$T$90,3,FALSE),0)-IF(AND($L$16=I$18,$L$14&lt;&gt;$L$15,$L$16=$L$17,RIGHT($L28,3)="2SP"),VLOOKUP(CONCATENATE(LEFT($L28,2),"L"),$R$63:$T$90,3,FALSE),0)-IF(AND($M$16=I$18,$M$14&lt;&gt;$M$15,$M$16=$M$17,RIGHT($M28,3)="2SP"),VLOOKUP(CONCATENATE(LEFT($M28,2),"L"),$R$63:$T$90,3,FALSE),0)-IF(AND($N$16=I$18,$N$14&lt;&gt;$N$15,$N$16=$N$17,RIGHT($N28,3)="2SP"),VLOOKUP(CONCATENATE(LEFT($N28,2),"L"),$R$63:$T$90,3,FALSE),0)-IF(AND($O$16=I$18,$O$14&lt;&gt;$O$15,$O$16=$O$17,RIGHT($O28,3)="2SP"),VLOOKUP(CONCATENATE(LEFT($O28,2),"L"),$R$63:$T$90,3,FALSE),0)-IF(AND($P$16=I$18,$P$14&lt;&gt;$P$15,$P$16=$P$17,RIGHT($P28,3)="2SP"),VLOOKUP(CONCATENATE(LEFT($P28,2),"L"),$R$63:$T$90,3,FALSE),0)-IF(AND($Q$16=I$18,$Q$14&lt;&gt;$Q$15,$Q$16=$Q$17,RIGHT($Q28,3)="2SP"),VLOOKUP(CONCATENATE(LEFT($Q28,2),"L"),$R$63:$T$90,3,FALSE),0)-IF(AND($T$16=I$18,$T$14&lt;&gt;$T$15,$T$16=$T$17,RIGHT($T28,3)="2SP"),VLOOKUP(CONCATENATE(LEFT($T28,2),"L"),$R$63:$T$90,3,FALSE),0)-IF(AND($U$16=I$18,$U$14&lt;&gt;$U$15,$U$16=$U$17,RIGHT($U28,3)="2SP"),VLOOKUP(CONCATENATE(LEFT($U28,2),"L"),$R$63:$T$90,3,FALSE),0)-IF(AND($V$16=I$18,$V$14&lt;&gt;$V$15,$V$16=$V$17,RIGHT($V28,3)="2SP"),VLOOKUP(CONCATENATE(LEFT($V28,2),"L"),$R$63:$T$90,3,FALSE),0)-IF(AND($W$16=I$18,$W$14&lt;&gt;$W$15,$W$16=$W$17,RIGHT($W28,3)="2SP"),VLOOKUP(CONCATENATE(LEFT($W28,2),"L"),$R$63:$T$90,3,FALSE),0)-IF(AND($X$16=I$18,$X$14&lt;&gt;$X$15,$X$16=$X$17,RIGHT($X28,3)="2SP"),VLOOKUP(CONCATENATE(LEFT($X28,2),"L"),$R$63:$T$90,3,FALSE),0)-IF(AND($Y$16=I$18,$Y$14&lt;&gt;$Y$15,$Y$16=$Y$17,RIGHT($Y28,3)="2SP"),VLOOKUP(CONCATENATE(LEFT($Y28,2),"L"),$R$63:$T$90,3,FALSE),0),"")</f>
        <v/>
      </c>
      <c r="J28" s="134"/>
      <c r="K28" s="135"/>
      <c r="L28" s="135"/>
      <c r="M28" s="135"/>
      <c r="N28" s="135"/>
      <c r="O28" s="135"/>
      <c r="P28" s="135"/>
      <c r="Q28" s="135"/>
      <c r="R28" s="135"/>
      <c r="S28" s="135"/>
      <c r="T28" s="135"/>
      <c r="U28" s="135"/>
      <c r="V28" s="135"/>
      <c r="W28" s="135"/>
      <c r="X28" s="135"/>
      <c r="Y28" s="135"/>
      <c r="Z28" s="136"/>
      <c r="AA28" s="136"/>
      <c r="AB28" s="137"/>
      <c r="AC28" s="137"/>
      <c r="AD28" s="137"/>
      <c r="AE28" s="138">
        <f t="shared" si="0"/>
        <v>0</v>
      </c>
      <c r="AF28" s="78"/>
    </row>
    <row r="29" spans="1:32" ht="13.15" customHeight="1">
      <c r="A29" s="264">
        <f>IF(AND($K29&lt;&gt;"",$K29&lt;&gt;"--",$K29&lt;&gt;"O3/CP",$K$14=A$18),IF(LEFT($K29,1)="P",VLOOKUP(CONCATENATE(LEFT($K29,2),"H"),$R$63:$T$91,3,FALSE),VLOOKUP($K29,$R$63:$T$91,3,FALSE)))+IF(AND($K29&lt;&gt;"",$K29&lt;&gt;"O3/CP",$K$15=A$18,MID($K29,4,1)="2",$K$15&lt;&gt;$K$14),VLOOKUP(CONCATENATE(LEFT($K29,2),"L"),$R$63:$T$91,3,FALSE),0)+IF(AND($K29="O3/CP",$K$14=A$18),VLOOKUP("O3",$R$63:$T$91,3,FALSE)+VLOOKUP("CP",$R$63:$T$91,3,FALSE),0)+IF(AND($L29&lt;&gt;"",$L29&lt;&gt;"--",$L29&lt;&gt;"O3/CP",$L$14=A$18),IF(LEFT($L29,1)="P",VLOOKUP(CONCATENATE(LEFT($L29,2),"H"),$R$63:$T$91,3,FALSE),VLOOKUP($L29,$R$63:$T$91,3,FALSE)))+IF(AND($L29&lt;&gt;"",$L29&lt;&gt;"O3/CP",$L$15=A$18,MID($L29,4,1)="2",$L$15&lt;&gt;$L$14),VLOOKUP(CONCATENATE(LEFT($L29,2),"L"),$R$63:$T$91,3,FALSE),0)+IF(AND($L29="O3/CP",$L$14=A$18),VLOOKUP("O3",$R$63:$T$91,3,FALSE)+VLOOKUP("CP",$R$63:$T$91,3,FALSE),0)+IF(AND($M29&lt;&gt;"",$M29&lt;&gt;"--",$M29&lt;&gt;"O3/CP",$M$14=A$18),IF(LEFT($M29,1)="P",VLOOKUP(CONCATENATE(LEFT($M29,2),"H"),$R$63:$T$91,3,FALSE),VLOOKUP($M29,$R$63:$T$91,3,FALSE)))+IF(AND($M29&lt;&gt;"",$M29&lt;&gt;"O3/CP",$M$15=A$18,MID($M29,4,1)="2",$M$15&lt;&gt;$M$14),VLOOKUP(CONCATENATE(LEFT($M29,2),"L"),$R$63:$T$91,3,FALSE),0)+IF(AND($M29="O3/CP",$M$14=A$18),VLOOKUP("O3",$R$63:$T$91,3,FALSE)+VLOOKUP("CP",$R$63:$T$91,3,FALSE),0)+IF(AND($N29&lt;&gt;"",$N29&lt;&gt;"--",$N29&lt;&gt;"O3/CP",$N$14=A$18),IF(LEFT($N29,1)="P",VLOOKUP(CONCATENATE(LEFT($N29,2),"H"),$R$63:$T$91,3,FALSE),VLOOKUP($N29,$R$63:$T$91,3,FALSE)))+IF(AND($N29&lt;&gt;"",$N29&lt;&gt;"O3/CP",$N$15=A$18,MID($N29,4,1)="2",$N$15&lt;&gt;$N$14),VLOOKUP(CONCATENATE(LEFT($N29,2),"L"),$R$63:$T$91,3,FALSE),0)+IF(AND($N29="O3/CP",$N$14=A$18),VLOOKUP("O3",$R$63:$T$91,3,FALSE)+VLOOKUP("CP",$R$63:$T$91,3,FALSE),0)+IF(AND($O29&lt;&gt;"",$O29&lt;&gt;"--",$O29&lt;&gt;"O3/CP",$O$14=A$18),IF(LEFT($O29,1)="P",VLOOKUP(CONCATENATE(LEFT($O29,2),"H"),$R$63:$T$91,3,FALSE),VLOOKUP($O29,$R$63:$T$91,3,FALSE)))+IF(AND($O29&lt;&gt;"",$O29&lt;&gt;"O3/CP",$O$15=A$18,MID($O29,4,1)="2",$O$15&lt;&gt;$O$14),VLOOKUP(CONCATENATE(LEFT($O29,2),"L"),$R$63:$T$91,3,FALSE),0)+IF(AND($O29="O3/CP",$O$14=A$18),VLOOKUP("O3",$R$63:$T$91,3,FALSE)+VLOOKUP("CP",$R$63:$T$91,3,FALSE),0)+IF(AND($P29&lt;&gt;"",$P29&lt;&gt;"--",$P29&lt;&gt;"O3/CP",$P$14=A$18),IF(LEFT($P29,1)="P",VLOOKUP(CONCATENATE(LEFT($P29,2),"H"),$R$63:$T$91,3,FALSE),VLOOKUP($P29,$R$63:$T$91,3,FALSE)))+IF(AND($P29&lt;&gt;"",$P29&lt;&gt;"O3/CP",$P$15=A$18,MID($P29,4,1)="2",$P$15&lt;&gt;$P$14),VLOOKUP(CONCATENATE(LEFT($P29,2),"L"),$R$63:$T$91,3,FALSE),0)+IF(AND($P29="O3/CP",$P$14=A$18),VLOOKUP("O3",$R$63:$T$91,3,FALSE)+VLOOKUP("CP",$R$63:$T$91,3,FALSE),0)+IF(AND($Q29&lt;&gt;"",$Q29&lt;&gt;"--",$Q29&lt;&gt;"O3/CP",$Q$14=A$18),IF(LEFT($Q29,1)="P",VLOOKUP(CONCATENATE(LEFT($Q29,2),"H"),$R$63:$T$91,3,FALSE),VLOOKUP($Q29,$R$63:$T$91,3,FALSE)))+IF(AND($Q29&lt;&gt;"",$Q29&lt;&gt;"O3/CP",$Q$15=A$18,MID($Q29,4,1)="2",$Q$15&lt;&gt;$Q$14),VLOOKUP(CONCATENATE(LEFT($Q29,2),"L"),$R$63:$T$91,3,FALSE),0)+IF(AND($Q29="O3/CP",$Q$14=A$18),VLOOKUP("O3",$R$63:$T$91,3,FALSE)+VLOOKUP("CP",$R$63:$T$91,3,FALSE),0)+IF(AND($R29&lt;&gt;"",$R29&lt;&gt;"--",$R29&lt;&gt;"O3/CP",$R$14=A$18),IF(LEFT($R29,1)="P",VLOOKUP(CONCATENATE(LEFT($R29,2),"H"),$R$63:$T$91,3,FALSE),VLOOKUP($R29,$R$63:$T$91,3,FALSE)))+IF(AND($R29&lt;&gt;"",$R29&lt;&gt;"O3/CP",$R$15=A$18,MID($R29,4,1)="2",$R$15&lt;&gt;$R$14),VLOOKUP(CONCATENATE(LEFT($R29,2),"L"),$R$63:$T$91,3,FALSE),0)+IF(AND($R29="O3/CP",$R$14=A$18),VLOOKUP("O3",$R$63:$T$91,3,FALSE)+VLOOKUP("CP",$R$63:$T$91,3,FALSE),0)+IF(AND($S29&lt;&gt;"",$S29&lt;&gt;"--",$S29&lt;&gt;"O3/CP",$S$14=A$18),IF(LEFT($S29,1)="P",VLOOKUP(CONCATENATE(LEFT($S29,2),"H"),$R$63:$T$91,3,FALSE),VLOOKUP($S29,$R$63:$T$91,3,FALSE)))+IF(AND($S29&lt;&gt;"",$S29&lt;&gt;"O3/CP",$S$15=A$18,MID($S29,4,1)="2",$S$15&lt;&gt;$S$14),VLOOKUP(CONCATENATE(LEFT($S29,2),"L"),$R$63:$T$91,3,FALSE),0)+IF(AND($S29="O3/CP",$S$14=A$18),VLOOKUP("O3",$R$63:$T$91,3,FALSE)+VLOOKUP("CP",$R$63:$T$91,3,FALSE),0)+IF(AND($T29&lt;&gt;"",$T29&lt;&gt;"--",$T29&lt;&gt;"O3/CP",$T$14=A$18),IF(LEFT($T29,1)="P",VLOOKUP(CONCATENATE(LEFT($T29,2),"H"),$R$63:$T$91,3,FALSE),VLOOKUP($T29,$R$63:$T$91,3,FALSE)))+IF(AND($T29&lt;&gt;"",$T29&lt;&gt;"O3/CP",$T$15=A$18,MID($T29,4,1)="2",$T$15&lt;&gt;$T$14),VLOOKUP(CONCATENATE(LEFT($T29,2),"L"),$R$63:$T$91,3,FALSE),0)+IF(AND($T29="O3/CP",$T$14=A$18),VLOOKUP("O3",$R$63:$T$91,3,FALSE)+VLOOKUP("CP",$R$63:$T$91,3,FALSE),0)+IF(AND($U29&lt;&gt;"",$U29&lt;&gt;"--",$U29&lt;&gt;"O3/CP",$U$14=A$18),IF(LEFT($U29,1)="P",VLOOKUP(CONCATENATE(LEFT($U29,2),"H"),$R$63:$T$91,3,FALSE),VLOOKUP($U29,$R$63:$T$91,3,FALSE)))+IF(AND($U29&lt;&gt;"",$U29&lt;&gt;"O3/CP",$U$15=A$18,MID($U29,4,1)="2",$U$15&lt;&gt;$U$14),VLOOKUP(CONCATENATE(LEFT($U29,2),"L"),$R$63:$T$91,3,FALSE),0)+IF(AND($U29="O3/CP",$T$14=A$18),VLOOKUP("O3",$R$63:$T$91,3,FALSE)+VLOOKUP("CP",$R$63:$T$91,3,FALSE),0)+IF(AND($V29&lt;&gt;"",$V29&lt;&gt;"--",$V29&lt;&gt;"O3/CP",$V$14=A$18),IF(LEFT($V29,1)="P",VLOOKUP(CONCATENATE(LEFT($V29,2),"H"),$R$63:$T$91,3,FALSE),VLOOKUP($V29,$R$63:$T$91,3,FALSE)))+IF(AND($V29&lt;&gt;"",$V29&lt;&gt;"O3/CP",$V$15=A$18,MID($V29,4,1)="2",$V$15&lt;&gt;$V$14),VLOOKUP(CONCATENATE(LEFT($V29,2),"L"),$R$63:$T$91,3,FALSE),0)+IF(AND($V29="O3/CP",$V$14=A$18),VLOOKUP("O3",$R$63:$T$91,3,FALSE)+VLOOKUP("CP",$R$63:$T$91,3,FALSE),0)+IF(AND($W29&lt;&gt;"",$W29&lt;&gt;"--",$W29&lt;&gt;"O3/CP",$W$14=A$18),IF(LEFT($W29,1)="P",VLOOKUP(CONCATENATE(LEFT($W29,2),"H"),$R$63:$T$91,3,FALSE),VLOOKUP($W29,$R$63:$T$91,3,FALSE)))+IF(AND($W29&lt;&gt;"",$W29&lt;&gt;"O3/CP",$W$15=A$18,MID($W29,4,1)="2",$W$15&lt;&gt;$W$14),VLOOKUP(CONCATENATE(LEFT($W29,2),"L"),$R$63:$T$91,3,FALSE),0)+IF(AND($W29="O3/CP",$W$14=A$18),VLOOKUP("O3",$R$63:$T$91,3,FALSE)+VLOOKUP("CP",$R$63:$T$91,3,FALSE),0)+IF(AND($X29&lt;&gt;"",$X29&lt;&gt;"--",$X29&lt;&gt;"O3/CP",$X$14=A$18),IF(LEFT($X29,1)="P",VLOOKUP(CONCATENATE(LEFT($X29,2),"H"),$R$63:$T$91,3,FALSE),VLOOKUP($X29,$R$63:$T$91,3,FALSE)))+IF(AND($X29&lt;&gt;"",$X29&lt;&gt;"O3/CP",$X$15=A$18,MID($X29,4,1)="2",$X$15&lt;&gt;$X$14),VLOOKUP(CONCATENATE(LEFT($X29,2),"L"),$R$63:$T$91,3,FALSE),0)+IF(AND($X29="O3/CP",$X$14=A$18),VLOOKUP("O3",$R$63:$T$91,3,FALSE)+VLOOKUP("CP",$R$63:$T$91,3,FALSE),0)+IF(AND($Y29&lt;&gt;"",$Y29&lt;&gt;"--",$Y29&lt;&gt;"O3/CP",$Y$14=A$18),IF(LEFT($Y29,1)="P",VLOOKUP(CONCATENATE(LEFT($Y29,2),"H"),$R$63:$T$91,3,FALSE),VLOOKUP($Y29,$R$63:$T$91,3,FALSE)))+IF(AND($Y29&lt;&gt;"",$Y29&lt;&gt;"O3/CP",$Y$15=A$18,MID($Y29,4,1)="2",$Y$15&lt;&gt;$Y$14),VLOOKUP(CONCATENATE(LEFT($Y29,2),"L"),$R$63:$T$91,3,FALSE),0)+IF(AND($Y29="O3/CP",$Y$14=A$18),VLOOKUP("O3",$R$63:$T$91,3,FALSE)+VLOOKUP("CP",$R$63:$T$91,3,FALSE),0)+IF(AND($K$6="CE",'[3]Supply Attribution'!$G$20=A$18),LEFT($S$90,2),0)+IF(AND($X$86&lt;&gt;"Not Set",$X$87=A$18),$X$86,0)</f>
        <v>0</v>
      </c>
      <c r="B29" s="271">
        <f>IF(AND($K29&lt;&gt;"",$K29&lt;&gt;"--",$K29&lt;&gt;"O3/CP",$K$14=B$18),IF(LEFT($K29,1)="P",VLOOKUP(CONCATENATE(LEFT($K29,2),"H"),$R$63:$T$91,3,FALSE),VLOOKUP($K29,$R$63:$T$91,3,FALSE)))+IF(AND($K29&lt;&gt;"",$K29&lt;&gt;"O3/CP",$K$15=B$18,MID($K29,4,1)="2",$K$15&lt;&gt;$K$14),VLOOKUP(CONCATENATE(LEFT($K29,2),"L"),$R$63:$T$91,3,FALSE),0)+IF(AND($K29="O3/CP",$K$14=B$18),VLOOKUP("O3",$R$63:$T$91,3,FALSE)+VLOOKUP("CP",$R$63:$T$91,3,FALSE),0)+IF(AND($L29&lt;&gt;"",$L29&lt;&gt;"--",$L29&lt;&gt;"O3/CP",$L$14=B$18),IF(LEFT($L29,1)="P",VLOOKUP(CONCATENATE(LEFT($L29,2),"H"),$R$63:$T$91,3,FALSE),VLOOKUP($L29,$R$63:$T$91,3,FALSE)))+IF(AND($L29&lt;&gt;"",$L29&lt;&gt;"O3/CP",$L$15=B$18,MID($L29,4,1)="2",$L$15&lt;&gt;$L$14),VLOOKUP(CONCATENATE(LEFT($L29,2),"L"),$R$63:$T$91,3,FALSE),0)+IF(AND($L29="O3/CP",$L$14=B$18),VLOOKUP("O3",$R$63:$T$91,3,FALSE)+VLOOKUP("CP",$R$63:$T$91,3,FALSE),0)+IF(AND($M29&lt;&gt;"",$M29&lt;&gt;"--",$M29&lt;&gt;"O3/CP",$M$14=B$18),IF(LEFT($M29,1)="P",VLOOKUP(CONCATENATE(LEFT($M29,2),"H"),$R$63:$T$91,3,FALSE),VLOOKUP($M29,$R$63:$T$91,3,FALSE)))+IF(AND($M29&lt;&gt;"",$M29&lt;&gt;"O3/CP",$M$15=B$18,MID($M29,4,1)="2",$M$15&lt;&gt;$M$14),VLOOKUP(CONCATENATE(LEFT($M29,2),"L"),$R$63:$T$91,3,FALSE),0)+IF(AND($M29="O3/CP",$M$14=B$18),VLOOKUP("O3",$R$63:$T$91,3,FALSE)+VLOOKUP("CP",$R$63:$T$91,3,FALSE),0)+IF(AND($N29&lt;&gt;"",$N29&lt;&gt;"--",$N29&lt;&gt;"O3/CP",$N$14=B$18),IF(LEFT($N29,1)="P",VLOOKUP(CONCATENATE(LEFT($N29,2),"H"),$R$63:$T$91,3,FALSE),VLOOKUP($N29,$R$63:$T$91,3,FALSE)))+IF(AND($N29&lt;&gt;"",$N29&lt;&gt;"O3/CP",$N$15=B$18,MID($N29,4,1)="2",$N$15&lt;&gt;$N$14),VLOOKUP(CONCATENATE(LEFT($N29,2),"L"),$R$63:$T$91,3,FALSE),0)+IF(AND($N29="O3/CP",$N$14=B$18),VLOOKUP("O3",$R$63:$T$91,3,FALSE)+VLOOKUP("CP",$R$63:$T$91,3,FALSE),0)+IF(AND($O29&lt;&gt;"",$O29&lt;&gt;"--",$O29&lt;&gt;"O3/CP",$O$14=B$18),IF(LEFT($O29,1)="P",VLOOKUP(CONCATENATE(LEFT($O29,2),"H"),$R$63:$T$91,3,FALSE),VLOOKUP($O29,$R$63:$T$91,3,FALSE)))+IF(AND($O29&lt;&gt;"",$O29&lt;&gt;"O3/CP",$O$15=B$18,MID($O29,4,1)="2",$O$15&lt;&gt;$O$14),VLOOKUP(CONCATENATE(LEFT($O29,2),"L"),$R$63:$T$91,3,FALSE),0)+IF(AND($O29="O3/CP",$O$14=B$18),VLOOKUP("O3",$R$63:$T$91,3,FALSE)+VLOOKUP("CP",$R$63:$T$91,3,FALSE),0)+IF(AND($P29&lt;&gt;"",$P29&lt;&gt;"--",$P29&lt;&gt;"O3/CP",$P$14=B$18),IF(LEFT($P29,1)="P",VLOOKUP(CONCATENATE(LEFT($P29,2),"H"),$R$63:$T$91,3,FALSE),VLOOKUP($P29,$R$63:$T$91,3,FALSE)))+IF(AND($P29&lt;&gt;"",$P29&lt;&gt;"O3/CP",$P$15=B$18,MID($P29,4,1)="2",$P$15&lt;&gt;$P$14),VLOOKUP(CONCATENATE(LEFT($P29,2),"L"),$R$63:$T$91,3,FALSE),0)+IF(AND($P29="O3/CP",$P$14=B$18),VLOOKUP("O3",$R$63:$T$91,3,FALSE)+VLOOKUP("CP",$R$63:$T$91,3,FALSE),0)+IF(AND($Q29&lt;&gt;"",$Q29&lt;&gt;"--",$Q29&lt;&gt;"O3/CP",$Q$14=B$18),IF(LEFT($Q29,1)="P",VLOOKUP(CONCATENATE(LEFT($Q29,2),"H"),$R$63:$T$91,3,FALSE),VLOOKUP($Q29,$R$63:$T$91,3,FALSE)))+IF(AND($Q29&lt;&gt;"",$Q29&lt;&gt;"O3/CP",$Q$15=B$18,MID($Q29,4,1)="2",$Q$15&lt;&gt;$Q$14),VLOOKUP(CONCATENATE(LEFT($Q29,2),"L"),$R$63:$T$91,3,FALSE),0)+IF(AND($Q29="O3/CP",$Q$14=B$18),VLOOKUP("O3",$R$63:$T$91,3,FALSE)+VLOOKUP("CP",$R$63:$T$91,3,FALSE),0)+IF(AND($R29&lt;&gt;"",$R29&lt;&gt;"--",$R29&lt;&gt;"O3/CP",$R$14=B$18),IF(LEFT($R29,1)="P",VLOOKUP(CONCATENATE(LEFT($R29,2),"H"),$R$63:$T$91,3,FALSE),VLOOKUP($R29,$R$63:$T$91,3,FALSE)))+IF(AND($R29&lt;&gt;"",$R29&lt;&gt;"O3/CP",$R$15=B$18,MID($R29,4,1)="2",$R$15&lt;&gt;$R$14),VLOOKUP(CONCATENATE(LEFT($R29,2),"L"),$R$63:$T$91,3,FALSE),0)+IF(AND($R29="O3/CP",$R$14=B$18),VLOOKUP("O3",$R$63:$T$91,3,FALSE)+VLOOKUP("CP",$R$63:$T$91,3,FALSE),0)+IF(AND($S29&lt;&gt;"",$S29&lt;&gt;"--",$S29&lt;&gt;"O3/CP",$S$14=B$18),IF(LEFT($S29,1)="P",VLOOKUP(CONCATENATE(LEFT($S29,2),"H"),$R$63:$T$91,3,FALSE),VLOOKUP($S29,$R$63:$T$91,3,FALSE)))+IF(AND($S29&lt;&gt;"",$S29&lt;&gt;"O3/CP",$S$15=B$18,MID($S29,4,1)="2",$S$15&lt;&gt;$S$14),VLOOKUP(CONCATENATE(LEFT($S29,2),"L"),$R$63:$T$91,3,FALSE),0)+IF(AND($S29="O3/CP",$S$14=B$18),VLOOKUP("O3",$R$63:$T$91,3,FALSE)+VLOOKUP("CP",$R$63:$T$91,3,FALSE),0)+IF(AND($T29&lt;&gt;"",$T29&lt;&gt;"--",$T29&lt;&gt;"O3/CP",$T$14=B$18),IF(LEFT($T29,1)="P",VLOOKUP(CONCATENATE(LEFT($T29,2),"H"),$R$63:$T$91,3,FALSE),VLOOKUP($T29,$R$63:$T$91,3,FALSE)))+IF(AND($T29&lt;&gt;"",$T29&lt;&gt;"O3/CP",$T$15=B$18,MID($T29,4,1)="2",$T$15&lt;&gt;$T$14),VLOOKUP(CONCATENATE(LEFT($T29,2),"L"),$R$63:$T$91,3,FALSE),0)+IF(AND($T29="O3/CP",$T$14=B$18),VLOOKUP("O3",$R$63:$T$91,3,FALSE)+VLOOKUP("CP",$R$63:$T$91,3,FALSE),0)+IF(AND($U29&lt;&gt;"",$U29&lt;&gt;"--",$U29&lt;&gt;"O3/CP",$U$14=B$18),IF(LEFT($U29,1)="P",VLOOKUP(CONCATENATE(LEFT($U29,2),"H"),$R$63:$T$91,3,FALSE),VLOOKUP($U29,$R$63:$T$91,3,FALSE)))+IF(AND($U29&lt;&gt;"",$U29&lt;&gt;"O3/CP",$U$15=B$18,MID($U29,4,1)="2",$U$15&lt;&gt;$U$14),VLOOKUP(CONCATENATE(LEFT($U29,2),"L"),$R$63:$T$91,3,FALSE),0)+IF(AND($U29="O3/CP",$T$14=B$18),VLOOKUP("O3",$R$63:$T$91,3,FALSE)+VLOOKUP("CP",$R$63:$T$91,3,FALSE),0)+IF(AND($V29&lt;&gt;"",$V29&lt;&gt;"--",$V29&lt;&gt;"O3/CP",$V$14=B$18),IF(LEFT($V29,1)="P",VLOOKUP(CONCATENATE(LEFT($V29,2),"H"),$R$63:$T$91,3,FALSE),VLOOKUP($V29,$R$63:$T$91,3,FALSE)))+IF(AND($V29&lt;&gt;"",$V29&lt;&gt;"O3/CP",$V$15=B$18,MID($V29,4,1)="2",$V$15&lt;&gt;$V$14),VLOOKUP(CONCATENATE(LEFT($V29,2),"L"),$R$63:$T$91,3,FALSE),0)+IF(AND($V29="O3/CP",$V$14=B$18),VLOOKUP("O3",$R$63:$T$91,3,FALSE)+VLOOKUP("CP",$R$63:$T$91,3,FALSE),0)+IF(AND($W29&lt;&gt;"",$W29&lt;&gt;"--",$W29&lt;&gt;"O3/CP",$W$14=B$18),IF(LEFT($W29,1)="P",VLOOKUP(CONCATENATE(LEFT($W29,2),"H"),$R$63:$T$91,3,FALSE),VLOOKUP($W29,$R$63:$T$91,3,FALSE)))+IF(AND($W29&lt;&gt;"",$W29&lt;&gt;"O3/CP",$W$15=B$18,MID($W29,4,1)="2",$W$15&lt;&gt;$W$14),VLOOKUP(CONCATENATE(LEFT($W29,2),"L"),$R$63:$T$91,3,FALSE),0)+IF(AND($W29="O3/CP",$W$14=B$18),VLOOKUP("O3",$R$63:$T$91,3,FALSE)+VLOOKUP("CP",$R$63:$T$91,3,FALSE),0)+IF(AND($X29&lt;&gt;"",$X29&lt;&gt;"--",$X29&lt;&gt;"O3/CP",$X$14=B$18),IF(LEFT($X29,1)="P",VLOOKUP(CONCATENATE(LEFT($X29,2),"H"),$R$63:$T$91,3,FALSE),VLOOKUP($X29,$R$63:$T$91,3,FALSE)))+IF(AND($X29&lt;&gt;"",$X29&lt;&gt;"O3/CP",$X$15=B$18,MID($X29,4,1)="2",$X$15&lt;&gt;$X$14),VLOOKUP(CONCATENATE(LEFT($X29,2),"L"),$R$63:$T$91,3,FALSE),0)+IF(AND($X29="O3/CP",$X$14=B$18),VLOOKUP("O3",$R$63:$T$91,3,FALSE)+VLOOKUP("CP",$R$63:$T$91,3,FALSE),0)+IF(AND($Y29&lt;&gt;"",$Y29&lt;&gt;"--",$Y29&lt;&gt;"O3/CP",$Y$14=B$18),IF(LEFT($Y29,1)="P",VLOOKUP(CONCATENATE(LEFT($Y29,2),"H"),$R$63:$T$91,3,FALSE),VLOOKUP($Y29,$R$63:$T$91,3,FALSE)))+IF(AND($Y29&lt;&gt;"",$Y29&lt;&gt;"O3/CP",$Y$15=B$18,MID($Y29,4,1)="2",$Y$15&lt;&gt;$Y$14),VLOOKUP(CONCATENATE(LEFT($Y29,2),"L"),$R$63:$T$91,3,FALSE),0)+IF(AND($Y29="O3/CP",$Y$14=B$18),VLOOKUP("O3",$R$63:$T$91,3,FALSE)+VLOOKUP("CP",$R$63:$T$91,3,FALSE),0)+IF(AND($K$6="CE",'[3]Supply Attribution'!$G$20=B$18),LEFT($S$90,2),0)+IF(AND($X$86&lt;&gt;"Not Set",$X$87=B$18),$X$86,0)</f>
        <v>0</v>
      </c>
      <c r="C29" s="271">
        <f>IF(AND($K29&lt;&gt;"",$K29&lt;&gt;"--",$K29&lt;&gt;"O3/CP",$K$14=C$18),IF(LEFT($K29,1)="P",VLOOKUP(CONCATENATE(LEFT($K29,2),"H"),$R$63:$T$91,3,FALSE),VLOOKUP($K29,$R$63:$T$91,3,FALSE)))+IF(AND($K29&lt;&gt;"",$K29&lt;&gt;"O3/CP",$K$15=C$18,MID($K29,4,1)="2",$K$15&lt;&gt;$K$14),VLOOKUP(CONCATENATE(LEFT($K29,2),"L"),$R$63:$T$91,3,FALSE),0)+IF(AND($K29="O3/CP",$K$14=C$18),VLOOKUP("O3",$R$63:$T$91,3,FALSE)+VLOOKUP("CP",$R$63:$T$91,3,FALSE),0)+IF(AND($L29&lt;&gt;"",$L29&lt;&gt;"--",$L29&lt;&gt;"O3/CP",$L$14=C$18),IF(LEFT($L29,1)="P",VLOOKUP(CONCATENATE(LEFT($L29,2),"H"),$R$63:$T$91,3,FALSE),VLOOKUP($L29,$R$63:$T$91,3,FALSE)))+IF(AND($L29&lt;&gt;"",$L29&lt;&gt;"O3/CP",$L$15=C$18,MID($L29,4,1)="2",$L$15&lt;&gt;$L$14),VLOOKUP(CONCATENATE(LEFT($L29,2),"L"),$R$63:$T$91,3,FALSE),0)+IF(AND($L29="O3/CP",$L$14=C$18),VLOOKUP("O3",$R$63:$T$91,3,FALSE)+VLOOKUP("CP",$R$63:$T$91,3,FALSE),0)+IF(AND($M29&lt;&gt;"",$M29&lt;&gt;"--",$M29&lt;&gt;"O3/CP",$M$14=C$18),IF(LEFT($M29,1)="P",VLOOKUP(CONCATENATE(LEFT($M29,2),"H"),$R$63:$T$91,3,FALSE),VLOOKUP($M29,$R$63:$T$91,3,FALSE)))+IF(AND($M29&lt;&gt;"",$M29&lt;&gt;"O3/CP",$M$15=C$18,MID($M29,4,1)="2",$M$15&lt;&gt;$M$14),VLOOKUP(CONCATENATE(LEFT($M29,2),"L"),$R$63:$T$91,3,FALSE),0)+IF(AND($M29="O3/CP",$M$14=C$18),VLOOKUP("O3",$R$63:$T$91,3,FALSE)+VLOOKUP("CP",$R$63:$T$91,3,FALSE),0)+IF(AND($N29&lt;&gt;"",$N29&lt;&gt;"--",$N29&lt;&gt;"O3/CP",$N$14=C$18),IF(LEFT($N29,1)="P",VLOOKUP(CONCATENATE(LEFT($N29,2),"H"),$R$63:$T$91,3,FALSE),VLOOKUP($N29,$R$63:$T$91,3,FALSE)))+IF(AND($N29&lt;&gt;"",$N29&lt;&gt;"O3/CP",$N$15=C$18,MID($N29,4,1)="2",$N$15&lt;&gt;$N$14),VLOOKUP(CONCATENATE(LEFT($N29,2),"L"),$R$63:$T$91,3,FALSE),0)+IF(AND($N29="O3/CP",$N$14=C$18),VLOOKUP("O3",$R$63:$T$91,3,FALSE)+VLOOKUP("CP",$R$63:$T$91,3,FALSE),0)+IF(AND($O29&lt;&gt;"",$O29&lt;&gt;"--",$O29&lt;&gt;"O3/CP",$O$14=C$18),IF(LEFT($O29,1)="P",VLOOKUP(CONCATENATE(LEFT($O29,2),"H"),$R$63:$T$91,3,FALSE),VLOOKUP($O29,$R$63:$T$91,3,FALSE)))+IF(AND($O29&lt;&gt;"",$O29&lt;&gt;"O3/CP",$O$15=C$18,MID($O29,4,1)="2",$O$15&lt;&gt;$O$14),VLOOKUP(CONCATENATE(LEFT($O29,2),"L"),$R$63:$T$91,3,FALSE),0)+IF(AND($O29="O3/CP",$O$14=C$18),VLOOKUP("O3",$R$63:$T$91,3,FALSE)+VLOOKUP("CP",$R$63:$T$91,3,FALSE),0)+IF(AND($P29&lt;&gt;"",$P29&lt;&gt;"--",$P29&lt;&gt;"O3/CP",$P$14=C$18),IF(LEFT($P29,1)="P",VLOOKUP(CONCATENATE(LEFT($P29,2),"H"),$R$63:$T$91,3,FALSE),VLOOKUP($P29,$R$63:$T$91,3,FALSE)))+IF(AND($P29&lt;&gt;"",$P29&lt;&gt;"O3/CP",$P$15=C$18,MID($P29,4,1)="2",$P$15&lt;&gt;$P$14),VLOOKUP(CONCATENATE(LEFT($P29,2),"L"),$R$63:$T$91,3,FALSE),0)+IF(AND($P29="O3/CP",$P$14=C$18),VLOOKUP("O3",$R$63:$T$91,3,FALSE)+VLOOKUP("CP",$R$63:$T$91,3,FALSE),0)+IF(AND($Q29&lt;&gt;"",$Q29&lt;&gt;"--",$Q29&lt;&gt;"O3/CP",$Q$14=C$18),IF(LEFT($Q29,1)="P",VLOOKUP(CONCATENATE(LEFT($Q29,2),"H"),$R$63:$T$91,3,FALSE),VLOOKUP($Q29,$R$63:$T$91,3,FALSE)))+IF(AND($Q29&lt;&gt;"",$Q29&lt;&gt;"O3/CP",$Q$15=C$18,MID($Q29,4,1)="2",$Q$15&lt;&gt;$Q$14),VLOOKUP(CONCATENATE(LEFT($Q29,2),"L"),$R$63:$T$91,3,FALSE),0)+IF(AND($Q29="O3/CP",$Q$14=C$18),VLOOKUP("O3",$R$63:$T$91,3,FALSE)+VLOOKUP("CP",$R$63:$T$91,3,FALSE),0)+IF(AND($R29&lt;&gt;"",$R29&lt;&gt;"--",$R29&lt;&gt;"O3/CP",$R$14=C$18),IF(LEFT($R29,1)="P",VLOOKUP(CONCATENATE(LEFT($R29,2),"H"),$R$63:$T$91,3,FALSE),VLOOKUP($R29,$R$63:$T$91,3,FALSE)))+IF(AND($R29&lt;&gt;"",$R29&lt;&gt;"O3/CP",$R$15=C$18,MID($R29,4,1)="2",$R$15&lt;&gt;$R$14),VLOOKUP(CONCATENATE(LEFT($R29,2),"L"),$R$63:$T$91,3,FALSE),0)+IF(AND($R29="O3/CP",$R$14=C$18),VLOOKUP("O3",$R$63:$T$91,3,FALSE)+VLOOKUP("CP",$R$63:$T$91,3,FALSE),0)+IF(AND($S29&lt;&gt;"",$S29&lt;&gt;"--",$S29&lt;&gt;"O3/CP",$S$14=C$18),IF(LEFT($S29,1)="P",VLOOKUP(CONCATENATE(LEFT($S29,2),"H"),$R$63:$T$91,3,FALSE),VLOOKUP($S29,$R$63:$T$91,3,FALSE)))+IF(AND($S29&lt;&gt;"",$S29&lt;&gt;"O3/CP",$S$15=C$18,MID($S29,4,1)="2",$S$15&lt;&gt;$S$14),VLOOKUP(CONCATENATE(LEFT($S29,2),"L"),$R$63:$T$91,3,FALSE),0)+IF(AND($S29="O3/CP",$S$14=C$18),VLOOKUP("O3",$R$63:$T$91,3,FALSE)+VLOOKUP("CP",$R$63:$T$91,3,FALSE),0)+IF(AND($T29&lt;&gt;"",$T29&lt;&gt;"--",$T29&lt;&gt;"O3/CP",$T$14=C$18),IF(LEFT($T29,1)="P",VLOOKUP(CONCATENATE(LEFT($T29,2),"H"),$R$63:$T$91,3,FALSE),VLOOKUP($T29,$R$63:$T$91,3,FALSE)))+IF(AND($T29&lt;&gt;"",$T29&lt;&gt;"O3/CP",$T$15=C$18,MID($T29,4,1)="2",$T$15&lt;&gt;$T$14),VLOOKUP(CONCATENATE(LEFT($T29,2),"L"),$R$63:$T$91,3,FALSE),0)+IF(AND($T29="O3/CP",$T$14=C$18),VLOOKUP("O3",$R$63:$T$91,3,FALSE)+VLOOKUP("CP",$R$63:$T$91,3,FALSE),0)+IF(AND($U29&lt;&gt;"",$U29&lt;&gt;"--",$U29&lt;&gt;"O3/CP",$U$14=C$18),IF(LEFT($U29,1)="P",VLOOKUP(CONCATENATE(LEFT($U29,2),"H"),$R$63:$T$91,3,FALSE),VLOOKUP($U29,$R$63:$T$91,3,FALSE)))+IF(AND($U29&lt;&gt;"",$U29&lt;&gt;"O3/CP",$U$15=C$18,MID($U29,4,1)="2",$U$15&lt;&gt;$U$14),VLOOKUP(CONCATENATE(LEFT($U29,2),"L"),$R$63:$T$91,3,FALSE),0)+IF(AND($U29="O3/CP",$T$14=C$18),VLOOKUP("O3",$R$63:$T$91,3,FALSE)+VLOOKUP("CP",$R$63:$T$91,3,FALSE),0)+IF(AND($V29&lt;&gt;"",$V29&lt;&gt;"--",$V29&lt;&gt;"O3/CP",$V$14=C$18),IF(LEFT($V29,1)="P",VLOOKUP(CONCATENATE(LEFT($V29,2),"H"),$R$63:$T$91,3,FALSE),VLOOKUP($V29,$R$63:$T$91,3,FALSE)))+IF(AND($V29&lt;&gt;"",$V29&lt;&gt;"O3/CP",$V$15=C$18,MID($V29,4,1)="2",$V$15&lt;&gt;$V$14),VLOOKUP(CONCATENATE(LEFT($V29,2),"L"),$R$63:$T$91,3,FALSE),0)+IF(AND($V29="O3/CP",$V$14=C$18),VLOOKUP("O3",$R$63:$T$91,3,FALSE)+VLOOKUP("CP",$R$63:$T$91,3,FALSE),0)+IF(AND($W29&lt;&gt;"",$W29&lt;&gt;"--",$W29&lt;&gt;"O3/CP",$W$14=C$18),IF(LEFT($W29,1)="P",VLOOKUP(CONCATENATE(LEFT($W29,2),"H"),$R$63:$T$91,3,FALSE),VLOOKUP($W29,$R$63:$T$91,3,FALSE)))+IF(AND($W29&lt;&gt;"",$W29&lt;&gt;"O3/CP",$W$15=C$18,MID($W29,4,1)="2",$W$15&lt;&gt;$W$14),VLOOKUP(CONCATENATE(LEFT($W29,2),"L"),$R$63:$T$91,3,FALSE),0)+IF(AND($W29="O3/CP",$W$14=C$18),VLOOKUP("O3",$R$63:$T$91,3,FALSE)+VLOOKUP("CP",$R$63:$T$91,3,FALSE),0)+IF(AND($X29&lt;&gt;"",$X29&lt;&gt;"--",$X29&lt;&gt;"O3/CP",$X$14=C$18),IF(LEFT($X29,1)="P",VLOOKUP(CONCATENATE(LEFT($X29,2),"H"),$R$63:$T$91,3,FALSE),VLOOKUP($X29,$R$63:$T$91,3,FALSE)))+IF(AND($X29&lt;&gt;"",$X29&lt;&gt;"O3/CP",$X$15=C$18,MID($X29,4,1)="2",$X$15&lt;&gt;$X$14),VLOOKUP(CONCATENATE(LEFT($X29,2),"L"),$R$63:$T$91,3,FALSE),0)+IF(AND($X29="O3/CP",$X$14=C$18),VLOOKUP("O3",$R$63:$T$91,3,FALSE)+VLOOKUP("CP",$R$63:$T$91,3,FALSE),0)+IF(AND($Y29&lt;&gt;"",$Y29&lt;&gt;"--",$Y29&lt;&gt;"O3/CP",$Y$14=C$18),IF(LEFT($Y29,1)="P",VLOOKUP(CONCATENATE(LEFT($Y29,2),"H"),$R$63:$T$91,3,FALSE),VLOOKUP($Y29,$R$63:$T$91,3,FALSE)))+IF(AND($Y29&lt;&gt;"",$Y29&lt;&gt;"O3/CP",$Y$15=C$18,MID($Y29,4,1)="2",$Y$15&lt;&gt;$Y$14),VLOOKUP(CONCATENATE(LEFT($Y29,2),"L"),$R$63:$T$91,3,FALSE),0)+IF(AND($Y29="O3/CP",$Y$14=C$18),VLOOKUP("O3",$R$63:$T$91,3,FALSE)+VLOOKUP("CP",$R$63:$T$91,3,FALSE),0)+IF(AND($K$6="CE",'[3]Supply Attribution'!$G$20=C$18),LEFT($S$90,2),0)+IF(AND($X$86&lt;&gt;"Not Set",$X$87=C$18),$X$86,0)</f>
        <v>0</v>
      </c>
      <c r="D29" s="271">
        <f>IF(AND($K29&lt;&gt;"",$K29&lt;&gt;"--",$K29&lt;&gt;"O3/CP",$K$14=D$18),IF(LEFT($K29,1)="P",VLOOKUP(CONCATENATE(LEFT($K29,2),"H"),$R$63:$T$91,3,FALSE),VLOOKUP($K29,$R$63:$T$91,3,FALSE)))+IF(AND($K29&lt;&gt;"",$K29&lt;&gt;"O3/CP",$K$15=D$18,MID($K29,4,1)="2",$K$15&lt;&gt;$K$14),VLOOKUP(CONCATENATE(LEFT($K29,2),"L"),$R$63:$T$91,3,FALSE),0)+IF(AND($K29="O3/CP",$K$14=D$18),VLOOKUP("O3",$R$63:$T$91,3,FALSE)+VLOOKUP("CP",$R$63:$T$91,3,FALSE),0)+IF(AND($L29&lt;&gt;"",$L29&lt;&gt;"--",$L29&lt;&gt;"O3/CP",$L$14=D$18),IF(LEFT($L29,1)="P",VLOOKUP(CONCATENATE(LEFT($L29,2),"H"),$R$63:$T$91,3,FALSE),VLOOKUP($L29,$R$63:$T$91,3,FALSE)))+IF(AND($L29&lt;&gt;"",$L29&lt;&gt;"O3/CP",$L$15=D$18,MID($L29,4,1)="2",$L$15&lt;&gt;$L$14),VLOOKUP(CONCATENATE(LEFT($L29,2),"L"),$R$63:$T$91,3,FALSE),0)+IF(AND($L29="O3/CP",$L$14=D$18),VLOOKUP("O3",$R$63:$T$91,3,FALSE)+VLOOKUP("CP",$R$63:$T$91,3,FALSE),0)+IF(AND($M29&lt;&gt;"",$M29&lt;&gt;"--",$M29&lt;&gt;"O3/CP",$M$14=D$18),IF(LEFT($M29,1)="P",VLOOKUP(CONCATENATE(LEFT($M29,2),"H"),$R$63:$T$91,3,FALSE),VLOOKUP($M29,$R$63:$T$91,3,FALSE)))+IF(AND($M29&lt;&gt;"",$M29&lt;&gt;"O3/CP",$M$15=D$18,MID($M29,4,1)="2",$M$15&lt;&gt;$M$14),VLOOKUP(CONCATENATE(LEFT($M29,2),"L"),$R$63:$T$91,3,FALSE),0)+IF(AND($M29="O3/CP",$M$14=D$18),VLOOKUP("O3",$R$63:$T$91,3,FALSE)+VLOOKUP("CP",$R$63:$T$91,3,FALSE),0)+IF(AND($N29&lt;&gt;"",$N29&lt;&gt;"--",$N29&lt;&gt;"O3/CP",$N$14=D$18),IF(LEFT($N29,1)="P",VLOOKUP(CONCATENATE(LEFT($N29,2),"H"),$R$63:$T$91,3,FALSE),VLOOKUP($N29,$R$63:$T$91,3,FALSE)))+IF(AND($N29&lt;&gt;"",$N29&lt;&gt;"O3/CP",$N$15=D$18,MID($N29,4,1)="2",$N$15&lt;&gt;$N$14),VLOOKUP(CONCATENATE(LEFT($N29,2),"L"),$R$63:$T$91,3,FALSE),0)+IF(AND($N29="O3/CP",$N$14=D$18),VLOOKUP("O3",$R$63:$T$91,3,FALSE)+VLOOKUP("CP",$R$63:$T$91,3,FALSE),0)+IF(AND($O29&lt;&gt;"",$O29&lt;&gt;"--",$O29&lt;&gt;"O3/CP",$O$14=D$18),IF(LEFT($O29,1)="P",VLOOKUP(CONCATENATE(LEFT($O29,2),"H"),$R$63:$T$91,3,FALSE),VLOOKUP($O29,$R$63:$T$91,3,FALSE)))+IF(AND($O29&lt;&gt;"",$O29&lt;&gt;"O3/CP",$O$15=D$18,MID($O29,4,1)="2",$O$15&lt;&gt;$O$14),VLOOKUP(CONCATENATE(LEFT($O29,2),"L"),$R$63:$T$91,3,FALSE),0)+IF(AND($O29="O3/CP",$O$14=D$18),VLOOKUP("O3",$R$63:$T$91,3,FALSE)+VLOOKUP("CP",$R$63:$T$91,3,FALSE),0)+IF(AND($P29&lt;&gt;"",$P29&lt;&gt;"--",$P29&lt;&gt;"O3/CP",$P$14=D$18),IF(LEFT($P29,1)="P",VLOOKUP(CONCATENATE(LEFT($P29,2),"H"),$R$63:$T$91,3,FALSE),VLOOKUP($P29,$R$63:$T$91,3,FALSE)))+IF(AND($P29&lt;&gt;"",$P29&lt;&gt;"O3/CP",$P$15=D$18,MID($P29,4,1)="2",$P$15&lt;&gt;$P$14),VLOOKUP(CONCATENATE(LEFT($P29,2),"L"),$R$63:$T$91,3,FALSE),0)+IF(AND($P29="O3/CP",$P$14=D$18),VLOOKUP("O3",$R$63:$T$91,3,FALSE)+VLOOKUP("CP",$R$63:$T$91,3,FALSE),0)+IF(AND($Q29&lt;&gt;"",$Q29&lt;&gt;"--",$Q29&lt;&gt;"O3/CP",$Q$14=D$18),IF(LEFT($Q29,1)="P",VLOOKUP(CONCATENATE(LEFT($Q29,2),"H"),$R$63:$T$91,3,FALSE),VLOOKUP($Q29,$R$63:$T$91,3,FALSE)))+IF(AND($Q29&lt;&gt;"",$Q29&lt;&gt;"O3/CP",$Q$15=D$18,MID($Q29,4,1)="2",$Q$15&lt;&gt;$Q$14),VLOOKUP(CONCATENATE(LEFT($Q29,2),"L"),$R$63:$T$91,3,FALSE),0)+IF(AND($Q29="O3/CP",$Q$14=D$18),VLOOKUP("O3",$R$63:$T$91,3,FALSE)+VLOOKUP("CP",$R$63:$T$91,3,FALSE),0)+IF(AND($R29&lt;&gt;"",$R29&lt;&gt;"--",$R29&lt;&gt;"O3/CP",$R$14=D$18),IF(LEFT($R29,1)="P",VLOOKUP(CONCATENATE(LEFT($R29,2),"H"),$R$63:$T$91,3,FALSE),VLOOKUP($R29,$R$63:$T$91,3,FALSE)))+IF(AND($R29&lt;&gt;"",$R29&lt;&gt;"O3/CP",$R$15=D$18,MID($R29,4,1)="2",$R$15&lt;&gt;$R$14),VLOOKUP(CONCATENATE(LEFT($R29,2),"L"),$R$63:$T$91,3,FALSE),0)+IF(AND($R29="O3/CP",$R$14=D$18),VLOOKUP("O3",$R$63:$T$91,3,FALSE)+VLOOKUP("CP",$R$63:$T$91,3,FALSE),0)+IF(AND($S29&lt;&gt;"",$S29&lt;&gt;"--",$S29&lt;&gt;"O3/CP",$S$14=D$18),IF(LEFT($S29,1)="P",VLOOKUP(CONCATENATE(LEFT($S29,2),"H"),$R$63:$T$91,3,FALSE),VLOOKUP($S29,$R$63:$T$91,3,FALSE)))+IF(AND($S29&lt;&gt;"",$S29&lt;&gt;"O3/CP",$S$15=D$18,MID($S29,4,1)="2",$S$15&lt;&gt;$S$14),VLOOKUP(CONCATENATE(LEFT($S29,2),"L"),$R$63:$T$91,3,FALSE),0)+IF(AND($S29="O3/CP",$S$14=D$18),VLOOKUP("O3",$R$63:$T$91,3,FALSE)+VLOOKUP("CP",$R$63:$T$91,3,FALSE),0)+IF(AND($T29&lt;&gt;"",$T29&lt;&gt;"--",$T29&lt;&gt;"O3/CP",$T$14=D$18),IF(LEFT($T29,1)="P",VLOOKUP(CONCATENATE(LEFT($T29,2),"H"),$R$63:$T$91,3,FALSE),VLOOKUP($T29,$R$63:$T$91,3,FALSE)))+IF(AND($T29&lt;&gt;"",$T29&lt;&gt;"O3/CP",$T$15=D$18,MID($T29,4,1)="2",$T$15&lt;&gt;$T$14),VLOOKUP(CONCATENATE(LEFT($T29,2),"L"),$R$63:$T$91,3,FALSE),0)+IF(AND($T29="O3/CP",$T$14=D$18),VLOOKUP("O3",$R$63:$T$91,3,FALSE)+VLOOKUP("CP",$R$63:$T$91,3,FALSE),0)+IF(AND($U29&lt;&gt;"",$U29&lt;&gt;"--",$U29&lt;&gt;"O3/CP",$U$14=D$18),IF(LEFT($U29,1)="P",VLOOKUP(CONCATENATE(LEFT($U29,2),"H"),$R$63:$T$91,3,FALSE),VLOOKUP($U29,$R$63:$T$91,3,FALSE)))+IF(AND($U29&lt;&gt;"",$U29&lt;&gt;"O3/CP",$U$15=D$18,MID($U29,4,1)="2",$U$15&lt;&gt;$U$14),VLOOKUP(CONCATENATE(LEFT($U29,2),"L"),$R$63:$T$91,3,FALSE),0)+IF(AND($U29="O3/CP",$T$14=D$18),VLOOKUP("O3",$R$63:$T$91,3,FALSE)+VLOOKUP("CP",$R$63:$T$91,3,FALSE),0)+IF(AND($V29&lt;&gt;"",$V29&lt;&gt;"--",$V29&lt;&gt;"O3/CP",$V$14=D$18),IF(LEFT($V29,1)="P",VLOOKUP(CONCATENATE(LEFT($V29,2),"H"),$R$63:$T$91,3,FALSE),VLOOKUP($V29,$R$63:$T$91,3,FALSE)))+IF(AND($V29&lt;&gt;"",$V29&lt;&gt;"O3/CP",$V$15=D$18,MID($V29,4,1)="2",$V$15&lt;&gt;$V$14),VLOOKUP(CONCATENATE(LEFT($V29,2),"L"),$R$63:$T$91,3,FALSE),0)+IF(AND($V29="O3/CP",$V$14=D$18),VLOOKUP("O3",$R$63:$T$91,3,FALSE)+VLOOKUP("CP",$R$63:$T$91,3,FALSE),0)+IF(AND($W29&lt;&gt;"",$W29&lt;&gt;"--",$W29&lt;&gt;"O3/CP",$W$14=D$18),IF(LEFT($W29,1)="P",VLOOKUP(CONCATENATE(LEFT($W29,2),"H"),$R$63:$T$91,3,FALSE),VLOOKUP($W29,$R$63:$T$91,3,FALSE)))+IF(AND($W29&lt;&gt;"",$W29&lt;&gt;"O3/CP",$W$15=D$18,MID($W29,4,1)="2",$W$15&lt;&gt;$W$14),VLOOKUP(CONCATENATE(LEFT($W29,2),"L"),$R$63:$T$91,3,FALSE),0)+IF(AND($W29="O3/CP",$W$14=D$18),VLOOKUP("O3",$R$63:$T$91,3,FALSE)+VLOOKUP("CP",$R$63:$T$91,3,FALSE),0)+IF(AND($X29&lt;&gt;"",$X29&lt;&gt;"--",$X29&lt;&gt;"O3/CP",$X$14=D$18),IF(LEFT($X29,1)="P",VLOOKUP(CONCATENATE(LEFT($X29,2),"H"),$R$63:$T$91,3,FALSE),VLOOKUP($X29,$R$63:$T$91,3,FALSE)))+IF(AND($X29&lt;&gt;"",$X29&lt;&gt;"O3/CP",$X$15=D$18,MID($X29,4,1)="2",$X$15&lt;&gt;$X$14),VLOOKUP(CONCATENATE(LEFT($X29,2),"L"),$R$63:$T$91,3,FALSE),0)+IF(AND($X29="O3/CP",$X$14=D$18),VLOOKUP("O3",$R$63:$T$91,3,FALSE)+VLOOKUP("CP",$R$63:$T$91,3,FALSE),0)+IF(AND($Y29&lt;&gt;"",$Y29&lt;&gt;"--",$Y29&lt;&gt;"O3/CP",$Y$14=D$18),IF(LEFT($Y29,1)="P",VLOOKUP(CONCATENATE(LEFT($Y29,2),"H"),$R$63:$T$91,3,FALSE),VLOOKUP($Y29,$R$63:$T$91,3,FALSE)))+IF(AND($Y29&lt;&gt;"",$Y29&lt;&gt;"O3/CP",$Y$15=D$18,MID($Y29,4,1)="2",$Y$15&lt;&gt;$Y$14),VLOOKUP(CONCATENATE(LEFT($Y29,2),"L"),$R$63:$T$91,3,FALSE),0)+IF(AND($Y29="O3/CP",$Y$14=D$18),VLOOKUP("O3",$R$63:$T$91,3,FALSE)+VLOOKUP("CP",$R$63:$T$91,3,FALSE),0)+IF(AND($K$6="CE",'[3]Supply Attribution'!$G$20=D$18),LEFT($S$90,2),0)+IF(AND($X$86&lt;&gt;"Not Set",$X$87=D$18),$X$86,0)</f>
        <v>0</v>
      </c>
      <c r="E29" s="271">
        <f>IF(AND($K29&lt;&gt;"",$K29&lt;&gt;"--",$K29&lt;&gt;"O3/CP",$K$14=E$18),IF(LEFT($K29,1)="P",VLOOKUP(CONCATENATE(LEFT($K29,2),"H"),$R$63:$T$91,3,FALSE),VLOOKUP($K29,$R$63:$T$91,3,FALSE)))+IF(AND($K29&lt;&gt;"",$K29&lt;&gt;"O3/CP",$K$15=E$18,MID($K29,4,1)="2",$K$15&lt;&gt;$K$14),VLOOKUP(CONCATENATE(LEFT($K29,2),"L"),$R$63:$T$91,3,FALSE),0)+IF(AND($K29="O3/CP",$K$14=E$18),VLOOKUP("O3",$R$63:$T$91,3,FALSE)+VLOOKUP("CP",$R$63:$T$91,3,FALSE),0)+IF(AND($L29&lt;&gt;"",$L29&lt;&gt;"--",$L29&lt;&gt;"O3/CP",$L$14=E$18),IF(LEFT($L29,1)="P",VLOOKUP(CONCATENATE(LEFT($L29,2),"H"),$R$63:$T$91,3,FALSE),VLOOKUP($L29,$R$63:$T$91,3,FALSE)))+IF(AND($L29&lt;&gt;"",$L29&lt;&gt;"O3/CP",$L$15=E$18,MID($L29,4,1)="2",$L$15&lt;&gt;$L$14),VLOOKUP(CONCATENATE(LEFT($L29,2),"L"),$R$63:$T$91,3,FALSE),0)+IF(AND($L29="O3/CP",$L$14=E$18),VLOOKUP("O3",$R$63:$T$91,3,FALSE)+VLOOKUP("CP",$R$63:$T$91,3,FALSE),0)+IF(AND($M29&lt;&gt;"",$M29&lt;&gt;"--",$M29&lt;&gt;"O3/CP",$M$14=E$18),IF(LEFT($M29,1)="P",VLOOKUP(CONCATENATE(LEFT($M29,2),"H"),$R$63:$T$91,3,FALSE),VLOOKUP($M29,$R$63:$T$91,3,FALSE)))+IF(AND($M29&lt;&gt;"",$M29&lt;&gt;"O3/CP",$M$15=E$18,MID($M29,4,1)="2",$M$15&lt;&gt;$M$14),VLOOKUP(CONCATENATE(LEFT($M29,2),"L"),$R$63:$T$91,3,FALSE),0)+IF(AND($M29="O3/CP",$M$14=E$18),VLOOKUP("O3",$R$63:$T$91,3,FALSE)+VLOOKUP("CP",$R$63:$T$91,3,FALSE),0)+IF(AND($N29&lt;&gt;"",$N29&lt;&gt;"--",$N29&lt;&gt;"O3/CP",$N$14=E$18),IF(LEFT($N29,1)="P",VLOOKUP(CONCATENATE(LEFT($N29,2),"H"),$R$63:$T$91,3,FALSE),VLOOKUP($N29,$R$63:$T$91,3,FALSE)))+IF(AND($N29&lt;&gt;"",$N29&lt;&gt;"O3/CP",$N$15=E$18,MID($N29,4,1)="2",$N$15&lt;&gt;$N$14),VLOOKUP(CONCATENATE(LEFT($N29,2),"L"),$R$63:$T$91,3,FALSE),0)+IF(AND($N29="O3/CP",$N$14=E$18),VLOOKUP("O3",$R$63:$T$91,3,FALSE)+VLOOKUP("CP",$R$63:$T$91,3,FALSE),0)+IF(AND($O29&lt;&gt;"",$O29&lt;&gt;"--",$O29&lt;&gt;"O3/CP",$O$14=E$18),IF(LEFT($O29,1)="P",VLOOKUP(CONCATENATE(LEFT($O29,2),"H"),$R$63:$T$91,3,FALSE),VLOOKUP($O29,$R$63:$T$91,3,FALSE)))+IF(AND($O29&lt;&gt;"",$O29&lt;&gt;"O3/CP",$O$15=E$18,MID($O29,4,1)="2",$O$15&lt;&gt;$O$14),VLOOKUP(CONCATENATE(LEFT($O29,2),"L"),$R$63:$T$91,3,FALSE),0)+IF(AND($O29="O3/CP",$O$14=E$18),VLOOKUP("O3",$R$63:$T$91,3,FALSE)+VLOOKUP("CP",$R$63:$T$91,3,FALSE),0)+IF(AND($P29&lt;&gt;"",$P29&lt;&gt;"--",$P29&lt;&gt;"O3/CP",$P$14=E$18),IF(LEFT($P29,1)="P",VLOOKUP(CONCATENATE(LEFT($P29,2),"H"),$R$63:$T$91,3,FALSE),VLOOKUP($P29,$R$63:$T$91,3,FALSE)))+IF(AND($P29&lt;&gt;"",$P29&lt;&gt;"O3/CP",$P$15=E$18,MID($P29,4,1)="2",$P$15&lt;&gt;$P$14),VLOOKUP(CONCATENATE(LEFT($P29,2),"L"),$R$63:$T$91,3,FALSE),0)+IF(AND($P29="O3/CP",$P$14=E$18),VLOOKUP("O3",$R$63:$T$91,3,FALSE)+VLOOKUP("CP",$R$63:$T$91,3,FALSE),0)+IF(AND($Q29&lt;&gt;"",$Q29&lt;&gt;"--",$Q29&lt;&gt;"O3/CP",$Q$14=E$18),IF(LEFT($Q29,1)="P",VLOOKUP(CONCATENATE(LEFT($Q29,2),"H"),$R$63:$T$91,3,FALSE),VLOOKUP($Q29,$R$63:$T$91,3,FALSE)))+IF(AND($Q29&lt;&gt;"",$Q29&lt;&gt;"O3/CP",$Q$15=E$18,MID($Q29,4,1)="2",$Q$15&lt;&gt;$Q$14),VLOOKUP(CONCATENATE(LEFT($Q29,2),"L"),$R$63:$T$91,3,FALSE),0)+IF(AND($Q29="O3/CP",$Q$14=E$18),VLOOKUP("O3",$R$63:$T$91,3,FALSE)+VLOOKUP("CP",$R$63:$T$91,3,FALSE),0)+IF(AND($R29&lt;&gt;"",$R29&lt;&gt;"--",$R29&lt;&gt;"O3/CP",$R$14=E$18),IF(LEFT($R29,1)="P",VLOOKUP(CONCATENATE(LEFT($R29,2),"H"),$R$63:$T$91,3,FALSE),VLOOKUP($R29,$R$63:$T$91,3,FALSE)))+IF(AND($R29&lt;&gt;"",$R29&lt;&gt;"O3/CP",$R$15=E$18,MID($R29,4,1)="2",$R$15&lt;&gt;$R$14),VLOOKUP(CONCATENATE(LEFT($R29,2),"L"),$R$63:$T$91,3,FALSE),0)+IF(AND($R29="O3/CP",$R$14=E$18),VLOOKUP("O3",$R$63:$T$91,3,FALSE)+VLOOKUP("CP",$R$63:$T$91,3,FALSE),0)+IF(AND($S29&lt;&gt;"",$S29&lt;&gt;"--",$S29&lt;&gt;"O3/CP",$S$14=E$18),IF(LEFT($S29,1)="P",VLOOKUP(CONCATENATE(LEFT($S29,2),"H"),$R$63:$T$91,3,FALSE),VLOOKUP($S29,$R$63:$T$91,3,FALSE)))+IF(AND($S29&lt;&gt;"",$S29&lt;&gt;"O3/CP",$S$15=E$18,MID($S29,4,1)="2",$S$15&lt;&gt;$S$14),VLOOKUP(CONCATENATE(LEFT($S29,2),"L"),$R$63:$T$91,3,FALSE),0)+IF(AND($S29="O3/CP",$S$14=E$18),VLOOKUP("O3",$R$63:$T$91,3,FALSE)+VLOOKUP("CP",$R$63:$T$91,3,FALSE),0)+IF(AND($T29&lt;&gt;"",$T29&lt;&gt;"--",$T29&lt;&gt;"O3/CP",$T$14=E$18),IF(LEFT($T29,1)="P",VLOOKUP(CONCATENATE(LEFT($T29,2),"H"),$R$63:$T$91,3,FALSE),VLOOKUP($T29,$R$63:$T$91,3,FALSE)))+IF(AND($T29&lt;&gt;"",$T29&lt;&gt;"O3/CP",$T$15=E$18,MID($T29,4,1)="2",$T$15&lt;&gt;$T$14),VLOOKUP(CONCATENATE(LEFT($T29,2),"L"),$R$63:$T$91,3,FALSE),0)+IF(AND($T29="O3/CP",$T$14=E$18),VLOOKUP("O3",$R$63:$T$91,3,FALSE)+VLOOKUP("CP",$R$63:$T$91,3,FALSE),0)+IF(AND($U29&lt;&gt;"",$U29&lt;&gt;"--",$U29&lt;&gt;"O3/CP",$U$14=E$18),IF(LEFT($U29,1)="P",VLOOKUP(CONCATENATE(LEFT($U29,2),"H"),$R$63:$T$91,3,FALSE),VLOOKUP($U29,$R$63:$T$91,3,FALSE)))+IF(AND($U29&lt;&gt;"",$U29&lt;&gt;"O3/CP",$U$15=E$18,MID($U29,4,1)="2",$U$15&lt;&gt;$U$14),VLOOKUP(CONCATENATE(LEFT($U29,2),"L"),$R$63:$T$91,3,FALSE),0)+IF(AND($U29="O3/CP",$T$14=E$18),VLOOKUP("O3",$R$63:$T$91,3,FALSE)+VLOOKUP("CP",$R$63:$T$91,3,FALSE),0)+IF(AND($V29&lt;&gt;"",$V29&lt;&gt;"--",$V29&lt;&gt;"O3/CP",$V$14=E$18),IF(LEFT($V29,1)="P",VLOOKUP(CONCATENATE(LEFT($V29,2),"H"),$R$63:$T$91,3,FALSE),VLOOKUP($V29,$R$63:$T$91,3,FALSE)))+IF(AND($V29&lt;&gt;"",$V29&lt;&gt;"O3/CP",$V$15=E$18,MID($V29,4,1)="2",$V$15&lt;&gt;$V$14),VLOOKUP(CONCATENATE(LEFT($V29,2),"L"),$R$63:$T$91,3,FALSE),0)+IF(AND($V29="O3/CP",$V$14=E$18),VLOOKUP("O3",$R$63:$T$91,3,FALSE)+VLOOKUP("CP",$R$63:$T$91,3,FALSE),0)+IF(AND($W29&lt;&gt;"",$W29&lt;&gt;"--",$W29&lt;&gt;"O3/CP",$W$14=E$18),IF(LEFT($W29,1)="P",VLOOKUP(CONCATENATE(LEFT($W29,2),"H"),$R$63:$T$91,3,FALSE),VLOOKUP($W29,$R$63:$T$91,3,FALSE)))+IF(AND($W29&lt;&gt;"",$W29&lt;&gt;"O3/CP",$W$15=E$18,MID($W29,4,1)="2",$W$15&lt;&gt;$W$14),VLOOKUP(CONCATENATE(LEFT($W29,2),"L"),$R$63:$T$91,3,FALSE),0)+IF(AND($W29="O3/CP",$W$14=E$18),VLOOKUP("O3",$R$63:$T$91,3,FALSE)+VLOOKUP("CP",$R$63:$T$91,3,FALSE),0)+IF(AND($X29&lt;&gt;"",$X29&lt;&gt;"--",$X29&lt;&gt;"O3/CP",$X$14=E$18),IF(LEFT($X29,1)="P",VLOOKUP(CONCATENATE(LEFT($X29,2),"H"),$R$63:$T$91,3,FALSE),VLOOKUP($X29,$R$63:$T$91,3,FALSE)))+IF(AND($X29&lt;&gt;"",$X29&lt;&gt;"O3/CP",$X$15=E$18,MID($X29,4,1)="2",$X$15&lt;&gt;$X$14),VLOOKUP(CONCATENATE(LEFT($X29,2),"L"),$R$63:$T$91,3,FALSE),0)+IF(AND($X29="O3/CP",$X$14=E$18),VLOOKUP("O3",$R$63:$T$91,3,FALSE)+VLOOKUP("CP",$R$63:$T$91,3,FALSE),0)+IF(AND($Y29&lt;&gt;"",$Y29&lt;&gt;"--",$Y29&lt;&gt;"O3/CP",$Y$14=E$18),IF(LEFT($Y29,1)="P",VLOOKUP(CONCATENATE(LEFT($Y29,2),"H"),$R$63:$T$91,3,FALSE),VLOOKUP($Y29,$R$63:$T$91,3,FALSE)))+IF(AND($Y29&lt;&gt;"",$Y29&lt;&gt;"O3/CP",$Y$15=E$18,MID($Y29,4,1)="2",$Y$15&lt;&gt;$Y$14),VLOOKUP(CONCATENATE(LEFT($Y29,2),"L"),$R$63:$T$91,3,FALSE),0)+IF(AND($Y29="O3/CP",$Y$14=E$18),VLOOKUP("O3",$R$63:$T$91,3,FALSE)+VLOOKUP("CP",$R$63:$T$91,3,FALSE),0)+IF(AND($K$6="CE",'[3]Supply Attribution'!$G$20=E$18),LEFT($S$90,2),0)+IF(AND($X$86&lt;&gt;"Not Set",$X$87=E$18),$X$86,0)</f>
        <v>0</v>
      </c>
      <c r="F29" s="272">
        <f>IF(AND($K29&lt;&gt;"",$K29&lt;&gt;"--",$K29&lt;&gt;"O3/CP",$K$14=F$18),IF(LEFT($K29,1)="P",VLOOKUP(CONCATENATE(LEFT($K29,2),"H"),$R$63:$T$91,3,FALSE),VLOOKUP($K29,$R$63:$T$91,3,FALSE)))+IF(AND($K29&lt;&gt;"",$K29&lt;&gt;"O3/CP",$K$15=F$18,MID($K29,4,1)="2",$K$15&lt;&gt;$K$14),VLOOKUP(CONCATENATE(LEFT($K29,2),"L"),$R$63:$T$91,3,FALSE),0)+IF(AND($K29="O3/CP",$K$14=F$18),VLOOKUP("O3",$R$63:$T$91,3,FALSE)+VLOOKUP("CP",$R$63:$T$91,3,FALSE),0)+IF(AND($L29&lt;&gt;"",$L29&lt;&gt;"--",$L29&lt;&gt;"O3/CP",$L$14=F$18),IF(LEFT($L29,1)="P",VLOOKUP(CONCATENATE(LEFT($L29,2),"H"),$R$63:$T$91,3,FALSE),VLOOKUP($L29,$R$63:$T$91,3,FALSE)))+IF(AND($L29&lt;&gt;"",$L29&lt;&gt;"O3/CP",$L$15=F$18,MID($L29,4,1)="2",$L$15&lt;&gt;$L$14),VLOOKUP(CONCATENATE(LEFT($L29,2),"L"),$R$63:$T$91,3,FALSE),0)+IF(AND($L29="O3/CP",$L$14=F$18),VLOOKUP("O3",$R$63:$T$91,3,FALSE)+VLOOKUP("CP",$R$63:$T$91,3,FALSE),0)+IF(AND($M29&lt;&gt;"",$M29&lt;&gt;"--",$M29&lt;&gt;"O3/CP",$M$14=F$18),IF(LEFT($M29,1)="P",VLOOKUP(CONCATENATE(LEFT($M29,2),"H"),$R$63:$T$91,3,FALSE),VLOOKUP($M29,$R$63:$T$91,3,FALSE)))+IF(AND($M29&lt;&gt;"",$M29&lt;&gt;"O3/CP",$M$15=F$18,MID($M29,4,1)="2",$M$15&lt;&gt;$M$14),VLOOKUP(CONCATENATE(LEFT($M29,2),"L"),$R$63:$T$91,3,FALSE),0)+IF(AND($M29="O3/CP",$M$14=F$18),VLOOKUP("O3",$R$63:$T$91,3,FALSE)+VLOOKUP("CP",$R$63:$T$91,3,FALSE),0)+IF(AND($N29&lt;&gt;"",$N29&lt;&gt;"--",$N29&lt;&gt;"O3/CP",$N$14=F$18),IF(LEFT($N29,1)="P",VLOOKUP(CONCATENATE(LEFT($N29,2),"H"),$R$63:$T$91,3,FALSE),VLOOKUP($N29,$R$63:$T$91,3,FALSE)))+IF(AND($N29&lt;&gt;"",$N29&lt;&gt;"O3/CP",$N$15=F$18,MID($N29,4,1)="2",$N$15&lt;&gt;$N$14),VLOOKUP(CONCATENATE(LEFT($N29,2),"L"),$R$63:$T$91,3,FALSE),0)+IF(AND($N29="O3/CP",$N$14=F$18),VLOOKUP("O3",$R$63:$T$91,3,FALSE)+VLOOKUP("CP",$R$63:$T$91,3,FALSE),0)+IF(AND($O29&lt;&gt;"",$O29&lt;&gt;"--",$O29&lt;&gt;"O3/CP",$O$14=F$18),IF(LEFT($O29,1)="P",VLOOKUP(CONCATENATE(LEFT($O29,2),"H"),$R$63:$T$91,3,FALSE),VLOOKUP($O29,$R$63:$T$91,3,FALSE)))+IF(AND($O29&lt;&gt;"",$O29&lt;&gt;"O3/CP",$O$15=F$18,MID($O29,4,1)="2",$O$15&lt;&gt;$O$14),VLOOKUP(CONCATENATE(LEFT($O29,2),"L"),$R$63:$T$91,3,FALSE),0)+IF(AND($O29="O3/CP",$O$14=F$18),VLOOKUP("O3",$R$63:$T$91,3,FALSE)+VLOOKUP("CP",$R$63:$T$91,3,FALSE),0)+IF(AND($P29&lt;&gt;"",$P29&lt;&gt;"--",$P29&lt;&gt;"O3/CP",$P$14=F$18),IF(LEFT($P29,1)="P",VLOOKUP(CONCATENATE(LEFT($P29,2),"H"),$R$63:$T$91,3,FALSE),VLOOKUP($P29,$R$63:$T$91,3,FALSE)))+IF(AND($P29&lt;&gt;"",$P29&lt;&gt;"O3/CP",$P$15=F$18,MID($P29,4,1)="2",$P$15&lt;&gt;$P$14),VLOOKUP(CONCATENATE(LEFT($P29,2),"L"),$R$63:$T$91,3,FALSE),0)+IF(AND($P29="O3/CP",$P$14=F$18),VLOOKUP("O3",$R$63:$T$91,3,FALSE)+VLOOKUP("CP",$R$63:$T$91,3,FALSE),0)+IF(AND($Q29&lt;&gt;"",$Q29&lt;&gt;"--",$Q29&lt;&gt;"O3/CP",$Q$14=F$18),IF(LEFT($Q29,1)="P",VLOOKUP(CONCATENATE(LEFT($Q29,2),"H"),$R$63:$T$91,3,FALSE),VLOOKUP($Q29,$R$63:$T$91,3,FALSE)))+IF(AND($Q29&lt;&gt;"",$Q29&lt;&gt;"O3/CP",$Q$15=F$18,MID($Q29,4,1)="2",$Q$15&lt;&gt;$Q$14),VLOOKUP(CONCATENATE(LEFT($Q29,2),"L"),$R$63:$T$91,3,FALSE),0)+IF(AND($Q29="O3/CP",$Q$14=F$18),VLOOKUP("O3",$R$63:$T$91,3,FALSE)+VLOOKUP("CP",$R$63:$T$91,3,FALSE),0)+IF(AND($R29&lt;&gt;"",$R29&lt;&gt;"--",$R29&lt;&gt;"O3/CP",$R$14=F$18),IF(LEFT($R29,1)="P",VLOOKUP(CONCATENATE(LEFT($R29,2),"H"),$R$63:$T$91,3,FALSE),VLOOKUP($R29,$R$63:$T$91,3,FALSE)))+IF(AND($R29&lt;&gt;"",$R29&lt;&gt;"O3/CP",$R$15=F$18,MID($R29,4,1)="2",$R$15&lt;&gt;$R$14),VLOOKUP(CONCATENATE(LEFT($R29,2),"L"),$R$63:$T$91,3,FALSE),0)+IF(AND($R29="O3/CP",$R$14=F$18),VLOOKUP("O3",$R$63:$T$91,3,FALSE)+VLOOKUP("CP",$R$63:$T$91,3,FALSE),0)+IF(AND($S29&lt;&gt;"",$S29&lt;&gt;"--",$S29&lt;&gt;"O3/CP",$S$14=F$18),IF(LEFT($S29,1)="P",VLOOKUP(CONCATENATE(LEFT($S29,2),"H"),$R$63:$T$91,3,FALSE),VLOOKUP($S29,$R$63:$T$91,3,FALSE)))+IF(AND($S29&lt;&gt;"",$S29&lt;&gt;"O3/CP",$S$15=F$18,MID($S29,4,1)="2",$S$15&lt;&gt;$S$14),VLOOKUP(CONCATENATE(LEFT($S29,2),"L"),$R$63:$T$91,3,FALSE),0)+IF(AND($S29="O3/CP",$S$14=F$18),VLOOKUP("O3",$R$63:$T$91,3,FALSE)+VLOOKUP("CP",$R$63:$T$91,3,FALSE),0)+IF(AND($T29&lt;&gt;"",$T29&lt;&gt;"--",$T29&lt;&gt;"O3/CP",$T$14=F$18),IF(LEFT($T29,1)="P",VLOOKUP(CONCATENATE(LEFT($T29,2),"H"),$R$63:$T$91,3,FALSE),VLOOKUP($T29,$R$63:$T$91,3,FALSE)))+IF(AND($T29&lt;&gt;"",$T29&lt;&gt;"O3/CP",$T$15=F$18,MID($T29,4,1)="2",$T$15&lt;&gt;$T$14),VLOOKUP(CONCATENATE(LEFT($T29,2),"L"),$R$63:$T$91,3,FALSE),0)+IF(AND($T29="O3/CP",$T$14=F$18),VLOOKUP("O3",$R$63:$T$91,3,FALSE)+VLOOKUP("CP",$R$63:$T$91,3,FALSE),0)+IF(AND($U29&lt;&gt;"",$U29&lt;&gt;"--",$U29&lt;&gt;"O3/CP",$U$14=F$18),IF(LEFT($U29,1)="P",VLOOKUP(CONCATENATE(LEFT($U29,2),"H"),$R$63:$T$91,3,FALSE),VLOOKUP($U29,$R$63:$T$91,3,FALSE)))+IF(AND($U29&lt;&gt;"",$U29&lt;&gt;"O3/CP",$U$15=F$18,MID($U29,4,1)="2",$U$15&lt;&gt;$U$14),VLOOKUP(CONCATENATE(LEFT($U29,2),"L"),$R$63:$T$91,3,FALSE),0)+IF(AND($U29="O3/CP",$T$14=F$18),VLOOKUP("O3",$R$63:$T$91,3,FALSE)+VLOOKUP("CP",$R$63:$T$91,3,FALSE),0)+IF(AND($V29&lt;&gt;"",$V29&lt;&gt;"--",$V29&lt;&gt;"O3/CP",$V$14=F$18),IF(LEFT($V29,1)="P",VLOOKUP(CONCATENATE(LEFT($V29,2),"H"),$R$63:$T$91,3,FALSE),VLOOKUP($V29,$R$63:$T$91,3,FALSE)))+IF(AND($V29&lt;&gt;"",$V29&lt;&gt;"O3/CP",$V$15=F$18,MID($V29,4,1)="2",$V$15&lt;&gt;$V$14),VLOOKUP(CONCATENATE(LEFT($V29,2),"L"),$R$63:$T$91,3,FALSE),0)+IF(AND($V29="O3/CP",$V$14=F$18),VLOOKUP("O3",$R$63:$T$91,3,FALSE)+VLOOKUP("CP",$R$63:$T$91,3,FALSE),0)+IF(AND($W29&lt;&gt;"",$W29&lt;&gt;"--",$W29&lt;&gt;"O3/CP",$W$14=F$18),IF(LEFT($W29,1)="P",VLOOKUP(CONCATENATE(LEFT($W29,2),"H"),$R$63:$T$91,3,FALSE),VLOOKUP($W29,$R$63:$T$91,3,FALSE)))+IF(AND($W29&lt;&gt;"",$W29&lt;&gt;"O3/CP",$W$15=F$18,MID($W29,4,1)="2",$W$15&lt;&gt;$W$14),VLOOKUP(CONCATENATE(LEFT($W29,2),"L"),$R$63:$T$91,3,FALSE),0)+IF(AND($W29="O3/CP",$W$14=F$18),VLOOKUP("O3",$R$63:$T$91,3,FALSE)+VLOOKUP("CP",$R$63:$T$91,3,FALSE),0)+IF(AND($X29&lt;&gt;"",$X29&lt;&gt;"--",$X29&lt;&gt;"O3/CP",$X$14=F$18),IF(LEFT($X29,1)="P",VLOOKUP(CONCATENATE(LEFT($X29,2),"H"),$R$63:$T$91,3,FALSE),VLOOKUP($X29,$R$63:$T$91,3,FALSE)))+IF(AND($X29&lt;&gt;"",$X29&lt;&gt;"O3/CP",$X$15=F$18,MID($X29,4,1)="2",$X$15&lt;&gt;$X$14),VLOOKUP(CONCATENATE(LEFT($X29,2),"L"),$R$63:$T$91,3,FALSE),0)+IF(AND($X29="O3/CP",$X$14=F$18),VLOOKUP("O3",$R$63:$T$91,3,FALSE)+VLOOKUP("CP",$R$63:$T$91,3,FALSE),0)+IF(AND($Y29&lt;&gt;"",$Y29&lt;&gt;"--",$Y29&lt;&gt;"O3/CP",$Y$14=F$18),IF(LEFT($Y29,1)="P",VLOOKUP(CONCATENATE(LEFT($Y29,2),"H"),$R$63:$T$91,3,FALSE),VLOOKUP($Y29,$R$63:$T$91,3,FALSE)))+IF(AND($Y29&lt;&gt;"",$Y29&lt;&gt;"O3/CP",$Y$15=F$18,MID($Y29,4,1)="2",$Y$15&lt;&gt;$Y$14),VLOOKUP(CONCATENATE(LEFT($Y29,2),"L"),$R$63:$T$91,3,FALSE),0)+IF(AND($Y29="O3/CP",$Y$14=F$18),VLOOKUP("O3",$R$63:$T$91,3,FALSE)+VLOOKUP("CP",$R$63:$T$91,3,FALSE),0)+IF(AND($K$6="CE",'[3]Supply Attribution'!$G$20=F$18),LEFT($S$90,2),0)+IF(AND($X$86&lt;&gt;"Not Set",$X$87=F$18),$X$86,0)</f>
        <v>0</v>
      </c>
      <c r="G29" s="271">
        <f>IF(AND($K$6="CE",$T$59="1 Phase"),SUM(A29:F29)-IF(AND($K$14&lt;&gt;$K$15,RIGHT($K29,3)="2SP"),VLOOKUP(CONCATENATE(LEFT($K29,2),"L"),$R$63:$T$90,3,FALSE),0)-IF(AND($L$14&lt;&gt;$L$15,RIGHT($L29,3)="2SP"),VLOOKUP(CONCATENATE(LEFT($L29,2),"L"),$R$63:$T$90,3,FALSE),0)-IF(AND($M$14&lt;&gt;$M$15,RIGHT($M29,3)="2SP"),VLOOKUP(CONCATENATE(LEFT($M29,2),"L"),$R$63:$T$90,3,FALSE),0)-IF(AND($N$14&lt;&gt;$N$15,RIGHT($N29,3)="2SP"),VLOOKUP(CONCATENATE(LEFT($N29,2),"L"),$R$63:$T$90,3,FALSE),0)-IF(AND($O$14&lt;&gt;$O$15,RIGHT($O29,3)="2SP"),VLOOKUP(CONCATENATE(LEFT($O29,2),"L"),$R$63:$T$90,3,FALSE),0)-IF(AND($P$14&lt;&gt;$P$15,RIGHT($P29,3)="2SP"),VLOOKUP(CONCATENATE(LEFT($P29,2),"L"),$R$63:$T$90,3,FALSE),0)-IF(AND($Q$14&lt;&gt;$Q$15,RIGHT($Q29,3)="2SP"),VLOOKUP(CONCATENATE(LEFT($Q29,2),"L"),$R$63:$T$90,3,FALSE),0)-IF(AND($R$14&lt;&gt;$R$15,RIGHT($T29,3)="2SP"),VLOOKUP(CONCATENATE(LEFT($R29,2),"L"),$R$63:$T$90,3,FALSE),0)-IF(AND($S$14&lt;&gt;$S$15,RIGHT($T29,3)="2SP"),VLOOKUP(CONCATENATE(LEFT($S29,2),"L"),$R$63:$T$90,3,FALSE),0)-IF(AND($T$14&lt;&gt;$T$15,RIGHT($T29,3)="2SP"),VLOOKUP(CONCATENATE(LEFT($T29,2),"L"),$R$63:$T$90,3,FALSE),0)-IF(AND($U$14&lt;&gt;$U$15,RIGHT($U29,3)="2SP"),VLOOKUP(CONCATENATE(LEFT($U29,2),"L"),$R$63:$T$90,3,FALSE),0)-IF(AND($V$14&lt;&gt;$V$15,RIGHT($V29,3)="2SP"),VLOOKUP(CONCATENATE(LEFT($V29,2),"L"),$R$63:$T$90,3,FALSE),0)-IF(AND($W$14&lt;&gt;$W$15,RIGHT($W29,3)="2SP"),VLOOKUP(CONCATENATE(LEFT($W29,2),"L"),$R$63:$T$90,3,FALSE),0)-IF(AND($X$14&lt;&gt;$X$15,RIGHT($X29,3)="2SP"),VLOOKUP(CONCATENATE(LEFT($X29,2),"L"),$R$63:$T$90,3,FALSE),0)-IF(AND($Y$14&lt;&gt;$Y$15,RIGHT($Y29,3)="2SP"),VLOOKUP(CONCATENATE(LEFT($Y29,2),"L"),$R$63:$T$90,3,FALSE),0),IF(VLOOKUP(CONCATENATE($A$18,"Line"),'[3]Supply Attribution'!$F$31:$G$37,2,FALSE)=G$18,$A29,0)+IF(VLOOKUP(CONCATENATE($B$18,"Line"),'[3]Supply Attribution'!$F$31:$G$37,2,FALSE)=G$18,$B29,0)+IF(VLOOKUP(CONCATENATE($C$18,"Line"),'[3]Supply Attribution'!$F$31:$G$37,2,FALSE)=G$18,$C29,0)+IF(VLOOKUP(CONCATENATE($D$18,"Line"),'[3]Supply Attribution'!$F$31:$G$37,2,FALSE)=G$18,$D29,0)+IF(VLOOKUP(CONCATENATE($E$18,"Line"),'[3]Supply Attribution'!$F$31:$G$37,2,FALSE)=G$18,$E29,0)+IF(VLOOKUP(CONCATENATE($F$18,"Line"),'[3]Supply Attribution'!$F$31:$G$37,2,FALSE)=G$18,$F29,0)+IF($K$6="UL",LEFT($S$90,2),0)-IF(AND($K$16=G$18,$K$14&lt;&gt;$K$15,$K$16=$K$17,RIGHT($K29,3)="2SP"),VLOOKUP(CONCATENATE(LEFT($K29,2),"L"),$R$63:$T$90,3,FALSE),0)-IF(AND($L$16=G$18,$L$14&lt;&gt;$L$15,$L$16=$L$17,RIGHT($L29,3)="2SP"),VLOOKUP(CONCATENATE(LEFT($L29,2),"L"),$R$63:$T$90,3,FALSE),0)-IF(AND($M$16=G$18,$M$14&lt;&gt;$M$15,$M$16=$M$17,RIGHT($M29,3)="2SP"),VLOOKUP(CONCATENATE(LEFT($M29,2),"L"),$R$63:$T$90,3,FALSE),0)-IF(AND($N$16=G$18,$N$14&lt;&gt;$N$15,$N$16=$N$17,RIGHT($N29,3)="2SP"),VLOOKUP(CONCATENATE(LEFT($N29,2),"L"),$R$63:$T$90,3,FALSE),0)-IF(AND($O$16=G$18,$O$14&lt;&gt;$O$15,$O$16=$O$17,RIGHT($O29,3)="2SP"),VLOOKUP(CONCATENATE(LEFT($O29,2),"L"),$R$63:$T$90,3,FALSE),0)-IF(AND($P$16=G$18,$P$14&lt;&gt;$P$15,$P$16=$P$17,RIGHT($P29,3)="2SP"),VLOOKUP(CONCATENATE(LEFT($P29,2),"L"),$R$63:$T$90,3,FALSE),0)-IF(AND($Q$16=G$18,$Q$14&lt;&gt;$Q$15,$Q$16=$Q$17,RIGHT($Q29,3)="2SP"),VLOOKUP(CONCATENATE(LEFT($Q29,2),"L"),$R$63:$T$90,3,FALSE),0)-IF(AND($R$16=G$18,$R$14&lt;&gt;$R$15,$R$16=$R$17,RIGHT($R29,3)="2SP"),VLOOKUP(CONCATENATE(LEFT($R29,2),"L"),$R$63:$T$90,3,FALSE),0)-IF(AND($S$16=G$18,$S$14&lt;&gt;$S$15,$S$16=$S$17,RIGHT($S29,3)="2SP"),VLOOKUP(CONCATENATE(LEFT($S29,2),"L"),$R$63:$T$90,3,FALSE),0)-IF(AND($T$16=G$18,$T$14&lt;&gt;$T$15,$T$16=$T$17,RIGHT($T29,3)="2SP"),VLOOKUP(CONCATENATE(LEFT($T29,2),"L"),$R$63:$T$90,3,FALSE),0)-IF(AND($U$16=G$18,$U$14&lt;&gt;$U$15,$U$16=$U$17,RIGHT($U29,3)="2SP"),VLOOKUP(CONCATENATE(LEFT($U29,2),"L"),$R$63:$T$90,3,FALSE),0)-IF(AND($V$16=G$18,$V$14&lt;&gt;$V$15,$V$16=$V$17,RIGHT($V29,3)="2SP"),VLOOKUP(CONCATENATE(LEFT($V29,2),"L"),$R$63:$T$90,3,FALSE),0)-IF(AND($W$16=G$18,$W$14&lt;&gt;$W$15,$W$16=$W$17,RIGHT($W29,3)="2SP"),VLOOKUP(CONCATENATE(LEFT($W29,2),"L"),$R$63:$T$90,3,FALSE),0)-IF(AND($X$16=G$18,$X$14&lt;&gt;$X$15,$X$16=$X$17,RIGHT($X29,3)="2SP"),VLOOKUP(CONCATENATE(LEFT($X29,2),"L"),$R$63:$T$90,3,FALSE),0)-IF(AND($Y$16=G$18,$Y$14&lt;&gt;$Y$15,$Y$16=$Y$17,RIGHT($Y29,3)="2SP"),VLOOKUP(CONCATENATE(LEFT($Y29,2),"L"),$R$63:$T$90,3,FALSE),0))</f>
        <v>17</v>
      </c>
      <c r="H29" s="271" t="str">
        <f>IF(H$18&lt;&gt;"",IF(VLOOKUP(CONCATENATE($A$18,"Line"),'Supply Attribution'!$F$31:$G$37,2,FALSE)=H$18,$A29,0)+IF(VLOOKUP(CONCATENATE($B$18,"Line"),'Supply Attribution'!$F$31:$G$37,2,FALSE)=H$18,$B29,0)+IF(VLOOKUP(CONCATENATE($C$18,"Line"),'Supply Attribution'!$F$31:$G$37,2,FALSE)=H$18,$C29,0)+IF(VLOOKUP(CONCATENATE($D$18,"Line"),'Supply Attribution'!$F$31:$G$37,2,FALSE)=H$18,$D29,0)+IF(VLOOKUP(CONCATENATE($E$18,"Line"),'Supply Attribution'!$F$31:$G$37,2,FALSE)=H$18,$E29,0)+IF(VLOOKUP(CONCATENATE($F$18,"Line"),'Supply Attribution'!$F$31:$G$37,2,FALSE)=H$18,$F29,0)+IF($K$6="UL",LEFT($S$90,2),0)-IF(AND($K$16=H$18,$K$14&lt;&gt;$K$15,$K$16=$K$17,RIGHT($K29,3)="2SP"),VLOOKUP(CONCATENATE(LEFT($K29,2),"L"),$R$63:$T$90,3,FALSE),0)-IF(AND($L$16=H$18,$L$14&lt;&gt;$L$15,$L$16=$L$17,RIGHT($L29,3)="2SP"),VLOOKUP(CONCATENATE(LEFT($L29,2),"L"),$R$63:$T$90,3,FALSE),0)-IF(AND($M$16=H$18,$M$14&lt;&gt;$M$15,$M$16=$M$17,RIGHT($M29,3)="2SP"),VLOOKUP(CONCATENATE(LEFT($M29,2),"L"),$R$63:$T$90,3,FALSE),0)-IF(AND($N$16=H$18,$N$14&lt;&gt;$N$15,$N$16=$N$17,RIGHT($N29,3)="2SP"),VLOOKUP(CONCATENATE(LEFT($N29,2),"L"),$R$63:$T$90,3,FALSE),0)-IF(AND($O$16=H$18,$O$14&lt;&gt;$O$15,$O$16=$O$17,RIGHT($O29,3)="2SP"),VLOOKUP(CONCATENATE(LEFT($O29,2),"L"),$R$63:$T$90,3,FALSE),0)-IF(AND($P$16=H$18,$P$14&lt;&gt;$P$15,$P$16=$P$17,RIGHT($P29,3)="2SP"),VLOOKUP(CONCATENATE(LEFT($P29,2),"L"),$R$63:$T$90,3,FALSE),0)-IF(AND($Q$16=H$18,$Q$14&lt;&gt;$Q$15,$Q$16=$Q$17,RIGHT($Q29,3)="2SP"),VLOOKUP(CONCATENATE(LEFT($Q29,2),"L"),$R$63:$T$90,3,FALSE),0)-IF(AND($T$16=H$18,$T$14&lt;&gt;$T$15,$T$16=$T$17,RIGHT($T29,3)="2SP"),VLOOKUP(CONCATENATE(LEFT($T29,2),"L"),$R$63:$T$90,3,FALSE),0)-IF(AND($U$16=H$18,$U$14&lt;&gt;$U$15,$U$16=$U$17,RIGHT($U29,3)="2SP"),VLOOKUP(CONCATENATE(LEFT($U29,2),"L"),$R$63:$T$90,3,FALSE),0)-IF(AND($V$16=H$18,$V$14&lt;&gt;$V$15,$V$16=$V$17,RIGHT($V29,3)="2SP"),VLOOKUP(CONCATENATE(LEFT($V29,2),"L"),$R$63:$T$90,3,FALSE),0)-IF(AND($W$16=H$18,$W$14&lt;&gt;$W$15,$W$16=$W$17,RIGHT($W29,3)="2SP"),VLOOKUP(CONCATENATE(LEFT($W29,2),"L"),$R$63:$T$90,3,FALSE),0)-IF(AND($X$16=H$18,$X$14&lt;&gt;$X$15,$X$16=$X$17,RIGHT($X29,3)="2SP"),VLOOKUP(CONCATENATE(LEFT($X29,2),"L"),$R$63:$T$90,3,FALSE),0)-IF(AND($Y$16=H$18,$Y$14&lt;&gt;$Y$15,$Y$16=$Y$17,RIGHT($Y29,3)="2SP"),VLOOKUP(CONCATENATE(LEFT($Y29,2),"L"),$R$63:$T$90,3,FALSE),0)+IF(AND($K$6="CE",$T$59="2 Phases",H$18&lt;&gt;""),IF(VLOOKUP(CONCATENATE($A$18,"Line"),'Supply Attribution'!$F$31:$G$37,2,FALSE)="Line3",$A29,0)+IF(VLOOKUP(CONCATENATE($B$18,"Line"),'Supply Attribution'!$F$31:$G$37,2,FALSE)="Line3",$B29,0)+IF(VLOOKUP(CONCATENATE($C$18,"Line"),'Supply Attribution'!$F$31:$G$37,2,FALSE)="Line3",$C29,0)+IF(VLOOKUP(CONCATENATE($D$18,"Line"),'Supply Attribution'!$F$31:$G$37,2,FALSE)="Line3",$D29,0)+IF(VLOOKUP(CONCATENATE($E$18,"Line"),'Supply Attribution'!$F$31:$G$37,2,FALSE)="Line3",$E29,0)+IF(VLOOKUP(CONCATENATE($F$18,"Line"),'Supply Attribution'!$F$31:$G$37,2,FALSE)="Line3",$F29,0)-IF(AND($K$16=I$18,$K$14&lt;&gt;$K$15,$K$16=$K$17,RIGHT($K29,3)="2SP"),VLOOKUP(CONCATENATE(LEFT($K29,2),"L"),$R$63:$T$90,3,FALSE),0)-IF(AND($L$16=I$18,$L$14&lt;&gt;$L$15,$L$16=$L$17,RIGHT($L29,3)="2SP"),VLOOKUP(CONCATENATE(LEFT($L29,2),"L"),$R$63:$T$90,3,FALSE),0)-IF(AND($M$16=I$18,$M$14&lt;&gt;$M$15,$M$16=$M$17,RIGHT($M29,3)="2SP"),VLOOKUP(CONCATENATE(LEFT($M29,2),"L"),$R$63:$T$90,3,FALSE),0)-IF(AND($N$16=I$18,$N$14&lt;&gt;$N$15,$N$16=$N$17,RIGHT($N29,3)="2SP"),VLOOKUP(CONCATENATE(LEFT($N29,2),"L"),$R$63:$T$90,3,FALSE),0)-IF(AND($O$16=I$18,$O$14&lt;&gt;$O$15,$O$16=$O$17,RIGHT($O29,3)="2SP"),VLOOKUP(CONCATENATE(LEFT($O29,2),"L"),$R$63:$T$90,3,FALSE),0)-IF(AND($P$16=I$18,$P$14&lt;&gt;$P$15,$P$16=$P$17,RIGHT($P29,3)="2SP"),VLOOKUP(CONCATENATE(LEFT($P29,2),"L"),$R$63:$T$90,3,FALSE),0)-IF(AND($Q$16=I$18,$Q$14&lt;&gt;$Q$15,$Q$16=$Q$17,RIGHT($Q29,3)="2SP"),VLOOKUP(CONCATENATE(LEFT($Q29,2),"L"),$R$63:$T$90,3,FALSE),0)-IF(AND($T$16=I$18,$T$14&lt;&gt;$T$15,$T$16=$T$17,RIGHT($T29,3)="2SP"),VLOOKUP(CONCATENATE(LEFT($T29,2),"L"),$R$63:$T$90,3,FALSE),0)-IF(AND($U$16=I$18,$U$14&lt;&gt;$U$15,$U$16=$U$17,RIGHT($U29,3)="2SP"),VLOOKUP(CONCATENATE(LEFT($U29,2),"L"),$R$63:$T$90,3,FALSE),0)-IF(AND($V$16=I$18,$V$14&lt;&gt;$V$15,$V$16=$V$17,RIGHT($V29,3)="2SP"),VLOOKUP(CONCATENATE(LEFT($V29,2),"L"),$R$63:$T$90,3,FALSE),0)-IF(AND($W$16=I$18,$W$14&lt;&gt;$W$15,$W$16=$W$17,RIGHT($W29,3)="2SP"),VLOOKUP(CONCATENATE(LEFT($W29,2),"L"),$R$63:$T$90,3,FALSE),0)-IF(AND($X$16=I$18,$X$14&lt;&gt;$X$15,$X$16=$X$17,RIGHT($X29,3)="2SP"),VLOOKUP(CONCATENATE(LEFT($X29,2),"L"),$R$63:$T$90,3,FALSE),0)-IF(AND($Y$16=I$18,$Y$14&lt;&gt;$Y$15,$Y$16=$Y$17,RIGHT($Y29,3)="2SP"),VLOOKUP(CONCATENATE(LEFT($Y29,2),"L"),$R$63:$T$90,3,FALSE),0),0),"")</f>
        <v/>
      </c>
      <c r="I29" s="271" t="str">
        <f>IF(I$18&lt;&gt;"",IF(VLOOKUP(CONCATENATE($A$18,"Line"),'Supply Attribution'!$F$31:$G$37,2,FALSE)=I$18,$A29,0)+IF(VLOOKUP(CONCATENATE($B$18,"Line"),'Supply Attribution'!$F$31:$G$37,2,FALSE)=I$18,$B29,0)+IF(VLOOKUP(CONCATENATE($C$18,"Line"),'Supply Attribution'!$F$31:$G$37,2,FALSE)=I$18,$C29,0)+IF(VLOOKUP(CONCATENATE($D$18,"Line"),'Supply Attribution'!$F$31:$G$37,2,FALSE)=I$18,$D29,0)+IF(VLOOKUP(CONCATENATE($E$18,"Line"),'Supply Attribution'!$F$31:$G$37,2,FALSE)=I$18,$E29,0)+IF(VLOOKUP(CONCATENATE($F$18,"Line"),'Supply Attribution'!$F$31:$G$37,2,FALSE)=I$18,$F29,0)+IF($K$6="UL",LEFT($S$90,2),0)-IF(AND($K$16=I$18,$K$14&lt;&gt;$K$15,$K$16=$K$17,RIGHT($K29,3)="2SP"),VLOOKUP(CONCATENATE(LEFT($K29,2),"L"),$R$63:$T$90,3,FALSE),0)-IF(AND($L$16=I$18,$L$14&lt;&gt;$L$15,$L$16=$L$17,RIGHT($L29,3)="2SP"),VLOOKUP(CONCATENATE(LEFT($L29,2),"L"),$R$63:$T$90,3,FALSE),0)-IF(AND($M$16=I$18,$M$14&lt;&gt;$M$15,$M$16=$M$17,RIGHT($M29,3)="2SP"),VLOOKUP(CONCATENATE(LEFT($M29,2),"L"),$R$63:$T$90,3,FALSE),0)-IF(AND($N$16=I$18,$N$14&lt;&gt;$N$15,$N$16=$N$17,RIGHT($N29,3)="2SP"),VLOOKUP(CONCATENATE(LEFT($N29,2),"L"),$R$63:$T$90,3,FALSE),0)-IF(AND($O$16=I$18,$O$14&lt;&gt;$O$15,$O$16=$O$17,RIGHT($O29,3)="2SP"),VLOOKUP(CONCATENATE(LEFT($O29,2),"L"),$R$63:$T$90,3,FALSE),0)-IF(AND($P$16=I$18,$P$14&lt;&gt;$P$15,$P$16=$P$17,RIGHT($P29,3)="2SP"),VLOOKUP(CONCATENATE(LEFT($P29,2),"L"),$R$63:$T$90,3,FALSE),0)-IF(AND($Q$16=I$18,$Q$14&lt;&gt;$Q$15,$Q$16=$Q$17,RIGHT($Q29,3)="2SP"),VLOOKUP(CONCATENATE(LEFT($Q29,2),"L"),$R$63:$T$90,3,FALSE),0)-IF(AND($T$16=I$18,$T$14&lt;&gt;$T$15,$T$16=$T$17,RIGHT($T29,3)="2SP"),VLOOKUP(CONCATENATE(LEFT($T29,2),"L"),$R$63:$T$90,3,FALSE),0)-IF(AND($U$16=I$18,$U$14&lt;&gt;$U$15,$U$16=$U$17,RIGHT($U29,3)="2SP"),VLOOKUP(CONCATENATE(LEFT($U29,2),"L"),$R$63:$T$90,3,FALSE),0)-IF(AND($V$16=I$18,$V$14&lt;&gt;$V$15,$V$16=$V$17,RIGHT($V29,3)="2SP"),VLOOKUP(CONCATENATE(LEFT($V29,2),"L"),$R$63:$T$90,3,FALSE),0)-IF(AND($W$16=I$18,$W$14&lt;&gt;$W$15,$W$16=$W$17,RIGHT($W29,3)="2SP"),VLOOKUP(CONCATENATE(LEFT($W29,2),"L"),$R$63:$T$90,3,FALSE),0)-IF(AND($X$16=I$18,$X$14&lt;&gt;$X$15,$X$16=$X$17,RIGHT($X29,3)="2SP"),VLOOKUP(CONCATENATE(LEFT($X29,2),"L"),$R$63:$T$90,3,FALSE),0)-IF(AND($Y$16=I$18,$Y$14&lt;&gt;$Y$15,$Y$16=$Y$17,RIGHT($Y29,3)="2SP"),VLOOKUP(CONCATENATE(LEFT($Y29,2),"L"),$R$63:$T$90,3,FALSE),0),"")</f>
        <v/>
      </c>
      <c r="J29" s="129"/>
      <c r="K29" s="130"/>
      <c r="L29" s="130"/>
      <c r="M29" s="130"/>
      <c r="N29" s="130"/>
      <c r="O29" s="130"/>
      <c r="P29" s="130"/>
      <c r="Q29" s="130"/>
      <c r="R29" s="130"/>
      <c r="S29" s="130"/>
      <c r="T29" s="130"/>
      <c r="U29" s="130"/>
      <c r="V29" s="130"/>
      <c r="W29" s="130"/>
      <c r="X29" s="130"/>
      <c r="Y29" s="130"/>
      <c r="Z29" s="131"/>
      <c r="AA29" s="131"/>
      <c r="AB29" s="132"/>
      <c r="AC29" s="132"/>
      <c r="AD29" s="132"/>
      <c r="AE29" s="133">
        <f t="shared" si="0"/>
        <v>0</v>
      </c>
      <c r="AF29" s="78"/>
    </row>
    <row r="30" spans="1:32" ht="13.15" customHeight="1">
      <c r="A30" s="270">
        <f>IF(AND($K30&lt;&gt;"",$K30&lt;&gt;"--",$K30&lt;&gt;"O3/CP",$K$14=A$18),IF(LEFT($K30,1)="P",VLOOKUP(CONCATENATE(LEFT($K30,2),"H"),$R$63:$T$91,3,FALSE),VLOOKUP($K30,$R$63:$T$91,3,FALSE)))+IF(AND($K30&lt;&gt;"",$K30&lt;&gt;"O3/CP",$K$15=A$18,MID($K30,4,1)="2",$K$15&lt;&gt;$K$14),VLOOKUP(CONCATENATE(LEFT($K30,2),"L"),$R$63:$T$91,3,FALSE),0)+IF(AND($K30="O3/CP",$K$14=A$18),VLOOKUP("O3",$R$63:$T$91,3,FALSE)+VLOOKUP("CP",$R$63:$T$91,3,FALSE),0)+IF(AND($L30&lt;&gt;"",$L30&lt;&gt;"--",$L30&lt;&gt;"O3/CP",$L$14=A$18),IF(LEFT($L30,1)="P",VLOOKUP(CONCATENATE(LEFT($L30,2),"H"),$R$63:$T$91,3,FALSE),VLOOKUP($L30,$R$63:$T$91,3,FALSE)))+IF(AND($L30&lt;&gt;"",$L30&lt;&gt;"O3/CP",$L$15=A$18,MID($L30,4,1)="2",$L$15&lt;&gt;$L$14),VLOOKUP(CONCATENATE(LEFT($L30,2),"L"),$R$63:$T$91,3,FALSE),0)+IF(AND($L30="O3/CP",$L$14=A$18),VLOOKUP("O3",$R$63:$T$91,3,FALSE)+VLOOKUP("CP",$R$63:$T$91,3,FALSE),0)+IF(AND($M30&lt;&gt;"",$M30&lt;&gt;"--",$M30&lt;&gt;"O3/CP",$M$14=A$18),IF(LEFT($M30,1)="P",VLOOKUP(CONCATENATE(LEFT($M30,2),"H"),$R$63:$T$91,3,FALSE),VLOOKUP($M30,$R$63:$T$91,3,FALSE)))+IF(AND($M30&lt;&gt;"",$M30&lt;&gt;"O3/CP",$M$15=A$18,MID($M30,4,1)="2",$M$15&lt;&gt;$M$14),VLOOKUP(CONCATENATE(LEFT($M30,2),"L"),$R$63:$T$91,3,FALSE),0)+IF(AND($M30="O3/CP",$M$14=A$18),VLOOKUP("O3",$R$63:$T$91,3,FALSE)+VLOOKUP("CP",$R$63:$T$91,3,FALSE),0)+IF(AND($N30&lt;&gt;"",$N30&lt;&gt;"--",$N30&lt;&gt;"O3/CP",$N$14=A$18),IF(LEFT($N30,1)="P",VLOOKUP(CONCATENATE(LEFT($N30,2),"H"),$R$63:$T$91,3,FALSE),VLOOKUP($N30,$R$63:$T$91,3,FALSE)))+IF(AND($N30&lt;&gt;"",$N30&lt;&gt;"O3/CP",$N$15=A$18,MID($N30,4,1)="2",$N$15&lt;&gt;$N$14),VLOOKUP(CONCATENATE(LEFT($N30,2),"L"),$R$63:$T$91,3,FALSE),0)+IF(AND($N30="O3/CP",$N$14=A$18),VLOOKUP("O3",$R$63:$T$91,3,FALSE)+VLOOKUP("CP",$R$63:$T$91,3,FALSE),0)+IF(AND($O30&lt;&gt;"",$O30&lt;&gt;"--",$O30&lt;&gt;"O3/CP",$O$14=A$18),IF(LEFT($O30,1)="P",VLOOKUP(CONCATENATE(LEFT($O30,2),"H"),$R$63:$T$91,3,FALSE),VLOOKUP($O30,$R$63:$T$91,3,FALSE)))+IF(AND($O30&lt;&gt;"",$O30&lt;&gt;"O3/CP",$O$15=A$18,MID($O30,4,1)="2",$O$15&lt;&gt;$O$14),VLOOKUP(CONCATENATE(LEFT($O30,2),"L"),$R$63:$T$91,3,FALSE),0)+IF(AND($O30="O3/CP",$O$14=A$18),VLOOKUP("O3",$R$63:$T$91,3,FALSE)+VLOOKUP("CP",$R$63:$T$91,3,FALSE),0)+IF(AND($P30&lt;&gt;"",$P30&lt;&gt;"--",$P30&lt;&gt;"O3/CP",$P$14=A$18),IF(LEFT($P30,1)="P",VLOOKUP(CONCATENATE(LEFT($P30,2),"H"),$R$63:$T$91,3,FALSE),VLOOKUP($P30,$R$63:$T$91,3,FALSE)))+IF(AND($P30&lt;&gt;"",$P30&lt;&gt;"O3/CP",$P$15=A$18,MID($P30,4,1)="2",$P$15&lt;&gt;$P$14),VLOOKUP(CONCATENATE(LEFT($P30,2),"L"),$R$63:$T$91,3,FALSE),0)+IF(AND($P30="O3/CP",$P$14=A$18),VLOOKUP("O3",$R$63:$T$91,3,FALSE)+VLOOKUP("CP",$R$63:$T$91,3,FALSE),0)+IF(AND($Q30&lt;&gt;"",$Q30&lt;&gt;"--",$Q30&lt;&gt;"O3/CP",$Q$14=A$18),IF(LEFT($Q30,1)="P",VLOOKUP(CONCATENATE(LEFT($Q30,2),"H"),$R$63:$T$91,3,FALSE),VLOOKUP($Q30,$R$63:$T$91,3,FALSE)))+IF(AND($Q30&lt;&gt;"",$Q30&lt;&gt;"O3/CP",$Q$15=A$18,MID($Q30,4,1)="2",$Q$15&lt;&gt;$Q$14),VLOOKUP(CONCATENATE(LEFT($Q30,2),"L"),$R$63:$T$91,3,FALSE),0)+IF(AND($Q30="O3/CP",$Q$14=A$18),VLOOKUP("O3",$R$63:$T$91,3,FALSE)+VLOOKUP("CP",$R$63:$T$91,3,FALSE),0)+IF(AND($R30&lt;&gt;"",$R30&lt;&gt;"--",$R30&lt;&gt;"O3/CP",$R$14=A$18),IF(LEFT($R30,1)="P",VLOOKUP(CONCATENATE(LEFT($R30,2),"H"),$R$63:$T$91,3,FALSE),VLOOKUP($R30,$R$63:$T$91,3,FALSE)))+IF(AND($R30&lt;&gt;"",$R30&lt;&gt;"O3/CP",$R$15=A$18,MID($R30,4,1)="2",$R$15&lt;&gt;$R$14),VLOOKUP(CONCATENATE(LEFT($R30,2),"L"),$R$63:$T$91,3,FALSE),0)+IF(AND($R30="O3/CP",$R$14=A$18),VLOOKUP("O3",$R$63:$T$91,3,FALSE)+VLOOKUP("CP",$R$63:$T$91,3,FALSE),0)+IF(AND($S30&lt;&gt;"",$S30&lt;&gt;"--",$S30&lt;&gt;"O3/CP",$S$14=A$18),IF(LEFT($S30,1)="P",VLOOKUP(CONCATENATE(LEFT($S30,2),"H"),$R$63:$T$91,3,FALSE),VLOOKUP($S30,$R$63:$T$91,3,FALSE)))+IF(AND($S30&lt;&gt;"",$S30&lt;&gt;"O3/CP",$S$15=A$18,MID($S30,4,1)="2",$S$15&lt;&gt;$S$14),VLOOKUP(CONCATENATE(LEFT($S30,2),"L"),$R$63:$T$91,3,FALSE),0)+IF(AND($S30="O3/CP",$S$14=A$18),VLOOKUP("O3",$R$63:$T$91,3,FALSE)+VLOOKUP("CP",$R$63:$T$91,3,FALSE),0)+IF(AND($T30&lt;&gt;"",$T30&lt;&gt;"--",$T30&lt;&gt;"O3/CP",$T$14=A$18),IF(LEFT($T30,1)="P",VLOOKUP(CONCATENATE(LEFT($T30,2),"H"),$R$63:$T$91,3,FALSE),VLOOKUP($T30,$R$63:$T$91,3,FALSE)))+IF(AND($T30&lt;&gt;"",$T30&lt;&gt;"O3/CP",$T$15=A$18,MID($T30,4,1)="2",$T$15&lt;&gt;$T$14),VLOOKUP(CONCATENATE(LEFT($T30,2),"L"),$R$63:$T$91,3,FALSE),0)+IF(AND($T30="O3/CP",$T$14=A$18),VLOOKUP("O3",$R$63:$T$91,3,FALSE)+VLOOKUP("CP",$R$63:$T$91,3,FALSE),0)+IF(AND($U30&lt;&gt;"",$U30&lt;&gt;"--",$U30&lt;&gt;"O3/CP",$U$14=A$18),IF(LEFT($U30,1)="P",VLOOKUP(CONCATENATE(LEFT($U30,2),"H"),$R$63:$T$91,3,FALSE),VLOOKUP($U30,$R$63:$T$91,3,FALSE)))+IF(AND($U30&lt;&gt;"",$U30&lt;&gt;"O3/CP",$U$15=A$18,MID($U30,4,1)="2",$U$15&lt;&gt;$U$14),VLOOKUP(CONCATENATE(LEFT($U30,2),"L"),$R$63:$T$91,3,FALSE),0)+IF(AND($U30="O3/CP",$T$14=A$18),VLOOKUP("O3",$R$63:$T$91,3,FALSE)+VLOOKUP("CP",$R$63:$T$91,3,FALSE),0)+IF(AND($V30&lt;&gt;"",$V30&lt;&gt;"--",$V30&lt;&gt;"O3/CP",$V$14=A$18),IF(LEFT($V30,1)="P",VLOOKUP(CONCATENATE(LEFT($V30,2),"H"),$R$63:$T$91,3,FALSE),VLOOKUP($V30,$R$63:$T$91,3,FALSE)))+IF(AND($V30&lt;&gt;"",$V30&lt;&gt;"O3/CP",$V$15=A$18,MID($V30,4,1)="2",$V$15&lt;&gt;$V$14),VLOOKUP(CONCATENATE(LEFT($V30,2),"L"),$R$63:$T$91,3,FALSE),0)+IF(AND($V30="O3/CP",$V$14=A$18),VLOOKUP("O3",$R$63:$T$91,3,FALSE)+VLOOKUP("CP",$R$63:$T$91,3,FALSE),0)+IF(AND($W30&lt;&gt;"",$W30&lt;&gt;"--",$W30&lt;&gt;"O3/CP",$W$14=A$18),IF(LEFT($W30,1)="P",VLOOKUP(CONCATENATE(LEFT($W30,2),"H"),$R$63:$T$91,3,FALSE),VLOOKUP($W30,$R$63:$T$91,3,FALSE)))+IF(AND($W30&lt;&gt;"",$W30&lt;&gt;"O3/CP",$W$15=A$18,MID($W30,4,1)="2",$W$15&lt;&gt;$W$14),VLOOKUP(CONCATENATE(LEFT($W30,2),"L"),$R$63:$T$91,3,FALSE),0)+IF(AND($W30="O3/CP",$W$14=A$18),VLOOKUP("O3",$R$63:$T$91,3,FALSE)+VLOOKUP("CP",$R$63:$T$91,3,FALSE),0)+IF(AND($X30&lt;&gt;"",$X30&lt;&gt;"--",$X30&lt;&gt;"O3/CP",$X$14=A$18),IF(LEFT($X30,1)="P",VLOOKUP(CONCATENATE(LEFT($X30,2),"H"),$R$63:$T$91,3,FALSE),VLOOKUP($X30,$R$63:$T$91,3,FALSE)))+IF(AND($X30&lt;&gt;"",$X30&lt;&gt;"O3/CP",$X$15=A$18,MID($X30,4,1)="2",$X$15&lt;&gt;$X$14),VLOOKUP(CONCATENATE(LEFT($X30,2),"L"),$R$63:$T$91,3,FALSE),0)+IF(AND($X30="O3/CP",$X$14=A$18),VLOOKUP("O3",$R$63:$T$91,3,FALSE)+VLOOKUP("CP",$R$63:$T$91,3,FALSE),0)+IF(AND($Y30&lt;&gt;"",$Y30&lt;&gt;"--",$Y30&lt;&gt;"O3/CP",$Y$14=A$18),IF(LEFT($Y30,1)="P",VLOOKUP(CONCATENATE(LEFT($Y30,2),"H"),$R$63:$T$91,3,FALSE),VLOOKUP($Y30,$R$63:$T$91,3,FALSE)))+IF(AND($Y30&lt;&gt;"",$Y30&lt;&gt;"O3/CP",$Y$15=A$18,MID($Y30,4,1)="2",$Y$15&lt;&gt;$Y$14),VLOOKUP(CONCATENATE(LEFT($Y30,2),"L"),$R$63:$T$91,3,FALSE),0)+IF(AND($Y30="O3/CP",$Y$14=A$18),VLOOKUP("O3",$R$63:$T$91,3,FALSE)+VLOOKUP("CP",$R$63:$T$91,3,FALSE),0)+IF(AND($K$6="CE",'[3]Supply Attribution'!$G$20=A$18),LEFT($S$90,2),0)+IF(AND($X$86&lt;&gt;"Not Set",$X$87=A$18),$X$86,0)</f>
        <v>0</v>
      </c>
      <c r="B30" s="269">
        <f>IF(AND($K30&lt;&gt;"",$K30&lt;&gt;"--",$K30&lt;&gt;"O3/CP",$K$14=B$18),IF(LEFT($K30,1)="P",VLOOKUP(CONCATENATE(LEFT($K30,2),"H"),$R$63:$T$91,3,FALSE),VLOOKUP($K30,$R$63:$T$91,3,FALSE)))+IF(AND($K30&lt;&gt;"",$K30&lt;&gt;"O3/CP",$K$15=B$18,MID($K30,4,1)="2",$K$15&lt;&gt;$K$14),VLOOKUP(CONCATENATE(LEFT($K30,2),"L"),$R$63:$T$91,3,FALSE),0)+IF(AND($K30="O3/CP",$K$14=B$18),VLOOKUP("O3",$R$63:$T$91,3,FALSE)+VLOOKUP("CP",$R$63:$T$91,3,FALSE),0)+IF(AND($L30&lt;&gt;"",$L30&lt;&gt;"--",$L30&lt;&gt;"O3/CP",$L$14=B$18),IF(LEFT($L30,1)="P",VLOOKUP(CONCATENATE(LEFT($L30,2),"H"),$R$63:$T$91,3,FALSE),VLOOKUP($L30,$R$63:$T$91,3,FALSE)))+IF(AND($L30&lt;&gt;"",$L30&lt;&gt;"O3/CP",$L$15=B$18,MID($L30,4,1)="2",$L$15&lt;&gt;$L$14),VLOOKUP(CONCATENATE(LEFT($L30,2),"L"),$R$63:$T$91,3,FALSE),0)+IF(AND($L30="O3/CP",$L$14=B$18),VLOOKUP("O3",$R$63:$T$91,3,FALSE)+VLOOKUP("CP",$R$63:$T$91,3,FALSE),0)+IF(AND($M30&lt;&gt;"",$M30&lt;&gt;"--",$M30&lt;&gt;"O3/CP",$M$14=B$18),IF(LEFT($M30,1)="P",VLOOKUP(CONCATENATE(LEFT($M30,2),"H"),$R$63:$T$91,3,FALSE),VLOOKUP($M30,$R$63:$T$91,3,FALSE)))+IF(AND($M30&lt;&gt;"",$M30&lt;&gt;"O3/CP",$M$15=B$18,MID($M30,4,1)="2",$M$15&lt;&gt;$M$14),VLOOKUP(CONCATENATE(LEFT($M30,2),"L"),$R$63:$T$91,3,FALSE),0)+IF(AND($M30="O3/CP",$M$14=B$18),VLOOKUP("O3",$R$63:$T$91,3,FALSE)+VLOOKUP("CP",$R$63:$T$91,3,FALSE),0)+IF(AND($N30&lt;&gt;"",$N30&lt;&gt;"--",$N30&lt;&gt;"O3/CP",$N$14=B$18),IF(LEFT($N30,1)="P",VLOOKUP(CONCATENATE(LEFT($N30,2),"H"),$R$63:$T$91,3,FALSE),VLOOKUP($N30,$R$63:$T$91,3,FALSE)))+IF(AND($N30&lt;&gt;"",$N30&lt;&gt;"O3/CP",$N$15=B$18,MID($N30,4,1)="2",$N$15&lt;&gt;$N$14),VLOOKUP(CONCATENATE(LEFT($N30,2),"L"),$R$63:$T$91,3,FALSE),0)+IF(AND($N30="O3/CP",$N$14=B$18),VLOOKUP("O3",$R$63:$T$91,3,FALSE)+VLOOKUP("CP",$R$63:$T$91,3,FALSE),0)+IF(AND($O30&lt;&gt;"",$O30&lt;&gt;"--",$O30&lt;&gt;"O3/CP",$O$14=B$18),IF(LEFT($O30,1)="P",VLOOKUP(CONCATENATE(LEFT($O30,2),"H"),$R$63:$T$91,3,FALSE),VLOOKUP($O30,$R$63:$T$91,3,FALSE)))+IF(AND($O30&lt;&gt;"",$O30&lt;&gt;"O3/CP",$O$15=B$18,MID($O30,4,1)="2",$O$15&lt;&gt;$O$14),VLOOKUP(CONCATENATE(LEFT($O30,2),"L"),$R$63:$T$91,3,FALSE),0)+IF(AND($O30="O3/CP",$O$14=B$18),VLOOKUP("O3",$R$63:$T$91,3,FALSE)+VLOOKUP("CP",$R$63:$T$91,3,FALSE),0)+IF(AND($P30&lt;&gt;"",$P30&lt;&gt;"--",$P30&lt;&gt;"O3/CP",$P$14=B$18),IF(LEFT($P30,1)="P",VLOOKUP(CONCATENATE(LEFT($P30,2),"H"),$R$63:$T$91,3,FALSE),VLOOKUP($P30,$R$63:$T$91,3,FALSE)))+IF(AND($P30&lt;&gt;"",$P30&lt;&gt;"O3/CP",$P$15=B$18,MID($P30,4,1)="2",$P$15&lt;&gt;$P$14),VLOOKUP(CONCATENATE(LEFT($P30,2),"L"),$R$63:$T$91,3,FALSE),0)+IF(AND($P30="O3/CP",$P$14=B$18),VLOOKUP("O3",$R$63:$T$91,3,FALSE)+VLOOKUP("CP",$R$63:$T$91,3,FALSE),0)+IF(AND($Q30&lt;&gt;"",$Q30&lt;&gt;"--",$Q30&lt;&gt;"O3/CP",$Q$14=B$18),IF(LEFT($Q30,1)="P",VLOOKUP(CONCATENATE(LEFT($Q30,2),"H"),$R$63:$T$91,3,FALSE),VLOOKUP($Q30,$R$63:$T$91,3,FALSE)))+IF(AND($Q30&lt;&gt;"",$Q30&lt;&gt;"O3/CP",$Q$15=B$18,MID($Q30,4,1)="2",$Q$15&lt;&gt;$Q$14),VLOOKUP(CONCATENATE(LEFT($Q30,2),"L"),$R$63:$T$91,3,FALSE),0)+IF(AND($Q30="O3/CP",$Q$14=B$18),VLOOKUP("O3",$R$63:$T$91,3,FALSE)+VLOOKUP("CP",$R$63:$T$91,3,FALSE),0)+IF(AND($R30&lt;&gt;"",$R30&lt;&gt;"--",$R30&lt;&gt;"O3/CP",$R$14=B$18),IF(LEFT($R30,1)="P",VLOOKUP(CONCATENATE(LEFT($R30,2),"H"),$R$63:$T$91,3,FALSE),VLOOKUP($R30,$R$63:$T$91,3,FALSE)))+IF(AND($R30&lt;&gt;"",$R30&lt;&gt;"O3/CP",$R$15=B$18,MID($R30,4,1)="2",$R$15&lt;&gt;$R$14),VLOOKUP(CONCATENATE(LEFT($R30,2),"L"),$R$63:$T$91,3,FALSE),0)+IF(AND($R30="O3/CP",$R$14=B$18),VLOOKUP("O3",$R$63:$T$91,3,FALSE)+VLOOKUP("CP",$R$63:$T$91,3,FALSE),0)+IF(AND($S30&lt;&gt;"",$S30&lt;&gt;"--",$S30&lt;&gt;"O3/CP",$S$14=B$18),IF(LEFT($S30,1)="P",VLOOKUP(CONCATENATE(LEFT($S30,2),"H"),$R$63:$T$91,3,FALSE),VLOOKUP($S30,$R$63:$T$91,3,FALSE)))+IF(AND($S30&lt;&gt;"",$S30&lt;&gt;"O3/CP",$S$15=B$18,MID($S30,4,1)="2",$S$15&lt;&gt;$S$14),VLOOKUP(CONCATENATE(LEFT($S30,2),"L"),$R$63:$T$91,3,FALSE),0)+IF(AND($S30="O3/CP",$S$14=B$18),VLOOKUP("O3",$R$63:$T$91,3,FALSE)+VLOOKUP("CP",$R$63:$T$91,3,FALSE),0)+IF(AND($T30&lt;&gt;"",$T30&lt;&gt;"--",$T30&lt;&gt;"O3/CP",$T$14=B$18),IF(LEFT($T30,1)="P",VLOOKUP(CONCATENATE(LEFT($T30,2),"H"),$R$63:$T$91,3,FALSE),VLOOKUP($T30,$R$63:$T$91,3,FALSE)))+IF(AND($T30&lt;&gt;"",$T30&lt;&gt;"O3/CP",$T$15=B$18,MID($T30,4,1)="2",$T$15&lt;&gt;$T$14),VLOOKUP(CONCATENATE(LEFT($T30,2),"L"),$R$63:$T$91,3,FALSE),0)+IF(AND($T30="O3/CP",$T$14=B$18),VLOOKUP("O3",$R$63:$T$91,3,FALSE)+VLOOKUP("CP",$R$63:$T$91,3,FALSE),0)+IF(AND($U30&lt;&gt;"",$U30&lt;&gt;"--",$U30&lt;&gt;"O3/CP",$U$14=B$18),IF(LEFT($U30,1)="P",VLOOKUP(CONCATENATE(LEFT($U30,2),"H"),$R$63:$T$91,3,FALSE),VLOOKUP($U30,$R$63:$T$91,3,FALSE)))+IF(AND($U30&lt;&gt;"",$U30&lt;&gt;"O3/CP",$U$15=B$18,MID($U30,4,1)="2",$U$15&lt;&gt;$U$14),VLOOKUP(CONCATENATE(LEFT($U30,2),"L"),$R$63:$T$91,3,FALSE),0)+IF(AND($U30="O3/CP",$T$14=B$18),VLOOKUP("O3",$R$63:$T$91,3,FALSE)+VLOOKUP("CP",$R$63:$T$91,3,FALSE),0)+IF(AND($V30&lt;&gt;"",$V30&lt;&gt;"--",$V30&lt;&gt;"O3/CP",$V$14=B$18),IF(LEFT($V30,1)="P",VLOOKUP(CONCATENATE(LEFT($V30,2),"H"),$R$63:$T$91,3,FALSE),VLOOKUP($V30,$R$63:$T$91,3,FALSE)))+IF(AND($V30&lt;&gt;"",$V30&lt;&gt;"O3/CP",$V$15=B$18,MID($V30,4,1)="2",$V$15&lt;&gt;$V$14),VLOOKUP(CONCATENATE(LEFT($V30,2),"L"),$R$63:$T$91,3,FALSE),0)+IF(AND($V30="O3/CP",$V$14=B$18),VLOOKUP("O3",$R$63:$T$91,3,FALSE)+VLOOKUP("CP",$R$63:$T$91,3,FALSE),0)+IF(AND($W30&lt;&gt;"",$W30&lt;&gt;"--",$W30&lt;&gt;"O3/CP",$W$14=B$18),IF(LEFT($W30,1)="P",VLOOKUP(CONCATENATE(LEFT($W30,2),"H"),$R$63:$T$91,3,FALSE),VLOOKUP($W30,$R$63:$T$91,3,FALSE)))+IF(AND($W30&lt;&gt;"",$W30&lt;&gt;"O3/CP",$W$15=B$18,MID($W30,4,1)="2",$W$15&lt;&gt;$W$14),VLOOKUP(CONCATENATE(LEFT($W30,2),"L"),$R$63:$T$91,3,FALSE),0)+IF(AND($W30="O3/CP",$W$14=B$18),VLOOKUP("O3",$R$63:$T$91,3,FALSE)+VLOOKUP("CP",$R$63:$T$91,3,FALSE),0)+IF(AND($X30&lt;&gt;"",$X30&lt;&gt;"--",$X30&lt;&gt;"O3/CP",$X$14=B$18),IF(LEFT($X30,1)="P",VLOOKUP(CONCATENATE(LEFT($X30,2),"H"),$R$63:$T$91,3,FALSE),VLOOKUP($X30,$R$63:$T$91,3,FALSE)))+IF(AND($X30&lt;&gt;"",$X30&lt;&gt;"O3/CP",$X$15=B$18,MID($X30,4,1)="2",$X$15&lt;&gt;$X$14),VLOOKUP(CONCATENATE(LEFT($X30,2),"L"),$R$63:$T$91,3,FALSE),0)+IF(AND($X30="O3/CP",$X$14=B$18),VLOOKUP("O3",$R$63:$T$91,3,FALSE)+VLOOKUP("CP",$R$63:$T$91,3,FALSE),0)+IF(AND($Y30&lt;&gt;"",$Y30&lt;&gt;"--",$Y30&lt;&gt;"O3/CP",$Y$14=B$18),IF(LEFT($Y30,1)="P",VLOOKUP(CONCATENATE(LEFT($Y30,2),"H"),$R$63:$T$91,3,FALSE),VLOOKUP($Y30,$R$63:$T$91,3,FALSE)))+IF(AND($Y30&lt;&gt;"",$Y30&lt;&gt;"O3/CP",$Y$15=B$18,MID($Y30,4,1)="2",$Y$15&lt;&gt;$Y$14),VLOOKUP(CONCATENATE(LEFT($Y30,2),"L"),$R$63:$T$91,3,FALSE),0)+IF(AND($Y30="O3/CP",$Y$14=B$18),VLOOKUP("O3",$R$63:$T$91,3,FALSE)+VLOOKUP("CP",$R$63:$T$91,3,FALSE),0)+IF(AND($K$6="CE",'[3]Supply Attribution'!$G$20=B$18),LEFT($S$90,2),0)+IF(AND($X$86&lt;&gt;"Not Set",$X$87=B$18),$X$86,0)</f>
        <v>0</v>
      </c>
      <c r="C30" s="269">
        <f>IF(AND($K30&lt;&gt;"",$K30&lt;&gt;"--",$K30&lt;&gt;"O3/CP",$K$14=C$18),IF(LEFT($K30,1)="P",VLOOKUP(CONCATENATE(LEFT($K30,2),"H"),$R$63:$T$91,3,FALSE),VLOOKUP($K30,$R$63:$T$91,3,FALSE)))+IF(AND($K30&lt;&gt;"",$K30&lt;&gt;"O3/CP",$K$15=C$18,MID($K30,4,1)="2",$K$15&lt;&gt;$K$14),VLOOKUP(CONCATENATE(LEFT($K30,2),"L"),$R$63:$T$91,3,FALSE),0)+IF(AND($K30="O3/CP",$K$14=C$18),VLOOKUP("O3",$R$63:$T$91,3,FALSE)+VLOOKUP("CP",$R$63:$T$91,3,FALSE),0)+IF(AND($L30&lt;&gt;"",$L30&lt;&gt;"--",$L30&lt;&gt;"O3/CP",$L$14=C$18),IF(LEFT($L30,1)="P",VLOOKUP(CONCATENATE(LEFT($L30,2),"H"),$R$63:$T$91,3,FALSE),VLOOKUP($L30,$R$63:$T$91,3,FALSE)))+IF(AND($L30&lt;&gt;"",$L30&lt;&gt;"O3/CP",$L$15=C$18,MID($L30,4,1)="2",$L$15&lt;&gt;$L$14),VLOOKUP(CONCATENATE(LEFT($L30,2),"L"),$R$63:$T$91,3,FALSE),0)+IF(AND($L30="O3/CP",$L$14=C$18),VLOOKUP("O3",$R$63:$T$91,3,FALSE)+VLOOKUP("CP",$R$63:$T$91,3,FALSE),0)+IF(AND($M30&lt;&gt;"",$M30&lt;&gt;"--",$M30&lt;&gt;"O3/CP",$M$14=C$18),IF(LEFT($M30,1)="P",VLOOKUP(CONCATENATE(LEFT($M30,2),"H"),$R$63:$T$91,3,FALSE),VLOOKUP($M30,$R$63:$T$91,3,FALSE)))+IF(AND($M30&lt;&gt;"",$M30&lt;&gt;"O3/CP",$M$15=C$18,MID($M30,4,1)="2",$M$15&lt;&gt;$M$14),VLOOKUP(CONCATENATE(LEFT($M30,2),"L"),$R$63:$T$91,3,FALSE),0)+IF(AND($M30="O3/CP",$M$14=C$18),VLOOKUP("O3",$R$63:$T$91,3,FALSE)+VLOOKUP("CP",$R$63:$T$91,3,FALSE),0)+IF(AND($N30&lt;&gt;"",$N30&lt;&gt;"--",$N30&lt;&gt;"O3/CP",$N$14=C$18),IF(LEFT($N30,1)="P",VLOOKUP(CONCATENATE(LEFT($N30,2),"H"),$R$63:$T$91,3,FALSE),VLOOKUP($N30,$R$63:$T$91,3,FALSE)))+IF(AND($N30&lt;&gt;"",$N30&lt;&gt;"O3/CP",$N$15=C$18,MID($N30,4,1)="2",$N$15&lt;&gt;$N$14),VLOOKUP(CONCATENATE(LEFT($N30,2),"L"),$R$63:$T$91,3,FALSE),0)+IF(AND($N30="O3/CP",$N$14=C$18),VLOOKUP("O3",$R$63:$T$91,3,FALSE)+VLOOKUP("CP",$R$63:$T$91,3,FALSE),0)+IF(AND($O30&lt;&gt;"",$O30&lt;&gt;"--",$O30&lt;&gt;"O3/CP",$O$14=C$18),IF(LEFT($O30,1)="P",VLOOKUP(CONCATENATE(LEFT($O30,2),"H"),$R$63:$T$91,3,FALSE),VLOOKUP($O30,$R$63:$T$91,3,FALSE)))+IF(AND($O30&lt;&gt;"",$O30&lt;&gt;"O3/CP",$O$15=C$18,MID($O30,4,1)="2",$O$15&lt;&gt;$O$14),VLOOKUP(CONCATENATE(LEFT($O30,2),"L"),$R$63:$T$91,3,FALSE),0)+IF(AND($O30="O3/CP",$O$14=C$18),VLOOKUP("O3",$R$63:$T$91,3,FALSE)+VLOOKUP("CP",$R$63:$T$91,3,FALSE),0)+IF(AND($P30&lt;&gt;"",$P30&lt;&gt;"--",$P30&lt;&gt;"O3/CP",$P$14=C$18),IF(LEFT($P30,1)="P",VLOOKUP(CONCATENATE(LEFT($P30,2),"H"),$R$63:$T$91,3,FALSE),VLOOKUP($P30,$R$63:$T$91,3,FALSE)))+IF(AND($P30&lt;&gt;"",$P30&lt;&gt;"O3/CP",$P$15=C$18,MID($P30,4,1)="2",$P$15&lt;&gt;$P$14),VLOOKUP(CONCATENATE(LEFT($P30,2),"L"),$R$63:$T$91,3,FALSE),0)+IF(AND($P30="O3/CP",$P$14=C$18),VLOOKUP("O3",$R$63:$T$91,3,FALSE)+VLOOKUP("CP",$R$63:$T$91,3,FALSE),0)+IF(AND($Q30&lt;&gt;"",$Q30&lt;&gt;"--",$Q30&lt;&gt;"O3/CP",$Q$14=C$18),IF(LEFT($Q30,1)="P",VLOOKUP(CONCATENATE(LEFT($Q30,2),"H"),$R$63:$T$91,3,FALSE),VLOOKUP($Q30,$R$63:$T$91,3,FALSE)))+IF(AND($Q30&lt;&gt;"",$Q30&lt;&gt;"O3/CP",$Q$15=C$18,MID($Q30,4,1)="2",$Q$15&lt;&gt;$Q$14),VLOOKUP(CONCATENATE(LEFT($Q30,2),"L"),$R$63:$T$91,3,FALSE),0)+IF(AND($Q30="O3/CP",$Q$14=C$18),VLOOKUP("O3",$R$63:$T$91,3,FALSE)+VLOOKUP("CP",$R$63:$T$91,3,FALSE),0)+IF(AND($R30&lt;&gt;"",$R30&lt;&gt;"--",$R30&lt;&gt;"O3/CP",$R$14=C$18),IF(LEFT($R30,1)="P",VLOOKUP(CONCATENATE(LEFT($R30,2),"H"),$R$63:$T$91,3,FALSE),VLOOKUP($R30,$R$63:$T$91,3,FALSE)))+IF(AND($R30&lt;&gt;"",$R30&lt;&gt;"O3/CP",$R$15=C$18,MID($R30,4,1)="2",$R$15&lt;&gt;$R$14),VLOOKUP(CONCATENATE(LEFT($R30,2),"L"),$R$63:$T$91,3,FALSE),0)+IF(AND($R30="O3/CP",$R$14=C$18),VLOOKUP("O3",$R$63:$T$91,3,FALSE)+VLOOKUP("CP",$R$63:$T$91,3,FALSE),0)+IF(AND($S30&lt;&gt;"",$S30&lt;&gt;"--",$S30&lt;&gt;"O3/CP",$S$14=C$18),IF(LEFT($S30,1)="P",VLOOKUP(CONCATENATE(LEFT($S30,2),"H"),$R$63:$T$91,3,FALSE),VLOOKUP($S30,$R$63:$T$91,3,FALSE)))+IF(AND($S30&lt;&gt;"",$S30&lt;&gt;"O3/CP",$S$15=C$18,MID($S30,4,1)="2",$S$15&lt;&gt;$S$14),VLOOKUP(CONCATENATE(LEFT($S30,2),"L"),$R$63:$T$91,3,FALSE),0)+IF(AND($S30="O3/CP",$S$14=C$18),VLOOKUP("O3",$R$63:$T$91,3,FALSE)+VLOOKUP("CP",$R$63:$T$91,3,FALSE),0)+IF(AND($T30&lt;&gt;"",$T30&lt;&gt;"--",$T30&lt;&gt;"O3/CP",$T$14=C$18),IF(LEFT($T30,1)="P",VLOOKUP(CONCATENATE(LEFT($T30,2),"H"),$R$63:$T$91,3,FALSE),VLOOKUP($T30,$R$63:$T$91,3,FALSE)))+IF(AND($T30&lt;&gt;"",$T30&lt;&gt;"O3/CP",$T$15=C$18,MID($T30,4,1)="2",$T$15&lt;&gt;$T$14),VLOOKUP(CONCATENATE(LEFT($T30,2),"L"),$R$63:$T$91,3,FALSE),0)+IF(AND($T30="O3/CP",$T$14=C$18),VLOOKUP("O3",$R$63:$T$91,3,FALSE)+VLOOKUP("CP",$R$63:$T$91,3,FALSE),0)+IF(AND($U30&lt;&gt;"",$U30&lt;&gt;"--",$U30&lt;&gt;"O3/CP",$U$14=C$18),IF(LEFT($U30,1)="P",VLOOKUP(CONCATENATE(LEFT($U30,2),"H"),$R$63:$T$91,3,FALSE),VLOOKUP($U30,$R$63:$T$91,3,FALSE)))+IF(AND($U30&lt;&gt;"",$U30&lt;&gt;"O3/CP",$U$15=C$18,MID($U30,4,1)="2",$U$15&lt;&gt;$U$14),VLOOKUP(CONCATENATE(LEFT($U30,2),"L"),$R$63:$T$91,3,FALSE),0)+IF(AND($U30="O3/CP",$T$14=C$18),VLOOKUP("O3",$R$63:$T$91,3,FALSE)+VLOOKUP("CP",$R$63:$T$91,3,FALSE),0)+IF(AND($V30&lt;&gt;"",$V30&lt;&gt;"--",$V30&lt;&gt;"O3/CP",$V$14=C$18),IF(LEFT($V30,1)="P",VLOOKUP(CONCATENATE(LEFT($V30,2),"H"),$R$63:$T$91,3,FALSE),VLOOKUP($V30,$R$63:$T$91,3,FALSE)))+IF(AND($V30&lt;&gt;"",$V30&lt;&gt;"O3/CP",$V$15=C$18,MID($V30,4,1)="2",$V$15&lt;&gt;$V$14),VLOOKUP(CONCATENATE(LEFT($V30,2),"L"),$R$63:$T$91,3,FALSE),0)+IF(AND($V30="O3/CP",$V$14=C$18),VLOOKUP("O3",$R$63:$T$91,3,FALSE)+VLOOKUP("CP",$R$63:$T$91,3,FALSE),0)+IF(AND($W30&lt;&gt;"",$W30&lt;&gt;"--",$W30&lt;&gt;"O3/CP",$W$14=C$18),IF(LEFT($W30,1)="P",VLOOKUP(CONCATENATE(LEFT($W30,2),"H"),$R$63:$T$91,3,FALSE),VLOOKUP($W30,$R$63:$T$91,3,FALSE)))+IF(AND($W30&lt;&gt;"",$W30&lt;&gt;"O3/CP",$W$15=C$18,MID($W30,4,1)="2",$W$15&lt;&gt;$W$14),VLOOKUP(CONCATENATE(LEFT($W30,2),"L"),$R$63:$T$91,3,FALSE),0)+IF(AND($W30="O3/CP",$W$14=C$18),VLOOKUP("O3",$R$63:$T$91,3,FALSE)+VLOOKUP("CP",$R$63:$T$91,3,FALSE),0)+IF(AND($X30&lt;&gt;"",$X30&lt;&gt;"--",$X30&lt;&gt;"O3/CP",$X$14=C$18),IF(LEFT($X30,1)="P",VLOOKUP(CONCATENATE(LEFT($X30,2),"H"),$R$63:$T$91,3,FALSE),VLOOKUP($X30,$R$63:$T$91,3,FALSE)))+IF(AND($X30&lt;&gt;"",$X30&lt;&gt;"O3/CP",$X$15=C$18,MID($X30,4,1)="2",$X$15&lt;&gt;$X$14),VLOOKUP(CONCATENATE(LEFT($X30,2),"L"),$R$63:$T$91,3,FALSE),0)+IF(AND($X30="O3/CP",$X$14=C$18),VLOOKUP("O3",$R$63:$T$91,3,FALSE)+VLOOKUP("CP",$R$63:$T$91,3,FALSE),0)+IF(AND($Y30&lt;&gt;"",$Y30&lt;&gt;"--",$Y30&lt;&gt;"O3/CP",$Y$14=C$18),IF(LEFT($Y30,1)="P",VLOOKUP(CONCATENATE(LEFT($Y30,2),"H"),$R$63:$T$91,3,FALSE),VLOOKUP($Y30,$R$63:$T$91,3,FALSE)))+IF(AND($Y30&lt;&gt;"",$Y30&lt;&gt;"O3/CP",$Y$15=C$18,MID($Y30,4,1)="2",$Y$15&lt;&gt;$Y$14),VLOOKUP(CONCATENATE(LEFT($Y30,2),"L"),$R$63:$T$91,3,FALSE),0)+IF(AND($Y30="O3/CP",$Y$14=C$18),VLOOKUP("O3",$R$63:$T$91,3,FALSE)+VLOOKUP("CP",$R$63:$T$91,3,FALSE),0)+IF(AND($K$6="CE",'[3]Supply Attribution'!$G$20=C$18),LEFT($S$90,2),0)+IF(AND($X$86&lt;&gt;"Not Set",$X$87=C$18),$X$86,0)</f>
        <v>0</v>
      </c>
      <c r="D30" s="269">
        <f>IF(AND($K30&lt;&gt;"",$K30&lt;&gt;"--",$K30&lt;&gt;"O3/CP",$K$14=D$18),IF(LEFT($K30,1)="P",VLOOKUP(CONCATENATE(LEFT($K30,2),"H"),$R$63:$T$91,3,FALSE),VLOOKUP($K30,$R$63:$T$91,3,FALSE)))+IF(AND($K30&lt;&gt;"",$K30&lt;&gt;"O3/CP",$K$15=D$18,MID($K30,4,1)="2",$K$15&lt;&gt;$K$14),VLOOKUP(CONCATENATE(LEFT($K30,2),"L"),$R$63:$T$91,3,FALSE),0)+IF(AND($K30="O3/CP",$K$14=D$18),VLOOKUP("O3",$R$63:$T$91,3,FALSE)+VLOOKUP("CP",$R$63:$T$91,3,FALSE),0)+IF(AND($L30&lt;&gt;"",$L30&lt;&gt;"--",$L30&lt;&gt;"O3/CP",$L$14=D$18),IF(LEFT($L30,1)="P",VLOOKUP(CONCATENATE(LEFT($L30,2),"H"),$R$63:$T$91,3,FALSE),VLOOKUP($L30,$R$63:$T$91,3,FALSE)))+IF(AND($L30&lt;&gt;"",$L30&lt;&gt;"O3/CP",$L$15=D$18,MID($L30,4,1)="2",$L$15&lt;&gt;$L$14),VLOOKUP(CONCATENATE(LEFT($L30,2),"L"),$R$63:$T$91,3,FALSE),0)+IF(AND($L30="O3/CP",$L$14=D$18),VLOOKUP("O3",$R$63:$T$91,3,FALSE)+VLOOKUP("CP",$R$63:$T$91,3,FALSE),0)+IF(AND($M30&lt;&gt;"",$M30&lt;&gt;"--",$M30&lt;&gt;"O3/CP",$M$14=D$18),IF(LEFT($M30,1)="P",VLOOKUP(CONCATENATE(LEFT($M30,2),"H"),$R$63:$T$91,3,FALSE),VLOOKUP($M30,$R$63:$T$91,3,FALSE)))+IF(AND($M30&lt;&gt;"",$M30&lt;&gt;"O3/CP",$M$15=D$18,MID($M30,4,1)="2",$M$15&lt;&gt;$M$14),VLOOKUP(CONCATENATE(LEFT($M30,2),"L"),$R$63:$T$91,3,FALSE),0)+IF(AND($M30="O3/CP",$M$14=D$18),VLOOKUP("O3",$R$63:$T$91,3,FALSE)+VLOOKUP("CP",$R$63:$T$91,3,FALSE),0)+IF(AND($N30&lt;&gt;"",$N30&lt;&gt;"--",$N30&lt;&gt;"O3/CP",$N$14=D$18),IF(LEFT($N30,1)="P",VLOOKUP(CONCATENATE(LEFT($N30,2),"H"),$R$63:$T$91,3,FALSE),VLOOKUP($N30,$R$63:$T$91,3,FALSE)))+IF(AND($N30&lt;&gt;"",$N30&lt;&gt;"O3/CP",$N$15=D$18,MID($N30,4,1)="2",$N$15&lt;&gt;$N$14),VLOOKUP(CONCATENATE(LEFT($N30,2),"L"),$R$63:$T$91,3,FALSE),0)+IF(AND($N30="O3/CP",$N$14=D$18),VLOOKUP("O3",$R$63:$T$91,3,FALSE)+VLOOKUP("CP",$R$63:$T$91,3,FALSE),0)+IF(AND($O30&lt;&gt;"",$O30&lt;&gt;"--",$O30&lt;&gt;"O3/CP",$O$14=D$18),IF(LEFT($O30,1)="P",VLOOKUP(CONCATENATE(LEFT($O30,2),"H"),$R$63:$T$91,3,FALSE),VLOOKUP($O30,$R$63:$T$91,3,FALSE)))+IF(AND($O30&lt;&gt;"",$O30&lt;&gt;"O3/CP",$O$15=D$18,MID($O30,4,1)="2",$O$15&lt;&gt;$O$14),VLOOKUP(CONCATENATE(LEFT($O30,2),"L"),$R$63:$T$91,3,FALSE),0)+IF(AND($O30="O3/CP",$O$14=D$18),VLOOKUP("O3",$R$63:$T$91,3,FALSE)+VLOOKUP("CP",$R$63:$T$91,3,FALSE),0)+IF(AND($P30&lt;&gt;"",$P30&lt;&gt;"--",$P30&lt;&gt;"O3/CP",$P$14=D$18),IF(LEFT($P30,1)="P",VLOOKUP(CONCATENATE(LEFT($P30,2),"H"),$R$63:$T$91,3,FALSE),VLOOKUP($P30,$R$63:$T$91,3,FALSE)))+IF(AND($P30&lt;&gt;"",$P30&lt;&gt;"O3/CP",$P$15=D$18,MID($P30,4,1)="2",$P$15&lt;&gt;$P$14),VLOOKUP(CONCATENATE(LEFT($P30,2),"L"),$R$63:$T$91,3,FALSE),0)+IF(AND($P30="O3/CP",$P$14=D$18),VLOOKUP("O3",$R$63:$T$91,3,FALSE)+VLOOKUP("CP",$R$63:$T$91,3,FALSE),0)+IF(AND($Q30&lt;&gt;"",$Q30&lt;&gt;"--",$Q30&lt;&gt;"O3/CP",$Q$14=D$18),IF(LEFT($Q30,1)="P",VLOOKUP(CONCATENATE(LEFT($Q30,2),"H"),$R$63:$T$91,3,FALSE),VLOOKUP($Q30,$R$63:$T$91,3,FALSE)))+IF(AND($Q30&lt;&gt;"",$Q30&lt;&gt;"O3/CP",$Q$15=D$18,MID($Q30,4,1)="2",$Q$15&lt;&gt;$Q$14),VLOOKUP(CONCATENATE(LEFT($Q30,2),"L"),$R$63:$T$91,3,FALSE),0)+IF(AND($Q30="O3/CP",$Q$14=D$18),VLOOKUP("O3",$R$63:$T$91,3,FALSE)+VLOOKUP("CP",$R$63:$T$91,3,FALSE),0)+IF(AND($R30&lt;&gt;"",$R30&lt;&gt;"--",$R30&lt;&gt;"O3/CP",$R$14=D$18),IF(LEFT($R30,1)="P",VLOOKUP(CONCATENATE(LEFT($R30,2),"H"),$R$63:$T$91,3,FALSE),VLOOKUP($R30,$R$63:$T$91,3,FALSE)))+IF(AND($R30&lt;&gt;"",$R30&lt;&gt;"O3/CP",$R$15=D$18,MID($R30,4,1)="2",$R$15&lt;&gt;$R$14),VLOOKUP(CONCATENATE(LEFT($R30,2),"L"),$R$63:$T$91,3,FALSE),0)+IF(AND($R30="O3/CP",$R$14=D$18),VLOOKUP("O3",$R$63:$T$91,3,FALSE)+VLOOKUP("CP",$R$63:$T$91,3,FALSE),0)+IF(AND($S30&lt;&gt;"",$S30&lt;&gt;"--",$S30&lt;&gt;"O3/CP",$S$14=D$18),IF(LEFT($S30,1)="P",VLOOKUP(CONCATENATE(LEFT($S30,2),"H"),$R$63:$T$91,3,FALSE),VLOOKUP($S30,$R$63:$T$91,3,FALSE)))+IF(AND($S30&lt;&gt;"",$S30&lt;&gt;"O3/CP",$S$15=D$18,MID($S30,4,1)="2",$S$15&lt;&gt;$S$14),VLOOKUP(CONCATENATE(LEFT($S30,2),"L"),$R$63:$T$91,3,FALSE),0)+IF(AND($S30="O3/CP",$S$14=D$18),VLOOKUP("O3",$R$63:$T$91,3,FALSE)+VLOOKUP("CP",$R$63:$T$91,3,FALSE),0)+IF(AND($T30&lt;&gt;"",$T30&lt;&gt;"--",$T30&lt;&gt;"O3/CP",$T$14=D$18),IF(LEFT($T30,1)="P",VLOOKUP(CONCATENATE(LEFT($T30,2),"H"),$R$63:$T$91,3,FALSE),VLOOKUP($T30,$R$63:$T$91,3,FALSE)))+IF(AND($T30&lt;&gt;"",$T30&lt;&gt;"O3/CP",$T$15=D$18,MID($T30,4,1)="2",$T$15&lt;&gt;$T$14),VLOOKUP(CONCATENATE(LEFT($T30,2),"L"),$R$63:$T$91,3,FALSE),0)+IF(AND($T30="O3/CP",$T$14=D$18),VLOOKUP("O3",$R$63:$T$91,3,FALSE)+VLOOKUP("CP",$R$63:$T$91,3,FALSE),0)+IF(AND($U30&lt;&gt;"",$U30&lt;&gt;"--",$U30&lt;&gt;"O3/CP",$U$14=D$18),IF(LEFT($U30,1)="P",VLOOKUP(CONCATENATE(LEFT($U30,2),"H"),$R$63:$T$91,3,FALSE),VLOOKUP($U30,$R$63:$T$91,3,FALSE)))+IF(AND($U30&lt;&gt;"",$U30&lt;&gt;"O3/CP",$U$15=D$18,MID($U30,4,1)="2",$U$15&lt;&gt;$U$14),VLOOKUP(CONCATENATE(LEFT($U30,2),"L"),$R$63:$T$91,3,FALSE),0)+IF(AND($U30="O3/CP",$T$14=D$18),VLOOKUP("O3",$R$63:$T$91,3,FALSE)+VLOOKUP("CP",$R$63:$T$91,3,FALSE),0)+IF(AND($V30&lt;&gt;"",$V30&lt;&gt;"--",$V30&lt;&gt;"O3/CP",$V$14=D$18),IF(LEFT($V30,1)="P",VLOOKUP(CONCATENATE(LEFT($V30,2),"H"),$R$63:$T$91,3,FALSE),VLOOKUP($V30,$R$63:$T$91,3,FALSE)))+IF(AND($V30&lt;&gt;"",$V30&lt;&gt;"O3/CP",$V$15=D$18,MID($V30,4,1)="2",$V$15&lt;&gt;$V$14),VLOOKUP(CONCATENATE(LEFT($V30,2),"L"),$R$63:$T$91,3,FALSE),0)+IF(AND($V30="O3/CP",$V$14=D$18),VLOOKUP("O3",$R$63:$T$91,3,FALSE)+VLOOKUP("CP",$R$63:$T$91,3,FALSE),0)+IF(AND($W30&lt;&gt;"",$W30&lt;&gt;"--",$W30&lt;&gt;"O3/CP",$W$14=D$18),IF(LEFT($W30,1)="P",VLOOKUP(CONCATENATE(LEFT($W30,2),"H"),$R$63:$T$91,3,FALSE),VLOOKUP($W30,$R$63:$T$91,3,FALSE)))+IF(AND($W30&lt;&gt;"",$W30&lt;&gt;"O3/CP",$W$15=D$18,MID($W30,4,1)="2",$W$15&lt;&gt;$W$14),VLOOKUP(CONCATENATE(LEFT($W30,2),"L"),$R$63:$T$91,3,FALSE),0)+IF(AND($W30="O3/CP",$W$14=D$18),VLOOKUP("O3",$R$63:$T$91,3,FALSE)+VLOOKUP("CP",$R$63:$T$91,3,FALSE),0)+IF(AND($X30&lt;&gt;"",$X30&lt;&gt;"--",$X30&lt;&gt;"O3/CP",$X$14=D$18),IF(LEFT($X30,1)="P",VLOOKUP(CONCATENATE(LEFT($X30,2),"H"),$R$63:$T$91,3,FALSE),VLOOKUP($X30,$R$63:$T$91,3,FALSE)))+IF(AND($X30&lt;&gt;"",$X30&lt;&gt;"O3/CP",$X$15=D$18,MID($X30,4,1)="2",$X$15&lt;&gt;$X$14),VLOOKUP(CONCATENATE(LEFT($X30,2),"L"),$R$63:$T$91,3,FALSE),0)+IF(AND($X30="O3/CP",$X$14=D$18),VLOOKUP("O3",$R$63:$T$91,3,FALSE)+VLOOKUP("CP",$R$63:$T$91,3,FALSE),0)+IF(AND($Y30&lt;&gt;"",$Y30&lt;&gt;"--",$Y30&lt;&gt;"O3/CP",$Y$14=D$18),IF(LEFT($Y30,1)="P",VLOOKUP(CONCATENATE(LEFT($Y30,2),"H"),$R$63:$T$91,3,FALSE),VLOOKUP($Y30,$R$63:$T$91,3,FALSE)))+IF(AND($Y30&lt;&gt;"",$Y30&lt;&gt;"O3/CP",$Y$15=D$18,MID($Y30,4,1)="2",$Y$15&lt;&gt;$Y$14),VLOOKUP(CONCATENATE(LEFT($Y30,2),"L"),$R$63:$T$91,3,FALSE),0)+IF(AND($Y30="O3/CP",$Y$14=D$18),VLOOKUP("O3",$R$63:$T$91,3,FALSE)+VLOOKUP("CP",$R$63:$T$91,3,FALSE),0)+IF(AND($K$6="CE",'[3]Supply Attribution'!$G$20=D$18),LEFT($S$90,2),0)+IF(AND($X$86&lt;&gt;"Not Set",$X$87=D$18),$X$86,0)</f>
        <v>0</v>
      </c>
      <c r="E30" s="269">
        <f>IF(AND($K30&lt;&gt;"",$K30&lt;&gt;"--",$K30&lt;&gt;"O3/CP",$K$14=E$18),IF(LEFT($K30,1)="P",VLOOKUP(CONCATENATE(LEFT($K30,2),"H"),$R$63:$T$91,3,FALSE),VLOOKUP($K30,$R$63:$T$91,3,FALSE)))+IF(AND($K30&lt;&gt;"",$K30&lt;&gt;"O3/CP",$K$15=E$18,MID($K30,4,1)="2",$K$15&lt;&gt;$K$14),VLOOKUP(CONCATENATE(LEFT($K30,2),"L"),$R$63:$T$91,3,FALSE),0)+IF(AND($K30="O3/CP",$K$14=E$18),VLOOKUP("O3",$R$63:$T$91,3,FALSE)+VLOOKUP("CP",$R$63:$T$91,3,FALSE),0)+IF(AND($L30&lt;&gt;"",$L30&lt;&gt;"--",$L30&lt;&gt;"O3/CP",$L$14=E$18),IF(LEFT($L30,1)="P",VLOOKUP(CONCATENATE(LEFT($L30,2),"H"),$R$63:$T$91,3,FALSE),VLOOKUP($L30,$R$63:$T$91,3,FALSE)))+IF(AND($L30&lt;&gt;"",$L30&lt;&gt;"O3/CP",$L$15=E$18,MID($L30,4,1)="2",$L$15&lt;&gt;$L$14),VLOOKUP(CONCATENATE(LEFT($L30,2),"L"),$R$63:$T$91,3,FALSE),0)+IF(AND($L30="O3/CP",$L$14=E$18),VLOOKUP("O3",$R$63:$T$91,3,FALSE)+VLOOKUP("CP",$R$63:$T$91,3,FALSE),0)+IF(AND($M30&lt;&gt;"",$M30&lt;&gt;"--",$M30&lt;&gt;"O3/CP",$M$14=E$18),IF(LEFT($M30,1)="P",VLOOKUP(CONCATENATE(LEFT($M30,2),"H"),$R$63:$T$91,3,FALSE),VLOOKUP($M30,$R$63:$T$91,3,FALSE)))+IF(AND($M30&lt;&gt;"",$M30&lt;&gt;"O3/CP",$M$15=E$18,MID($M30,4,1)="2",$M$15&lt;&gt;$M$14),VLOOKUP(CONCATENATE(LEFT($M30,2),"L"),$R$63:$T$91,3,FALSE),0)+IF(AND($M30="O3/CP",$M$14=E$18),VLOOKUP("O3",$R$63:$T$91,3,FALSE)+VLOOKUP("CP",$R$63:$T$91,3,FALSE),0)+IF(AND($N30&lt;&gt;"",$N30&lt;&gt;"--",$N30&lt;&gt;"O3/CP",$N$14=E$18),IF(LEFT($N30,1)="P",VLOOKUP(CONCATENATE(LEFT($N30,2),"H"),$R$63:$T$91,3,FALSE),VLOOKUP($N30,$R$63:$T$91,3,FALSE)))+IF(AND($N30&lt;&gt;"",$N30&lt;&gt;"O3/CP",$N$15=E$18,MID($N30,4,1)="2",$N$15&lt;&gt;$N$14),VLOOKUP(CONCATENATE(LEFT($N30,2),"L"),$R$63:$T$91,3,FALSE),0)+IF(AND($N30="O3/CP",$N$14=E$18),VLOOKUP("O3",$R$63:$T$91,3,FALSE)+VLOOKUP("CP",$R$63:$T$91,3,FALSE),0)+IF(AND($O30&lt;&gt;"",$O30&lt;&gt;"--",$O30&lt;&gt;"O3/CP",$O$14=E$18),IF(LEFT($O30,1)="P",VLOOKUP(CONCATENATE(LEFT($O30,2),"H"),$R$63:$T$91,3,FALSE),VLOOKUP($O30,$R$63:$T$91,3,FALSE)))+IF(AND($O30&lt;&gt;"",$O30&lt;&gt;"O3/CP",$O$15=E$18,MID($O30,4,1)="2",$O$15&lt;&gt;$O$14),VLOOKUP(CONCATENATE(LEFT($O30,2),"L"),$R$63:$T$91,3,FALSE),0)+IF(AND($O30="O3/CP",$O$14=E$18),VLOOKUP("O3",$R$63:$T$91,3,FALSE)+VLOOKUP("CP",$R$63:$T$91,3,FALSE),0)+IF(AND($P30&lt;&gt;"",$P30&lt;&gt;"--",$P30&lt;&gt;"O3/CP",$P$14=E$18),IF(LEFT($P30,1)="P",VLOOKUP(CONCATENATE(LEFT($P30,2),"H"),$R$63:$T$91,3,FALSE),VLOOKUP($P30,$R$63:$T$91,3,FALSE)))+IF(AND($P30&lt;&gt;"",$P30&lt;&gt;"O3/CP",$P$15=E$18,MID($P30,4,1)="2",$P$15&lt;&gt;$P$14),VLOOKUP(CONCATENATE(LEFT($P30,2),"L"),$R$63:$T$91,3,FALSE),0)+IF(AND($P30="O3/CP",$P$14=E$18),VLOOKUP("O3",$R$63:$T$91,3,FALSE)+VLOOKUP("CP",$R$63:$T$91,3,FALSE),0)+IF(AND($Q30&lt;&gt;"",$Q30&lt;&gt;"--",$Q30&lt;&gt;"O3/CP",$Q$14=E$18),IF(LEFT($Q30,1)="P",VLOOKUP(CONCATENATE(LEFT($Q30,2),"H"),$R$63:$T$91,3,FALSE),VLOOKUP($Q30,$R$63:$T$91,3,FALSE)))+IF(AND($Q30&lt;&gt;"",$Q30&lt;&gt;"O3/CP",$Q$15=E$18,MID($Q30,4,1)="2",$Q$15&lt;&gt;$Q$14),VLOOKUP(CONCATENATE(LEFT($Q30,2),"L"),$R$63:$T$91,3,FALSE),0)+IF(AND($Q30="O3/CP",$Q$14=E$18),VLOOKUP("O3",$R$63:$T$91,3,FALSE)+VLOOKUP("CP",$R$63:$T$91,3,FALSE),0)+IF(AND($R30&lt;&gt;"",$R30&lt;&gt;"--",$R30&lt;&gt;"O3/CP",$R$14=E$18),IF(LEFT($R30,1)="P",VLOOKUP(CONCATENATE(LEFT($R30,2),"H"),$R$63:$T$91,3,FALSE),VLOOKUP($R30,$R$63:$T$91,3,FALSE)))+IF(AND($R30&lt;&gt;"",$R30&lt;&gt;"O3/CP",$R$15=E$18,MID($R30,4,1)="2",$R$15&lt;&gt;$R$14),VLOOKUP(CONCATENATE(LEFT($R30,2),"L"),$R$63:$T$91,3,FALSE),0)+IF(AND($R30="O3/CP",$R$14=E$18),VLOOKUP("O3",$R$63:$T$91,3,FALSE)+VLOOKUP("CP",$R$63:$T$91,3,FALSE),0)+IF(AND($S30&lt;&gt;"",$S30&lt;&gt;"--",$S30&lt;&gt;"O3/CP",$S$14=E$18),IF(LEFT($S30,1)="P",VLOOKUP(CONCATENATE(LEFT($S30,2),"H"),$R$63:$T$91,3,FALSE),VLOOKUP($S30,$R$63:$T$91,3,FALSE)))+IF(AND($S30&lt;&gt;"",$S30&lt;&gt;"O3/CP",$S$15=E$18,MID($S30,4,1)="2",$S$15&lt;&gt;$S$14),VLOOKUP(CONCATENATE(LEFT($S30,2),"L"),$R$63:$T$91,3,FALSE),0)+IF(AND($S30="O3/CP",$S$14=E$18),VLOOKUP("O3",$R$63:$T$91,3,FALSE)+VLOOKUP("CP",$R$63:$T$91,3,FALSE),0)+IF(AND($T30&lt;&gt;"",$T30&lt;&gt;"--",$T30&lt;&gt;"O3/CP",$T$14=E$18),IF(LEFT($T30,1)="P",VLOOKUP(CONCATENATE(LEFT($T30,2),"H"),$R$63:$T$91,3,FALSE),VLOOKUP($T30,$R$63:$T$91,3,FALSE)))+IF(AND($T30&lt;&gt;"",$T30&lt;&gt;"O3/CP",$T$15=E$18,MID($T30,4,1)="2",$T$15&lt;&gt;$T$14),VLOOKUP(CONCATENATE(LEFT($T30,2),"L"),$R$63:$T$91,3,FALSE),0)+IF(AND($T30="O3/CP",$T$14=E$18),VLOOKUP("O3",$R$63:$T$91,3,FALSE)+VLOOKUP("CP",$R$63:$T$91,3,FALSE),0)+IF(AND($U30&lt;&gt;"",$U30&lt;&gt;"--",$U30&lt;&gt;"O3/CP",$U$14=E$18),IF(LEFT($U30,1)="P",VLOOKUP(CONCATENATE(LEFT($U30,2),"H"),$R$63:$T$91,3,FALSE),VLOOKUP($U30,$R$63:$T$91,3,FALSE)))+IF(AND($U30&lt;&gt;"",$U30&lt;&gt;"O3/CP",$U$15=E$18,MID($U30,4,1)="2",$U$15&lt;&gt;$U$14),VLOOKUP(CONCATENATE(LEFT($U30,2),"L"),$R$63:$T$91,3,FALSE),0)+IF(AND($U30="O3/CP",$T$14=E$18),VLOOKUP("O3",$R$63:$T$91,3,FALSE)+VLOOKUP("CP",$R$63:$T$91,3,FALSE),0)+IF(AND($V30&lt;&gt;"",$V30&lt;&gt;"--",$V30&lt;&gt;"O3/CP",$V$14=E$18),IF(LEFT($V30,1)="P",VLOOKUP(CONCATENATE(LEFT($V30,2),"H"),$R$63:$T$91,3,FALSE),VLOOKUP($V30,$R$63:$T$91,3,FALSE)))+IF(AND($V30&lt;&gt;"",$V30&lt;&gt;"O3/CP",$V$15=E$18,MID($V30,4,1)="2",$V$15&lt;&gt;$V$14),VLOOKUP(CONCATENATE(LEFT($V30,2),"L"),$R$63:$T$91,3,FALSE),0)+IF(AND($V30="O3/CP",$V$14=E$18),VLOOKUP("O3",$R$63:$T$91,3,FALSE)+VLOOKUP("CP",$R$63:$T$91,3,FALSE),0)+IF(AND($W30&lt;&gt;"",$W30&lt;&gt;"--",$W30&lt;&gt;"O3/CP",$W$14=E$18),IF(LEFT($W30,1)="P",VLOOKUP(CONCATENATE(LEFT($W30,2),"H"),$R$63:$T$91,3,FALSE),VLOOKUP($W30,$R$63:$T$91,3,FALSE)))+IF(AND($W30&lt;&gt;"",$W30&lt;&gt;"O3/CP",$W$15=E$18,MID($W30,4,1)="2",$W$15&lt;&gt;$W$14),VLOOKUP(CONCATENATE(LEFT($W30,2),"L"),$R$63:$T$91,3,FALSE),0)+IF(AND($W30="O3/CP",$W$14=E$18),VLOOKUP("O3",$R$63:$T$91,3,FALSE)+VLOOKUP("CP",$R$63:$T$91,3,FALSE),0)+IF(AND($X30&lt;&gt;"",$X30&lt;&gt;"--",$X30&lt;&gt;"O3/CP",$X$14=E$18),IF(LEFT($X30,1)="P",VLOOKUP(CONCATENATE(LEFT($X30,2),"H"),$R$63:$T$91,3,FALSE),VLOOKUP($X30,$R$63:$T$91,3,FALSE)))+IF(AND($X30&lt;&gt;"",$X30&lt;&gt;"O3/CP",$X$15=E$18,MID($X30,4,1)="2",$X$15&lt;&gt;$X$14),VLOOKUP(CONCATENATE(LEFT($X30,2),"L"),$R$63:$T$91,3,FALSE),0)+IF(AND($X30="O3/CP",$X$14=E$18),VLOOKUP("O3",$R$63:$T$91,3,FALSE)+VLOOKUP("CP",$R$63:$T$91,3,FALSE),0)+IF(AND($Y30&lt;&gt;"",$Y30&lt;&gt;"--",$Y30&lt;&gt;"O3/CP",$Y$14=E$18),IF(LEFT($Y30,1)="P",VLOOKUP(CONCATENATE(LEFT($Y30,2),"H"),$R$63:$T$91,3,FALSE),VLOOKUP($Y30,$R$63:$T$91,3,FALSE)))+IF(AND($Y30&lt;&gt;"",$Y30&lt;&gt;"O3/CP",$Y$15=E$18,MID($Y30,4,1)="2",$Y$15&lt;&gt;$Y$14),VLOOKUP(CONCATENATE(LEFT($Y30,2),"L"),$R$63:$T$91,3,FALSE),0)+IF(AND($Y30="O3/CP",$Y$14=E$18),VLOOKUP("O3",$R$63:$T$91,3,FALSE)+VLOOKUP("CP",$R$63:$T$91,3,FALSE),0)+IF(AND($K$6="CE",'[3]Supply Attribution'!$G$20=E$18),LEFT($S$90,2),0)+IF(AND($X$86&lt;&gt;"Not Set",$X$87=E$18),$X$86,0)</f>
        <v>0</v>
      </c>
      <c r="F30" s="268">
        <f>IF(AND($K30&lt;&gt;"",$K30&lt;&gt;"--",$K30&lt;&gt;"O3/CP",$K$14=F$18),IF(LEFT($K30,1)="P",VLOOKUP(CONCATENATE(LEFT($K30,2),"H"),$R$63:$T$91,3,FALSE),VLOOKUP($K30,$R$63:$T$91,3,FALSE)))+IF(AND($K30&lt;&gt;"",$K30&lt;&gt;"O3/CP",$K$15=F$18,MID($K30,4,1)="2",$K$15&lt;&gt;$K$14),VLOOKUP(CONCATENATE(LEFT($K30,2),"L"),$R$63:$T$91,3,FALSE),0)+IF(AND($K30="O3/CP",$K$14=F$18),VLOOKUP("O3",$R$63:$T$91,3,FALSE)+VLOOKUP("CP",$R$63:$T$91,3,FALSE),0)+IF(AND($L30&lt;&gt;"",$L30&lt;&gt;"--",$L30&lt;&gt;"O3/CP",$L$14=F$18),IF(LEFT($L30,1)="P",VLOOKUP(CONCATENATE(LEFT($L30,2),"H"),$R$63:$T$91,3,FALSE),VLOOKUP($L30,$R$63:$T$91,3,FALSE)))+IF(AND($L30&lt;&gt;"",$L30&lt;&gt;"O3/CP",$L$15=F$18,MID($L30,4,1)="2",$L$15&lt;&gt;$L$14),VLOOKUP(CONCATENATE(LEFT($L30,2),"L"),$R$63:$T$91,3,FALSE),0)+IF(AND($L30="O3/CP",$L$14=F$18),VLOOKUP("O3",$R$63:$T$91,3,FALSE)+VLOOKUP("CP",$R$63:$T$91,3,FALSE),0)+IF(AND($M30&lt;&gt;"",$M30&lt;&gt;"--",$M30&lt;&gt;"O3/CP",$M$14=F$18),IF(LEFT($M30,1)="P",VLOOKUP(CONCATENATE(LEFT($M30,2),"H"),$R$63:$T$91,3,FALSE),VLOOKUP($M30,$R$63:$T$91,3,FALSE)))+IF(AND($M30&lt;&gt;"",$M30&lt;&gt;"O3/CP",$M$15=F$18,MID($M30,4,1)="2",$M$15&lt;&gt;$M$14),VLOOKUP(CONCATENATE(LEFT($M30,2),"L"),$R$63:$T$91,3,FALSE),0)+IF(AND($M30="O3/CP",$M$14=F$18),VLOOKUP("O3",$R$63:$T$91,3,FALSE)+VLOOKUP("CP",$R$63:$T$91,3,FALSE),0)+IF(AND($N30&lt;&gt;"",$N30&lt;&gt;"--",$N30&lt;&gt;"O3/CP",$N$14=F$18),IF(LEFT($N30,1)="P",VLOOKUP(CONCATENATE(LEFT($N30,2),"H"),$R$63:$T$91,3,FALSE),VLOOKUP($N30,$R$63:$T$91,3,FALSE)))+IF(AND($N30&lt;&gt;"",$N30&lt;&gt;"O3/CP",$N$15=F$18,MID($N30,4,1)="2",$N$15&lt;&gt;$N$14),VLOOKUP(CONCATENATE(LEFT($N30,2),"L"),$R$63:$T$91,3,FALSE),0)+IF(AND($N30="O3/CP",$N$14=F$18),VLOOKUP("O3",$R$63:$T$91,3,FALSE)+VLOOKUP("CP",$R$63:$T$91,3,FALSE),0)+IF(AND($O30&lt;&gt;"",$O30&lt;&gt;"--",$O30&lt;&gt;"O3/CP",$O$14=F$18),IF(LEFT($O30,1)="P",VLOOKUP(CONCATENATE(LEFT($O30,2),"H"),$R$63:$T$91,3,FALSE),VLOOKUP($O30,$R$63:$T$91,3,FALSE)))+IF(AND($O30&lt;&gt;"",$O30&lt;&gt;"O3/CP",$O$15=F$18,MID($O30,4,1)="2",$O$15&lt;&gt;$O$14),VLOOKUP(CONCATENATE(LEFT($O30,2),"L"),$R$63:$T$91,3,FALSE),0)+IF(AND($O30="O3/CP",$O$14=F$18),VLOOKUP("O3",$R$63:$T$91,3,FALSE)+VLOOKUP("CP",$R$63:$T$91,3,FALSE),0)+IF(AND($P30&lt;&gt;"",$P30&lt;&gt;"--",$P30&lt;&gt;"O3/CP",$P$14=F$18),IF(LEFT($P30,1)="P",VLOOKUP(CONCATENATE(LEFT($P30,2),"H"),$R$63:$T$91,3,FALSE),VLOOKUP($P30,$R$63:$T$91,3,FALSE)))+IF(AND($P30&lt;&gt;"",$P30&lt;&gt;"O3/CP",$P$15=F$18,MID($P30,4,1)="2",$P$15&lt;&gt;$P$14),VLOOKUP(CONCATENATE(LEFT($P30,2),"L"),$R$63:$T$91,3,FALSE),0)+IF(AND($P30="O3/CP",$P$14=F$18),VLOOKUP("O3",$R$63:$T$91,3,FALSE)+VLOOKUP("CP",$R$63:$T$91,3,FALSE),0)+IF(AND($Q30&lt;&gt;"",$Q30&lt;&gt;"--",$Q30&lt;&gt;"O3/CP",$Q$14=F$18),IF(LEFT($Q30,1)="P",VLOOKUP(CONCATENATE(LEFT($Q30,2),"H"),$R$63:$T$91,3,FALSE),VLOOKUP($Q30,$R$63:$T$91,3,FALSE)))+IF(AND($Q30&lt;&gt;"",$Q30&lt;&gt;"O3/CP",$Q$15=F$18,MID($Q30,4,1)="2",$Q$15&lt;&gt;$Q$14),VLOOKUP(CONCATENATE(LEFT($Q30,2),"L"),$R$63:$T$91,3,FALSE),0)+IF(AND($Q30="O3/CP",$Q$14=F$18),VLOOKUP("O3",$R$63:$T$91,3,FALSE)+VLOOKUP("CP",$R$63:$T$91,3,FALSE),0)+IF(AND($R30&lt;&gt;"",$R30&lt;&gt;"--",$R30&lt;&gt;"O3/CP",$R$14=F$18),IF(LEFT($R30,1)="P",VLOOKUP(CONCATENATE(LEFT($R30,2),"H"),$R$63:$T$91,3,FALSE),VLOOKUP($R30,$R$63:$T$91,3,FALSE)))+IF(AND($R30&lt;&gt;"",$R30&lt;&gt;"O3/CP",$R$15=F$18,MID($R30,4,1)="2",$R$15&lt;&gt;$R$14),VLOOKUP(CONCATENATE(LEFT($R30,2),"L"),$R$63:$T$91,3,FALSE),0)+IF(AND($R30="O3/CP",$R$14=F$18),VLOOKUP("O3",$R$63:$T$91,3,FALSE)+VLOOKUP("CP",$R$63:$T$91,3,FALSE),0)+IF(AND($S30&lt;&gt;"",$S30&lt;&gt;"--",$S30&lt;&gt;"O3/CP",$S$14=F$18),IF(LEFT($S30,1)="P",VLOOKUP(CONCATENATE(LEFT($S30,2),"H"),$R$63:$T$91,3,FALSE),VLOOKUP($S30,$R$63:$T$91,3,FALSE)))+IF(AND($S30&lt;&gt;"",$S30&lt;&gt;"O3/CP",$S$15=F$18,MID($S30,4,1)="2",$S$15&lt;&gt;$S$14),VLOOKUP(CONCATENATE(LEFT($S30,2),"L"),$R$63:$T$91,3,FALSE),0)+IF(AND($S30="O3/CP",$S$14=F$18),VLOOKUP("O3",$R$63:$T$91,3,FALSE)+VLOOKUP("CP",$R$63:$T$91,3,FALSE),0)+IF(AND($T30&lt;&gt;"",$T30&lt;&gt;"--",$T30&lt;&gt;"O3/CP",$T$14=F$18),IF(LEFT($T30,1)="P",VLOOKUP(CONCATENATE(LEFT($T30,2),"H"),$R$63:$T$91,3,FALSE),VLOOKUP($T30,$R$63:$T$91,3,FALSE)))+IF(AND($T30&lt;&gt;"",$T30&lt;&gt;"O3/CP",$T$15=F$18,MID($T30,4,1)="2",$T$15&lt;&gt;$T$14),VLOOKUP(CONCATENATE(LEFT($T30,2),"L"),$R$63:$T$91,3,FALSE),0)+IF(AND($T30="O3/CP",$T$14=F$18),VLOOKUP("O3",$R$63:$T$91,3,FALSE)+VLOOKUP("CP",$R$63:$T$91,3,FALSE),0)+IF(AND($U30&lt;&gt;"",$U30&lt;&gt;"--",$U30&lt;&gt;"O3/CP",$U$14=F$18),IF(LEFT($U30,1)="P",VLOOKUP(CONCATENATE(LEFT($U30,2),"H"),$R$63:$T$91,3,FALSE),VLOOKUP($U30,$R$63:$T$91,3,FALSE)))+IF(AND($U30&lt;&gt;"",$U30&lt;&gt;"O3/CP",$U$15=F$18,MID($U30,4,1)="2",$U$15&lt;&gt;$U$14),VLOOKUP(CONCATENATE(LEFT($U30,2),"L"),$R$63:$T$91,3,FALSE),0)+IF(AND($U30="O3/CP",$T$14=F$18),VLOOKUP("O3",$R$63:$T$91,3,FALSE)+VLOOKUP("CP",$R$63:$T$91,3,FALSE),0)+IF(AND($V30&lt;&gt;"",$V30&lt;&gt;"--",$V30&lt;&gt;"O3/CP",$V$14=F$18),IF(LEFT($V30,1)="P",VLOOKUP(CONCATENATE(LEFT($V30,2),"H"),$R$63:$T$91,3,FALSE),VLOOKUP($V30,$R$63:$T$91,3,FALSE)))+IF(AND($V30&lt;&gt;"",$V30&lt;&gt;"O3/CP",$V$15=F$18,MID($V30,4,1)="2",$V$15&lt;&gt;$V$14),VLOOKUP(CONCATENATE(LEFT($V30,2),"L"),$R$63:$T$91,3,FALSE),0)+IF(AND($V30="O3/CP",$V$14=F$18),VLOOKUP("O3",$R$63:$T$91,3,FALSE)+VLOOKUP("CP",$R$63:$T$91,3,FALSE),0)+IF(AND($W30&lt;&gt;"",$W30&lt;&gt;"--",$W30&lt;&gt;"O3/CP",$W$14=F$18),IF(LEFT($W30,1)="P",VLOOKUP(CONCATENATE(LEFT($W30,2),"H"),$R$63:$T$91,3,FALSE),VLOOKUP($W30,$R$63:$T$91,3,FALSE)))+IF(AND($W30&lt;&gt;"",$W30&lt;&gt;"O3/CP",$W$15=F$18,MID($W30,4,1)="2",$W$15&lt;&gt;$W$14),VLOOKUP(CONCATENATE(LEFT($W30,2),"L"),$R$63:$T$91,3,FALSE),0)+IF(AND($W30="O3/CP",$W$14=F$18),VLOOKUP("O3",$R$63:$T$91,3,FALSE)+VLOOKUP("CP",$R$63:$T$91,3,FALSE),0)+IF(AND($X30&lt;&gt;"",$X30&lt;&gt;"--",$X30&lt;&gt;"O3/CP",$X$14=F$18),IF(LEFT($X30,1)="P",VLOOKUP(CONCATENATE(LEFT($X30,2),"H"),$R$63:$T$91,3,FALSE),VLOOKUP($X30,$R$63:$T$91,3,FALSE)))+IF(AND($X30&lt;&gt;"",$X30&lt;&gt;"O3/CP",$X$15=F$18,MID($X30,4,1)="2",$X$15&lt;&gt;$X$14),VLOOKUP(CONCATENATE(LEFT($X30,2),"L"),$R$63:$T$91,3,FALSE),0)+IF(AND($X30="O3/CP",$X$14=F$18),VLOOKUP("O3",$R$63:$T$91,3,FALSE)+VLOOKUP("CP",$R$63:$T$91,3,FALSE),0)+IF(AND($Y30&lt;&gt;"",$Y30&lt;&gt;"--",$Y30&lt;&gt;"O3/CP",$Y$14=F$18),IF(LEFT($Y30,1)="P",VLOOKUP(CONCATENATE(LEFT($Y30,2),"H"),$R$63:$T$91,3,FALSE),VLOOKUP($Y30,$R$63:$T$91,3,FALSE)))+IF(AND($Y30&lt;&gt;"",$Y30&lt;&gt;"O3/CP",$Y$15=F$18,MID($Y30,4,1)="2",$Y$15&lt;&gt;$Y$14),VLOOKUP(CONCATENATE(LEFT($Y30,2),"L"),$R$63:$T$91,3,FALSE),0)+IF(AND($Y30="O3/CP",$Y$14=F$18),VLOOKUP("O3",$R$63:$T$91,3,FALSE)+VLOOKUP("CP",$R$63:$T$91,3,FALSE),0)+IF(AND($K$6="CE",'[3]Supply Attribution'!$G$20=F$18),LEFT($S$90,2),0)+IF(AND($X$86&lt;&gt;"Not Set",$X$87=F$18),$X$86,0)</f>
        <v>0</v>
      </c>
      <c r="G30" s="269">
        <f>IF(AND($K$6="CE",$T$59="1 Phase"),SUM(A30:F30)-IF(AND($K$14&lt;&gt;$K$15,RIGHT($K30,3)="2SP"),VLOOKUP(CONCATENATE(LEFT($K30,2),"L"),$R$63:$T$90,3,FALSE),0)-IF(AND($L$14&lt;&gt;$L$15,RIGHT($L30,3)="2SP"),VLOOKUP(CONCATENATE(LEFT($L30,2),"L"),$R$63:$T$90,3,FALSE),0)-IF(AND($M$14&lt;&gt;$M$15,RIGHT($M30,3)="2SP"),VLOOKUP(CONCATENATE(LEFT($M30,2),"L"),$R$63:$T$90,3,FALSE),0)-IF(AND($N$14&lt;&gt;$N$15,RIGHT($N30,3)="2SP"),VLOOKUP(CONCATENATE(LEFT($N30,2),"L"),$R$63:$T$90,3,FALSE),0)-IF(AND($O$14&lt;&gt;$O$15,RIGHT($O30,3)="2SP"),VLOOKUP(CONCATENATE(LEFT($O30,2),"L"),$R$63:$T$90,3,FALSE),0)-IF(AND($P$14&lt;&gt;$P$15,RIGHT($P30,3)="2SP"),VLOOKUP(CONCATENATE(LEFT($P30,2),"L"),$R$63:$T$90,3,FALSE),0)-IF(AND($Q$14&lt;&gt;$Q$15,RIGHT($Q30,3)="2SP"),VLOOKUP(CONCATENATE(LEFT($Q30,2),"L"),$R$63:$T$90,3,FALSE),0)-IF(AND($R$14&lt;&gt;$R$15,RIGHT($T30,3)="2SP"),VLOOKUP(CONCATENATE(LEFT($R30,2),"L"),$R$63:$T$90,3,FALSE),0)-IF(AND($S$14&lt;&gt;$S$15,RIGHT($T30,3)="2SP"),VLOOKUP(CONCATENATE(LEFT($S30,2),"L"),$R$63:$T$90,3,FALSE),0)-IF(AND($T$14&lt;&gt;$T$15,RIGHT($T30,3)="2SP"),VLOOKUP(CONCATENATE(LEFT($T30,2),"L"),$R$63:$T$90,3,FALSE),0)-IF(AND($U$14&lt;&gt;$U$15,RIGHT($U30,3)="2SP"),VLOOKUP(CONCATENATE(LEFT($U30,2),"L"),$R$63:$T$90,3,FALSE),0)-IF(AND($V$14&lt;&gt;$V$15,RIGHT($V30,3)="2SP"),VLOOKUP(CONCATENATE(LEFT($V30,2),"L"),$R$63:$T$90,3,FALSE),0)-IF(AND($W$14&lt;&gt;$W$15,RIGHT($W30,3)="2SP"),VLOOKUP(CONCATENATE(LEFT($W30,2),"L"),$R$63:$T$90,3,FALSE),0)-IF(AND($X$14&lt;&gt;$X$15,RIGHT($X30,3)="2SP"),VLOOKUP(CONCATENATE(LEFT($X30,2),"L"),$R$63:$T$90,3,FALSE),0)-IF(AND($Y$14&lt;&gt;$Y$15,RIGHT($Y30,3)="2SP"),VLOOKUP(CONCATENATE(LEFT($Y30,2),"L"),$R$63:$T$90,3,FALSE),0),IF(VLOOKUP(CONCATENATE($A$18,"Line"),'[3]Supply Attribution'!$F$31:$G$37,2,FALSE)=G$18,$A30,0)+IF(VLOOKUP(CONCATENATE($B$18,"Line"),'[3]Supply Attribution'!$F$31:$G$37,2,FALSE)=G$18,$B30,0)+IF(VLOOKUP(CONCATENATE($C$18,"Line"),'[3]Supply Attribution'!$F$31:$G$37,2,FALSE)=G$18,$C30,0)+IF(VLOOKUP(CONCATENATE($D$18,"Line"),'[3]Supply Attribution'!$F$31:$G$37,2,FALSE)=G$18,$D30,0)+IF(VLOOKUP(CONCATENATE($E$18,"Line"),'[3]Supply Attribution'!$F$31:$G$37,2,FALSE)=G$18,$E30,0)+IF(VLOOKUP(CONCATENATE($F$18,"Line"),'[3]Supply Attribution'!$F$31:$G$37,2,FALSE)=G$18,$F30,0)+IF($K$6="UL",LEFT($S$90,2),0)-IF(AND($K$16=G$18,$K$14&lt;&gt;$K$15,$K$16=$K$17,RIGHT($K30,3)="2SP"),VLOOKUP(CONCATENATE(LEFT($K30,2),"L"),$R$63:$T$90,3,FALSE),0)-IF(AND($L$16=G$18,$L$14&lt;&gt;$L$15,$L$16=$L$17,RIGHT($L30,3)="2SP"),VLOOKUP(CONCATENATE(LEFT($L30,2),"L"),$R$63:$T$90,3,FALSE),0)-IF(AND($M$16=G$18,$M$14&lt;&gt;$M$15,$M$16=$M$17,RIGHT($M30,3)="2SP"),VLOOKUP(CONCATENATE(LEFT($M30,2),"L"),$R$63:$T$90,3,FALSE),0)-IF(AND($N$16=G$18,$N$14&lt;&gt;$N$15,$N$16=$N$17,RIGHT($N30,3)="2SP"),VLOOKUP(CONCATENATE(LEFT($N30,2),"L"),$R$63:$T$90,3,FALSE),0)-IF(AND($O$16=G$18,$O$14&lt;&gt;$O$15,$O$16=$O$17,RIGHT($O30,3)="2SP"),VLOOKUP(CONCATENATE(LEFT($O30,2),"L"),$R$63:$T$90,3,FALSE),0)-IF(AND($P$16=G$18,$P$14&lt;&gt;$P$15,$P$16=$P$17,RIGHT($P30,3)="2SP"),VLOOKUP(CONCATENATE(LEFT($P30,2),"L"),$R$63:$T$90,3,FALSE),0)-IF(AND($Q$16=G$18,$Q$14&lt;&gt;$Q$15,$Q$16=$Q$17,RIGHT($Q30,3)="2SP"),VLOOKUP(CONCATENATE(LEFT($Q30,2),"L"),$R$63:$T$90,3,FALSE),0)-IF(AND($R$16=G$18,$R$14&lt;&gt;$R$15,$R$16=$R$17,RIGHT($R30,3)="2SP"),VLOOKUP(CONCATENATE(LEFT($R30,2),"L"),$R$63:$T$90,3,FALSE),0)-IF(AND($S$16=G$18,$S$14&lt;&gt;$S$15,$S$16=$S$17,RIGHT($S30,3)="2SP"),VLOOKUP(CONCATENATE(LEFT($S30,2),"L"),$R$63:$T$90,3,FALSE),0)-IF(AND($T$16=G$18,$T$14&lt;&gt;$T$15,$T$16=$T$17,RIGHT($T30,3)="2SP"),VLOOKUP(CONCATENATE(LEFT($T30,2),"L"),$R$63:$T$90,3,FALSE),0)-IF(AND($U$16=G$18,$U$14&lt;&gt;$U$15,$U$16=$U$17,RIGHT($U30,3)="2SP"),VLOOKUP(CONCATENATE(LEFT($U30,2),"L"),$R$63:$T$90,3,FALSE),0)-IF(AND($V$16=G$18,$V$14&lt;&gt;$V$15,$V$16=$V$17,RIGHT($V30,3)="2SP"),VLOOKUP(CONCATENATE(LEFT($V30,2),"L"),$R$63:$T$90,3,FALSE),0)-IF(AND($W$16=G$18,$W$14&lt;&gt;$W$15,$W$16=$W$17,RIGHT($W30,3)="2SP"),VLOOKUP(CONCATENATE(LEFT($W30,2),"L"),$R$63:$T$90,3,FALSE),0)-IF(AND($X$16=G$18,$X$14&lt;&gt;$X$15,$X$16=$X$17,RIGHT($X30,3)="2SP"),VLOOKUP(CONCATENATE(LEFT($X30,2),"L"),$R$63:$T$90,3,FALSE),0)-IF(AND($Y$16=G$18,$Y$14&lt;&gt;$Y$15,$Y$16=$Y$17,RIGHT($Y30,3)="2SP"),VLOOKUP(CONCATENATE(LEFT($Y30,2),"L"),$R$63:$T$90,3,FALSE),0))</f>
        <v>17</v>
      </c>
      <c r="H30" s="269" t="str">
        <f>IF(H$18&lt;&gt;"",IF(VLOOKUP(CONCATENATE($A$18,"Line"),'Supply Attribution'!$F$31:$G$37,2,FALSE)=H$18,$A30,0)+IF(VLOOKUP(CONCATENATE($B$18,"Line"),'Supply Attribution'!$F$31:$G$37,2,FALSE)=H$18,$B30,0)+IF(VLOOKUP(CONCATENATE($C$18,"Line"),'Supply Attribution'!$F$31:$G$37,2,FALSE)=H$18,$C30,0)+IF(VLOOKUP(CONCATENATE($D$18,"Line"),'Supply Attribution'!$F$31:$G$37,2,FALSE)=H$18,$D30,0)+IF(VLOOKUP(CONCATENATE($E$18,"Line"),'Supply Attribution'!$F$31:$G$37,2,FALSE)=H$18,$E30,0)+IF(VLOOKUP(CONCATENATE($F$18,"Line"),'Supply Attribution'!$F$31:$G$37,2,FALSE)=H$18,$F30,0)+IF($K$6="UL",LEFT($S$90,2),0)-IF(AND($K$16=H$18,$K$14&lt;&gt;$K$15,$K$16=$K$17,RIGHT($K30,3)="2SP"),VLOOKUP(CONCATENATE(LEFT($K30,2),"L"),$R$63:$T$90,3,FALSE),0)-IF(AND($L$16=H$18,$L$14&lt;&gt;$L$15,$L$16=$L$17,RIGHT($L30,3)="2SP"),VLOOKUP(CONCATENATE(LEFT($L30,2),"L"),$R$63:$T$90,3,FALSE),0)-IF(AND($M$16=H$18,$M$14&lt;&gt;$M$15,$M$16=$M$17,RIGHT($M30,3)="2SP"),VLOOKUP(CONCATENATE(LEFT($M30,2),"L"),$R$63:$T$90,3,FALSE),0)-IF(AND($N$16=H$18,$N$14&lt;&gt;$N$15,$N$16=$N$17,RIGHT($N30,3)="2SP"),VLOOKUP(CONCATENATE(LEFT($N30,2),"L"),$R$63:$T$90,3,FALSE),0)-IF(AND($O$16=H$18,$O$14&lt;&gt;$O$15,$O$16=$O$17,RIGHT($O30,3)="2SP"),VLOOKUP(CONCATENATE(LEFT($O30,2),"L"),$R$63:$T$90,3,FALSE),0)-IF(AND($P$16=H$18,$P$14&lt;&gt;$P$15,$P$16=$P$17,RIGHT($P30,3)="2SP"),VLOOKUP(CONCATENATE(LEFT($P30,2),"L"),$R$63:$T$90,3,FALSE),0)-IF(AND($Q$16=H$18,$Q$14&lt;&gt;$Q$15,$Q$16=$Q$17,RIGHT($Q30,3)="2SP"),VLOOKUP(CONCATENATE(LEFT($Q30,2),"L"),$R$63:$T$90,3,FALSE),0)-IF(AND($T$16=H$18,$T$14&lt;&gt;$T$15,$T$16=$T$17,RIGHT($T30,3)="2SP"),VLOOKUP(CONCATENATE(LEFT($T30,2),"L"),$R$63:$T$90,3,FALSE),0)-IF(AND($U$16=H$18,$U$14&lt;&gt;$U$15,$U$16=$U$17,RIGHT($U30,3)="2SP"),VLOOKUP(CONCATENATE(LEFT($U30,2),"L"),$R$63:$T$90,3,FALSE),0)-IF(AND($V$16=H$18,$V$14&lt;&gt;$V$15,$V$16=$V$17,RIGHT($V30,3)="2SP"),VLOOKUP(CONCATENATE(LEFT($V30,2),"L"),$R$63:$T$90,3,FALSE),0)-IF(AND($W$16=H$18,$W$14&lt;&gt;$W$15,$W$16=$W$17,RIGHT($W30,3)="2SP"),VLOOKUP(CONCATENATE(LEFT($W30,2),"L"),$R$63:$T$90,3,FALSE),0)-IF(AND($X$16=H$18,$X$14&lt;&gt;$X$15,$X$16=$X$17,RIGHT($X30,3)="2SP"),VLOOKUP(CONCATENATE(LEFT($X30,2),"L"),$R$63:$T$90,3,FALSE),0)-IF(AND($Y$16=H$18,$Y$14&lt;&gt;$Y$15,$Y$16=$Y$17,RIGHT($Y30,3)="2SP"),VLOOKUP(CONCATENATE(LEFT($Y30,2),"L"),$R$63:$T$90,3,FALSE),0)+IF(AND($K$6="CE",$T$59="2 Phases",H$18&lt;&gt;""),IF(VLOOKUP(CONCATENATE($A$18,"Line"),'Supply Attribution'!$F$31:$G$37,2,FALSE)="Line3",$A30,0)+IF(VLOOKUP(CONCATENATE($B$18,"Line"),'Supply Attribution'!$F$31:$G$37,2,FALSE)="Line3",$B30,0)+IF(VLOOKUP(CONCATENATE($C$18,"Line"),'Supply Attribution'!$F$31:$G$37,2,FALSE)="Line3",$C30,0)+IF(VLOOKUP(CONCATENATE($D$18,"Line"),'Supply Attribution'!$F$31:$G$37,2,FALSE)="Line3",$D30,0)+IF(VLOOKUP(CONCATENATE($E$18,"Line"),'Supply Attribution'!$F$31:$G$37,2,FALSE)="Line3",$E30,0)+IF(VLOOKUP(CONCATENATE($F$18,"Line"),'Supply Attribution'!$F$31:$G$37,2,FALSE)="Line3",$F30,0)-IF(AND($K$16=I$18,$K$14&lt;&gt;$K$15,$K$16=$K$17,RIGHT($K30,3)="2SP"),VLOOKUP(CONCATENATE(LEFT($K30,2),"L"),$R$63:$T$90,3,FALSE),0)-IF(AND($L$16=I$18,$L$14&lt;&gt;$L$15,$L$16=$L$17,RIGHT($L30,3)="2SP"),VLOOKUP(CONCATENATE(LEFT($L30,2),"L"),$R$63:$T$90,3,FALSE),0)-IF(AND($M$16=I$18,$M$14&lt;&gt;$M$15,$M$16=$M$17,RIGHT($M30,3)="2SP"),VLOOKUP(CONCATENATE(LEFT($M30,2),"L"),$R$63:$T$90,3,FALSE),0)-IF(AND($N$16=I$18,$N$14&lt;&gt;$N$15,$N$16=$N$17,RIGHT($N30,3)="2SP"),VLOOKUP(CONCATENATE(LEFT($N30,2),"L"),$R$63:$T$90,3,FALSE),0)-IF(AND($O$16=I$18,$O$14&lt;&gt;$O$15,$O$16=$O$17,RIGHT($O30,3)="2SP"),VLOOKUP(CONCATENATE(LEFT($O30,2),"L"),$R$63:$T$90,3,FALSE),0)-IF(AND($P$16=I$18,$P$14&lt;&gt;$P$15,$P$16=$P$17,RIGHT($P30,3)="2SP"),VLOOKUP(CONCATENATE(LEFT($P30,2),"L"),$R$63:$T$90,3,FALSE),0)-IF(AND($Q$16=I$18,$Q$14&lt;&gt;$Q$15,$Q$16=$Q$17,RIGHT($Q30,3)="2SP"),VLOOKUP(CONCATENATE(LEFT($Q30,2),"L"),$R$63:$T$90,3,FALSE),0)-IF(AND($T$16=I$18,$T$14&lt;&gt;$T$15,$T$16=$T$17,RIGHT($T30,3)="2SP"),VLOOKUP(CONCATENATE(LEFT($T30,2),"L"),$R$63:$T$90,3,FALSE),0)-IF(AND($U$16=I$18,$U$14&lt;&gt;$U$15,$U$16=$U$17,RIGHT($U30,3)="2SP"),VLOOKUP(CONCATENATE(LEFT($U30,2),"L"),$R$63:$T$90,3,FALSE),0)-IF(AND($V$16=I$18,$V$14&lt;&gt;$V$15,$V$16=$V$17,RIGHT($V30,3)="2SP"),VLOOKUP(CONCATENATE(LEFT($V30,2),"L"),$R$63:$T$90,3,FALSE),0)-IF(AND($W$16=I$18,$W$14&lt;&gt;$W$15,$W$16=$W$17,RIGHT($W30,3)="2SP"),VLOOKUP(CONCATENATE(LEFT($W30,2),"L"),$R$63:$T$90,3,FALSE),0)-IF(AND($X$16=I$18,$X$14&lt;&gt;$X$15,$X$16=$X$17,RIGHT($X30,3)="2SP"),VLOOKUP(CONCATENATE(LEFT($X30,2),"L"),$R$63:$T$90,3,FALSE),0)-IF(AND($Y$16=I$18,$Y$14&lt;&gt;$Y$15,$Y$16=$Y$17,RIGHT($Y30,3)="2SP"),VLOOKUP(CONCATENATE(LEFT($Y30,2),"L"),$R$63:$T$90,3,FALSE),0),0),"")</f>
        <v/>
      </c>
      <c r="I30" s="269" t="str">
        <f>IF(I$18&lt;&gt;"",IF(VLOOKUP(CONCATENATE($A$18,"Line"),'Supply Attribution'!$F$31:$G$37,2,FALSE)=I$18,$A30,0)+IF(VLOOKUP(CONCATENATE($B$18,"Line"),'Supply Attribution'!$F$31:$G$37,2,FALSE)=I$18,$B30,0)+IF(VLOOKUP(CONCATENATE($C$18,"Line"),'Supply Attribution'!$F$31:$G$37,2,FALSE)=I$18,$C30,0)+IF(VLOOKUP(CONCATENATE($D$18,"Line"),'Supply Attribution'!$F$31:$G$37,2,FALSE)=I$18,$D30,0)+IF(VLOOKUP(CONCATENATE($E$18,"Line"),'Supply Attribution'!$F$31:$G$37,2,FALSE)=I$18,$E30,0)+IF(VLOOKUP(CONCATENATE($F$18,"Line"),'Supply Attribution'!$F$31:$G$37,2,FALSE)=I$18,$F30,0)+IF($K$6="UL",LEFT($S$90,2),0)-IF(AND($K$16=I$18,$K$14&lt;&gt;$K$15,$K$16=$K$17,RIGHT($K30,3)="2SP"),VLOOKUP(CONCATENATE(LEFT($K30,2),"L"),$R$63:$T$90,3,FALSE),0)-IF(AND($L$16=I$18,$L$14&lt;&gt;$L$15,$L$16=$L$17,RIGHT($L30,3)="2SP"),VLOOKUP(CONCATENATE(LEFT($L30,2),"L"),$R$63:$T$90,3,FALSE),0)-IF(AND($M$16=I$18,$M$14&lt;&gt;$M$15,$M$16=$M$17,RIGHT($M30,3)="2SP"),VLOOKUP(CONCATENATE(LEFT($M30,2),"L"),$R$63:$T$90,3,FALSE),0)-IF(AND($N$16=I$18,$N$14&lt;&gt;$N$15,$N$16=$N$17,RIGHT($N30,3)="2SP"),VLOOKUP(CONCATENATE(LEFT($N30,2),"L"),$R$63:$T$90,3,FALSE),0)-IF(AND($O$16=I$18,$O$14&lt;&gt;$O$15,$O$16=$O$17,RIGHT($O30,3)="2SP"),VLOOKUP(CONCATENATE(LEFT($O30,2),"L"),$R$63:$T$90,3,FALSE),0)-IF(AND($P$16=I$18,$P$14&lt;&gt;$P$15,$P$16=$P$17,RIGHT($P30,3)="2SP"),VLOOKUP(CONCATENATE(LEFT($P30,2),"L"),$R$63:$T$90,3,FALSE),0)-IF(AND($Q$16=I$18,$Q$14&lt;&gt;$Q$15,$Q$16=$Q$17,RIGHT($Q30,3)="2SP"),VLOOKUP(CONCATENATE(LEFT($Q30,2),"L"),$R$63:$T$90,3,FALSE),0)-IF(AND($T$16=I$18,$T$14&lt;&gt;$T$15,$T$16=$T$17,RIGHT($T30,3)="2SP"),VLOOKUP(CONCATENATE(LEFT($T30,2),"L"),$R$63:$T$90,3,FALSE),0)-IF(AND($U$16=I$18,$U$14&lt;&gt;$U$15,$U$16=$U$17,RIGHT($U30,3)="2SP"),VLOOKUP(CONCATENATE(LEFT($U30,2),"L"),$R$63:$T$90,3,FALSE),0)-IF(AND($V$16=I$18,$V$14&lt;&gt;$V$15,$V$16=$V$17,RIGHT($V30,3)="2SP"),VLOOKUP(CONCATENATE(LEFT($V30,2),"L"),$R$63:$T$90,3,FALSE),0)-IF(AND($W$16=I$18,$W$14&lt;&gt;$W$15,$W$16=$W$17,RIGHT($W30,3)="2SP"),VLOOKUP(CONCATENATE(LEFT($W30,2),"L"),$R$63:$T$90,3,FALSE),0)-IF(AND($X$16=I$18,$X$14&lt;&gt;$X$15,$X$16=$X$17,RIGHT($X30,3)="2SP"),VLOOKUP(CONCATENATE(LEFT($X30,2),"L"),$R$63:$T$90,3,FALSE),0)-IF(AND($Y$16=I$18,$Y$14&lt;&gt;$Y$15,$Y$16=$Y$17,RIGHT($Y30,3)="2SP"),VLOOKUP(CONCATENATE(LEFT($Y30,2),"L"),$R$63:$T$90,3,FALSE),0),"")</f>
        <v/>
      </c>
      <c r="J30" s="134"/>
      <c r="K30" s="135"/>
      <c r="L30" s="135"/>
      <c r="M30" s="135"/>
      <c r="N30" s="135"/>
      <c r="O30" s="135"/>
      <c r="P30" s="135"/>
      <c r="Q30" s="135"/>
      <c r="R30" s="135"/>
      <c r="S30" s="135"/>
      <c r="T30" s="135"/>
      <c r="U30" s="135"/>
      <c r="V30" s="135"/>
      <c r="W30" s="135"/>
      <c r="X30" s="135"/>
      <c r="Y30" s="135"/>
      <c r="Z30" s="136"/>
      <c r="AA30" s="136"/>
      <c r="AB30" s="137"/>
      <c r="AC30" s="137"/>
      <c r="AD30" s="137"/>
      <c r="AE30" s="138">
        <f t="shared" si="0"/>
        <v>0</v>
      </c>
      <c r="AF30" s="78"/>
    </row>
    <row r="31" spans="1:32" ht="13.15" customHeight="1">
      <c r="A31" s="264">
        <f>IF(AND($K31&lt;&gt;"",$K31&lt;&gt;"--",$K31&lt;&gt;"O3/CP",$K$14=A$18),IF(LEFT($K31,1)="P",VLOOKUP(CONCATENATE(LEFT($K31,2),"H"),$R$63:$T$91,3,FALSE),VLOOKUP($K31,$R$63:$T$91,3,FALSE)))+IF(AND($K31&lt;&gt;"",$K31&lt;&gt;"O3/CP",$K$15=A$18,MID($K31,4,1)="2",$K$15&lt;&gt;$K$14),VLOOKUP(CONCATENATE(LEFT($K31,2),"L"),$R$63:$T$91,3,FALSE),0)+IF(AND($K31="O3/CP",$K$14=A$18),VLOOKUP("O3",$R$63:$T$91,3,FALSE)+VLOOKUP("CP",$R$63:$T$91,3,FALSE),0)+IF(AND($L31&lt;&gt;"",$L31&lt;&gt;"--",$L31&lt;&gt;"O3/CP",$L$14=A$18),IF(LEFT($L31,1)="P",VLOOKUP(CONCATENATE(LEFT($L31,2),"H"),$R$63:$T$91,3,FALSE),VLOOKUP($L31,$R$63:$T$91,3,FALSE)))+IF(AND($L31&lt;&gt;"",$L31&lt;&gt;"O3/CP",$L$15=A$18,MID($L31,4,1)="2",$L$15&lt;&gt;$L$14),VLOOKUP(CONCATENATE(LEFT($L31,2),"L"),$R$63:$T$91,3,FALSE),0)+IF(AND($L31="O3/CP",$L$14=A$18),VLOOKUP("O3",$R$63:$T$91,3,FALSE)+VLOOKUP("CP",$R$63:$T$91,3,FALSE),0)+IF(AND($M31&lt;&gt;"",$M31&lt;&gt;"--",$M31&lt;&gt;"O3/CP",$M$14=A$18),IF(LEFT($M31,1)="P",VLOOKUP(CONCATENATE(LEFT($M31,2),"H"),$R$63:$T$91,3,FALSE),VLOOKUP($M31,$R$63:$T$91,3,FALSE)))+IF(AND($M31&lt;&gt;"",$M31&lt;&gt;"O3/CP",$M$15=A$18,MID($M31,4,1)="2",$M$15&lt;&gt;$M$14),VLOOKUP(CONCATENATE(LEFT($M31,2),"L"),$R$63:$T$91,3,FALSE),0)+IF(AND($M31="O3/CP",$M$14=A$18),VLOOKUP("O3",$R$63:$T$91,3,FALSE)+VLOOKUP("CP",$R$63:$T$91,3,FALSE),0)+IF(AND($N31&lt;&gt;"",$N31&lt;&gt;"--",$N31&lt;&gt;"O3/CP",$N$14=A$18),IF(LEFT($N31,1)="P",VLOOKUP(CONCATENATE(LEFT($N31,2),"H"),$R$63:$T$91,3,FALSE),VLOOKUP($N31,$R$63:$T$91,3,FALSE)))+IF(AND($N31&lt;&gt;"",$N31&lt;&gt;"O3/CP",$N$15=A$18,MID($N31,4,1)="2",$N$15&lt;&gt;$N$14),VLOOKUP(CONCATENATE(LEFT($N31,2),"L"),$R$63:$T$91,3,FALSE),0)+IF(AND($N31="O3/CP",$N$14=A$18),VLOOKUP("O3",$R$63:$T$91,3,FALSE)+VLOOKUP("CP",$R$63:$T$91,3,FALSE),0)+IF(AND($O31&lt;&gt;"",$O31&lt;&gt;"--",$O31&lt;&gt;"O3/CP",$O$14=A$18),IF(LEFT($O31,1)="P",VLOOKUP(CONCATENATE(LEFT($O31,2),"H"),$R$63:$T$91,3,FALSE),VLOOKUP($O31,$R$63:$T$91,3,FALSE)))+IF(AND($O31&lt;&gt;"",$O31&lt;&gt;"O3/CP",$O$15=A$18,MID($O31,4,1)="2",$O$15&lt;&gt;$O$14),VLOOKUP(CONCATENATE(LEFT($O31,2),"L"),$R$63:$T$91,3,FALSE),0)+IF(AND($O31="O3/CP",$O$14=A$18),VLOOKUP("O3",$R$63:$T$91,3,FALSE)+VLOOKUP("CP",$R$63:$T$91,3,FALSE),0)+IF(AND($P31&lt;&gt;"",$P31&lt;&gt;"--",$P31&lt;&gt;"O3/CP",$P$14=A$18),IF(LEFT($P31,1)="P",VLOOKUP(CONCATENATE(LEFT($P31,2),"H"),$R$63:$T$91,3,FALSE),VLOOKUP($P31,$R$63:$T$91,3,FALSE)))+IF(AND($P31&lt;&gt;"",$P31&lt;&gt;"O3/CP",$P$15=A$18,MID($P31,4,1)="2",$P$15&lt;&gt;$P$14),VLOOKUP(CONCATENATE(LEFT($P31,2),"L"),$R$63:$T$91,3,FALSE),0)+IF(AND($P31="O3/CP",$P$14=A$18),VLOOKUP("O3",$R$63:$T$91,3,FALSE)+VLOOKUP("CP",$R$63:$T$91,3,FALSE),0)+IF(AND($Q31&lt;&gt;"",$Q31&lt;&gt;"--",$Q31&lt;&gt;"O3/CP",$Q$14=A$18),IF(LEFT($Q31,1)="P",VLOOKUP(CONCATENATE(LEFT($Q31,2),"H"),$R$63:$T$91,3,FALSE),VLOOKUP($Q31,$R$63:$T$91,3,FALSE)))+IF(AND($Q31&lt;&gt;"",$Q31&lt;&gt;"O3/CP",$Q$15=A$18,MID($Q31,4,1)="2",$Q$15&lt;&gt;$Q$14),VLOOKUP(CONCATENATE(LEFT($Q31,2),"L"),$R$63:$T$91,3,FALSE),0)+IF(AND($Q31="O3/CP",$Q$14=A$18),VLOOKUP("O3",$R$63:$T$91,3,FALSE)+VLOOKUP("CP",$R$63:$T$91,3,FALSE),0)+IF(AND($R31&lt;&gt;"",$R31&lt;&gt;"--",$R31&lt;&gt;"O3/CP",$R$14=A$18),IF(LEFT($R31,1)="P",VLOOKUP(CONCATENATE(LEFT($R31,2),"H"),$R$63:$T$91,3,FALSE),VLOOKUP($R31,$R$63:$T$91,3,FALSE)))+IF(AND($R31&lt;&gt;"",$R31&lt;&gt;"O3/CP",$R$15=A$18,MID($R31,4,1)="2",$R$15&lt;&gt;$R$14),VLOOKUP(CONCATENATE(LEFT($R31,2),"L"),$R$63:$T$91,3,FALSE),0)+IF(AND($R31="O3/CP",$R$14=A$18),VLOOKUP("O3",$R$63:$T$91,3,FALSE)+VLOOKUP("CP",$R$63:$T$91,3,FALSE),0)+IF(AND($S31&lt;&gt;"",$S31&lt;&gt;"--",$S31&lt;&gt;"O3/CP",$S$14=A$18),IF(LEFT($S31,1)="P",VLOOKUP(CONCATENATE(LEFT($S31,2),"H"),$R$63:$T$91,3,FALSE),VLOOKUP($S31,$R$63:$T$91,3,FALSE)))+IF(AND($S31&lt;&gt;"",$S31&lt;&gt;"O3/CP",$S$15=A$18,MID($S31,4,1)="2",$S$15&lt;&gt;$S$14),VLOOKUP(CONCATENATE(LEFT($S31,2),"L"),$R$63:$T$91,3,FALSE),0)+IF(AND($S31="O3/CP",$S$14=A$18),VLOOKUP("O3",$R$63:$T$91,3,FALSE)+VLOOKUP("CP",$R$63:$T$91,3,FALSE),0)+IF(AND($T31&lt;&gt;"",$T31&lt;&gt;"--",$T31&lt;&gt;"O3/CP",$T$14=A$18),IF(LEFT($T31,1)="P",VLOOKUP(CONCATENATE(LEFT($T31,2),"H"),$R$63:$T$91,3,FALSE),VLOOKUP($T31,$R$63:$T$91,3,FALSE)))+IF(AND($T31&lt;&gt;"",$T31&lt;&gt;"O3/CP",$T$15=A$18,MID($T31,4,1)="2",$T$15&lt;&gt;$T$14),VLOOKUP(CONCATENATE(LEFT($T31,2),"L"),$R$63:$T$91,3,FALSE),0)+IF(AND($T31="O3/CP",$T$14=A$18),VLOOKUP("O3",$R$63:$T$91,3,FALSE)+VLOOKUP("CP",$R$63:$T$91,3,FALSE),0)+IF(AND($U31&lt;&gt;"",$U31&lt;&gt;"--",$U31&lt;&gt;"O3/CP",$U$14=A$18),IF(LEFT($U31,1)="P",VLOOKUP(CONCATENATE(LEFT($U31,2),"H"),$R$63:$T$91,3,FALSE),VLOOKUP($U31,$R$63:$T$91,3,FALSE)))+IF(AND($U31&lt;&gt;"",$U31&lt;&gt;"O3/CP",$U$15=A$18,MID($U31,4,1)="2",$U$15&lt;&gt;$U$14),VLOOKUP(CONCATENATE(LEFT($U31,2),"L"),$R$63:$T$91,3,FALSE),0)+IF(AND($U31="O3/CP",$T$14=A$18),VLOOKUP("O3",$R$63:$T$91,3,FALSE)+VLOOKUP("CP",$R$63:$T$91,3,FALSE),0)+IF(AND($V31&lt;&gt;"",$V31&lt;&gt;"--",$V31&lt;&gt;"O3/CP",$V$14=A$18),IF(LEFT($V31,1)="P",VLOOKUP(CONCATENATE(LEFT($V31,2),"H"),$R$63:$T$91,3,FALSE),VLOOKUP($V31,$R$63:$T$91,3,FALSE)))+IF(AND($V31&lt;&gt;"",$V31&lt;&gt;"O3/CP",$V$15=A$18,MID($V31,4,1)="2",$V$15&lt;&gt;$V$14),VLOOKUP(CONCATENATE(LEFT($V31,2),"L"),$R$63:$T$91,3,FALSE),0)+IF(AND($V31="O3/CP",$V$14=A$18),VLOOKUP("O3",$R$63:$T$91,3,FALSE)+VLOOKUP("CP",$R$63:$T$91,3,FALSE),0)+IF(AND($W31&lt;&gt;"",$W31&lt;&gt;"--",$W31&lt;&gt;"O3/CP",$W$14=A$18),IF(LEFT($W31,1)="P",VLOOKUP(CONCATENATE(LEFT($W31,2),"H"),$R$63:$T$91,3,FALSE),VLOOKUP($W31,$R$63:$T$91,3,FALSE)))+IF(AND($W31&lt;&gt;"",$W31&lt;&gt;"O3/CP",$W$15=A$18,MID($W31,4,1)="2",$W$15&lt;&gt;$W$14),VLOOKUP(CONCATENATE(LEFT($W31,2),"L"),$R$63:$T$91,3,FALSE),0)+IF(AND($W31="O3/CP",$W$14=A$18),VLOOKUP("O3",$R$63:$T$91,3,FALSE)+VLOOKUP("CP",$R$63:$T$91,3,FALSE),0)+IF(AND($X31&lt;&gt;"",$X31&lt;&gt;"--",$X31&lt;&gt;"O3/CP",$X$14=A$18),IF(LEFT($X31,1)="P",VLOOKUP(CONCATENATE(LEFT($X31,2),"H"),$R$63:$T$91,3,FALSE),VLOOKUP($X31,$R$63:$T$91,3,FALSE)))+IF(AND($X31&lt;&gt;"",$X31&lt;&gt;"O3/CP",$X$15=A$18,MID($X31,4,1)="2",$X$15&lt;&gt;$X$14),VLOOKUP(CONCATENATE(LEFT($X31,2),"L"),$R$63:$T$91,3,FALSE),0)+IF(AND($X31="O3/CP",$X$14=A$18),VLOOKUP("O3",$R$63:$T$91,3,FALSE)+VLOOKUP("CP",$R$63:$T$91,3,FALSE),0)+IF(AND($Y31&lt;&gt;"",$Y31&lt;&gt;"--",$Y31&lt;&gt;"O3/CP",$Y$14=A$18),IF(LEFT($Y31,1)="P",VLOOKUP(CONCATENATE(LEFT($Y31,2),"H"),$R$63:$T$91,3,FALSE),VLOOKUP($Y31,$R$63:$T$91,3,FALSE)))+IF(AND($Y31&lt;&gt;"",$Y31&lt;&gt;"O3/CP",$Y$15=A$18,MID($Y31,4,1)="2",$Y$15&lt;&gt;$Y$14),VLOOKUP(CONCATENATE(LEFT($Y31,2),"L"),$R$63:$T$91,3,FALSE),0)+IF(AND($Y31="O3/CP",$Y$14=A$18),VLOOKUP("O3",$R$63:$T$91,3,FALSE)+VLOOKUP("CP",$R$63:$T$91,3,FALSE),0)+IF(AND($K$6="CE",'[3]Supply Attribution'!$G$20=A$18),LEFT($S$90,2),0)+IF(AND($X$86&lt;&gt;"Not Set",$X$87=A$18),$X$86,0)</f>
        <v>0</v>
      </c>
      <c r="B31" s="271">
        <f>IF(AND($K31&lt;&gt;"",$K31&lt;&gt;"--",$K31&lt;&gt;"O3/CP",$K$14=B$18),IF(LEFT($K31,1)="P",VLOOKUP(CONCATENATE(LEFT($K31,2),"H"),$R$63:$T$91,3,FALSE),VLOOKUP($K31,$R$63:$T$91,3,FALSE)))+IF(AND($K31&lt;&gt;"",$K31&lt;&gt;"O3/CP",$K$15=B$18,MID($K31,4,1)="2",$K$15&lt;&gt;$K$14),VLOOKUP(CONCATENATE(LEFT($K31,2),"L"),$R$63:$T$91,3,FALSE),0)+IF(AND($K31="O3/CP",$K$14=B$18),VLOOKUP("O3",$R$63:$T$91,3,FALSE)+VLOOKUP("CP",$R$63:$T$91,3,FALSE),0)+IF(AND($L31&lt;&gt;"",$L31&lt;&gt;"--",$L31&lt;&gt;"O3/CP",$L$14=B$18),IF(LEFT($L31,1)="P",VLOOKUP(CONCATENATE(LEFT($L31,2),"H"),$R$63:$T$91,3,FALSE),VLOOKUP($L31,$R$63:$T$91,3,FALSE)))+IF(AND($L31&lt;&gt;"",$L31&lt;&gt;"O3/CP",$L$15=B$18,MID($L31,4,1)="2",$L$15&lt;&gt;$L$14),VLOOKUP(CONCATENATE(LEFT($L31,2),"L"),$R$63:$T$91,3,FALSE),0)+IF(AND($L31="O3/CP",$L$14=B$18),VLOOKUP("O3",$R$63:$T$91,3,FALSE)+VLOOKUP("CP",$R$63:$T$91,3,FALSE),0)+IF(AND($M31&lt;&gt;"",$M31&lt;&gt;"--",$M31&lt;&gt;"O3/CP",$M$14=B$18),IF(LEFT($M31,1)="P",VLOOKUP(CONCATENATE(LEFT($M31,2),"H"),$R$63:$T$91,3,FALSE),VLOOKUP($M31,$R$63:$T$91,3,FALSE)))+IF(AND($M31&lt;&gt;"",$M31&lt;&gt;"O3/CP",$M$15=B$18,MID($M31,4,1)="2",$M$15&lt;&gt;$M$14),VLOOKUP(CONCATENATE(LEFT($M31,2),"L"),$R$63:$T$91,3,FALSE),0)+IF(AND($M31="O3/CP",$M$14=B$18),VLOOKUP("O3",$R$63:$T$91,3,FALSE)+VLOOKUP("CP",$R$63:$T$91,3,FALSE),0)+IF(AND($N31&lt;&gt;"",$N31&lt;&gt;"--",$N31&lt;&gt;"O3/CP",$N$14=B$18),IF(LEFT($N31,1)="P",VLOOKUP(CONCATENATE(LEFT($N31,2),"H"),$R$63:$T$91,3,FALSE),VLOOKUP($N31,$R$63:$T$91,3,FALSE)))+IF(AND($N31&lt;&gt;"",$N31&lt;&gt;"O3/CP",$N$15=B$18,MID($N31,4,1)="2",$N$15&lt;&gt;$N$14),VLOOKUP(CONCATENATE(LEFT($N31,2),"L"),$R$63:$T$91,3,FALSE),0)+IF(AND($N31="O3/CP",$N$14=B$18),VLOOKUP("O3",$R$63:$T$91,3,FALSE)+VLOOKUP("CP",$R$63:$T$91,3,FALSE),0)+IF(AND($O31&lt;&gt;"",$O31&lt;&gt;"--",$O31&lt;&gt;"O3/CP",$O$14=B$18),IF(LEFT($O31,1)="P",VLOOKUP(CONCATENATE(LEFT($O31,2),"H"),$R$63:$T$91,3,FALSE),VLOOKUP($O31,$R$63:$T$91,3,FALSE)))+IF(AND($O31&lt;&gt;"",$O31&lt;&gt;"O3/CP",$O$15=B$18,MID($O31,4,1)="2",$O$15&lt;&gt;$O$14),VLOOKUP(CONCATENATE(LEFT($O31,2),"L"),$R$63:$T$91,3,FALSE),0)+IF(AND($O31="O3/CP",$O$14=B$18),VLOOKUP("O3",$R$63:$T$91,3,FALSE)+VLOOKUP("CP",$R$63:$T$91,3,FALSE),0)+IF(AND($P31&lt;&gt;"",$P31&lt;&gt;"--",$P31&lt;&gt;"O3/CP",$P$14=B$18),IF(LEFT($P31,1)="P",VLOOKUP(CONCATENATE(LEFT($P31,2),"H"),$R$63:$T$91,3,FALSE),VLOOKUP($P31,$R$63:$T$91,3,FALSE)))+IF(AND($P31&lt;&gt;"",$P31&lt;&gt;"O3/CP",$P$15=B$18,MID($P31,4,1)="2",$P$15&lt;&gt;$P$14),VLOOKUP(CONCATENATE(LEFT($P31,2),"L"),$R$63:$T$91,3,FALSE),0)+IF(AND($P31="O3/CP",$P$14=B$18),VLOOKUP("O3",$R$63:$T$91,3,FALSE)+VLOOKUP("CP",$R$63:$T$91,3,FALSE),0)+IF(AND($Q31&lt;&gt;"",$Q31&lt;&gt;"--",$Q31&lt;&gt;"O3/CP",$Q$14=B$18),IF(LEFT($Q31,1)="P",VLOOKUP(CONCATENATE(LEFT($Q31,2),"H"),$R$63:$T$91,3,FALSE),VLOOKUP($Q31,$R$63:$T$91,3,FALSE)))+IF(AND($Q31&lt;&gt;"",$Q31&lt;&gt;"O3/CP",$Q$15=B$18,MID($Q31,4,1)="2",$Q$15&lt;&gt;$Q$14),VLOOKUP(CONCATENATE(LEFT($Q31,2),"L"),$R$63:$T$91,3,FALSE),0)+IF(AND($Q31="O3/CP",$Q$14=B$18),VLOOKUP("O3",$R$63:$T$91,3,FALSE)+VLOOKUP("CP",$R$63:$T$91,3,FALSE),0)+IF(AND($R31&lt;&gt;"",$R31&lt;&gt;"--",$R31&lt;&gt;"O3/CP",$R$14=B$18),IF(LEFT($R31,1)="P",VLOOKUP(CONCATENATE(LEFT($R31,2),"H"),$R$63:$T$91,3,FALSE),VLOOKUP($R31,$R$63:$T$91,3,FALSE)))+IF(AND($R31&lt;&gt;"",$R31&lt;&gt;"O3/CP",$R$15=B$18,MID($R31,4,1)="2",$R$15&lt;&gt;$R$14),VLOOKUP(CONCATENATE(LEFT($R31,2),"L"),$R$63:$T$91,3,FALSE),0)+IF(AND($R31="O3/CP",$R$14=B$18),VLOOKUP("O3",$R$63:$T$91,3,FALSE)+VLOOKUP("CP",$R$63:$T$91,3,FALSE),0)+IF(AND($S31&lt;&gt;"",$S31&lt;&gt;"--",$S31&lt;&gt;"O3/CP",$S$14=B$18),IF(LEFT($S31,1)="P",VLOOKUP(CONCATENATE(LEFT($S31,2),"H"),$R$63:$T$91,3,FALSE),VLOOKUP($S31,$R$63:$T$91,3,FALSE)))+IF(AND($S31&lt;&gt;"",$S31&lt;&gt;"O3/CP",$S$15=B$18,MID($S31,4,1)="2",$S$15&lt;&gt;$S$14),VLOOKUP(CONCATENATE(LEFT($S31,2),"L"),$R$63:$T$91,3,FALSE),0)+IF(AND($S31="O3/CP",$S$14=B$18),VLOOKUP("O3",$R$63:$T$91,3,FALSE)+VLOOKUP("CP",$R$63:$T$91,3,FALSE),0)+IF(AND($T31&lt;&gt;"",$T31&lt;&gt;"--",$T31&lt;&gt;"O3/CP",$T$14=B$18),IF(LEFT($T31,1)="P",VLOOKUP(CONCATENATE(LEFT($T31,2),"H"),$R$63:$T$91,3,FALSE),VLOOKUP($T31,$R$63:$T$91,3,FALSE)))+IF(AND($T31&lt;&gt;"",$T31&lt;&gt;"O3/CP",$T$15=B$18,MID($T31,4,1)="2",$T$15&lt;&gt;$T$14),VLOOKUP(CONCATENATE(LEFT($T31,2),"L"),$R$63:$T$91,3,FALSE),0)+IF(AND($T31="O3/CP",$T$14=B$18),VLOOKUP("O3",$R$63:$T$91,3,FALSE)+VLOOKUP("CP",$R$63:$T$91,3,FALSE),0)+IF(AND($U31&lt;&gt;"",$U31&lt;&gt;"--",$U31&lt;&gt;"O3/CP",$U$14=B$18),IF(LEFT($U31,1)="P",VLOOKUP(CONCATENATE(LEFT($U31,2),"H"),$R$63:$T$91,3,FALSE),VLOOKUP($U31,$R$63:$T$91,3,FALSE)))+IF(AND($U31&lt;&gt;"",$U31&lt;&gt;"O3/CP",$U$15=B$18,MID($U31,4,1)="2",$U$15&lt;&gt;$U$14),VLOOKUP(CONCATENATE(LEFT($U31,2),"L"),$R$63:$T$91,3,FALSE),0)+IF(AND($U31="O3/CP",$T$14=B$18),VLOOKUP("O3",$R$63:$T$91,3,FALSE)+VLOOKUP("CP",$R$63:$T$91,3,FALSE),0)+IF(AND($V31&lt;&gt;"",$V31&lt;&gt;"--",$V31&lt;&gt;"O3/CP",$V$14=B$18),IF(LEFT($V31,1)="P",VLOOKUP(CONCATENATE(LEFT($V31,2),"H"),$R$63:$T$91,3,FALSE),VLOOKUP($V31,$R$63:$T$91,3,FALSE)))+IF(AND($V31&lt;&gt;"",$V31&lt;&gt;"O3/CP",$V$15=B$18,MID($V31,4,1)="2",$V$15&lt;&gt;$V$14),VLOOKUP(CONCATENATE(LEFT($V31,2),"L"),$R$63:$T$91,3,FALSE),0)+IF(AND($V31="O3/CP",$V$14=B$18),VLOOKUP("O3",$R$63:$T$91,3,FALSE)+VLOOKUP("CP",$R$63:$T$91,3,FALSE),0)+IF(AND($W31&lt;&gt;"",$W31&lt;&gt;"--",$W31&lt;&gt;"O3/CP",$W$14=B$18),IF(LEFT($W31,1)="P",VLOOKUP(CONCATENATE(LEFT($W31,2),"H"),$R$63:$T$91,3,FALSE),VLOOKUP($W31,$R$63:$T$91,3,FALSE)))+IF(AND($W31&lt;&gt;"",$W31&lt;&gt;"O3/CP",$W$15=B$18,MID($W31,4,1)="2",$W$15&lt;&gt;$W$14),VLOOKUP(CONCATENATE(LEFT($W31,2),"L"),$R$63:$T$91,3,FALSE),0)+IF(AND($W31="O3/CP",$W$14=B$18),VLOOKUP("O3",$R$63:$T$91,3,FALSE)+VLOOKUP("CP",$R$63:$T$91,3,FALSE),0)+IF(AND($X31&lt;&gt;"",$X31&lt;&gt;"--",$X31&lt;&gt;"O3/CP",$X$14=B$18),IF(LEFT($X31,1)="P",VLOOKUP(CONCATENATE(LEFT($X31,2),"H"),$R$63:$T$91,3,FALSE),VLOOKUP($X31,$R$63:$T$91,3,FALSE)))+IF(AND($X31&lt;&gt;"",$X31&lt;&gt;"O3/CP",$X$15=B$18,MID($X31,4,1)="2",$X$15&lt;&gt;$X$14),VLOOKUP(CONCATENATE(LEFT($X31,2),"L"),$R$63:$T$91,3,FALSE),0)+IF(AND($X31="O3/CP",$X$14=B$18),VLOOKUP("O3",$R$63:$T$91,3,FALSE)+VLOOKUP("CP",$R$63:$T$91,3,FALSE),0)+IF(AND($Y31&lt;&gt;"",$Y31&lt;&gt;"--",$Y31&lt;&gt;"O3/CP",$Y$14=B$18),IF(LEFT($Y31,1)="P",VLOOKUP(CONCATENATE(LEFT($Y31,2),"H"),$R$63:$T$91,3,FALSE),VLOOKUP($Y31,$R$63:$T$91,3,FALSE)))+IF(AND($Y31&lt;&gt;"",$Y31&lt;&gt;"O3/CP",$Y$15=B$18,MID($Y31,4,1)="2",$Y$15&lt;&gt;$Y$14),VLOOKUP(CONCATENATE(LEFT($Y31,2),"L"),$R$63:$T$91,3,FALSE),0)+IF(AND($Y31="O3/CP",$Y$14=B$18),VLOOKUP("O3",$R$63:$T$91,3,FALSE)+VLOOKUP("CP",$R$63:$T$91,3,FALSE),0)+IF(AND($K$6="CE",'[3]Supply Attribution'!$G$20=B$18),LEFT($S$90,2),0)+IF(AND($X$86&lt;&gt;"Not Set",$X$87=B$18),$X$86,0)</f>
        <v>0</v>
      </c>
      <c r="C31" s="271">
        <f>IF(AND($K31&lt;&gt;"",$K31&lt;&gt;"--",$K31&lt;&gt;"O3/CP",$K$14=C$18),IF(LEFT($K31,1)="P",VLOOKUP(CONCATENATE(LEFT($K31,2),"H"),$R$63:$T$91,3,FALSE),VLOOKUP($K31,$R$63:$T$91,3,FALSE)))+IF(AND($K31&lt;&gt;"",$K31&lt;&gt;"O3/CP",$K$15=C$18,MID($K31,4,1)="2",$K$15&lt;&gt;$K$14),VLOOKUP(CONCATENATE(LEFT($K31,2),"L"),$R$63:$T$91,3,FALSE),0)+IF(AND($K31="O3/CP",$K$14=C$18),VLOOKUP("O3",$R$63:$T$91,3,FALSE)+VLOOKUP("CP",$R$63:$T$91,3,FALSE),0)+IF(AND($L31&lt;&gt;"",$L31&lt;&gt;"--",$L31&lt;&gt;"O3/CP",$L$14=C$18),IF(LEFT($L31,1)="P",VLOOKUP(CONCATENATE(LEFT($L31,2),"H"),$R$63:$T$91,3,FALSE),VLOOKUP($L31,$R$63:$T$91,3,FALSE)))+IF(AND($L31&lt;&gt;"",$L31&lt;&gt;"O3/CP",$L$15=C$18,MID($L31,4,1)="2",$L$15&lt;&gt;$L$14),VLOOKUP(CONCATENATE(LEFT($L31,2),"L"),$R$63:$T$91,3,FALSE),0)+IF(AND($L31="O3/CP",$L$14=C$18),VLOOKUP("O3",$R$63:$T$91,3,FALSE)+VLOOKUP("CP",$R$63:$T$91,3,FALSE),0)+IF(AND($M31&lt;&gt;"",$M31&lt;&gt;"--",$M31&lt;&gt;"O3/CP",$M$14=C$18),IF(LEFT($M31,1)="P",VLOOKUP(CONCATENATE(LEFT($M31,2),"H"),$R$63:$T$91,3,FALSE),VLOOKUP($M31,$R$63:$T$91,3,FALSE)))+IF(AND($M31&lt;&gt;"",$M31&lt;&gt;"O3/CP",$M$15=C$18,MID($M31,4,1)="2",$M$15&lt;&gt;$M$14),VLOOKUP(CONCATENATE(LEFT($M31,2),"L"),$R$63:$T$91,3,FALSE),0)+IF(AND($M31="O3/CP",$M$14=C$18),VLOOKUP("O3",$R$63:$T$91,3,FALSE)+VLOOKUP("CP",$R$63:$T$91,3,FALSE),0)+IF(AND($N31&lt;&gt;"",$N31&lt;&gt;"--",$N31&lt;&gt;"O3/CP",$N$14=C$18),IF(LEFT($N31,1)="P",VLOOKUP(CONCATENATE(LEFT($N31,2),"H"),$R$63:$T$91,3,FALSE),VLOOKUP($N31,$R$63:$T$91,3,FALSE)))+IF(AND($N31&lt;&gt;"",$N31&lt;&gt;"O3/CP",$N$15=C$18,MID($N31,4,1)="2",$N$15&lt;&gt;$N$14),VLOOKUP(CONCATENATE(LEFT($N31,2),"L"),$R$63:$T$91,3,FALSE),0)+IF(AND($N31="O3/CP",$N$14=C$18),VLOOKUP("O3",$R$63:$T$91,3,FALSE)+VLOOKUP("CP",$R$63:$T$91,3,FALSE),0)+IF(AND($O31&lt;&gt;"",$O31&lt;&gt;"--",$O31&lt;&gt;"O3/CP",$O$14=C$18),IF(LEFT($O31,1)="P",VLOOKUP(CONCATENATE(LEFT($O31,2),"H"),$R$63:$T$91,3,FALSE),VLOOKUP($O31,$R$63:$T$91,3,FALSE)))+IF(AND($O31&lt;&gt;"",$O31&lt;&gt;"O3/CP",$O$15=C$18,MID($O31,4,1)="2",$O$15&lt;&gt;$O$14),VLOOKUP(CONCATENATE(LEFT($O31,2),"L"),$R$63:$T$91,3,FALSE),0)+IF(AND($O31="O3/CP",$O$14=C$18),VLOOKUP("O3",$R$63:$T$91,3,FALSE)+VLOOKUP("CP",$R$63:$T$91,3,FALSE),0)+IF(AND($P31&lt;&gt;"",$P31&lt;&gt;"--",$P31&lt;&gt;"O3/CP",$P$14=C$18),IF(LEFT($P31,1)="P",VLOOKUP(CONCATENATE(LEFT($P31,2),"H"),$R$63:$T$91,3,FALSE),VLOOKUP($P31,$R$63:$T$91,3,FALSE)))+IF(AND($P31&lt;&gt;"",$P31&lt;&gt;"O3/CP",$P$15=C$18,MID($P31,4,1)="2",$P$15&lt;&gt;$P$14),VLOOKUP(CONCATENATE(LEFT($P31,2),"L"),$R$63:$T$91,3,FALSE),0)+IF(AND($P31="O3/CP",$P$14=C$18),VLOOKUP("O3",$R$63:$T$91,3,FALSE)+VLOOKUP("CP",$R$63:$T$91,3,FALSE),0)+IF(AND($Q31&lt;&gt;"",$Q31&lt;&gt;"--",$Q31&lt;&gt;"O3/CP",$Q$14=C$18),IF(LEFT($Q31,1)="P",VLOOKUP(CONCATENATE(LEFT($Q31,2),"H"),$R$63:$T$91,3,FALSE),VLOOKUP($Q31,$R$63:$T$91,3,FALSE)))+IF(AND($Q31&lt;&gt;"",$Q31&lt;&gt;"O3/CP",$Q$15=C$18,MID($Q31,4,1)="2",$Q$15&lt;&gt;$Q$14),VLOOKUP(CONCATENATE(LEFT($Q31,2),"L"),$R$63:$T$91,3,FALSE),0)+IF(AND($Q31="O3/CP",$Q$14=C$18),VLOOKUP("O3",$R$63:$T$91,3,FALSE)+VLOOKUP("CP",$R$63:$T$91,3,FALSE),0)+IF(AND($R31&lt;&gt;"",$R31&lt;&gt;"--",$R31&lt;&gt;"O3/CP",$R$14=C$18),IF(LEFT($R31,1)="P",VLOOKUP(CONCATENATE(LEFT($R31,2),"H"),$R$63:$T$91,3,FALSE),VLOOKUP($R31,$R$63:$T$91,3,FALSE)))+IF(AND($R31&lt;&gt;"",$R31&lt;&gt;"O3/CP",$R$15=C$18,MID($R31,4,1)="2",$R$15&lt;&gt;$R$14),VLOOKUP(CONCATENATE(LEFT($R31,2),"L"),$R$63:$T$91,3,FALSE),0)+IF(AND($R31="O3/CP",$R$14=C$18),VLOOKUP("O3",$R$63:$T$91,3,FALSE)+VLOOKUP("CP",$R$63:$T$91,3,FALSE),0)+IF(AND($S31&lt;&gt;"",$S31&lt;&gt;"--",$S31&lt;&gt;"O3/CP",$S$14=C$18),IF(LEFT($S31,1)="P",VLOOKUP(CONCATENATE(LEFT($S31,2),"H"),$R$63:$T$91,3,FALSE),VLOOKUP($S31,$R$63:$T$91,3,FALSE)))+IF(AND($S31&lt;&gt;"",$S31&lt;&gt;"O3/CP",$S$15=C$18,MID($S31,4,1)="2",$S$15&lt;&gt;$S$14),VLOOKUP(CONCATENATE(LEFT($S31,2),"L"),$R$63:$T$91,3,FALSE),0)+IF(AND($S31="O3/CP",$S$14=C$18),VLOOKUP("O3",$R$63:$T$91,3,FALSE)+VLOOKUP("CP",$R$63:$T$91,3,FALSE),0)+IF(AND($T31&lt;&gt;"",$T31&lt;&gt;"--",$T31&lt;&gt;"O3/CP",$T$14=C$18),IF(LEFT($T31,1)="P",VLOOKUP(CONCATENATE(LEFT($T31,2),"H"),$R$63:$T$91,3,FALSE),VLOOKUP($T31,$R$63:$T$91,3,FALSE)))+IF(AND($T31&lt;&gt;"",$T31&lt;&gt;"O3/CP",$T$15=C$18,MID($T31,4,1)="2",$T$15&lt;&gt;$T$14),VLOOKUP(CONCATENATE(LEFT($T31,2),"L"),$R$63:$T$91,3,FALSE),0)+IF(AND($T31="O3/CP",$T$14=C$18),VLOOKUP("O3",$R$63:$T$91,3,FALSE)+VLOOKUP("CP",$R$63:$T$91,3,FALSE),0)+IF(AND($U31&lt;&gt;"",$U31&lt;&gt;"--",$U31&lt;&gt;"O3/CP",$U$14=C$18),IF(LEFT($U31,1)="P",VLOOKUP(CONCATENATE(LEFT($U31,2),"H"),$R$63:$T$91,3,FALSE),VLOOKUP($U31,$R$63:$T$91,3,FALSE)))+IF(AND($U31&lt;&gt;"",$U31&lt;&gt;"O3/CP",$U$15=C$18,MID($U31,4,1)="2",$U$15&lt;&gt;$U$14),VLOOKUP(CONCATENATE(LEFT($U31,2),"L"),$R$63:$T$91,3,FALSE),0)+IF(AND($U31="O3/CP",$T$14=C$18),VLOOKUP("O3",$R$63:$T$91,3,FALSE)+VLOOKUP("CP",$R$63:$T$91,3,FALSE),0)+IF(AND($V31&lt;&gt;"",$V31&lt;&gt;"--",$V31&lt;&gt;"O3/CP",$V$14=C$18),IF(LEFT($V31,1)="P",VLOOKUP(CONCATENATE(LEFT($V31,2),"H"),$R$63:$T$91,3,FALSE),VLOOKUP($V31,$R$63:$T$91,3,FALSE)))+IF(AND($V31&lt;&gt;"",$V31&lt;&gt;"O3/CP",$V$15=C$18,MID($V31,4,1)="2",$V$15&lt;&gt;$V$14),VLOOKUP(CONCATENATE(LEFT($V31,2),"L"),$R$63:$T$91,3,FALSE),0)+IF(AND($V31="O3/CP",$V$14=C$18),VLOOKUP("O3",$R$63:$T$91,3,FALSE)+VLOOKUP("CP",$R$63:$T$91,3,FALSE),0)+IF(AND($W31&lt;&gt;"",$W31&lt;&gt;"--",$W31&lt;&gt;"O3/CP",$W$14=C$18),IF(LEFT($W31,1)="P",VLOOKUP(CONCATENATE(LEFT($W31,2),"H"),$R$63:$T$91,3,FALSE),VLOOKUP($W31,$R$63:$T$91,3,FALSE)))+IF(AND($W31&lt;&gt;"",$W31&lt;&gt;"O3/CP",$W$15=C$18,MID($W31,4,1)="2",$W$15&lt;&gt;$W$14),VLOOKUP(CONCATENATE(LEFT($W31,2),"L"),$R$63:$T$91,3,FALSE),0)+IF(AND($W31="O3/CP",$W$14=C$18),VLOOKUP("O3",$R$63:$T$91,3,FALSE)+VLOOKUP("CP",$R$63:$T$91,3,FALSE),0)+IF(AND($X31&lt;&gt;"",$X31&lt;&gt;"--",$X31&lt;&gt;"O3/CP",$X$14=C$18),IF(LEFT($X31,1)="P",VLOOKUP(CONCATENATE(LEFT($X31,2),"H"),$R$63:$T$91,3,FALSE),VLOOKUP($X31,$R$63:$T$91,3,FALSE)))+IF(AND($X31&lt;&gt;"",$X31&lt;&gt;"O3/CP",$X$15=C$18,MID($X31,4,1)="2",$X$15&lt;&gt;$X$14),VLOOKUP(CONCATENATE(LEFT($X31,2),"L"),$R$63:$T$91,3,FALSE),0)+IF(AND($X31="O3/CP",$X$14=C$18),VLOOKUP("O3",$R$63:$T$91,3,FALSE)+VLOOKUP("CP",$R$63:$T$91,3,FALSE),0)+IF(AND($Y31&lt;&gt;"",$Y31&lt;&gt;"--",$Y31&lt;&gt;"O3/CP",$Y$14=C$18),IF(LEFT($Y31,1)="P",VLOOKUP(CONCATENATE(LEFT($Y31,2),"H"),$R$63:$T$91,3,FALSE),VLOOKUP($Y31,$R$63:$T$91,3,FALSE)))+IF(AND($Y31&lt;&gt;"",$Y31&lt;&gt;"O3/CP",$Y$15=C$18,MID($Y31,4,1)="2",$Y$15&lt;&gt;$Y$14),VLOOKUP(CONCATENATE(LEFT($Y31,2),"L"),$R$63:$T$91,3,FALSE),0)+IF(AND($Y31="O3/CP",$Y$14=C$18),VLOOKUP("O3",$R$63:$T$91,3,FALSE)+VLOOKUP("CP",$R$63:$T$91,3,FALSE),0)+IF(AND($K$6="CE",'[3]Supply Attribution'!$G$20=C$18),LEFT($S$90,2),0)+IF(AND($X$86&lt;&gt;"Not Set",$X$87=C$18),$X$86,0)</f>
        <v>0</v>
      </c>
      <c r="D31" s="271">
        <f>IF(AND($K31&lt;&gt;"",$K31&lt;&gt;"--",$K31&lt;&gt;"O3/CP",$K$14=D$18),IF(LEFT($K31,1)="P",VLOOKUP(CONCATENATE(LEFT($K31,2),"H"),$R$63:$T$91,3,FALSE),VLOOKUP($K31,$R$63:$T$91,3,FALSE)))+IF(AND($K31&lt;&gt;"",$K31&lt;&gt;"O3/CP",$K$15=D$18,MID($K31,4,1)="2",$K$15&lt;&gt;$K$14),VLOOKUP(CONCATENATE(LEFT($K31,2),"L"),$R$63:$T$91,3,FALSE),0)+IF(AND($K31="O3/CP",$K$14=D$18),VLOOKUP("O3",$R$63:$T$91,3,FALSE)+VLOOKUP("CP",$R$63:$T$91,3,FALSE),0)+IF(AND($L31&lt;&gt;"",$L31&lt;&gt;"--",$L31&lt;&gt;"O3/CP",$L$14=D$18),IF(LEFT($L31,1)="P",VLOOKUP(CONCATENATE(LEFT($L31,2),"H"),$R$63:$T$91,3,FALSE),VLOOKUP($L31,$R$63:$T$91,3,FALSE)))+IF(AND($L31&lt;&gt;"",$L31&lt;&gt;"O3/CP",$L$15=D$18,MID($L31,4,1)="2",$L$15&lt;&gt;$L$14),VLOOKUP(CONCATENATE(LEFT($L31,2),"L"),$R$63:$T$91,3,FALSE),0)+IF(AND($L31="O3/CP",$L$14=D$18),VLOOKUP("O3",$R$63:$T$91,3,FALSE)+VLOOKUP("CP",$R$63:$T$91,3,FALSE),0)+IF(AND($M31&lt;&gt;"",$M31&lt;&gt;"--",$M31&lt;&gt;"O3/CP",$M$14=D$18),IF(LEFT($M31,1)="P",VLOOKUP(CONCATENATE(LEFT($M31,2),"H"),$R$63:$T$91,3,FALSE),VLOOKUP($M31,$R$63:$T$91,3,FALSE)))+IF(AND($M31&lt;&gt;"",$M31&lt;&gt;"O3/CP",$M$15=D$18,MID($M31,4,1)="2",$M$15&lt;&gt;$M$14),VLOOKUP(CONCATENATE(LEFT($M31,2),"L"),$R$63:$T$91,3,FALSE),0)+IF(AND($M31="O3/CP",$M$14=D$18),VLOOKUP("O3",$R$63:$T$91,3,FALSE)+VLOOKUP("CP",$R$63:$T$91,3,FALSE),0)+IF(AND($N31&lt;&gt;"",$N31&lt;&gt;"--",$N31&lt;&gt;"O3/CP",$N$14=D$18),IF(LEFT($N31,1)="P",VLOOKUP(CONCATENATE(LEFT($N31,2),"H"),$R$63:$T$91,3,FALSE),VLOOKUP($N31,$R$63:$T$91,3,FALSE)))+IF(AND($N31&lt;&gt;"",$N31&lt;&gt;"O3/CP",$N$15=D$18,MID($N31,4,1)="2",$N$15&lt;&gt;$N$14),VLOOKUP(CONCATENATE(LEFT($N31,2),"L"),$R$63:$T$91,3,FALSE),0)+IF(AND($N31="O3/CP",$N$14=D$18),VLOOKUP("O3",$R$63:$T$91,3,FALSE)+VLOOKUP("CP",$R$63:$T$91,3,FALSE),0)+IF(AND($O31&lt;&gt;"",$O31&lt;&gt;"--",$O31&lt;&gt;"O3/CP",$O$14=D$18),IF(LEFT($O31,1)="P",VLOOKUP(CONCATENATE(LEFT($O31,2),"H"),$R$63:$T$91,3,FALSE),VLOOKUP($O31,$R$63:$T$91,3,FALSE)))+IF(AND($O31&lt;&gt;"",$O31&lt;&gt;"O3/CP",$O$15=D$18,MID($O31,4,1)="2",$O$15&lt;&gt;$O$14),VLOOKUP(CONCATENATE(LEFT($O31,2),"L"),$R$63:$T$91,3,FALSE),0)+IF(AND($O31="O3/CP",$O$14=D$18),VLOOKUP("O3",$R$63:$T$91,3,FALSE)+VLOOKUP("CP",$R$63:$T$91,3,FALSE),0)+IF(AND($P31&lt;&gt;"",$P31&lt;&gt;"--",$P31&lt;&gt;"O3/CP",$P$14=D$18),IF(LEFT($P31,1)="P",VLOOKUP(CONCATENATE(LEFT($P31,2),"H"),$R$63:$T$91,3,FALSE),VLOOKUP($P31,$R$63:$T$91,3,FALSE)))+IF(AND($P31&lt;&gt;"",$P31&lt;&gt;"O3/CP",$P$15=D$18,MID($P31,4,1)="2",$P$15&lt;&gt;$P$14),VLOOKUP(CONCATENATE(LEFT($P31,2),"L"),$R$63:$T$91,3,FALSE),0)+IF(AND($P31="O3/CP",$P$14=D$18),VLOOKUP("O3",$R$63:$T$91,3,FALSE)+VLOOKUP("CP",$R$63:$T$91,3,FALSE),0)+IF(AND($Q31&lt;&gt;"",$Q31&lt;&gt;"--",$Q31&lt;&gt;"O3/CP",$Q$14=D$18),IF(LEFT($Q31,1)="P",VLOOKUP(CONCATENATE(LEFT($Q31,2),"H"),$R$63:$T$91,3,FALSE),VLOOKUP($Q31,$R$63:$T$91,3,FALSE)))+IF(AND($Q31&lt;&gt;"",$Q31&lt;&gt;"O3/CP",$Q$15=D$18,MID($Q31,4,1)="2",$Q$15&lt;&gt;$Q$14),VLOOKUP(CONCATENATE(LEFT($Q31,2),"L"),$R$63:$T$91,3,FALSE),0)+IF(AND($Q31="O3/CP",$Q$14=D$18),VLOOKUP("O3",$R$63:$T$91,3,FALSE)+VLOOKUP("CP",$R$63:$T$91,3,FALSE),0)+IF(AND($R31&lt;&gt;"",$R31&lt;&gt;"--",$R31&lt;&gt;"O3/CP",$R$14=D$18),IF(LEFT($R31,1)="P",VLOOKUP(CONCATENATE(LEFT($R31,2),"H"),$R$63:$T$91,3,FALSE),VLOOKUP($R31,$R$63:$T$91,3,FALSE)))+IF(AND($R31&lt;&gt;"",$R31&lt;&gt;"O3/CP",$R$15=D$18,MID($R31,4,1)="2",$R$15&lt;&gt;$R$14),VLOOKUP(CONCATENATE(LEFT($R31,2),"L"),$R$63:$T$91,3,FALSE),0)+IF(AND($R31="O3/CP",$R$14=D$18),VLOOKUP("O3",$R$63:$T$91,3,FALSE)+VLOOKUP("CP",$R$63:$T$91,3,FALSE),0)+IF(AND($S31&lt;&gt;"",$S31&lt;&gt;"--",$S31&lt;&gt;"O3/CP",$S$14=D$18),IF(LEFT($S31,1)="P",VLOOKUP(CONCATENATE(LEFT($S31,2),"H"),$R$63:$T$91,3,FALSE),VLOOKUP($S31,$R$63:$T$91,3,FALSE)))+IF(AND($S31&lt;&gt;"",$S31&lt;&gt;"O3/CP",$S$15=D$18,MID($S31,4,1)="2",$S$15&lt;&gt;$S$14),VLOOKUP(CONCATENATE(LEFT($S31,2),"L"),$R$63:$T$91,3,FALSE),0)+IF(AND($S31="O3/CP",$S$14=D$18),VLOOKUP("O3",$R$63:$T$91,3,FALSE)+VLOOKUP("CP",$R$63:$T$91,3,FALSE),0)+IF(AND($T31&lt;&gt;"",$T31&lt;&gt;"--",$T31&lt;&gt;"O3/CP",$T$14=D$18),IF(LEFT($T31,1)="P",VLOOKUP(CONCATENATE(LEFT($T31,2),"H"),$R$63:$T$91,3,FALSE),VLOOKUP($T31,$R$63:$T$91,3,FALSE)))+IF(AND($T31&lt;&gt;"",$T31&lt;&gt;"O3/CP",$T$15=D$18,MID($T31,4,1)="2",$T$15&lt;&gt;$T$14),VLOOKUP(CONCATENATE(LEFT($T31,2),"L"),$R$63:$T$91,3,FALSE),0)+IF(AND($T31="O3/CP",$T$14=D$18),VLOOKUP("O3",$R$63:$T$91,3,FALSE)+VLOOKUP("CP",$R$63:$T$91,3,FALSE),0)+IF(AND($U31&lt;&gt;"",$U31&lt;&gt;"--",$U31&lt;&gt;"O3/CP",$U$14=D$18),IF(LEFT($U31,1)="P",VLOOKUP(CONCATENATE(LEFT($U31,2),"H"),$R$63:$T$91,3,FALSE),VLOOKUP($U31,$R$63:$T$91,3,FALSE)))+IF(AND($U31&lt;&gt;"",$U31&lt;&gt;"O3/CP",$U$15=D$18,MID($U31,4,1)="2",$U$15&lt;&gt;$U$14),VLOOKUP(CONCATENATE(LEFT($U31,2),"L"),$R$63:$T$91,3,FALSE),0)+IF(AND($U31="O3/CP",$T$14=D$18),VLOOKUP("O3",$R$63:$T$91,3,FALSE)+VLOOKUP("CP",$R$63:$T$91,3,FALSE),0)+IF(AND($V31&lt;&gt;"",$V31&lt;&gt;"--",$V31&lt;&gt;"O3/CP",$V$14=D$18),IF(LEFT($V31,1)="P",VLOOKUP(CONCATENATE(LEFT($V31,2),"H"),$R$63:$T$91,3,FALSE),VLOOKUP($V31,$R$63:$T$91,3,FALSE)))+IF(AND($V31&lt;&gt;"",$V31&lt;&gt;"O3/CP",$V$15=D$18,MID($V31,4,1)="2",$V$15&lt;&gt;$V$14),VLOOKUP(CONCATENATE(LEFT($V31,2),"L"),$R$63:$T$91,3,FALSE),0)+IF(AND($V31="O3/CP",$V$14=D$18),VLOOKUP("O3",$R$63:$T$91,3,FALSE)+VLOOKUP("CP",$R$63:$T$91,3,FALSE),0)+IF(AND($W31&lt;&gt;"",$W31&lt;&gt;"--",$W31&lt;&gt;"O3/CP",$W$14=D$18),IF(LEFT($W31,1)="P",VLOOKUP(CONCATENATE(LEFT($W31,2),"H"),$R$63:$T$91,3,FALSE),VLOOKUP($W31,$R$63:$T$91,3,FALSE)))+IF(AND($W31&lt;&gt;"",$W31&lt;&gt;"O3/CP",$W$15=D$18,MID($W31,4,1)="2",$W$15&lt;&gt;$W$14),VLOOKUP(CONCATENATE(LEFT($W31,2),"L"),$R$63:$T$91,3,FALSE),0)+IF(AND($W31="O3/CP",$W$14=D$18),VLOOKUP("O3",$R$63:$T$91,3,FALSE)+VLOOKUP("CP",$R$63:$T$91,3,FALSE),0)+IF(AND($X31&lt;&gt;"",$X31&lt;&gt;"--",$X31&lt;&gt;"O3/CP",$X$14=D$18),IF(LEFT($X31,1)="P",VLOOKUP(CONCATENATE(LEFT($X31,2),"H"),$R$63:$T$91,3,FALSE),VLOOKUP($X31,$R$63:$T$91,3,FALSE)))+IF(AND($X31&lt;&gt;"",$X31&lt;&gt;"O3/CP",$X$15=D$18,MID($X31,4,1)="2",$X$15&lt;&gt;$X$14),VLOOKUP(CONCATENATE(LEFT($X31,2),"L"),$R$63:$T$91,3,FALSE),0)+IF(AND($X31="O3/CP",$X$14=D$18),VLOOKUP("O3",$R$63:$T$91,3,FALSE)+VLOOKUP("CP",$R$63:$T$91,3,FALSE),0)+IF(AND($Y31&lt;&gt;"",$Y31&lt;&gt;"--",$Y31&lt;&gt;"O3/CP",$Y$14=D$18),IF(LEFT($Y31,1)="P",VLOOKUP(CONCATENATE(LEFT($Y31,2),"H"),$R$63:$T$91,3,FALSE),VLOOKUP($Y31,$R$63:$T$91,3,FALSE)))+IF(AND($Y31&lt;&gt;"",$Y31&lt;&gt;"O3/CP",$Y$15=D$18,MID($Y31,4,1)="2",$Y$15&lt;&gt;$Y$14),VLOOKUP(CONCATENATE(LEFT($Y31,2),"L"),$R$63:$T$91,3,FALSE),0)+IF(AND($Y31="O3/CP",$Y$14=D$18),VLOOKUP("O3",$R$63:$T$91,3,FALSE)+VLOOKUP("CP",$R$63:$T$91,3,FALSE),0)+IF(AND($K$6="CE",'[3]Supply Attribution'!$G$20=D$18),LEFT($S$90,2),0)+IF(AND($X$86&lt;&gt;"Not Set",$X$87=D$18),$X$86,0)</f>
        <v>0</v>
      </c>
      <c r="E31" s="271">
        <f>IF(AND($K31&lt;&gt;"",$K31&lt;&gt;"--",$K31&lt;&gt;"O3/CP",$K$14=E$18),IF(LEFT($K31,1)="P",VLOOKUP(CONCATENATE(LEFT($K31,2),"H"),$R$63:$T$91,3,FALSE),VLOOKUP($K31,$R$63:$T$91,3,FALSE)))+IF(AND($K31&lt;&gt;"",$K31&lt;&gt;"O3/CP",$K$15=E$18,MID($K31,4,1)="2",$K$15&lt;&gt;$K$14),VLOOKUP(CONCATENATE(LEFT($K31,2),"L"),$R$63:$T$91,3,FALSE),0)+IF(AND($K31="O3/CP",$K$14=E$18),VLOOKUP("O3",$R$63:$T$91,3,FALSE)+VLOOKUP("CP",$R$63:$T$91,3,FALSE),0)+IF(AND($L31&lt;&gt;"",$L31&lt;&gt;"--",$L31&lt;&gt;"O3/CP",$L$14=E$18),IF(LEFT($L31,1)="P",VLOOKUP(CONCATENATE(LEFT($L31,2),"H"),$R$63:$T$91,3,FALSE),VLOOKUP($L31,$R$63:$T$91,3,FALSE)))+IF(AND($L31&lt;&gt;"",$L31&lt;&gt;"O3/CP",$L$15=E$18,MID($L31,4,1)="2",$L$15&lt;&gt;$L$14),VLOOKUP(CONCATENATE(LEFT($L31,2),"L"),$R$63:$T$91,3,FALSE),0)+IF(AND($L31="O3/CP",$L$14=E$18),VLOOKUP("O3",$R$63:$T$91,3,FALSE)+VLOOKUP("CP",$R$63:$T$91,3,FALSE),0)+IF(AND($M31&lt;&gt;"",$M31&lt;&gt;"--",$M31&lt;&gt;"O3/CP",$M$14=E$18),IF(LEFT($M31,1)="P",VLOOKUP(CONCATENATE(LEFT($M31,2),"H"),$R$63:$T$91,3,FALSE),VLOOKUP($M31,$R$63:$T$91,3,FALSE)))+IF(AND($M31&lt;&gt;"",$M31&lt;&gt;"O3/CP",$M$15=E$18,MID($M31,4,1)="2",$M$15&lt;&gt;$M$14),VLOOKUP(CONCATENATE(LEFT($M31,2),"L"),$R$63:$T$91,3,FALSE),0)+IF(AND($M31="O3/CP",$M$14=E$18),VLOOKUP("O3",$R$63:$T$91,3,FALSE)+VLOOKUP("CP",$R$63:$T$91,3,FALSE),0)+IF(AND($N31&lt;&gt;"",$N31&lt;&gt;"--",$N31&lt;&gt;"O3/CP",$N$14=E$18),IF(LEFT($N31,1)="P",VLOOKUP(CONCATENATE(LEFT($N31,2),"H"),$R$63:$T$91,3,FALSE),VLOOKUP($N31,$R$63:$T$91,3,FALSE)))+IF(AND($N31&lt;&gt;"",$N31&lt;&gt;"O3/CP",$N$15=E$18,MID($N31,4,1)="2",$N$15&lt;&gt;$N$14),VLOOKUP(CONCATENATE(LEFT($N31,2),"L"),$R$63:$T$91,3,FALSE),0)+IF(AND($N31="O3/CP",$N$14=E$18),VLOOKUP("O3",$R$63:$T$91,3,FALSE)+VLOOKUP("CP",$R$63:$T$91,3,FALSE),0)+IF(AND($O31&lt;&gt;"",$O31&lt;&gt;"--",$O31&lt;&gt;"O3/CP",$O$14=E$18),IF(LEFT($O31,1)="P",VLOOKUP(CONCATENATE(LEFT($O31,2),"H"),$R$63:$T$91,3,FALSE),VLOOKUP($O31,$R$63:$T$91,3,FALSE)))+IF(AND($O31&lt;&gt;"",$O31&lt;&gt;"O3/CP",$O$15=E$18,MID($O31,4,1)="2",$O$15&lt;&gt;$O$14),VLOOKUP(CONCATENATE(LEFT($O31,2),"L"),$R$63:$T$91,3,FALSE),0)+IF(AND($O31="O3/CP",$O$14=E$18),VLOOKUP("O3",$R$63:$T$91,3,FALSE)+VLOOKUP("CP",$R$63:$T$91,3,FALSE),0)+IF(AND($P31&lt;&gt;"",$P31&lt;&gt;"--",$P31&lt;&gt;"O3/CP",$P$14=E$18),IF(LEFT($P31,1)="P",VLOOKUP(CONCATENATE(LEFT($P31,2),"H"),$R$63:$T$91,3,FALSE),VLOOKUP($P31,$R$63:$T$91,3,FALSE)))+IF(AND($P31&lt;&gt;"",$P31&lt;&gt;"O3/CP",$P$15=E$18,MID($P31,4,1)="2",$P$15&lt;&gt;$P$14),VLOOKUP(CONCATENATE(LEFT($P31,2),"L"),$R$63:$T$91,3,FALSE),0)+IF(AND($P31="O3/CP",$P$14=E$18),VLOOKUP("O3",$R$63:$T$91,3,FALSE)+VLOOKUP("CP",$R$63:$T$91,3,FALSE),0)+IF(AND($Q31&lt;&gt;"",$Q31&lt;&gt;"--",$Q31&lt;&gt;"O3/CP",$Q$14=E$18),IF(LEFT($Q31,1)="P",VLOOKUP(CONCATENATE(LEFT($Q31,2),"H"),$R$63:$T$91,3,FALSE),VLOOKUP($Q31,$R$63:$T$91,3,FALSE)))+IF(AND($Q31&lt;&gt;"",$Q31&lt;&gt;"O3/CP",$Q$15=E$18,MID($Q31,4,1)="2",$Q$15&lt;&gt;$Q$14),VLOOKUP(CONCATENATE(LEFT($Q31,2),"L"),$R$63:$T$91,3,FALSE),0)+IF(AND($Q31="O3/CP",$Q$14=E$18),VLOOKUP("O3",$R$63:$T$91,3,FALSE)+VLOOKUP("CP",$R$63:$T$91,3,FALSE),0)+IF(AND($R31&lt;&gt;"",$R31&lt;&gt;"--",$R31&lt;&gt;"O3/CP",$R$14=E$18),IF(LEFT($R31,1)="P",VLOOKUP(CONCATENATE(LEFT($R31,2),"H"),$R$63:$T$91,3,FALSE),VLOOKUP($R31,$R$63:$T$91,3,FALSE)))+IF(AND($R31&lt;&gt;"",$R31&lt;&gt;"O3/CP",$R$15=E$18,MID($R31,4,1)="2",$R$15&lt;&gt;$R$14),VLOOKUP(CONCATENATE(LEFT($R31,2),"L"),$R$63:$T$91,3,FALSE),0)+IF(AND($R31="O3/CP",$R$14=E$18),VLOOKUP("O3",$R$63:$T$91,3,FALSE)+VLOOKUP("CP",$R$63:$T$91,3,FALSE),0)+IF(AND($S31&lt;&gt;"",$S31&lt;&gt;"--",$S31&lt;&gt;"O3/CP",$S$14=E$18),IF(LEFT($S31,1)="P",VLOOKUP(CONCATENATE(LEFT($S31,2),"H"),$R$63:$T$91,3,FALSE),VLOOKUP($S31,$R$63:$T$91,3,FALSE)))+IF(AND($S31&lt;&gt;"",$S31&lt;&gt;"O3/CP",$S$15=E$18,MID($S31,4,1)="2",$S$15&lt;&gt;$S$14),VLOOKUP(CONCATENATE(LEFT($S31,2),"L"),$R$63:$T$91,3,FALSE),0)+IF(AND($S31="O3/CP",$S$14=E$18),VLOOKUP("O3",$R$63:$T$91,3,FALSE)+VLOOKUP("CP",$R$63:$T$91,3,FALSE),0)+IF(AND($T31&lt;&gt;"",$T31&lt;&gt;"--",$T31&lt;&gt;"O3/CP",$T$14=E$18),IF(LEFT($T31,1)="P",VLOOKUP(CONCATENATE(LEFT($T31,2),"H"),$R$63:$T$91,3,FALSE),VLOOKUP($T31,$R$63:$T$91,3,FALSE)))+IF(AND($T31&lt;&gt;"",$T31&lt;&gt;"O3/CP",$T$15=E$18,MID($T31,4,1)="2",$T$15&lt;&gt;$T$14),VLOOKUP(CONCATENATE(LEFT($T31,2),"L"),$R$63:$T$91,3,FALSE),0)+IF(AND($T31="O3/CP",$T$14=E$18),VLOOKUP("O3",$R$63:$T$91,3,FALSE)+VLOOKUP("CP",$R$63:$T$91,3,FALSE),0)+IF(AND($U31&lt;&gt;"",$U31&lt;&gt;"--",$U31&lt;&gt;"O3/CP",$U$14=E$18),IF(LEFT($U31,1)="P",VLOOKUP(CONCATENATE(LEFT($U31,2),"H"),$R$63:$T$91,3,FALSE),VLOOKUP($U31,$R$63:$T$91,3,FALSE)))+IF(AND($U31&lt;&gt;"",$U31&lt;&gt;"O3/CP",$U$15=E$18,MID($U31,4,1)="2",$U$15&lt;&gt;$U$14),VLOOKUP(CONCATENATE(LEFT($U31,2),"L"),$R$63:$T$91,3,FALSE),0)+IF(AND($U31="O3/CP",$T$14=E$18),VLOOKUP("O3",$R$63:$T$91,3,FALSE)+VLOOKUP("CP",$R$63:$T$91,3,FALSE),0)+IF(AND($V31&lt;&gt;"",$V31&lt;&gt;"--",$V31&lt;&gt;"O3/CP",$V$14=E$18),IF(LEFT($V31,1)="P",VLOOKUP(CONCATENATE(LEFT($V31,2),"H"),$R$63:$T$91,3,FALSE),VLOOKUP($V31,$R$63:$T$91,3,FALSE)))+IF(AND($V31&lt;&gt;"",$V31&lt;&gt;"O3/CP",$V$15=E$18,MID($V31,4,1)="2",$V$15&lt;&gt;$V$14),VLOOKUP(CONCATENATE(LEFT($V31,2),"L"),$R$63:$T$91,3,FALSE),0)+IF(AND($V31="O3/CP",$V$14=E$18),VLOOKUP("O3",$R$63:$T$91,3,FALSE)+VLOOKUP("CP",$R$63:$T$91,3,FALSE),0)+IF(AND($W31&lt;&gt;"",$W31&lt;&gt;"--",$W31&lt;&gt;"O3/CP",$W$14=E$18),IF(LEFT($W31,1)="P",VLOOKUP(CONCATENATE(LEFT($W31,2),"H"),$R$63:$T$91,3,FALSE),VLOOKUP($W31,$R$63:$T$91,3,FALSE)))+IF(AND($W31&lt;&gt;"",$W31&lt;&gt;"O3/CP",$W$15=E$18,MID($W31,4,1)="2",$W$15&lt;&gt;$W$14),VLOOKUP(CONCATENATE(LEFT($W31,2),"L"),$R$63:$T$91,3,FALSE),0)+IF(AND($W31="O3/CP",$W$14=E$18),VLOOKUP("O3",$R$63:$T$91,3,FALSE)+VLOOKUP("CP",$R$63:$T$91,3,FALSE),0)+IF(AND($X31&lt;&gt;"",$X31&lt;&gt;"--",$X31&lt;&gt;"O3/CP",$X$14=E$18),IF(LEFT($X31,1)="P",VLOOKUP(CONCATENATE(LEFT($X31,2),"H"),$R$63:$T$91,3,FALSE),VLOOKUP($X31,$R$63:$T$91,3,FALSE)))+IF(AND($X31&lt;&gt;"",$X31&lt;&gt;"O3/CP",$X$15=E$18,MID($X31,4,1)="2",$X$15&lt;&gt;$X$14),VLOOKUP(CONCATENATE(LEFT($X31,2),"L"),$R$63:$T$91,3,FALSE),0)+IF(AND($X31="O3/CP",$X$14=E$18),VLOOKUP("O3",$R$63:$T$91,3,FALSE)+VLOOKUP("CP",$R$63:$T$91,3,FALSE),0)+IF(AND($Y31&lt;&gt;"",$Y31&lt;&gt;"--",$Y31&lt;&gt;"O3/CP",$Y$14=E$18),IF(LEFT($Y31,1)="P",VLOOKUP(CONCATENATE(LEFT($Y31,2),"H"),$R$63:$T$91,3,FALSE),VLOOKUP($Y31,$R$63:$T$91,3,FALSE)))+IF(AND($Y31&lt;&gt;"",$Y31&lt;&gt;"O3/CP",$Y$15=E$18,MID($Y31,4,1)="2",$Y$15&lt;&gt;$Y$14),VLOOKUP(CONCATENATE(LEFT($Y31,2),"L"),$R$63:$T$91,3,FALSE),0)+IF(AND($Y31="O3/CP",$Y$14=E$18),VLOOKUP("O3",$R$63:$T$91,3,FALSE)+VLOOKUP("CP",$R$63:$T$91,3,FALSE),0)+IF(AND($K$6="CE",'[3]Supply Attribution'!$G$20=E$18),LEFT($S$90,2),0)+IF(AND($X$86&lt;&gt;"Not Set",$X$87=E$18),$X$86,0)</f>
        <v>0</v>
      </c>
      <c r="F31" s="272">
        <f>IF(AND($K31&lt;&gt;"",$K31&lt;&gt;"--",$K31&lt;&gt;"O3/CP",$K$14=F$18),IF(LEFT($K31,1)="P",VLOOKUP(CONCATENATE(LEFT($K31,2),"H"),$R$63:$T$91,3,FALSE),VLOOKUP($K31,$R$63:$T$91,3,FALSE)))+IF(AND($K31&lt;&gt;"",$K31&lt;&gt;"O3/CP",$K$15=F$18,MID($K31,4,1)="2",$K$15&lt;&gt;$K$14),VLOOKUP(CONCATENATE(LEFT($K31,2),"L"),$R$63:$T$91,3,FALSE),0)+IF(AND($K31="O3/CP",$K$14=F$18),VLOOKUP("O3",$R$63:$T$91,3,FALSE)+VLOOKUP("CP",$R$63:$T$91,3,FALSE),0)+IF(AND($L31&lt;&gt;"",$L31&lt;&gt;"--",$L31&lt;&gt;"O3/CP",$L$14=F$18),IF(LEFT($L31,1)="P",VLOOKUP(CONCATENATE(LEFT($L31,2),"H"),$R$63:$T$91,3,FALSE),VLOOKUP($L31,$R$63:$T$91,3,FALSE)))+IF(AND($L31&lt;&gt;"",$L31&lt;&gt;"O3/CP",$L$15=F$18,MID($L31,4,1)="2",$L$15&lt;&gt;$L$14),VLOOKUP(CONCATENATE(LEFT($L31,2),"L"),$R$63:$T$91,3,FALSE),0)+IF(AND($L31="O3/CP",$L$14=F$18),VLOOKUP("O3",$R$63:$T$91,3,FALSE)+VLOOKUP("CP",$R$63:$T$91,3,FALSE),0)+IF(AND($M31&lt;&gt;"",$M31&lt;&gt;"--",$M31&lt;&gt;"O3/CP",$M$14=F$18),IF(LEFT($M31,1)="P",VLOOKUP(CONCATENATE(LEFT($M31,2),"H"),$R$63:$T$91,3,FALSE),VLOOKUP($M31,$R$63:$T$91,3,FALSE)))+IF(AND($M31&lt;&gt;"",$M31&lt;&gt;"O3/CP",$M$15=F$18,MID($M31,4,1)="2",$M$15&lt;&gt;$M$14),VLOOKUP(CONCATENATE(LEFT($M31,2),"L"),$R$63:$T$91,3,FALSE),0)+IF(AND($M31="O3/CP",$M$14=F$18),VLOOKUP("O3",$R$63:$T$91,3,FALSE)+VLOOKUP("CP",$R$63:$T$91,3,FALSE),0)+IF(AND($N31&lt;&gt;"",$N31&lt;&gt;"--",$N31&lt;&gt;"O3/CP",$N$14=F$18),IF(LEFT($N31,1)="P",VLOOKUP(CONCATENATE(LEFT($N31,2),"H"),$R$63:$T$91,3,FALSE),VLOOKUP($N31,$R$63:$T$91,3,FALSE)))+IF(AND($N31&lt;&gt;"",$N31&lt;&gt;"O3/CP",$N$15=F$18,MID($N31,4,1)="2",$N$15&lt;&gt;$N$14),VLOOKUP(CONCATENATE(LEFT($N31,2),"L"),$R$63:$T$91,3,FALSE),0)+IF(AND($N31="O3/CP",$N$14=F$18),VLOOKUP("O3",$R$63:$T$91,3,FALSE)+VLOOKUP("CP",$R$63:$T$91,3,FALSE),0)+IF(AND($O31&lt;&gt;"",$O31&lt;&gt;"--",$O31&lt;&gt;"O3/CP",$O$14=F$18),IF(LEFT($O31,1)="P",VLOOKUP(CONCATENATE(LEFT($O31,2),"H"),$R$63:$T$91,3,FALSE),VLOOKUP($O31,$R$63:$T$91,3,FALSE)))+IF(AND($O31&lt;&gt;"",$O31&lt;&gt;"O3/CP",$O$15=F$18,MID($O31,4,1)="2",$O$15&lt;&gt;$O$14),VLOOKUP(CONCATENATE(LEFT($O31,2),"L"),$R$63:$T$91,3,FALSE),0)+IF(AND($O31="O3/CP",$O$14=F$18),VLOOKUP("O3",$R$63:$T$91,3,FALSE)+VLOOKUP("CP",$R$63:$T$91,3,FALSE),0)+IF(AND($P31&lt;&gt;"",$P31&lt;&gt;"--",$P31&lt;&gt;"O3/CP",$P$14=F$18),IF(LEFT($P31,1)="P",VLOOKUP(CONCATENATE(LEFT($P31,2),"H"),$R$63:$T$91,3,FALSE),VLOOKUP($P31,$R$63:$T$91,3,FALSE)))+IF(AND($P31&lt;&gt;"",$P31&lt;&gt;"O3/CP",$P$15=F$18,MID($P31,4,1)="2",$P$15&lt;&gt;$P$14),VLOOKUP(CONCATENATE(LEFT($P31,2),"L"),$R$63:$T$91,3,FALSE),0)+IF(AND($P31="O3/CP",$P$14=F$18),VLOOKUP("O3",$R$63:$T$91,3,FALSE)+VLOOKUP("CP",$R$63:$T$91,3,FALSE),0)+IF(AND($Q31&lt;&gt;"",$Q31&lt;&gt;"--",$Q31&lt;&gt;"O3/CP",$Q$14=F$18),IF(LEFT($Q31,1)="P",VLOOKUP(CONCATENATE(LEFT($Q31,2),"H"),$R$63:$T$91,3,FALSE),VLOOKUP($Q31,$R$63:$T$91,3,FALSE)))+IF(AND($Q31&lt;&gt;"",$Q31&lt;&gt;"O3/CP",$Q$15=F$18,MID($Q31,4,1)="2",$Q$15&lt;&gt;$Q$14),VLOOKUP(CONCATENATE(LEFT($Q31,2),"L"),$R$63:$T$91,3,FALSE),0)+IF(AND($Q31="O3/CP",$Q$14=F$18),VLOOKUP("O3",$R$63:$T$91,3,FALSE)+VLOOKUP("CP",$R$63:$T$91,3,FALSE),0)+IF(AND($R31&lt;&gt;"",$R31&lt;&gt;"--",$R31&lt;&gt;"O3/CP",$R$14=F$18),IF(LEFT($R31,1)="P",VLOOKUP(CONCATENATE(LEFT($R31,2),"H"),$R$63:$T$91,3,FALSE),VLOOKUP($R31,$R$63:$T$91,3,FALSE)))+IF(AND($R31&lt;&gt;"",$R31&lt;&gt;"O3/CP",$R$15=F$18,MID($R31,4,1)="2",$R$15&lt;&gt;$R$14),VLOOKUP(CONCATENATE(LEFT($R31,2),"L"),$R$63:$T$91,3,FALSE),0)+IF(AND($R31="O3/CP",$R$14=F$18),VLOOKUP("O3",$R$63:$T$91,3,FALSE)+VLOOKUP("CP",$R$63:$T$91,3,FALSE),0)+IF(AND($S31&lt;&gt;"",$S31&lt;&gt;"--",$S31&lt;&gt;"O3/CP",$S$14=F$18),IF(LEFT($S31,1)="P",VLOOKUP(CONCATENATE(LEFT($S31,2),"H"),$R$63:$T$91,3,FALSE),VLOOKUP($S31,$R$63:$T$91,3,FALSE)))+IF(AND($S31&lt;&gt;"",$S31&lt;&gt;"O3/CP",$S$15=F$18,MID($S31,4,1)="2",$S$15&lt;&gt;$S$14),VLOOKUP(CONCATENATE(LEFT($S31,2),"L"),$R$63:$T$91,3,FALSE),0)+IF(AND($S31="O3/CP",$S$14=F$18),VLOOKUP("O3",$R$63:$T$91,3,FALSE)+VLOOKUP("CP",$R$63:$T$91,3,FALSE),0)+IF(AND($T31&lt;&gt;"",$T31&lt;&gt;"--",$T31&lt;&gt;"O3/CP",$T$14=F$18),IF(LEFT($T31,1)="P",VLOOKUP(CONCATENATE(LEFT($T31,2),"H"),$R$63:$T$91,3,FALSE),VLOOKUP($T31,$R$63:$T$91,3,FALSE)))+IF(AND($T31&lt;&gt;"",$T31&lt;&gt;"O3/CP",$T$15=F$18,MID($T31,4,1)="2",$T$15&lt;&gt;$T$14),VLOOKUP(CONCATENATE(LEFT($T31,2),"L"),$R$63:$T$91,3,FALSE),0)+IF(AND($T31="O3/CP",$T$14=F$18),VLOOKUP("O3",$R$63:$T$91,3,FALSE)+VLOOKUP("CP",$R$63:$T$91,3,FALSE),0)+IF(AND($U31&lt;&gt;"",$U31&lt;&gt;"--",$U31&lt;&gt;"O3/CP",$U$14=F$18),IF(LEFT($U31,1)="P",VLOOKUP(CONCATENATE(LEFT($U31,2),"H"),$R$63:$T$91,3,FALSE),VLOOKUP($U31,$R$63:$T$91,3,FALSE)))+IF(AND($U31&lt;&gt;"",$U31&lt;&gt;"O3/CP",$U$15=F$18,MID($U31,4,1)="2",$U$15&lt;&gt;$U$14),VLOOKUP(CONCATENATE(LEFT($U31,2),"L"),$R$63:$T$91,3,FALSE),0)+IF(AND($U31="O3/CP",$T$14=F$18),VLOOKUP("O3",$R$63:$T$91,3,FALSE)+VLOOKUP("CP",$R$63:$T$91,3,FALSE),0)+IF(AND($V31&lt;&gt;"",$V31&lt;&gt;"--",$V31&lt;&gt;"O3/CP",$V$14=F$18),IF(LEFT($V31,1)="P",VLOOKUP(CONCATENATE(LEFT($V31,2),"H"),$R$63:$T$91,3,FALSE),VLOOKUP($V31,$R$63:$T$91,3,FALSE)))+IF(AND($V31&lt;&gt;"",$V31&lt;&gt;"O3/CP",$V$15=F$18,MID($V31,4,1)="2",$V$15&lt;&gt;$V$14),VLOOKUP(CONCATENATE(LEFT($V31,2),"L"),$R$63:$T$91,3,FALSE),0)+IF(AND($V31="O3/CP",$V$14=F$18),VLOOKUP("O3",$R$63:$T$91,3,FALSE)+VLOOKUP("CP",$R$63:$T$91,3,FALSE),0)+IF(AND($W31&lt;&gt;"",$W31&lt;&gt;"--",$W31&lt;&gt;"O3/CP",$W$14=F$18),IF(LEFT($W31,1)="P",VLOOKUP(CONCATENATE(LEFT($W31,2),"H"),$R$63:$T$91,3,FALSE),VLOOKUP($W31,$R$63:$T$91,3,FALSE)))+IF(AND($W31&lt;&gt;"",$W31&lt;&gt;"O3/CP",$W$15=F$18,MID($W31,4,1)="2",$W$15&lt;&gt;$W$14),VLOOKUP(CONCATENATE(LEFT($W31,2),"L"),$R$63:$T$91,3,FALSE),0)+IF(AND($W31="O3/CP",$W$14=F$18),VLOOKUP("O3",$R$63:$T$91,3,FALSE)+VLOOKUP("CP",$R$63:$T$91,3,FALSE),0)+IF(AND($X31&lt;&gt;"",$X31&lt;&gt;"--",$X31&lt;&gt;"O3/CP",$X$14=F$18),IF(LEFT($X31,1)="P",VLOOKUP(CONCATENATE(LEFT($X31,2),"H"),$R$63:$T$91,3,FALSE),VLOOKUP($X31,$R$63:$T$91,3,FALSE)))+IF(AND($X31&lt;&gt;"",$X31&lt;&gt;"O3/CP",$X$15=F$18,MID($X31,4,1)="2",$X$15&lt;&gt;$X$14),VLOOKUP(CONCATENATE(LEFT($X31,2),"L"),$R$63:$T$91,3,FALSE),0)+IF(AND($X31="O3/CP",$X$14=F$18),VLOOKUP("O3",$R$63:$T$91,3,FALSE)+VLOOKUP("CP",$R$63:$T$91,3,FALSE),0)+IF(AND($Y31&lt;&gt;"",$Y31&lt;&gt;"--",$Y31&lt;&gt;"O3/CP",$Y$14=F$18),IF(LEFT($Y31,1)="P",VLOOKUP(CONCATENATE(LEFT($Y31,2),"H"),$R$63:$T$91,3,FALSE),VLOOKUP($Y31,$R$63:$T$91,3,FALSE)))+IF(AND($Y31&lt;&gt;"",$Y31&lt;&gt;"O3/CP",$Y$15=F$18,MID($Y31,4,1)="2",$Y$15&lt;&gt;$Y$14),VLOOKUP(CONCATENATE(LEFT($Y31,2),"L"),$R$63:$T$91,3,FALSE),0)+IF(AND($Y31="O3/CP",$Y$14=F$18),VLOOKUP("O3",$R$63:$T$91,3,FALSE)+VLOOKUP("CP",$R$63:$T$91,3,FALSE),0)+IF(AND($K$6="CE",'[3]Supply Attribution'!$G$20=F$18),LEFT($S$90,2),0)+IF(AND($X$86&lt;&gt;"Not Set",$X$87=F$18),$X$86,0)</f>
        <v>0</v>
      </c>
      <c r="G31" s="271">
        <f>IF(AND($K$6="CE",$T$59="1 Phase"),SUM(A31:F31)-IF(AND($K$14&lt;&gt;$K$15,RIGHT($K31,3)="2SP"),VLOOKUP(CONCATENATE(LEFT($K31,2),"L"),$R$63:$T$90,3,FALSE),0)-IF(AND($L$14&lt;&gt;$L$15,RIGHT($L31,3)="2SP"),VLOOKUP(CONCATENATE(LEFT($L31,2),"L"),$R$63:$T$90,3,FALSE),0)-IF(AND($M$14&lt;&gt;$M$15,RIGHT($M31,3)="2SP"),VLOOKUP(CONCATENATE(LEFT($M31,2),"L"),$R$63:$T$90,3,FALSE),0)-IF(AND($N$14&lt;&gt;$N$15,RIGHT($N31,3)="2SP"),VLOOKUP(CONCATENATE(LEFT($N31,2),"L"),$R$63:$T$90,3,FALSE),0)-IF(AND($O$14&lt;&gt;$O$15,RIGHT($O31,3)="2SP"),VLOOKUP(CONCATENATE(LEFT($O31,2),"L"),$R$63:$T$90,3,FALSE),0)-IF(AND($P$14&lt;&gt;$P$15,RIGHT($P31,3)="2SP"),VLOOKUP(CONCATENATE(LEFT($P31,2),"L"),$R$63:$T$90,3,FALSE),0)-IF(AND($Q$14&lt;&gt;$Q$15,RIGHT($Q31,3)="2SP"),VLOOKUP(CONCATENATE(LEFT($Q31,2),"L"),$R$63:$T$90,3,FALSE),0)-IF(AND($R$14&lt;&gt;$R$15,RIGHT($T31,3)="2SP"),VLOOKUP(CONCATENATE(LEFT($R31,2),"L"),$R$63:$T$90,3,FALSE),0)-IF(AND($S$14&lt;&gt;$S$15,RIGHT($T31,3)="2SP"),VLOOKUP(CONCATENATE(LEFT($S31,2),"L"),$R$63:$T$90,3,FALSE),0)-IF(AND($T$14&lt;&gt;$T$15,RIGHT($T31,3)="2SP"),VLOOKUP(CONCATENATE(LEFT($T31,2),"L"),$R$63:$T$90,3,FALSE),0)-IF(AND($U$14&lt;&gt;$U$15,RIGHT($U31,3)="2SP"),VLOOKUP(CONCATENATE(LEFT($U31,2),"L"),$R$63:$T$90,3,FALSE),0)-IF(AND($V$14&lt;&gt;$V$15,RIGHT($V31,3)="2SP"),VLOOKUP(CONCATENATE(LEFT($V31,2),"L"),$R$63:$T$90,3,FALSE),0)-IF(AND($W$14&lt;&gt;$W$15,RIGHT($W31,3)="2SP"),VLOOKUP(CONCATENATE(LEFT($W31,2),"L"),$R$63:$T$90,3,FALSE),0)-IF(AND($X$14&lt;&gt;$X$15,RIGHT($X31,3)="2SP"),VLOOKUP(CONCATENATE(LEFT($X31,2),"L"),$R$63:$T$90,3,FALSE),0)-IF(AND($Y$14&lt;&gt;$Y$15,RIGHT($Y31,3)="2SP"),VLOOKUP(CONCATENATE(LEFT($Y31,2),"L"),$R$63:$T$90,3,FALSE),0),IF(VLOOKUP(CONCATENATE($A$18,"Line"),'[3]Supply Attribution'!$F$31:$G$37,2,FALSE)=G$18,$A31,0)+IF(VLOOKUP(CONCATENATE($B$18,"Line"),'[3]Supply Attribution'!$F$31:$G$37,2,FALSE)=G$18,$B31,0)+IF(VLOOKUP(CONCATENATE($C$18,"Line"),'[3]Supply Attribution'!$F$31:$G$37,2,FALSE)=G$18,$C31,0)+IF(VLOOKUP(CONCATENATE($D$18,"Line"),'[3]Supply Attribution'!$F$31:$G$37,2,FALSE)=G$18,$D31,0)+IF(VLOOKUP(CONCATENATE($E$18,"Line"),'[3]Supply Attribution'!$F$31:$G$37,2,FALSE)=G$18,$E31,0)+IF(VLOOKUP(CONCATENATE($F$18,"Line"),'[3]Supply Attribution'!$F$31:$G$37,2,FALSE)=G$18,$F31,0)+IF($K$6="UL",LEFT($S$90,2),0)-IF(AND($K$16=G$18,$K$14&lt;&gt;$K$15,$K$16=$K$17,RIGHT($K31,3)="2SP"),VLOOKUP(CONCATENATE(LEFT($K31,2),"L"),$R$63:$T$90,3,FALSE),0)-IF(AND($L$16=G$18,$L$14&lt;&gt;$L$15,$L$16=$L$17,RIGHT($L31,3)="2SP"),VLOOKUP(CONCATENATE(LEFT($L31,2),"L"),$R$63:$T$90,3,FALSE),0)-IF(AND($M$16=G$18,$M$14&lt;&gt;$M$15,$M$16=$M$17,RIGHT($M31,3)="2SP"),VLOOKUP(CONCATENATE(LEFT($M31,2),"L"),$R$63:$T$90,3,FALSE),0)-IF(AND($N$16=G$18,$N$14&lt;&gt;$N$15,$N$16=$N$17,RIGHT($N31,3)="2SP"),VLOOKUP(CONCATENATE(LEFT($N31,2),"L"),$R$63:$T$90,3,FALSE),0)-IF(AND($O$16=G$18,$O$14&lt;&gt;$O$15,$O$16=$O$17,RIGHT($O31,3)="2SP"),VLOOKUP(CONCATENATE(LEFT($O31,2),"L"),$R$63:$T$90,3,FALSE),0)-IF(AND($P$16=G$18,$P$14&lt;&gt;$P$15,$P$16=$P$17,RIGHT($P31,3)="2SP"),VLOOKUP(CONCATENATE(LEFT($P31,2),"L"),$R$63:$T$90,3,FALSE),0)-IF(AND($Q$16=G$18,$Q$14&lt;&gt;$Q$15,$Q$16=$Q$17,RIGHT($Q31,3)="2SP"),VLOOKUP(CONCATENATE(LEFT($Q31,2),"L"),$R$63:$T$90,3,FALSE),0)-IF(AND($R$16=G$18,$R$14&lt;&gt;$R$15,$R$16=$R$17,RIGHT($R31,3)="2SP"),VLOOKUP(CONCATENATE(LEFT($R31,2),"L"),$R$63:$T$90,3,FALSE),0)-IF(AND($S$16=G$18,$S$14&lt;&gt;$S$15,$S$16=$S$17,RIGHT($S31,3)="2SP"),VLOOKUP(CONCATENATE(LEFT($S31,2),"L"),$R$63:$T$90,3,FALSE),0)-IF(AND($T$16=G$18,$T$14&lt;&gt;$T$15,$T$16=$T$17,RIGHT($T31,3)="2SP"),VLOOKUP(CONCATENATE(LEFT($T31,2),"L"),$R$63:$T$90,3,FALSE),0)-IF(AND($U$16=G$18,$U$14&lt;&gt;$U$15,$U$16=$U$17,RIGHT($U31,3)="2SP"),VLOOKUP(CONCATENATE(LEFT($U31,2),"L"),$R$63:$T$90,3,FALSE),0)-IF(AND($V$16=G$18,$V$14&lt;&gt;$V$15,$V$16=$V$17,RIGHT($V31,3)="2SP"),VLOOKUP(CONCATENATE(LEFT($V31,2),"L"),$R$63:$T$90,3,FALSE),0)-IF(AND($W$16=G$18,$W$14&lt;&gt;$W$15,$W$16=$W$17,RIGHT($W31,3)="2SP"),VLOOKUP(CONCATENATE(LEFT($W31,2),"L"),$R$63:$T$90,3,FALSE),0)-IF(AND($X$16=G$18,$X$14&lt;&gt;$X$15,$X$16=$X$17,RIGHT($X31,3)="2SP"),VLOOKUP(CONCATENATE(LEFT($X31,2),"L"),$R$63:$T$90,3,FALSE),0)-IF(AND($Y$16=G$18,$Y$14&lt;&gt;$Y$15,$Y$16=$Y$17,RIGHT($Y31,3)="2SP"),VLOOKUP(CONCATENATE(LEFT($Y31,2),"L"),$R$63:$T$90,3,FALSE),0))</f>
        <v>17</v>
      </c>
      <c r="H31" s="271" t="str">
        <f>IF(H$18&lt;&gt;"",IF(VLOOKUP(CONCATENATE($A$18,"Line"),'Supply Attribution'!$F$31:$G$37,2,FALSE)=H$18,$A31,0)+IF(VLOOKUP(CONCATENATE($B$18,"Line"),'Supply Attribution'!$F$31:$G$37,2,FALSE)=H$18,$B31,0)+IF(VLOOKUP(CONCATENATE($C$18,"Line"),'Supply Attribution'!$F$31:$G$37,2,FALSE)=H$18,$C31,0)+IF(VLOOKUP(CONCATENATE($D$18,"Line"),'Supply Attribution'!$F$31:$G$37,2,FALSE)=H$18,$D31,0)+IF(VLOOKUP(CONCATENATE($E$18,"Line"),'Supply Attribution'!$F$31:$G$37,2,FALSE)=H$18,$E31,0)+IF(VLOOKUP(CONCATENATE($F$18,"Line"),'Supply Attribution'!$F$31:$G$37,2,FALSE)=H$18,$F31,0)+IF($K$6="UL",LEFT($S$90,2),0)-IF(AND($K$16=H$18,$K$14&lt;&gt;$K$15,$K$16=$K$17,RIGHT($K31,3)="2SP"),VLOOKUP(CONCATENATE(LEFT($K31,2),"L"),$R$63:$T$90,3,FALSE),0)-IF(AND($L$16=H$18,$L$14&lt;&gt;$L$15,$L$16=$L$17,RIGHT($L31,3)="2SP"),VLOOKUP(CONCATENATE(LEFT($L31,2),"L"),$R$63:$T$90,3,FALSE),0)-IF(AND($M$16=H$18,$M$14&lt;&gt;$M$15,$M$16=$M$17,RIGHT($M31,3)="2SP"),VLOOKUP(CONCATENATE(LEFT($M31,2),"L"),$R$63:$T$90,3,FALSE),0)-IF(AND($N$16=H$18,$N$14&lt;&gt;$N$15,$N$16=$N$17,RIGHT($N31,3)="2SP"),VLOOKUP(CONCATENATE(LEFT($N31,2),"L"),$R$63:$T$90,3,FALSE),0)-IF(AND($O$16=H$18,$O$14&lt;&gt;$O$15,$O$16=$O$17,RIGHT($O31,3)="2SP"),VLOOKUP(CONCATENATE(LEFT($O31,2),"L"),$R$63:$T$90,3,FALSE),0)-IF(AND($P$16=H$18,$P$14&lt;&gt;$P$15,$P$16=$P$17,RIGHT($P31,3)="2SP"),VLOOKUP(CONCATENATE(LEFT($P31,2),"L"),$R$63:$T$90,3,FALSE),0)-IF(AND($Q$16=H$18,$Q$14&lt;&gt;$Q$15,$Q$16=$Q$17,RIGHT($Q31,3)="2SP"),VLOOKUP(CONCATENATE(LEFT($Q31,2),"L"),$R$63:$T$90,3,FALSE),0)-IF(AND($T$16=H$18,$T$14&lt;&gt;$T$15,$T$16=$T$17,RIGHT($T31,3)="2SP"),VLOOKUP(CONCATENATE(LEFT($T31,2),"L"),$R$63:$T$90,3,FALSE),0)-IF(AND($U$16=H$18,$U$14&lt;&gt;$U$15,$U$16=$U$17,RIGHT($U31,3)="2SP"),VLOOKUP(CONCATENATE(LEFT($U31,2),"L"),$R$63:$T$90,3,FALSE),0)-IF(AND($V$16=H$18,$V$14&lt;&gt;$V$15,$V$16=$V$17,RIGHT($V31,3)="2SP"),VLOOKUP(CONCATENATE(LEFT($V31,2),"L"),$R$63:$T$90,3,FALSE),0)-IF(AND($W$16=H$18,$W$14&lt;&gt;$W$15,$W$16=$W$17,RIGHT($W31,3)="2SP"),VLOOKUP(CONCATENATE(LEFT($W31,2),"L"),$R$63:$T$90,3,FALSE),0)-IF(AND($X$16=H$18,$X$14&lt;&gt;$X$15,$X$16=$X$17,RIGHT($X31,3)="2SP"),VLOOKUP(CONCATENATE(LEFT($X31,2),"L"),$R$63:$T$90,3,FALSE),0)-IF(AND($Y$16=H$18,$Y$14&lt;&gt;$Y$15,$Y$16=$Y$17,RIGHT($Y31,3)="2SP"),VLOOKUP(CONCATENATE(LEFT($Y31,2),"L"),$R$63:$T$90,3,FALSE),0)+IF(AND($K$6="CE",$T$59="2 Phases",H$18&lt;&gt;""),IF(VLOOKUP(CONCATENATE($A$18,"Line"),'Supply Attribution'!$F$31:$G$37,2,FALSE)="Line3",$A31,0)+IF(VLOOKUP(CONCATENATE($B$18,"Line"),'Supply Attribution'!$F$31:$G$37,2,FALSE)="Line3",$B31,0)+IF(VLOOKUP(CONCATENATE($C$18,"Line"),'Supply Attribution'!$F$31:$G$37,2,FALSE)="Line3",$C31,0)+IF(VLOOKUP(CONCATENATE($D$18,"Line"),'Supply Attribution'!$F$31:$G$37,2,FALSE)="Line3",$D31,0)+IF(VLOOKUP(CONCATENATE($E$18,"Line"),'Supply Attribution'!$F$31:$G$37,2,FALSE)="Line3",$E31,0)+IF(VLOOKUP(CONCATENATE($F$18,"Line"),'Supply Attribution'!$F$31:$G$37,2,FALSE)="Line3",$F31,0)-IF(AND($K$16=I$18,$K$14&lt;&gt;$K$15,$K$16=$K$17,RIGHT($K31,3)="2SP"),VLOOKUP(CONCATENATE(LEFT($K31,2),"L"),$R$63:$T$90,3,FALSE),0)-IF(AND($L$16=I$18,$L$14&lt;&gt;$L$15,$L$16=$L$17,RIGHT($L31,3)="2SP"),VLOOKUP(CONCATENATE(LEFT($L31,2),"L"),$R$63:$T$90,3,FALSE),0)-IF(AND($M$16=I$18,$M$14&lt;&gt;$M$15,$M$16=$M$17,RIGHT($M31,3)="2SP"),VLOOKUP(CONCATENATE(LEFT($M31,2),"L"),$R$63:$T$90,3,FALSE),0)-IF(AND($N$16=I$18,$N$14&lt;&gt;$N$15,$N$16=$N$17,RIGHT($N31,3)="2SP"),VLOOKUP(CONCATENATE(LEFT($N31,2),"L"),$R$63:$T$90,3,FALSE),0)-IF(AND($O$16=I$18,$O$14&lt;&gt;$O$15,$O$16=$O$17,RIGHT($O31,3)="2SP"),VLOOKUP(CONCATENATE(LEFT($O31,2),"L"),$R$63:$T$90,3,FALSE),0)-IF(AND($P$16=I$18,$P$14&lt;&gt;$P$15,$P$16=$P$17,RIGHT($P31,3)="2SP"),VLOOKUP(CONCATENATE(LEFT($P31,2),"L"),$R$63:$T$90,3,FALSE),0)-IF(AND($Q$16=I$18,$Q$14&lt;&gt;$Q$15,$Q$16=$Q$17,RIGHT($Q31,3)="2SP"),VLOOKUP(CONCATENATE(LEFT($Q31,2),"L"),$R$63:$T$90,3,FALSE),0)-IF(AND($T$16=I$18,$T$14&lt;&gt;$T$15,$T$16=$T$17,RIGHT($T31,3)="2SP"),VLOOKUP(CONCATENATE(LEFT($T31,2),"L"),$R$63:$T$90,3,FALSE),0)-IF(AND($U$16=I$18,$U$14&lt;&gt;$U$15,$U$16=$U$17,RIGHT($U31,3)="2SP"),VLOOKUP(CONCATENATE(LEFT($U31,2),"L"),$R$63:$T$90,3,FALSE),0)-IF(AND($V$16=I$18,$V$14&lt;&gt;$V$15,$V$16=$V$17,RIGHT($V31,3)="2SP"),VLOOKUP(CONCATENATE(LEFT($V31,2),"L"),$R$63:$T$90,3,FALSE),0)-IF(AND($W$16=I$18,$W$14&lt;&gt;$W$15,$W$16=$W$17,RIGHT($W31,3)="2SP"),VLOOKUP(CONCATENATE(LEFT($W31,2),"L"),$R$63:$T$90,3,FALSE),0)-IF(AND($X$16=I$18,$X$14&lt;&gt;$X$15,$X$16=$X$17,RIGHT($X31,3)="2SP"),VLOOKUP(CONCATENATE(LEFT($X31,2),"L"),$R$63:$T$90,3,FALSE),0)-IF(AND($Y$16=I$18,$Y$14&lt;&gt;$Y$15,$Y$16=$Y$17,RIGHT($Y31,3)="2SP"),VLOOKUP(CONCATENATE(LEFT($Y31,2),"L"),$R$63:$T$90,3,FALSE),0),0),"")</f>
        <v/>
      </c>
      <c r="I31" s="271" t="str">
        <f>IF(I$18&lt;&gt;"",IF(VLOOKUP(CONCATENATE($A$18,"Line"),'Supply Attribution'!$F$31:$G$37,2,FALSE)=I$18,$A31,0)+IF(VLOOKUP(CONCATENATE($B$18,"Line"),'Supply Attribution'!$F$31:$G$37,2,FALSE)=I$18,$B31,0)+IF(VLOOKUP(CONCATENATE($C$18,"Line"),'Supply Attribution'!$F$31:$G$37,2,FALSE)=I$18,$C31,0)+IF(VLOOKUP(CONCATENATE($D$18,"Line"),'Supply Attribution'!$F$31:$G$37,2,FALSE)=I$18,$D31,0)+IF(VLOOKUP(CONCATENATE($E$18,"Line"),'Supply Attribution'!$F$31:$G$37,2,FALSE)=I$18,$E31,0)+IF(VLOOKUP(CONCATENATE($F$18,"Line"),'Supply Attribution'!$F$31:$G$37,2,FALSE)=I$18,$F31,0)+IF($K$6="UL",LEFT($S$90,2),0)-IF(AND($K$16=I$18,$K$14&lt;&gt;$K$15,$K$16=$K$17,RIGHT($K31,3)="2SP"),VLOOKUP(CONCATENATE(LEFT($K31,2),"L"),$R$63:$T$90,3,FALSE),0)-IF(AND($L$16=I$18,$L$14&lt;&gt;$L$15,$L$16=$L$17,RIGHT($L31,3)="2SP"),VLOOKUP(CONCATENATE(LEFT($L31,2),"L"),$R$63:$T$90,3,FALSE),0)-IF(AND($M$16=I$18,$M$14&lt;&gt;$M$15,$M$16=$M$17,RIGHT($M31,3)="2SP"),VLOOKUP(CONCATENATE(LEFT($M31,2),"L"),$R$63:$T$90,3,FALSE),0)-IF(AND($N$16=I$18,$N$14&lt;&gt;$N$15,$N$16=$N$17,RIGHT($N31,3)="2SP"),VLOOKUP(CONCATENATE(LEFT($N31,2),"L"),$R$63:$T$90,3,FALSE),0)-IF(AND($O$16=I$18,$O$14&lt;&gt;$O$15,$O$16=$O$17,RIGHT($O31,3)="2SP"),VLOOKUP(CONCATENATE(LEFT($O31,2),"L"),$R$63:$T$90,3,FALSE),0)-IF(AND($P$16=I$18,$P$14&lt;&gt;$P$15,$P$16=$P$17,RIGHT($P31,3)="2SP"),VLOOKUP(CONCATENATE(LEFT($P31,2),"L"),$R$63:$T$90,3,FALSE),0)-IF(AND($Q$16=I$18,$Q$14&lt;&gt;$Q$15,$Q$16=$Q$17,RIGHT($Q31,3)="2SP"),VLOOKUP(CONCATENATE(LEFT($Q31,2),"L"),$R$63:$T$90,3,FALSE),0)-IF(AND($T$16=I$18,$T$14&lt;&gt;$T$15,$T$16=$T$17,RIGHT($T31,3)="2SP"),VLOOKUP(CONCATENATE(LEFT($T31,2),"L"),$R$63:$T$90,3,FALSE),0)-IF(AND($U$16=I$18,$U$14&lt;&gt;$U$15,$U$16=$U$17,RIGHT($U31,3)="2SP"),VLOOKUP(CONCATENATE(LEFT($U31,2),"L"),$R$63:$T$90,3,FALSE),0)-IF(AND($V$16=I$18,$V$14&lt;&gt;$V$15,$V$16=$V$17,RIGHT($V31,3)="2SP"),VLOOKUP(CONCATENATE(LEFT($V31,2),"L"),$R$63:$T$90,3,FALSE),0)-IF(AND($W$16=I$18,$W$14&lt;&gt;$W$15,$W$16=$W$17,RIGHT($W31,3)="2SP"),VLOOKUP(CONCATENATE(LEFT($W31,2),"L"),$R$63:$T$90,3,FALSE),0)-IF(AND($X$16=I$18,$X$14&lt;&gt;$X$15,$X$16=$X$17,RIGHT($X31,3)="2SP"),VLOOKUP(CONCATENATE(LEFT($X31,2),"L"),$R$63:$T$90,3,FALSE),0)-IF(AND($Y$16=I$18,$Y$14&lt;&gt;$Y$15,$Y$16=$Y$17,RIGHT($Y31,3)="2SP"),VLOOKUP(CONCATENATE(LEFT($Y31,2),"L"),$R$63:$T$90,3,FALSE),0),"")</f>
        <v/>
      </c>
      <c r="J31" s="129"/>
      <c r="K31" s="130"/>
      <c r="L31" s="130"/>
      <c r="M31" s="130"/>
      <c r="N31" s="130"/>
      <c r="O31" s="130"/>
      <c r="P31" s="130"/>
      <c r="Q31" s="130"/>
      <c r="R31" s="130"/>
      <c r="S31" s="130"/>
      <c r="T31" s="130"/>
      <c r="U31" s="130"/>
      <c r="V31" s="130"/>
      <c r="W31" s="130"/>
      <c r="X31" s="130"/>
      <c r="Y31" s="130"/>
      <c r="Z31" s="131"/>
      <c r="AA31" s="131"/>
      <c r="AB31" s="132"/>
      <c r="AC31" s="132"/>
      <c r="AD31" s="132"/>
      <c r="AE31" s="133">
        <f t="shared" si="0"/>
        <v>0</v>
      </c>
      <c r="AF31" s="78"/>
    </row>
    <row r="32" spans="1:32" ht="13.15" customHeight="1">
      <c r="A32" s="270">
        <f>IF(AND($K32&lt;&gt;"",$K32&lt;&gt;"--",$K32&lt;&gt;"O3/CP",$K$14=A$18),IF(LEFT($K32,1)="P",VLOOKUP(CONCATENATE(LEFT($K32,2),"H"),$R$63:$T$91,3,FALSE),VLOOKUP($K32,$R$63:$T$91,3,FALSE)))+IF(AND($K32&lt;&gt;"",$K32&lt;&gt;"O3/CP",$K$15=A$18,MID($K32,4,1)="2",$K$15&lt;&gt;$K$14),VLOOKUP(CONCATENATE(LEFT($K32,2),"L"),$R$63:$T$91,3,FALSE),0)+IF(AND($K32="O3/CP",$K$14=A$18),VLOOKUP("O3",$R$63:$T$91,3,FALSE)+VLOOKUP("CP",$R$63:$T$91,3,FALSE),0)+IF(AND($L32&lt;&gt;"",$L32&lt;&gt;"--",$L32&lt;&gt;"O3/CP",$L$14=A$18),IF(LEFT($L32,1)="P",VLOOKUP(CONCATENATE(LEFT($L32,2),"H"),$R$63:$T$91,3,FALSE),VLOOKUP($L32,$R$63:$T$91,3,FALSE)))+IF(AND($L32&lt;&gt;"",$L32&lt;&gt;"O3/CP",$L$15=A$18,MID($L32,4,1)="2",$L$15&lt;&gt;$L$14),VLOOKUP(CONCATENATE(LEFT($L32,2),"L"),$R$63:$T$91,3,FALSE),0)+IF(AND($L32="O3/CP",$L$14=A$18),VLOOKUP("O3",$R$63:$T$91,3,FALSE)+VLOOKUP("CP",$R$63:$T$91,3,FALSE),0)+IF(AND($M32&lt;&gt;"",$M32&lt;&gt;"--",$M32&lt;&gt;"O3/CP",$M$14=A$18),IF(LEFT($M32,1)="P",VLOOKUP(CONCATENATE(LEFT($M32,2),"H"),$R$63:$T$91,3,FALSE),VLOOKUP($M32,$R$63:$T$91,3,FALSE)))+IF(AND($M32&lt;&gt;"",$M32&lt;&gt;"O3/CP",$M$15=A$18,MID($M32,4,1)="2",$M$15&lt;&gt;$M$14),VLOOKUP(CONCATENATE(LEFT($M32,2),"L"),$R$63:$T$91,3,FALSE),0)+IF(AND($M32="O3/CP",$M$14=A$18),VLOOKUP("O3",$R$63:$T$91,3,FALSE)+VLOOKUP("CP",$R$63:$T$91,3,FALSE),0)+IF(AND($N32&lt;&gt;"",$N32&lt;&gt;"--",$N32&lt;&gt;"O3/CP",$N$14=A$18),IF(LEFT($N32,1)="P",VLOOKUP(CONCATENATE(LEFT($N32,2),"H"),$R$63:$T$91,3,FALSE),VLOOKUP($N32,$R$63:$T$91,3,FALSE)))+IF(AND($N32&lt;&gt;"",$N32&lt;&gt;"O3/CP",$N$15=A$18,MID($N32,4,1)="2",$N$15&lt;&gt;$N$14),VLOOKUP(CONCATENATE(LEFT($N32,2),"L"),$R$63:$T$91,3,FALSE),0)+IF(AND($N32="O3/CP",$N$14=A$18),VLOOKUP("O3",$R$63:$T$91,3,FALSE)+VLOOKUP("CP",$R$63:$T$91,3,FALSE),0)+IF(AND($O32&lt;&gt;"",$O32&lt;&gt;"--",$O32&lt;&gt;"O3/CP",$O$14=A$18),IF(LEFT($O32,1)="P",VLOOKUP(CONCATENATE(LEFT($O32,2),"H"),$R$63:$T$91,3,FALSE),VLOOKUP($O32,$R$63:$T$91,3,FALSE)))+IF(AND($O32&lt;&gt;"",$O32&lt;&gt;"O3/CP",$O$15=A$18,MID($O32,4,1)="2",$O$15&lt;&gt;$O$14),VLOOKUP(CONCATENATE(LEFT($O32,2),"L"),$R$63:$T$91,3,FALSE),0)+IF(AND($O32="O3/CP",$O$14=A$18),VLOOKUP("O3",$R$63:$T$91,3,FALSE)+VLOOKUP("CP",$R$63:$T$91,3,FALSE),0)+IF(AND($P32&lt;&gt;"",$P32&lt;&gt;"--",$P32&lt;&gt;"O3/CP",$P$14=A$18),IF(LEFT($P32,1)="P",VLOOKUP(CONCATENATE(LEFT($P32,2),"H"),$R$63:$T$91,3,FALSE),VLOOKUP($P32,$R$63:$T$91,3,FALSE)))+IF(AND($P32&lt;&gt;"",$P32&lt;&gt;"O3/CP",$P$15=A$18,MID($P32,4,1)="2",$P$15&lt;&gt;$P$14),VLOOKUP(CONCATENATE(LEFT($P32,2),"L"),$R$63:$T$91,3,FALSE),0)+IF(AND($P32="O3/CP",$P$14=A$18),VLOOKUP("O3",$R$63:$T$91,3,FALSE)+VLOOKUP("CP",$R$63:$T$91,3,FALSE),0)+IF(AND($Q32&lt;&gt;"",$Q32&lt;&gt;"--",$Q32&lt;&gt;"O3/CP",$Q$14=A$18),IF(LEFT($Q32,1)="P",VLOOKUP(CONCATENATE(LEFT($Q32,2),"H"),$R$63:$T$91,3,FALSE),VLOOKUP($Q32,$R$63:$T$91,3,FALSE)))+IF(AND($Q32&lt;&gt;"",$Q32&lt;&gt;"O3/CP",$Q$15=A$18,MID($Q32,4,1)="2",$Q$15&lt;&gt;$Q$14),VLOOKUP(CONCATENATE(LEFT($Q32,2),"L"),$R$63:$T$91,3,FALSE),0)+IF(AND($Q32="O3/CP",$Q$14=A$18),VLOOKUP("O3",$R$63:$T$91,3,FALSE)+VLOOKUP("CP",$R$63:$T$91,3,FALSE),0)+IF(AND($R32&lt;&gt;"",$R32&lt;&gt;"--",$R32&lt;&gt;"O3/CP",$R$14=A$18),IF(LEFT($R32,1)="P",VLOOKUP(CONCATENATE(LEFT($R32,2),"H"),$R$63:$T$91,3,FALSE),VLOOKUP($R32,$R$63:$T$91,3,FALSE)))+IF(AND($R32&lt;&gt;"",$R32&lt;&gt;"O3/CP",$R$15=A$18,MID($R32,4,1)="2",$R$15&lt;&gt;$R$14),VLOOKUP(CONCATENATE(LEFT($R32,2),"L"),$R$63:$T$91,3,FALSE),0)+IF(AND($R32="O3/CP",$R$14=A$18),VLOOKUP("O3",$R$63:$T$91,3,FALSE)+VLOOKUP("CP",$R$63:$T$91,3,FALSE),0)+IF(AND($S32&lt;&gt;"",$S32&lt;&gt;"--",$S32&lt;&gt;"O3/CP",$S$14=A$18),IF(LEFT($S32,1)="P",VLOOKUP(CONCATENATE(LEFT($S32,2),"H"),$R$63:$T$91,3,FALSE),VLOOKUP($S32,$R$63:$T$91,3,FALSE)))+IF(AND($S32&lt;&gt;"",$S32&lt;&gt;"O3/CP",$S$15=A$18,MID($S32,4,1)="2",$S$15&lt;&gt;$S$14),VLOOKUP(CONCATENATE(LEFT($S32,2),"L"),$R$63:$T$91,3,FALSE),0)+IF(AND($S32="O3/CP",$S$14=A$18),VLOOKUP("O3",$R$63:$T$91,3,FALSE)+VLOOKUP("CP",$R$63:$T$91,3,FALSE),0)+IF(AND($T32&lt;&gt;"",$T32&lt;&gt;"--",$T32&lt;&gt;"O3/CP",$T$14=A$18),IF(LEFT($T32,1)="P",VLOOKUP(CONCATENATE(LEFT($T32,2),"H"),$R$63:$T$91,3,FALSE),VLOOKUP($T32,$R$63:$T$91,3,FALSE)))+IF(AND($T32&lt;&gt;"",$T32&lt;&gt;"O3/CP",$T$15=A$18,MID($T32,4,1)="2",$T$15&lt;&gt;$T$14),VLOOKUP(CONCATENATE(LEFT($T32,2),"L"),$R$63:$T$91,3,FALSE),0)+IF(AND($T32="O3/CP",$T$14=A$18),VLOOKUP("O3",$R$63:$T$91,3,FALSE)+VLOOKUP("CP",$R$63:$T$91,3,FALSE),0)+IF(AND($U32&lt;&gt;"",$U32&lt;&gt;"--",$U32&lt;&gt;"O3/CP",$U$14=A$18),IF(LEFT($U32,1)="P",VLOOKUP(CONCATENATE(LEFT($U32,2),"H"),$R$63:$T$91,3,FALSE),VLOOKUP($U32,$R$63:$T$91,3,FALSE)))+IF(AND($U32&lt;&gt;"",$U32&lt;&gt;"O3/CP",$U$15=A$18,MID($U32,4,1)="2",$U$15&lt;&gt;$U$14),VLOOKUP(CONCATENATE(LEFT($U32,2),"L"),$R$63:$T$91,3,FALSE),0)+IF(AND($U32="O3/CP",$T$14=A$18),VLOOKUP("O3",$R$63:$T$91,3,FALSE)+VLOOKUP("CP",$R$63:$T$91,3,FALSE),0)+IF(AND($V32&lt;&gt;"",$V32&lt;&gt;"--",$V32&lt;&gt;"O3/CP",$V$14=A$18),IF(LEFT($V32,1)="P",VLOOKUP(CONCATENATE(LEFT($V32,2),"H"),$R$63:$T$91,3,FALSE),VLOOKUP($V32,$R$63:$T$91,3,FALSE)))+IF(AND($V32&lt;&gt;"",$V32&lt;&gt;"O3/CP",$V$15=A$18,MID($V32,4,1)="2",$V$15&lt;&gt;$V$14),VLOOKUP(CONCATENATE(LEFT($V32,2),"L"),$R$63:$T$91,3,FALSE),0)+IF(AND($V32="O3/CP",$V$14=A$18),VLOOKUP("O3",$R$63:$T$91,3,FALSE)+VLOOKUP("CP",$R$63:$T$91,3,FALSE),0)+IF(AND($W32&lt;&gt;"",$W32&lt;&gt;"--",$W32&lt;&gt;"O3/CP",$W$14=A$18),IF(LEFT($W32,1)="P",VLOOKUP(CONCATENATE(LEFT($W32,2),"H"),$R$63:$T$91,3,FALSE),VLOOKUP($W32,$R$63:$T$91,3,FALSE)))+IF(AND($W32&lt;&gt;"",$W32&lt;&gt;"O3/CP",$W$15=A$18,MID($W32,4,1)="2",$W$15&lt;&gt;$W$14),VLOOKUP(CONCATENATE(LEFT($W32,2),"L"),$R$63:$T$91,3,FALSE),0)+IF(AND($W32="O3/CP",$W$14=A$18),VLOOKUP("O3",$R$63:$T$91,3,FALSE)+VLOOKUP("CP",$R$63:$T$91,3,FALSE),0)+IF(AND($X32&lt;&gt;"",$X32&lt;&gt;"--",$X32&lt;&gt;"O3/CP",$X$14=A$18),IF(LEFT($X32,1)="P",VLOOKUP(CONCATENATE(LEFT($X32,2),"H"),$R$63:$T$91,3,FALSE),VLOOKUP($X32,$R$63:$T$91,3,FALSE)))+IF(AND($X32&lt;&gt;"",$X32&lt;&gt;"O3/CP",$X$15=A$18,MID($X32,4,1)="2",$X$15&lt;&gt;$X$14),VLOOKUP(CONCATENATE(LEFT($X32,2),"L"),$R$63:$T$91,3,FALSE),0)+IF(AND($X32="O3/CP",$X$14=A$18),VLOOKUP("O3",$R$63:$T$91,3,FALSE)+VLOOKUP("CP",$R$63:$T$91,3,FALSE),0)+IF(AND($Y32&lt;&gt;"",$Y32&lt;&gt;"--",$Y32&lt;&gt;"O3/CP",$Y$14=A$18),IF(LEFT($Y32,1)="P",VLOOKUP(CONCATENATE(LEFT($Y32,2),"H"),$R$63:$T$91,3,FALSE),VLOOKUP($Y32,$R$63:$T$91,3,FALSE)))+IF(AND($Y32&lt;&gt;"",$Y32&lt;&gt;"O3/CP",$Y$15=A$18,MID($Y32,4,1)="2",$Y$15&lt;&gt;$Y$14),VLOOKUP(CONCATENATE(LEFT($Y32,2),"L"),$R$63:$T$91,3,FALSE),0)+IF(AND($Y32="O3/CP",$Y$14=A$18),VLOOKUP("O3",$R$63:$T$91,3,FALSE)+VLOOKUP("CP",$R$63:$T$91,3,FALSE),0)+IF(AND($K$6="CE",'[3]Supply Attribution'!$G$20=A$18),LEFT($S$90,2),0)+IF(AND($X$86&lt;&gt;"Not Set",$X$87=A$18),$X$86,0)</f>
        <v>0</v>
      </c>
      <c r="B32" s="269">
        <f>IF(AND($K32&lt;&gt;"",$K32&lt;&gt;"--",$K32&lt;&gt;"O3/CP",$K$14=B$18),IF(LEFT($K32,1)="P",VLOOKUP(CONCATENATE(LEFT($K32,2),"H"),$R$63:$T$91,3,FALSE),VLOOKUP($K32,$R$63:$T$91,3,FALSE)))+IF(AND($K32&lt;&gt;"",$K32&lt;&gt;"O3/CP",$K$15=B$18,MID($K32,4,1)="2",$K$15&lt;&gt;$K$14),VLOOKUP(CONCATENATE(LEFT($K32,2),"L"),$R$63:$T$91,3,FALSE),0)+IF(AND($K32="O3/CP",$K$14=B$18),VLOOKUP("O3",$R$63:$T$91,3,FALSE)+VLOOKUP("CP",$R$63:$T$91,3,FALSE),0)+IF(AND($L32&lt;&gt;"",$L32&lt;&gt;"--",$L32&lt;&gt;"O3/CP",$L$14=B$18),IF(LEFT($L32,1)="P",VLOOKUP(CONCATENATE(LEFT($L32,2),"H"),$R$63:$T$91,3,FALSE),VLOOKUP($L32,$R$63:$T$91,3,FALSE)))+IF(AND($L32&lt;&gt;"",$L32&lt;&gt;"O3/CP",$L$15=B$18,MID($L32,4,1)="2",$L$15&lt;&gt;$L$14),VLOOKUP(CONCATENATE(LEFT($L32,2),"L"),$R$63:$T$91,3,FALSE),0)+IF(AND($L32="O3/CP",$L$14=B$18),VLOOKUP("O3",$R$63:$T$91,3,FALSE)+VLOOKUP("CP",$R$63:$T$91,3,FALSE),0)+IF(AND($M32&lt;&gt;"",$M32&lt;&gt;"--",$M32&lt;&gt;"O3/CP",$M$14=B$18),IF(LEFT($M32,1)="P",VLOOKUP(CONCATENATE(LEFT($M32,2),"H"),$R$63:$T$91,3,FALSE),VLOOKUP($M32,$R$63:$T$91,3,FALSE)))+IF(AND($M32&lt;&gt;"",$M32&lt;&gt;"O3/CP",$M$15=B$18,MID($M32,4,1)="2",$M$15&lt;&gt;$M$14),VLOOKUP(CONCATENATE(LEFT($M32,2),"L"),$R$63:$T$91,3,FALSE),0)+IF(AND($M32="O3/CP",$M$14=B$18),VLOOKUP("O3",$R$63:$T$91,3,FALSE)+VLOOKUP("CP",$R$63:$T$91,3,FALSE),0)+IF(AND($N32&lt;&gt;"",$N32&lt;&gt;"--",$N32&lt;&gt;"O3/CP",$N$14=B$18),IF(LEFT($N32,1)="P",VLOOKUP(CONCATENATE(LEFT($N32,2),"H"),$R$63:$T$91,3,FALSE),VLOOKUP($N32,$R$63:$T$91,3,FALSE)))+IF(AND($N32&lt;&gt;"",$N32&lt;&gt;"O3/CP",$N$15=B$18,MID($N32,4,1)="2",$N$15&lt;&gt;$N$14),VLOOKUP(CONCATENATE(LEFT($N32,2),"L"),$R$63:$T$91,3,FALSE),0)+IF(AND($N32="O3/CP",$N$14=B$18),VLOOKUP("O3",$R$63:$T$91,3,FALSE)+VLOOKUP("CP",$R$63:$T$91,3,FALSE),0)+IF(AND($O32&lt;&gt;"",$O32&lt;&gt;"--",$O32&lt;&gt;"O3/CP",$O$14=B$18),IF(LEFT($O32,1)="P",VLOOKUP(CONCATENATE(LEFT($O32,2),"H"),$R$63:$T$91,3,FALSE),VLOOKUP($O32,$R$63:$T$91,3,FALSE)))+IF(AND($O32&lt;&gt;"",$O32&lt;&gt;"O3/CP",$O$15=B$18,MID($O32,4,1)="2",$O$15&lt;&gt;$O$14),VLOOKUP(CONCATENATE(LEFT($O32,2),"L"),$R$63:$T$91,3,FALSE),0)+IF(AND($O32="O3/CP",$O$14=B$18),VLOOKUP("O3",$R$63:$T$91,3,FALSE)+VLOOKUP("CP",$R$63:$T$91,3,FALSE),0)+IF(AND($P32&lt;&gt;"",$P32&lt;&gt;"--",$P32&lt;&gt;"O3/CP",$P$14=B$18),IF(LEFT($P32,1)="P",VLOOKUP(CONCATENATE(LEFT($P32,2),"H"),$R$63:$T$91,3,FALSE),VLOOKUP($P32,$R$63:$T$91,3,FALSE)))+IF(AND($P32&lt;&gt;"",$P32&lt;&gt;"O3/CP",$P$15=B$18,MID($P32,4,1)="2",$P$15&lt;&gt;$P$14),VLOOKUP(CONCATENATE(LEFT($P32,2),"L"),$R$63:$T$91,3,FALSE),0)+IF(AND($P32="O3/CP",$P$14=B$18),VLOOKUP("O3",$R$63:$T$91,3,FALSE)+VLOOKUP("CP",$R$63:$T$91,3,FALSE),0)+IF(AND($Q32&lt;&gt;"",$Q32&lt;&gt;"--",$Q32&lt;&gt;"O3/CP",$Q$14=B$18),IF(LEFT($Q32,1)="P",VLOOKUP(CONCATENATE(LEFT($Q32,2),"H"),$R$63:$T$91,3,FALSE),VLOOKUP($Q32,$R$63:$T$91,3,FALSE)))+IF(AND($Q32&lt;&gt;"",$Q32&lt;&gt;"O3/CP",$Q$15=B$18,MID($Q32,4,1)="2",$Q$15&lt;&gt;$Q$14),VLOOKUP(CONCATENATE(LEFT($Q32,2),"L"),$R$63:$T$91,3,FALSE),0)+IF(AND($Q32="O3/CP",$Q$14=B$18),VLOOKUP("O3",$R$63:$T$91,3,FALSE)+VLOOKUP("CP",$R$63:$T$91,3,FALSE),0)+IF(AND($R32&lt;&gt;"",$R32&lt;&gt;"--",$R32&lt;&gt;"O3/CP",$R$14=B$18),IF(LEFT($R32,1)="P",VLOOKUP(CONCATENATE(LEFT($R32,2),"H"),$R$63:$T$91,3,FALSE),VLOOKUP($R32,$R$63:$T$91,3,FALSE)))+IF(AND($R32&lt;&gt;"",$R32&lt;&gt;"O3/CP",$R$15=B$18,MID($R32,4,1)="2",$R$15&lt;&gt;$R$14),VLOOKUP(CONCATENATE(LEFT($R32,2),"L"),$R$63:$T$91,3,FALSE),0)+IF(AND($R32="O3/CP",$R$14=B$18),VLOOKUP("O3",$R$63:$T$91,3,FALSE)+VLOOKUP("CP",$R$63:$T$91,3,FALSE),0)+IF(AND($S32&lt;&gt;"",$S32&lt;&gt;"--",$S32&lt;&gt;"O3/CP",$S$14=B$18),IF(LEFT($S32,1)="P",VLOOKUP(CONCATENATE(LEFT($S32,2),"H"),$R$63:$T$91,3,FALSE),VLOOKUP($S32,$R$63:$T$91,3,FALSE)))+IF(AND($S32&lt;&gt;"",$S32&lt;&gt;"O3/CP",$S$15=B$18,MID($S32,4,1)="2",$S$15&lt;&gt;$S$14),VLOOKUP(CONCATENATE(LEFT($S32,2),"L"),$R$63:$T$91,3,FALSE),0)+IF(AND($S32="O3/CP",$S$14=B$18),VLOOKUP("O3",$R$63:$T$91,3,FALSE)+VLOOKUP("CP",$R$63:$T$91,3,FALSE),0)+IF(AND($T32&lt;&gt;"",$T32&lt;&gt;"--",$T32&lt;&gt;"O3/CP",$T$14=B$18),IF(LEFT($T32,1)="P",VLOOKUP(CONCATENATE(LEFT($T32,2),"H"),$R$63:$T$91,3,FALSE),VLOOKUP($T32,$R$63:$T$91,3,FALSE)))+IF(AND($T32&lt;&gt;"",$T32&lt;&gt;"O3/CP",$T$15=B$18,MID($T32,4,1)="2",$T$15&lt;&gt;$T$14),VLOOKUP(CONCATENATE(LEFT($T32,2),"L"),$R$63:$T$91,3,FALSE),0)+IF(AND($T32="O3/CP",$T$14=B$18),VLOOKUP("O3",$R$63:$T$91,3,FALSE)+VLOOKUP("CP",$R$63:$T$91,3,FALSE),0)+IF(AND($U32&lt;&gt;"",$U32&lt;&gt;"--",$U32&lt;&gt;"O3/CP",$U$14=B$18),IF(LEFT($U32,1)="P",VLOOKUP(CONCATENATE(LEFT($U32,2),"H"),$R$63:$T$91,3,FALSE),VLOOKUP($U32,$R$63:$T$91,3,FALSE)))+IF(AND($U32&lt;&gt;"",$U32&lt;&gt;"O3/CP",$U$15=B$18,MID($U32,4,1)="2",$U$15&lt;&gt;$U$14),VLOOKUP(CONCATENATE(LEFT($U32,2),"L"),$R$63:$T$91,3,FALSE),0)+IF(AND($U32="O3/CP",$T$14=B$18),VLOOKUP("O3",$R$63:$T$91,3,FALSE)+VLOOKUP("CP",$R$63:$T$91,3,FALSE),0)+IF(AND($V32&lt;&gt;"",$V32&lt;&gt;"--",$V32&lt;&gt;"O3/CP",$V$14=B$18),IF(LEFT($V32,1)="P",VLOOKUP(CONCATENATE(LEFT($V32,2),"H"),$R$63:$T$91,3,FALSE),VLOOKUP($V32,$R$63:$T$91,3,FALSE)))+IF(AND($V32&lt;&gt;"",$V32&lt;&gt;"O3/CP",$V$15=B$18,MID($V32,4,1)="2",$V$15&lt;&gt;$V$14),VLOOKUP(CONCATENATE(LEFT($V32,2),"L"),$R$63:$T$91,3,FALSE),0)+IF(AND($V32="O3/CP",$V$14=B$18),VLOOKUP("O3",$R$63:$T$91,3,FALSE)+VLOOKUP("CP",$R$63:$T$91,3,FALSE),0)+IF(AND($W32&lt;&gt;"",$W32&lt;&gt;"--",$W32&lt;&gt;"O3/CP",$W$14=B$18),IF(LEFT($W32,1)="P",VLOOKUP(CONCATENATE(LEFT($W32,2),"H"),$R$63:$T$91,3,FALSE),VLOOKUP($W32,$R$63:$T$91,3,FALSE)))+IF(AND($W32&lt;&gt;"",$W32&lt;&gt;"O3/CP",$W$15=B$18,MID($W32,4,1)="2",$W$15&lt;&gt;$W$14),VLOOKUP(CONCATENATE(LEFT($W32,2),"L"),$R$63:$T$91,3,FALSE),0)+IF(AND($W32="O3/CP",$W$14=B$18),VLOOKUP("O3",$R$63:$T$91,3,FALSE)+VLOOKUP("CP",$R$63:$T$91,3,FALSE),0)+IF(AND($X32&lt;&gt;"",$X32&lt;&gt;"--",$X32&lt;&gt;"O3/CP",$X$14=B$18),IF(LEFT($X32,1)="P",VLOOKUP(CONCATENATE(LEFT($X32,2),"H"),$R$63:$T$91,3,FALSE),VLOOKUP($X32,$R$63:$T$91,3,FALSE)))+IF(AND($X32&lt;&gt;"",$X32&lt;&gt;"O3/CP",$X$15=B$18,MID($X32,4,1)="2",$X$15&lt;&gt;$X$14),VLOOKUP(CONCATENATE(LEFT($X32,2),"L"),$R$63:$T$91,3,FALSE),0)+IF(AND($X32="O3/CP",$X$14=B$18),VLOOKUP("O3",$R$63:$T$91,3,FALSE)+VLOOKUP("CP",$R$63:$T$91,3,FALSE),0)+IF(AND($Y32&lt;&gt;"",$Y32&lt;&gt;"--",$Y32&lt;&gt;"O3/CP",$Y$14=B$18),IF(LEFT($Y32,1)="P",VLOOKUP(CONCATENATE(LEFT($Y32,2),"H"),$R$63:$T$91,3,FALSE),VLOOKUP($Y32,$R$63:$T$91,3,FALSE)))+IF(AND($Y32&lt;&gt;"",$Y32&lt;&gt;"O3/CP",$Y$15=B$18,MID($Y32,4,1)="2",$Y$15&lt;&gt;$Y$14),VLOOKUP(CONCATENATE(LEFT($Y32,2),"L"),$R$63:$T$91,3,FALSE),0)+IF(AND($Y32="O3/CP",$Y$14=B$18),VLOOKUP("O3",$R$63:$T$91,3,FALSE)+VLOOKUP("CP",$R$63:$T$91,3,FALSE),0)+IF(AND($K$6="CE",'[3]Supply Attribution'!$G$20=B$18),LEFT($S$90,2),0)+IF(AND($X$86&lt;&gt;"Not Set",$X$87=B$18),$X$86,0)</f>
        <v>0</v>
      </c>
      <c r="C32" s="269">
        <f>IF(AND($K32&lt;&gt;"",$K32&lt;&gt;"--",$K32&lt;&gt;"O3/CP",$K$14=C$18),IF(LEFT($K32,1)="P",VLOOKUP(CONCATENATE(LEFT($K32,2),"H"),$R$63:$T$91,3,FALSE),VLOOKUP($K32,$R$63:$T$91,3,FALSE)))+IF(AND($K32&lt;&gt;"",$K32&lt;&gt;"O3/CP",$K$15=C$18,MID($K32,4,1)="2",$K$15&lt;&gt;$K$14),VLOOKUP(CONCATENATE(LEFT($K32,2),"L"),$R$63:$T$91,3,FALSE),0)+IF(AND($K32="O3/CP",$K$14=C$18),VLOOKUP("O3",$R$63:$T$91,3,FALSE)+VLOOKUP("CP",$R$63:$T$91,3,FALSE),0)+IF(AND($L32&lt;&gt;"",$L32&lt;&gt;"--",$L32&lt;&gt;"O3/CP",$L$14=C$18),IF(LEFT($L32,1)="P",VLOOKUP(CONCATENATE(LEFT($L32,2),"H"),$R$63:$T$91,3,FALSE),VLOOKUP($L32,$R$63:$T$91,3,FALSE)))+IF(AND($L32&lt;&gt;"",$L32&lt;&gt;"O3/CP",$L$15=C$18,MID($L32,4,1)="2",$L$15&lt;&gt;$L$14),VLOOKUP(CONCATENATE(LEFT($L32,2),"L"),$R$63:$T$91,3,FALSE),0)+IF(AND($L32="O3/CP",$L$14=C$18),VLOOKUP("O3",$R$63:$T$91,3,FALSE)+VLOOKUP("CP",$R$63:$T$91,3,FALSE),0)+IF(AND($M32&lt;&gt;"",$M32&lt;&gt;"--",$M32&lt;&gt;"O3/CP",$M$14=C$18),IF(LEFT($M32,1)="P",VLOOKUP(CONCATENATE(LEFT($M32,2),"H"),$R$63:$T$91,3,FALSE),VLOOKUP($M32,$R$63:$T$91,3,FALSE)))+IF(AND($M32&lt;&gt;"",$M32&lt;&gt;"O3/CP",$M$15=C$18,MID($M32,4,1)="2",$M$15&lt;&gt;$M$14),VLOOKUP(CONCATENATE(LEFT($M32,2),"L"),$R$63:$T$91,3,FALSE),0)+IF(AND($M32="O3/CP",$M$14=C$18),VLOOKUP("O3",$R$63:$T$91,3,FALSE)+VLOOKUP("CP",$R$63:$T$91,3,FALSE),0)+IF(AND($N32&lt;&gt;"",$N32&lt;&gt;"--",$N32&lt;&gt;"O3/CP",$N$14=C$18),IF(LEFT($N32,1)="P",VLOOKUP(CONCATENATE(LEFT($N32,2),"H"),$R$63:$T$91,3,FALSE),VLOOKUP($N32,$R$63:$T$91,3,FALSE)))+IF(AND($N32&lt;&gt;"",$N32&lt;&gt;"O3/CP",$N$15=C$18,MID($N32,4,1)="2",$N$15&lt;&gt;$N$14),VLOOKUP(CONCATENATE(LEFT($N32,2),"L"),$R$63:$T$91,3,FALSE),0)+IF(AND($N32="O3/CP",$N$14=C$18),VLOOKUP("O3",$R$63:$T$91,3,FALSE)+VLOOKUP("CP",$R$63:$T$91,3,FALSE),0)+IF(AND($O32&lt;&gt;"",$O32&lt;&gt;"--",$O32&lt;&gt;"O3/CP",$O$14=C$18),IF(LEFT($O32,1)="P",VLOOKUP(CONCATENATE(LEFT($O32,2),"H"),$R$63:$T$91,3,FALSE),VLOOKUP($O32,$R$63:$T$91,3,FALSE)))+IF(AND($O32&lt;&gt;"",$O32&lt;&gt;"O3/CP",$O$15=C$18,MID($O32,4,1)="2",$O$15&lt;&gt;$O$14),VLOOKUP(CONCATENATE(LEFT($O32,2),"L"),$R$63:$T$91,3,FALSE),0)+IF(AND($O32="O3/CP",$O$14=C$18),VLOOKUP("O3",$R$63:$T$91,3,FALSE)+VLOOKUP("CP",$R$63:$T$91,3,FALSE),0)+IF(AND($P32&lt;&gt;"",$P32&lt;&gt;"--",$P32&lt;&gt;"O3/CP",$P$14=C$18),IF(LEFT($P32,1)="P",VLOOKUP(CONCATENATE(LEFT($P32,2),"H"),$R$63:$T$91,3,FALSE),VLOOKUP($P32,$R$63:$T$91,3,FALSE)))+IF(AND($P32&lt;&gt;"",$P32&lt;&gt;"O3/CP",$P$15=C$18,MID($P32,4,1)="2",$P$15&lt;&gt;$P$14),VLOOKUP(CONCATENATE(LEFT($P32,2),"L"),$R$63:$T$91,3,FALSE),0)+IF(AND($P32="O3/CP",$P$14=C$18),VLOOKUP("O3",$R$63:$T$91,3,FALSE)+VLOOKUP("CP",$R$63:$T$91,3,FALSE),0)+IF(AND($Q32&lt;&gt;"",$Q32&lt;&gt;"--",$Q32&lt;&gt;"O3/CP",$Q$14=C$18),IF(LEFT($Q32,1)="P",VLOOKUP(CONCATENATE(LEFT($Q32,2),"H"),$R$63:$T$91,3,FALSE),VLOOKUP($Q32,$R$63:$T$91,3,FALSE)))+IF(AND($Q32&lt;&gt;"",$Q32&lt;&gt;"O3/CP",$Q$15=C$18,MID($Q32,4,1)="2",$Q$15&lt;&gt;$Q$14),VLOOKUP(CONCATENATE(LEFT($Q32,2),"L"),$R$63:$T$91,3,FALSE),0)+IF(AND($Q32="O3/CP",$Q$14=C$18),VLOOKUP("O3",$R$63:$T$91,3,FALSE)+VLOOKUP("CP",$R$63:$T$91,3,FALSE),0)+IF(AND($R32&lt;&gt;"",$R32&lt;&gt;"--",$R32&lt;&gt;"O3/CP",$R$14=C$18),IF(LEFT($R32,1)="P",VLOOKUP(CONCATENATE(LEFT($R32,2),"H"),$R$63:$T$91,3,FALSE),VLOOKUP($R32,$R$63:$T$91,3,FALSE)))+IF(AND($R32&lt;&gt;"",$R32&lt;&gt;"O3/CP",$R$15=C$18,MID($R32,4,1)="2",$R$15&lt;&gt;$R$14),VLOOKUP(CONCATENATE(LEFT($R32,2),"L"),$R$63:$T$91,3,FALSE),0)+IF(AND($R32="O3/CP",$R$14=C$18),VLOOKUP("O3",$R$63:$T$91,3,FALSE)+VLOOKUP("CP",$R$63:$T$91,3,FALSE),0)+IF(AND($S32&lt;&gt;"",$S32&lt;&gt;"--",$S32&lt;&gt;"O3/CP",$S$14=C$18),IF(LEFT($S32,1)="P",VLOOKUP(CONCATENATE(LEFT($S32,2),"H"),$R$63:$T$91,3,FALSE),VLOOKUP($S32,$R$63:$T$91,3,FALSE)))+IF(AND($S32&lt;&gt;"",$S32&lt;&gt;"O3/CP",$S$15=C$18,MID($S32,4,1)="2",$S$15&lt;&gt;$S$14),VLOOKUP(CONCATENATE(LEFT($S32,2),"L"),$R$63:$T$91,3,FALSE),0)+IF(AND($S32="O3/CP",$S$14=C$18),VLOOKUP("O3",$R$63:$T$91,3,FALSE)+VLOOKUP("CP",$R$63:$T$91,3,FALSE),0)+IF(AND($T32&lt;&gt;"",$T32&lt;&gt;"--",$T32&lt;&gt;"O3/CP",$T$14=C$18),IF(LEFT($T32,1)="P",VLOOKUP(CONCATENATE(LEFT($T32,2),"H"),$R$63:$T$91,3,FALSE),VLOOKUP($T32,$R$63:$T$91,3,FALSE)))+IF(AND($T32&lt;&gt;"",$T32&lt;&gt;"O3/CP",$T$15=C$18,MID($T32,4,1)="2",$T$15&lt;&gt;$T$14),VLOOKUP(CONCATENATE(LEFT($T32,2),"L"),$R$63:$T$91,3,FALSE),0)+IF(AND($T32="O3/CP",$T$14=C$18),VLOOKUP("O3",$R$63:$T$91,3,FALSE)+VLOOKUP("CP",$R$63:$T$91,3,FALSE),0)+IF(AND($U32&lt;&gt;"",$U32&lt;&gt;"--",$U32&lt;&gt;"O3/CP",$U$14=C$18),IF(LEFT($U32,1)="P",VLOOKUP(CONCATENATE(LEFT($U32,2),"H"),$R$63:$T$91,3,FALSE),VLOOKUP($U32,$R$63:$T$91,3,FALSE)))+IF(AND($U32&lt;&gt;"",$U32&lt;&gt;"O3/CP",$U$15=C$18,MID($U32,4,1)="2",$U$15&lt;&gt;$U$14),VLOOKUP(CONCATENATE(LEFT($U32,2),"L"),$R$63:$T$91,3,FALSE),0)+IF(AND($U32="O3/CP",$T$14=C$18),VLOOKUP("O3",$R$63:$T$91,3,FALSE)+VLOOKUP("CP",$R$63:$T$91,3,FALSE),0)+IF(AND($V32&lt;&gt;"",$V32&lt;&gt;"--",$V32&lt;&gt;"O3/CP",$V$14=C$18),IF(LEFT($V32,1)="P",VLOOKUP(CONCATENATE(LEFT($V32,2),"H"),$R$63:$T$91,3,FALSE),VLOOKUP($V32,$R$63:$T$91,3,FALSE)))+IF(AND($V32&lt;&gt;"",$V32&lt;&gt;"O3/CP",$V$15=C$18,MID($V32,4,1)="2",$V$15&lt;&gt;$V$14),VLOOKUP(CONCATENATE(LEFT($V32,2),"L"),$R$63:$T$91,3,FALSE),0)+IF(AND($V32="O3/CP",$V$14=C$18),VLOOKUP("O3",$R$63:$T$91,3,FALSE)+VLOOKUP("CP",$R$63:$T$91,3,FALSE),0)+IF(AND($W32&lt;&gt;"",$W32&lt;&gt;"--",$W32&lt;&gt;"O3/CP",$W$14=C$18),IF(LEFT($W32,1)="P",VLOOKUP(CONCATENATE(LEFT($W32,2),"H"),$R$63:$T$91,3,FALSE),VLOOKUP($W32,$R$63:$T$91,3,FALSE)))+IF(AND($W32&lt;&gt;"",$W32&lt;&gt;"O3/CP",$W$15=C$18,MID($W32,4,1)="2",$W$15&lt;&gt;$W$14),VLOOKUP(CONCATENATE(LEFT($W32,2),"L"),$R$63:$T$91,3,FALSE),0)+IF(AND($W32="O3/CP",$W$14=C$18),VLOOKUP("O3",$R$63:$T$91,3,FALSE)+VLOOKUP("CP",$R$63:$T$91,3,FALSE),0)+IF(AND($X32&lt;&gt;"",$X32&lt;&gt;"--",$X32&lt;&gt;"O3/CP",$X$14=C$18),IF(LEFT($X32,1)="P",VLOOKUP(CONCATENATE(LEFT($X32,2),"H"),$R$63:$T$91,3,FALSE),VLOOKUP($X32,$R$63:$T$91,3,FALSE)))+IF(AND($X32&lt;&gt;"",$X32&lt;&gt;"O3/CP",$X$15=C$18,MID($X32,4,1)="2",$X$15&lt;&gt;$X$14),VLOOKUP(CONCATENATE(LEFT($X32,2),"L"),$R$63:$T$91,3,FALSE),0)+IF(AND($X32="O3/CP",$X$14=C$18),VLOOKUP("O3",$R$63:$T$91,3,FALSE)+VLOOKUP("CP",$R$63:$T$91,3,FALSE),0)+IF(AND($Y32&lt;&gt;"",$Y32&lt;&gt;"--",$Y32&lt;&gt;"O3/CP",$Y$14=C$18),IF(LEFT($Y32,1)="P",VLOOKUP(CONCATENATE(LEFT($Y32,2),"H"),$R$63:$T$91,3,FALSE),VLOOKUP($Y32,$R$63:$T$91,3,FALSE)))+IF(AND($Y32&lt;&gt;"",$Y32&lt;&gt;"O3/CP",$Y$15=C$18,MID($Y32,4,1)="2",$Y$15&lt;&gt;$Y$14),VLOOKUP(CONCATENATE(LEFT($Y32,2),"L"),$R$63:$T$91,3,FALSE),0)+IF(AND($Y32="O3/CP",$Y$14=C$18),VLOOKUP("O3",$R$63:$T$91,3,FALSE)+VLOOKUP("CP",$R$63:$T$91,3,FALSE),0)+IF(AND($K$6="CE",'[3]Supply Attribution'!$G$20=C$18),LEFT($S$90,2),0)+IF(AND($X$86&lt;&gt;"Not Set",$X$87=C$18),$X$86,0)</f>
        <v>0</v>
      </c>
      <c r="D32" s="269">
        <f>IF(AND($K32&lt;&gt;"",$K32&lt;&gt;"--",$K32&lt;&gt;"O3/CP",$K$14=D$18),IF(LEFT($K32,1)="P",VLOOKUP(CONCATENATE(LEFT($K32,2),"H"),$R$63:$T$91,3,FALSE),VLOOKUP($K32,$R$63:$T$91,3,FALSE)))+IF(AND($K32&lt;&gt;"",$K32&lt;&gt;"O3/CP",$K$15=D$18,MID($K32,4,1)="2",$K$15&lt;&gt;$K$14),VLOOKUP(CONCATENATE(LEFT($K32,2),"L"),$R$63:$T$91,3,FALSE),0)+IF(AND($K32="O3/CP",$K$14=D$18),VLOOKUP("O3",$R$63:$T$91,3,FALSE)+VLOOKUP("CP",$R$63:$T$91,3,FALSE),0)+IF(AND($L32&lt;&gt;"",$L32&lt;&gt;"--",$L32&lt;&gt;"O3/CP",$L$14=D$18),IF(LEFT($L32,1)="P",VLOOKUP(CONCATENATE(LEFT($L32,2),"H"),$R$63:$T$91,3,FALSE),VLOOKUP($L32,$R$63:$T$91,3,FALSE)))+IF(AND($L32&lt;&gt;"",$L32&lt;&gt;"O3/CP",$L$15=D$18,MID($L32,4,1)="2",$L$15&lt;&gt;$L$14),VLOOKUP(CONCATENATE(LEFT($L32,2),"L"),$R$63:$T$91,3,FALSE),0)+IF(AND($L32="O3/CP",$L$14=D$18),VLOOKUP("O3",$R$63:$T$91,3,FALSE)+VLOOKUP("CP",$R$63:$T$91,3,FALSE),0)+IF(AND($M32&lt;&gt;"",$M32&lt;&gt;"--",$M32&lt;&gt;"O3/CP",$M$14=D$18),IF(LEFT($M32,1)="P",VLOOKUP(CONCATENATE(LEFT($M32,2),"H"),$R$63:$T$91,3,FALSE),VLOOKUP($M32,$R$63:$T$91,3,FALSE)))+IF(AND($M32&lt;&gt;"",$M32&lt;&gt;"O3/CP",$M$15=D$18,MID($M32,4,1)="2",$M$15&lt;&gt;$M$14),VLOOKUP(CONCATENATE(LEFT($M32,2),"L"),$R$63:$T$91,3,FALSE),0)+IF(AND($M32="O3/CP",$M$14=D$18),VLOOKUP("O3",$R$63:$T$91,3,FALSE)+VLOOKUP("CP",$R$63:$T$91,3,FALSE),0)+IF(AND($N32&lt;&gt;"",$N32&lt;&gt;"--",$N32&lt;&gt;"O3/CP",$N$14=D$18),IF(LEFT($N32,1)="P",VLOOKUP(CONCATENATE(LEFT($N32,2),"H"),$R$63:$T$91,3,FALSE),VLOOKUP($N32,$R$63:$T$91,3,FALSE)))+IF(AND($N32&lt;&gt;"",$N32&lt;&gt;"O3/CP",$N$15=D$18,MID($N32,4,1)="2",$N$15&lt;&gt;$N$14),VLOOKUP(CONCATENATE(LEFT($N32,2),"L"),$R$63:$T$91,3,FALSE),0)+IF(AND($N32="O3/CP",$N$14=D$18),VLOOKUP("O3",$R$63:$T$91,3,FALSE)+VLOOKUP("CP",$R$63:$T$91,3,FALSE),0)+IF(AND($O32&lt;&gt;"",$O32&lt;&gt;"--",$O32&lt;&gt;"O3/CP",$O$14=D$18),IF(LEFT($O32,1)="P",VLOOKUP(CONCATENATE(LEFT($O32,2),"H"),$R$63:$T$91,3,FALSE),VLOOKUP($O32,$R$63:$T$91,3,FALSE)))+IF(AND($O32&lt;&gt;"",$O32&lt;&gt;"O3/CP",$O$15=D$18,MID($O32,4,1)="2",$O$15&lt;&gt;$O$14),VLOOKUP(CONCATENATE(LEFT($O32,2),"L"),$R$63:$T$91,3,FALSE),0)+IF(AND($O32="O3/CP",$O$14=D$18),VLOOKUP("O3",$R$63:$T$91,3,FALSE)+VLOOKUP("CP",$R$63:$T$91,3,FALSE),0)+IF(AND($P32&lt;&gt;"",$P32&lt;&gt;"--",$P32&lt;&gt;"O3/CP",$P$14=D$18),IF(LEFT($P32,1)="P",VLOOKUP(CONCATENATE(LEFT($P32,2),"H"),$R$63:$T$91,3,FALSE),VLOOKUP($P32,$R$63:$T$91,3,FALSE)))+IF(AND($P32&lt;&gt;"",$P32&lt;&gt;"O3/CP",$P$15=D$18,MID($P32,4,1)="2",$P$15&lt;&gt;$P$14),VLOOKUP(CONCATENATE(LEFT($P32,2),"L"),$R$63:$T$91,3,FALSE),0)+IF(AND($P32="O3/CP",$P$14=D$18),VLOOKUP("O3",$R$63:$T$91,3,FALSE)+VLOOKUP("CP",$R$63:$T$91,3,FALSE),0)+IF(AND($Q32&lt;&gt;"",$Q32&lt;&gt;"--",$Q32&lt;&gt;"O3/CP",$Q$14=D$18),IF(LEFT($Q32,1)="P",VLOOKUP(CONCATENATE(LEFT($Q32,2),"H"),$R$63:$T$91,3,FALSE),VLOOKUP($Q32,$R$63:$T$91,3,FALSE)))+IF(AND($Q32&lt;&gt;"",$Q32&lt;&gt;"O3/CP",$Q$15=D$18,MID($Q32,4,1)="2",$Q$15&lt;&gt;$Q$14),VLOOKUP(CONCATENATE(LEFT($Q32,2),"L"),$R$63:$T$91,3,FALSE),0)+IF(AND($Q32="O3/CP",$Q$14=D$18),VLOOKUP("O3",$R$63:$T$91,3,FALSE)+VLOOKUP("CP",$R$63:$T$91,3,FALSE),0)+IF(AND($R32&lt;&gt;"",$R32&lt;&gt;"--",$R32&lt;&gt;"O3/CP",$R$14=D$18),IF(LEFT($R32,1)="P",VLOOKUP(CONCATENATE(LEFT($R32,2),"H"),$R$63:$T$91,3,FALSE),VLOOKUP($R32,$R$63:$T$91,3,FALSE)))+IF(AND($R32&lt;&gt;"",$R32&lt;&gt;"O3/CP",$R$15=D$18,MID($R32,4,1)="2",$R$15&lt;&gt;$R$14),VLOOKUP(CONCATENATE(LEFT($R32,2),"L"),$R$63:$T$91,3,FALSE),0)+IF(AND($R32="O3/CP",$R$14=D$18),VLOOKUP("O3",$R$63:$T$91,3,FALSE)+VLOOKUP("CP",$R$63:$T$91,3,FALSE),0)+IF(AND($S32&lt;&gt;"",$S32&lt;&gt;"--",$S32&lt;&gt;"O3/CP",$S$14=D$18),IF(LEFT($S32,1)="P",VLOOKUP(CONCATENATE(LEFT($S32,2),"H"),$R$63:$T$91,3,FALSE),VLOOKUP($S32,$R$63:$T$91,3,FALSE)))+IF(AND($S32&lt;&gt;"",$S32&lt;&gt;"O3/CP",$S$15=D$18,MID($S32,4,1)="2",$S$15&lt;&gt;$S$14),VLOOKUP(CONCATENATE(LEFT($S32,2),"L"),$R$63:$T$91,3,FALSE),0)+IF(AND($S32="O3/CP",$S$14=D$18),VLOOKUP("O3",$R$63:$T$91,3,FALSE)+VLOOKUP("CP",$R$63:$T$91,3,FALSE),0)+IF(AND($T32&lt;&gt;"",$T32&lt;&gt;"--",$T32&lt;&gt;"O3/CP",$T$14=D$18),IF(LEFT($T32,1)="P",VLOOKUP(CONCATENATE(LEFT($T32,2),"H"),$R$63:$T$91,3,FALSE),VLOOKUP($T32,$R$63:$T$91,3,FALSE)))+IF(AND($T32&lt;&gt;"",$T32&lt;&gt;"O3/CP",$T$15=D$18,MID($T32,4,1)="2",$T$15&lt;&gt;$T$14),VLOOKUP(CONCATENATE(LEFT($T32,2),"L"),$R$63:$T$91,3,FALSE),0)+IF(AND($T32="O3/CP",$T$14=D$18),VLOOKUP("O3",$R$63:$T$91,3,FALSE)+VLOOKUP("CP",$R$63:$T$91,3,FALSE),0)+IF(AND($U32&lt;&gt;"",$U32&lt;&gt;"--",$U32&lt;&gt;"O3/CP",$U$14=D$18),IF(LEFT($U32,1)="P",VLOOKUP(CONCATENATE(LEFT($U32,2),"H"),$R$63:$T$91,3,FALSE),VLOOKUP($U32,$R$63:$T$91,3,FALSE)))+IF(AND($U32&lt;&gt;"",$U32&lt;&gt;"O3/CP",$U$15=D$18,MID($U32,4,1)="2",$U$15&lt;&gt;$U$14),VLOOKUP(CONCATENATE(LEFT($U32,2),"L"),$R$63:$T$91,3,FALSE),0)+IF(AND($U32="O3/CP",$T$14=D$18),VLOOKUP("O3",$R$63:$T$91,3,FALSE)+VLOOKUP("CP",$R$63:$T$91,3,FALSE),0)+IF(AND($V32&lt;&gt;"",$V32&lt;&gt;"--",$V32&lt;&gt;"O3/CP",$V$14=D$18),IF(LEFT($V32,1)="P",VLOOKUP(CONCATENATE(LEFT($V32,2),"H"),$R$63:$T$91,3,FALSE),VLOOKUP($V32,$R$63:$T$91,3,FALSE)))+IF(AND($V32&lt;&gt;"",$V32&lt;&gt;"O3/CP",$V$15=D$18,MID($V32,4,1)="2",$V$15&lt;&gt;$V$14),VLOOKUP(CONCATENATE(LEFT($V32,2),"L"),$R$63:$T$91,3,FALSE),0)+IF(AND($V32="O3/CP",$V$14=D$18),VLOOKUP("O3",$R$63:$T$91,3,FALSE)+VLOOKUP("CP",$R$63:$T$91,3,FALSE),0)+IF(AND($W32&lt;&gt;"",$W32&lt;&gt;"--",$W32&lt;&gt;"O3/CP",$W$14=D$18),IF(LEFT($W32,1)="P",VLOOKUP(CONCATENATE(LEFT($W32,2),"H"),$R$63:$T$91,3,FALSE),VLOOKUP($W32,$R$63:$T$91,3,FALSE)))+IF(AND($W32&lt;&gt;"",$W32&lt;&gt;"O3/CP",$W$15=D$18,MID($W32,4,1)="2",$W$15&lt;&gt;$W$14),VLOOKUP(CONCATENATE(LEFT($W32,2),"L"),$R$63:$T$91,3,FALSE),0)+IF(AND($W32="O3/CP",$W$14=D$18),VLOOKUP("O3",$R$63:$T$91,3,FALSE)+VLOOKUP("CP",$R$63:$T$91,3,FALSE),0)+IF(AND($X32&lt;&gt;"",$X32&lt;&gt;"--",$X32&lt;&gt;"O3/CP",$X$14=D$18),IF(LEFT($X32,1)="P",VLOOKUP(CONCATENATE(LEFT($X32,2),"H"),$R$63:$T$91,3,FALSE),VLOOKUP($X32,$R$63:$T$91,3,FALSE)))+IF(AND($X32&lt;&gt;"",$X32&lt;&gt;"O3/CP",$X$15=D$18,MID($X32,4,1)="2",$X$15&lt;&gt;$X$14),VLOOKUP(CONCATENATE(LEFT($X32,2),"L"),$R$63:$T$91,3,FALSE),0)+IF(AND($X32="O3/CP",$X$14=D$18),VLOOKUP("O3",$R$63:$T$91,3,FALSE)+VLOOKUP("CP",$R$63:$T$91,3,FALSE),0)+IF(AND($Y32&lt;&gt;"",$Y32&lt;&gt;"--",$Y32&lt;&gt;"O3/CP",$Y$14=D$18),IF(LEFT($Y32,1)="P",VLOOKUP(CONCATENATE(LEFT($Y32,2),"H"),$R$63:$T$91,3,FALSE),VLOOKUP($Y32,$R$63:$T$91,3,FALSE)))+IF(AND($Y32&lt;&gt;"",$Y32&lt;&gt;"O3/CP",$Y$15=D$18,MID($Y32,4,1)="2",$Y$15&lt;&gt;$Y$14),VLOOKUP(CONCATENATE(LEFT($Y32,2),"L"),$R$63:$T$91,3,FALSE),0)+IF(AND($Y32="O3/CP",$Y$14=D$18),VLOOKUP("O3",$R$63:$T$91,3,FALSE)+VLOOKUP("CP",$R$63:$T$91,3,FALSE),0)+IF(AND($K$6="CE",'[3]Supply Attribution'!$G$20=D$18),LEFT($S$90,2),0)+IF(AND($X$86&lt;&gt;"Not Set",$X$87=D$18),$X$86,0)</f>
        <v>0</v>
      </c>
      <c r="E32" s="269">
        <f>IF(AND($K32&lt;&gt;"",$K32&lt;&gt;"--",$K32&lt;&gt;"O3/CP",$K$14=E$18),IF(LEFT($K32,1)="P",VLOOKUP(CONCATENATE(LEFT($K32,2),"H"),$R$63:$T$91,3,FALSE),VLOOKUP($K32,$R$63:$T$91,3,FALSE)))+IF(AND($K32&lt;&gt;"",$K32&lt;&gt;"O3/CP",$K$15=E$18,MID($K32,4,1)="2",$K$15&lt;&gt;$K$14),VLOOKUP(CONCATENATE(LEFT($K32,2),"L"),$R$63:$T$91,3,FALSE),0)+IF(AND($K32="O3/CP",$K$14=E$18),VLOOKUP("O3",$R$63:$T$91,3,FALSE)+VLOOKUP("CP",$R$63:$T$91,3,FALSE),0)+IF(AND($L32&lt;&gt;"",$L32&lt;&gt;"--",$L32&lt;&gt;"O3/CP",$L$14=E$18),IF(LEFT($L32,1)="P",VLOOKUP(CONCATENATE(LEFT($L32,2),"H"),$R$63:$T$91,3,FALSE),VLOOKUP($L32,$R$63:$T$91,3,FALSE)))+IF(AND($L32&lt;&gt;"",$L32&lt;&gt;"O3/CP",$L$15=E$18,MID($L32,4,1)="2",$L$15&lt;&gt;$L$14),VLOOKUP(CONCATENATE(LEFT($L32,2),"L"),$R$63:$T$91,3,FALSE),0)+IF(AND($L32="O3/CP",$L$14=E$18),VLOOKUP("O3",$R$63:$T$91,3,FALSE)+VLOOKUP("CP",$R$63:$T$91,3,FALSE),0)+IF(AND($M32&lt;&gt;"",$M32&lt;&gt;"--",$M32&lt;&gt;"O3/CP",$M$14=E$18),IF(LEFT($M32,1)="P",VLOOKUP(CONCATENATE(LEFT($M32,2),"H"),$R$63:$T$91,3,FALSE),VLOOKUP($M32,$R$63:$T$91,3,FALSE)))+IF(AND($M32&lt;&gt;"",$M32&lt;&gt;"O3/CP",$M$15=E$18,MID($M32,4,1)="2",$M$15&lt;&gt;$M$14),VLOOKUP(CONCATENATE(LEFT($M32,2),"L"),$R$63:$T$91,3,FALSE),0)+IF(AND($M32="O3/CP",$M$14=E$18),VLOOKUP("O3",$R$63:$T$91,3,FALSE)+VLOOKUP("CP",$R$63:$T$91,3,FALSE),0)+IF(AND($N32&lt;&gt;"",$N32&lt;&gt;"--",$N32&lt;&gt;"O3/CP",$N$14=E$18),IF(LEFT($N32,1)="P",VLOOKUP(CONCATENATE(LEFT($N32,2),"H"),$R$63:$T$91,3,FALSE),VLOOKUP($N32,$R$63:$T$91,3,FALSE)))+IF(AND($N32&lt;&gt;"",$N32&lt;&gt;"O3/CP",$N$15=E$18,MID($N32,4,1)="2",$N$15&lt;&gt;$N$14),VLOOKUP(CONCATENATE(LEFT($N32,2),"L"),$R$63:$T$91,3,FALSE),0)+IF(AND($N32="O3/CP",$N$14=E$18),VLOOKUP("O3",$R$63:$T$91,3,FALSE)+VLOOKUP("CP",$R$63:$T$91,3,FALSE),0)+IF(AND($O32&lt;&gt;"",$O32&lt;&gt;"--",$O32&lt;&gt;"O3/CP",$O$14=E$18),IF(LEFT($O32,1)="P",VLOOKUP(CONCATENATE(LEFT($O32,2),"H"),$R$63:$T$91,3,FALSE),VLOOKUP($O32,$R$63:$T$91,3,FALSE)))+IF(AND($O32&lt;&gt;"",$O32&lt;&gt;"O3/CP",$O$15=E$18,MID($O32,4,1)="2",$O$15&lt;&gt;$O$14),VLOOKUP(CONCATENATE(LEFT($O32,2),"L"),$R$63:$T$91,3,FALSE),0)+IF(AND($O32="O3/CP",$O$14=E$18),VLOOKUP("O3",$R$63:$T$91,3,FALSE)+VLOOKUP("CP",$R$63:$T$91,3,FALSE),0)+IF(AND($P32&lt;&gt;"",$P32&lt;&gt;"--",$P32&lt;&gt;"O3/CP",$P$14=E$18),IF(LEFT($P32,1)="P",VLOOKUP(CONCATENATE(LEFT($P32,2),"H"),$R$63:$T$91,3,FALSE),VLOOKUP($P32,$R$63:$T$91,3,FALSE)))+IF(AND($P32&lt;&gt;"",$P32&lt;&gt;"O3/CP",$P$15=E$18,MID($P32,4,1)="2",$P$15&lt;&gt;$P$14),VLOOKUP(CONCATENATE(LEFT($P32,2),"L"),$R$63:$T$91,3,FALSE),0)+IF(AND($P32="O3/CP",$P$14=E$18),VLOOKUP("O3",$R$63:$T$91,3,FALSE)+VLOOKUP("CP",$R$63:$T$91,3,FALSE),0)+IF(AND($Q32&lt;&gt;"",$Q32&lt;&gt;"--",$Q32&lt;&gt;"O3/CP",$Q$14=E$18),IF(LEFT($Q32,1)="P",VLOOKUP(CONCATENATE(LEFT($Q32,2),"H"),$R$63:$T$91,3,FALSE),VLOOKUP($Q32,$R$63:$T$91,3,FALSE)))+IF(AND($Q32&lt;&gt;"",$Q32&lt;&gt;"O3/CP",$Q$15=E$18,MID($Q32,4,1)="2",$Q$15&lt;&gt;$Q$14),VLOOKUP(CONCATENATE(LEFT($Q32,2),"L"),$R$63:$T$91,3,FALSE),0)+IF(AND($Q32="O3/CP",$Q$14=E$18),VLOOKUP("O3",$R$63:$T$91,3,FALSE)+VLOOKUP("CP",$R$63:$T$91,3,FALSE),0)+IF(AND($R32&lt;&gt;"",$R32&lt;&gt;"--",$R32&lt;&gt;"O3/CP",$R$14=E$18),IF(LEFT($R32,1)="P",VLOOKUP(CONCATENATE(LEFT($R32,2),"H"),$R$63:$T$91,3,FALSE),VLOOKUP($R32,$R$63:$T$91,3,FALSE)))+IF(AND($R32&lt;&gt;"",$R32&lt;&gt;"O3/CP",$R$15=E$18,MID($R32,4,1)="2",$R$15&lt;&gt;$R$14),VLOOKUP(CONCATENATE(LEFT($R32,2),"L"),$R$63:$T$91,3,FALSE),0)+IF(AND($R32="O3/CP",$R$14=E$18),VLOOKUP("O3",$R$63:$T$91,3,FALSE)+VLOOKUP("CP",$R$63:$T$91,3,FALSE),0)+IF(AND($S32&lt;&gt;"",$S32&lt;&gt;"--",$S32&lt;&gt;"O3/CP",$S$14=E$18),IF(LEFT($S32,1)="P",VLOOKUP(CONCATENATE(LEFT($S32,2),"H"),$R$63:$T$91,3,FALSE),VLOOKUP($S32,$R$63:$T$91,3,FALSE)))+IF(AND($S32&lt;&gt;"",$S32&lt;&gt;"O3/CP",$S$15=E$18,MID($S32,4,1)="2",$S$15&lt;&gt;$S$14),VLOOKUP(CONCATENATE(LEFT($S32,2),"L"),$R$63:$T$91,3,FALSE),0)+IF(AND($S32="O3/CP",$S$14=E$18),VLOOKUP("O3",$R$63:$T$91,3,FALSE)+VLOOKUP("CP",$R$63:$T$91,3,FALSE),0)+IF(AND($T32&lt;&gt;"",$T32&lt;&gt;"--",$T32&lt;&gt;"O3/CP",$T$14=E$18),IF(LEFT($T32,1)="P",VLOOKUP(CONCATENATE(LEFT($T32,2),"H"),$R$63:$T$91,3,FALSE),VLOOKUP($T32,$R$63:$T$91,3,FALSE)))+IF(AND($T32&lt;&gt;"",$T32&lt;&gt;"O3/CP",$T$15=E$18,MID($T32,4,1)="2",$T$15&lt;&gt;$T$14),VLOOKUP(CONCATENATE(LEFT($T32,2),"L"),$R$63:$T$91,3,FALSE),0)+IF(AND($T32="O3/CP",$T$14=E$18),VLOOKUP("O3",$R$63:$T$91,3,FALSE)+VLOOKUP("CP",$R$63:$T$91,3,FALSE),0)+IF(AND($U32&lt;&gt;"",$U32&lt;&gt;"--",$U32&lt;&gt;"O3/CP",$U$14=E$18),IF(LEFT($U32,1)="P",VLOOKUP(CONCATENATE(LEFT($U32,2),"H"),$R$63:$T$91,3,FALSE),VLOOKUP($U32,$R$63:$T$91,3,FALSE)))+IF(AND($U32&lt;&gt;"",$U32&lt;&gt;"O3/CP",$U$15=E$18,MID($U32,4,1)="2",$U$15&lt;&gt;$U$14),VLOOKUP(CONCATENATE(LEFT($U32,2),"L"),$R$63:$T$91,3,FALSE),0)+IF(AND($U32="O3/CP",$T$14=E$18),VLOOKUP("O3",$R$63:$T$91,3,FALSE)+VLOOKUP("CP",$R$63:$T$91,3,FALSE),0)+IF(AND($V32&lt;&gt;"",$V32&lt;&gt;"--",$V32&lt;&gt;"O3/CP",$V$14=E$18),IF(LEFT($V32,1)="P",VLOOKUP(CONCATENATE(LEFT($V32,2),"H"),$R$63:$T$91,3,FALSE),VLOOKUP($V32,$R$63:$T$91,3,FALSE)))+IF(AND($V32&lt;&gt;"",$V32&lt;&gt;"O3/CP",$V$15=E$18,MID($V32,4,1)="2",$V$15&lt;&gt;$V$14),VLOOKUP(CONCATENATE(LEFT($V32,2),"L"),$R$63:$T$91,3,FALSE),0)+IF(AND($V32="O3/CP",$V$14=E$18),VLOOKUP("O3",$R$63:$T$91,3,FALSE)+VLOOKUP("CP",$R$63:$T$91,3,FALSE),0)+IF(AND($W32&lt;&gt;"",$W32&lt;&gt;"--",$W32&lt;&gt;"O3/CP",$W$14=E$18),IF(LEFT($W32,1)="P",VLOOKUP(CONCATENATE(LEFT($W32,2),"H"),$R$63:$T$91,3,FALSE),VLOOKUP($W32,$R$63:$T$91,3,FALSE)))+IF(AND($W32&lt;&gt;"",$W32&lt;&gt;"O3/CP",$W$15=E$18,MID($W32,4,1)="2",$W$15&lt;&gt;$W$14),VLOOKUP(CONCATENATE(LEFT($W32,2),"L"),$R$63:$T$91,3,FALSE),0)+IF(AND($W32="O3/CP",$W$14=E$18),VLOOKUP("O3",$R$63:$T$91,3,FALSE)+VLOOKUP("CP",$R$63:$T$91,3,FALSE),0)+IF(AND($X32&lt;&gt;"",$X32&lt;&gt;"--",$X32&lt;&gt;"O3/CP",$X$14=E$18),IF(LEFT($X32,1)="P",VLOOKUP(CONCATENATE(LEFT($X32,2),"H"),$R$63:$T$91,3,FALSE),VLOOKUP($X32,$R$63:$T$91,3,FALSE)))+IF(AND($X32&lt;&gt;"",$X32&lt;&gt;"O3/CP",$X$15=E$18,MID($X32,4,1)="2",$X$15&lt;&gt;$X$14),VLOOKUP(CONCATENATE(LEFT($X32,2),"L"),$R$63:$T$91,3,FALSE),0)+IF(AND($X32="O3/CP",$X$14=E$18),VLOOKUP("O3",$R$63:$T$91,3,FALSE)+VLOOKUP("CP",$R$63:$T$91,3,FALSE),0)+IF(AND($Y32&lt;&gt;"",$Y32&lt;&gt;"--",$Y32&lt;&gt;"O3/CP",$Y$14=E$18),IF(LEFT($Y32,1)="P",VLOOKUP(CONCATENATE(LEFT($Y32,2),"H"),$R$63:$T$91,3,FALSE),VLOOKUP($Y32,$R$63:$T$91,3,FALSE)))+IF(AND($Y32&lt;&gt;"",$Y32&lt;&gt;"O3/CP",$Y$15=E$18,MID($Y32,4,1)="2",$Y$15&lt;&gt;$Y$14),VLOOKUP(CONCATENATE(LEFT($Y32,2),"L"),$R$63:$T$91,3,FALSE),0)+IF(AND($Y32="O3/CP",$Y$14=E$18),VLOOKUP("O3",$R$63:$T$91,3,FALSE)+VLOOKUP("CP",$R$63:$T$91,3,FALSE),0)+IF(AND($K$6="CE",'[3]Supply Attribution'!$G$20=E$18),LEFT($S$90,2),0)+IF(AND($X$86&lt;&gt;"Not Set",$X$87=E$18),$X$86,0)</f>
        <v>0</v>
      </c>
      <c r="F32" s="268">
        <f>IF(AND($K32&lt;&gt;"",$K32&lt;&gt;"--",$K32&lt;&gt;"O3/CP",$K$14=F$18),IF(LEFT($K32,1)="P",VLOOKUP(CONCATENATE(LEFT($K32,2),"H"),$R$63:$T$91,3,FALSE),VLOOKUP($K32,$R$63:$T$91,3,FALSE)))+IF(AND($K32&lt;&gt;"",$K32&lt;&gt;"O3/CP",$K$15=F$18,MID($K32,4,1)="2",$K$15&lt;&gt;$K$14),VLOOKUP(CONCATENATE(LEFT($K32,2),"L"),$R$63:$T$91,3,FALSE),0)+IF(AND($K32="O3/CP",$K$14=F$18),VLOOKUP("O3",$R$63:$T$91,3,FALSE)+VLOOKUP("CP",$R$63:$T$91,3,FALSE),0)+IF(AND($L32&lt;&gt;"",$L32&lt;&gt;"--",$L32&lt;&gt;"O3/CP",$L$14=F$18),IF(LEFT($L32,1)="P",VLOOKUP(CONCATENATE(LEFT($L32,2),"H"),$R$63:$T$91,3,FALSE),VLOOKUP($L32,$R$63:$T$91,3,FALSE)))+IF(AND($L32&lt;&gt;"",$L32&lt;&gt;"O3/CP",$L$15=F$18,MID($L32,4,1)="2",$L$15&lt;&gt;$L$14),VLOOKUP(CONCATENATE(LEFT($L32,2),"L"),$R$63:$T$91,3,FALSE),0)+IF(AND($L32="O3/CP",$L$14=F$18),VLOOKUP("O3",$R$63:$T$91,3,FALSE)+VLOOKUP("CP",$R$63:$T$91,3,FALSE),0)+IF(AND($M32&lt;&gt;"",$M32&lt;&gt;"--",$M32&lt;&gt;"O3/CP",$M$14=F$18),IF(LEFT($M32,1)="P",VLOOKUP(CONCATENATE(LEFT($M32,2),"H"),$R$63:$T$91,3,FALSE),VLOOKUP($M32,$R$63:$T$91,3,FALSE)))+IF(AND($M32&lt;&gt;"",$M32&lt;&gt;"O3/CP",$M$15=F$18,MID($M32,4,1)="2",$M$15&lt;&gt;$M$14),VLOOKUP(CONCATENATE(LEFT($M32,2),"L"),$R$63:$T$91,3,FALSE),0)+IF(AND($M32="O3/CP",$M$14=F$18),VLOOKUP("O3",$R$63:$T$91,3,FALSE)+VLOOKUP("CP",$R$63:$T$91,3,FALSE),0)+IF(AND($N32&lt;&gt;"",$N32&lt;&gt;"--",$N32&lt;&gt;"O3/CP",$N$14=F$18),IF(LEFT($N32,1)="P",VLOOKUP(CONCATENATE(LEFT($N32,2),"H"),$R$63:$T$91,3,FALSE),VLOOKUP($N32,$R$63:$T$91,3,FALSE)))+IF(AND($N32&lt;&gt;"",$N32&lt;&gt;"O3/CP",$N$15=F$18,MID($N32,4,1)="2",$N$15&lt;&gt;$N$14),VLOOKUP(CONCATENATE(LEFT($N32,2),"L"),$R$63:$T$91,3,FALSE),0)+IF(AND($N32="O3/CP",$N$14=F$18),VLOOKUP("O3",$R$63:$T$91,3,FALSE)+VLOOKUP("CP",$R$63:$T$91,3,FALSE),0)+IF(AND($O32&lt;&gt;"",$O32&lt;&gt;"--",$O32&lt;&gt;"O3/CP",$O$14=F$18),IF(LEFT($O32,1)="P",VLOOKUP(CONCATENATE(LEFT($O32,2),"H"),$R$63:$T$91,3,FALSE),VLOOKUP($O32,$R$63:$T$91,3,FALSE)))+IF(AND($O32&lt;&gt;"",$O32&lt;&gt;"O3/CP",$O$15=F$18,MID($O32,4,1)="2",$O$15&lt;&gt;$O$14),VLOOKUP(CONCATENATE(LEFT($O32,2),"L"),$R$63:$T$91,3,FALSE),0)+IF(AND($O32="O3/CP",$O$14=F$18),VLOOKUP("O3",$R$63:$T$91,3,FALSE)+VLOOKUP("CP",$R$63:$T$91,3,FALSE),0)+IF(AND($P32&lt;&gt;"",$P32&lt;&gt;"--",$P32&lt;&gt;"O3/CP",$P$14=F$18),IF(LEFT($P32,1)="P",VLOOKUP(CONCATENATE(LEFT($P32,2),"H"),$R$63:$T$91,3,FALSE),VLOOKUP($P32,$R$63:$T$91,3,FALSE)))+IF(AND($P32&lt;&gt;"",$P32&lt;&gt;"O3/CP",$P$15=F$18,MID($P32,4,1)="2",$P$15&lt;&gt;$P$14),VLOOKUP(CONCATENATE(LEFT($P32,2),"L"),$R$63:$T$91,3,FALSE),0)+IF(AND($P32="O3/CP",$P$14=F$18),VLOOKUP("O3",$R$63:$T$91,3,FALSE)+VLOOKUP("CP",$R$63:$T$91,3,FALSE),0)+IF(AND($Q32&lt;&gt;"",$Q32&lt;&gt;"--",$Q32&lt;&gt;"O3/CP",$Q$14=F$18),IF(LEFT($Q32,1)="P",VLOOKUP(CONCATENATE(LEFT($Q32,2),"H"),$R$63:$T$91,3,FALSE),VLOOKUP($Q32,$R$63:$T$91,3,FALSE)))+IF(AND($Q32&lt;&gt;"",$Q32&lt;&gt;"O3/CP",$Q$15=F$18,MID($Q32,4,1)="2",$Q$15&lt;&gt;$Q$14),VLOOKUP(CONCATENATE(LEFT($Q32,2),"L"),$R$63:$T$91,3,FALSE),0)+IF(AND($Q32="O3/CP",$Q$14=F$18),VLOOKUP("O3",$R$63:$T$91,3,FALSE)+VLOOKUP("CP",$R$63:$T$91,3,FALSE),0)+IF(AND($R32&lt;&gt;"",$R32&lt;&gt;"--",$R32&lt;&gt;"O3/CP",$R$14=F$18),IF(LEFT($R32,1)="P",VLOOKUP(CONCATENATE(LEFT($R32,2),"H"),$R$63:$T$91,3,FALSE),VLOOKUP($R32,$R$63:$T$91,3,FALSE)))+IF(AND($R32&lt;&gt;"",$R32&lt;&gt;"O3/CP",$R$15=F$18,MID($R32,4,1)="2",$R$15&lt;&gt;$R$14),VLOOKUP(CONCATENATE(LEFT($R32,2),"L"),$R$63:$T$91,3,FALSE),0)+IF(AND($R32="O3/CP",$R$14=F$18),VLOOKUP("O3",$R$63:$T$91,3,FALSE)+VLOOKUP("CP",$R$63:$T$91,3,FALSE),0)+IF(AND($S32&lt;&gt;"",$S32&lt;&gt;"--",$S32&lt;&gt;"O3/CP",$S$14=F$18),IF(LEFT($S32,1)="P",VLOOKUP(CONCATENATE(LEFT($S32,2),"H"),$R$63:$T$91,3,FALSE),VLOOKUP($S32,$R$63:$T$91,3,FALSE)))+IF(AND($S32&lt;&gt;"",$S32&lt;&gt;"O3/CP",$S$15=F$18,MID($S32,4,1)="2",$S$15&lt;&gt;$S$14),VLOOKUP(CONCATENATE(LEFT($S32,2),"L"),$R$63:$T$91,3,FALSE),0)+IF(AND($S32="O3/CP",$S$14=F$18),VLOOKUP("O3",$R$63:$T$91,3,FALSE)+VLOOKUP("CP",$R$63:$T$91,3,FALSE),0)+IF(AND($T32&lt;&gt;"",$T32&lt;&gt;"--",$T32&lt;&gt;"O3/CP",$T$14=F$18),IF(LEFT($T32,1)="P",VLOOKUP(CONCATENATE(LEFT($T32,2),"H"),$R$63:$T$91,3,FALSE),VLOOKUP($T32,$R$63:$T$91,3,FALSE)))+IF(AND($T32&lt;&gt;"",$T32&lt;&gt;"O3/CP",$T$15=F$18,MID($T32,4,1)="2",$T$15&lt;&gt;$T$14),VLOOKUP(CONCATENATE(LEFT($T32,2),"L"),$R$63:$T$91,3,FALSE),0)+IF(AND($T32="O3/CP",$T$14=F$18),VLOOKUP("O3",$R$63:$T$91,3,FALSE)+VLOOKUP("CP",$R$63:$T$91,3,FALSE),0)+IF(AND($U32&lt;&gt;"",$U32&lt;&gt;"--",$U32&lt;&gt;"O3/CP",$U$14=F$18),IF(LEFT($U32,1)="P",VLOOKUP(CONCATENATE(LEFT($U32,2),"H"),$R$63:$T$91,3,FALSE),VLOOKUP($U32,$R$63:$T$91,3,FALSE)))+IF(AND($U32&lt;&gt;"",$U32&lt;&gt;"O3/CP",$U$15=F$18,MID($U32,4,1)="2",$U$15&lt;&gt;$U$14),VLOOKUP(CONCATENATE(LEFT($U32,2),"L"),$R$63:$T$91,3,FALSE),0)+IF(AND($U32="O3/CP",$T$14=F$18),VLOOKUP("O3",$R$63:$T$91,3,FALSE)+VLOOKUP("CP",$R$63:$T$91,3,FALSE),0)+IF(AND($V32&lt;&gt;"",$V32&lt;&gt;"--",$V32&lt;&gt;"O3/CP",$V$14=F$18),IF(LEFT($V32,1)="P",VLOOKUP(CONCATENATE(LEFT($V32,2),"H"),$R$63:$T$91,3,FALSE),VLOOKUP($V32,$R$63:$T$91,3,FALSE)))+IF(AND($V32&lt;&gt;"",$V32&lt;&gt;"O3/CP",$V$15=F$18,MID($V32,4,1)="2",$V$15&lt;&gt;$V$14),VLOOKUP(CONCATENATE(LEFT($V32,2),"L"),$R$63:$T$91,3,FALSE),0)+IF(AND($V32="O3/CP",$V$14=F$18),VLOOKUP("O3",$R$63:$T$91,3,FALSE)+VLOOKUP("CP",$R$63:$T$91,3,FALSE),0)+IF(AND($W32&lt;&gt;"",$W32&lt;&gt;"--",$W32&lt;&gt;"O3/CP",$W$14=F$18),IF(LEFT($W32,1)="P",VLOOKUP(CONCATENATE(LEFT($W32,2),"H"),$R$63:$T$91,3,FALSE),VLOOKUP($W32,$R$63:$T$91,3,FALSE)))+IF(AND($W32&lt;&gt;"",$W32&lt;&gt;"O3/CP",$W$15=F$18,MID($W32,4,1)="2",$W$15&lt;&gt;$W$14),VLOOKUP(CONCATENATE(LEFT($W32,2),"L"),$R$63:$T$91,3,FALSE),0)+IF(AND($W32="O3/CP",$W$14=F$18),VLOOKUP("O3",$R$63:$T$91,3,FALSE)+VLOOKUP("CP",$R$63:$T$91,3,FALSE),0)+IF(AND($X32&lt;&gt;"",$X32&lt;&gt;"--",$X32&lt;&gt;"O3/CP",$X$14=F$18),IF(LEFT($X32,1)="P",VLOOKUP(CONCATENATE(LEFT($X32,2),"H"),$R$63:$T$91,3,FALSE),VLOOKUP($X32,$R$63:$T$91,3,FALSE)))+IF(AND($X32&lt;&gt;"",$X32&lt;&gt;"O3/CP",$X$15=F$18,MID($X32,4,1)="2",$X$15&lt;&gt;$X$14),VLOOKUP(CONCATENATE(LEFT($X32,2),"L"),$R$63:$T$91,3,FALSE),0)+IF(AND($X32="O3/CP",$X$14=F$18),VLOOKUP("O3",$R$63:$T$91,3,FALSE)+VLOOKUP("CP",$R$63:$T$91,3,FALSE),0)+IF(AND($Y32&lt;&gt;"",$Y32&lt;&gt;"--",$Y32&lt;&gt;"O3/CP",$Y$14=F$18),IF(LEFT($Y32,1)="P",VLOOKUP(CONCATENATE(LEFT($Y32,2),"H"),$R$63:$T$91,3,FALSE),VLOOKUP($Y32,$R$63:$T$91,3,FALSE)))+IF(AND($Y32&lt;&gt;"",$Y32&lt;&gt;"O3/CP",$Y$15=F$18,MID($Y32,4,1)="2",$Y$15&lt;&gt;$Y$14),VLOOKUP(CONCATENATE(LEFT($Y32,2),"L"),$R$63:$T$91,3,FALSE),0)+IF(AND($Y32="O3/CP",$Y$14=F$18),VLOOKUP("O3",$R$63:$T$91,3,FALSE)+VLOOKUP("CP",$R$63:$T$91,3,FALSE),0)+IF(AND($K$6="CE",'[3]Supply Attribution'!$G$20=F$18),LEFT($S$90,2),0)+IF(AND($X$86&lt;&gt;"Not Set",$X$87=F$18),$X$86,0)</f>
        <v>0</v>
      </c>
      <c r="G32" s="269">
        <f>IF(AND($K$6="CE",$T$59="1 Phase"),SUM(A32:F32)-IF(AND($K$14&lt;&gt;$K$15,RIGHT($K32,3)="2SP"),VLOOKUP(CONCATENATE(LEFT($K32,2),"L"),$R$63:$T$90,3,FALSE),0)-IF(AND($L$14&lt;&gt;$L$15,RIGHT($L32,3)="2SP"),VLOOKUP(CONCATENATE(LEFT($L32,2),"L"),$R$63:$T$90,3,FALSE),0)-IF(AND($M$14&lt;&gt;$M$15,RIGHT($M32,3)="2SP"),VLOOKUP(CONCATENATE(LEFT($M32,2),"L"),$R$63:$T$90,3,FALSE),0)-IF(AND($N$14&lt;&gt;$N$15,RIGHT($N32,3)="2SP"),VLOOKUP(CONCATENATE(LEFT($N32,2),"L"),$R$63:$T$90,3,FALSE),0)-IF(AND($O$14&lt;&gt;$O$15,RIGHT($O32,3)="2SP"),VLOOKUP(CONCATENATE(LEFT($O32,2),"L"),$R$63:$T$90,3,FALSE),0)-IF(AND($P$14&lt;&gt;$P$15,RIGHT($P32,3)="2SP"),VLOOKUP(CONCATENATE(LEFT($P32,2),"L"),$R$63:$T$90,3,FALSE),0)-IF(AND($Q$14&lt;&gt;$Q$15,RIGHT($Q32,3)="2SP"),VLOOKUP(CONCATENATE(LEFT($Q32,2),"L"),$R$63:$T$90,3,FALSE),0)-IF(AND($R$14&lt;&gt;$R$15,RIGHT($T32,3)="2SP"),VLOOKUP(CONCATENATE(LEFT($R32,2),"L"),$R$63:$T$90,3,FALSE),0)-IF(AND($S$14&lt;&gt;$S$15,RIGHT($T32,3)="2SP"),VLOOKUP(CONCATENATE(LEFT($S32,2),"L"),$R$63:$T$90,3,FALSE),0)-IF(AND($T$14&lt;&gt;$T$15,RIGHT($T32,3)="2SP"),VLOOKUP(CONCATENATE(LEFT($T32,2),"L"),$R$63:$T$90,3,FALSE),0)-IF(AND($U$14&lt;&gt;$U$15,RIGHT($U32,3)="2SP"),VLOOKUP(CONCATENATE(LEFT($U32,2),"L"),$R$63:$T$90,3,FALSE),0)-IF(AND($V$14&lt;&gt;$V$15,RIGHT($V32,3)="2SP"),VLOOKUP(CONCATENATE(LEFT($V32,2),"L"),$R$63:$T$90,3,FALSE),0)-IF(AND($W$14&lt;&gt;$W$15,RIGHT($W32,3)="2SP"),VLOOKUP(CONCATENATE(LEFT($W32,2),"L"),$R$63:$T$90,3,FALSE),0)-IF(AND($X$14&lt;&gt;$X$15,RIGHT($X32,3)="2SP"),VLOOKUP(CONCATENATE(LEFT($X32,2),"L"),$R$63:$T$90,3,FALSE),0)-IF(AND($Y$14&lt;&gt;$Y$15,RIGHT($Y32,3)="2SP"),VLOOKUP(CONCATENATE(LEFT($Y32,2),"L"),$R$63:$T$90,3,FALSE),0),IF(VLOOKUP(CONCATENATE($A$18,"Line"),'[3]Supply Attribution'!$F$31:$G$37,2,FALSE)=G$18,$A32,0)+IF(VLOOKUP(CONCATENATE($B$18,"Line"),'[3]Supply Attribution'!$F$31:$G$37,2,FALSE)=G$18,$B32,0)+IF(VLOOKUP(CONCATENATE($C$18,"Line"),'[3]Supply Attribution'!$F$31:$G$37,2,FALSE)=G$18,$C32,0)+IF(VLOOKUP(CONCATENATE($D$18,"Line"),'[3]Supply Attribution'!$F$31:$G$37,2,FALSE)=G$18,$D32,0)+IF(VLOOKUP(CONCATENATE($E$18,"Line"),'[3]Supply Attribution'!$F$31:$G$37,2,FALSE)=G$18,$E32,0)+IF(VLOOKUP(CONCATENATE($F$18,"Line"),'[3]Supply Attribution'!$F$31:$G$37,2,FALSE)=G$18,$F32,0)+IF($K$6="UL",LEFT($S$90,2),0)-IF(AND($K$16=G$18,$K$14&lt;&gt;$K$15,$K$16=$K$17,RIGHT($K32,3)="2SP"),VLOOKUP(CONCATENATE(LEFT($K32,2),"L"),$R$63:$T$90,3,FALSE),0)-IF(AND($L$16=G$18,$L$14&lt;&gt;$L$15,$L$16=$L$17,RIGHT($L32,3)="2SP"),VLOOKUP(CONCATENATE(LEFT($L32,2),"L"),$R$63:$T$90,3,FALSE),0)-IF(AND($M$16=G$18,$M$14&lt;&gt;$M$15,$M$16=$M$17,RIGHT($M32,3)="2SP"),VLOOKUP(CONCATENATE(LEFT($M32,2),"L"),$R$63:$T$90,3,FALSE),0)-IF(AND($N$16=G$18,$N$14&lt;&gt;$N$15,$N$16=$N$17,RIGHT($N32,3)="2SP"),VLOOKUP(CONCATENATE(LEFT($N32,2),"L"),$R$63:$T$90,3,FALSE),0)-IF(AND($O$16=G$18,$O$14&lt;&gt;$O$15,$O$16=$O$17,RIGHT($O32,3)="2SP"),VLOOKUP(CONCATENATE(LEFT($O32,2),"L"),$R$63:$T$90,3,FALSE),0)-IF(AND($P$16=G$18,$P$14&lt;&gt;$P$15,$P$16=$P$17,RIGHT($P32,3)="2SP"),VLOOKUP(CONCATENATE(LEFT($P32,2),"L"),$R$63:$T$90,3,FALSE),0)-IF(AND($Q$16=G$18,$Q$14&lt;&gt;$Q$15,$Q$16=$Q$17,RIGHT($Q32,3)="2SP"),VLOOKUP(CONCATENATE(LEFT($Q32,2),"L"),$R$63:$T$90,3,FALSE),0)-IF(AND($R$16=G$18,$R$14&lt;&gt;$R$15,$R$16=$R$17,RIGHT($R32,3)="2SP"),VLOOKUP(CONCATENATE(LEFT($R32,2),"L"),$R$63:$T$90,3,FALSE),0)-IF(AND($S$16=G$18,$S$14&lt;&gt;$S$15,$S$16=$S$17,RIGHT($S32,3)="2SP"),VLOOKUP(CONCATENATE(LEFT($S32,2),"L"),$R$63:$T$90,3,FALSE),0)-IF(AND($T$16=G$18,$T$14&lt;&gt;$T$15,$T$16=$T$17,RIGHT($T32,3)="2SP"),VLOOKUP(CONCATENATE(LEFT($T32,2),"L"),$R$63:$T$90,3,FALSE),0)-IF(AND($U$16=G$18,$U$14&lt;&gt;$U$15,$U$16=$U$17,RIGHT($U32,3)="2SP"),VLOOKUP(CONCATENATE(LEFT($U32,2),"L"),$R$63:$T$90,3,FALSE),0)-IF(AND($V$16=G$18,$V$14&lt;&gt;$V$15,$V$16=$V$17,RIGHT($V32,3)="2SP"),VLOOKUP(CONCATENATE(LEFT($V32,2),"L"),$R$63:$T$90,3,FALSE),0)-IF(AND($W$16=G$18,$W$14&lt;&gt;$W$15,$W$16=$W$17,RIGHT($W32,3)="2SP"),VLOOKUP(CONCATENATE(LEFT($W32,2),"L"),$R$63:$T$90,3,FALSE),0)-IF(AND($X$16=G$18,$X$14&lt;&gt;$X$15,$X$16=$X$17,RIGHT($X32,3)="2SP"),VLOOKUP(CONCATENATE(LEFT($X32,2),"L"),$R$63:$T$90,3,FALSE),0)-IF(AND($Y$16=G$18,$Y$14&lt;&gt;$Y$15,$Y$16=$Y$17,RIGHT($Y32,3)="2SP"),VLOOKUP(CONCATENATE(LEFT($Y32,2),"L"),$R$63:$T$90,3,FALSE),0))</f>
        <v>17</v>
      </c>
      <c r="H32" s="269" t="str">
        <f>IF(H$18&lt;&gt;"",IF(VLOOKUP(CONCATENATE($A$18,"Line"),'Supply Attribution'!$F$31:$G$37,2,FALSE)=H$18,$A32,0)+IF(VLOOKUP(CONCATENATE($B$18,"Line"),'Supply Attribution'!$F$31:$G$37,2,FALSE)=H$18,$B32,0)+IF(VLOOKUP(CONCATENATE($C$18,"Line"),'Supply Attribution'!$F$31:$G$37,2,FALSE)=H$18,$C32,0)+IF(VLOOKUP(CONCATENATE($D$18,"Line"),'Supply Attribution'!$F$31:$G$37,2,FALSE)=H$18,$D32,0)+IF(VLOOKUP(CONCATENATE($E$18,"Line"),'Supply Attribution'!$F$31:$G$37,2,FALSE)=H$18,$E32,0)+IF(VLOOKUP(CONCATENATE($F$18,"Line"),'Supply Attribution'!$F$31:$G$37,2,FALSE)=H$18,$F32,0)+IF($K$6="UL",LEFT($S$90,2),0)-IF(AND($K$16=H$18,$K$14&lt;&gt;$K$15,$K$16=$K$17,RIGHT($K32,3)="2SP"),VLOOKUP(CONCATENATE(LEFT($K32,2),"L"),$R$63:$T$90,3,FALSE),0)-IF(AND($L$16=H$18,$L$14&lt;&gt;$L$15,$L$16=$L$17,RIGHT($L32,3)="2SP"),VLOOKUP(CONCATENATE(LEFT($L32,2),"L"),$R$63:$T$90,3,FALSE),0)-IF(AND($M$16=H$18,$M$14&lt;&gt;$M$15,$M$16=$M$17,RIGHT($M32,3)="2SP"),VLOOKUP(CONCATENATE(LEFT($M32,2),"L"),$R$63:$T$90,3,FALSE),0)-IF(AND($N$16=H$18,$N$14&lt;&gt;$N$15,$N$16=$N$17,RIGHT($N32,3)="2SP"),VLOOKUP(CONCATENATE(LEFT($N32,2),"L"),$R$63:$T$90,3,FALSE),0)-IF(AND($O$16=H$18,$O$14&lt;&gt;$O$15,$O$16=$O$17,RIGHT($O32,3)="2SP"),VLOOKUP(CONCATENATE(LEFT($O32,2),"L"),$R$63:$T$90,3,FALSE),0)-IF(AND($P$16=H$18,$P$14&lt;&gt;$P$15,$P$16=$P$17,RIGHT($P32,3)="2SP"),VLOOKUP(CONCATENATE(LEFT($P32,2),"L"),$R$63:$T$90,3,FALSE),0)-IF(AND($Q$16=H$18,$Q$14&lt;&gt;$Q$15,$Q$16=$Q$17,RIGHT($Q32,3)="2SP"),VLOOKUP(CONCATENATE(LEFT($Q32,2),"L"),$R$63:$T$90,3,FALSE),0)-IF(AND($T$16=H$18,$T$14&lt;&gt;$T$15,$T$16=$T$17,RIGHT($T32,3)="2SP"),VLOOKUP(CONCATENATE(LEFT($T32,2),"L"),$R$63:$T$90,3,FALSE),0)-IF(AND($U$16=H$18,$U$14&lt;&gt;$U$15,$U$16=$U$17,RIGHT($U32,3)="2SP"),VLOOKUP(CONCATENATE(LEFT($U32,2),"L"),$R$63:$T$90,3,FALSE),0)-IF(AND($V$16=H$18,$V$14&lt;&gt;$V$15,$V$16=$V$17,RIGHT($V32,3)="2SP"),VLOOKUP(CONCATENATE(LEFT($V32,2),"L"),$R$63:$T$90,3,FALSE),0)-IF(AND($W$16=H$18,$W$14&lt;&gt;$W$15,$W$16=$W$17,RIGHT($W32,3)="2SP"),VLOOKUP(CONCATENATE(LEFT($W32,2),"L"),$R$63:$T$90,3,FALSE),0)-IF(AND($X$16=H$18,$X$14&lt;&gt;$X$15,$X$16=$X$17,RIGHT($X32,3)="2SP"),VLOOKUP(CONCATENATE(LEFT($X32,2),"L"),$R$63:$T$90,3,FALSE),0)-IF(AND($Y$16=H$18,$Y$14&lt;&gt;$Y$15,$Y$16=$Y$17,RIGHT($Y32,3)="2SP"),VLOOKUP(CONCATENATE(LEFT($Y32,2),"L"),$R$63:$T$90,3,FALSE),0)+IF(AND($K$6="CE",$T$59="2 Phases",H$18&lt;&gt;""),IF(VLOOKUP(CONCATENATE($A$18,"Line"),'Supply Attribution'!$F$31:$G$37,2,FALSE)="Line3",$A32,0)+IF(VLOOKUP(CONCATENATE($B$18,"Line"),'Supply Attribution'!$F$31:$G$37,2,FALSE)="Line3",$B32,0)+IF(VLOOKUP(CONCATENATE($C$18,"Line"),'Supply Attribution'!$F$31:$G$37,2,FALSE)="Line3",$C32,0)+IF(VLOOKUP(CONCATENATE($D$18,"Line"),'Supply Attribution'!$F$31:$G$37,2,FALSE)="Line3",$D32,0)+IF(VLOOKUP(CONCATENATE($E$18,"Line"),'Supply Attribution'!$F$31:$G$37,2,FALSE)="Line3",$E32,0)+IF(VLOOKUP(CONCATENATE($F$18,"Line"),'Supply Attribution'!$F$31:$G$37,2,FALSE)="Line3",$F32,0)-IF(AND($K$16=I$18,$K$14&lt;&gt;$K$15,$K$16=$K$17,RIGHT($K32,3)="2SP"),VLOOKUP(CONCATENATE(LEFT($K32,2),"L"),$R$63:$T$90,3,FALSE),0)-IF(AND($L$16=I$18,$L$14&lt;&gt;$L$15,$L$16=$L$17,RIGHT($L32,3)="2SP"),VLOOKUP(CONCATENATE(LEFT($L32,2),"L"),$R$63:$T$90,3,FALSE),0)-IF(AND($M$16=I$18,$M$14&lt;&gt;$M$15,$M$16=$M$17,RIGHT($M32,3)="2SP"),VLOOKUP(CONCATENATE(LEFT($M32,2),"L"),$R$63:$T$90,3,FALSE),0)-IF(AND($N$16=I$18,$N$14&lt;&gt;$N$15,$N$16=$N$17,RIGHT($N32,3)="2SP"),VLOOKUP(CONCATENATE(LEFT($N32,2),"L"),$R$63:$T$90,3,FALSE),0)-IF(AND($O$16=I$18,$O$14&lt;&gt;$O$15,$O$16=$O$17,RIGHT($O32,3)="2SP"),VLOOKUP(CONCATENATE(LEFT($O32,2),"L"),$R$63:$T$90,3,FALSE),0)-IF(AND($P$16=I$18,$P$14&lt;&gt;$P$15,$P$16=$P$17,RIGHT($P32,3)="2SP"),VLOOKUP(CONCATENATE(LEFT($P32,2),"L"),$R$63:$T$90,3,FALSE),0)-IF(AND($Q$16=I$18,$Q$14&lt;&gt;$Q$15,$Q$16=$Q$17,RIGHT($Q32,3)="2SP"),VLOOKUP(CONCATENATE(LEFT($Q32,2),"L"),$R$63:$T$90,3,FALSE),0)-IF(AND($T$16=I$18,$T$14&lt;&gt;$T$15,$T$16=$T$17,RIGHT($T32,3)="2SP"),VLOOKUP(CONCATENATE(LEFT($T32,2),"L"),$R$63:$T$90,3,FALSE),0)-IF(AND($U$16=I$18,$U$14&lt;&gt;$U$15,$U$16=$U$17,RIGHT($U32,3)="2SP"),VLOOKUP(CONCATENATE(LEFT($U32,2),"L"),$R$63:$T$90,3,FALSE),0)-IF(AND($V$16=I$18,$V$14&lt;&gt;$V$15,$V$16=$V$17,RIGHT($V32,3)="2SP"),VLOOKUP(CONCATENATE(LEFT($V32,2),"L"),$R$63:$T$90,3,FALSE),0)-IF(AND($W$16=I$18,$W$14&lt;&gt;$W$15,$W$16=$W$17,RIGHT($W32,3)="2SP"),VLOOKUP(CONCATENATE(LEFT($W32,2),"L"),$R$63:$T$90,3,FALSE),0)-IF(AND($X$16=I$18,$X$14&lt;&gt;$X$15,$X$16=$X$17,RIGHT($X32,3)="2SP"),VLOOKUP(CONCATENATE(LEFT($X32,2),"L"),$R$63:$T$90,3,FALSE),0)-IF(AND($Y$16=I$18,$Y$14&lt;&gt;$Y$15,$Y$16=$Y$17,RIGHT($Y32,3)="2SP"),VLOOKUP(CONCATENATE(LEFT($Y32,2),"L"),$R$63:$T$90,3,FALSE),0),0),"")</f>
        <v/>
      </c>
      <c r="I32" s="269" t="str">
        <f>IF(I$18&lt;&gt;"",IF(VLOOKUP(CONCATENATE($A$18,"Line"),'Supply Attribution'!$F$31:$G$37,2,FALSE)=I$18,$A32,0)+IF(VLOOKUP(CONCATENATE($B$18,"Line"),'Supply Attribution'!$F$31:$G$37,2,FALSE)=I$18,$B32,0)+IF(VLOOKUP(CONCATENATE($C$18,"Line"),'Supply Attribution'!$F$31:$G$37,2,FALSE)=I$18,$C32,0)+IF(VLOOKUP(CONCATENATE($D$18,"Line"),'Supply Attribution'!$F$31:$G$37,2,FALSE)=I$18,$D32,0)+IF(VLOOKUP(CONCATENATE($E$18,"Line"),'Supply Attribution'!$F$31:$G$37,2,FALSE)=I$18,$E32,0)+IF(VLOOKUP(CONCATENATE($F$18,"Line"),'Supply Attribution'!$F$31:$G$37,2,FALSE)=I$18,$F32,0)+IF($K$6="UL",LEFT($S$90,2),0)-IF(AND($K$16=I$18,$K$14&lt;&gt;$K$15,$K$16=$K$17,RIGHT($K32,3)="2SP"),VLOOKUP(CONCATENATE(LEFT($K32,2),"L"),$R$63:$T$90,3,FALSE),0)-IF(AND($L$16=I$18,$L$14&lt;&gt;$L$15,$L$16=$L$17,RIGHT($L32,3)="2SP"),VLOOKUP(CONCATENATE(LEFT($L32,2),"L"),$R$63:$T$90,3,FALSE),0)-IF(AND($M$16=I$18,$M$14&lt;&gt;$M$15,$M$16=$M$17,RIGHT($M32,3)="2SP"),VLOOKUP(CONCATENATE(LEFT($M32,2),"L"),$R$63:$T$90,3,FALSE),0)-IF(AND($N$16=I$18,$N$14&lt;&gt;$N$15,$N$16=$N$17,RIGHT($N32,3)="2SP"),VLOOKUP(CONCATENATE(LEFT($N32,2),"L"),$R$63:$T$90,3,FALSE),0)-IF(AND($O$16=I$18,$O$14&lt;&gt;$O$15,$O$16=$O$17,RIGHT($O32,3)="2SP"),VLOOKUP(CONCATENATE(LEFT($O32,2),"L"),$R$63:$T$90,3,FALSE),0)-IF(AND($P$16=I$18,$P$14&lt;&gt;$P$15,$P$16=$P$17,RIGHT($P32,3)="2SP"),VLOOKUP(CONCATENATE(LEFT($P32,2),"L"),$R$63:$T$90,3,FALSE),0)-IF(AND($Q$16=I$18,$Q$14&lt;&gt;$Q$15,$Q$16=$Q$17,RIGHT($Q32,3)="2SP"),VLOOKUP(CONCATENATE(LEFT($Q32,2),"L"),$R$63:$T$90,3,FALSE),0)-IF(AND($T$16=I$18,$T$14&lt;&gt;$T$15,$T$16=$T$17,RIGHT($T32,3)="2SP"),VLOOKUP(CONCATENATE(LEFT($T32,2),"L"),$R$63:$T$90,3,FALSE),0)-IF(AND($U$16=I$18,$U$14&lt;&gt;$U$15,$U$16=$U$17,RIGHT($U32,3)="2SP"),VLOOKUP(CONCATENATE(LEFT($U32,2),"L"),$R$63:$T$90,3,FALSE),0)-IF(AND($V$16=I$18,$V$14&lt;&gt;$V$15,$V$16=$V$17,RIGHT($V32,3)="2SP"),VLOOKUP(CONCATENATE(LEFT($V32,2),"L"),$R$63:$T$90,3,FALSE),0)-IF(AND($W$16=I$18,$W$14&lt;&gt;$W$15,$W$16=$W$17,RIGHT($W32,3)="2SP"),VLOOKUP(CONCATENATE(LEFT($W32,2),"L"),$R$63:$T$90,3,FALSE),0)-IF(AND($X$16=I$18,$X$14&lt;&gt;$X$15,$X$16=$X$17,RIGHT($X32,3)="2SP"),VLOOKUP(CONCATENATE(LEFT($X32,2),"L"),$R$63:$T$90,3,FALSE),0)-IF(AND($Y$16=I$18,$Y$14&lt;&gt;$Y$15,$Y$16=$Y$17,RIGHT($Y32,3)="2SP"),VLOOKUP(CONCATENATE(LEFT($Y32,2),"L"),$R$63:$T$90,3,FALSE),0),"")</f>
        <v/>
      </c>
      <c r="J32" s="134"/>
      <c r="K32" s="135"/>
      <c r="L32" s="135"/>
      <c r="M32" s="135"/>
      <c r="N32" s="135"/>
      <c r="O32" s="135"/>
      <c r="P32" s="135"/>
      <c r="Q32" s="135"/>
      <c r="R32" s="135"/>
      <c r="S32" s="135"/>
      <c r="T32" s="135"/>
      <c r="U32" s="135"/>
      <c r="V32" s="135"/>
      <c r="W32" s="135"/>
      <c r="X32" s="135"/>
      <c r="Y32" s="135"/>
      <c r="Z32" s="136"/>
      <c r="AA32" s="136"/>
      <c r="AB32" s="137"/>
      <c r="AC32" s="137"/>
      <c r="AD32" s="137"/>
      <c r="AE32" s="138">
        <f t="shared" si="0"/>
        <v>0</v>
      </c>
      <c r="AF32" s="78"/>
    </row>
    <row r="33" spans="1:32" ht="13.15" customHeight="1">
      <c r="A33" s="264">
        <f>IF(AND($K33&lt;&gt;"",$K33&lt;&gt;"--",$K33&lt;&gt;"O3/CP",$K$14=A$18),IF(LEFT($K33,1)="P",VLOOKUP(CONCATENATE(LEFT($K33,2),"H"),$R$63:$T$91,3,FALSE),VLOOKUP($K33,$R$63:$T$91,3,FALSE)))+IF(AND($K33&lt;&gt;"",$K33&lt;&gt;"O3/CP",$K$15=A$18,MID($K33,4,1)="2",$K$15&lt;&gt;$K$14),VLOOKUP(CONCATENATE(LEFT($K33,2),"L"),$R$63:$T$91,3,FALSE),0)+IF(AND($K33="O3/CP",$K$14=A$18),VLOOKUP("O3",$R$63:$T$91,3,FALSE)+VLOOKUP("CP",$R$63:$T$91,3,FALSE),0)+IF(AND($L33&lt;&gt;"",$L33&lt;&gt;"--",$L33&lt;&gt;"O3/CP",$L$14=A$18),IF(LEFT($L33,1)="P",VLOOKUP(CONCATENATE(LEFT($L33,2),"H"),$R$63:$T$91,3,FALSE),VLOOKUP($L33,$R$63:$T$91,3,FALSE)))+IF(AND($L33&lt;&gt;"",$L33&lt;&gt;"O3/CP",$L$15=A$18,MID($L33,4,1)="2",$L$15&lt;&gt;$L$14),VLOOKUP(CONCATENATE(LEFT($L33,2),"L"),$R$63:$T$91,3,FALSE),0)+IF(AND($L33="O3/CP",$L$14=A$18),VLOOKUP("O3",$R$63:$T$91,3,FALSE)+VLOOKUP("CP",$R$63:$T$91,3,FALSE),0)+IF(AND($M33&lt;&gt;"",$M33&lt;&gt;"--",$M33&lt;&gt;"O3/CP",$M$14=A$18),IF(LEFT($M33,1)="P",VLOOKUP(CONCATENATE(LEFT($M33,2),"H"),$R$63:$T$91,3,FALSE),VLOOKUP($M33,$R$63:$T$91,3,FALSE)))+IF(AND($M33&lt;&gt;"",$M33&lt;&gt;"O3/CP",$M$15=A$18,MID($M33,4,1)="2",$M$15&lt;&gt;$M$14),VLOOKUP(CONCATENATE(LEFT($M33,2),"L"),$R$63:$T$91,3,FALSE),0)+IF(AND($M33="O3/CP",$M$14=A$18),VLOOKUP("O3",$R$63:$T$91,3,FALSE)+VLOOKUP("CP",$R$63:$T$91,3,FALSE),0)+IF(AND($N33&lt;&gt;"",$N33&lt;&gt;"--",$N33&lt;&gt;"O3/CP",$N$14=A$18),IF(LEFT($N33,1)="P",VLOOKUP(CONCATENATE(LEFT($N33,2),"H"),$R$63:$T$91,3,FALSE),VLOOKUP($N33,$R$63:$T$91,3,FALSE)))+IF(AND($N33&lt;&gt;"",$N33&lt;&gt;"O3/CP",$N$15=A$18,MID($N33,4,1)="2",$N$15&lt;&gt;$N$14),VLOOKUP(CONCATENATE(LEFT($N33,2),"L"),$R$63:$T$91,3,FALSE),0)+IF(AND($N33="O3/CP",$N$14=A$18),VLOOKUP("O3",$R$63:$T$91,3,FALSE)+VLOOKUP("CP",$R$63:$T$91,3,FALSE),0)+IF(AND($O33&lt;&gt;"",$O33&lt;&gt;"--",$O33&lt;&gt;"O3/CP",$O$14=A$18),IF(LEFT($O33,1)="P",VLOOKUP(CONCATENATE(LEFT($O33,2),"H"),$R$63:$T$91,3,FALSE),VLOOKUP($O33,$R$63:$T$91,3,FALSE)))+IF(AND($O33&lt;&gt;"",$O33&lt;&gt;"O3/CP",$O$15=A$18,MID($O33,4,1)="2",$O$15&lt;&gt;$O$14),VLOOKUP(CONCATENATE(LEFT($O33,2),"L"),$R$63:$T$91,3,FALSE),0)+IF(AND($O33="O3/CP",$O$14=A$18),VLOOKUP("O3",$R$63:$T$91,3,FALSE)+VLOOKUP("CP",$R$63:$T$91,3,FALSE),0)+IF(AND($P33&lt;&gt;"",$P33&lt;&gt;"--",$P33&lt;&gt;"O3/CP",$P$14=A$18),IF(LEFT($P33,1)="P",VLOOKUP(CONCATENATE(LEFT($P33,2),"H"),$R$63:$T$91,3,FALSE),VLOOKUP($P33,$R$63:$T$91,3,FALSE)))+IF(AND($P33&lt;&gt;"",$P33&lt;&gt;"O3/CP",$P$15=A$18,MID($P33,4,1)="2",$P$15&lt;&gt;$P$14),VLOOKUP(CONCATENATE(LEFT($P33,2),"L"),$R$63:$T$91,3,FALSE),0)+IF(AND($P33="O3/CP",$P$14=A$18),VLOOKUP("O3",$R$63:$T$91,3,FALSE)+VLOOKUP("CP",$R$63:$T$91,3,FALSE),0)+IF(AND($Q33&lt;&gt;"",$Q33&lt;&gt;"--",$Q33&lt;&gt;"O3/CP",$Q$14=A$18),IF(LEFT($Q33,1)="P",VLOOKUP(CONCATENATE(LEFT($Q33,2),"H"),$R$63:$T$91,3,FALSE),VLOOKUP($Q33,$R$63:$T$91,3,FALSE)))+IF(AND($Q33&lt;&gt;"",$Q33&lt;&gt;"O3/CP",$Q$15=A$18,MID($Q33,4,1)="2",$Q$15&lt;&gt;$Q$14),VLOOKUP(CONCATENATE(LEFT($Q33,2),"L"),$R$63:$T$91,3,FALSE),0)+IF(AND($Q33="O3/CP",$Q$14=A$18),VLOOKUP("O3",$R$63:$T$91,3,FALSE)+VLOOKUP("CP",$R$63:$T$91,3,FALSE),0)+IF(AND($R33&lt;&gt;"",$R33&lt;&gt;"--",$R33&lt;&gt;"O3/CP",$R$14=A$18),IF(LEFT($R33,1)="P",VLOOKUP(CONCATENATE(LEFT($R33,2),"H"),$R$63:$T$91,3,FALSE),VLOOKUP($R33,$R$63:$T$91,3,FALSE)))+IF(AND($R33&lt;&gt;"",$R33&lt;&gt;"O3/CP",$R$15=A$18,MID($R33,4,1)="2",$R$15&lt;&gt;$R$14),VLOOKUP(CONCATENATE(LEFT($R33,2),"L"),$R$63:$T$91,3,FALSE),0)+IF(AND($R33="O3/CP",$R$14=A$18),VLOOKUP("O3",$R$63:$T$91,3,FALSE)+VLOOKUP("CP",$R$63:$T$91,3,FALSE),0)+IF(AND($S33&lt;&gt;"",$S33&lt;&gt;"--",$S33&lt;&gt;"O3/CP",$S$14=A$18),IF(LEFT($S33,1)="P",VLOOKUP(CONCATENATE(LEFT($S33,2),"H"),$R$63:$T$91,3,FALSE),VLOOKUP($S33,$R$63:$T$91,3,FALSE)))+IF(AND($S33&lt;&gt;"",$S33&lt;&gt;"O3/CP",$S$15=A$18,MID($S33,4,1)="2",$S$15&lt;&gt;$S$14),VLOOKUP(CONCATENATE(LEFT($S33,2),"L"),$R$63:$T$91,3,FALSE),0)+IF(AND($S33="O3/CP",$S$14=A$18),VLOOKUP("O3",$R$63:$T$91,3,FALSE)+VLOOKUP("CP",$R$63:$T$91,3,FALSE),0)+IF(AND($T33&lt;&gt;"",$T33&lt;&gt;"--",$T33&lt;&gt;"O3/CP",$T$14=A$18),IF(LEFT($T33,1)="P",VLOOKUP(CONCATENATE(LEFT($T33,2),"H"),$R$63:$T$91,3,FALSE),VLOOKUP($T33,$R$63:$T$91,3,FALSE)))+IF(AND($T33&lt;&gt;"",$T33&lt;&gt;"O3/CP",$T$15=A$18,MID($T33,4,1)="2",$T$15&lt;&gt;$T$14),VLOOKUP(CONCATENATE(LEFT($T33,2),"L"),$R$63:$T$91,3,FALSE),0)+IF(AND($T33="O3/CP",$T$14=A$18),VLOOKUP("O3",$R$63:$T$91,3,FALSE)+VLOOKUP("CP",$R$63:$T$91,3,FALSE),0)+IF(AND($U33&lt;&gt;"",$U33&lt;&gt;"--",$U33&lt;&gt;"O3/CP",$U$14=A$18),IF(LEFT($U33,1)="P",VLOOKUP(CONCATENATE(LEFT($U33,2),"H"),$R$63:$T$91,3,FALSE),VLOOKUP($U33,$R$63:$T$91,3,FALSE)))+IF(AND($U33&lt;&gt;"",$U33&lt;&gt;"O3/CP",$U$15=A$18,MID($U33,4,1)="2",$U$15&lt;&gt;$U$14),VLOOKUP(CONCATENATE(LEFT($U33,2),"L"),$R$63:$T$91,3,FALSE),0)+IF(AND($U33="O3/CP",$T$14=A$18),VLOOKUP("O3",$R$63:$T$91,3,FALSE)+VLOOKUP("CP",$R$63:$T$91,3,FALSE),0)+IF(AND($V33&lt;&gt;"",$V33&lt;&gt;"--",$V33&lt;&gt;"O3/CP",$V$14=A$18),IF(LEFT($V33,1)="P",VLOOKUP(CONCATENATE(LEFT($V33,2),"H"),$R$63:$T$91,3,FALSE),VLOOKUP($V33,$R$63:$T$91,3,FALSE)))+IF(AND($V33&lt;&gt;"",$V33&lt;&gt;"O3/CP",$V$15=A$18,MID($V33,4,1)="2",$V$15&lt;&gt;$V$14),VLOOKUP(CONCATENATE(LEFT($V33,2),"L"),$R$63:$T$91,3,FALSE),0)+IF(AND($V33="O3/CP",$V$14=A$18),VLOOKUP("O3",$R$63:$T$91,3,FALSE)+VLOOKUP("CP",$R$63:$T$91,3,FALSE),0)+IF(AND($W33&lt;&gt;"",$W33&lt;&gt;"--",$W33&lt;&gt;"O3/CP",$W$14=A$18),IF(LEFT($W33,1)="P",VLOOKUP(CONCATENATE(LEFT($W33,2),"H"),$R$63:$T$91,3,FALSE),VLOOKUP($W33,$R$63:$T$91,3,FALSE)))+IF(AND($W33&lt;&gt;"",$W33&lt;&gt;"O3/CP",$W$15=A$18,MID($W33,4,1)="2",$W$15&lt;&gt;$W$14),VLOOKUP(CONCATENATE(LEFT($W33,2),"L"),$R$63:$T$91,3,FALSE),0)+IF(AND($W33="O3/CP",$W$14=A$18),VLOOKUP("O3",$R$63:$T$91,3,FALSE)+VLOOKUP("CP",$R$63:$T$91,3,FALSE),0)+IF(AND($X33&lt;&gt;"",$X33&lt;&gt;"--",$X33&lt;&gt;"O3/CP",$X$14=A$18),IF(LEFT($X33,1)="P",VLOOKUP(CONCATENATE(LEFT($X33,2),"H"),$R$63:$T$91,3,FALSE),VLOOKUP($X33,$R$63:$T$91,3,FALSE)))+IF(AND($X33&lt;&gt;"",$X33&lt;&gt;"O3/CP",$X$15=A$18,MID($X33,4,1)="2",$X$15&lt;&gt;$X$14),VLOOKUP(CONCATENATE(LEFT($X33,2),"L"),$R$63:$T$91,3,FALSE),0)+IF(AND($X33="O3/CP",$X$14=A$18),VLOOKUP("O3",$R$63:$T$91,3,FALSE)+VLOOKUP("CP",$R$63:$T$91,3,FALSE),0)+IF(AND($Y33&lt;&gt;"",$Y33&lt;&gt;"--",$Y33&lt;&gt;"O3/CP",$Y$14=A$18),IF(LEFT($Y33,1)="P",VLOOKUP(CONCATENATE(LEFT($Y33,2),"H"),$R$63:$T$91,3,FALSE),VLOOKUP($Y33,$R$63:$T$91,3,FALSE)))+IF(AND($Y33&lt;&gt;"",$Y33&lt;&gt;"O3/CP",$Y$15=A$18,MID($Y33,4,1)="2",$Y$15&lt;&gt;$Y$14),VLOOKUP(CONCATENATE(LEFT($Y33,2),"L"),$R$63:$T$91,3,FALSE),0)+IF(AND($Y33="O3/CP",$Y$14=A$18),VLOOKUP("O3",$R$63:$T$91,3,FALSE)+VLOOKUP("CP",$R$63:$T$91,3,FALSE),0)+IF(AND($K$6="CE",'[3]Supply Attribution'!$G$20=A$18),LEFT($S$90,2),0)+IF(AND($X$86&lt;&gt;"Not Set",$X$87=A$18),$X$86,0)</f>
        <v>0</v>
      </c>
      <c r="B33" s="271">
        <f>IF(AND($K33&lt;&gt;"",$K33&lt;&gt;"--",$K33&lt;&gt;"O3/CP",$K$14=B$18),IF(LEFT($K33,1)="P",VLOOKUP(CONCATENATE(LEFT($K33,2),"H"),$R$63:$T$91,3,FALSE),VLOOKUP($K33,$R$63:$T$91,3,FALSE)))+IF(AND($K33&lt;&gt;"",$K33&lt;&gt;"O3/CP",$K$15=B$18,MID($K33,4,1)="2",$K$15&lt;&gt;$K$14),VLOOKUP(CONCATENATE(LEFT($K33,2),"L"),$R$63:$T$91,3,FALSE),0)+IF(AND($K33="O3/CP",$K$14=B$18),VLOOKUP("O3",$R$63:$T$91,3,FALSE)+VLOOKUP("CP",$R$63:$T$91,3,FALSE),0)+IF(AND($L33&lt;&gt;"",$L33&lt;&gt;"--",$L33&lt;&gt;"O3/CP",$L$14=B$18),IF(LEFT($L33,1)="P",VLOOKUP(CONCATENATE(LEFT($L33,2),"H"),$R$63:$T$91,3,FALSE),VLOOKUP($L33,$R$63:$T$91,3,FALSE)))+IF(AND($L33&lt;&gt;"",$L33&lt;&gt;"O3/CP",$L$15=B$18,MID($L33,4,1)="2",$L$15&lt;&gt;$L$14),VLOOKUP(CONCATENATE(LEFT($L33,2),"L"),$R$63:$T$91,3,FALSE),0)+IF(AND($L33="O3/CP",$L$14=B$18),VLOOKUP("O3",$R$63:$T$91,3,FALSE)+VLOOKUP("CP",$R$63:$T$91,3,FALSE),0)+IF(AND($M33&lt;&gt;"",$M33&lt;&gt;"--",$M33&lt;&gt;"O3/CP",$M$14=B$18),IF(LEFT($M33,1)="P",VLOOKUP(CONCATENATE(LEFT($M33,2),"H"),$R$63:$T$91,3,FALSE),VLOOKUP($M33,$R$63:$T$91,3,FALSE)))+IF(AND($M33&lt;&gt;"",$M33&lt;&gt;"O3/CP",$M$15=B$18,MID($M33,4,1)="2",$M$15&lt;&gt;$M$14),VLOOKUP(CONCATENATE(LEFT($M33,2),"L"),$R$63:$T$91,3,FALSE),0)+IF(AND($M33="O3/CP",$M$14=B$18),VLOOKUP("O3",$R$63:$T$91,3,FALSE)+VLOOKUP("CP",$R$63:$T$91,3,FALSE),0)+IF(AND($N33&lt;&gt;"",$N33&lt;&gt;"--",$N33&lt;&gt;"O3/CP",$N$14=B$18),IF(LEFT($N33,1)="P",VLOOKUP(CONCATENATE(LEFT($N33,2),"H"),$R$63:$T$91,3,FALSE),VLOOKUP($N33,$R$63:$T$91,3,FALSE)))+IF(AND($N33&lt;&gt;"",$N33&lt;&gt;"O3/CP",$N$15=B$18,MID($N33,4,1)="2",$N$15&lt;&gt;$N$14),VLOOKUP(CONCATENATE(LEFT($N33,2),"L"),$R$63:$T$91,3,FALSE),0)+IF(AND($N33="O3/CP",$N$14=B$18),VLOOKUP("O3",$R$63:$T$91,3,FALSE)+VLOOKUP("CP",$R$63:$T$91,3,FALSE),0)+IF(AND($O33&lt;&gt;"",$O33&lt;&gt;"--",$O33&lt;&gt;"O3/CP",$O$14=B$18),IF(LEFT($O33,1)="P",VLOOKUP(CONCATENATE(LEFT($O33,2),"H"),$R$63:$T$91,3,FALSE),VLOOKUP($O33,$R$63:$T$91,3,FALSE)))+IF(AND($O33&lt;&gt;"",$O33&lt;&gt;"O3/CP",$O$15=B$18,MID($O33,4,1)="2",$O$15&lt;&gt;$O$14),VLOOKUP(CONCATENATE(LEFT($O33,2),"L"),$R$63:$T$91,3,FALSE),0)+IF(AND($O33="O3/CP",$O$14=B$18),VLOOKUP("O3",$R$63:$T$91,3,FALSE)+VLOOKUP("CP",$R$63:$T$91,3,FALSE),0)+IF(AND($P33&lt;&gt;"",$P33&lt;&gt;"--",$P33&lt;&gt;"O3/CP",$P$14=B$18),IF(LEFT($P33,1)="P",VLOOKUP(CONCATENATE(LEFT($P33,2),"H"),$R$63:$T$91,3,FALSE),VLOOKUP($P33,$R$63:$T$91,3,FALSE)))+IF(AND($P33&lt;&gt;"",$P33&lt;&gt;"O3/CP",$P$15=B$18,MID($P33,4,1)="2",$P$15&lt;&gt;$P$14),VLOOKUP(CONCATENATE(LEFT($P33,2),"L"),$R$63:$T$91,3,FALSE),0)+IF(AND($P33="O3/CP",$P$14=B$18),VLOOKUP("O3",$R$63:$T$91,3,FALSE)+VLOOKUP("CP",$R$63:$T$91,3,FALSE),0)+IF(AND($Q33&lt;&gt;"",$Q33&lt;&gt;"--",$Q33&lt;&gt;"O3/CP",$Q$14=B$18),IF(LEFT($Q33,1)="P",VLOOKUP(CONCATENATE(LEFT($Q33,2),"H"),$R$63:$T$91,3,FALSE),VLOOKUP($Q33,$R$63:$T$91,3,FALSE)))+IF(AND($Q33&lt;&gt;"",$Q33&lt;&gt;"O3/CP",$Q$15=B$18,MID($Q33,4,1)="2",$Q$15&lt;&gt;$Q$14),VLOOKUP(CONCATENATE(LEFT($Q33,2),"L"),$R$63:$T$91,3,FALSE),0)+IF(AND($Q33="O3/CP",$Q$14=B$18),VLOOKUP("O3",$R$63:$T$91,3,FALSE)+VLOOKUP("CP",$R$63:$T$91,3,FALSE),0)+IF(AND($R33&lt;&gt;"",$R33&lt;&gt;"--",$R33&lt;&gt;"O3/CP",$R$14=B$18),IF(LEFT($R33,1)="P",VLOOKUP(CONCATENATE(LEFT($R33,2),"H"),$R$63:$T$91,3,FALSE),VLOOKUP($R33,$R$63:$T$91,3,FALSE)))+IF(AND($R33&lt;&gt;"",$R33&lt;&gt;"O3/CP",$R$15=B$18,MID($R33,4,1)="2",$R$15&lt;&gt;$R$14),VLOOKUP(CONCATENATE(LEFT($R33,2),"L"),$R$63:$T$91,3,FALSE),0)+IF(AND($R33="O3/CP",$R$14=B$18),VLOOKUP("O3",$R$63:$T$91,3,FALSE)+VLOOKUP("CP",$R$63:$T$91,3,FALSE),0)+IF(AND($S33&lt;&gt;"",$S33&lt;&gt;"--",$S33&lt;&gt;"O3/CP",$S$14=B$18),IF(LEFT($S33,1)="P",VLOOKUP(CONCATENATE(LEFT($S33,2),"H"),$R$63:$T$91,3,FALSE),VLOOKUP($S33,$R$63:$T$91,3,FALSE)))+IF(AND($S33&lt;&gt;"",$S33&lt;&gt;"O3/CP",$S$15=B$18,MID($S33,4,1)="2",$S$15&lt;&gt;$S$14),VLOOKUP(CONCATENATE(LEFT($S33,2),"L"),$R$63:$T$91,3,FALSE),0)+IF(AND($S33="O3/CP",$S$14=B$18),VLOOKUP("O3",$R$63:$T$91,3,FALSE)+VLOOKUP("CP",$R$63:$T$91,3,FALSE),0)+IF(AND($T33&lt;&gt;"",$T33&lt;&gt;"--",$T33&lt;&gt;"O3/CP",$T$14=B$18),IF(LEFT($T33,1)="P",VLOOKUP(CONCATENATE(LEFT($T33,2),"H"),$R$63:$T$91,3,FALSE),VLOOKUP($T33,$R$63:$T$91,3,FALSE)))+IF(AND($T33&lt;&gt;"",$T33&lt;&gt;"O3/CP",$T$15=B$18,MID($T33,4,1)="2",$T$15&lt;&gt;$T$14),VLOOKUP(CONCATENATE(LEFT($T33,2),"L"),$R$63:$T$91,3,FALSE),0)+IF(AND($T33="O3/CP",$T$14=B$18),VLOOKUP("O3",$R$63:$T$91,3,FALSE)+VLOOKUP("CP",$R$63:$T$91,3,FALSE),0)+IF(AND($U33&lt;&gt;"",$U33&lt;&gt;"--",$U33&lt;&gt;"O3/CP",$U$14=B$18),IF(LEFT($U33,1)="P",VLOOKUP(CONCATENATE(LEFT($U33,2),"H"),$R$63:$T$91,3,FALSE),VLOOKUP($U33,$R$63:$T$91,3,FALSE)))+IF(AND($U33&lt;&gt;"",$U33&lt;&gt;"O3/CP",$U$15=B$18,MID($U33,4,1)="2",$U$15&lt;&gt;$U$14),VLOOKUP(CONCATENATE(LEFT($U33,2),"L"),$R$63:$T$91,3,FALSE),0)+IF(AND($U33="O3/CP",$T$14=B$18),VLOOKUP("O3",$R$63:$T$91,3,FALSE)+VLOOKUP("CP",$R$63:$T$91,3,FALSE),0)+IF(AND($V33&lt;&gt;"",$V33&lt;&gt;"--",$V33&lt;&gt;"O3/CP",$V$14=B$18),IF(LEFT($V33,1)="P",VLOOKUP(CONCATENATE(LEFT($V33,2),"H"),$R$63:$T$91,3,FALSE),VLOOKUP($V33,$R$63:$T$91,3,FALSE)))+IF(AND($V33&lt;&gt;"",$V33&lt;&gt;"O3/CP",$V$15=B$18,MID($V33,4,1)="2",$V$15&lt;&gt;$V$14),VLOOKUP(CONCATENATE(LEFT($V33,2),"L"),$R$63:$T$91,3,FALSE),0)+IF(AND($V33="O3/CP",$V$14=B$18),VLOOKUP("O3",$R$63:$T$91,3,FALSE)+VLOOKUP("CP",$R$63:$T$91,3,FALSE),0)+IF(AND($W33&lt;&gt;"",$W33&lt;&gt;"--",$W33&lt;&gt;"O3/CP",$W$14=B$18),IF(LEFT($W33,1)="P",VLOOKUP(CONCATENATE(LEFT($W33,2),"H"),$R$63:$T$91,3,FALSE),VLOOKUP($W33,$R$63:$T$91,3,FALSE)))+IF(AND($W33&lt;&gt;"",$W33&lt;&gt;"O3/CP",$W$15=B$18,MID($W33,4,1)="2",$W$15&lt;&gt;$W$14),VLOOKUP(CONCATENATE(LEFT($W33,2),"L"),$R$63:$T$91,3,FALSE),0)+IF(AND($W33="O3/CP",$W$14=B$18),VLOOKUP("O3",$R$63:$T$91,3,FALSE)+VLOOKUP("CP",$R$63:$T$91,3,FALSE),0)+IF(AND($X33&lt;&gt;"",$X33&lt;&gt;"--",$X33&lt;&gt;"O3/CP",$X$14=B$18),IF(LEFT($X33,1)="P",VLOOKUP(CONCATENATE(LEFT($X33,2),"H"),$R$63:$T$91,3,FALSE),VLOOKUP($X33,$R$63:$T$91,3,FALSE)))+IF(AND($X33&lt;&gt;"",$X33&lt;&gt;"O3/CP",$X$15=B$18,MID($X33,4,1)="2",$X$15&lt;&gt;$X$14),VLOOKUP(CONCATENATE(LEFT($X33,2),"L"),$R$63:$T$91,3,FALSE),0)+IF(AND($X33="O3/CP",$X$14=B$18),VLOOKUP("O3",$R$63:$T$91,3,FALSE)+VLOOKUP("CP",$R$63:$T$91,3,FALSE),0)+IF(AND($Y33&lt;&gt;"",$Y33&lt;&gt;"--",$Y33&lt;&gt;"O3/CP",$Y$14=B$18),IF(LEFT($Y33,1)="P",VLOOKUP(CONCATENATE(LEFT($Y33,2),"H"),$R$63:$T$91,3,FALSE),VLOOKUP($Y33,$R$63:$T$91,3,FALSE)))+IF(AND($Y33&lt;&gt;"",$Y33&lt;&gt;"O3/CP",$Y$15=B$18,MID($Y33,4,1)="2",$Y$15&lt;&gt;$Y$14),VLOOKUP(CONCATENATE(LEFT($Y33,2),"L"),$R$63:$T$91,3,FALSE),0)+IF(AND($Y33="O3/CP",$Y$14=B$18),VLOOKUP("O3",$R$63:$T$91,3,FALSE)+VLOOKUP("CP",$R$63:$T$91,3,FALSE),0)+IF(AND($K$6="CE",'[3]Supply Attribution'!$G$20=B$18),LEFT($S$90,2),0)+IF(AND($X$86&lt;&gt;"Not Set",$X$87=B$18),$X$86,0)</f>
        <v>0</v>
      </c>
      <c r="C33" s="271">
        <f>IF(AND($K33&lt;&gt;"",$K33&lt;&gt;"--",$K33&lt;&gt;"O3/CP",$K$14=C$18),IF(LEFT($K33,1)="P",VLOOKUP(CONCATENATE(LEFT($K33,2),"H"),$R$63:$T$91,3,FALSE),VLOOKUP($K33,$R$63:$T$91,3,FALSE)))+IF(AND($K33&lt;&gt;"",$K33&lt;&gt;"O3/CP",$K$15=C$18,MID($K33,4,1)="2",$K$15&lt;&gt;$K$14),VLOOKUP(CONCATENATE(LEFT($K33,2),"L"),$R$63:$T$91,3,FALSE),0)+IF(AND($K33="O3/CP",$K$14=C$18),VLOOKUP("O3",$R$63:$T$91,3,FALSE)+VLOOKUP("CP",$R$63:$T$91,3,FALSE),0)+IF(AND($L33&lt;&gt;"",$L33&lt;&gt;"--",$L33&lt;&gt;"O3/CP",$L$14=C$18),IF(LEFT($L33,1)="P",VLOOKUP(CONCATENATE(LEFT($L33,2),"H"),$R$63:$T$91,3,FALSE),VLOOKUP($L33,$R$63:$T$91,3,FALSE)))+IF(AND($L33&lt;&gt;"",$L33&lt;&gt;"O3/CP",$L$15=C$18,MID($L33,4,1)="2",$L$15&lt;&gt;$L$14),VLOOKUP(CONCATENATE(LEFT($L33,2),"L"),$R$63:$T$91,3,FALSE),0)+IF(AND($L33="O3/CP",$L$14=C$18),VLOOKUP("O3",$R$63:$T$91,3,FALSE)+VLOOKUP("CP",$R$63:$T$91,3,FALSE),0)+IF(AND($M33&lt;&gt;"",$M33&lt;&gt;"--",$M33&lt;&gt;"O3/CP",$M$14=C$18),IF(LEFT($M33,1)="P",VLOOKUP(CONCATENATE(LEFT($M33,2),"H"),$R$63:$T$91,3,FALSE),VLOOKUP($M33,$R$63:$T$91,3,FALSE)))+IF(AND($M33&lt;&gt;"",$M33&lt;&gt;"O3/CP",$M$15=C$18,MID($M33,4,1)="2",$M$15&lt;&gt;$M$14),VLOOKUP(CONCATENATE(LEFT($M33,2),"L"),$R$63:$T$91,3,FALSE),0)+IF(AND($M33="O3/CP",$M$14=C$18),VLOOKUP("O3",$R$63:$T$91,3,FALSE)+VLOOKUP("CP",$R$63:$T$91,3,FALSE),0)+IF(AND($N33&lt;&gt;"",$N33&lt;&gt;"--",$N33&lt;&gt;"O3/CP",$N$14=C$18),IF(LEFT($N33,1)="P",VLOOKUP(CONCATENATE(LEFT($N33,2),"H"),$R$63:$T$91,3,FALSE),VLOOKUP($N33,$R$63:$T$91,3,FALSE)))+IF(AND($N33&lt;&gt;"",$N33&lt;&gt;"O3/CP",$N$15=C$18,MID($N33,4,1)="2",$N$15&lt;&gt;$N$14),VLOOKUP(CONCATENATE(LEFT($N33,2),"L"),$R$63:$T$91,3,FALSE),0)+IF(AND($N33="O3/CP",$N$14=C$18),VLOOKUP("O3",$R$63:$T$91,3,FALSE)+VLOOKUP("CP",$R$63:$T$91,3,FALSE),0)+IF(AND($O33&lt;&gt;"",$O33&lt;&gt;"--",$O33&lt;&gt;"O3/CP",$O$14=C$18),IF(LEFT($O33,1)="P",VLOOKUP(CONCATENATE(LEFT($O33,2),"H"),$R$63:$T$91,3,FALSE),VLOOKUP($O33,$R$63:$T$91,3,FALSE)))+IF(AND($O33&lt;&gt;"",$O33&lt;&gt;"O3/CP",$O$15=C$18,MID($O33,4,1)="2",$O$15&lt;&gt;$O$14),VLOOKUP(CONCATENATE(LEFT($O33,2),"L"),$R$63:$T$91,3,FALSE),0)+IF(AND($O33="O3/CP",$O$14=C$18),VLOOKUP("O3",$R$63:$T$91,3,FALSE)+VLOOKUP("CP",$R$63:$T$91,3,FALSE),0)+IF(AND($P33&lt;&gt;"",$P33&lt;&gt;"--",$P33&lt;&gt;"O3/CP",$P$14=C$18),IF(LEFT($P33,1)="P",VLOOKUP(CONCATENATE(LEFT($P33,2),"H"),$R$63:$T$91,3,FALSE),VLOOKUP($P33,$R$63:$T$91,3,FALSE)))+IF(AND($P33&lt;&gt;"",$P33&lt;&gt;"O3/CP",$P$15=C$18,MID($P33,4,1)="2",$P$15&lt;&gt;$P$14),VLOOKUP(CONCATENATE(LEFT($P33,2),"L"),$R$63:$T$91,3,FALSE),0)+IF(AND($P33="O3/CP",$P$14=C$18),VLOOKUP("O3",$R$63:$T$91,3,FALSE)+VLOOKUP("CP",$R$63:$T$91,3,FALSE),0)+IF(AND($Q33&lt;&gt;"",$Q33&lt;&gt;"--",$Q33&lt;&gt;"O3/CP",$Q$14=C$18),IF(LEFT($Q33,1)="P",VLOOKUP(CONCATENATE(LEFT($Q33,2),"H"),$R$63:$T$91,3,FALSE),VLOOKUP($Q33,$R$63:$T$91,3,FALSE)))+IF(AND($Q33&lt;&gt;"",$Q33&lt;&gt;"O3/CP",$Q$15=C$18,MID($Q33,4,1)="2",$Q$15&lt;&gt;$Q$14),VLOOKUP(CONCATENATE(LEFT($Q33,2),"L"),$R$63:$T$91,3,FALSE),0)+IF(AND($Q33="O3/CP",$Q$14=C$18),VLOOKUP("O3",$R$63:$T$91,3,FALSE)+VLOOKUP("CP",$R$63:$T$91,3,FALSE),0)+IF(AND($R33&lt;&gt;"",$R33&lt;&gt;"--",$R33&lt;&gt;"O3/CP",$R$14=C$18),IF(LEFT($R33,1)="P",VLOOKUP(CONCATENATE(LEFT($R33,2),"H"),$R$63:$T$91,3,FALSE),VLOOKUP($R33,$R$63:$T$91,3,FALSE)))+IF(AND($R33&lt;&gt;"",$R33&lt;&gt;"O3/CP",$R$15=C$18,MID($R33,4,1)="2",$R$15&lt;&gt;$R$14),VLOOKUP(CONCATENATE(LEFT($R33,2),"L"),$R$63:$T$91,3,FALSE),0)+IF(AND($R33="O3/CP",$R$14=C$18),VLOOKUP("O3",$R$63:$T$91,3,FALSE)+VLOOKUP("CP",$R$63:$T$91,3,FALSE),0)+IF(AND($S33&lt;&gt;"",$S33&lt;&gt;"--",$S33&lt;&gt;"O3/CP",$S$14=C$18),IF(LEFT($S33,1)="P",VLOOKUP(CONCATENATE(LEFT($S33,2),"H"),$R$63:$T$91,3,FALSE),VLOOKUP($S33,$R$63:$T$91,3,FALSE)))+IF(AND($S33&lt;&gt;"",$S33&lt;&gt;"O3/CP",$S$15=C$18,MID($S33,4,1)="2",$S$15&lt;&gt;$S$14),VLOOKUP(CONCATENATE(LEFT($S33,2),"L"),$R$63:$T$91,3,FALSE),0)+IF(AND($S33="O3/CP",$S$14=C$18),VLOOKUP("O3",$R$63:$T$91,3,FALSE)+VLOOKUP("CP",$R$63:$T$91,3,FALSE),0)+IF(AND($T33&lt;&gt;"",$T33&lt;&gt;"--",$T33&lt;&gt;"O3/CP",$T$14=C$18),IF(LEFT($T33,1)="P",VLOOKUP(CONCATENATE(LEFT($T33,2),"H"),$R$63:$T$91,3,FALSE),VLOOKUP($T33,$R$63:$T$91,3,FALSE)))+IF(AND($T33&lt;&gt;"",$T33&lt;&gt;"O3/CP",$T$15=C$18,MID($T33,4,1)="2",$T$15&lt;&gt;$T$14),VLOOKUP(CONCATENATE(LEFT($T33,2),"L"),$R$63:$T$91,3,FALSE),0)+IF(AND($T33="O3/CP",$T$14=C$18),VLOOKUP("O3",$R$63:$T$91,3,FALSE)+VLOOKUP("CP",$R$63:$T$91,3,FALSE),0)+IF(AND($U33&lt;&gt;"",$U33&lt;&gt;"--",$U33&lt;&gt;"O3/CP",$U$14=C$18),IF(LEFT($U33,1)="P",VLOOKUP(CONCATENATE(LEFT($U33,2),"H"),$R$63:$T$91,3,FALSE),VLOOKUP($U33,$R$63:$T$91,3,FALSE)))+IF(AND($U33&lt;&gt;"",$U33&lt;&gt;"O3/CP",$U$15=C$18,MID($U33,4,1)="2",$U$15&lt;&gt;$U$14),VLOOKUP(CONCATENATE(LEFT($U33,2),"L"),$R$63:$T$91,3,FALSE),0)+IF(AND($U33="O3/CP",$T$14=C$18),VLOOKUP("O3",$R$63:$T$91,3,FALSE)+VLOOKUP("CP",$R$63:$T$91,3,FALSE),0)+IF(AND($V33&lt;&gt;"",$V33&lt;&gt;"--",$V33&lt;&gt;"O3/CP",$V$14=C$18),IF(LEFT($V33,1)="P",VLOOKUP(CONCATENATE(LEFT($V33,2),"H"),$R$63:$T$91,3,FALSE),VLOOKUP($V33,$R$63:$T$91,3,FALSE)))+IF(AND($V33&lt;&gt;"",$V33&lt;&gt;"O3/CP",$V$15=C$18,MID($V33,4,1)="2",$V$15&lt;&gt;$V$14),VLOOKUP(CONCATENATE(LEFT($V33,2),"L"),$R$63:$T$91,3,FALSE),0)+IF(AND($V33="O3/CP",$V$14=C$18),VLOOKUP("O3",$R$63:$T$91,3,FALSE)+VLOOKUP("CP",$R$63:$T$91,3,FALSE),0)+IF(AND($W33&lt;&gt;"",$W33&lt;&gt;"--",$W33&lt;&gt;"O3/CP",$W$14=C$18),IF(LEFT($W33,1)="P",VLOOKUP(CONCATENATE(LEFT($W33,2),"H"),$R$63:$T$91,3,FALSE),VLOOKUP($W33,$R$63:$T$91,3,FALSE)))+IF(AND($W33&lt;&gt;"",$W33&lt;&gt;"O3/CP",$W$15=C$18,MID($W33,4,1)="2",$W$15&lt;&gt;$W$14),VLOOKUP(CONCATENATE(LEFT($W33,2),"L"),$R$63:$T$91,3,FALSE),0)+IF(AND($W33="O3/CP",$W$14=C$18),VLOOKUP("O3",$R$63:$T$91,3,FALSE)+VLOOKUP("CP",$R$63:$T$91,3,FALSE),0)+IF(AND($X33&lt;&gt;"",$X33&lt;&gt;"--",$X33&lt;&gt;"O3/CP",$X$14=C$18),IF(LEFT($X33,1)="P",VLOOKUP(CONCATENATE(LEFT($X33,2),"H"),$R$63:$T$91,3,FALSE),VLOOKUP($X33,$R$63:$T$91,3,FALSE)))+IF(AND($X33&lt;&gt;"",$X33&lt;&gt;"O3/CP",$X$15=C$18,MID($X33,4,1)="2",$X$15&lt;&gt;$X$14),VLOOKUP(CONCATENATE(LEFT($X33,2),"L"),$R$63:$T$91,3,FALSE),0)+IF(AND($X33="O3/CP",$X$14=C$18),VLOOKUP("O3",$R$63:$T$91,3,FALSE)+VLOOKUP("CP",$R$63:$T$91,3,FALSE),0)+IF(AND($Y33&lt;&gt;"",$Y33&lt;&gt;"--",$Y33&lt;&gt;"O3/CP",$Y$14=C$18),IF(LEFT($Y33,1)="P",VLOOKUP(CONCATENATE(LEFT($Y33,2),"H"),$R$63:$T$91,3,FALSE),VLOOKUP($Y33,$R$63:$T$91,3,FALSE)))+IF(AND($Y33&lt;&gt;"",$Y33&lt;&gt;"O3/CP",$Y$15=C$18,MID($Y33,4,1)="2",$Y$15&lt;&gt;$Y$14),VLOOKUP(CONCATENATE(LEFT($Y33,2),"L"),$R$63:$T$91,3,FALSE),0)+IF(AND($Y33="O3/CP",$Y$14=C$18),VLOOKUP("O3",$R$63:$T$91,3,FALSE)+VLOOKUP("CP",$R$63:$T$91,3,FALSE),0)+IF(AND($K$6="CE",'[3]Supply Attribution'!$G$20=C$18),LEFT($S$90,2),0)+IF(AND($X$86&lt;&gt;"Not Set",$X$87=C$18),$X$86,0)</f>
        <v>0</v>
      </c>
      <c r="D33" s="271">
        <f>IF(AND($K33&lt;&gt;"",$K33&lt;&gt;"--",$K33&lt;&gt;"O3/CP",$K$14=D$18),IF(LEFT($K33,1)="P",VLOOKUP(CONCATENATE(LEFT($K33,2),"H"),$R$63:$T$91,3,FALSE),VLOOKUP($K33,$R$63:$T$91,3,FALSE)))+IF(AND($K33&lt;&gt;"",$K33&lt;&gt;"O3/CP",$K$15=D$18,MID($K33,4,1)="2",$K$15&lt;&gt;$K$14),VLOOKUP(CONCATENATE(LEFT($K33,2),"L"),$R$63:$T$91,3,FALSE),0)+IF(AND($K33="O3/CP",$K$14=D$18),VLOOKUP("O3",$R$63:$T$91,3,FALSE)+VLOOKUP("CP",$R$63:$T$91,3,FALSE),0)+IF(AND($L33&lt;&gt;"",$L33&lt;&gt;"--",$L33&lt;&gt;"O3/CP",$L$14=D$18),IF(LEFT($L33,1)="P",VLOOKUP(CONCATENATE(LEFT($L33,2),"H"),$R$63:$T$91,3,FALSE),VLOOKUP($L33,$R$63:$T$91,3,FALSE)))+IF(AND($L33&lt;&gt;"",$L33&lt;&gt;"O3/CP",$L$15=D$18,MID($L33,4,1)="2",$L$15&lt;&gt;$L$14),VLOOKUP(CONCATENATE(LEFT($L33,2),"L"),$R$63:$T$91,3,FALSE),0)+IF(AND($L33="O3/CP",$L$14=D$18),VLOOKUP("O3",$R$63:$T$91,3,FALSE)+VLOOKUP("CP",$R$63:$T$91,3,FALSE),0)+IF(AND($M33&lt;&gt;"",$M33&lt;&gt;"--",$M33&lt;&gt;"O3/CP",$M$14=D$18),IF(LEFT($M33,1)="P",VLOOKUP(CONCATENATE(LEFT($M33,2),"H"),$R$63:$T$91,3,FALSE),VLOOKUP($M33,$R$63:$T$91,3,FALSE)))+IF(AND($M33&lt;&gt;"",$M33&lt;&gt;"O3/CP",$M$15=D$18,MID($M33,4,1)="2",$M$15&lt;&gt;$M$14),VLOOKUP(CONCATENATE(LEFT($M33,2),"L"),$R$63:$T$91,3,FALSE),0)+IF(AND($M33="O3/CP",$M$14=D$18),VLOOKUP("O3",$R$63:$T$91,3,FALSE)+VLOOKUP("CP",$R$63:$T$91,3,FALSE),0)+IF(AND($N33&lt;&gt;"",$N33&lt;&gt;"--",$N33&lt;&gt;"O3/CP",$N$14=D$18),IF(LEFT($N33,1)="P",VLOOKUP(CONCATENATE(LEFT($N33,2),"H"),$R$63:$T$91,3,FALSE),VLOOKUP($N33,$R$63:$T$91,3,FALSE)))+IF(AND($N33&lt;&gt;"",$N33&lt;&gt;"O3/CP",$N$15=D$18,MID($N33,4,1)="2",$N$15&lt;&gt;$N$14),VLOOKUP(CONCATENATE(LEFT($N33,2),"L"),$R$63:$T$91,3,FALSE),0)+IF(AND($N33="O3/CP",$N$14=D$18),VLOOKUP("O3",$R$63:$T$91,3,FALSE)+VLOOKUP("CP",$R$63:$T$91,3,FALSE),0)+IF(AND($O33&lt;&gt;"",$O33&lt;&gt;"--",$O33&lt;&gt;"O3/CP",$O$14=D$18),IF(LEFT($O33,1)="P",VLOOKUP(CONCATENATE(LEFT($O33,2),"H"),$R$63:$T$91,3,FALSE),VLOOKUP($O33,$R$63:$T$91,3,FALSE)))+IF(AND($O33&lt;&gt;"",$O33&lt;&gt;"O3/CP",$O$15=D$18,MID($O33,4,1)="2",$O$15&lt;&gt;$O$14),VLOOKUP(CONCATENATE(LEFT($O33,2),"L"),$R$63:$T$91,3,FALSE),0)+IF(AND($O33="O3/CP",$O$14=D$18),VLOOKUP("O3",$R$63:$T$91,3,FALSE)+VLOOKUP("CP",$R$63:$T$91,3,FALSE),0)+IF(AND($P33&lt;&gt;"",$P33&lt;&gt;"--",$P33&lt;&gt;"O3/CP",$P$14=D$18),IF(LEFT($P33,1)="P",VLOOKUP(CONCATENATE(LEFT($P33,2),"H"),$R$63:$T$91,3,FALSE),VLOOKUP($P33,$R$63:$T$91,3,FALSE)))+IF(AND($P33&lt;&gt;"",$P33&lt;&gt;"O3/CP",$P$15=D$18,MID($P33,4,1)="2",$P$15&lt;&gt;$P$14),VLOOKUP(CONCATENATE(LEFT($P33,2),"L"),$R$63:$T$91,3,FALSE),0)+IF(AND($P33="O3/CP",$P$14=D$18),VLOOKUP("O3",$R$63:$T$91,3,FALSE)+VLOOKUP("CP",$R$63:$T$91,3,FALSE),0)+IF(AND($Q33&lt;&gt;"",$Q33&lt;&gt;"--",$Q33&lt;&gt;"O3/CP",$Q$14=D$18),IF(LEFT($Q33,1)="P",VLOOKUP(CONCATENATE(LEFT($Q33,2),"H"),$R$63:$T$91,3,FALSE),VLOOKUP($Q33,$R$63:$T$91,3,FALSE)))+IF(AND($Q33&lt;&gt;"",$Q33&lt;&gt;"O3/CP",$Q$15=D$18,MID($Q33,4,1)="2",$Q$15&lt;&gt;$Q$14),VLOOKUP(CONCATENATE(LEFT($Q33,2),"L"),$R$63:$T$91,3,FALSE),0)+IF(AND($Q33="O3/CP",$Q$14=D$18),VLOOKUP("O3",$R$63:$T$91,3,FALSE)+VLOOKUP("CP",$R$63:$T$91,3,FALSE),0)+IF(AND($R33&lt;&gt;"",$R33&lt;&gt;"--",$R33&lt;&gt;"O3/CP",$R$14=D$18),IF(LEFT($R33,1)="P",VLOOKUP(CONCATENATE(LEFT($R33,2),"H"),$R$63:$T$91,3,FALSE),VLOOKUP($R33,$R$63:$T$91,3,FALSE)))+IF(AND($R33&lt;&gt;"",$R33&lt;&gt;"O3/CP",$R$15=D$18,MID($R33,4,1)="2",$R$15&lt;&gt;$R$14),VLOOKUP(CONCATENATE(LEFT($R33,2),"L"),$R$63:$T$91,3,FALSE),0)+IF(AND($R33="O3/CP",$R$14=D$18),VLOOKUP("O3",$R$63:$T$91,3,FALSE)+VLOOKUP("CP",$R$63:$T$91,3,FALSE),0)+IF(AND($S33&lt;&gt;"",$S33&lt;&gt;"--",$S33&lt;&gt;"O3/CP",$S$14=D$18),IF(LEFT($S33,1)="P",VLOOKUP(CONCATENATE(LEFT($S33,2),"H"),$R$63:$T$91,3,FALSE),VLOOKUP($S33,$R$63:$T$91,3,FALSE)))+IF(AND($S33&lt;&gt;"",$S33&lt;&gt;"O3/CP",$S$15=D$18,MID($S33,4,1)="2",$S$15&lt;&gt;$S$14),VLOOKUP(CONCATENATE(LEFT($S33,2),"L"),$R$63:$T$91,3,FALSE),0)+IF(AND($S33="O3/CP",$S$14=D$18),VLOOKUP("O3",$R$63:$T$91,3,FALSE)+VLOOKUP("CP",$R$63:$T$91,3,FALSE),0)+IF(AND($T33&lt;&gt;"",$T33&lt;&gt;"--",$T33&lt;&gt;"O3/CP",$T$14=D$18),IF(LEFT($T33,1)="P",VLOOKUP(CONCATENATE(LEFT($T33,2),"H"),$R$63:$T$91,3,FALSE),VLOOKUP($T33,$R$63:$T$91,3,FALSE)))+IF(AND($T33&lt;&gt;"",$T33&lt;&gt;"O3/CP",$T$15=D$18,MID($T33,4,1)="2",$T$15&lt;&gt;$T$14),VLOOKUP(CONCATENATE(LEFT($T33,2),"L"),$R$63:$T$91,3,FALSE),0)+IF(AND($T33="O3/CP",$T$14=D$18),VLOOKUP("O3",$R$63:$T$91,3,FALSE)+VLOOKUP("CP",$R$63:$T$91,3,FALSE),0)+IF(AND($U33&lt;&gt;"",$U33&lt;&gt;"--",$U33&lt;&gt;"O3/CP",$U$14=D$18),IF(LEFT($U33,1)="P",VLOOKUP(CONCATENATE(LEFT($U33,2),"H"),$R$63:$T$91,3,FALSE),VLOOKUP($U33,$R$63:$T$91,3,FALSE)))+IF(AND($U33&lt;&gt;"",$U33&lt;&gt;"O3/CP",$U$15=D$18,MID($U33,4,1)="2",$U$15&lt;&gt;$U$14),VLOOKUP(CONCATENATE(LEFT($U33,2),"L"),$R$63:$T$91,3,FALSE),0)+IF(AND($U33="O3/CP",$T$14=D$18),VLOOKUP("O3",$R$63:$T$91,3,FALSE)+VLOOKUP("CP",$R$63:$T$91,3,FALSE),0)+IF(AND($V33&lt;&gt;"",$V33&lt;&gt;"--",$V33&lt;&gt;"O3/CP",$V$14=D$18),IF(LEFT($V33,1)="P",VLOOKUP(CONCATENATE(LEFT($V33,2),"H"),$R$63:$T$91,3,FALSE),VLOOKUP($V33,$R$63:$T$91,3,FALSE)))+IF(AND($V33&lt;&gt;"",$V33&lt;&gt;"O3/CP",$V$15=D$18,MID($V33,4,1)="2",$V$15&lt;&gt;$V$14),VLOOKUP(CONCATENATE(LEFT($V33,2),"L"),$R$63:$T$91,3,FALSE),0)+IF(AND($V33="O3/CP",$V$14=D$18),VLOOKUP("O3",$R$63:$T$91,3,FALSE)+VLOOKUP("CP",$R$63:$T$91,3,FALSE),0)+IF(AND($W33&lt;&gt;"",$W33&lt;&gt;"--",$W33&lt;&gt;"O3/CP",$W$14=D$18),IF(LEFT($W33,1)="P",VLOOKUP(CONCATENATE(LEFT($W33,2),"H"),$R$63:$T$91,3,FALSE),VLOOKUP($W33,$R$63:$T$91,3,FALSE)))+IF(AND($W33&lt;&gt;"",$W33&lt;&gt;"O3/CP",$W$15=D$18,MID($W33,4,1)="2",$W$15&lt;&gt;$W$14),VLOOKUP(CONCATENATE(LEFT($W33,2),"L"),$R$63:$T$91,3,FALSE),0)+IF(AND($W33="O3/CP",$W$14=D$18),VLOOKUP("O3",$R$63:$T$91,3,FALSE)+VLOOKUP("CP",$R$63:$T$91,3,FALSE),0)+IF(AND($X33&lt;&gt;"",$X33&lt;&gt;"--",$X33&lt;&gt;"O3/CP",$X$14=D$18),IF(LEFT($X33,1)="P",VLOOKUP(CONCATENATE(LEFT($X33,2),"H"),$R$63:$T$91,3,FALSE),VLOOKUP($X33,$R$63:$T$91,3,FALSE)))+IF(AND($X33&lt;&gt;"",$X33&lt;&gt;"O3/CP",$X$15=D$18,MID($X33,4,1)="2",$X$15&lt;&gt;$X$14),VLOOKUP(CONCATENATE(LEFT($X33,2),"L"),$R$63:$T$91,3,FALSE),0)+IF(AND($X33="O3/CP",$X$14=D$18),VLOOKUP("O3",$R$63:$T$91,3,FALSE)+VLOOKUP("CP",$R$63:$T$91,3,FALSE),0)+IF(AND($Y33&lt;&gt;"",$Y33&lt;&gt;"--",$Y33&lt;&gt;"O3/CP",$Y$14=D$18),IF(LEFT($Y33,1)="P",VLOOKUP(CONCATENATE(LEFT($Y33,2),"H"),$R$63:$T$91,3,FALSE),VLOOKUP($Y33,$R$63:$T$91,3,FALSE)))+IF(AND($Y33&lt;&gt;"",$Y33&lt;&gt;"O3/CP",$Y$15=D$18,MID($Y33,4,1)="2",$Y$15&lt;&gt;$Y$14),VLOOKUP(CONCATENATE(LEFT($Y33,2),"L"),$R$63:$T$91,3,FALSE),0)+IF(AND($Y33="O3/CP",$Y$14=D$18),VLOOKUP("O3",$R$63:$T$91,3,FALSE)+VLOOKUP("CP",$R$63:$T$91,3,FALSE),0)+IF(AND($K$6="CE",'[3]Supply Attribution'!$G$20=D$18),LEFT($S$90,2),0)+IF(AND($X$86&lt;&gt;"Not Set",$X$87=D$18),$X$86,0)</f>
        <v>0</v>
      </c>
      <c r="E33" s="271">
        <f>IF(AND($K33&lt;&gt;"",$K33&lt;&gt;"--",$K33&lt;&gt;"O3/CP",$K$14=E$18),IF(LEFT($K33,1)="P",VLOOKUP(CONCATENATE(LEFT($K33,2),"H"),$R$63:$T$91,3,FALSE),VLOOKUP($K33,$R$63:$T$91,3,FALSE)))+IF(AND($K33&lt;&gt;"",$K33&lt;&gt;"O3/CP",$K$15=E$18,MID($K33,4,1)="2",$K$15&lt;&gt;$K$14),VLOOKUP(CONCATENATE(LEFT($K33,2),"L"),$R$63:$T$91,3,FALSE),0)+IF(AND($K33="O3/CP",$K$14=E$18),VLOOKUP("O3",$R$63:$T$91,3,FALSE)+VLOOKUP("CP",$R$63:$T$91,3,FALSE),0)+IF(AND($L33&lt;&gt;"",$L33&lt;&gt;"--",$L33&lt;&gt;"O3/CP",$L$14=E$18),IF(LEFT($L33,1)="P",VLOOKUP(CONCATENATE(LEFT($L33,2),"H"),$R$63:$T$91,3,FALSE),VLOOKUP($L33,$R$63:$T$91,3,FALSE)))+IF(AND($L33&lt;&gt;"",$L33&lt;&gt;"O3/CP",$L$15=E$18,MID($L33,4,1)="2",$L$15&lt;&gt;$L$14),VLOOKUP(CONCATENATE(LEFT($L33,2),"L"),$R$63:$T$91,3,FALSE),0)+IF(AND($L33="O3/CP",$L$14=E$18),VLOOKUP("O3",$R$63:$T$91,3,FALSE)+VLOOKUP("CP",$R$63:$T$91,3,FALSE),0)+IF(AND($M33&lt;&gt;"",$M33&lt;&gt;"--",$M33&lt;&gt;"O3/CP",$M$14=E$18),IF(LEFT($M33,1)="P",VLOOKUP(CONCATENATE(LEFT($M33,2),"H"),$R$63:$T$91,3,FALSE),VLOOKUP($M33,$R$63:$T$91,3,FALSE)))+IF(AND($M33&lt;&gt;"",$M33&lt;&gt;"O3/CP",$M$15=E$18,MID($M33,4,1)="2",$M$15&lt;&gt;$M$14),VLOOKUP(CONCATENATE(LEFT($M33,2),"L"),$R$63:$T$91,3,FALSE),0)+IF(AND($M33="O3/CP",$M$14=E$18),VLOOKUP("O3",$R$63:$T$91,3,FALSE)+VLOOKUP("CP",$R$63:$T$91,3,FALSE),0)+IF(AND($N33&lt;&gt;"",$N33&lt;&gt;"--",$N33&lt;&gt;"O3/CP",$N$14=E$18),IF(LEFT($N33,1)="P",VLOOKUP(CONCATENATE(LEFT($N33,2),"H"),$R$63:$T$91,3,FALSE),VLOOKUP($N33,$R$63:$T$91,3,FALSE)))+IF(AND($N33&lt;&gt;"",$N33&lt;&gt;"O3/CP",$N$15=E$18,MID($N33,4,1)="2",$N$15&lt;&gt;$N$14),VLOOKUP(CONCATENATE(LEFT($N33,2),"L"),$R$63:$T$91,3,FALSE),0)+IF(AND($N33="O3/CP",$N$14=E$18),VLOOKUP("O3",$R$63:$T$91,3,FALSE)+VLOOKUP("CP",$R$63:$T$91,3,FALSE),0)+IF(AND($O33&lt;&gt;"",$O33&lt;&gt;"--",$O33&lt;&gt;"O3/CP",$O$14=E$18),IF(LEFT($O33,1)="P",VLOOKUP(CONCATENATE(LEFT($O33,2),"H"),$R$63:$T$91,3,FALSE),VLOOKUP($O33,$R$63:$T$91,3,FALSE)))+IF(AND($O33&lt;&gt;"",$O33&lt;&gt;"O3/CP",$O$15=E$18,MID($O33,4,1)="2",$O$15&lt;&gt;$O$14),VLOOKUP(CONCATENATE(LEFT($O33,2),"L"),$R$63:$T$91,3,FALSE),0)+IF(AND($O33="O3/CP",$O$14=E$18),VLOOKUP("O3",$R$63:$T$91,3,FALSE)+VLOOKUP("CP",$R$63:$T$91,3,FALSE),0)+IF(AND($P33&lt;&gt;"",$P33&lt;&gt;"--",$P33&lt;&gt;"O3/CP",$P$14=E$18),IF(LEFT($P33,1)="P",VLOOKUP(CONCATENATE(LEFT($P33,2),"H"),$R$63:$T$91,3,FALSE),VLOOKUP($P33,$R$63:$T$91,3,FALSE)))+IF(AND($P33&lt;&gt;"",$P33&lt;&gt;"O3/CP",$P$15=E$18,MID($P33,4,1)="2",$P$15&lt;&gt;$P$14),VLOOKUP(CONCATENATE(LEFT($P33,2),"L"),$R$63:$T$91,3,FALSE),0)+IF(AND($P33="O3/CP",$P$14=E$18),VLOOKUP("O3",$R$63:$T$91,3,FALSE)+VLOOKUP("CP",$R$63:$T$91,3,FALSE),0)+IF(AND($Q33&lt;&gt;"",$Q33&lt;&gt;"--",$Q33&lt;&gt;"O3/CP",$Q$14=E$18),IF(LEFT($Q33,1)="P",VLOOKUP(CONCATENATE(LEFT($Q33,2),"H"),$R$63:$T$91,3,FALSE),VLOOKUP($Q33,$R$63:$T$91,3,FALSE)))+IF(AND($Q33&lt;&gt;"",$Q33&lt;&gt;"O3/CP",$Q$15=E$18,MID($Q33,4,1)="2",$Q$15&lt;&gt;$Q$14),VLOOKUP(CONCATENATE(LEFT($Q33,2),"L"),$R$63:$T$91,3,FALSE),0)+IF(AND($Q33="O3/CP",$Q$14=E$18),VLOOKUP("O3",$R$63:$T$91,3,FALSE)+VLOOKUP("CP",$R$63:$T$91,3,FALSE),0)+IF(AND($R33&lt;&gt;"",$R33&lt;&gt;"--",$R33&lt;&gt;"O3/CP",$R$14=E$18),IF(LEFT($R33,1)="P",VLOOKUP(CONCATENATE(LEFT($R33,2),"H"),$R$63:$T$91,3,FALSE),VLOOKUP($R33,$R$63:$T$91,3,FALSE)))+IF(AND($R33&lt;&gt;"",$R33&lt;&gt;"O3/CP",$R$15=E$18,MID($R33,4,1)="2",$R$15&lt;&gt;$R$14),VLOOKUP(CONCATENATE(LEFT($R33,2),"L"),$R$63:$T$91,3,FALSE),0)+IF(AND($R33="O3/CP",$R$14=E$18),VLOOKUP("O3",$R$63:$T$91,3,FALSE)+VLOOKUP("CP",$R$63:$T$91,3,FALSE),0)+IF(AND($S33&lt;&gt;"",$S33&lt;&gt;"--",$S33&lt;&gt;"O3/CP",$S$14=E$18),IF(LEFT($S33,1)="P",VLOOKUP(CONCATENATE(LEFT($S33,2),"H"),$R$63:$T$91,3,FALSE),VLOOKUP($S33,$R$63:$T$91,3,FALSE)))+IF(AND($S33&lt;&gt;"",$S33&lt;&gt;"O3/CP",$S$15=E$18,MID($S33,4,1)="2",$S$15&lt;&gt;$S$14),VLOOKUP(CONCATENATE(LEFT($S33,2),"L"),$R$63:$T$91,3,FALSE),0)+IF(AND($S33="O3/CP",$S$14=E$18),VLOOKUP("O3",$R$63:$T$91,3,FALSE)+VLOOKUP("CP",$R$63:$T$91,3,FALSE),0)+IF(AND($T33&lt;&gt;"",$T33&lt;&gt;"--",$T33&lt;&gt;"O3/CP",$T$14=E$18),IF(LEFT($T33,1)="P",VLOOKUP(CONCATENATE(LEFT($T33,2),"H"),$R$63:$T$91,3,FALSE),VLOOKUP($T33,$R$63:$T$91,3,FALSE)))+IF(AND($T33&lt;&gt;"",$T33&lt;&gt;"O3/CP",$T$15=E$18,MID($T33,4,1)="2",$T$15&lt;&gt;$T$14),VLOOKUP(CONCATENATE(LEFT($T33,2),"L"),$R$63:$T$91,3,FALSE),0)+IF(AND($T33="O3/CP",$T$14=E$18),VLOOKUP("O3",$R$63:$T$91,3,FALSE)+VLOOKUP("CP",$R$63:$T$91,3,FALSE),0)+IF(AND($U33&lt;&gt;"",$U33&lt;&gt;"--",$U33&lt;&gt;"O3/CP",$U$14=E$18),IF(LEFT($U33,1)="P",VLOOKUP(CONCATENATE(LEFT($U33,2),"H"),$R$63:$T$91,3,FALSE),VLOOKUP($U33,$R$63:$T$91,3,FALSE)))+IF(AND($U33&lt;&gt;"",$U33&lt;&gt;"O3/CP",$U$15=E$18,MID($U33,4,1)="2",$U$15&lt;&gt;$U$14),VLOOKUP(CONCATENATE(LEFT($U33,2),"L"),$R$63:$T$91,3,FALSE),0)+IF(AND($U33="O3/CP",$T$14=E$18),VLOOKUP("O3",$R$63:$T$91,3,FALSE)+VLOOKUP("CP",$R$63:$T$91,3,FALSE),0)+IF(AND($V33&lt;&gt;"",$V33&lt;&gt;"--",$V33&lt;&gt;"O3/CP",$V$14=E$18),IF(LEFT($V33,1)="P",VLOOKUP(CONCATENATE(LEFT($V33,2),"H"),$R$63:$T$91,3,FALSE),VLOOKUP($V33,$R$63:$T$91,3,FALSE)))+IF(AND($V33&lt;&gt;"",$V33&lt;&gt;"O3/CP",$V$15=E$18,MID($V33,4,1)="2",$V$15&lt;&gt;$V$14),VLOOKUP(CONCATENATE(LEFT($V33,2),"L"),$R$63:$T$91,3,FALSE),0)+IF(AND($V33="O3/CP",$V$14=E$18),VLOOKUP("O3",$R$63:$T$91,3,FALSE)+VLOOKUP("CP",$R$63:$T$91,3,FALSE),0)+IF(AND($W33&lt;&gt;"",$W33&lt;&gt;"--",$W33&lt;&gt;"O3/CP",$W$14=E$18),IF(LEFT($W33,1)="P",VLOOKUP(CONCATENATE(LEFT($W33,2),"H"),$R$63:$T$91,3,FALSE),VLOOKUP($W33,$R$63:$T$91,3,FALSE)))+IF(AND($W33&lt;&gt;"",$W33&lt;&gt;"O3/CP",$W$15=E$18,MID($W33,4,1)="2",$W$15&lt;&gt;$W$14),VLOOKUP(CONCATENATE(LEFT($W33,2),"L"),$R$63:$T$91,3,FALSE),0)+IF(AND($W33="O3/CP",$W$14=E$18),VLOOKUP("O3",$R$63:$T$91,3,FALSE)+VLOOKUP("CP",$R$63:$T$91,3,FALSE),0)+IF(AND($X33&lt;&gt;"",$X33&lt;&gt;"--",$X33&lt;&gt;"O3/CP",$X$14=E$18),IF(LEFT($X33,1)="P",VLOOKUP(CONCATENATE(LEFT($X33,2),"H"),$R$63:$T$91,3,FALSE),VLOOKUP($X33,$R$63:$T$91,3,FALSE)))+IF(AND($X33&lt;&gt;"",$X33&lt;&gt;"O3/CP",$X$15=E$18,MID($X33,4,1)="2",$X$15&lt;&gt;$X$14),VLOOKUP(CONCATENATE(LEFT($X33,2),"L"),$R$63:$T$91,3,FALSE),0)+IF(AND($X33="O3/CP",$X$14=E$18),VLOOKUP("O3",$R$63:$T$91,3,FALSE)+VLOOKUP("CP",$R$63:$T$91,3,FALSE),0)+IF(AND($Y33&lt;&gt;"",$Y33&lt;&gt;"--",$Y33&lt;&gt;"O3/CP",$Y$14=E$18),IF(LEFT($Y33,1)="P",VLOOKUP(CONCATENATE(LEFT($Y33,2),"H"),$R$63:$T$91,3,FALSE),VLOOKUP($Y33,$R$63:$T$91,3,FALSE)))+IF(AND($Y33&lt;&gt;"",$Y33&lt;&gt;"O3/CP",$Y$15=E$18,MID($Y33,4,1)="2",$Y$15&lt;&gt;$Y$14),VLOOKUP(CONCATENATE(LEFT($Y33,2),"L"),$R$63:$T$91,3,FALSE),0)+IF(AND($Y33="O3/CP",$Y$14=E$18),VLOOKUP("O3",$R$63:$T$91,3,FALSE)+VLOOKUP("CP",$R$63:$T$91,3,FALSE),0)+IF(AND($K$6="CE",'[3]Supply Attribution'!$G$20=E$18),LEFT($S$90,2),0)+IF(AND($X$86&lt;&gt;"Not Set",$X$87=E$18),$X$86,0)</f>
        <v>0</v>
      </c>
      <c r="F33" s="272">
        <f>IF(AND($K33&lt;&gt;"",$K33&lt;&gt;"--",$K33&lt;&gt;"O3/CP",$K$14=F$18),IF(LEFT($K33,1)="P",VLOOKUP(CONCATENATE(LEFT($K33,2),"H"),$R$63:$T$91,3,FALSE),VLOOKUP($K33,$R$63:$T$91,3,FALSE)))+IF(AND($K33&lt;&gt;"",$K33&lt;&gt;"O3/CP",$K$15=F$18,MID($K33,4,1)="2",$K$15&lt;&gt;$K$14),VLOOKUP(CONCATENATE(LEFT($K33,2),"L"),$R$63:$T$91,3,FALSE),0)+IF(AND($K33="O3/CP",$K$14=F$18),VLOOKUP("O3",$R$63:$T$91,3,FALSE)+VLOOKUP("CP",$R$63:$T$91,3,FALSE),0)+IF(AND($L33&lt;&gt;"",$L33&lt;&gt;"--",$L33&lt;&gt;"O3/CP",$L$14=F$18),IF(LEFT($L33,1)="P",VLOOKUP(CONCATENATE(LEFT($L33,2),"H"),$R$63:$T$91,3,FALSE),VLOOKUP($L33,$R$63:$T$91,3,FALSE)))+IF(AND($L33&lt;&gt;"",$L33&lt;&gt;"O3/CP",$L$15=F$18,MID($L33,4,1)="2",$L$15&lt;&gt;$L$14),VLOOKUP(CONCATENATE(LEFT($L33,2),"L"),$R$63:$T$91,3,FALSE),0)+IF(AND($L33="O3/CP",$L$14=F$18),VLOOKUP("O3",$R$63:$T$91,3,FALSE)+VLOOKUP("CP",$R$63:$T$91,3,FALSE),0)+IF(AND($M33&lt;&gt;"",$M33&lt;&gt;"--",$M33&lt;&gt;"O3/CP",$M$14=F$18),IF(LEFT($M33,1)="P",VLOOKUP(CONCATENATE(LEFT($M33,2),"H"),$R$63:$T$91,3,FALSE),VLOOKUP($M33,$R$63:$T$91,3,FALSE)))+IF(AND($M33&lt;&gt;"",$M33&lt;&gt;"O3/CP",$M$15=F$18,MID($M33,4,1)="2",$M$15&lt;&gt;$M$14),VLOOKUP(CONCATENATE(LEFT($M33,2),"L"),$R$63:$T$91,3,FALSE),0)+IF(AND($M33="O3/CP",$M$14=F$18),VLOOKUP("O3",$R$63:$T$91,3,FALSE)+VLOOKUP("CP",$R$63:$T$91,3,FALSE),0)+IF(AND($N33&lt;&gt;"",$N33&lt;&gt;"--",$N33&lt;&gt;"O3/CP",$N$14=F$18),IF(LEFT($N33,1)="P",VLOOKUP(CONCATENATE(LEFT($N33,2),"H"),$R$63:$T$91,3,FALSE),VLOOKUP($N33,$R$63:$T$91,3,FALSE)))+IF(AND($N33&lt;&gt;"",$N33&lt;&gt;"O3/CP",$N$15=F$18,MID($N33,4,1)="2",$N$15&lt;&gt;$N$14),VLOOKUP(CONCATENATE(LEFT($N33,2),"L"),$R$63:$T$91,3,FALSE),0)+IF(AND($N33="O3/CP",$N$14=F$18),VLOOKUP("O3",$R$63:$T$91,3,FALSE)+VLOOKUP("CP",$R$63:$T$91,3,FALSE),0)+IF(AND($O33&lt;&gt;"",$O33&lt;&gt;"--",$O33&lt;&gt;"O3/CP",$O$14=F$18),IF(LEFT($O33,1)="P",VLOOKUP(CONCATENATE(LEFT($O33,2),"H"),$R$63:$T$91,3,FALSE),VLOOKUP($O33,$R$63:$T$91,3,FALSE)))+IF(AND($O33&lt;&gt;"",$O33&lt;&gt;"O3/CP",$O$15=F$18,MID($O33,4,1)="2",$O$15&lt;&gt;$O$14),VLOOKUP(CONCATENATE(LEFT($O33,2),"L"),$R$63:$T$91,3,FALSE),0)+IF(AND($O33="O3/CP",$O$14=F$18),VLOOKUP("O3",$R$63:$T$91,3,FALSE)+VLOOKUP("CP",$R$63:$T$91,3,FALSE),0)+IF(AND($P33&lt;&gt;"",$P33&lt;&gt;"--",$P33&lt;&gt;"O3/CP",$P$14=F$18),IF(LEFT($P33,1)="P",VLOOKUP(CONCATENATE(LEFT($P33,2),"H"),$R$63:$T$91,3,FALSE),VLOOKUP($P33,$R$63:$T$91,3,FALSE)))+IF(AND($P33&lt;&gt;"",$P33&lt;&gt;"O3/CP",$P$15=F$18,MID($P33,4,1)="2",$P$15&lt;&gt;$P$14),VLOOKUP(CONCATENATE(LEFT($P33,2),"L"),$R$63:$T$91,3,FALSE),0)+IF(AND($P33="O3/CP",$P$14=F$18),VLOOKUP("O3",$R$63:$T$91,3,FALSE)+VLOOKUP("CP",$R$63:$T$91,3,FALSE),0)+IF(AND($Q33&lt;&gt;"",$Q33&lt;&gt;"--",$Q33&lt;&gt;"O3/CP",$Q$14=F$18),IF(LEFT($Q33,1)="P",VLOOKUP(CONCATENATE(LEFT($Q33,2),"H"),$R$63:$T$91,3,FALSE),VLOOKUP($Q33,$R$63:$T$91,3,FALSE)))+IF(AND($Q33&lt;&gt;"",$Q33&lt;&gt;"O3/CP",$Q$15=F$18,MID($Q33,4,1)="2",$Q$15&lt;&gt;$Q$14),VLOOKUP(CONCATENATE(LEFT($Q33,2),"L"),$R$63:$T$91,3,FALSE),0)+IF(AND($Q33="O3/CP",$Q$14=F$18),VLOOKUP("O3",$R$63:$T$91,3,FALSE)+VLOOKUP("CP",$R$63:$T$91,3,FALSE),0)+IF(AND($R33&lt;&gt;"",$R33&lt;&gt;"--",$R33&lt;&gt;"O3/CP",$R$14=F$18),IF(LEFT($R33,1)="P",VLOOKUP(CONCATENATE(LEFT($R33,2),"H"),$R$63:$T$91,3,FALSE),VLOOKUP($R33,$R$63:$T$91,3,FALSE)))+IF(AND($R33&lt;&gt;"",$R33&lt;&gt;"O3/CP",$R$15=F$18,MID($R33,4,1)="2",$R$15&lt;&gt;$R$14),VLOOKUP(CONCATENATE(LEFT($R33,2),"L"),$R$63:$T$91,3,FALSE),0)+IF(AND($R33="O3/CP",$R$14=F$18),VLOOKUP("O3",$R$63:$T$91,3,FALSE)+VLOOKUP("CP",$R$63:$T$91,3,FALSE),0)+IF(AND($S33&lt;&gt;"",$S33&lt;&gt;"--",$S33&lt;&gt;"O3/CP",$S$14=F$18),IF(LEFT($S33,1)="P",VLOOKUP(CONCATENATE(LEFT($S33,2),"H"),$R$63:$T$91,3,FALSE),VLOOKUP($S33,$R$63:$T$91,3,FALSE)))+IF(AND($S33&lt;&gt;"",$S33&lt;&gt;"O3/CP",$S$15=F$18,MID($S33,4,1)="2",$S$15&lt;&gt;$S$14),VLOOKUP(CONCATENATE(LEFT($S33,2),"L"),$R$63:$T$91,3,FALSE),0)+IF(AND($S33="O3/CP",$S$14=F$18),VLOOKUP("O3",$R$63:$T$91,3,FALSE)+VLOOKUP("CP",$R$63:$T$91,3,FALSE),0)+IF(AND($T33&lt;&gt;"",$T33&lt;&gt;"--",$T33&lt;&gt;"O3/CP",$T$14=F$18),IF(LEFT($T33,1)="P",VLOOKUP(CONCATENATE(LEFT($T33,2),"H"),$R$63:$T$91,3,FALSE),VLOOKUP($T33,$R$63:$T$91,3,FALSE)))+IF(AND($T33&lt;&gt;"",$T33&lt;&gt;"O3/CP",$T$15=F$18,MID($T33,4,1)="2",$T$15&lt;&gt;$T$14),VLOOKUP(CONCATENATE(LEFT($T33,2),"L"),$R$63:$T$91,3,FALSE),0)+IF(AND($T33="O3/CP",$T$14=F$18),VLOOKUP("O3",$R$63:$T$91,3,FALSE)+VLOOKUP("CP",$R$63:$T$91,3,FALSE),0)+IF(AND($U33&lt;&gt;"",$U33&lt;&gt;"--",$U33&lt;&gt;"O3/CP",$U$14=F$18),IF(LEFT($U33,1)="P",VLOOKUP(CONCATENATE(LEFT($U33,2),"H"),$R$63:$T$91,3,FALSE),VLOOKUP($U33,$R$63:$T$91,3,FALSE)))+IF(AND($U33&lt;&gt;"",$U33&lt;&gt;"O3/CP",$U$15=F$18,MID($U33,4,1)="2",$U$15&lt;&gt;$U$14),VLOOKUP(CONCATENATE(LEFT($U33,2),"L"),$R$63:$T$91,3,FALSE),0)+IF(AND($U33="O3/CP",$T$14=F$18),VLOOKUP("O3",$R$63:$T$91,3,FALSE)+VLOOKUP("CP",$R$63:$T$91,3,FALSE),0)+IF(AND($V33&lt;&gt;"",$V33&lt;&gt;"--",$V33&lt;&gt;"O3/CP",$V$14=F$18),IF(LEFT($V33,1)="P",VLOOKUP(CONCATENATE(LEFT($V33,2),"H"),$R$63:$T$91,3,FALSE),VLOOKUP($V33,$R$63:$T$91,3,FALSE)))+IF(AND($V33&lt;&gt;"",$V33&lt;&gt;"O3/CP",$V$15=F$18,MID($V33,4,1)="2",$V$15&lt;&gt;$V$14),VLOOKUP(CONCATENATE(LEFT($V33,2),"L"),$R$63:$T$91,3,FALSE),0)+IF(AND($V33="O3/CP",$V$14=F$18),VLOOKUP("O3",$R$63:$T$91,3,FALSE)+VLOOKUP("CP",$R$63:$T$91,3,FALSE),0)+IF(AND($W33&lt;&gt;"",$W33&lt;&gt;"--",$W33&lt;&gt;"O3/CP",$W$14=F$18),IF(LEFT($W33,1)="P",VLOOKUP(CONCATENATE(LEFT($W33,2),"H"),$R$63:$T$91,3,FALSE),VLOOKUP($W33,$R$63:$T$91,3,FALSE)))+IF(AND($W33&lt;&gt;"",$W33&lt;&gt;"O3/CP",$W$15=F$18,MID($W33,4,1)="2",$W$15&lt;&gt;$W$14),VLOOKUP(CONCATENATE(LEFT($W33,2),"L"),$R$63:$T$91,3,FALSE),0)+IF(AND($W33="O3/CP",$W$14=F$18),VLOOKUP("O3",$R$63:$T$91,3,FALSE)+VLOOKUP("CP",$R$63:$T$91,3,FALSE),0)+IF(AND($X33&lt;&gt;"",$X33&lt;&gt;"--",$X33&lt;&gt;"O3/CP",$X$14=F$18),IF(LEFT($X33,1)="P",VLOOKUP(CONCATENATE(LEFT($X33,2),"H"),$R$63:$T$91,3,FALSE),VLOOKUP($X33,$R$63:$T$91,3,FALSE)))+IF(AND($X33&lt;&gt;"",$X33&lt;&gt;"O3/CP",$X$15=F$18,MID($X33,4,1)="2",$X$15&lt;&gt;$X$14),VLOOKUP(CONCATENATE(LEFT($X33,2),"L"),$R$63:$T$91,3,FALSE),0)+IF(AND($X33="O3/CP",$X$14=F$18),VLOOKUP("O3",$R$63:$T$91,3,FALSE)+VLOOKUP("CP",$R$63:$T$91,3,FALSE),0)+IF(AND($Y33&lt;&gt;"",$Y33&lt;&gt;"--",$Y33&lt;&gt;"O3/CP",$Y$14=F$18),IF(LEFT($Y33,1)="P",VLOOKUP(CONCATENATE(LEFT($Y33,2),"H"),$R$63:$T$91,3,FALSE),VLOOKUP($Y33,$R$63:$T$91,3,FALSE)))+IF(AND($Y33&lt;&gt;"",$Y33&lt;&gt;"O3/CP",$Y$15=F$18,MID($Y33,4,1)="2",$Y$15&lt;&gt;$Y$14),VLOOKUP(CONCATENATE(LEFT($Y33,2),"L"),$R$63:$T$91,3,FALSE),0)+IF(AND($Y33="O3/CP",$Y$14=F$18),VLOOKUP("O3",$R$63:$T$91,3,FALSE)+VLOOKUP("CP",$R$63:$T$91,3,FALSE),0)+IF(AND($K$6="CE",'[3]Supply Attribution'!$G$20=F$18),LEFT($S$90,2),0)+IF(AND($X$86&lt;&gt;"Not Set",$X$87=F$18),$X$86,0)</f>
        <v>0</v>
      </c>
      <c r="G33" s="271">
        <f>IF(AND($K$6="CE",$T$59="1 Phase"),SUM(A33:F33)-IF(AND($K$14&lt;&gt;$K$15,RIGHT($K33,3)="2SP"),VLOOKUP(CONCATENATE(LEFT($K33,2),"L"),$R$63:$T$90,3,FALSE),0)-IF(AND($L$14&lt;&gt;$L$15,RIGHT($L33,3)="2SP"),VLOOKUP(CONCATENATE(LEFT($L33,2),"L"),$R$63:$T$90,3,FALSE),0)-IF(AND($M$14&lt;&gt;$M$15,RIGHT($M33,3)="2SP"),VLOOKUP(CONCATENATE(LEFT($M33,2),"L"),$R$63:$T$90,3,FALSE),0)-IF(AND($N$14&lt;&gt;$N$15,RIGHT($N33,3)="2SP"),VLOOKUP(CONCATENATE(LEFT($N33,2),"L"),$R$63:$T$90,3,FALSE),0)-IF(AND($O$14&lt;&gt;$O$15,RIGHT($O33,3)="2SP"),VLOOKUP(CONCATENATE(LEFT($O33,2),"L"),$R$63:$T$90,3,FALSE),0)-IF(AND($P$14&lt;&gt;$P$15,RIGHT($P33,3)="2SP"),VLOOKUP(CONCATENATE(LEFT($P33,2),"L"),$R$63:$T$90,3,FALSE),0)-IF(AND($Q$14&lt;&gt;$Q$15,RIGHT($Q33,3)="2SP"),VLOOKUP(CONCATENATE(LEFT($Q33,2),"L"),$R$63:$T$90,3,FALSE),0)-IF(AND($R$14&lt;&gt;$R$15,RIGHT($T33,3)="2SP"),VLOOKUP(CONCATENATE(LEFT($R33,2),"L"),$R$63:$T$90,3,FALSE),0)-IF(AND($S$14&lt;&gt;$S$15,RIGHT($T33,3)="2SP"),VLOOKUP(CONCATENATE(LEFT($S33,2),"L"),$R$63:$T$90,3,FALSE),0)-IF(AND($T$14&lt;&gt;$T$15,RIGHT($T33,3)="2SP"),VLOOKUP(CONCATENATE(LEFT($T33,2),"L"),$R$63:$T$90,3,FALSE),0)-IF(AND($U$14&lt;&gt;$U$15,RIGHT($U33,3)="2SP"),VLOOKUP(CONCATENATE(LEFT($U33,2),"L"),$R$63:$T$90,3,FALSE),0)-IF(AND($V$14&lt;&gt;$V$15,RIGHT($V33,3)="2SP"),VLOOKUP(CONCATENATE(LEFT($V33,2),"L"),$R$63:$T$90,3,FALSE),0)-IF(AND($W$14&lt;&gt;$W$15,RIGHT($W33,3)="2SP"),VLOOKUP(CONCATENATE(LEFT($W33,2),"L"),$R$63:$T$90,3,FALSE),0)-IF(AND($X$14&lt;&gt;$X$15,RIGHT($X33,3)="2SP"),VLOOKUP(CONCATENATE(LEFT($X33,2),"L"),$R$63:$T$90,3,FALSE),0)-IF(AND($Y$14&lt;&gt;$Y$15,RIGHT($Y33,3)="2SP"),VLOOKUP(CONCATENATE(LEFT($Y33,2),"L"),$R$63:$T$90,3,FALSE),0),IF(VLOOKUP(CONCATENATE($A$18,"Line"),'[3]Supply Attribution'!$F$31:$G$37,2,FALSE)=G$18,$A33,0)+IF(VLOOKUP(CONCATENATE($B$18,"Line"),'[3]Supply Attribution'!$F$31:$G$37,2,FALSE)=G$18,$B33,0)+IF(VLOOKUP(CONCATENATE($C$18,"Line"),'[3]Supply Attribution'!$F$31:$G$37,2,FALSE)=G$18,$C33,0)+IF(VLOOKUP(CONCATENATE($D$18,"Line"),'[3]Supply Attribution'!$F$31:$G$37,2,FALSE)=G$18,$D33,0)+IF(VLOOKUP(CONCATENATE($E$18,"Line"),'[3]Supply Attribution'!$F$31:$G$37,2,FALSE)=G$18,$E33,0)+IF(VLOOKUP(CONCATENATE($F$18,"Line"),'[3]Supply Attribution'!$F$31:$G$37,2,FALSE)=G$18,$F33,0)+IF($K$6="UL",LEFT($S$90,2),0)-IF(AND($K$16=G$18,$K$14&lt;&gt;$K$15,$K$16=$K$17,RIGHT($K33,3)="2SP"),VLOOKUP(CONCATENATE(LEFT($K33,2),"L"),$R$63:$T$90,3,FALSE),0)-IF(AND($L$16=G$18,$L$14&lt;&gt;$L$15,$L$16=$L$17,RIGHT($L33,3)="2SP"),VLOOKUP(CONCATENATE(LEFT($L33,2),"L"),$R$63:$T$90,3,FALSE),0)-IF(AND($M$16=G$18,$M$14&lt;&gt;$M$15,$M$16=$M$17,RIGHT($M33,3)="2SP"),VLOOKUP(CONCATENATE(LEFT($M33,2),"L"),$R$63:$T$90,3,FALSE),0)-IF(AND($N$16=G$18,$N$14&lt;&gt;$N$15,$N$16=$N$17,RIGHT($N33,3)="2SP"),VLOOKUP(CONCATENATE(LEFT($N33,2),"L"),$R$63:$T$90,3,FALSE),0)-IF(AND($O$16=G$18,$O$14&lt;&gt;$O$15,$O$16=$O$17,RIGHT($O33,3)="2SP"),VLOOKUP(CONCATENATE(LEFT($O33,2),"L"),$R$63:$T$90,3,FALSE),0)-IF(AND($P$16=G$18,$P$14&lt;&gt;$P$15,$P$16=$P$17,RIGHT($P33,3)="2SP"),VLOOKUP(CONCATENATE(LEFT($P33,2),"L"),$R$63:$T$90,3,FALSE),0)-IF(AND($Q$16=G$18,$Q$14&lt;&gt;$Q$15,$Q$16=$Q$17,RIGHT($Q33,3)="2SP"),VLOOKUP(CONCATENATE(LEFT($Q33,2),"L"),$R$63:$T$90,3,FALSE),0)-IF(AND($R$16=G$18,$R$14&lt;&gt;$R$15,$R$16=$R$17,RIGHT($R33,3)="2SP"),VLOOKUP(CONCATENATE(LEFT($R33,2),"L"),$R$63:$T$90,3,FALSE),0)-IF(AND($S$16=G$18,$S$14&lt;&gt;$S$15,$S$16=$S$17,RIGHT($S33,3)="2SP"),VLOOKUP(CONCATENATE(LEFT($S33,2),"L"),$R$63:$T$90,3,FALSE),0)-IF(AND($T$16=G$18,$T$14&lt;&gt;$T$15,$T$16=$T$17,RIGHT($T33,3)="2SP"),VLOOKUP(CONCATENATE(LEFT($T33,2),"L"),$R$63:$T$90,3,FALSE),0)-IF(AND($U$16=G$18,$U$14&lt;&gt;$U$15,$U$16=$U$17,RIGHT($U33,3)="2SP"),VLOOKUP(CONCATENATE(LEFT($U33,2),"L"),$R$63:$T$90,3,FALSE),0)-IF(AND($V$16=G$18,$V$14&lt;&gt;$V$15,$V$16=$V$17,RIGHT($V33,3)="2SP"),VLOOKUP(CONCATENATE(LEFT($V33,2),"L"),$R$63:$T$90,3,FALSE),0)-IF(AND($W$16=G$18,$W$14&lt;&gt;$W$15,$W$16=$W$17,RIGHT($W33,3)="2SP"),VLOOKUP(CONCATENATE(LEFT($W33,2),"L"),$R$63:$T$90,3,FALSE),0)-IF(AND($X$16=G$18,$X$14&lt;&gt;$X$15,$X$16=$X$17,RIGHT($X33,3)="2SP"),VLOOKUP(CONCATENATE(LEFT($X33,2),"L"),$R$63:$T$90,3,FALSE),0)-IF(AND($Y$16=G$18,$Y$14&lt;&gt;$Y$15,$Y$16=$Y$17,RIGHT($Y33,3)="2SP"),VLOOKUP(CONCATENATE(LEFT($Y33,2),"L"),$R$63:$T$90,3,FALSE),0))</f>
        <v>17</v>
      </c>
      <c r="H33" s="271" t="str">
        <f>IF(H$18&lt;&gt;"",IF(VLOOKUP(CONCATENATE($A$18,"Line"),'Supply Attribution'!$F$31:$G$37,2,FALSE)=H$18,$A33,0)+IF(VLOOKUP(CONCATENATE($B$18,"Line"),'Supply Attribution'!$F$31:$G$37,2,FALSE)=H$18,$B33,0)+IF(VLOOKUP(CONCATENATE($C$18,"Line"),'Supply Attribution'!$F$31:$G$37,2,FALSE)=H$18,$C33,0)+IF(VLOOKUP(CONCATENATE($D$18,"Line"),'Supply Attribution'!$F$31:$G$37,2,FALSE)=H$18,$D33,0)+IF(VLOOKUP(CONCATENATE($E$18,"Line"),'Supply Attribution'!$F$31:$G$37,2,FALSE)=H$18,$E33,0)+IF(VLOOKUP(CONCATENATE($F$18,"Line"),'Supply Attribution'!$F$31:$G$37,2,FALSE)=H$18,$F33,0)+IF($K$6="UL",LEFT($S$90,2),0)-IF(AND($K$16=H$18,$K$14&lt;&gt;$K$15,$K$16=$K$17,RIGHT($K33,3)="2SP"),VLOOKUP(CONCATENATE(LEFT($K33,2),"L"),$R$63:$T$90,3,FALSE),0)-IF(AND($L$16=H$18,$L$14&lt;&gt;$L$15,$L$16=$L$17,RIGHT($L33,3)="2SP"),VLOOKUP(CONCATENATE(LEFT($L33,2),"L"),$R$63:$T$90,3,FALSE),0)-IF(AND($M$16=H$18,$M$14&lt;&gt;$M$15,$M$16=$M$17,RIGHT($M33,3)="2SP"),VLOOKUP(CONCATENATE(LEFT($M33,2),"L"),$R$63:$T$90,3,FALSE),0)-IF(AND($N$16=H$18,$N$14&lt;&gt;$N$15,$N$16=$N$17,RIGHT($N33,3)="2SP"),VLOOKUP(CONCATENATE(LEFT($N33,2),"L"),$R$63:$T$90,3,FALSE),0)-IF(AND($O$16=H$18,$O$14&lt;&gt;$O$15,$O$16=$O$17,RIGHT($O33,3)="2SP"),VLOOKUP(CONCATENATE(LEFT($O33,2),"L"),$R$63:$T$90,3,FALSE),0)-IF(AND($P$16=H$18,$P$14&lt;&gt;$P$15,$P$16=$P$17,RIGHT($P33,3)="2SP"),VLOOKUP(CONCATENATE(LEFT($P33,2),"L"),$R$63:$T$90,3,FALSE),0)-IF(AND($Q$16=H$18,$Q$14&lt;&gt;$Q$15,$Q$16=$Q$17,RIGHT($Q33,3)="2SP"),VLOOKUP(CONCATENATE(LEFT($Q33,2),"L"),$R$63:$T$90,3,FALSE),0)-IF(AND($T$16=H$18,$T$14&lt;&gt;$T$15,$T$16=$T$17,RIGHT($T33,3)="2SP"),VLOOKUP(CONCATENATE(LEFT($T33,2),"L"),$R$63:$T$90,3,FALSE),0)-IF(AND($U$16=H$18,$U$14&lt;&gt;$U$15,$U$16=$U$17,RIGHT($U33,3)="2SP"),VLOOKUP(CONCATENATE(LEFT($U33,2),"L"),$R$63:$T$90,3,FALSE),0)-IF(AND($V$16=H$18,$V$14&lt;&gt;$V$15,$V$16=$V$17,RIGHT($V33,3)="2SP"),VLOOKUP(CONCATENATE(LEFT($V33,2),"L"),$R$63:$T$90,3,FALSE),0)-IF(AND($W$16=H$18,$W$14&lt;&gt;$W$15,$W$16=$W$17,RIGHT($W33,3)="2SP"),VLOOKUP(CONCATENATE(LEFT($W33,2),"L"),$R$63:$T$90,3,FALSE),0)-IF(AND($X$16=H$18,$X$14&lt;&gt;$X$15,$X$16=$X$17,RIGHT($X33,3)="2SP"),VLOOKUP(CONCATENATE(LEFT($X33,2),"L"),$R$63:$T$90,3,FALSE),0)-IF(AND($Y$16=H$18,$Y$14&lt;&gt;$Y$15,$Y$16=$Y$17,RIGHT($Y33,3)="2SP"),VLOOKUP(CONCATENATE(LEFT($Y33,2),"L"),$R$63:$T$90,3,FALSE),0)+IF(AND($K$6="CE",$T$59="2 Phases",H$18&lt;&gt;""),IF(VLOOKUP(CONCATENATE($A$18,"Line"),'Supply Attribution'!$F$31:$G$37,2,FALSE)="Line3",$A33,0)+IF(VLOOKUP(CONCATENATE($B$18,"Line"),'Supply Attribution'!$F$31:$G$37,2,FALSE)="Line3",$B33,0)+IF(VLOOKUP(CONCATENATE($C$18,"Line"),'Supply Attribution'!$F$31:$G$37,2,FALSE)="Line3",$C33,0)+IF(VLOOKUP(CONCATENATE($D$18,"Line"),'Supply Attribution'!$F$31:$G$37,2,FALSE)="Line3",$D33,0)+IF(VLOOKUP(CONCATENATE($E$18,"Line"),'Supply Attribution'!$F$31:$G$37,2,FALSE)="Line3",$E33,0)+IF(VLOOKUP(CONCATENATE($F$18,"Line"),'Supply Attribution'!$F$31:$G$37,2,FALSE)="Line3",$F33,0)-IF(AND($K$16=I$18,$K$14&lt;&gt;$K$15,$K$16=$K$17,RIGHT($K33,3)="2SP"),VLOOKUP(CONCATENATE(LEFT($K33,2),"L"),$R$63:$T$90,3,FALSE),0)-IF(AND($L$16=I$18,$L$14&lt;&gt;$L$15,$L$16=$L$17,RIGHT($L33,3)="2SP"),VLOOKUP(CONCATENATE(LEFT($L33,2),"L"),$R$63:$T$90,3,FALSE),0)-IF(AND($M$16=I$18,$M$14&lt;&gt;$M$15,$M$16=$M$17,RIGHT($M33,3)="2SP"),VLOOKUP(CONCATENATE(LEFT($M33,2),"L"),$R$63:$T$90,3,FALSE),0)-IF(AND($N$16=I$18,$N$14&lt;&gt;$N$15,$N$16=$N$17,RIGHT($N33,3)="2SP"),VLOOKUP(CONCATENATE(LEFT($N33,2),"L"),$R$63:$T$90,3,FALSE),0)-IF(AND($O$16=I$18,$O$14&lt;&gt;$O$15,$O$16=$O$17,RIGHT($O33,3)="2SP"),VLOOKUP(CONCATENATE(LEFT($O33,2),"L"),$R$63:$T$90,3,FALSE),0)-IF(AND($P$16=I$18,$P$14&lt;&gt;$P$15,$P$16=$P$17,RIGHT($P33,3)="2SP"),VLOOKUP(CONCATENATE(LEFT($P33,2),"L"),$R$63:$T$90,3,FALSE),0)-IF(AND($Q$16=I$18,$Q$14&lt;&gt;$Q$15,$Q$16=$Q$17,RIGHT($Q33,3)="2SP"),VLOOKUP(CONCATENATE(LEFT($Q33,2),"L"),$R$63:$T$90,3,FALSE),0)-IF(AND($T$16=I$18,$T$14&lt;&gt;$T$15,$T$16=$T$17,RIGHT($T33,3)="2SP"),VLOOKUP(CONCATENATE(LEFT($T33,2),"L"),$R$63:$T$90,3,FALSE),0)-IF(AND($U$16=I$18,$U$14&lt;&gt;$U$15,$U$16=$U$17,RIGHT($U33,3)="2SP"),VLOOKUP(CONCATENATE(LEFT($U33,2),"L"),$R$63:$T$90,3,FALSE),0)-IF(AND($V$16=I$18,$V$14&lt;&gt;$V$15,$V$16=$V$17,RIGHT($V33,3)="2SP"),VLOOKUP(CONCATENATE(LEFT($V33,2),"L"),$R$63:$T$90,3,FALSE),0)-IF(AND($W$16=I$18,$W$14&lt;&gt;$W$15,$W$16=$W$17,RIGHT($W33,3)="2SP"),VLOOKUP(CONCATENATE(LEFT($W33,2),"L"),$R$63:$T$90,3,FALSE),0)-IF(AND($X$16=I$18,$X$14&lt;&gt;$X$15,$X$16=$X$17,RIGHT($X33,3)="2SP"),VLOOKUP(CONCATENATE(LEFT($X33,2),"L"),$R$63:$T$90,3,FALSE),0)-IF(AND($Y$16=I$18,$Y$14&lt;&gt;$Y$15,$Y$16=$Y$17,RIGHT($Y33,3)="2SP"),VLOOKUP(CONCATENATE(LEFT($Y33,2),"L"),$R$63:$T$90,3,FALSE),0),0),"")</f>
        <v/>
      </c>
      <c r="I33" s="271" t="str">
        <f>IF(I$18&lt;&gt;"",IF(VLOOKUP(CONCATENATE($A$18,"Line"),'Supply Attribution'!$F$31:$G$37,2,FALSE)=I$18,$A33,0)+IF(VLOOKUP(CONCATENATE($B$18,"Line"),'Supply Attribution'!$F$31:$G$37,2,FALSE)=I$18,$B33,0)+IF(VLOOKUP(CONCATENATE($C$18,"Line"),'Supply Attribution'!$F$31:$G$37,2,FALSE)=I$18,$C33,0)+IF(VLOOKUP(CONCATENATE($D$18,"Line"),'Supply Attribution'!$F$31:$G$37,2,FALSE)=I$18,$D33,0)+IF(VLOOKUP(CONCATENATE($E$18,"Line"),'Supply Attribution'!$F$31:$G$37,2,FALSE)=I$18,$E33,0)+IF(VLOOKUP(CONCATENATE($F$18,"Line"),'Supply Attribution'!$F$31:$G$37,2,FALSE)=I$18,$F33,0)+IF($K$6="UL",LEFT($S$90,2),0)-IF(AND($K$16=I$18,$K$14&lt;&gt;$K$15,$K$16=$K$17,RIGHT($K33,3)="2SP"),VLOOKUP(CONCATENATE(LEFT($K33,2),"L"),$R$63:$T$90,3,FALSE),0)-IF(AND($L$16=I$18,$L$14&lt;&gt;$L$15,$L$16=$L$17,RIGHT($L33,3)="2SP"),VLOOKUP(CONCATENATE(LEFT($L33,2),"L"),$R$63:$T$90,3,FALSE),0)-IF(AND($M$16=I$18,$M$14&lt;&gt;$M$15,$M$16=$M$17,RIGHT($M33,3)="2SP"),VLOOKUP(CONCATENATE(LEFT($M33,2),"L"),$R$63:$T$90,3,FALSE),0)-IF(AND($N$16=I$18,$N$14&lt;&gt;$N$15,$N$16=$N$17,RIGHT($N33,3)="2SP"),VLOOKUP(CONCATENATE(LEFT($N33,2),"L"),$R$63:$T$90,3,FALSE),0)-IF(AND($O$16=I$18,$O$14&lt;&gt;$O$15,$O$16=$O$17,RIGHT($O33,3)="2SP"),VLOOKUP(CONCATENATE(LEFT($O33,2),"L"),$R$63:$T$90,3,FALSE),0)-IF(AND($P$16=I$18,$P$14&lt;&gt;$P$15,$P$16=$P$17,RIGHT($P33,3)="2SP"),VLOOKUP(CONCATENATE(LEFT($P33,2),"L"),$R$63:$T$90,3,FALSE),0)-IF(AND($Q$16=I$18,$Q$14&lt;&gt;$Q$15,$Q$16=$Q$17,RIGHT($Q33,3)="2SP"),VLOOKUP(CONCATENATE(LEFT($Q33,2),"L"),$R$63:$T$90,3,FALSE),0)-IF(AND($T$16=I$18,$T$14&lt;&gt;$T$15,$T$16=$T$17,RIGHT($T33,3)="2SP"),VLOOKUP(CONCATENATE(LEFT($T33,2),"L"),$R$63:$T$90,3,FALSE),0)-IF(AND($U$16=I$18,$U$14&lt;&gt;$U$15,$U$16=$U$17,RIGHT($U33,3)="2SP"),VLOOKUP(CONCATENATE(LEFT($U33,2),"L"),$R$63:$T$90,3,FALSE),0)-IF(AND($V$16=I$18,$V$14&lt;&gt;$V$15,$V$16=$V$17,RIGHT($V33,3)="2SP"),VLOOKUP(CONCATENATE(LEFT($V33,2),"L"),$R$63:$T$90,3,FALSE),0)-IF(AND($W$16=I$18,$W$14&lt;&gt;$W$15,$W$16=$W$17,RIGHT($W33,3)="2SP"),VLOOKUP(CONCATENATE(LEFT($W33,2),"L"),$R$63:$T$90,3,FALSE),0)-IF(AND($X$16=I$18,$X$14&lt;&gt;$X$15,$X$16=$X$17,RIGHT($X33,3)="2SP"),VLOOKUP(CONCATENATE(LEFT($X33,2),"L"),$R$63:$T$90,3,FALSE),0)-IF(AND($Y$16=I$18,$Y$14&lt;&gt;$Y$15,$Y$16=$Y$17,RIGHT($Y33,3)="2SP"),VLOOKUP(CONCATENATE(LEFT($Y33,2),"L"),$R$63:$T$90,3,FALSE),0),"")</f>
        <v/>
      </c>
      <c r="J33" s="129"/>
      <c r="K33" s="130"/>
      <c r="L33" s="130"/>
      <c r="M33" s="130"/>
      <c r="N33" s="130"/>
      <c r="O33" s="130"/>
      <c r="P33" s="130"/>
      <c r="Q33" s="130"/>
      <c r="R33" s="130"/>
      <c r="S33" s="130"/>
      <c r="T33" s="130"/>
      <c r="U33" s="130"/>
      <c r="V33" s="130"/>
      <c r="W33" s="130"/>
      <c r="X33" s="130"/>
      <c r="Y33" s="130"/>
      <c r="Z33" s="131"/>
      <c r="AA33" s="131"/>
      <c r="AB33" s="132"/>
      <c r="AC33" s="132"/>
      <c r="AD33" s="132"/>
      <c r="AE33" s="133">
        <f t="shared" si="0"/>
        <v>0</v>
      </c>
      <c r="AF33" s="78"/>
    </row>
    <row r="34" spans="1:32">
      <c r="A34" s="270">
        <f>IF(AND($K34&lt;&gt;"",$K34&lt;&gt;"--",$K34&lt;&gt;"O3/CP",$K$14=A$18),IF(LEFT($K34,1)="P",VLOOKUP(CONCATENATE(LEFT($K34,2),"H"),$R$63:$T$91,3,FALSE),VLOOKUP($K34,$R$63:$T$91,3,FALSE)))+IF(AND($K34&lt;&gt;"",$K34&lt;&gt;"O3/CP",$K$15=A$18,MID($K34,4,1)="2",$K$15&lt;&gt;$K$14),VLOOKUP(CONCATENATE(LEFT($K34,2),"L"),$R$63:$T$91,3,FALSE),0)+IF(AND($K34="O3/CP",$K$14=A$18),VLOOKUP("O3",$R$63:$T$91,3,FALSE)+VLOOKUP("CP",$R$63:$T$91,3,FALSE),0)+IF(AND($L34&lt;&gt;"",$L34&lt;&gt;"--",$L34&lt;&gt;"O3/CP",$L$14=A$18),IF(LEFT($L34,1)="P",VLOOKUP(CONCATENATE(LEFT($L34,2),"H"),$R$63:$T$91,3,FALSE),VLOOKUP($L34,$R$63:$T$91,3,FALSE)))+IF(AND($L34&lt;&gt;"",$L34&lt;&gt;"O3/CP",$L$15=A$18,MID($L34,4,1)="2",$L$15&lt;&gt;$L$14),VLOOKUP(CONCATENATE(LEFT($L34,2),"L"),$R$63:$T$91,3,FALSE),0)+IF(AND($L34="O3/CP",$L$14=A$18),VLOOKUP("O3",$R$63:$T$91,3,FALSE)+VLOOKUP("CP",$R$63:$T$91,3,FALSE),0)+IF(AND($M34&lt;&gt;"",$M34&lt;&gt;"--",$M34&lt;&gt;"O3/CP",$M$14=A$18),IF(LEFT($M34,1)="P",VLOOKUP(CONCATENATE(LEFT($M34,2),"H"),$R$63:$T$91,3,FALSE),VLOOKUP($M34,$R$63:$T$91,3,FALSE)))+IF(AND($M34&lt;&gt;"",$M34&lt;&gt;"O3/CP",$M$15=A$18,MID($M34,4,1)="2",$M$15&lt;&gt;$M$14),VLOOKUP(CONCATENATE(LEFT($M34,2),"L"),$R$63:$T$91,3,FALSE),0)+IF(AND($M34="O3/CP",$M$14=A$18),VLOOKUP("O3",$R$63:$T$91,3,FALSE)+VLOOKUP("CP",$R$63:$T$91,3,FALSE),0)+IF(AND($N34&lt;&gt;"",$N34&lt;&gt;"--",$N34&lt;&gt;"O3/CP",$N$14=A$18),IF(LEFT($N34,1)="P",VLOOKUP(CONCATENATE(LEFT($N34,2),"H"),$R$63:$T$91,3,FALSE),VLOOKUP($N34,$R$63:$T$91,3,FALSE)))+IF(AND($N34&lt;&gt;"",$N34&lt;&gt;"O3/CP",$N$15=A$18,MID($N34,4,1)="2",$N$15&lt;&gt;$N$14),VLOOKUP(CONCATENATE(LEFT($N34,2),"L"),$R$63:$T$91,3,FALSE),0)+IF(AND($N34="O3/CP",$N$14=A$18),VLOOKUP("O3",$R$63:$T$91,3,FALSE)+VLOOKUP("CP",$R$63:$T$91,3,FALSE),0)+IF(AND($O34&lt;&gt;"",$O34&lt;&gt;"--",$O34&lt;&gt;"O3/CP",$O$14=A$18),IF(LEFT($O34,1)="P",VLOOKUP(CONCATENATE(LEFT($O34,2),"H"),$R$63:$T$91,3,FALSE),VLOOKUP($O34,$R$63:$T$91,3,FALSE)))+IF(AND($O34&lt;&gt;"",$O34&lt;&gt;"O3/CP",$O$15=A$18,MID($O34,4,1)="2",$O$15&lt;&gt;$O$14),VLOOKUP(CONCATENATE(LEFT($O34,2),"L"),$R$63:$T$91,3,FALSE),0)+IF(AND($O34="O3/CP",$O$14=A$18),VLOOKUP("O3",$R$63:$T$91,3,FALSE)+VLOOKUP("CP",$R$63:$T$91,3,FALSE),0)+IF(AND($P34&lt;&gt;"",$P34&lt;&gt;"--",$P34&lt;&gt;"O3/CP",$P$14=A$18),IF(LEFT($P34,1)="P",VLOOKUP(CONCATENATE(LEFT($P34,2),"H"),$R$63:$T$91,3,FALSE),VLOOKUP($P34,$R$63:$T$91,3,FALSE)))+IF(AND($P34&lt;&gt;"",$P34&lt;&gt;"O3/CP",$P$15=A$18,MID($P34,4,1)="2",$P$15&lt;&gt;$P$14),VLOOKUP(CONCATENATE(LEFT($P34,2),"L"),$R$63:$T$91,3,FALSE),0)+IF(AND($P34="O3/CP",$P$14=A$18),VLOOKUP("O3",$R$63:$T$91,3,FALSE)+VLOOKUP("CP",$R$63:$T$91,3,FALSE),0)+IF(AND($Q34&lt;&gt;"",$Q34&lt;&gt;"--",$Q34&lt;&gt;"O3/CP",$Q$14=A$18),IF(LEFT($Q34,1)="P",VLOOKUP(CONCATENATE(LEFT($Q34,2),"H"),$R$63:$T$91,3,FALSE),VLOOKUP($Q34,$R$63:$T$91,3,FALSE)))+IF(AND($Q34&lt;&gt;"",$Q34&lt;&gt;"O3/CP",$Q$15=A$18,MID($Q34,4,1)="2",$Q$15&lt;&gt;$Q$14),VLOOKUP(CONCATENATE(LEFT($Q34,2),"L"),$R$63:$T$91,3,FALSE),0)+IF(AND($Q34="O3/CP",$Q$14=A$18),VLOOKUP("O3",$R$63:$T$91,3,FALSE)+VLOOKUP("CP",$R$63:$T$91,3,FALSE),0)+IF(AND($R34&lt;&gt;"",$R34&lt;&gt;"--",$R34&lt;&gt;"O3/CP",$R$14=A$18),IF(LEFT($R34,1)="P",VLOOKUP(CONCATENATE(LEFT($R34,2),"H"),$R$63:$T$91,3,FALSE),VLOOKUP($R34,$R$63:$T$91,3,FALSE)))+IF(AND($R34&lt;&gt;"",$R34&lt;&gt;"O3/CP",$R$15=A$18,MID($R34,4,1)="2",$R$15&lt;&gt;$R$14),VLOOKUP(CONCATENATE(LEFT($R34,2),"L"),$R$63:$T$91,3,FALSE),0)+IF(AND($R34="O3/CP",$R$14=A$18),VLOOKUP("O3",$R$63:$T$91,3,FALSE)+VLOOKUP("CP",$R$63:$T$91,3,FALSE),0)+IF(AND($S34&lt;&gt;"",$S34&lt;&gt;"--",$S34&lt;&gt;"O3/CP",$S$14=A$18),IF(LEFT($S34,1)="P",VLOOKUP(CONCATENATE(LEFT($S34,2),"H"),$R$63:$T$91,3,FALSE),VLOOKUP($S34,$R$63:$T$91,3,FALSE)))+IF(AND($S34&lt;&gt;"",$S34&lt;&gt;"O3/CP",$S$15=A$18,MID($S34,4,1)="2",$S$15&lt;&gt;$S$14),VLOOKUP(CONCATENATE(LEFT($S34,2),"L"),$R$63:$T$91,3,FALSE),0)+IF(AND($S34="O3/CP",$S$14=A$18),VLOOKUP("O3",$R$63:$T$91,3,FALSE)+VLOOKUP("CP",$R$63:$T$91,3,FALSE),0)+IF(AND($T34&lt;&gt;"",$T34&lt;&gt;"--",$T34&lt;&gt;"O3/CP",$T$14=A$18),IF(LEFT($T34,1)="P",VLOOKUP(CONCATENATE(LEFT($T34,2),"H"),$R$63:$T$91,3,FALSE),VLOOKUP($T34,$R$63:$T$91,3,FALSE)))+IF(AND($T34&lt;&gt;"",$T34&lt;&gt;"O3/CP",$T$15=A$18,MID($T34,4,1)="2",$T$15&lt;&gt;$T$14),VLOOKUP(CONCATENATE(LEFT($T34,2),"L"),$R$63:$T$91,3,FALSE),0)+IF(AND($T34="O3/CP",$T$14=A$18),VLOOKUP("O3",$R$63:$T$91,3,FALSE)+VLOOKUP("CP",$R$63:$T$91,3,FALSE),0)+IF(AND($U34&lt;&gt;"",$U34&lt;&gt;"--",$U34&lt;&gt;"O3/CP",$U$14=A$18),IF(LEFT($U34,1)="P",VLOOKUP(CONCATENATE(LEFT($U34,2),"H"),$R$63:$T$91,3,FALSE),VLOOKUP($U34,$R$63:$T$91,3,FALSE)))+IF(AND($U34&lt;&gt;"",$U34&lt;&gt;"O3/CP",$U$15=A$18,MID($U34,4,1)="2",$U$15&lt;&gt;$U$14),VLOOKUP(CONCATENATE(LEFT($U34,2),"L"),$R$63:$T$91,3,FALSE),0)+IF(AND($U34="O3/CP",$T$14=A$18),VLOOKUP("O3",$R$63:$T$91,3,FALSE)+VLOOKUP("CP",$R$63:$T$91,3,FALSE),0)+IF(AND($V34&lt;&gt;"",$V34&lt;&gt;"--",$V34&lt;&gt;"O3/CP",$V$14=A$18),IF(LEFT($V34,1)="P",VLOOKUP(CONCATENATE(LEFT($V34,2),"H"),$R$63:$T$91,3,FALSE),VLOOKUP($V34,$R$63:$T$91,3,FALSE)))+IF(AND($V34&lt;&gt;"",$V34&lt;&gt;"O3/CP",$V$15=A$18,MID($V34,4,1)="2",$V$15&lt;&gt;$V$14),VLOOKUP(CONCATENATE(LEFT($V34,2),"L"),$R$63:$T$91,3,FALSE),0)+IF(AND($V34="O3/CP",$V$14=A$18),VLOOKUP("O3",$R$63:$T$91,3,FALSE)+VLOOKUP("CP",$R$63:$T$91,3,FALSE),0)+IF(AND($W34&lt;&gt;"",$W34&lt;&gt;"--",$W34&lt;&gt;"O3/CP",$W$14=A$18),IF(LEFT($W34,1)="P",VLOOKUP(CONCATENATE(LEFT($W34,2),"H"),$R$63:$T$91,3,FALSE),VLOOKUP($W34,$R$63:$T$91,3,FALSE)))+IF(AND($W34&lt;&gt;"",$W34&lt;&gt;"O3/CP",$W$15=A$18,MID($W34,4,1)="2",$W$15&lt;&gt;$W$14),VLOOKUP(CONCATENATE(LEFT($W34,2),"L"),$R$63:$T$91,3,FALSE),0)+IF(AND($W34="O3/CP",$W$14=A$18),VLOOKUP("O3",$R$63:$T$91,3,FALSE)+VLOOKUP("CP",$R$63:$T$91,3,FALSE),0)+IF(AND($X34&lt;&gt;"",$X34&lt;&gt;"--",$X34&lt;&gt;"O3/CP",$X$14=A$18),IF(LEFT($X34,1)="P",VLOOKUP(CONCATENATE(LEFT($X34,2),"H"),$R$63:$T$91,3,FALSE),VLOOKUP($X34,$R$63:$T$91,3,FALSE)))+IF(AND($X34&lt;&gt;"",$X34&lt;&gt;"O3/CP",$X$15=A$18,MID($X34,4,1)="2",$X$15&lt;&gt;$X$14),VLOOKUP(CONCATENATE(LEFT($X34,2),"L"),$R$63:$T$91,3,FALSE),0)+IF(AND($X34="O3/CP",$X$14=A$18),VLOOKUP("O3",$R$63:$T$91,3,FALSE)+VLOOKUP("CP",$R$63:$T$91,3,FALSE),0)+IF(AND($Y34&lt;&gt;"",$Y34&lt;&gt;"--",$Y34&lt;&gt;"O3/CP",$Y$14=A$18),IF(LEFT($Y34,1)="P",VLOOKUP(CONCATENATE(LEFT($Y34,2),"H"),$R$63:$T$91,3,FALSE),VLOOKUP($Y34,$R$63:$T$91,3,FALSE)))+IF(AND($Y34&lt;&gt;"",$Y34&lt;&gt;"O3/CP",$Y$15=A$18,MID($Y34,4,1)="2",$Y$15&lt;&gt;$Y$14),VLOOKUP(CONCATENATE(LEFT($Y34,2),"L"),$R$63:$T$91,3,FALSE),0)+IF(AND($Y34="O3/CP",$Y$14=A$18),VLOOKUP("O3",$R$63:$T$91,3,FALSE)+VLOOKUP("CP",$R$63:$T$91,3,FALSE),0)+IF(AND($K$6="CE",'[3]Supply Attribution'!$G$20=A$18),LEFT($S$90,2),0)+IF(AND($X$86&lt;&gt;"Not Set",$X$87=A$18),$X$86,0)</f>
        <v>0</v>
      </c>
      <c r="B34" s="269">
        <f>IF(AND($K34&lt;&gt;"",$K34&lt;&gt;"--",$K34&lt;&gt;"O3/CP",$K$14=B$18),IF(LEFT($K34,1)="P",VLOOKUP(CONCATENATE(LEFT($K34,2),"H"),$R$63:$T$91,3,FALSE),VLOOKUP($K34,$R$63:$T$91,3,FALSE)))+IF(AND($K34&lt;&gt;"",$K34&lt;&gt;"O3/CP",$K$15=B$18,MID($K34,4,1)="2",$K$15&lt;&gt;$K$14),VLOOKUP(CONCATENATE(LEFT($K34,2),"L"),$R$63:$T$91,3,FALSE),0)+IF(AND($K34="O3/CP",$K$14=B$18),VLOOKUP("O3",$R$63:$T$91,3,FALSE)+VLOOKUP("CP",$R$63:$T$91,3,FALSE),0)+IF(AND($L34&lt;&gt;"",$L34&lt;&gt;"--",$L34&lt;&gt;"O3/CP",$L$14=B$18),IF(LEFT($L34,1)="P",VLOOKUP(CONCATENATE(LEFT($L34,2),"H"),$R$63:$T$91,3,FALSE),VLOOKUP($L34,$R$63:$T$91,3,FALSE)))+IF(AND($L34&lt;&gt;"",$L34&lt;&gt;"O3/CP",$L$15=B$18,MID($L34,4,1)="2",$L$15&lt;&gt;$L$14),VLOOKUP(CONCATENATE(LEFT($L34,2),"L"),$R$63:$T$91,3,FALSE),0)+IF(AND($L34="O3/CP",$L$14=B$18),VLOOKUP("O3",$R$63:$T$91,3,FALSE)+VLOOKUP("CP",$R$63:$T$91,3,FALSE),0)+IF(AND($M34&lt;&gt;"",$M34&lt;&gt;"--",$M34&lt;&gt;"O3/CP",$M$14=B$18),IF(LEFT($M34,1)="P",VLOOKUP(CONCATENATE(LEFT($M34,2),"H"),$R$63:$T$91,3,FALSE),VLOOKUP($M34,$R$63:$T$91,3,FALSE)))+IF(AND($M34&lt;&gt;"",$M34&lt;&gt;"O3/CP",$M$15=B$18,MID($M34,4,1)="2",$M$15&lt;&gt;$M$14),VLOOKUP(CONCATENATE(LEFT($M34,2),"L"),$R$63:$T$91,3,FALSE),0)+IF(AND($M34="O3/CP",$M$14=B$18),VLOOKUP("O3",$R$63:$T$91,3,FALSE)+VLOOKUP("CP",$R$63:$T$91,3,FALSE),0)+IF(AND($N34&lt;&gt;"",$N34&lt;&gt;"--",$N34&lt;&gt;"O3/CP",$N$14=B$18),IF(LEFT($N34,1)="P",VLOOKUP(CONCATENATE(LEFT($N34,2),"H"),$R$63:$T$91,3,FALSE),VLOOKUP($N34,$R$63:$T$91,3,FALSE)))+IF(AND($N34&lt;&gt;"",$N34&lt;&gt;"O3/CP",$N$15=B$18,MID($N34,4,1)="2",$N$15&lt;&gt;$N$14),VLOOKUP(CONCATENATE(LEFT($N34,2),"L"),$R$63:$T$91,3,FALSE),0)+IF(AND($N34="O3/CP",$N$14=B$18),VLOOKUP("O3",$R$63:$T$91,3,FALSE)+VLOOKUP("CP",$R$63:$T$91,3,FALSE),0)+IF(AND($O34&lt;&gt;"",$O34&lt;&gt;"--",$O34&lt;&gt;"O3/CP",$O$14=B$18),IF(LEFT($O34,1)="P",VLOOKUP(CONCATENATE(LEFT($O34,2),"H"),$R$63:$T$91,3,FALSE),VLOOKUP($O34,$R$63:$T$91,3,FALSE)))+IF(AND($O34&lt;&gt;"",$O34&lt;&gt;"O3/CP",$O$15=B$18,MID($O34,4,1)="2",$O$15&lt;&gt;$O$14),VLOOKUP(CONCATENATE(LEFT($O34,2),"L"),$R$63:$T$91,3,FALSE),0)+IF(AND($O34="O3/CP",$O$14=B$18),VLOOKUP("O3",$R$63:$T$91,3,FALSE)+VLOOKUP("CP",$R$63:$T$91,3,FALSE),0)+IF(AND($P34&lt;&gt;"",$P34&lt;&gt;"--",$P34&lt;&gt;"O3/CP",$P$14=B$18),IF(LEFT($P34,1)="P",VLOOKUP(CONCATENATE(LEFT($P34,2),"H"),$R$63:$T$91,3,FALSE),VLOOKUP($P34,$R$63:$T$91,3,FALSE)))+IF(AND($P34&lt;&gt;"",$P34&lt;&gt;"O3/CP",$P$15=B$18,MID($P34,4,1)="2",$P$15&lt;&gt;$P$14),VLOOKUP(CONCATENATE(LEFT($P34,2),"L"),$R$63:$T$91,3,FALSE),0)+IF(AND($P34="O3/CP",$P$14=B$18),VLOOKUP("O3",$R$63:$T$91,3,FALSE)+VLOOKUP("CP",$R$63:$T$91,3,FALSE),0)+IF(AND($Q34&lt;&gt;"",$Q34&lt;&gt;"--",$Q34&lt;&gt;"O3/CP",$Q$14=B$18),IF(LEFT($Q34,1)="P",VLOOKUP(CONCATENATE(LEFT($Q34,2),"H"),$R$63:$T$91,3,FALSE),VLOOKUP($Q34,$R$63:$T$91,3,FALSE)))+IF(AND($Q34&lt;&gt;"",$Q34&lt;&gt;"O3/CP",$Q$15=B$18,MID($Q34,4,1)="2",$Q$15&lt;&gt;$Q$14),VLOOKUP(CONCATENATE(LEFT($Q34,2),"L"),$R$63:$T$91,3,FALSE),0)+IF(AND($Q34="O3/CP",$Q$14=B$18),VLOOKUP("O3",$R$63:$T$91,3,FALSE)+VLOOKUP("CP",$R$63:$T$91,3,FALSE),0)+IF(AND($R34&lt;&gt;"",$R34&lt;&gt;"--",$R34&lt;&gt;"O3/CP",$R$14=B$18),IF(LEFT($R34,1)="P",VLOOKUP(CONCATENATE(LEFT($R34,2),"H"),$R$63:$T$91,3,FALSE),VLOOKUP($R34,$R$63:$T$91,3,FALSE)))+IF(AND($R34&lt;&gt;"",$R34&lt;&gt;"O3/CP",$R$15=B$18,MID($R34,4,1)="2",$R$15&lt;&gt;$R$14),VLOOKUP(CONCATENATE(LEFT($R34,2),"L"),$R$63:$T$91,3,FALSE),0)+IF(AND($R34="O3/CP",$R$14=B$18),VLOOKUP("O3",$R$63:$T$91,3,FALSE)+VLOOKUP("CP",$R$63:$T$91,3,FALSE),0)+IF(AND($S34&lt;&gt;"",$S34&lt;&gt;"--",$S34&lt;&gt;"O3/CP",$S$14=B$18),IF(LEFT($S34,1)="P",VLOOKUP(CONCATENATE(LEFT($S34,2),"H"),$R$63:$T$91,3,FALSE),VLOOKUP($S34,$R$63:$T$91,3,FALSE)))+IF(AND($S34&lt;&gt;"",$S34&lt;&gt;"O3/CP",$S$15=B$18,MID($S34,4,1)="2",$S$15&lt;&gt;$S$14),VLOOKUP(CONCATENATE(LEFT($S34,2),"L"),$R$63:$T$91,3,FALSE),0)+IF(AND($S34="O3/CP",$S$14=B$18),VLOOKUP("O3",$R$63:$T$91,3,FALSE)+VLOOKUP("CP",$R$63:$T$91,3,FALSE),0)+IF(AND($T34&lt;&gt;"",$T34&lt;&gt;"--",$T34&lt;&gt;"O3/CP",$T$14=B$18),IF(LEFT($T34,1)="P",VLOOKUP(CONCATENATE(LEFT($T34,2),"H"),$R$63:$T$91,3,FALSE),VLOOKUP($T34,$R$63:$T$91,3,FALSE)))+IF(AND($T34&lt;&gt;"",$T34&lt;&gt;"O3/CP",$T$15=B$18,MID($T34,4,1)="2",$T$15&lt;&gt;$T$14),VLOOKUP(CONCATENATE(LEFT($T34,2),"L"),$R$63:$T$91,3,FALSE),0)+IF(AND($T34="O3/CP",$T$14=B$18),VLOOKUP("O3",$R$63:$T$91,3,FALSE)+VLOOKUP("CP",$R$63:$T$91,3,FALSE),0)+IF(AND($U34&lt;&gt;"",$U34&lt;&gt;"--",$U34&lt;&gt;"O3/CP",$U$14=B$18),IF(LEFT($U34,1)="P",VLOOKUP(CONCATENATE(LEFT($U34,2),"H"),$R$63:$T$91,3,FALSE),VLOOKUP($U34,$R$63:$T$91,3,FALSE)))+IF(AND($U34&lt;&gt;"",$U34&lt;&gt;"O3/CP",$U$15=B$18,MID($U34,4,1)="2",$U$15&lt;&gt;$U$14),VLOOKUP(CONCATENATE(LEFT($U34,2),"L"),$R$63:$T$91,3,FALSE),0)+IF(AND($U34="O3/CP",$T$14=B$18),VLOOKUP("O3",$R$63:$T$91,3,FALSE)+VLOOKUP("CP",$R$63:$T$91,3,FALSE),0)+IF(AND($V34&lt;&gt;"",$V34&lt;&gt;"--",$V34&lt;&gt;"O3/CP",$V$14=B$18),IF(LEFT($V34,1)="P",VLOOKUP(CONCATENATE(LEFT($V34,2),"H"),$R$63:$T$91,3,FALSE),VLOOKUP($V34,$R$63:$T$91,3,FALSE)))+IF(AND($V34&lt;&gt;"",$V34&lt;&gt;"O3/CP",$V$15=B$18,MID($V34,4,1)="2",$V$15&lt;&gt;$V$14),VLOOKUP(CONCATENATE(LEFT($V34,2),"L"),$R$63:$T$91,3,FALSE),0)+IF(AND($V34="O3/CP",$V$14=B$18),VLOOKUP("O3",$R$63:$T$91,3,FALSE)+VLOOKUP("CP",$R$63:$T$91,3,FALSE),0)+IF(AND($W34&lt;&gt;"",$W34&lt;&gt;"--",$W34&lt;&gt;"O3/CP",$W$14=B$18),IF(LEFT($W34,1)="P",VLOOKUP(CONCATENATE(LEFT($W34,2),"H"),$R$63:$T$91,3,FALSE),VLOOKUP($W34,$R$63:$T$91,3,FALSE)))+IF(AND($W34&lt;&gt;"",$W34&lt;&gt;"O3/CP",$W$15=B$18,MID($W34,4,1)="2",$W$15&lt;&gt;$W$14),VLOOKUP(CONCATENATE(LEFT($W34,2),"L"),$R$63:$T$91,3,FALSE),0)+IF(AND($W34="O3/CP",$W$14=B$18),VLOOKUP("O3",$R$63:$T$91,3,FALSE)+VLOOKUP("CP",$R$63:$T$91,3,FALSE),0)+IF(AND($X34&lt;&gt;"",$X34&lt;&gt;"--",$X34&lt;&gt;"O3/CP",$X$14=B$18),IF(LEFT($X34,1)="P",VLOOKUP(CONCATENATE(LEFT($X34,2),"H"),$R$63:$T$91,3,FALSE),VLOOKUP($X34,$R$63:$T$91,3,FALSE)))+IF(AND($X34&lt;&gt;"",$X34&lt;&gt;"O3/CP",$X$15=B$18,MID($X34,4,1)="2",$X$15&lt;&gt;$X$14),VLOOKUP(CONCATENATE(LEFT($X34,2),"L"),$R$63:$T$91,3,FALSE),0)+IF(AND($X34="O3/CP",$X$14=B$18),VLOOKUP("O3",$R$63:$T$91,3,FALSE)+VLOOKUP("CP",$R$63:$T$91,3,FALSE),0)+IF(AND($Y34&lt;&gt;"",$Y34&lt;&gt;"--",$Y34&lt;&gt;"O3/CP",$Y$14=B$18),IF(LEFT($Y34,1)="P",VLOOKUP(CONCATENATE(LEFT($Y34,2),"H"),$R$63:$T$91,3,FALSE),VLOOKUP($Y34,$R$63:$T$91,3,FALSE)))+IF(AND($Y34&lt;&gt;"",$Y34&lt;&gt;"O3/CP",$Y$15=B$18,MID($Y34,4,1)="2",$Y$15&lt;&gt;$Y$14),VLOOKUP(CONCATENATE(LEFT($Y34,2),"L"),$R$63:$T$91,3,FALSE),0)+IF(AND($Y34="O3/CP",$Y$14=B$18),VLOOKUP("O3",$R$63:$T$91,3,FALSE)+VLOOKUP("CP",$R$63:$T$91,3,FALSE),0)+IF(AND($K$6="CE",'[3]Supply Attribution'!$G$20=B$18),LEFT($S$90,2),0)+IF(AND($X$86&lt;&gt;"Not Set",$X$87=B$18),$X$86,0)</f>
        <v>0</v>
      </c>
      <c r="C34" s="269">
        <f>IF(AND($K34&lt;&gt;"",$K34&lt;&gt;"--",$K34&lt;&gt;"O3/CP",$K$14=C$18),IF(LEFT($K34,1)="P",VLOOKUP(CONCATENATE(LEFT($K34,2),"H"),$R$63:$T$91,3,FALSE),VLOOKUP($K34,$R$63:$T$91,3,FALSE)))+IF(AND($K34&lt;&gt;"",$K34&lt;&gt;"O3/CP",$K$15=C$18,MID($K34,4,1)="2",$K$15&lt;&gt;$K$14),VLOOKUP(CONCATENATE(LEFT($K34,2),"L"),$R$63:$T$91,3,FALSE),0)+IF(AND($K34="O3/CP",$K$14=C$18),VLOOKUP("O3",$R$63:$T$91,3,FALSE)+VLOOKUP("CP",$R$63:$T$91,3,FALSE),0)+IF(AND($L34&lt;&gt;"",$L34&lt;&gt;"--",$L34&lt;&gt;"O3/CP",$L$14=C$18),IF(LEFT($L34,1)="P",VLOOKUP(CONCATENATE(LEFT($L34,2),"H"),$R$63:$T$91,3,FALSE),VLOOKUP($L34,$R$63:$T$91,3,FALSE)))+IF(AND($L34&lt;&gt;"",$L34&lt;&gt;"O3/CP",$L$15=C$18,MID($L34,4,1)="2",$L$15&lt;&gt;$L$14),VLOOKUP(CONCATENATE(LEFT($L34,2),"L"),$R$63:$T$91,3,FALSE),0)+IF(AND($L34="O3/CP",$L$14=C$18),VLOOKUP("O3",$R$63:$T$91,3,FALSE)+VLOOKUP("CP",$R$63:$T$91,3,FALSE),0)+IF(AND($M34&lt;&gt;"",$M34&lt;&gt;"--",$M34&lt;&gt;"O3/CP",$M$14=C$18),IF(LEFT($M34,1)="P",VLOOKUP(CONCATENATE(LEFT($M34,2),"H"),$R$63:$T$91,3,FALSE),VLOOKUP($M34,$R$63:$T$91,3,FALSE)))+IF(AND($M34&lt;&gt;"",$M34&lt;&gt;"O3/CP",$M$15=C$18,MID($M34,4,1)="2",$M$15&lt;&gt;$M$14),VLOOKUP(CONCATENATE(LEFT($M34,2),"L"),$R$63:$T$91,3,FALSE),0)+IF(AND($M34="O3/CP",$M$14=C$18),VLOOKUP("O3",$R$63:$T$91,3,FALSE)+VLOOKUP("CP",$R$63:$T$91,3,FALSE),0)+IF(AND($N34&lt;&gt;"",$N34&lt;&gt;"--",$N34&lt;&gt;"O3/CP",$N$14=C$18),IF(LEFT($N34,1)="P",VLOOKUP(CONCATENATE(LEFT($N34,2),"H"),$R$63:$T$91,3,FALSE),VLOOKUP($N34,$R$63:$T$91,3,FALSE)))+IF(AND($N34&lt;&gt;"",$N34&lt;&gt;"O3/CP",$N$15=C$18,MID($N34,4,1)="2",$N$15&lt;&gt;$N$14),VLOOKUP(CONCATENATE(LEFT($N34,2),"L"),$R$63:$T$91,3,FALSE),0)+IF(AND($N34="O3/CP",$N$14=C$18),VLOOKUP("O3",$R$63:$T$91,3,FALSE)+VLOOKUP("CP",$R$63:$T$91,3,FALSE),0)+IF(AND($O34&lt;&gt;"",$O34&lt;&gt;"--",$O34&lt;&gt;"O3/CP",$O$14=C$18),IF(LEFT($O34,1)="P",VLOOKUP(CONCATENATE(LEFT($O34,2),"H"),$R$63:$T$91,3,FALSE),VLOOKUP($O34,$R$63:$T$91,3,FALSE)))+IF(AND($O34&lt;&gt;"",$O34&lt;&gt;"O3/CP",$O$15=C$18,MID($O34,4,1)="2",$O$15&lt;&gt;$O$14),VLOOKUP(CONCATENATE(LEFT($O34,2),"L"),$R$63:$T$91,3,FALSE),0)+IF(AND($O34="O3/CP",$O$14=C$18),VLOOKUP("O3",$R$63:$T$91,3,FALSE)+VLOOKUP("CP",$R$63:$T$91,3,FALSE),0)+IF(AND($P34&lt;&gt;"",$P34&lt;&gt;"--",$P34&lt;&gt;"O3/CP",$P$14=C$18),IF(LEFT($P34,1)="P",VLOOKUP(CONCATENATE(LEFT($P34,2),"H"),$R$63:$T$91,3,FALSE),VLOOKUP($P34,$R$63:$T$91,3,FALSE)))+IF(AND($P34&lt;&gt;"",$P34&lt;&gt;"O3/CP",$P$15=C$18,MID($P34,4,1)="2",$P$15&lt;&gt;$P$14),VLOOKUP(CONCATENATE(LEFT($P34,2),"L"),$R$63:$T$91,3,FALSE),0)+IF(AND($P34="O3/CP",$P$14=C$18),VLOOKUP("O3",$R$63:$T$91,3,FALSE)+VLOOKUP("CP",$R$63:$T$91,3,FALSE),0)+IF(AND($Q34&lt;&gt;"",$Q34&lt;&gt;"--",$Q34&lt;&gt;"O3/CP",$Q$14=C$18),IF(LEFT($Q34,1)="P",VLOOKUP(CONCATENATE(LEFT($Q34,2),"H"),$R$63:$T$91,3,FALSE),VLOOKUP($Q34,$R$63:$T$91,3,FALSE)))+IF(AND($Q34&lt;&gt;"",$Q34&lt;&gt;"O3/CP",$Q$15=C$18,MID($Q34,4,1)="2",$Q$15&lt;&gt;$Q$14),VLOOKUP(CONCATENATE(LEFT($Q34,2),"L"),$R$63:$T$91,3,FALSE),0)+IF(AND($Q34="O3/CP",$Q$14=C$18),VLOOKUP("O3",$R$63:$T$91,3,FALSE)+VLOOKUP("CP",$R$63:$T$91,3,FALSE),0)+IF(AND($R34&lt;&gt;"",$R34&lt;&gt;"--",$R34&lt;&gt;"O3/CP",$R$14=C$18),IF(LEFT($R34,1)="P",VLOOKUP(CONCATENATE(LEFT($R34,2),"H"),$R$63:$T$91,3,FALSE),VLOOKUP($R34,$R$63:$T$91,3,FALSE)))+IF(AND($R34&lt;&gt;"",$R34&lt;&gt;"O3/CP",$R$15=C$18,MID($R34,4,1)="2",$R$15&lt;&gt;$R$14),VLOOKUP(CONCATENATE(LEFT($R34,2),"L"),$R$63:$T$91,3,FALSE),0)+IF(AND($R34="O3/CP",$R$14=C$18),VLOOKUP("O3",$R$63:$T$91,3,FALSE)+VLOOKUP("CP",$R$63:$T$91,3,FALSE),0)+IF(AND($S34&lt;&gt;"",$S34&lt;&gt;"--",$S34&lt;&gt;"O3/CP",$S$14=C$18),IF(LEFT($S34,1)="P",VLOOKUP(CONCATENATE(LEFT($S34,2),"H"),$R$63:$T$91,3,FALSE),VLOOKUP($S34,$R$63:$T$91,3,FALSE)))+IF(AND($S34&lt;&gt;"",$S34&lt;&gt;"O3/CP",$S$15=C$18,MID($S34,4,1)="2",$S$15&lt;&gt;$S$14),VLOOKUP(CONCATENATE(LEFT($S34,2),"L"),$R$63:$T$91,3,FALSE),0)+IF(AND($S34="O3/CP",$S$14=C$18),VLOOKUP("O3",$R$63:$T$91,3,FALSE)+VLOOKUP("CP",$R$63:$T$91,3,FALSE),0)+IF(AND($T34&lt;&gt;"",$T34&lt;&gt;"--",$T34&lt;&gt;"O3/CP",$T$14=C$18),IF(LEFT($T34,1)="P",VLOOKUP(CONCATENATE(LEFT($T34,2),"H"),$R$63:$T$91,3,FALSE),VLOOKUP($T34,$R$63:$T$91,3,FALSE)))+IF(AND($T34&lt;&gt;"",$T34&lt;&gt;"O3/CP",$T$15=C$18,MID($T34,4,1)="2",$T$15&lt;&gt;$T$14),VLOOKUP(CONCATENATE(LEFT($T34,2),"L"),$R$63:$T$91,3,FALSE),0)+IF(AND($T34="O3/CP",$T$14=C$18),VLOOKUP("O3",$R$63:$T$91,3,FALSE)+VLOOKUP("CP",$R$63:$T$91,3,FALSE),0)+IF(AND($U34&lt;&gt;"",$U34&lt;&gt;"--",$U34&lt;&gt;"O3/CP",$U$14=C$18),IF(LEFT($U34,1)="P",VLOOKUP(CONCATENATE(LEFT($U34,2),"H"),$R$63:$T$91,3,FALSE),VLOOKUP($U34,$R$63:$T$91,3,FALSE)))+IF(AND($U34&lt;&gt;"",$U34&lt;&gt;"O3/CP",$U$15=C$18,MID($U34,4,1)="2",$U$15&lt;&gt;$U$14),VLOOKUP(CONCATENATE(LEFT($U34,2),"L"),$R$63:$T$91,3,FALSE),0)+IF(AND($U34="O3/CP",$T$14=C$18),VLOOKUP("O3",$R$63:$T$91,3,FALSE)+VLOOKUP("CP",$R$63:$T$91,3,FALSE),0)+IF(AND($V34&lt;&gt;"",$V34&lt;&gt;"--",$V34&lt;&gt;"O3/CP",$V$14=C$18),IF(LEFT($V34,1)="P",VLOOKUP(CONCATENATE(LEFT($V34,2),"H"),$R$63:$T$91,3,FALSE),VLOOKUP($V34,$R$63:$T$91,3,FALSE)))+IF(AND($V34&lt;&gt;"",$V34&lt;&gt;"O3/CP",$V$15=C$18,MID($V34,4,1)="2",$V$15&lt;&gt;$V$14),VLOOKUP(CONCATENATE(LEFT($V34,2),"L"),$R$63:$T$91,3,FALSE),0)+IF(AND($V34="O3/CP",$V$14=C$18),VLOOKUP("O3",$R$63:$T$91,3,FALSE)+VLOOKUP("CP",$R$63:$T$91,3,FALSE),0)+IF(AND($W34&lt;&gt;"",$W34&lt;&gt;"--",$W34&lt;&gt;"O3/CP",$W$14=C$18),IF(LEFT($W34,1)="P",VLOOKUP(CONCATENATE(LEFT($W34,2),"H"),$R$63:$T$91,3,FALSE),VLOOKUP($W34,$R$63:$T$91,3,FALSE)))+IF(AND($W34&lt;&gt;"",$W34&lt;&gt;"O3/CP",$W$15=C$18,MID($W34,4,1)="2",$W$15&lt;&gt;$W$14),VLOOKUP(CONCATENATE(LEFT($W34,2),"L"),$R$63:$T$91,3,FALSE),0)+IF(AND($W34="O3/CP",$W$14=C$18),VLOOKUP("O3",$R$63:$T$91,3,FALSE)+VLOOKUP("CP",$R$63:$T$91,3,FALSE),0)+IF(AND($X34&lt;&gt;"",$X34&lt;&gt;"--",$X34&lt;&gt;"O3/CP",$X$14=C$18),IF(LEFT($X34,1)="P",VLOOKUP(CONCATENATE(LEFT($X34,2),"H"),$R$63:$T$91,3,FALSE),VLOOKUP($X34,$R$63:$T$91,3,FALSE)))+IF(AND($X34&lt;&gt;"",$X34&lt;&gt;"O3/CP",$X$15=C$18,MID($X34,4,1)="2",$X$15&lt;&gt;$X$14),VLOOKUP(CONCATENATE(LEFT($X34,2),"L"),$R$63:$T$91,3,FALSE),0)+IF(AND($X34="O3/CP",$X$14=C$18),VLOOKUP("O3",$R$63:$T$91,3,FALSE)+VLOOKUP("CP",$R$63:$T$91,3,FALSE),0)+IF(AND($Y34&lt;&gt;"",$Y34&lt;&gt;"--",$Y34&lt;&gt;"O3/CP",$Y$14=C$18),IF(LEFT($Y34,1)="P",VLOOKUP(CONCATENATE(LEFT($Y34,2),"H"),$R$63:$T$91,3,FALSE),VLOOKUP($Y34,$R$63:$T$91,3,FALSE)))+IF(AND($Y34&lt;&gt;"",$Y34&lt;&gt;"O3/CP",$Y$15=C$18,MID($Y34,4,1)="2",$Y$15&lt;&gt;$Y$14),VLOOKUP(CONCATENATE(LEFT($Y34,2),"L"),$R$63:$T$91,3,FALSE),0)+IF(AND($Y34="O3/CP",$Y$14=C$18),VLOOKUP("O3",$R$63:$T$91,3,FALSE)+VLOOKUP("CP",$R$63:$T$91,3,FALSE),0)+IF(AND($K$6="CE",'[3]Supply Attribution'!$G$20=C$18),LEFT($S$90,2),0)+IF(AND($X$86&lt;&gt;"Not Set",$X$87=C$18),$X$86,0)</f>
        <v>0</v>
      </c>
      <c r="D34" s="269">
        <f>IF(AND($K34&lt;&gt;"",$K34&lt;&gt;"--",$K34&lt;&gt;"O3/CP",$K$14=D$18),IF(LEFT($K34,1)="P",VLOOKUP(CONCATENATE(LEFT($K34,2),"H"),$R$63:$T$91,3,FALSE),VLOOKUP($K34,$R$63:$T$91,3,FALSE)))+IF(AND($K34&lt;&gt;"",$K34&lt;&gt;"O3/CP",$K$15=D$18,MID($K34,4,1)="2",$K$15&lt;&gt;$K$14),VLOOKUP(CONCATENATE(LEFT($K34,2),"L"),$R$63:$T$91,3,FALSE),0)+IF(AND($K34="O3/CP",$K$14=D$18),VLOOKUP("O3",$R$63:$T$91,3,FALSE)+VLOOKUP("CP",$R$63:$T$91,3,FALSE),0)+IF(AND($L34&lt;&gt;"",$L34&lt;&gt;"--",$L34&lt;&gt;"O3/CP",$L$14=D$18),IF(LEFT($L34,1)="P",VLOOKUP(CONCATENATE(LEFT($L34,2),"H"),$R$63:$T$91,3,FALSE),VLOOKUP($L34,$R$63:$T$91,3,FALSE)))+IF(AND($L34&lt;&gt;"",$L34&lt;&gt;"O3/CP",$L$15=D$18,MID($L34,4,1)="2",$L$15&lt;&gt;$L$14),VLOOKUP(CONCATENATE(LEFT($L34,2),"L"),$R$63:$T$91,3,FALSE),0)+IF(AND($L34="O3/CP",$L$14=D$18),VLOOKUP("O3",$R$63:$T$91,3,FALSE)+VLOOKUP("CP",$R$63:$T$91,3,FALSE),0)+IF(AND($M34&lt;&gt;"",$M34&lt;&gt;"--",$M34&lt;&gt;"O3/CP",$M$14=D$18),IF(LEFT($M34,1)="P",VLOOKUP(CONCATENATE(LEFT($M34,2),"H"),$R$63:$T$91,3,FALSE),VLOOKUP($M34,$R$63:$T$91,3,FALSE)))+IF(AND($M34&lt;&gt;"",$M34&lt;&gt;"O3/CP",$M$15=D$18,MID($M34,4,1)="2",$M$15&lt;&gt;$M$14),VLOOKUP(CONCATENATE(LEFT($M34,2),"L"),$R$63:$T$91,3,FALSE),0)+IF(AND($M34="O3/CP",$M$14=D$18),VLOOKUP("O3",$R$63:$T$91,3,FALSE)+VLOOKUP("CP",$R$63:$T$91,3,FALSE),0)+IF(AND($N34&lt;&gt;"",$N34&lt;&gt;"--",$N34&lt;&gt;"O3/CP",$N$14=D$18),IF(LEFT($N34,1)="P",VLOOKUP(CONCATENATE(LEFT($N34,2),"H"),$R$63:$T$91,3,FALSE),VLOOKUP($N34,$R$63:$T$91,3,FALSE)))+IF(AND($N34&lt;&gt;"",$N34&lt;&gt;"O3/CP",$N$15=D$18,MID($N34,4,1)="2",$N$15&lt;&gt;$N$14),VLOOKUP(CONCATENATE(LEFT($N34,2),"L"),$R$63:$T$91,3,FALSE),0)+IF(AND($N34="O3/CP",$N$14=D$18),VLOOKUP("O3",$R$63:$T$91,3,FALSE)+VLOOKUP("CP",$R$63:$T$91,3,FALSE),0)+IF(AND($O34&lt;&gt;"",$O34&lt;&gt;"--",$O34&lt;&gt;"O3/CP",$O$14=D$18),IF(LEFT($O34,1)="P",VLOOKUP(CONCATENATE(LEFT($O34,2),"H"),$R$63:$T$91,3,FALSE),VLOOKUP($O34,$R$63:$T$91,3,FALSE)))+IF(AND($O34&lt;&gt;"",$O34&lt;&gt;"O3/CP",$O$15=D$18,MID($O34,4,1)="2",$O$15&lt;&gt;$O$14),VLOOKUP(CONCATENATE(LEFT($O34,2),"L"),$R$63:$T$91,3,FALSE),0)+IF(AND($O34="O3/CP",$O$14=D$18),VLOOKUP("O3",$R$63:$T$91,3,FALSE)+VLOOKUP("CP",$R$63:$T$91,3,FALSE),0)+IF(AND($P34&lt;&gt;"",$P34&lt;&gt;"--",$P34&lt;&gt;"O3/CP",$P$14=D$18),IF(LEFT($P34,1)="P",VLOOKUP(CONCATENATE(LEFT($P34,2),"H"),$R$63:$T$91,3,FALSE),VLOOKUP($P34,$R$63:$T$91,3,FALSE)))+IF(AND($P34&lt;&gt;"",$P34&lt;&gt;"O3/CP",$P$15=D$18,MID($P34,4,1)="2",$P$15&lt;&gt;$P$14),VLOOKUP(CONCATENATE(LEFT($P34,2),"L"),$R$63:$T$91,3,FALSE),0)+IF(AND($P34="O3/CP",$P$14=D$18),VLOOKUP("O3",$R$63:$T$91,3,FALSE)+VLOOKUP("CP",$R$63:$T$91,3,FALSE),0)+IF(AND($Q34&lt;&gt;"",$Q34&lt;&gt;"--",$Q34&lt;&gt;"O3/CP",$Q$14=D$18),IF(LEFT($Q34,1)="P",VLOOKUP(CONCATENATE(LEFT($Q34,2),"H"),$R$63:$T$91,3,FALSE),VLOOKUP($Q34,$R$63:$T$91,3,FALSE)))+IF(AND($Q34&lt;&gt;"",$Q34&lt;&gt;"O3/CP",$Q$15=D$18,MID($Q34,4,1)="2",$Q$15&lt;&gt;$Q$14),VLOOKUP(CONCATENATE(LEFT($Q34,2),"L"),$R$63:$T$91,3,FALSE),0)+IF(AND($Q34="O3/CP",$Q$14=D$18),VLOOKUP("O3",$R$63:$T$91,3,FALSE)+VLOOKUP("CP",$R$63:$T$91,3,FALSE),0)+IF(AND($R34&lt;&gt;"",$R34&lt;&gt;"--",$R34&lt;&gt;"O3/CP",$R$14=D$18),IF(LEFT($R34,1)="P",VLOOKUP(CONCATENATE(LEFT($R34,2),"H"),$R$63:$T$91,3,FALSE),VLOOKUP($R34,$R$63:$T$91,3,FALSE)))+IF(AND($R34&lt;&gt;"",$R34&lt;&gt;"O3/CP",$R$15=D$18,MID($R34,4,1)="2",$R$15&lt;&gt;$R$14),VLOOKUP(CONCATENATE(LEFT($R34,2),"L"),$R$63:$T$91,3,FALSE),0)+IF(AND($R34="O3/CP",$R$14=D$18),VLOOKUP("O3",$R$63:$T$91,3,FALSE)+VLOOKUP("CP",$R$63:$T$91,3,FALSE),0)+IF(AND($S34&lt;&gt;"",$S34&lt;&gt;"--",$S34&lt;&gt;"O3/CP",$S$14=D$18),IF(LEFT($S34,1)="P",VLOOKUP(CONCATENATE(LEFT($S34,2),"H"),$R$63:$T$91,3,FALSE),VLOOKUP($S34,$R$63:$T$91,3,FALSE)))+IF(AND($S34&lt;&gt;"",$S34&lt;&gt;"O3/CP",$S$15=D$18,MID($S34,4,1)="2",$S$15&lt;&gt;$S$14),VLOOKUP(CONCATENATE(LEFT($S34,2),"L"),$R$63:$T$91,3,FALSE),0)+IF(AND($S34="O3/CP",$S$14=D$18),VLOOKUP("O3",$R$63:$T$91,3,FALSE)+VLOOKUP("CP",$R$63:$T$91,3,FALSE),0)+IF(AND($T34&lt;&gt;"",$T34&lt;&gt;"--",$T34&lt;&gt;"O3/CP",$T$14=D$18),IF(LEFT($T34,1)="P",VLOOKUP(CONCATENATE(LEFT($T34,2),"H"),$R$63:$T$91,3,FALSE),VLOOKUP($T34,$R$63:$T$91,3,FALSE)))+IF(AND($T34&lt;&gt;"",$T34&lt;&gt;"O3/CP",$T$15=D$18,MID($T34,4,1)="2",$T$15&lt;&gt;$T$14),VLOOKUP(CONCATENATE(LEFT($T34,2),"L"),$R$63:$T$91,3,FALSE),0)+IF(AND($T34="O3/CP",$T$14=D$18),VLOOKUP("O3",$R$63:$T$91,3,FALSE)+VLOOKUP("CP",$R$63:$T$91,3,FALSE),0)+IF(AND($U34&lt;&gt;"",$U34&lt;&gt;"--",$U34&lt;&gt;"O3/CP",$U$14=D$18),IF(LEFT($U34,1)="P",VLOOKUP(CONCATENATE(LEFT($U34,2),"H"),$R$63:$T$91,3,FALSE),VLOOKUP($U34,$R$63:$T$91,3,FALSE)))+IF(AND($U34&lt;&gt;"",$U34&lt;&gt;"O3/CP",$U$15=D$18,MID($U34,4,1)="2",$U$15&lt;&gt;$U$14),VLOOKUP(CONCATENATE(LEFT($U34,2),"L"),$R$63:$T$91,3,FALSE),0)+IF(AND($U34="O3/CP",$T$14=D$18),VLOOKUP("O3",$R$63:$T$91,3,FALSE)+VLOOKUP("CP",$R$63:$T$91,3,FALSE),0)+IF(AND($V34&lt;&gt;"",$V34&lt;&gt;"--",$V34&lt;&gt;"O3/CP",$V$14=D$18),IF(LEFT($V34,1)="P",VLOOKUP(CONCATENATE(LEFT($V34,2),"H"),$R$63:$T$91,3,FALSE),VLOOKUP($V34,$R$63:$T$91,3,FALSE)))+IF(AND($V34&lt;&gt;"",$V34&lt;&gt;"O3/CP",$V$15=D$18,MID($V34,4,1)="2",$V$15&lt;&gt;$V$14),VLOOKUP(CONCATENATE(LEFT($V34,2),"L"),$R$63:$T$91,3,FALSE),0)+IF(AND($V34="O3/CP",$V$14=D$18),VLOOKUP("O3",$R$63:$T$91,3,FALSE)+VLOOKUP("CP",$R$63:$T$91,3,FALSE),0)+IF(AND($W34&lt;&gt;"",$W34&lt;&gt;"--",$W34&lt;&gt;"O3/CP",$W$14=D$18),IF(LEFT($W34,1)="P",VLOOKUP(CONCATENATE(LEFT($W34,2),"H"),$R$63:$T$91,3,FALSE),VLOOKUP($W34,$R$63:$T$91,3,FALSE)))+IF(AND($W34&lt;&gt;"",$W34&lt;&gt;"O3/CP",$W$15=D$18,MID($W34,4,1)="2",$W$15&lt;&gt;$W$14),VLOOKUP(CONCATENATE(LEFT($W34,2),"L"),$R$63:$T$91,3,FALSE),0)+IF(AND($W34="O3/CP",$W$14=D$18),VLOOKUP("O3",$R$63:$T$91,3,FALSE)+VLOOKUP("CP",$R$63:$T$91,3,FALSE),0)+IF(AND($X34&lt;&gt;"",$X34&lt;&gt;"--",$X34&lt;&gt;"O3/CP",$X$14=D$18),IF(LEFT($X34,1)="P",VLOOKUP(CONCATENATE(LEFT($X34,2),"H"),$R$63:$T$91,3,FALSE),VLOOKUP($X34,$R$63:$T$91,3,FALSE)))+IF(AND($X34&lt;&gt;"",$X34&lt;&gt;"O3/CP",$X$15=D$18,MID($X34,4,1)="2",$X$15&lt;&gt;$X$14),VLOOKUP(CONCATENATE(LEFT($X34,2),"L"),$R$63:$T$91,3,FALSE),0)+IF(AND($X34="O3/CP",$X$14=D$18),VLOOKUP("O3",$R$63:$T$91,3,FALSE)+VLOOKUP("CP",$R$63:$T$91,3,FALSE),0)+IF(AND($Y34&lt;&gt;"",$Y34&lt;&gt;"--",$Y34&lt;&gt;"O3/CP",$Y$14=D$18),IF(LEFT($Y34,1)="P",VLOOKUP(CONCATENATE(LEFT($Y34,2),"H"),$R$63:$T$91,3,FALSE),VLOOKUP($Y34,$R$63:$T$91,3,FALSE)))+IF(AND($Y34&lt;&gt;"",$Y34&lt;&gt;"O3/CP",$Y$15=D$18,MID($Y34,4,1)="2",$Y$15&lt;&gt;$Y$14),VLOOKUP(CONCATENATE(LEFT($Y34,2),"L"),$R$63:$T$91,3,FALSE),0)+IF(AND($Y34="O3/CP",$Y$14=D$18),VLOOKUP("O3",$R$63:$T$91,3,FALSE)+VLOOKUP("CP",$R$63:$T$91,3,FALSE),0)+IF(AND($K$6="CE",'[3]Supply Attribution'!$G$20=D$18),LEFT($S$90,2),0)+IF(AND($X$86&lt;&gt;"Not Set",$X$87=D$18),$X$86,0)</f>
        <v>0</v>
      </c>
      <c r="E34" s="269">
        <f>IF(AND($K34&lt;&gt;"",$K34&lt;&gt;"--",$K34&lt;&gt;"O3/CP",$K$14=E$18),IF(LEFT($K34,1)="P",VLOOKUP(CONCATENATE(LEFT($K34,2),"H"),$R$63:$T$91,3,FALSE),VLOOKUP($K34,$R$63:$T$91,3,FALSE)))+IF(AND($K34&lt;&gt;"",$K34&lt;&gt;"O3/CP",$K$15=E$18,MID($K34,4,1)="2",$K$15&lt;&gt;$K$14),VLOOKUP(CONCATENATE(LEFT($K34,2),"L"),$R$63:$T$91,3,FALSE),0)+IF(AND($K34="O3/CP",$K$14=E$18),VLOOKUP("O3",$R$63:$T$91,3,FALSE)+VLOOKUP("CP",$R$63:$T$91,3,FALSE),0)+IF(AND($L34&lt;&gt;"",$L34&lt;&gt;"--",$L34&lt;&gt;"O3/CP",$L$14=E$18),IF(LEFT($L34,1)="P",VLOOKUP(CONCATENATE(LEFT($L34,2),"H"),$R$63:$T$91,3,FALSE),VLOOKUP($L34,$R$63:$T$91,3,FALSE)))+IF(AND($L34&lt;&gt;"",$L34&lt;&gt;"O3/CP",$L$15=E$18,MID($L34,4,1)="2",$L$15&lt;&gt;$L$14),VLOOKUP(CONCATENATE(LEFT($L34,2),"L"),$R$63:$T$91,3,FALSE),0)+IF(AND($L34="O3/CP",$L$14=E$18),VLOOKUP("O3",$R$63:$T$91,3,FALSE)+VLOOKUP("CP",$R$63:$T$91,3,FALSE),0)+IF(AND($M34&lt;&gt;"",$M34&lt;&gt;"--",$M34&lt;&gt;"O3/CP",$M$14=E$18),IF(LEFT($M34,1)="P",VLOOKUP(CONCATENATE(LEFT($M34,2),"H"),$R$63:$T$91,3,FALSE),VLOOKUP($M34,$R$63:$T$91,3,FALSE)))+IF(AND($M34&lt;&gt;"",$M34&lt;&gt;"O3/CP",$M$15=E$18,MID($M34,4,1)="2",$M$15&lt;&gt;$M$14),VLOOKUP(CONCATENATE(LEFT($M34,2),"L"),$R$63:$T$91,3,FALSE),0)+IF(AND($M34="O3/CP",$M$14=E$18),VLOOKUP("O3",$R$63:$T$91,3,FALSE)+VLOOKUP("CP",$R$63:$T$91,3,FALSE),0)+IF(AND($N34&lt;&gt;"",$N34&lt;&gt;"--",$N34&lt;&gt;"O3/CP",$N$14=E$18),IF(LEFT($N34,1)="P",VLOOKUP(CONCATENATE(LEFT($N34,2),"H"),$R$63:$T$91,3,FALSE),VLOOKUP($N34,$R$63:$T$91,3,FALSE)))+IF(AND($N34&lt;&gt;"",$N34&lt;&gt;"O3/CP",$N$15=E$18,MID($N34,4,1)="2",$N$15&lt;&gt;$N$14),VLOOKUP(CONCATENATE(LEFT($N34,2),"L"),$R$63:$T$91,3,FALSE),0)+IF(AND($N34="O3/CP",$N$14=E$18),VLOOKUP("O3",$R$63:$T$91,3,FALSE)+VLOOKUP("CP",$R$63:$T$91,3,FALSE),0)+IF(AND($O34&lt;&gt;"",$O34&lt;&gt;"--",$O34&lt;&gt;"O3/CP",$O$14=E$18),IF(LEFT($O34,1)="P",VLOOKUP(CONCATENATE(LEFT($O34,2),"H"),$R$63:$T$91,3,FALSE),VLOOKUP($O34,$R$63:$T$91,3,FALSE)))+IF(AND($O34&lt;&gt;"",$O34&lt;&gt;"O3/CP",$O$15=E$18,MID($O34,4,1)="2",$O$15&lt;&gt;$O$14),VLOOKUP(CONCATENATE(LEFT($O34,2),"L"),$R$63:$T$91,3,FALSE),0)+IF(AND($O34="O3/CP",$O$14=E$18),VLOOKUP("O3",$R$63:$T$91,3,FALSE)+VLOOKUP("CP",$R$63:$T$91,3,FALSE),0)+IF(AND($P34&lt;&gt;"",$P34&lt;&gt;"--",$P34&lt;&gt;"O3/CP",$P$14=E$18),IF(LEFT($P34,1)="P",VLOOKUP(CONCATENATE(LEFT($P34,2),"H"),$R$63:$T$91,3,FALSE),VLOOKUP($P34,$R$63:$T$91,3,FALSE)))+IF(AND($P34&lt;&gt;"",$P34&lt;&gt;"O3/CP",$P$15=E$18,MID($P34,4,1)="2",$P$15&lt;&gt;$P$14),VLOOKUP(CONCATENATE(LEFT($P34,2),"L"),$R$63:$T$91,3,FALSE),0)+IF(AND($P34="O3/CP",$P$14=E$18),VLOOKUP("O3",$R$63:$T$91,3,FALSE)+VLOOKUP("CP",$R$63:$T$91,3,FALSE),0)+IF(AND($Q34&lt;&gt;"",$Q34&lt;&gt;"--",$Q34&lt;&gt;"O3/CP",$Q$14=E$18),IF(LEFT($Q34,1)="P",VLOOKUP(CONCATENATE(LEFT($Q34,2),"H"),$R$63:$T$91,3,FALSE),VLOOKUP($Q34,$R$63:$T$91,3,FALSE)))+IF(AND($Q34&lt;&gt;"",$Q34&lt;&gt;"O3/CP",$Q$15=E$18,MID($Q34,4,1)="2",$Q$15&lt;&gt;$Q$14),VLOOKUP(CONCATENATE(LEFT($Q34,2),"L"),$R$63:$T$91,3,FALSE),0)+IF(AND($Q34="O3/CP",$Q$14=E$18),VLOOKUP("O3",$R$63:$T$91,3,FALSE)+VLOOKUP("CP",$R$63:$T$91,3,FALSE),0)+IF(AND($R34&lt;&gt;"",$R34&lt;&gt;"--",$R34&lt;&gt;"O3/CP",$R$14=E$18),IF(LEFT($R34,1)="P",VLOOKUP(CONCATENATE(LEFT($R34,2),"H"),$R$63:$T$91,3,FALSE),VLOOKUP($R34,$R$63:$T$91,3,FALSE)))+IF(AND($R34&lt;&gt;"",$R34&lt;&gt;"O3/CP",$R$15=E$18,MID($R34,4,1)="2",$R$15&lt;&gt;$R$14),VLOOKUP(CONCATENATE(LEFT($R34,2),"L"),$R$63:$T$91,3,FALSE),0)+IF(AND($R34="O3/CP",$R$14=E$18),VLOOKUP("O3",$R$63:$T$91,3,FALSE)+VLOOKUP("CP",$R$63:$T$91,3,FALSE),0)+IF(AND($S34&lt;&gt;"",$S34&lt;&gt;"--",$S34&lt;&gt;"O3/CP",$S$14=E$18),IF(LEFT($S34,1)="P",VLOOKUP(CONCATENATE(LEFT($S34,2),"H"),$R$63:$T$91,3,FALSE),VLOOKUP($S34,$R$63:$T$91,3,FALSE)))+IF(AND($S34&lt;&gt;"",$S34&lt;&gt;"O3/CP",$S$15=E$18,MID($S34,4,1)="2",$S$15&lt;&gt;$S$14),VLOOKUP(CONCATENATE(LEFT($S34,2),"L"),$R$63:$T$91,3,FALSE),0)+IF(AND($S34="O3/CP",$S$14=E$18),VLOOKUP("O3",$R$63:$T$91,3,FALSE)+VLOOKUP("CP",$R$63:$T$91,3,FALSE),0)+IF(AND($T34&lt;&gt;"",$T34&lt;&gt;"--",$T34&lt;&gt;"O3/CP",$T$14=E$18),IF(LEFT($T34,1)="P",VLOOKUP(CONCATENATE(LEFT($T34,2),"H"),$R$63:$T$91,3,FALSE),VLOOKUP($T34,$R$63:$T$91,3,FALSE)))+IF(AND($T34&lt;&gt;"",$T34&lt;&gt;"O3/CP",$T$15=E$18,MID($T34,4,1)="2",$T$15&lt;&gt;$T$14),VLOOKUP(CONCATENATE(LEFT($T34,2),"L"),$R$63:$T$91,3,FALSE),0)+IF(AND($T34="O3/CP",$T$14=E$18),VLOOKUP("O3",$R$63:$T$91,3,FALSE)+VLOOKUP("CP",$R$63:$T$91,3,FALSE),0)+IF(AND($U34&lt;&gt;"",$U34&lt;&gt;"--",$U34&lt;&gt;"O3/CP",$U$14=E$18),IF(LEFT($U34,1)="P",VLOOKUP(CONCATENATE(LEFT($U34,2),"H"),$R$63:$T$91,3,FALSE),VLOOKUP($U34,$R$63:$T$91,3,FALSE)))+IF(AND($U34&lt;&gt;"",$U34&lt;&gt;"O3/CP",$U$15=E$18,MID($U34,4,1)="2",$U$15&lt;&gt;$U$14),VLOOKUP(CONCATENATE(LEFT($U34,2),"L"),$R$63:$T$91,3,FALSE),0)+IF(AND($U34="O3/CP",$T$14=E$18),VLOOKUP("O3",$R$63:$T$91,3,FALSE)+VLOOKUP("CP",$R$63:$T$91,3,FALSE),0)+IF(AND($V34&lt;&gt;"",$V34&lt;&gt;"--",$V34&lt;&gt;"O3/CP",$V$14=E$18),IF(LEFT($V34,1)="P",VLOOKUP(CONCATENATE(LEFT($V34,2),"H"),$R$63:$T$91,3,FALSE),VLOOKUP($V34,$R$63:$T$91,3,FALSE)))+IF(AND($V34&lt;&gt;"",$V34&lt;&gt;"O3/CP",$V$15=E$18,MID($V34,4,1)="2",$V$15&lt;&gt;$V$14),VLOOKUP(CONCATENATE(LEFT($V34,2),"L"),$R$63:$T$91,3,FALSE),0)+IF(AND($V34="O3/CP",$V$14=E$18),VLOOKUP("O3",$R$63:$T$91,3,FALSE)+VLOOKUP("CP",$R$63:$T$91,3,FALSE),0)+IF(AND($W34&lt;&gt;"",$W34&lt;&gt;"--",$W34&lt;&gt;"O3/CP",$W$14=E$18),IF(LEFT($W34,1)="P",VLOOKUP(CONCATENATE(LEFT($W34,2),"H"),$R$63:$T$91,3,FALSE),VLOOKUP($W34,$R$63:$T$91,3,FALSE)))+IF(AND($W34&lt;&gt;"",$W34&lt;&gt;"O3/CP",$W$15=E$18,MID($W34,4,1)="2",$W$15&lt;&gt;$W$14),VLOOKUP(CONCATENATE(LEFT($W34,2),"L"),$R$63:$T$91,3,FALSE),0)+IF(AND($W34="O3/CP",$W$14=E$18),VLOOKUP("O3",$R$63:$T$91,3,FALSE)+VLOOKUP("CP",$R$63:$T$91,3,FALSE),0)+IF(AND($X34&lt;&gt;"",$X34&lt;&gt;"--",$X34&lt;&gt;"O3/CP",$X$14=E$18),IF(LEFT($X34,1)="P",VLOOKUP(CONCATENATE(LEFT($X34,2),"H"),$R$63:$T$91,3,FALSE),VLOOKUP($X34,$R$63:$T$91,3,FALSE)))+IF(AND($X34&lt;&gt;"",$X34&lt;&gt;"O3/CP",$X$15=E$18,MID($X34,4,1)="2",$X$15&lt;&gt;$X$14),VLOOKUP(CONCATENATE(LEFT($X34,2),"L"),$R$63:$T$91,3,FALSE),0)+IF(AND($X34="O3/CP",$X$14=E$18),VLOOKUP("O3",$R$63:$T$91,3,FALSE)+VLOOKUP("CP",$R$63:$T$91,3,FALSE),0)+IF(AND($Y34&lt;&gt;"",$Y34&lt;&gt;"--",$Y34&lt;&gt;"O3/CP",$Y$14=E$18),IF(LEFT($Y34,1)="P",VLOOKUP(CONCATENATE(LEFT($Y34,2),"H"),$R$63:$T$91,3,FALSE),VLOOKUP($Y34,$R$63:$T$91,3,FALSE)))+IF(AND($Y34&lt;&gt;"",$Y34&lt;&gt;"O3/CP",$Y$15=E$18,MID($Y34,4,1)="2",$Y$15&lt;&gt;$Y$14),VLOOKUP(CONCATENATE(LEFT($Y34,2),"L"),$R$63:$T$91,3,FALSE),0)+IF(AND($Y34="O3/CP",$Y$14=E$18),VLOOKUP("O3",$R$63:$T$91,3,FALSE)+VLOOKUP("CP",$R$63:$T$91,3,FALSE),0)+IF(AND($K$6="CE",'[3]Supply Attribution'!$G$20=E$18),LEFT($S$90,2),0)+IF(AND($X$86&lt;&gt;"Not Set",$X$87=E$18),$X$86,0)</f>
        <v>0</v>
      </c>
      <c r="F34" s="268">
        <f>IF(AND($K34&lt;&gt;"",$K34&lt;&gt;"--",$K34&lt;&gt;"O3/CP",$K$14=F$18),IF(LEFT($K34,1)="P",VLOOKUP(CONCATENATE(LEFT($K34,2),"H"),$R$63:$T$91,3,FALSE),VLOOKUP($K34,$R$63:$T$91,3,FALSE)))+IF(AND($K34&lt;&gt;"",$K34&lt;&gt;"O3/CP",$K$15=F$18,MID($K34,4,1)="2",$K$15&lt;&gt;$K$14),VLOOKUP(CONCATENATE(LEFT($K34,2),"L"),$R$63:$T$91,3,FALSE),0)+IF(AND($K34="O3/CP",$K$14=F$18),VLOOKUP("O3",$R$63:$T$91,3,FALSE)+VLOOKUP("CP",$R$63:$T$91,3,FALSE),0)+IF(AND($L34&lt;&gt;"",$L34&lt;&gt;"--",$L34&lt;&gt;"O3/CP",$L$14=F$18),IF(LEFT($L34,1)="P",VLOOKUP(CONCATENATE(LEFT($L34,2),"H"),$R$63:$T$91,3,FALSE),VLOOKUP($L34,$R$63:$T$91,3,FALSE)))+IF(AND($L34&lt;&gt;"",$L34&lt;&gt;"O3/CP",$L$15=F$18,MID($L34,4,1)="2",$L$15&lt;&gt;$L$14),VLOOKUP(CONCATENATE(LEFT($L34,2),"L"),$R$63:$T$91,3,FALSE),0)+IF(AND($L34="O3/CP",$L$14=F$18),VLOOKUP("O3",$R$63:$T$91,3,FALSE)+VLOOKUP("CP",$R$63:$T$91,3,FALSE),0)+IF(AND($M34&lt;&gt;"",$M34&lt;&gt;"--",$M34&lt;&gt;"O3/CP",$M$14=F$18),IF(LEFT($M34,1)="P",VLOOKUP(CONCATENATE(LEFT($M34,2),"H"),$R$63:$T$91,3,FALSE),VLOOKUP($M34,$R$63:$T$91,3,FALSE)))+IF(AND($M34&lt;&gt;"",$M34&lt;&gt;"O3/CP",$M$15=F$18,MID($M34,4,1)="2",$M$15&lt;&gt;$M$14),VLOOKUP(CONCATENATE(LEFT($M34,2),"L"),$R$63:$T$91,3,FALSE),0)+IF(AND($M34="O3/CP",$M$14=F$18),VLOOKUP("O3",$R$63:$T$91,3,FALSE)+VLOOKUP("CP",$R$63:$T$91,3,FALSE),0)+IF(AND($N34&lt;&gt;"",$N34&lt;&gt;"--",$N34&lt;&gt;"O3/CP",$N$14=F$18),IF(LEFT($N34,1)="P",VLOOKUP(CONCATENATE(LEFT($N34,2),"H"),$R$63:$T$91,3,FALSE),VLOOKUP($N34,$R$63:$T$91,3,FALSE)))+IF(AND($N34&lt;&gt;"",$N34&lt;&gt;"O3/CP",$N$15=F$18,MID($N34,4,1)="2",$N$15&lt;&gt;$N$14),VLOOKUP(CONCATENATE(LEFT($N34,2),"L"),$R$63:$T$91,3,FALSE),0)+IF(AND($N34="O3/CP",$N$14=F$18),VLOOKUP("O3",$R$63:$T$91,3,FALSE)+VLOOKUP("CP",$R$63:$T$91,3,FALSE),0)+IF(AND($O34&lt;&gt;"",$O34&lt;&gt;"--",$O34&lt;&gt;"O3/CP",$O$14=F$18),IF(LEFT($O34,1)="P",VLOOKUP(CONCATENATE(LEFT($O34,2),"H"),$R$63:$T$91,3,FALSE),VLOOKUP($O34,$R$63:$T$91,3,FALSE)))+IF(AND($O34&lt;&gt;"",$O34&lt;&gt;"O3/CP",$O$15=F$18,MID($O34,4,1)="2",$O$15&lt;&gt;$O$14),VLOOKUP(CONCATENATE(LEFT($O34,2),"L"),$R$63:$T$91,3,FALSE),0)+IF(AND($O34="O3/CP",$O$14=F$18),VLOOKUP("O3",$R$63:$T$91,3,FALSE)+VLOOKUP("CP",$R$63:$T$91,3,FALSE),0)+IF(AND($P34&lt;&gt;"",$P34&lt;&gt;"--",$P34&lt;&gt;"O3/CP",$P$14=F$18),IF(LEFT($P34,1)="P",VLOOKUP(CONCATENATE(LEFT($P34,2),"H"),$R$63:$T$91,3,FALSE),VLOOKUP($P34,$R$63:$T$91,3,FALSE)))+IF(AND($P34&lt;&gt;"",$P34&lt;&gt;"O3/CP",$P$15=F$18,MID($P34,4,1)="2",$P$15&lt;&gt;$P$14),VLOOKUP(CONCATENATE(LEFT($P34,2),"L"),$R$63:$T$91,3,FALSE),0)+IF(AND($P34="O3/CP",$P$14=F$18),VLOOKUP("O3",$R$63:$T$91,3,FALSE)+VLOOKUP("CP",$R$63:$T$91,3,FALSE),0)+IF(AND($Q34&lt;&gt;"",$Q34&lt;&gt;"--",$Q34&lt;&gt;"O3/CP",$Q$14=F$18),IF(LEFT($Q34,1)="P",VLOOKUP(CONCATENATE(LEFT($Q34,2),"H"),$R$63:$T$91,3,FALSE),VLOOKUP($Q34,$R$63:$T$91,3,FALSE)))+IF(AND($Q34&lt;&gt;"",$Q34&lt;&gt;"O3/CP",$Q$15=F$18,MID($Q34,4,1)="2",$Q$15&lt;&gt;$Q$14),VLOOKUP(CONCATENATE(LEFT($Q34,2),"L"),$R$63:$T$91,3,FALSE),0)+IF(AND($Q34="O3/CP",$Q$14=F$18),VLOOKUP("O3",$R$63:$T$91,3,FALSE)+VLOOKUP("CP",$R$63:$T$91,3,FALSE),0)+IF(AND($R34&lt;&gt;"",$R34&lt;&gt;"--",$R34&lt;&gt;"O3/CP",$R$14=F$18),IF(LEFT($R34,1)="P",VLOOKUP(CONCATENATE(LEFT($R34,2),"H"),$R$63:$T$91,3,FALSE),VLOOKUP($R34,$R$63:$T$91,3,FALSE)))+IF(AND($R34&lt;&gt;"",$R34&lt;&gt;"O3/CP",$R$15=F$18,MID($R34,4,1)="2",$R$15&lt;&gt;$R$14),VLOOKUP(CONCATENATE(LEFT($R34,2),"L"),$R$63:$T$91,3,FALSE),0)+IF(AND($R34="O3/CP",$R$14=F$18),VLOOKUP("O3",$R$63:$T$91,3,FALSE)+VLOOKUP("CP",$R$63:$T$91,3,FALSE),0)+IF(AND($S34&lt;&gt;"",$S34&lt;&gt;"--",$S34&lt;&gt;"O3/CP",$S$14=F$18),IF(LEFT($S34,1)="P",VLOOKUP(CONCATENATE(LEFT($S34,2),"H"),$R$63:$T$91,3,FALSE),VLOOKUP($S34,$R$63:$T$91,3,FALSE)))+IF(AND($S34&lt;&gt;"",$S34&lt;&gt;"O3/CP",$S$15=F$18,MID($S34,4,1)="2",$S$15&lt;&gt;$S$14),VLOOKUP(CONCATENATE(LEFT($S34,2),"L"),$R$63:$T$91,3,FALSE),0)+IF(AND($S34="O3/CP",$S$14=F$18),VLOOKUP("O3",$R$63:$T$91,3,FALSE)+VLOOKUP("CP",$R$63:$T$91,3,FALSE),0)+IF(AND($T34&lt;&gt;"",$T34&lt;&gt;"--",$T34&lt;&gt;"O3/CP",$T$14=F$18),IF(LEFT($T34,1)="P",VLOOKUP(CONCATENATE(LEFT($T34,2),"H"),$R$63:$T$91,3,FALSE),VLOOKUP($T34,$R$63:$T$91,3,FALSE)))+IF(AND($T34&lt;&gt;"",$T34&lt;&gt;"O3/CP",$T$15=F$18,MID($T34,4,1)="2",$T$15&lt;&gt;$T$14),VLOOKUP(CONCATENATE(LEFT($T34,2),"L"),$R$63:$T$91,3,FALSE),0)+IF(AND($T34="O3/CP",$T$14=F$18),VLOOKUP("O3",$R$63:$T$91,3,FALSE)+VLOOKUP("CP",$R$63:$T$91,3,FALSE),0)+IF(AND($U34&lt;&gt;"",$U34&lt;&gt;"--",$U34&lt;&gt;"O3/CP",$U$14=F$18),IF(LEFT($U34,1)="P",VLOOKUP(CONCATENATE(LEFT($U34,2),"H"),$R$63:$T$91,3,FALSE),VLOOKUP($U34,$R$63:$T$91,3,FALSE)))+IF(AND($U34&lt;&gt;"",$U34&lt;&gt;"O3/CP",$U$15=F$18,MID($U34,4,1)="2",$U$15&lt;&gt;$U$14),VLOOKUP(CONCATENATE(LEFT($U34,2),"L"),$R$63:$T$91,3,FALSE),0)+IF(AND($U34="O3/CP",$T$14=F$18),VLOOKUP("O3",$R$63:$T$91,3,FALSE)+VLOOKUP("CP",$R$63:$T$91,3,FALSE),0)+IF(AND($V34&lt;&gt;"",$V34&lt;&gt;"--",$V34&lt;&gt;"O3/CP",$V$14=F$18),IF(LEFT($V34,1)="P",VLOOKUP(CONCATENATE(LEFT($V34,2),"H"),$R$63:$T$91,3,FALSE),VLOOKUP($V34,$R$63:$T$91,3,FALSE)))+IF(AND($V34&lt;&gt;"",$V34&lt;&gt;"O3/CP",$V$15=F$18,MID($V34,4,1)="2",$V$15&lt;&gt;$V$14),VLOOKUP(CONCATENATE(LEFT($V34,2),"L"),$R$63:$T$91,3,FALSE),0)+IF(AND($V34="O3/CP",$V$14=F$18),VLOOKUP("O3",$R$63:$T$91,3,FALSE)+VLOOKUP("CP",$R$63:$T$91,3,FALSE),0)+IF(AND($W34&lt;&gt;"",$W34&lt;&gt;"--",$W34&lt;&gt;"O3/CP",$W$14=F$18),IF(LEFT($W34,1)="P",VLOOKUP(CONCATENATE(LEFT($W34,2),"H"),$R$63:$T$91,3,FALSE),VLOOKUP($W34,$R$63:$T$91,3,FALSE)))+IF(AND($W34&lt;&gt;"",$W34&lt;&gt;"O3/CP",$W$15=F$18,MID($W34,4,1)="2",$W$15&lt;&gt;$W$14),VLOOKUP(CONCATENATE(LEFT($W34,2),"L"),$R$63:$T$91,3,FALSE),0)+IF(AND($W34="O3/CP",$W$14=F$18),VLOOKUP("O3",$R$63:$T$91,3,FALSE)+VLOOKUP("CP",$R$63:$T$91,3,FALSE),0)+IF(AND($X34&lt;&gt;"",$X34&lt;&gt;"--",$X34&lt;&gt;"O3/CP",$X$14=F$18),IF(LEFT($X34,1)="P",VLOOKUP(CONCATENATE(LEFT($X34,2),"H"),$R$63:$T$91,3,FALSE),VLOOKUP($X34,$R$63:$T$91,3,FALSE)))+IF(AND($X34&lt;&gt;"",$X34&lt;&gt;"O3/CP",$X$15=F$18,MID($X34,4,1)="2",$X$15&lt;&gt;$X$14),VLOOKUP(CONCATENATE(LEFT($X34,2),"L"),$R$63:$T$91,3,FALSE),0)+IF(AND($X34="O3/CP",$X$14=F$18),VLOOKUP("O3",$R$63:$T$91,3,FALSE)+VLOOKUP("CP",$R$63:$T$91,3,FALSE),0)+IF(AND($Y34&lt;&gt;"",$Y34&lt;&gt;"--",$Y34&lt;&gt;"O3/CP",$Y$14=F$18),IF(LEFT($Y34,1)="P",VLOOKUP(CONCATENATE(LEFT($Y34,2),"H"),$R$63:$T$91,3,FALSE),VLOOKUP($Y34,$R$63:$T$91,3,FALSE)))+IF(AND($Y34&lt;&gt;"",$Y34&lt;&gt;"O3/CP",$Y$15=F$18,MID($Y34,4,1)="2",$Y$15&lt;&gt;$Y$14),VLOOKUP(CONCATENATE(LEFT($Y34,2),"L"),$R$63:$T$91,3,FALSE),0)+IF(AND($Y34="O3/CP",$Y$14=F$18),VLOOKUP("O3",$R$63:$T$91,3,FALSE)+VLOOKUP("CP",$R$63:$T$91,3,FALSE),0)+IF(AND($K$6="CE",'[3]Supply Attribution'!$G$20=F$18),LEFT($S$90,2),0)+IF(AND($X$86&lt;&gt;"Not Set",$X$87=F$18),$X$86,0)</f>
        <v>0</v>
      </c>
      <c r="G34" s="269">
        <f>IF(AND($K$6="CE",$T$59="1 Phase"),SUM(A34:F34)-IF(AND($K$14&lt;&gt;$K$15,RIGHT($K34,3)="2SP"),VLOOKUP(CONCATENATE(LEFT($K34,2),"L"),$R$63:$T$90,3,FALSE),0)-IF(AND($L$14&lt;&gt;$L$15,RIGHT($L34,3)="2SP"),VLOOKUP(CONCATENATE(LEFT($L34,2),"L"),$R$63:$T$90,3,FALSE),0)-IF(AND($M$14&lt;&gt;$M$15,RIGHT($M34,3)="2SP"),VLOOKUP(CONCATENATE(LEFT($M34,2),"L"),$R$63:$T$90,3,FALSE),0)-IF(AND($N$14&lt;&gt;$N$15,RIGHT($N34,3)="2SP"),VLOOKUP(CONCATENATE(LEFT($N34,2),"L"),$R$63:$T$90,3,FALSE),0)-IF(AND($O$14&lt;&gt;$O$15,RIGHT($O34,3)="2SP"),VLOOKUP(CONCATENATE(LEFT($O34,2),"L"),$R$63:$T$90,3,FALSE),0)-IF(AND($P$14&lt;&gt;$P$15,RIGHT($P34,3)="2SP"),VLOOKUP(CONCATENATE(LEFT($P34,2),"L"),$R$63:$T$90,3,FALSE),0)-IF(AND($Q$14&lt;&gt;$Q$15,RIGHT($Q34,3)="2SP"),VLOOKUP(CONCATENATE(LEFT($Q34,2),"L"),$R$63:$T$90,3,FALSE),0)-IF(AND($R$14&lt;&gt;$R$15,RIGHT($T34,3)="2SP"),VLOOKUP(CONCATENATE(LEFT($R34,2),"L"),$R$63:$T$90,3,FALSE),0)-IF(AND($S$14&lt;&gt;$S$15,RIGHT($T34,3)="2SP"),VLOOKUP(CONCATENATE(LEFT($S34,2),"L"),$R$63:$T$90,3,FALSE),0)-IF(AND($T$14&lt;&gt;$T$15,RIGHT($T34,3)="2SP"),VLOOKUP(CONCATENATE(LEFT($T34,2),"L"),$R$63:$T$90,3,FALSE),0)-IF(AND($U$14&lt;&gt;$U$15,RIGHT($U34,3)="2SP"),VLOOKUP(CONCATENATE(LEFT($U34,2),"L"),$R$63:$T$90,3,FALSE),0)-IF(AND($V$14&lt;&gt;$V$15,RIGHT($V34,3)="2SP"),VLOOKUP(CONCATENATE(LEFT($V34,2),"L"),$R$63:$T$90,3,FALSE),0)-IF(AND($W$14&lt;&gt;$W$15,RIGHT($W34,3)="2SP"),VLOOKUP(CONCATENATE(LEFT($W34,2),"L"),$R$63:$T$90,3,FALSE),0)-IF(AND($X$14&lt;&gt;$X$15,RIGHT($X34,3)="2SP"),VLOOKUP(CONCATENATE(LEFT($X34,2),"L"),$R$63:$T$90,3,FALSE),0)-IF(AND($Y$14&lt;&gt;$Y$15,RIGHT($Y34,3)="2SP"),VLOOKUP(CONCATENATE(LEFT($Y34,2),"L"),$R$63:$T$90,3,FALSE),0),IF(VLOOKUP(CONCATENATE($A$18,"Line"),'[3]Supply Attribution'!$F$31:$G$37,2,FALSE)=G$18,$A34,0)+IF(VLOOKUP(CONCATENATE($B$18,"Line"),'[3]Supply Attribution'!$F$31:$G$37,2,FALSE)=G$18,$B34,0)+IF(VLOOKUP(CONCATENATE($C$18,"Line"),'[3]Supply Attribution'!$F$31:$G$37,2,FALSE)=G$18,$C34,0)+IF(VLOOKUP(CONCATENATE($D$18,"Line"),'[3]Supply Attribution'!$F$31:$G$37,2,FALSE)=G$18,$D34,0)+IF(VLOOKUP(CONCATENATE($E$18,"Line"),'[3]Supply Attribution'!$F$31:$G$37,2,FALSE)=G$18,$E34,0)+IF(VLOOKUP(CONCATENATE($F$18,"Line"),'[3]Supply Attribution'!$F$31:$G$37,2,FALSE)=G$18,$F34,0)+IF($K$6="UL",LEFT($S$90,2),0)-IF(AND($K$16=G$18,$K$14&lt;&gt;$K$15,$K$16=$K$17,RIGHT($K34,3)="2SP"),VLOOKUP(CONCATENATE(LEFT($K34,2),"L"),$R$63:$T$90,3,FALSE),0)-IF(AND($L$16=G$18,$L$14&lt;&gt;$L$15,$L$16=$L$17,RIGHT($L34,3)="2SP"),VLOOKUP(CONCATENATE(LEFT($L34,2),"L"),$R$63:$T$90,3,FALSE),0)-IF(AND($M$16=G$18,$M$14&lt;&gt;$M$15,$M$16=$M$17,RIGHT($M34,3)="2SP"),VLOOKUP(CONCATENATE(LEFT($M34,2),"L"),$R$63:$T$90,3,FALSE),0)-IF(AND($N$16=G$18,$N$14&lt;&gt;$N$15,$N$16=$N$17,RIGHT($N34,3)="2SP"),VLOOKUP(CONCATENATE(LEFT($N34,2),"L"),$R$63:$T$90,3,FALSE),0)-IF(AND($O$16=G$18,$O$14&lt;&gt;$O$15,$O$16=$O$17,RIGHT($O34,3)="2SP"),VLOOKUP(CONCATENATE(LEFT($O34,2),"L"),$R$63:$T$90,3,FALSE),0)-IF(AND($P$16=G$18,$P$14&lt;&gt;$P$15,$P$16=$P$17,RIGHT($P34,3)="2SP"),VLOOKUP(CONCATENATE(LEFT($P34,2),"L"),$R$63:$T$90,3,FALSE),0)-IF(AND($Q$16=G$18,$Q$14&lt;&gt;$Q$15,$Q$16=$Q$17,RIGHT($Q34,3)="2SP"),VLOOKUP(CONCATENATE(LEFT($Q34,2),"L"),$R$63:$T$90,3,FALSE),0)-IF(AND($R$16=G$18,$R$14&lt;&gt;$R$15,$R$16=$R$17,RIGHT($R34,3)="2SP"),VLOOKUP(CONCATENATE(LEFT($R34,2),"L"),$R$63:$T$90,3,FALSE),0)-IF(AND($S$16=G$18,$S$14&lt;&gt;$S$15,$S$16=$S$17,RIGHT($S34,3)="2SP"),VLOOKUP(CONCATENATE(LEFT($S34,2),"L"),$R$63:$T$90,3,FALSE),0)-IF(AND($T$16=G$18,$T$14&lt;&gt;$T$15,$T$16=$T$17,RIGHT($T34,3)="2SP"),VLOOKUP(CONCATENATE(LEFT($T34,2),"L"),$R$63:$T$90,3,FALSE),0)-IF(AND($U$16=G$18,$U$14&lt;&gt;$U$15,$U$16=$U$17,RIGHT($U34,3)="2SP"),VLOOKUP(CONCATENATE(LEFT($U34,2),"L"),$R$63:$T$90,3,FALSE),0)-IF(AND($V$16=G$18,$V$14&lt;&gt;$V$15,$V$16=$V$17,RIGHT($V34,3)="2SP"),VLOOKUP(CONCATENATE(LEFT($V34,2),"L"),$R$63:$T$90,3,FALSE),0)-IF(AND($W$16=G$18,$W$14&lt;&gt;$W$15,$W$16=$W$17,RIGHT($W34,3)="2SP"),VLOOKUP(CONCATENATE(LEFT($W34,2),"L"),$R$63:$T$90,3,FALSE),0)-IF(AND($X$16=G$18,$X$14&lt;&gt;$X$15,$X$16=$X$17,RIGHT($X34,3)="2SP"),VLOOKUP(CONCATENATE(LEFT($X34,2),"L"),$R$63:$T$90,3,FALSE),0)-IF(AND($Y$16=G$18,$Y$14&lt;&gt;$Y$15,$Y$16=$Y$17,RIGHT($Y34,3)="2SP"),VLOOKUP(CONCATENATE(LEFT($Y34,2),"L"),$R$63:$T$90,3,FALSE),0))</f>
        <v>17</v>
      </c>
      <c r="H34" s="269" t="str">
        <f>IF(H$18&lt;&gt;"",IF(VLOOKUP(CONCATENATE($A$18,"Line"),'Supply Attribution'!$F$31:$G$37,2,FALSE)=H$18,$A34,0)+IF(VLOOKUP(CONCATENATE($B$18,"Line"),'Supply Attribution'!$F$31:$G$37,2,FALSE)=H$18,$B34,0)+IF(VLOOKUP(CONCATENATE($C$18,"Line"),'Supply Attribution'!$F$31:$G$37,2,FALSE)=H$18,$C34,0)+IF(VLOOKUP(CONCATENATE($D$18,"Line"),'Supply Attribution'!$F$31:$G$37,2,FALSE)=H$18,$D34,0)+IF(VLOOKUP(CONCATENATE($E$18,"Line"),'Supply Attribution'!$F$31:$G$37,2,FALSE)=H$18,$E34,0)+IF(VLOOKUP(CONCATENATE($F$18,"Line"),'Supply Attribution'!$F$31:$G$37,2,FALSE)=H$18,$F34,0)+IF($K$6="UL",LEFT($S$90,2),0)-IF(AND($K$16=H$18,$K$14&lt;&gt;$K$15,$K$16=$K$17,RIGHT($K34,3)="2SP"),VLOOKUP(CONCATENATE(LEFT($K34,2),"L"),$R$63:$T$90,3,FALSE),0)-IF(AND($L$16=H$18,$L$14&lt;&gt;$L$15,$L$16=$L$17,RIGHT($L34,3)="2SP"),VLOOKUP(CONCATENATE(LEFT($L34,2),"L"),$R$63:$T$90,3,FALSE),0)-IF(AND($M$16=H$18,$M$14&lt;&gt;$M$15,$M$16=$M$17,RIGHT($M34,3)="2SP"),VLOOKUP(CONCATENATE(LEFT($M34,2),"L"),$R$63:$T$90,3,FALSE),0)-IF(AND($N$16=H$18,$N$14&lt;&gt;$N$15,$N$16=$N$17,RIGHT($N34,3)="2SP"),VLOOKUP(CONCATENATE(LEFT($N34,2),"L"),$R$63:$T$90,3,FALSE),0)-IF(AND($O$16=H$18,$O$14&lt;&gt;$O$15,$O$16=$O$17,RIGHT($O34,3)="2SP"),VLOOKUP(CONCATENATE(LEFT($O34,2),"L"),$R$63:$T$90,3,FALSE),0)-IF(AND($P$16=H$18,$P$14&lt;&gt;$P$15,$P$16=$P$17,RIGHT($P34,3)="2SP"),VLOOKUP(CONCATENATE(LEFT($P34,2),"L"),$R$63:$T$90,3,FALSE),0)-IF(AND($Q$16=H$18,$Q$14&lt;&gt;$Q$15,$Q$16=$Q$17,RIGHT($Q34,3)="2SP"),VLOOKUP(CONCATENATE(LEFT($Q34,2),"L"),$R$63:$T$90,3,FALSE),0)-IF(AND($T$16=H$18,$T$14&lt;&gt;$T$15,$T$16=$T$17,RIGHT($T34,3)="2SP"),VLOOKUP(CONCATENATE(LEFT($T34,2),"L"),$R$63:$T$90,3,FALSE),0)-IF(AND($U$16=H$18,$U$14&lt;&gt;$U$15,$U$16=$U$17,RIGHT($U34,3)="2SP"),VLOOKUP(CONCATENATE(LEFT($U34,2),"L"),$R$63:$T$90,3,FALSE),0)-IF(AND($V$16=H$18,$V$14&lt;&gt;$V$15,$V$16=$V$17,RIGHT($V34,3)="2SP"),VLOOKUP(CONCATENATE(LEFT($V34,2),"L"),$R$63:$T$90,3,FALSE),0)-IF(AND($W$16=H$18,$W$14&lt;&gt;$W$15,$W$16=$W$17,RIGHT($W34,3)="2SP"),VLOOKUP(CONCATENATE(LEFT($W34,2),"L"),$R$63:$T$90,3,FALSE),0)-IF(AND($X$16=H$18,$X$14&lt;&gt;$X$15,$X$16=$X$17,RIGHT($X34,3)="2SP"),VLOOKUP(CONCATENATE(LEFT($X34,2),"L"),$R$63:$T$90,3,FALSE),0)-IF(AND($Y$16=H$18,$Y$14&lt;&gt;$Y$15,$Y$16=$Y$17,RIGHT($Y34,3)="2SP"),VLOOKUP(CONCATENATE(LEFT($Y34,2),"L"),$R$63:$T$90,3,FALSE),0)+IF(AND($K$6="CE",$T$59="2 Phases",H$18&lt;&gt;""),IF(VLOOKUP(CONCATENATE($A$18,"Line"),'Supply Attribution'!$F$31:$G$37,2,FALSE)="Line3",$A34,0)+IF(VLOOKUP(CONCATENATE($B$18,"Line"),'Supply Attribution'!$F$31:$G$37,2,FALSE)="Line3",$B34,0)+IF(VLOOKUP(CONCATENATE($C$18,"Line"),'Supply Attribution'!$F$31:$G$37,2,FALSE)="Line3",$C34,0)+IF(VLOOKUP(CONCATENATE($D$18,"Line"),'Supply Attribution'!$F$31:$G$37,2,FALSE)="Line3",$D34,0)+IF(VLOOKUP(CONCATENATE($E$18,"Line"),'Supply Attribution'!$F$31:$G$37,2,FALSE)="Line3",$E34,0)+IF(VLOOKUP(CONCATENATE($F$18,"Line"),'Supply Attribution'!$F$31:$G$37,2,FALSE)="Line3",$F34,0)-IF(AND($K$16=I$18,$K$14&lt;&gt;$K$15,$K$16=$K$17,RIGHT($K34,3)="2SP"),VLOOKUP(CONCATENATE(LEFT($K34,2),"L"),$R$63:$T$90,3,FALSE),0)-IF(AND($L$16=I$18,$L$14&lt;&gt;$L$15,$L$16=$L$17,RIGHT($L34,3)="2SP"),VLOOKUP(CONCATENATE(LEFT($L34,2),"L"),$R$63:$T$90,3,FALSE),0)-IF(AND($M$16=I$18,$M$14&lt;&gt;$M$15,$M$16=$M$17,RIGHT($M34,3)="2SP"),VLOOKUP(CONCATENATE(LEFT($M34,2),"L"),$R$63:$T$90,3,FALSE),0)-IF(AND($N$16=I$18,$N$14&lt;&gt;$N$15,$N$16=$N$17,RIGHT($N34,3)="2SP"),VLOOKUP(CONCATENATE(LEFT($N34,2),"L"),$R$63:$T$90,3,FALSE),0)-IF(AND($O$16=I$18,$O$14&lt;&gt;$O$15,$O$16=$O$17,RIGHT($O34,3)="2SP"),VLOOKUP(CONCATENATE(LEFT($O34,2),"L"),$R$63:$T$90,3,FALSE),0)-IF(AND($P$16=I$18,$P$14&lt;&gt;$P$15,$P$16=$P$17,RIGHT($P34,3)="2SP"),VLOOKUP(CONCATENATE(LEFT($P34,2),"L"),$R$63:$T$90,3,FALSE),0)-IF(AND($Q$16=I$18,$Q$14&lt;&gt;$Q$15,$Q$16=$Q$17,RIGHT($Q34,3)="2SP"),VLOOKUP(CONCATENATE(LEFT($Q34,2),"L"),$R$63:$T$90,3,FALSE),0)-IF(AND($T$16=I$18,$T$14&lt;&gt;$T$15,$T$16=$T$17,RIGHT($T34,3)="2SP"),VLOOKUP(CONCATENATE(LEFT($T34,2),"L"),$R$63:$T$90,3,FALSE),0)-IF(AND($U$16=I$18,$U$14&lt;&gt;$U$15,$U$16=$U$17,RIGHT($U34,3)="2SP"),VLOOKUP(CONCATENATE(LEFT($U34,2),"L"),$R$63:$T$90,3,FALSE),0)-IF(AND($V$16=I$18,$V$14&lt;&gt;$V$15,$V$16=$V$17,RIGHT($V34,3)="2SP"),VLOOKUP(CONCATENATE(LEFT($V34,2),"L"),$R$63:$T$90,3,FALSE),0)-IF(AND($W$16=I$18,$W$14&lt;&gt;$W$15,$W$16=$W$17,RIGHT($W34,3)="2SP"),VLOOKUP(CONCATENATE(LEFT($W34,2),"L"),$R$63:$T$90,3,FALSE),0)-IF(AND($X$16=I$18,$X$14&lt;&gt;$X$15,$X$16=$X$17,RIGHT($X34,3)="2SP"),VLOOKUP(CONCATENATE(LEFT($X34,2),"L"),$R$63:$T$90,3,FALSE),0)-IF(AND($Y$16=I$18,$Y$14&lt;&gt;$Y$15,$Y$16=$Y$17,RIGHT($Y34,3)="2SP"),VLOOKUP(CONCATENATE(LEFT($Y34,2),"L"),$R$63:$T$90,3,FALSE),0),0),"")</f>
        <v/>
      </c>
      <c r="I34" s="269" t="str">
        <f>IF(I$18&lt;&gt;"",IF(VLOOKUP(CONCATENATE($A$18,"Line"),'Supply Attribution'!$F$31:$G$37,2,FALSE)=I$18,$A34,0)+IF(VLOOKUP(CONCATENATE($B$18,"Line"),'Supply Attribution'!$F$31:$G$37,2,FALSE)=I$18,$B34,0)+IF(VLOOKUP(CONCATENATE($C$18,"Line"),'Supply Attribution'!$F$31:$G$37,2,FALSE)=I$18,$C34,0)+IF(VLOOKUP(CONCATENATE($D$18,"Line"),'Supply Attribution'!$F$31:$G$37,2,FALSE)=I$18,$D34,0)+IF(VLOOKUP(CONCATENATE($E$18,"Line"),'Supply Attribution'!$F$31:$G$37,2,FALSE)=I$18,$E34,0)+IF(VLOOKUP(CONCATENATE($F$18,"Line"),'Supply Attribution'!$F$31:$G$37,2,FALSE)=I$18,$F34,0)+IF($K$6="UL",LEFT($S$90,2),0)-IF(AND($K$16=I$18,$K$14&lt;&gt;$K$15,$K$16=$K$17,RIGHT($K34,3)="2SP"),VLOOKUP(CONCATENATE(LEFT($K34,2),"L"),$R$63:$T$90,3,FALSE),0)-IF(AND($L$16=I$18,$L$14&lt;&gt;$L$15,$L$16=$L$17,RIGHT($L34,3)="2SP"),VLOOKUP(CONCATENATE(LEFT($L34,2),"L"),$R$63:$T$90,3,FALSE),0)-IF(AND($M$16=I$18,$M$14&lt;&gt;$M$15,$M$16=$M$17,RIGHT($M34,3)="2SP"),VLOOKUP(CONCATENATE(LEFT($M34,2),"L"),$R$63:$T$90,3,FALSE),0)-IF(AND($N$16=I$18,$N$14&lt;&gt;$N$15,$N$16=$N$17,RIGHT($N34,3)="2SP"),VLOOKUP(CONCATENATE(LEFT($N34,2),"L"),$R$63:$T$90,3,FALSE),0)-IF(AND($O$16=I$18,$O$14&lt;&gt;$O$15,$O$16=$O$17,RIGHT($O34,3)="2SP"),VLOOKUP(CONCATENATE(LEFT($O34,2),"L"),$R$63:$T$90,3,FALSE),0)-IF(AND($P$16=I$18,$P$14&lt;&gt;$P$15,$P$16=$P$17,RIGHT($P34,3)="2SP"),VLOOKUP(CONCATENATE(LEFT($P34,2),"L"),$R$63:$T$90,3,FALSE),0)-IF(AND($Q$16=I$18,$Q$14&lt;&gt;$Q$15,$Q$16=$Q$17,RIGHT($Q34,3)="2SP"),VLOOKUP(CONCATENATE(LEFT($Q34,2),"L"),$R$63:$T$90,3,FALSE),0)-IF(AND($T$16=I$18,$T$14&lt;&gt;$T$15,$T$16=$T$17,RIGHT($T34,3)="2SP"),VLOOKUP(CONCATENATE(LEFT($T34,2),"L"),$R$63:$T$90,3,FALSE),0)-IF(AND($U$16=I$18,$U$14&lt;&gt;$U$15,$U$16=$U$17,RIGHT($U34,3)="2SP"),VLOOKUP(CONCATENATE(LEFT($U34,2),"L"),$R$63:$T$90,3,FALSE),0)-IF(AND($V$16=I$18,$V$14&lt;&gt;$V$15,$V$16=$V$17,RIGHT($V34,3)="2SP"),VLOOKUP(CONCATENATE(LEFT($V34,2),"L"),$R$63:$T$90,3,FALSE),0)-IF(AND($W$16=I$18,$W$14&lt;&gt;$W$15,$W$16=$W$17,RIGHT($W34,3)="2SP"),VLOOKUP(CONCATENATE(LEFT($W34,2),"L"),$R$63:$T$90,3,FALSE),0)-IF(AND($X$16=I$18,$X$14&lt;&gt;$X$15,$X$16=$X$17,RIGHT($X34,3)="2SP"),VLOOKUP(CONCATENATE(LEFT($X34,2),"L"),$R$63:$T$90,3,FALSE),0)-IF(AND($Y$16=I$18,$Y$14&lt;&gt;$Y$15,$Y$16=$Y$17,RIGHT($Y34,3)="2SP"),VLOOKUP(CONCATENATE(LEFT($Y34,2),"L"),$R$63:$T$90,3,FALSE),0),"")</f>
        <v/>
      </c>
      <c r="J34" s="134"/>
      <c r="K34" s="135"/>
      <c r="L34" s="135"/>
      <c r="M34" s="135"/>
      <c r="N34" s="135"/>
      <c r="O34" s="135"/>
      <c r="P34" s="135"/>
      <c r="Q34" s="135"/>
      <c r="R34" s="135"/>
      <c r="S34" s="135"/>
      <c r="T34" s="135"/>
      <c r="U34" s="135"/>
      <c r="V34" s="135"/>
      <c r="W34" s="135"/>
      <c r="X34" s="135"/>
      <c r="Y34" s="135"/>
      <c r="Z34" s="136"/>
      <c r="AA34" s="136"/>
      <c r="AB34" s="137"/>
      <c r="AC34" s="137"/>
      <c r="AD34" s="137"/>
      <c r="AE34" s="138">
        <f t="shared" si="0"/>
        <v>0</v>
      </c>
      <c r="AF34" s="78"/>
    </row>
    <row r="35" spans="1:32" ht="13.15" customHeight="1">
      <c r="A35" s="264">
        <f>IF(AND($K35&lt;&gt;"",$K35&lt;&gt;"--",$K35&lt;&gt;"O3/CP",$K$14=A$18),IF(LEFT($K35,1)="P",VLOOKUP(CONCATENATE(LEFT($K35,2),"H"),$R$63:$T$91,3,FALSE),VLOOKUP($K35,$R$63:$T$91,3,FALSE)))+IF(AND($K35&lt;&gt;"",$K35&lt;&gt;"O3/CP",$K$15=A$18,MID($K35,4,1)="2",$K$15&lt;&gt;$K$14),VLOOKUP(CONCATENATE(LEFT($K35,2),"L"),$R$63:$T$91,3,FALSE),0)+IF(AND($K35="O3/CP",$K$14=A$18),VLOOKUP("O3",$R$63:$T$91,3,FALSE)+VLOOKUP("CP",$R$63:$T$91,3,FALSE),0)+IF(AND($L35&lt;&gt;"",$L35&lt;&gt;"--",$L35&lt;&gt;"O3/CP",$L$14=A$18),IF(LEFT($L35,1)="P",VLOOKUP(CONCATENATE(LEFT($L35,2),"H"),$R$63:$T$91,3,FALSE),VLOOKUP($L35,$R$63:$T$91,3,FALSE)))+IF(AND($L35&lt;&gt;"",$L35&lt;&gt;"O3/CP",$L$15=A$18,MID($L35,4,1)="2",$L$15&lt;&gt;$L$14),VLOOKUP(CONCATENATE(LEFT($L35,2),"L"),$R$63:$T$91,3,FALSE),0)+IF(AND($L35="O3/CP",$L$14=A$18),VLOOKUP("O3",$R$63:$T$91,3,FALSE)+VLOOKUP("CP",$R$63:$T$91,3,FALSE),0)+IF(AND($M35&lt;&gt;"",$M35&lt;&gt;"--",$M35&lt;&gt;"O3/CP",$M$14=A$18),IF(LEFT($M35,1)="P",VLOOKUP(CONCATENATE(LEFT($M35,2),"H"),$R$63:$T$91,3,FALSE),VLOOKUP($M35,$R$63:$T$91,3,FALSE)))+IF(AND($M35&lt;&gt;"",$M35&lt;&gt;"O3/CP",$M$15=A$18,MID($M35,4,1)="2",$M$15&lt;&gt;$M$14),VLOOKUP(CONCATENATE(LEFT($M35,2),"L"),$R$63:$T$91,3,FALSE),0)+IF(AND($M35="O3/CP",$M$14=A$18),VLOOKUP("O3",$R$63:$T$91,3,FALSE)+VLOOKUP("CP",$R$63:$T$91,3,FALSE),0)+IF(AND($N35&lt;&gt;"",$N35&lt;&gt;"--",$N35&lt;&gt;"O3/CP",$N$14=A$18),IF(LEFT($N35,1)="P",VLOOKUP(CONCATENATE(LEFT($N35,2),"H"),$R$63:$T$91,3,FALSE),VLOOKUP($N35,$R$63:$T$91,3,FALSE)))+IF(AND($N35&lt;&gt;"",$N35&lt;&gt;"O3/CP",$N$15=A$18,MID($N35,4,1)="2",$N$15&lt;&gt;$N$14),VLOOKUP(CONCATENATE(LEFT($N35,2),"L"),$R$63:$T$91,3,FALSE),0)+IF(AND($N35="O3/CP",$N$14=A$18),VLOOKUP("O3",$R$63:$T$91,3,FALSE)+VLOOKUP("CP",$R$63:$T$91,3,FALSE),0)+IF(AND($O35&lt;&gt;"",$O35&lt;&gt;"--",$O35&lt;&gt;"O3/CP",$O$14=A$18),IF(LEFT($O35,1)="P",VLOOKUP(CONCATENATE(LEFT($O35,2),"H"),$R$63:$T$91,3,FALSE),VLOOKUP($O35,$R$63:$T$91,3,FALSE)))+IF(AND($O35&lt;&gt;"",$O35&lt;&gt;"O3/CP",$O$15=A$18,MID($O35,4,1)="2",$O$15&lt;&gt;$O$14),VLOOKUP(CONCATENATE(LEFT($O35,2),"L"),$R$63:$T$91,3,FALSE),0)+IF(AND($O35="O3/CP",$O$14=A$18),VLOOKUP("O3",$R$63:$T$91,3,FALSE)+VLOOKUP("CP",$R$63:$T$91,3,FALSE),0)+IF(AND($P35&lt;&gt;"",$P35&lt;&gt;"--",$P35&lt;&gt;"O3/CP",$P$14=A$18),IF(LEFT($P35,1)="P",VLOOKUP(CONCATENATE(LEFT($P35,2),"H"),$R$63:$T$91,3,FALSE),VLOOKUP($P35,$R$63:$T$91,3,FALSE)))+IF(AND($P35&lt;&gt;"",$P35&lt;&gt;"O3/CP",$P$15=A$18,MID($P35,4,1)="2",$P$15&lt;&gt;$P$14),VLOOKUP(CONCATENATE(LEFT($P35,2),"L"),$R$63:$T$91,3,FALSE),0)+IF(AND($P35="O3/CP",$P$14=A$18),VLOOKUP("O3",$R$63:$T$91,3,FALSE)+VLOOKUP("CP",$R$63:$T$91,3,FALSE),0)+IF(AND($Q35&lt;&gt;"",$Q35&lt;&gt;"--",$Q35&lt;&gt;"O3/CP",$Q$14=A$18),IF(LEFT($Q35,1)="P",VLOOKUP(CONCATENATE(LEFT($Q35,2),"H"),$R$63:$T$91,3,FALSE),VLOOKUP($Q35,$R$63:$T$91,3,FALSE)))+IF(AND($Q35&lt;&gt;"",$Q35&lt;&gt;"O3/CP",$Q$15=A$18,MID($Q35,4,1)="2",$Q$15&lt;&gt;$Q$14),VLOOKUP(CONCATENATE(LEFT($Q35,2),"L"),$R$63:$T$91,3,FALSE),0)+IF(AND($Q35="O3/CP",$Q$14=A$18),VLOOKUP("O3",$R$63:$T$91,3,FALSE)+VLOOKUP("CP",$R$63:$T$91,3,FALSE),0)+IF(AND($R35&lt;&gt;"",$R35&lt;&gt;"--",$R35&lt;&gt;"O3/CP",$R$14=A$18),IF(LEFT($R35,1)="P",VLOOKUP(CONCATENATE(LEFT($R35,2),"H"),$R$63:$T$91,3,FALSE),VLOOKUP($R35,$R$63:$T$91,3,FALSE)))+IF(AND($R35&lt;&gt;"",$R35&lt;&gt;"O3/CP",$R$15=A$18,MID($R35,4,1)="2",$R$15&lt;&gt;$R$14),VLOOKUP(CONCATENATE(LEFT($R35,2),"L"),$R$63:$T$91,3,FALSE),0)+IF(AND($R35="O3/CP",$R$14=A$18),VLOOKUP("O3",$R$63:$T$91,3,FALSE)+VLOOKUP("CP",$R$63:$T$91,3,FALSE),0)+IF(AND($S35&lt;&gt;"",$S35&lt;&gt;"--",$S35&lt;&gt;"O3/CP",$S$14=A$18),IF(LEFT($S35,1)="P",VLOOKUP(CONCATENATE(LEFT($S35,2),"H"),$R$63:$T$91,3,FALSE),VLOOKUP($S35,$R$63:$T$91,3,FALSE)))+IF(AND($S35&lt;&gt;"",$S35&lt;&gt;"O3/CP",$S$15=A$18,MID($S35,4,1)="2",$S$15&lt;&gt;$S$14),VLOOKUP(CONCATENATE(LEFT($S35,2),"L"),$R$63:$T$91,3,FALSE),0)+IF(AND($S35="O3/CP",$S$14=A$18),VLOOKUP("O3",$R$63:$T$91,3,FALSE)+VLOOKUP("CP",$R$63:$T$91,3,FALSE),0)+IF(AND($T35&lt;&gt;"",$T35&lt;&gt;"--",$T35&lt;&gt;"O3/CP",$T$14=A$18),IF(LEFT($T35,1)="P",VLOOKUP(CONCATENATE(LEFT($T35,2),"H"),$R$63:$T$91,3,FALSE),VLOOKUP($T35,$R$63:$T$91,3,FALSE)))+IF(AND($T35&lt;&gt;"",$T35&lt;&gt;"O3/CP",$T$15=A$18,MID($T35,4,1)="2",$T$15&lt;&gt;$T$14),VLOOKUP(CONCATENATE(LEFT($T35,2),"L"),$R$63:$T$91,3,FALSE),0)+IF(AND($T35="O3/CP",$T$14=A$18),VLOOKUP("O3",$R$63:$T$91,3,FALSE)+VLOOKUP("CP",$R$63:$T$91,3,FALSE),0)+IF(AND($U35&lt;&gt;"",$U35&lt;&gt;"--",$U35&lt;&gt;"O3/CP",$U$14=A$18),IF(LEFT($U35,1)="P",VLOOKUP(CONCATENATE(LEFT($U35,2),"H"),$R$63:$T$91,3,FALSE),VLOOKUP($U35,$R$63:$T$91,3,FALSE)))+IF(AND($U35&lt;&gt;"",$U35&lt;&gt;"O3/CP",$U$15=A$18,MID($U35,4,1)="2",$U$15&lt;&gt;$U$14),VLOOKUP(CONCATENATE(LEFT($U35,2),"L"),$R$63:$T$91,3,FALSE),0)+IF(AND($U35="O3/CP",$T$14=A$18),VLOOKUP("O3",$R$63:$T$91,3,FALSE)+VLOOKUP("CP",$R$63:$T$91,3,FALSE),0)+IF(AND($V35&lt;&gt;"",$V35&lt;&gt;"--",$V35&lt;&gt;"O3/CP",$V$14=A$18),IF(LEFT($V35,1)="P",VLOOKUP(CONCATENATE(LEFT($V35,2),"H"),$R$63:$T$91,3,FALSE),VLOOKUP($V35,$R$63:$T$91,3,FALSE)))+IF(AND($V35&lt;&gt;"",$V35&lt;&gt;"O3/CP",$V$15=A$18,MID($V35,4,1)="2",$V$15&lt;&gt;$V$14),VLOOKUP(CONCATENATE(LEFT($V35,2),"L"),$R$63:$T$91,3,FALSE),0)+IF(AND($V35="O3/CP",$V$14=A$18),VLOOKUP("O3",$R$63:$T$91,3,FALSE)+VLOOKUP("CP",$R$63:$T$91,3,FALSE),0)+IF(AND($W35&lt;&gt;"",$W35&lt;&gt;"--",$W35&lt;&gt;"O3/CP",$W$14=A$18),IF(LEFT($W35,1)="P",VLOOKUP(CONCATENATE(LEFT($W35,2),"H"),$R$63:$T$91,3,FALSE),VLOOKUP($W35,$R$63:$T$91,3,FALSE)))+IF(AND($W35&lt;&gt;"",$W35&lt;&gt;"O3/CP",$W$15=A$18,MID($W35,4,1)="2",$W$15&lt;&gt;$W$14),VLOOKUP(CONCATENATE(LEFT($W35,2),"L"),$R$63:$T$91,3,FALSE),0)+IF(AND($W35="O3/CP",$W$14=A$18),VLOOKUP("O3",$R$63:$T$91,3,FALSE)+VLOOKUP("CP",$R$63:$T$91,3,FALSE),0)+IF(AND($X35&lt;&gt;"",$X35&lt;&gt;"--",$X35&lt;&gt;"O3/CP",$X$14=A$18),IF(LEFT($X35,1)="P",VLOOKUP(CONCATENATE(LEFT($X35,2),"H"),$R$63:$T$91,3,FALSE),VLOOKUP($X35,$R$63:$T$91,3,FALSE)))+IF(AND($X35&lt;&gt;"",$X35&lt;&gt;"O3/CP",$X$15=A$18,MID($X35,4,1)="2",$X$15&lt;&gt;$X$14),VLOOKUP(CONCATENATE(LEFT($X35,2),"L"),$R$63:$T$91,3,FALSE),0)+IF(AND($X35="O3/CP",$X$14=A$18),VLOOKUP("O3",$R$63:$T$91,3,FALSE)+VLOOKUP("CP",$R$63:$T$91,3,FALSE),0)+IF(AND($Y35&lt;&gt;"",$Y35&lt;&gt;"--",$Y35&lt;&gt;"O3/CP",$Y$14=A$18),IF(LEFT($Y35,1)="P",VLOOKUP(CONCATENATE(LEFT($Y35,2),"H"),$R$63:$T$91,3,FALSE),VLOOKUP($Y35,$R$63:$T$91,3,FALSE)))+IF(AND($Y35&lt;&gt;"",$Y35&lt;&gt;"O3/CP",$Y$15=A$18,MID($Y35,4,1)="2",$Y$15&lt;&gt;$Y$14),VLOOKUP(CONCATENATE(LEFT($Y35,2),"L"),$R$63:$T$91,3,FALSE),0)+IF(AND($Y35="O3/CP",$Y$14=A$18),VLOOKUP("O3",$R$63:$T$91,3,FALSE)+VLOOKUP("CP",$R$63:$T$91,3,FALSE),0)+IF(AND($K$6="CE",'[3]Supply Attribution'!$G$20=A$18),LEFT($S$90,2),0)+IF(AND($X$86&lt;&gt;"Not Set",$X$87=A$18),$X$86,0)</f>
        <v>0</v>
      </c>
      <c r="B35" s="271">
        <f>IF(AND($K35&lt;&gt;"",$K35&lt;&gt;"--",$K35&lt;&gt;"O3/CP",$K$14=B$18),IF(LEFT($K35,1)="P",VLOOKUP(CONCATENATE(LEFT($K35,2),"H"),$R$63:$T$91,3,FALSE),VLOOKUP($K35,$R$63:$T$91,3,FALSE)))+IF(AND($K35&lt;&gt;"",$K35&lt;&gt;"O3/CP",$K$15=B$18,MID($K35,4,1)="2",$K$15&lt;&gt;$K$14),VLOOKUP(CONCATENATE(LEFT($K35,2),"L"),$R$63:$T$91,3,FALSE),0)+IF(AND($K35="O3/CP",$K$14=B$18),VLOOKUP("O3",$R$63:$T$91,3,FALSE)+VLOOKUP("CP",$R$63:$T$91,3,FALSE),0)+IF(AND($L35&lt;&gt;"",$L35&lt;&gt;"--",$L35&lt;&gt;"O3/CP",$L$14=B$18),IF(LEFT($L35,1)="P",VLOOKUP(CONCATENATE(LEFT($L35,2),"H"),$R$63:$T$91,3,FALSE),VLOOKUP($L35,$R$63:$T$91,3,FALSE)))+IF(AND($L35&lt;&gt;"",$L35&lt;&gt;"O3/CP",$L$15=B$18,MID($L35,4,1)="2",$L$15&lt;&gt;$L$14),VLOOKUP(CONCATENATE(LEFT($L35,2),"L"),$R$63:$T$91,3,FALSE),0)+IF(AND($L35="O3/CP",$L$14=B$18),VLOOKUP("O3",$R$63:$T$91,3,FALSE)+VLOOKUP("CP",$R$63:$T$91,3,FALSE),0)+IF(AND($M35&lt;&gt;"",$M35&lt;&gt;"--",$M35&lt;&gt;"O3/CP",$M$14=B$18),IF(LEFT($M35,1)="P",VLOOKUP(CONCATENATE(LEFT($M35,2),"H"),$R$63:$T$91,3,FALSE),VLOOKUP($M35,$R$63:$T$91,3,FALSE)))+IF(AND($M35&lt;&gt;"",$M35&lt;&gt;"O3/CP",$M$15=B$18,MID($M35,4,1)="2",$M$15&lt;&gt;$M$14),VLOOKUP(CONCATENATE(LEFT($M35,2),"L"),$R$63:$T$91,3,FALSE),0)+IF(AND($M35="O3/CP",$M$14=B$18),VLOOKUP("O3",$R$63:$T$91,3,FALSE)+VLOOKUP("CP",$R$63:$T$91,3,FALSE),0)+IF(AND($N35&lt;&gt;"",$N35&lt;&gt;"--",$N35&lt;&gt;"O3/CP",$N$14=B$18),IF(LEFT($N35,1)="P",VLOOKUP(CONCATENATE(LEFT($N35,2),"H"),$R$63:$T$91,3,FALSE),VLOOKUP($N35,$R$63:$T$91,3,FALSE)))+IF(AND($N35&lt;&gt;"",$N35&lt;&gt;"O3/CP",$N$15=B$18,MID($N35,4,1)="2",$N$15&lt;&gt;$N$14),VLOOKUP(CONCATENATE(LEFT($N35,2),"L"),$R$63:$T$91,3,FALSE),0)+IF(AND($N35="O3/CP",$N$14=B$18),VLOOKUP("O3",$R$63:$T$91,3,FALSE)+VLOOKUP("CP",$R$63:$T$91,3,FALSE),0)+IF(AND($O35&lt;&gt;"",$O35&lt;&gt;"--",$O35&lt;&gt;"O3/CP",$O$14=B$18),IF(LEFT($O35,1)="P",VLOOKUP(CONCATENATE(LEFT($O35,2),"H"),$R$63:$T$91,3,FALSE),VLOOKUP($O35,$R$63:$T$91,3,FALSE)))+IF(AND($O35&lt;&gt;"",$O35&lt;&gt;"O3/CP",$O$15=B$18,MID($O35,4,1)="2",$O$15&lt;&gt;$O$14),VLOOKUP(CONCATENATE(LEFT($O35,2),"L"),$R$63:$T$91,3,FALSE),0)+IF(AND($O35="O3/CP",$O$14=B$18),VLOOKUP("O3",$R$63:$T$91,3,FALSE)+VLOOKUP("CP",$R$63:$T$91,3,FALSE),0)+IF(AND($P35&lt;&gt;"",$P35&lt;&gt;"--",$P35&lt;&gt;"O3/CP",$P$14=B$18),IF(LEFT($P35,1)="P",VLOOKUP(CONCATENATE(LEFT($P35,2),"H"),$R$63:$T$91,3,FALSE),VLOOKUP($P35,$R$63:$T$91,3,FALSE)))+IF(AND($P35&lt;&gt;"",$P35&lt;&gt;"O3/CP",$P$15=B$18,MID($P35,4,1)="2",$P$15&lt;&gt;$P$14),VLOOKUP(CONCATENATE(LEFT($P35,2),"L"),$R$63:$T$91,3,FALSE),0)+IF(AND($P35="O3/CP",$P$14=B$18),VLOOKUP("O3",$R$63:$T$91,3,FALSE)+VLOOKUP("CP",$R$63:$T$91,3,FALSE),0)+IF(AND($Q35&lt;&gt;"",$Q35&lt;&gt;"--",$Q35&lt;&gt;"O3/CP",$Q$14=B$18),IF(LEFT($Q35,1)="P",VLOOKUP(CONCATENATE(LEFT($Q35,2),"H"),$R$63:$T$91,3,FALSE),VLOOKUP($Q35,$R$63:$T$91,3,FALSE)))+IF(AND($Q35&lt;&gt;"",$Q35&lt;&gt;"O3/CP",$Q$15=B$18,MID($Q35,4,1)="2",$Q$15&lt;&gt;$Q$14),VLOOKUP(CONCATENATE(LEFT($Q35,2),"L"),$R$63:$T$91,3,FALSE),0)+IF(AND($Q35="O3/CP",$Q$14=B$18),VLOOKUP("O3",$R$63:$T$91,3,FALSE)+VLOOKUP("CP",$R$63:$T$91,3,FALSE),0)+IF(AND($R35&lt;&gt;"",$R35&lt;&gt;"--",$R35&lt;&gt;"O3/CP",$R$14=B$18),IF(LEFT($R35,1)="P",VLOOKUP(CONCATENATE(LEFT($R35,2),"H"),$R$63:$T$91,3,FALSE),VLOOKUP($R35,$R$63:$T$91,3,FALSE)))+IF(AND($R35&lt;&gt;"",$R35&lt;&gt;"O3/CP",$R$15=B$18,MID($R35,4,1)="2",$R$15&lt;&gt;$R$14),VLOOKUP(CONCATENATE(LEFT($R35,2),"L"),$R$63:$T$91,3,FALSE),0)+IF(AND($R35="O3/CP",$R$14=B$18),VLOOKUP("O3",$R$63:$T$91,3,FALSE)+VLOOKUP("CP",$R$63:$T$91,3,FALSE),0)+IF(AND($S35&lt;&gt;"",$S35&lt;&gt;"--",$S35&lt;&gt;"O3/CP",$S$14=B$18),IF(LEFT($S35,1)="P",VLOOKUP(CONCATENATE(LEFT($S35,2),"H"),$R$63:$T$91,3,FALSE),VLOOKUP($S35,$R$63:$T$91,3,FALSE)))+IF(AND($S35&lt;&gt;"",$S35&lt;&gt;"O3/CP",$S$15=B$18,MID($S35,4,1)="2",$S$15&lt;&gt;$S$14),VLOOKUP(CONCATENATE(LEFT($S35,2),"L"),$R$63:$T$91,3,FALSE),0)+IF(AND($S35="O3/CP",$S$14=B$18),VLOOKUP("O3",$R$63:$T$91,3,FALSE)+VLOOKUP("CP",$R$63:$T$91,3,FALSE),0)+IF(AND($T35&lt;&gt;"",$T35&lt;&gt;"--",$T35&lt;&gt;"O3/CP",$T$14=B$18),IF(LEFT($T35,1)="P",VLOOKUP(CONCATENATE(LEFT($T35,2),"H"),$R$63:$T$91,3,FALSE),VLOOKUP($T35,$R$63:$T$91,3,FALSE)))+IF(AND($T35&lt;&gt;"",$T35&lt;&gt;"O3/CP",$T$15=B$18,MID($T35,4,1)="2",$T$15&lt;&gt;$T$14),VLOOKUP(CONCATENATE(LEFT($T35,2),"L"),$R$63:$T$91,3,FALSE),0)+IF(AND($T35="O3/CP",$T$14=B$18),VLOOKUP("O3",$R$63:$T$91,3,FALSE)+VLOOKUP("CP",$R$63:$T$91,3,FALSE),0)+IF(AND($U35&lt;&gt;"",$U35&lt;&gt;"--",$U35&lt;&gt;"O3/CP",$U$14=B$18),IF(LEFT($U35,1)="P",VLOOKUP(CONCATENATE(LEFT($U35,2),"H"),$R$63:$T$91,3,FALSE),VLOOKUP($U35,$R$63:$T$91,3,FALSE)))+IF(AND($U35&lt;&gt;"",$U35&lt;&gt;"O3/CP",$U$15=B$18,MID($U35,4,1)="2",$U$15&lt;&gt;$U$14),VLOOKUP(CONCATENATE(LEFT($U35,2),"L"),$R$63:$T$91,3,FALSE),0)+IF(AND($U35="O3/CP",$T$14=B$18),VLOOKUP("O3",$R$63:$T$91,3,FALSE)+VLOOKUP("CP",$R$63:$T$91,3,FALSE),0)+IF(AND($V35&lt;&gt;"",$V35&lt;&gt;"--",$V35&lt;&gt;"O3/CP",$V$14=B$18),IF(LEFT($V35,1)="P",VLOOKUP(CONCATENATE(LEFT($V35,2),"H"),$R$63:$T$91,3,FALSE),VLOOKUP($V35,$R$63:$T$91,3,FALSE)))+IF(AND($V35&lt;&gt;"",$V35&lt;&gt;"O3/CP",$V$15=B$18,MID($V35,4,1)="2",$V$15&lt;&gt;$V$14),VLOOKUP(CONCATENATE(LEFT($V35,2),"L"),$R$63:$T$91,3,FALSE),0)+IF(AND($V35="O3/CP",$V$14=B$18),VLOOKUP("O3",$R$63:$T$91,3,FALSE)+VLOOKUP("CP",$R$63:$T$91,3,FALSE),0)+IF(AND($W35&lt;&gt;"",$W35&lt;&gt;"--",$W35&lt;&gt;"O3/CP",$W$14=B$18),IF(LEFT($W35,1)="P",VLOOKUP(CONCATENATE(LEFT($W35,2),"H"),$R$63:$T$91,3,FALSE),VLOOKUP($W35,$R$63:$T$91,3,FALSE)))+IF(AND($W35&lt;&gt;"",$W35&lt;&gt;"O3/CP",$W$15=B$18,MID($W35,4,1)="2",$W$15&lt;&gt;$W$14),VLOOKUP(CONCATENATE(LEFT($W35,2),"L"),$R$63:$T$91,3,FALSE),0)+IF(AND($W35="O3/CP",$W$14=B$18),VLOOKUP("O3",$R$63:$T$91,3,FALSE)+VLOOKUP("CP",$R$63:$T$91,3,FALSE),0)+IF(AND($X35&lt;&gt;"",$X35&lt;&gt;"--",$X35&lt;&gt;"O3/CP",$X$14=B$18),IF(LEFT($X35,1)="P",VLOOKUP(CONCATENATE(LEFT($X35,2),"H"),$R$63:$T$91,3,FALSE),VLOOKUP($X35,$R$63:$T$91,3,FALSE)))+IF(AND($X35&lt;&gt;"",$X35&lt;&gt;"O3/CP",$X$15=B$18,MID($X35,4,1)="2",$X$15&lt;&gt;$X$14),VLOOKUP(CONCATENATE(LEFT($X35,2),"L"),$R$63:$T$91,3,FALSE),0)+IF(AND($X35="O3/CP",$X$14=B$18),VLOOKUP("O3",$R$63:$T$91,3,FALSE)+VLOOKUP("CP",$R$63:$T$91,3,FALSE),0)+IF(AND($Y35&lt;&gt;"",$Y35&lt;&gt;"--",$Y35&lt;&gt;"O3/CP",$Y$14=B$18),IF(LEFT($Y35,1)="P",VLOOKUP(CONCATENATE(LEFT($Y35,2),"H"),$R$63:$T$91,3,FALSE),VLOOKUP($Y35,$R$63:$T$91,3,FALSE)))+IF(AND($Y35&lt;&gt;"",$Y35&lt;&gt;"O3/CP",$Y$15=B$18,MID($Y35,4,1)="2",$Y$15&lt;&gt;$Y$14),VLOOKUP(CONCATENATE(LEFT($Y35,2),"L"),$R$63:$T$91,3,FALSE),0)+IF(AND($Y35="O3/CP",$Y$14=B$18),VLOOKUP("O3",$R$63:$T$91,3,FALSE)+VLOOKUP("CP",$R$63:$T$91,3,FALSE),0)+IF(AND($K$6="CE",'[3]Supply Attribution'!$G$20=B$18),LEFT($S$90,2),0)+IF(AND($X$86&lt;&gt;"Not Set",$X$87=B$18),$X$86,0)</f>
        <v>0</v>
      </c>
      <c r="C35" s="271">
        <f>IF(AND($K35&lt;&gt;"",$K35&lt;&gt;"--",$K35&lt;&gt;"O3/CP",$K$14=C$18),IF(LEFT($K35,1)="P",VLOOKUP(CONCATENATE(LEFT($K35,2),"H"),$R$63:$T$91,3,FALSE),VLOOKUP($K35,$R$63:$T$91,3,FALSE)))+IF(AND($K35&lt;&gt;"",$K35&lt;&gt;"O3/CP",$K$15=C$18,MID($K35,4,1)="2",$K$15&lt;&gt;$K$14),VLOOKUP(CONCATENATE(LEFT($K35,2),"L"),$R$63:$T$91,3,FALSE),0)+IF(AND($K35="O3/CP",$K$14=C$18),VLOOKUP("O3",$R$63:$T$91,3,FALSE)+VLOOKUP("CP",$R$63:$T$91,3,FALSE),0)+IF(AND($L35&lt;&gt;"",$L35&lt;&gt;"--",$L35&lt;&gt;"O3/CP",$L$14=C$18),IF(LEFT($L35,1)="P",VLOOKUP(CONCATENATE(LEFT($L35,2),"H"),$R$63:$T$91,3,FALSE),VLOOKUP($L35,$R$63:$T$91,3,FALSE)))+IF(AND($L35&lt;&gt;"",$L35&lt;&gt;"O3/CP",$L$15=C$18,MID($L35,4,1)="2",$L$15&lt;&gt;$L$14),VLOOKUP(CONCATENATE(LEFT($L35,2),"L"),$R$63:$T$91,3,FALSE),0)+IF(AND($L35="O3/CP",$L$14=C$18),VLOOKUP("O3",$R$63:$T$91,3,FALSE)+VLOOKUP("CP",$R$63:$T$91,3,FALSE),0)+IF(AND($M35&lt;&gt;"",$M35&lt;&gt;"--",$M35&lt;&gt;"O3/CP",$M$14=C$18),IF(LEFT($M35,1)="P",VLOOKUP(CONCATENATE(LEFT($M35,2),"H"),$R$63:$T$91,3,FALSE),VLOOKUP($M35,$R$63:$T$91,3,FALSE)))+IF(AND($M35&lt;&gt;"",$M35&lt;&gt;"O3/CP",$M$15=C$18,MID($M35,4,1)="2",$M$15&lt;&gt;$M$14),VLOOKUP(CONCATENATE(LEFT($M35,2),"L"),$R$63:$T$91,3,FALSE),0)+IF(AND($M35="O3/CP",$M$14=C$18),VLOOKUP("O3",$R$63:$T$91,3,FALSE)+VLOOKUP("CP",$R$63:$T$91,3,FALSE),0)+IF(AND($N35&lt;&gt;"",$N35&lt;&gt;"--",$N35&lt;&gt;"O3/CP",$N$14=C$18),IF(LEFT($N35,1)="P",VLOOKUP(CONCATENATE(LEFT($N35,2),"H"),$R$63:$T$91,3,FALSE),VLOOKUP($N35,$R$63:$T$91,3,FALSE)))+IF(AND($N35&lt;&gt;"",$N35&lt;&gt;"O3/CP",$N$15=C$18,MID($N35,4,1)="2",$N$15&lt;&gt;$N$14),VLOOKUP(CONCATENATE(LEFT($N35,2),"L"),$R$63:$T$91,3,FALSE),0)+IF(AND($N35="O3/CP",$N$14=C$18),VLOOKUP("O3",$R$63:$T$91,3,FALSE)+VLOOKUP("CP",$R$63:$T$91,3,FALSE),0)+IF(AND($O35&lt;&gt;"",$O35&lt;&gt;"--",$O35&lt;&gt;"O3/CP",$O$14=C$18),IF(LEFT($O35,1)="P",VLOOKUP(CONCATENATE(LEFT($O35,2),"H"),$R$63:$T$91,3,FALSE),VLOOKUP($O35,$R$63:$T$91,3,FALSE)))+IF(AND($O35&lt;&gt;"",$O35&lt;&gt;"O3/CP",$O$15=C$18,MID($O35,4,1)="2",$O$15&lt;&gt;$O$14),VLOOKUP(CONCATENATE(LEFT($O35,2),"L"),$R$63:$T$91,3,FALSE),0)+IF(AND($O35="O3/CP",$O$14=C$18),VLOOKUP("O3",$R$63:$T$91,3,FALSE)+VLOOKUP("CP",$R$63:$T$91,3,FALSE),0)+IF(AND($P35&lt;&gt;"",$P35&lt;&gt;"--",$P35&lt;&gt;"O3/CP",$P$14=C$18),IF(LEFT($P35,1)="P",VLOOKUP(CONCATENATE(LEFT($P35,2),"H"),$R$63:$T$91,3,FALSE),VLOOKUP($P35,$R$63:$T$91,3,FALSE)))+IF(AND($P35&lt;&gt;"",$P35&lt;&gt;"O3/CP",$P$15=C$18,MID($P35,4,1)="2",$P$15&lt;&gt;$P$14),VLOOKUP(CONCATENATE(LEFT($P35,2),"L"),$R$63:$T$91,3,FALSE),0)+IF(AND($P35="O3/CP",$P$14=C$18),VLOOKUP("O3",$R$63:$T$91,3,FALSE)+VLOOKUP("CP",$R$63:$T$91,3,FALSE),0)+IF(AND($Q35&lt;&gt;"",$Q35&lt;&gt;"--",$Q35&lt;&gt;"O3/CP",$Q$14=C$18),IF(LEFT($Q35,1)="P",VLOOKUP(CONCATENATE(LEFT($Q35,2),"H"),$R$63:$T$91,3,FALSE),VLOOKUP($Q35,$R$63:$T$91,3,FALSE)))+IF(AND($Q35&lt;&gt;"",$Q35&lt;&gt;"O3/CP",$Q$15=C$18,MID($Q35,4,1)="2",$Q$15&lt;&gt;$Q$14),VLOOKUP(CONCATENATE(LEFT($Q35,2),"L"),$R$63:$T$91,3,FALSE),0)+IF(AND($Q35="O3/CP",$Q$14=C$18),VLOOKUP("O3",$R$63:$T$91,3,FALSE)+VLOOKUP("CP",$R$63:$T$91,3,FALSE),0)+IF(AND($R35&lt;&gt;"",$R35&lt;&gt;"--",$R35&lt;&gt;"O3/CP",$R$14=C$18),IF(LEFT($R35,1)="P",VLOOKUP(CONCATENATE(LEFT($R35,2),"H"),$R$63:$T$91,3,FALSE),VLOOKUP($R35,$R$63:$T$91,3,FALSE)))+IF(AND($R35&lt;&gt;"",$R35&lt;&gt;"O3/CP",$R$15=C$18,MID($R35,4,1)="2",$R$15&lt;&gt;$R$14),VLOOKUP(CONCATENATE(LEFT($R35,2),"L"),$R$63:$T$91,3,FALSE),0)+IF(AND($R35="O3/CP",$R$14=C$18),VLOOKUP("O3",$R$63:$T$91,3,FALSE)+VLOOKUP("CP",$R$63:$T$91,3,FALSE),0)+IF(AND($S35&lt;&gt;"",$S35&lt;&gt;"--",$S35&lt;&gt;"O3/CP",$S$14=C$18),IF(LEFT($S35,1)="P",VLOOKUP(CONCATENATE(LEFT($S35,2),"H"),$R$63:$T$91,3,FALSE),VLOOKUP($S35,$R$63:$T$91,3,FALSE)))+IF(AND($S35&lt;&gt;"",$S35&lt;&gt;"O3/CP",$S$15=C$18,MID($S35,4,1)="2",$S$15&lt;&gt;$S$14),VLOOKUP(CONCATENATE(LEFT($S35,2),"L"),$R$63:$T$91,3,FALSE),0)+IF(AND($S35="O3/CP",$S$14=C$18),VLOOKUP("O3",$R$63:$T$91,3,FALSE)+VLOOKUP("CP",$R$63:$T$91,3,FALSE),0)+IF(AND($T35&lt;&gt;"",$T35&lt;&gt;"--",$T35&lt;&gt;"O3/CP",$T$14=C$18),IF(LEFT($T35,1)="P",VLOOKUP(CONCATENATE(LEFT($T35,2),"H"),$R$63:$T$91,3,FALSE),VLOOKUP($T35,$R$63:$T$91,3,FALSE)))+IF(AND($T35&lt;&gt;"",$T35&lt;&gt;"O3/CP",$T$15=C$18,MID($T35,4,1)="2",$T$15&lt;&gt;$T$14),VLOOKUP(CONCATENATE(LEFT($T35,2),"L"),$R$63:$T$91,3,FALSE),0)+IF(AND($T35="O3/CP",$T$14=C$18),VLOOKUP("O3",$R$63:$T$91,3,FALSE)+VLOOKUP("CP",$R$63:$T$91,3,FALSE),0)+IF(AND($U35&lt;&gt;"",$U35&lt;&gt;"--",$U35&lt;&gt;"O3/CP",$U$14=C$18),IF(LEFT($U35,1)="P",VLOOKUP(CONCATENATE(LEFT($U35,2),"H"),$R$63:$T$91,3,FALSE),VLOOKUP($U35,$R$63:$T$91,3,FALSE)))+IF(AND($U35&lt;&gt;"",$U35&lt;&gt;"O3/CP",$U$15=C$18,MID($U35,4,1)="2",$U$15&lt;&gt;$U$14),VLOOKUP(CONCATENATE(LEFT($U35,2),"L"),$R$63:$T$91,3,FALSE),0)+IF(AND($U35="O3/CP",$T$14=C$18),VLOOKUP("O3",$R$63:$T$91,3,FALSE)+VLOOKUP("CP",$R$63:$T$91,3,FALSE),0)+IF(AND($V35&lt;&gt;"",$V35&lt;&gt;"--",$V35&lt;&gt;"O3/CP",$V$14=C$18),IF(LEFT($V35,1)="P",VLOOKUP(CONCATENATE(LEFT($V35,2),"H"),$R$63:$T$91,3,FALSE),VLOOKUP($V35,$R$63:$T$91,3,FALSE)))+IF(AND($V35&lt;&gt;"",$V35&lt;&gt;"O3/CP",$V$15=C$18,MID($V35,4,1)="2",$V$15&lt;&gt;$V$14),VLOOKUP(CONCATENATE(LEFT($V35,2),"L"),$R$63:$T$91,3,FALSE),0)+IF(AND($V35="O3/CP",$V$14=C$18),VLOOKUP("O3",$R$63:$T$91,3,FALSE)+VLOOKUP("CP",$R$63:$T$91,3,FALSE),0)+IF(AND($W35&lt;&gt;"",$W35&lt;&gt;"--",$W35&lt;&gt;"O3/CP",$W$14=C$18),IF(LEFT($W35,1)="P",VLOOKUP(CONCATENATE(LEFT($W35,2),"H"),$R$63:$T$91,3,FALSE),VLOOKUP($W35,$R$63:$T$91,3,FALSE)))+IF(AND($W35&lt;&gt;"",$W35&lt;&gt;"O3/CP",$W$15=C$18,MID($W35,4,1)="2",$W$15&lt;&gt;$W$14),VLOOKUP(CONCATENATE(LEFT($W35,2),"L"),$R$63:$T$91,3,FALSE),0)+IF(AND($W35="O3/CP",$W$14=C$18),VLOOKUP("O3",$R$63:$T$91,3,FALSE)+VLOOKUP("CP",$R$63:$T$91,3,FALSE),0)+IF(AND($X35&lt;&gt;"",$X35&lt;&gt;"--",$X35&lt;&gt;"O3/CP",$X$14=C$18),IF(LEFT($X35,1)="P",VLOOKUP(CONCATENATE(LEFT($X35,2),"H"),$R$63:$T$91,3,FALSE),VLOOKUP($X35,$R$63:$T$91,3,FALSE)))+IF(AND($X35&lt;&gt;"",$X35&lt;&gt;"O3/CP",$X$15=C$18,MID($X35,4,1)="2",$X$15&lt;&gt;$X$14),VLOOKUP(CONCATENATE(LEFT($X35,2),"L"),$R$63:$T$91,3,FALSE),0)+IF(AND($X35="O3/CP",$X$14=C$18),VLOOKUP("O3",$R$63:$T$91,3,FALSE)+VLOOKUP("CP",$R$63:$T$91,3,FALSE),0)+IF(AND($Y35&lt;&gt;"",$Y35&lt;&gt;"--",$Y35&lt;&gt;"O3/CP",$Y$14=C$18),IF(LEFT($Y35,1)="P",VLOOKUP(CONCATENATE(LEFT($Y35,2),"H"),$R$63:$T$91,3,FALSE),VLOOKUP($Y35,$R$63:$T$91,3,FALSE)))+IF(AND($Y35&lt;&gt;"",$Y35&lt;&gt;"O3/CP",$Y$15=C$18,MID($Y35,4,1)="2",$Y$15&lt;&gt;$Y$14),VLOOKUP(CONCATENATE(LEFT($Y35,2),"L"),$R$63:$T$91,3,FALSE),0)+IF(AND($Y35="O3/CP",$Y$14=C$18),VLOOKUP("O3",$R$63:$T$91,3,FALSE)+VLOOKUP("CP",$R$63:$T$91,3,FALSE),0)+IF(AND($K$6="CE",'[3]Supply Attribution'!$G$20=C$18),LEFT($S$90,2),0)+IF(AND($X$86&lt;&gt;"Not Set",$X$87=C$18),$X$86,0)</f>
        <v>0</v>
      </c>
      <c r="D35" s="271">
        <f>IF(AND($K35&lt;&gt;"",$K35&lt;&gt;"--",$K35&lt;&gt;"O3/CP",$K$14=D$18),IF(LEFT($K35,1)="P",VLOOKUP(CONCATENATE(LEFT($K35,2),"H"),$R$63:$T$91,3,FALSE),VLOOKUP($K35,$R$63:$T$91,3,FALSE)))+IF(AND($K35&lt;&gt;"",$K35&lt;&gt;"O3/CP",$K$15=D$18,MID($K35,4,1)="2",$K$15&lt;&gt;$K$14),VLOOKUP(CONCATENATE(LEFT($K35,2),"L"),$R$63:$T$91,3,FALSE),0)+IF(AND($K35="O3/CP",$K$14=D$18),VLOOKUP("O3",$R$63:$T$91,3,FALSE)+VLOOKUP("CP",$R$63:$T$91,3,FALSE),0)+IF(AND($L35&lt;&gt;"",$L35&lt;&gt;"--",$L35&lt;&gt;"O3/CP",$L$14=D$18),IF(LEFT($L35,1)="P",VLOOKUP(CONCATENATE(LEFT($L35,2),"H"),$R$63:$T$91,3,FALSE),VLOOKUP($L35,$R$63:$T$91,3,FALSE)))+IF(AND($L35&lt;&gt;"",$L35&lt;&gt;"O3/CP",$L$15=D$18,MID($L35,4,1)="2",$L$15&lt;&gt;$L$14),VLOOKUP(CONCATENATE(LEFT($L35,2),"L"),$R$63:$T$91,3,FALSE),0)+IF(AND($L35="O3/CP",$L$14=D$18),VLOOKUP("O3",$R$63:$T$91,3,FALSE)+VLOOKUP("CP",$R$63:$T$91,3,FALSE),0)+IF(AND($M35&lt;&gt;"",$M35&lt;&gt;"--",$M35&lt;&gt;"O3/CP",$M$14=D$18),IF(LEFT($M35,1)="P",VLOOKUP(CONCATENATE(LEFT($M35,2),"H"),$R$63:$T$91,3,FALSE),VLOOKUP($M35,$R$63:$T$91,3,FALSE)))+IF(AND($M35&lt;&gt;"",$M35&lt;&gt;"O3/CP",$M$15=D$18,MID($M35,4,1)="2",$M$15&lt;&gt;$M$14),VLOOKUP(CONCATENATE(LEFT($M35,2),"L"),$R$63:$T$91,3,FALSE),0)+IF(AND($M35="O3/CP",$M$14=D$18),VLOOKUP("O3",$R$63:$T$91,3,FALSE)+VLOOKUP("CP",$R$63:$T$91,3,FALSE),0)+IF(AND($N35&lt;&gt;"",$N35&lt;&gt;"--",$N35&lt;&gt;"O3/CP",$N$14=D$18),IF(LEFT($N35,1)="P",VLOOKUP(CONCATENATE(LEFT($N35,2),"H"),$R$63:$T$91,3,FALSE),VLOOKUP($N35,$R$63:$T$91,3,FALSE)))+IF(AND($N35&lt;&gt;"",$N35&lt;&gt;"O3/CP",$N$15=D$18,MID($N35,4,1)="2",$N$15&lt;&gt;$N$14),VLOOKUP(CONCATENATE(LEFT($N35,2),"L"),$R$63:$T$91,3,FALSE),0)+IF(AND($N35="O3/CP",$N$14=D$18),VLOOKUP("O3",$R$63:$T$91,3,FALSE)+VLOOKUP("CP",$R$63:$T$91,3,FALSE),0)+IF(AND($O35&lt;&gt;"",$O35&lt;&gt;"--",$O35&lt;&gt;"O3/CP",$O$14=D$18),IF(LEFT($O35,1)="P",VLOOKUP(CONCATENATE(LEFT($O35,2),"H"),$R$63:$T$91,3,FALSE),VLOOKUP($O35,$R$63:$T$91,3,FALSE)))+IF(AND($O35&lt;&gt;"",$O35&lt;&gt;"O3/CP",$O$15=D$18,MID($O35,4,1)="2",$O$15&lt;&gt;$O$14),VLOOKUP(CONCATENATE(LEFT($O35,2),"L"),$R$63:$T$91,3,FALSE),0)+IF(AND($O35="O3/CP",$O$14=D$18),VLOOKUP("O3",$R$63:$T$91,3,FALSE)+VLOOKUP("CP",$R$63:$T$91,3,FALSE),0)+IF(AND($P35&lt;&gt;"",$P35&lt;&gt;"--",$P35&lt;&gt;"O3/CP",$P$14=D$18),IF(LEFT($P35,1)="P",VLOOKUP(CONCATENATE(LEFT($P35,2),"H"),$R$63:$T$91,3,FALSE),VLOOKUP($P35,$R$63:$T$91,3,FALSE)))+IF(AND($P35&lt;&gt;"",$P35&lt;&gt;"O3/CP",$P$15=D$18,MID($P35,4,1)="2",$P$15&lt;&gt;$P$14),VLOOKUP(CONCATENATE(LEFT($P35,2),"L"),$R$63:$T$91,3,FALSE),0)+IF(AND($P35="O3/CP",$P$14=D$18),VLOOKUP("O3",$R$63:$T$91,3,FALSE)+VLOOKUP("CP",$R$63:$T$91,3,FALSE),0)+IF(AND($Q35&lt;&gt;"",$Q35&lt;&gt;"--",$Q35&lt;&gt;"O3/CP",$Q$14=D$18),IF(LEFT($Q35,1)="P",VLOOKUP(CONCATENATE(LEFT($Q35,2),"H"),$R$63:$T$91,3,FALSE),VLOOKUP($Q35,$R$63:$T$91,3,FALSE)))+IF(AND($Q35&lt;&gt;"",$Q35&lt;&gt;"O3/CP",$Q$15=D$18,MID($Q35,4,1)="2",$Q$15&lt;&gt;$Q$14),VLOOKUP(CONCATENATE(LEFT($Q35,2),"L"),$R$63:$T$91,3,FALSE),0)+IF(AND($Q35="O3/CP",$Q$14=D$18),VLOOKUP("O3",$R$63:$T$91,3,FALSE)+VLOOKUP("CP",$R$63:$T$91,3,FALSE),0)+IF(AND($R35&lt;&gt;"",$R35&lt;&gt;"--",$R35&lt;&gt;"O3/CP",$R$14=D$18),IF(LEFT($R35,1)="P",VLOOKUP(CONCATENATE(LEFT($R35,2),"H"),$R$63:$T$91,3,FALSE),VLOOKUP($R35,$R$63:$T$91,3,FALSE)))+IF(AND($R35&lt;&gt;"",$R35&lt;&gt;"O3/CP",$R$15=D$18,MID($R35,4,1)="2",$R$15&lt;&gt;$R$14),VLOOKUP(CONCATENATE(LEFT($R35,2),"L"),$R$63:$T$91,3,FALSE),0)+IF(AND($R35="O3/CP",$R$14=D$18),VLOOKUP("O3",$R$63:$T$91,3,FALSE)+VLOOKUP("CP",$R$63:$T$91,3,FALSE),0)+IF(AND($S35&lt;&gt;"",$S35&lt;&gt;"--",$S35&lt;&gt;"O3/CP",$S$14=D$18),IF(LEFT($S35,1)="P",VLOOKUP(CONCATENATE(LEFT($S35,2),"H"),$R$63:$T$91,3,FALSE),VLOOKUP($S35,$R$63:$T$91,3,FALSE)))+IF(AND($S35&lt;&gt;"",$S35&lt;&gt;"O3/CP",$S$15=D$18,MID($S35,4,1)="2",$S$15&lt;&gt;$S$14),VLOOKUP(CONCATENATE(LEFT($S35,2),"L"),$R$63:$T$91,3,FALSE),0)+IF(AND($S35="O3/CP",$S$14=D$18),VLOOKUP("O3",$R$63:$T$91,3,FALSE)+VLOOKUP("CP",$R$63:$T$91,3,FALSE),0)+IF(AND($T35&lt;&gt;"",$T35&lt;&gt;"--",$T35&lt;&gt;"O3/CP",$T$14=D$18),IF(LEFT($T35,1)="P",VLOOKUP(CONCATENATE(LEFT($T35,2),"H"),$R$63:$T$91,3,FALSE),VLOOKUP($T35,$R$63:$T$91,3,FALSE)))+IF(AND($T35&lt;&gt;"",$T35&lt;&gt;"O3/CP",$T$15=D$18,MID($T35,4,1)="2",$T$15&lt;&gt;$T$14),VLOOKUP(CONCATENATE(LEFT($T35,2),"L"),$R$63:$T$91,3,FALSE),0)+IF(AND($T35="O3/CP",$T$14=D$18),VLOOKUP("O3",$R$63:$T$91,3,FALSE)+VLOOKUP("CP",$R$63:$T$91,3,FALSE),0)+IF(AND($U35&lt;&gt;"",$U35&lt;&gt;"--",$U35&lt;&gt;"O3/CP",$U$14=D$18),IF(LEFT($U35,1)="P",VLOOKUP(CONCATENATE(LEFT($U35,2),"H"),$R$63:$T$91,3,FALSE),VLOOKUP($U35,$R$63:$T$91,3,FALSE)))+IF(AND($U35&lt;&gt;"",$U35&lt;&gt;"O3/CP",$U$15=D$18,MID($U35,4,1)="2",$U$15&lt;&gt;$U$14),VLOOKUP(CONCATENATE(LEFT($U35,2),"L"),$R$63:$T$91,3,FALSE),0)+IF(AND($U35="O3/CP",$T$14=D$18),VLOOKUP("O3",$R$63:$T$91,3,FALSE)+VLOOKUP("CP",$R$63:$T$91,3,FALSE),0)+IF(AND($V35&lt;&gt;"",$V35&lt;&gt;"--",$V35&lt;&gt;"O3/CP",$V$14=D$18),IF(LEFT($V35,1)="P",VLOOKUP(CONCATENATE(LEFT($V35,2),"H"),$R$63:$T$91,3,FALSE),VLOOKUP($V35,$R$63:$T$91,3,FALSE)))+IF(AND($V35&lt;&gt;"",$V35&lt;&gt;"O3/CP",$V$15=D$18,MID($V35,4,1)="2",$V$15&lt;&gt;$V$14),VLOOKUP(CONCATENATE(LEFT($V35,2),"L"),$R$63:$T$91,3,FALSE),0)+IF(AND($V35="O3/CP",$V$14=D$18),VLOOKUP("O3",$R$63:$T$91,3,FALSE)+VLOOKUP("CP",$R$63:$T$91,3,FALSE),0)+IF(AND($W35&lt;&gt;"",$W35&lt;&gt;"--",$W35&lt;&gt;"O3/CP",$W$14=D$18),IF(LEFT($W35,1)="P",VLOOKUP(CONCATENATE(LEFT($W35,2),"H"),$R$63:$T$91,3,FALSE),VLOOKUP($W35,$R$63:$T$91,3,FALSE)))+IF(AND($W35&lt;&gt;"",$W35&lt;&gt;"O3/CP",$W$15=D$18,MID($W35,4,1)="2",$W$15&lt;&gt;$W$14),VLOOKUP(CONCATENATE(LEFT($W35,2),"L"),$R$63:$T$91,3,FALSE),0)+IF(AND($W35="O3/CP",$W$14=D$18),VLOOKUP("O3",$R$63:$T$91,3,FALSE)+VLOOKUP("CP",$R$63:$T$91,3,FALSE),0)+IF(AND($X35&lt;&gt;"",$X35&lt;&gt;"--",$X35&lt;&gt;"O3/CP",$X$14=D$18),IF(LEFT($X35,1)="P",VLOOKUP(CONCATENATE(LEFT($X35,2),"H"),$R$63:$T$91,3,FALSE),VLOOKUP($X35,$R$63:$T$91,3,FALSE)))+IF(AND($X35&lt;&gt;"",$X35&lt;&gt;"O3/CP",$X$15=D$18,MID($X35,4,1)="2",$X$15&lt;&gt;$X$14),VLOOKUP(CONCATENATE(LEFT($X35,2),"L"),$R$63:$T$91,3,FALSE),0)+IF(AND($X35="O3/CP",$X$14=D$18),VLOOKUP("O3",$R$63:$T$91,3,FALSE)+VLOOKUP("CP",$R$63:$T$91,3,FALSE),0)+IF(AND($Y35&lt;&gt;"",$Y35&lt;&gt;"--",$Y35&lt;&gt;"O3/CP",$Y$14=D$18),IF(LEFT($Y35,1)="P",VLOOKUP(CONCATENATE(LEFT($Y35,2),"H"),$R$63:$T$91,3,FALSE),VLOOKUP($Y35,$R$63:$T$91,3,FALSE)))+IF(AND($Y35&lt;&gt;"",$Y35&lt;&gt;"O3/CP",$Y$15=D$18,MID($Y35,4,1)="2",$Y$15&lt;&gt;$Y$14),VLOOKUP(CONCATENATE(LEFT($Y35,2),"L"),$R$63:$T$91,3,FALSE),0)+IF(AND($Y35="O3/CP",$Y$14=D$18),VLOOKUP("O3",$R$63:$T$91,3,FALSE)+VLOOKUP("CP",$R$63:$T$91,3,FALSE),0)+IF(AND($K$6="CE",'[3]Supply Attribution'!$G$20=D$18),LEFT($S$90,2),0)+IF(AND($X$86&lt;&gt;"Not Set",$X$87=D$18),$X$86,0)</f>
        <v>0</v>
      </c>
      <c r="E35" s="271">
        <f>IF(AND($K35&lt;&gt;"",$K35&lt;&gt;"--",$K35&lt;&gt;"O3/CP",$K$14=E$18),IF(LEFT($K35,1)="P",VLOOKUP(CONCATENATE(LEFT($K35,2),"H"),$R$63:$T$91,3,FALSE),VLOOKUP($K35,$R$63:$T$91,3,FALSE)))+IF(AND($K35&lt;&gt;"",$K35&lt;&gt;"O3/CP",$K$15=E$18,MID($K35,4,1)="2",$K$15&lt;&gt;$K$14),VLOOKUP(CONCATENATE(LEFT($K35,2),"L"),$R$63:$T$91,3,FALSE),0)+IF(AND($K35="O3/CP",$K$14=E$18),VLOOKUP("O3",$R$63:$T$91,3,FALSE)+VLOOKUP("CP",$R$63:$T$91,3,FALSE),0)+IF(AND($L35&lt;&gt;"",$L35&lt;&gt;"--",$L35&lt;&gt;"O3/CP",$L$14=E$18),IF(LEFT($L35,1)="P",VLOOKUP(CONCATENATE(LEFT($L35,2),"H"),$R$63:$T$91,3,FALSE),VLOOKUP($L35,$R$63:$T$91,3,FALSE)))+IF(AND($L35&lt;&gt;"",$L35&lt;&gt;"O3/CP",$L$15=E$18,MID($L35,4,1)="2",$L$15&lt;&gt;$L$14),VLOOKUP(CONCATENATE(LEFT($L35,2),"L"),$R$63:$T$91,3,FALSE),0)+IF(AND($L35="O3/CP",$L$14=E$18),VLOOKUP("O3",$R$63:$T$91,3,FALSE)+VLOOKUP("CP",$R$63:$T$91,3,FALSE),0)+IF(AND($M35&lt;&gt;"",$M35&lt;&gt;"--",$M35&lt;&gt;"O3/CP",$M$14=E$18),IF(LEFT($M35,1)="P",VLOOKUP(CONCATENATE(LEFT($M35,2),"H"),$R$63:$T$91,3,FALSE),VLOOKUP($M35,$R$63:$T$91,3,FALSE)))+IF(AND($M35&lt;&gt;"",$M35&lt;&gt;"O3/CP",$M$15=E$18,MID($M35,4,1)="2",$M$15&lt;&gt;$M$14),VLOOKUP(CONCATENATE(LEFT($M35,2),"L"),$R$63:$T$91,3,FALSE),0)+IF(AND($M35="O3/CP",$M$14=E$18),VLOOKUP("O3",$R$63:$T$91,3,FALSE)+VLOOKUP("CP",$R$63:$T$91,3,FALSE),0)+IF(AND($N35&lt;&gt;"",$N35&lt;&gt;"--",$N35&lt;&gt;"O3/CP",$N$14=E$18),IF(LEFT($N35,1)="P",VLOOKUP(CONCATENATE(LEFT($N35,2),"H"),$R$63:$T$91,3,FALSE),VLOOKUP($N35,$R$63:$T$91,3,FALSE)))+IF(AND($N35&lt;&gt;"",$N35&lt;&gt;"O3/CP",$N$15=E$18,MID($N35,4,1)="2",$N$15&lt;&gt;$N$14),VLOOKUP(CONCATENATE(LEFT($N35,2),"L"),$R$63:$T$91,3,FALSE),0)+IF(AND($N35="O3/CP",$N$14=E$18),VLOOKUP("O3",$R$63:$T$91,3,FALSE)+VLOOKUP("CP",$R$63:$T$91,3,FALSE),0)+IF(AND($O35&lt;&gt;"",$O35&lt;&gt;"--",$O35&lt;&gt;"O3/CP",$O$14=E$18),IF(LEFT($O35,1)="P",VLOOKUP(CONCATENATE(LEFT($O35,2),"H"),$R$63:$T$91,3,FALSE),VLOOKUP($O35,$R$63:$T$91,3,FALSE)))+IF(AND($O35&lt;&gt;"",$O35&lt;&gt;"O3/CP",$O$15=E$18,MID($O35,4,1)="2",$O$15&lt;&gt;$O$14),VLOOKUP(CONCATENATE(LEFT($O35,2),"L"),$R$63:$T$91,3,FALSE),0)+IF(AND($O35="O3/CP",$O$14=E$18),VLOOKUP("O3",$R$63:$T$91,3,FALSE)+VLOOKUP("CP",$R$63:$T$91,3,FALSE),0)+IF(AND($P35&lt;&gt;"",$P35&lt;&gt;"--",$P35&lt;&gt;"O3/CP",$P$14=E$18),IF(LEFT($P35,1)="P",VLOOKUP(CONCATENATE(LEFT($P35,2),"H"),$R$63:$T$91,3,FALSE),VLOOKUP($P35,$R$63:$T$91,3,FALSE)))+IF(AND($P35&lt;&gt;"",$P35&lt;&gt;"O3/CP",$P$15=E$18,MID($P35,4,1)="2",$P$15&lt;&gt;$P$14),VLOOKUP(CONCATENATE(LEFT($P35,2),"L"),$R$63:$T$91,3,FALSE),0)+IF(AND($P35="O3/CP",$P$14=E$18),VLOOKUP("O3",$R$63:$T$91,3,FALSE)+VLOOKUP("CP",$R$63:$T$91,3,FALSE),0)+IF(AND($Q35&lt;&gt;"",$Q35&lt;&gt;"--",$Q35&lt;&gt;"O3/CP",$Q$14=E$18),IF(LEFT($Q35,1)="P",VLOOKUP(CONCATENATE(LEFT($Q35,2),"H"),$R$63:$T$91,3,FALSE),VLOOKUP($Q35,$R$63:$T$91,3,FALSE)))+IF(AND($Q35&lt;&gt;"",$Q35&lt;&gt;"O3/CP",$Q$15=E$18,MID($Q35,4,1)="2",$Q$15&lt;&gt;$Q$14),VLOOKUP(CONCATENATE(LEFT($Q35,2),"L"),$R$63:$T$91,3,FALSE),0)+IF(AND($Q35="O3/CP",$Q$14=E$18),VLOOKUP("O3",$R$63:$T$91,3,FALSE)+VLOOKUP("CP",$R$63:$T$91,3,FALSE),0)+IF(AND($R35&lt;&gt;"",$R35&lt;&gt;"--",$R35&lt;&gt;"O3/CP",$R$14=E$18),IF(LEFT($R35,1)="P",VLOOKUP(CONCATENATE(LEFT($R35,2),"H"),$R$63:$T$91,3,FALSE),VLOOKUP($R35,$R$63:$T$91,3,FALSE)))+IF(AND($R35&lt;&gt;"",$R35&lt;&gt;"O3/CP",$R$15=E$18,MID($R35,4,1)="2",$R$15&lt;&gt;$R$14),VLOOKUP(CONCATENATE(LEFT($R35,2),"L"),$R$63:$T$91,3,FALSE),0)+IF(AND($R35="O3/CP",$R$14=E$18),VLOOKUP("O3",$R$63:$T$91,3,FALSE)+VLOOKUP("CP",$R$63:$T$91,3,FALSE),0)+IF(AND($S35&lt;&gt;"",$S35&lt;&gt;"--",$S35&lt;&gt;"O3/CP",$S$14=E$18),IF(LEFT($S35,1)="P",VLOOKUP(CONCATENATE(LEFT($S35,2),"H"),$R$63:$T$91,3,FALSE),VLOOKUP($S35,$R$63:$T$91,3,FALSE)))+IF(AND($S35&lt;&gt;"",$S35&lt;&gt;"O3/CP",$S$15=E$18,MID($S35,4,1)="2",$S$15&lt;&gt;$S$14),VLOOKUP(CONCATENATE(LEFT($S35,2),"L"),$R$63:$T$91,3,FALSE),0)+IF(AND($S35="O3/CP",$S$14=E$18),VLOOKUP("O3",$R$63:$T$91,3,FALSE)+VLOOKUP("CP",$R$63:$T$91,3,FALSE),0)+IF(AND($T35&lt;&gt;"",$T35&lt;&gt;"--",$T35&lt;&gt;"O3/CP",$T$14=E$18),IF(LEFT($T35,1)="P",VLOOKUP(CONCATENATE(LEFT($T35,2),"H"),$R$63:$T$91,3,FALSE),VLOOKUP($T35,$R$63:$T$91,3,FALSE)))+IF(AND($T35&lt;&gt;"",$T35&lt;&gt;"O3/CP",$T$15=E$18,MID($T35,4,1)="2",$T$15&lt;&gt;$T$14),VLOOKUP(CONCATENATE(LEFT($T35,2),"L"),$R$63:$T$91,3,FALSE),0)+IF(AND($T35="O3/CP",$T$14=E$18),VLOOKUP("O3",$R$63:$T$91,3,FALSE)+VLOOKUP("CP",$R$63:$T$91,3,FALSE),0)+IF(AND($U35&lt;&gt;"",$U35&lt;&gt;"--",$U35&lt;&gt;"O3/CP",$U$14=E$18),IF(LEFT($U35,1)="P",VLOOKUP(CONCATENATE(LEFT($U35,2),"H"),$R$63:$T$91,3,FALSE),VLOOKUP($U35,$R$63:$T$91,3,FALSE)))+IF(AND($U35&lt;&gt;"",$U35&lt;&gt;"O3/CP",$U$15=E$18,MID($U35,4,1)="2",$U$15&lt;&gt;$U$14),VLOOKUP(CONCATENATE(LEFT($U35,2),"L"),$R$63:$T$91,3,FALSE),0)+IF(AND($U35="O3/CP",$T$14=E$18),VLOOKUP("O3",$R$63:$T$91,3,FALSE)+VLOOKUP("CP",$R$63:$T$91,3,FALSE),0)+IF(AND($V35&lt;&gt;"",$V35&lt;&gt;"--",$V35&lt;&gt;"O3/CP",$V$14=E$18),IF(LEFT($V35,1)="P",VLOOKUP(CONCATENATE(LEFT($V35,2),"H"),$R$63:$T$91,3,FALSE),VLOOKUP($V35,$R$63:$T$91,3,FALSE)))+IF(AND($V35&lt;&gt;"",$V35&lt;&gt;"O3/CP",$V$15=E$18,MID($V35,4,1)="2",$V$15&lt;&gt;$V$14),VLOOKUP(CONCATENATE(LEFT($V35,2),"L"),$R$63:$T$91,3,FALSE),0)+IF(AND($V35="O3/CP",$V$14=E$18),VLOOKUP("O3",$R$63:$T$91,3,FALSE)+VLOOKUP("CP",$R$63:$T$91,3,FALSE),0)+IF(AND($W35&lt;&gt;"",$W35&lt;&gt;"--",$W35&lt;&gt;"O3/CP",$W$14=E$18),IF(LEFT($W35,1)="P",VLOOKUP(CONCATENATE(LEFT($W35,2),"H"),$R$63:$T$91,3,FALSE),VLOOKUP($W35,$R$63:$T$91,3,FALSE)))+IF(AND($W35&lt;&gt;"",$W35&lt;&gt;"O3/CP",$W$15=E$18,MID($W35,4,1)="2",$W$15&lt;&gt;$W$14),VLOOKUP(CONCATENATE(LEFT($W35,2),"L"),$R$63:$T$91,3,FALSE),0)+IF(AND($W35="O3/CP",$W$14=E$18),VLOOKUP("O3",$R$63:$T$91,3,FALSE)+VLOOKUP("CP",$R$63:$T$91,3,FALSE),0)+IF(AND($X35&lt;&gt;"",$X35&lt;&gt;"--",$X35&lt;&gt;"O3/CP",$X$14=E$18),IF(LEFT($X35,1)="P",VLOOKUP(CONCATENATE(LEFT($X35,2),"H"),$R$63:$T$91,3,FALSE),VLOOKUP($X35,$R$63:$T$91,3,FALSE)))+IF(AND($X35&lt;&gt;"",$X35&lt;&gt;"O3/CP",$X$15=E$18,MID($X35,4,1)="2",$X$15&lt;&gt;$X$14),VLOOKUP(CONCATENATE(LEFT($X35,2),"L"),$R$63:$T$91,3,FALSE),0)+IF(AND($X35="O3/CP",$X$14=E$18),VLOOKUP("O3",$R$63:$T$91,3,FALSE)+VLOOKUP("CP",$R$63:$T$91,3,FALSE),0)+IF(AND($Y35&lt;&gt;"",$Y35&lt;&gt;"--",$Y35&lt;&gt;"O3/CP",$Y$14=E$18),IF(LEFT($Y35,1)="P",VLOOKUP(CONCATENATE(LEFT($Y35,2),"H"),$R$63:$T$91,3,FALSE),VLOOKUP($Y35,$R$63:$T$91,3,FALSE)))+IF(AND($Y35&lt;&gt;"",$Y35&lt;&gt;"O3/CP",$Y$15=E$18,MID($Y35,4,1)="2",$Y$15&lt;&gt;$Y$14),VLOOKUP(CONCATENATE(LEFT($Y35,2),"L"),$R$63:$T$91,3,FALSE),0)+IF(AND($Y35="O3/CP",$Y$14=E$18),VLOOKUP("O3",$R$63:$T$91,3,FALSE)+VLOOKUP("CP",$R$63:$T$91,3,FALSE),0)+IF(AND($K$6="CE",'[3]Supply Attribution'!$G$20=E$18),LEFT($S$90,2),0)+IF(AND($X$86&lt;&gt;"Not Set",$X$87=E$18),$X$86,0)</f>
        <v>0</v>
      </c>
      <c r="F35" s="272">
        <f>IF(AND($K35&lt;&gt;"",$K35&lt;&gt;"--",$K35&lt;&gt;"O3/CP",$K$14=F$18),IF(LEFT($K35,1)="P",VLOOKUP(CONCATENATE(LEFT($K35,2),"H"),$R$63:$T$91,3,FALSE),VLOOKUP($K35,$R$63:$T$91,3,FALSE)))+IF(AND($K35&lt;&gt;"",$K35&lt;&gt;"O3/CP",$K$15=F$18,MID($K35,4,1)="2",$K$15&lt;&gt;$K$14),VLOOKUP(CONCATENATE(LEFT($K35,2),"L"),$R$63:$T$91,3,FALSE),0)+IF(AND($K35="O3/CP",$K$14=F$18),VLOOKUP("O3",$R$63:$T$91,3,FALSE)+VLOOKUP("CP",$R$63:$T$91,3,FALSE),0)+IF(AND($L35&lt;&gt;"",$L35&lt;&gt;"--",$L35&lt;&gt;"O3/CP",$L$14=F$18),IF(LEFT($L35,1)="P",VLOOKUP(CONCATENATE(LEFT($L35,2),"H"),$R$63:$T$91,3,FALSE),VLOOKUP($L35,$R$63:$T$91,3,FALSE)))+IF(AND($L35&lt;&gt;"",$L35&lt;&gt;"O3/CP",$L$15=F$18,MID($L35,4,1)="2",$L$15&lt;&gt;$L$14),VLOOKUP(CONCATENATE(LEFT($L35,2),"L"),$R$63:$T$91,3,FALSE),0)+IF(AND($L35="O3/CP",$L$14=F$18),VLOOKUP("O3",$R$63:$T$91,3,FALSE)+VLOOKUP("CP",$R$63:$T$91,3,FALSE),0)+IF(AND($M35&lt;&gt;"",$M35&lt;&gt;"--",$M35&lt;&gt;"O3/CP",$M$14=F$18),IF(LEFT($M35,1)="P",VLOOKUP(CONCATENATE(LEFT($M35,2),"H"),$R$63:$T$91,3,FALSE),VLOOKUP($M35,$R$63:$T$91,3,FALSE)))+IF(AND($M35&lt;&gt;"",$M35&lt;&gt;"O3/CP",$M$15=F$18,MID($M35,4,1)="2",$M$15&lt;&gt;$M$14),VLOOKUP(CONCATENATE(LEFT($M35,2),"L"),$R$63:$T$91,3,FALSE),0)+IF(AND($M35="O3/CP",$M$14=F$18),VLOOKUP("O3",$R$63:$T$91,3,FALSE)+VLOOKUP("CP",$R$63:$T$91,3,FALSE),0)+IF(AND($N35&lt;&gt;"",$N35&lt;&gt;"--",$N35&lt;&gt;"O3/CP",$N$14=F$18),IF(LEFT($N35,1)="P",VLOOKUP(CONCATENATE(LEFT($N35,2),"H"),$R$63:$T$91,3,FALSE),VLOOKUP($N35,$R$63:$T$91,3,FALSE)))+IF(AND($N35&lt;&gt;"",$N35&lt;&gt;"O3/CP",$N$15=F$18,MID($N35,4,1)="2",$N$15&lt;&gt;$N$14),VLOOKUP(CONCATENATE(LEFT($N35,2),"L"),$R$63:$T$91,3,FALSE),0)+IF(AND($N35="O3/CP",$N$14=F$18),VLOOKUP("O3",$R$63:$T$91,3,FALSE)+VLOOKUP("CP",$R$63:$T$91,3,FALSE),0)+IF(AND($O35&lt;&gt;"",$O35&lt;&gt;"--",$O35&lt;&gt;"O3/CP",$O$14=F$18),IF(LEFT($O35,1)="P",VLOOKUP(CONCATENATE(LEFT($O35,2),"H"),$R$63:$T$91,3,FALSE),VLOOKUP($O35,$R$63:$T$91,3,FALSE)))+IF(AND($O35&lt;&gt;"",$O35&lt;&gt;"O3/CP",$O$15=F$18,MID($O35,4,1)="2",$O$15&lt;&gt;$O$14),VLOOKUP(CONCATENATE(LEFT($O35,2),"L"),$R$63:$T$91,3,FALSE),0)+IF(AND($O35="O3/CP",$O$14=F$18),VLOOKUP("O3",$R$63:$T$91,3,FALSE)+VLOOKUP("CP",$R$63:$T$91,3,FALSE),0)+IF(AND($P35&lt;&gt;"",$P35&lt;&gt;"--",$P35&lt;&gt;"O3/CP",$P$14=F$18),IF(LEFT($P35,1)="P",VLOOKUP(CONCATENATE(LEFT($P35,2),"H"),$R$63:$T$91,3,FALSE),VLOOKUP($P35,$R$63:$T$91,3,FALSE)))+IF(AND($P35&lt;&gt;"",$P35&lt;&gt;"O3/CP",$P$15=F$18,MID($P35,4,1)="2",$P$15&lt;&gt;$P$14),VLOOKUP(CONCATENATE(LEFT($P35,2),"L"),$R$63:$T$91,3,FALSE),0)+IF(AND($P35="O3/CP",$P$14=F$18),VLOOKUP("O3",$R$63:$T$91,3,FALSE)+VLOOKUP("CP",$R$63:$T$91,3,FALSE),0)+IF(AND($Q35&lt;&gt;"",$Q35&lt;&gt;"--",$Q35&lt;&gt;"O3/CP",$Q$14=F$18),IF(LEFT($Q35,1)="P",VLOOKUP(CONCATENATE(LEFT($Q35,2),"H"),$R$63:$T$91,3,FALSE),VLOOKUP($Q35,$R$63:$T$91,3,FALSE)))+IF(AND($Q35&lt;&gt;"",$Q35&lt;&gt;"O3/CP",$Q$15=F$18,MID($Q35,4,1)="2",$Q$15&lt;&gt;$Q$14),VLOOKUP(CONCATENATE(LEFT($Q35,2),"L"),$R$63:$T$91,3,FALSE),0)+IF(AND($Q35="O3/CP",$Q$14=F$18),VLOOKUP("O3",$R$63:$T$91,3,FALSE)+VLOOKUP("CP",$R$63:$T$91,3,FALSE),0)+IF(AND($R35&lt;&gt;"",$R35&lt;&gt;"--",$R35&lt;&gt;"O3/CP",$R$14=F$18),IF(LEFT($R35,1)="P",VLOOKUP(CONCATENATE(LEFT($R35,2),"H"),$R$63:$T$91,3,FALSE),VLOOKUP($R35,$R$63:$T$91,3,FALSE)))+IF(AND($R35&lt;&gt;"",$R35&lt;&gt;"O3/CP",$R$15=F$18,MID($R35,4,1)="2",$R$15&lt;&gt;$R$14),VLOOKUP(CONCATENATE(LEFT($R35,2),"L"),$R$63:$T$91,3,FALSE),0)+IF(AND($R35="O3/CP",$R$14=F$18),VLOOKUP("O3",$R$63:$T$91,3,FALSE)+VLOOKUP("CP",$R$63:$T$91,3,FALSE),0)+IF(AND($S35&lt;&gt;"",$S35&lt;&gt;"--",$S35&lt;&gt;"O3/CP",$S$14=F$18),IF(LEFT($S35,1)="P",VLOOKUP(CONCATENATE(LEFT($S35,2),"H"),$R$63:$T$91,3,FALSE),VLOOKUP($S35,$R$63:$T$91,3,FALSE)))+IF(AND($S35&lt;&gt;"",$S35&lt;&gt;"O3/CP",$S$15=F$18,MID($S35,4,1)="2",$S$15&lt;&gt;$S$14),VLOOKUP(CONCATENATE(LEFT($S35,2),"L"),$R$63:$T$91,3,FALSE),0)+IF(AND($S35="O3/CP",$S$14=F$18),VLOOKUP("O3",$R$63:$T$91,3,FALSE)+VLOOKUP("CP",$R$63:$T$91,3,FALSE),0)+IF(AND($T35&lt;&gt;"",$T35&lt;&gt;"--",$T35&lt;&gt;"O3/CP",$T$14=F$18),IF(LEFT($T35,1)="P",VLOOKUP(CONCATENATE(LEFT($T35,2),"H"),$R$63:$T$91,3,FALSE),VLOOKUP($T35,$R$63:$T$91,3,FALSE)))+IF(AND($T35&lt;&gt;"",$T35&lt;&gt;"O3/CP",$T$15=F$18,MID($T35,4,1)="2",$T$15&lt;&gt;$T$14),VLOOKUP(CONCATENATE(LEFT($T35,2),"L"),$R$63:$T$91,3,FALSE),0)+IF(AND($T35="O3/CP",$T$14=F$18),VLOOKUP("O3",$R$63:$T$91,3,FALSE)+VLOOKUP("CP",$R$63:$T$91,3,FALSE),0)+IF(AND($U35&lt;&gt;"",$U35&lt;&gt;"--",$U35&lt;&gt;"O3/CP",$U$14=F$18),IF(LEFT($U35,1)="P",VLOOKUP(CONCATENATE(LEFT($U35,2),"H"),$R$63:$T$91,3,FALSE),VLOOKUP($U35,$R$63:$T$91,3,FALSE)))+IF(AND($U35&lt;&gt;"",$U35&lt;&gt;"O3/CP",$U$15=F$18,MID($U35,4,1)="2",$U$15&lt;&gt;$U$14),VLOOKUP(CONCATENATE(LEFT($U35,2),"L"),$R$63:$T$91,3,FALSE),0)+IF(AND($U35="O3/CP",$T$14=F$18),VLOOKUP("O3",$R$63:$T$91,3,FALSE)+VLOOKUP("CP",$R$63:$T$91,3,FALSE),0)+IF(AND($V35&lt;&gt;"",$V35&lt;&gt;"--",$V35&lt;&gt;"O3/CP",$V$14=F$18),IF(LEFT($V35,1)="P",VLOOKUP(CONCATENATE(LEFT($V35,2),"H"),$R$63:$T$91,3,FALSE),VLOOKUP($V35,$R$63:$T$91,3,FALSE)))+IF(AND($V35&lt;&gt;"",$V35&lt;&gt;"O3/CP",$V$15=F$18,MID($V35,4,1)="2",$V$15&lt;&gt;$V$14),VLOOKUP(CONCATENATE(LEFT($V35,2),"L"),$R$63:$T$91,3,FALSE),0)+IF(AND($V35="O3/CP",$V$14=F$18),VLOOKUP("O3",$R$63:$T$91,3,FALSE)+VLOOKUP("CP",$R$63:$T$91,3,FALSE),0)+IF(AND($W35&lt;&gt;"",$W35&lt;&gt;"--",$W35&lt;&gt;"O3/CP",$W$14=F$18),IF(LEFT($W35,1)="P",VLOOKUP(CONCATENATE(LEFT($W35,2),"H"),$R$63:$T$91,3,FALSE),VLOOKUP($W35,$R$63:$T$91,3,FALSE)))+IF(AND($W35&lt;&gt;"",$W35&lt;&gt;"O3/CP",$W$15=F$18,MID($W35,4,1)="2",$W$15&lt;&gt;$W$14),VLOOKUP(CONCATENATE(LEFT($W35,2),"L"),$R$63:$T$91,3,FALSE),0)+IF(AND($W35="O3/CP",$W$14=F$18),VLOOKUP("O3",$R$63:$T$91,3,FALSE)+VLOOKUP("CP",$R$63:$T$91,3,FALSE),0)+IF(AND($X35&lt;&gt;"",$X35&lt;&gt;"--",$X35&lt;&gt;"O3/CP",$X$14=F$18),IF(LEFT($X35,1)="P",VLOOKUP(CONCATENATE(LEFT($X35,2),"H"),$R$63:$T$91,3,FALSE),VLOOKUP($X35,$R$63:$T$91,3,FALSE)))+IF(AND($X35&lt;&gt;"",$X35&lt;&gt;"O3/CP",$X$15=F$18,MID($X35,4,1)="2",$X$15&lt;&gt;$X$14),VLOOKUP(CONCATENATE(LEFT($X35,2),"L"),$R$63:$T$91,3,FALSE),0)+IF(AND($X35="O3/CP",$X$14=F$18),VLOOKUP("O3",$R$63:$T$91,3,FALSE)+VLOOKUP("CP",$R$63:$T$91,3,FALSE),0)+IF(AND($Y35&lt;&gt;"",$Y35&lt;&gt;"--",$Y35&lt;&gt;"O3/CP",$Y$14=F$18),IF(LEFT($Y35,1)="P",VLOOKUP(CONCATENATE(LEFT($Y35,2),"H"),$R$63:$T$91,3,FALSE),VLOOKUP($Y35,$R$63:$T$91,3,FALSE)))+IF(AND($Y35&lt;&gt;"",$Y35&lt;&gt;"O3/CP",$Y$15=F$18,MID($Y35,4,1)="2",$Y$15&lt;&gt;$Y$14),VLOOKUP(CONCATENATE(LEFT($Y35,2),"L"),$R$63:$T$91,3,FALSE),0)+IF(AND($Y35="O3/CP",$Y$14=F$18),VLOOKUP("O3",$R$63:$T$91,3,FALSE)+VLOOKUP("CP",$R$63:$T$91,3,FALSE),0)+IF(AND($K$6="CE",'[3]Supply Attribution'!$G$20=F$18),LEFT($S$90,2),0)+IF(AND($X$86&lt;&gt;"Not Set",$X$87=F$18),$X$86,0)</f>
        <v>0</v>
      </c>
      <c r="G35" s="271">
        <f>IF(AND($K$6="CE",$T$59="1 Phase"),SUM(A35:F35)-IF(AND($K$14&lt;&gt;$K$15,RIGHT($K35,3)="2SP"),VLOOKUP(CONCATENATE(LEFT($K35,2),"L"),$R$63:$T$90,3,FALSE),0)-IF(AND($L$14&lt;&gt;$L$15,RIGHT($L35,3)="2SP"),VLOOKUP(CONCATENATE(LEFT($L35,2),"L"),$R$63:$T$90,3,FALSE),0)-IF(AND($M$14&lt;&gt;$M$15,RIGHT($M35,3)="2SP"),VLOOKUP(CONCATENATE(LEFT($M35,2),"L"),$R$63:$T$90,3,FALSE),0)-IF(AND($N$14&lt;&gt;$N$15,RIGHT($N35,3)="2SP"),VLOOKUP(CONCATENATE(LEFT($N35,2),"L"),$R$63:$T$90,3,FALSE),0)-IF(AND($O$14&lt;&gt;$O$15,RIGHT($O35,3)="2SP"),VLOOKUP(CONCATENATE(LEFT($O35,2),"L"),$R$63:$T$90,3,FALSE),0)-IF(AND($P$14&lt;&gt;$P$15,RIGHT($P35,3)="2SP"),VLOOKUP(CONCATENATE(LEFT($P35,2),"L"),$R$63:$T$90,3,FALSE),0)-IF(AND($Q$14&lt;&gt;$Q$15,RIGHT($Q35,3)="2SP"),VLOOKUP(CONCATENATE(LEFT($Q35,2),"L"),$R$63:$T$90,3,FALSE),0)-IF(AND($R$14&lt;&gt;$R$15,RIGHT($T35,3)="2SP"),VLOOKUP(CONCATENATE(LEFT($R35,2),"L"),$R$63:$T$90,3,FALSE),0)-IF(AND($S$14&lt;&gt;$S$15,RIGHT($T35,3)="2SP"),VLOOKUP(CONCATENATE(LEFT($S35,2),"L"),$R$63:$T$90,3,FALSE),0)-IF(AND($T$14&lt;&gt;$T$15,RIGHT($T35,3)="2SP"),VLOOKUP(CONCATENATE(LEFT($T35,2),"L"),$R$63:$T$90,3,FALSE),0)-IF(AND($U$14&lt;&gt;$U$15,RIGHT($U35,3)="2SP"),VLOOKUP(CONCATENATE(LEFT($U35,2),"L"),$R$63:$T$90,3,FALSE),0)-IF(AND($V$14&lt;&gt;$V$15,RIGHT($V35,3)="2SP"),VLOOKUP(CONCATENATE(LEFT($V35,2),"L"),$R$63:$T$90,3,FALSE),0)-IF(AND($W$14&lt;&gt;$W$15,RIGHT($W35,3)="2SP"),VLOOKUP(CONCATENATE(LEFT($W35,2),"L"),$R$63:$T$90,3,FALSE),0)-IF(AND($X$14&lt;&gt;$X$15,RIGHT($X35,3)="2SP"),VLOOKUP(CONCATENATE(LEFT($X35,2),"L"),$R$63:$T$90,3,FALSE),0)-IF(AND($Y$14&lt;&gt;$Y$15,RIGHT($Y35,3)="2SP"),VLOOKUP(CONCATENATE(LEFT($Y35,2),"L"),$R$63:$T$90,3,FALSE),0),IF(VLOOKUP(CONCATENATE($A$18,"Line"),'[3]Supply Attribution'!$F$31:$G$37,2,FALSE)=G$18,$A35,0)+IF(VLOOKUP(CONCATENATE($B$18,"Line"),'[3]Supply Attribution'!$F$31:$G$37,2,FALSE)=G$18,$B35,0)+IF(VLOOKUP(CONCATENATE($C$18,"Line"),'[3]Supply Attribution'!$F$31:$G$37,2,FALSE)=G$18,$C35,0)+IF(VLOOKUP(CONCATENATE($D$18,"Line"),'[3]Supply Attribution'!$F$31:$G$37,2,FALSE)=G$18,$D35,0)+IF(VLOOKUP(CONCATENATE($E$18,"Line"),'[3]Supply Attribution'!$F$31:$G$37,2,FALSE)=G$18,$E35,0)+IF(VLOOKUP(CONCATENATE($F$18,"Line"),'[3]Supply Attribution'!$F$31:$G$37,2,FALSE)=G$18,$F35,0)+IF($K$6="UL",LEFT($S$90,2),0)-IF(AND($K$16=G$18,$K$14&lt;&gt;$K$15,$K$16=$K$17,RIGHT($K35,3)="2SP"),VLOOKUP(CONCATENATE(LEFT($K35,2),"L"),$R$63:$T$90,3,FALSE),0)-IF(AND($L$16=G$18,$L$14&lt;&gt;$L$15,$L$16=$L$17,RIGHT($L35,3)="2SP"),VLOOKUP(CONCATENATE(LEFT($L35,2),"L"),$R$63:$T$90,3,FALSE),0)-IF(AND($M$16=G$18,$M$14&lt;&gt;$M$15,$M$16=$M$17,RIGHT($M35,3)="2SP"),VLOOKUP(CONCATENATE(LEFT($M35,2),"L"),$R$63:$T$90,3,FALSE),0)-IF(AND($N$16=G$18,$N$14&lt;&gt;$N$15,$N$16=$N$17,RIGHT($N35,3)="2SP"),VLOOKUP(CONCATENATE(LEFT($N35,2),"L"),$R$63:$T$90,3,FALSE),0)-IF(AND($O$16=G$18,$O$14&lt;&gt;$O$15,$O$16=$O$17,RIGHT($O35,3)="2SP"),VLOOKUP(CONCATENATE(LEFT($O35,2),"L"),$R$63:$T$90,3,FALSE),0)-IF(AND($P$16=G$18,$P$14&lt;&gt;$P$15,$P$16=$P$17,RIGHT($P35,3)="2SP"),VLOOKUP(CONCATENATE(LEFT($P35,2),"L"),$R$63:$T$90,3,FALSE),0)-IF(AND($Q$16=G$18,$Q$14&lt;&gt;$Q$15,$Q$16=$Q$17,RIGHT($Q35,3)="2SP"),VLOOKUP(CONCATENATE(LEFT($Q35,2),"L"),$R$63:$T$90,3,FALSE),0)-IF(AND($R$16=G$18,$R$14&lt;&gt;$R$15,$R$16=$R$17,RIGHT($R35,3)="2SP"),VLOOKUP(CONCATENATE(LEFT($R35,2),"L"),$R$63:$T$90,3,FALSE),0)-IF(AND($S$16=G$18,$S$14&lt;&gt;$S$15,$S$16=$S$17,RIGHT($S35,3)="2SP"),VLOOKUP(CONCATENATE(LEFT($S35,2),"L"),$R$63:$T$90,3,FALSE),0)-IF(AND($T$16=G$18,$T$14&lt;&gt;$T$15,$T$16=$T$17,RIGHT($T35,3)="2SP"),VLOOKUP(CONCATENATE(LEFT($T35,2),"L"),$R$63:$T$90,3,FALSE),0)-IF(AND($U$16=G$18,$U$14&lt;&gt;$U$15,$U$16=$U$17,RIGHT($U35,3)="2SP"),VLOOKUP(CONCATENATE(LEFT($U35,2),"L"),$R$63:$T$90,3,FALSE),0)-IF(AND($V$16=G$18,$V$14&lt;&gt;$V$15,$V$16=$V$17,RIGHT($V35,3)="2SP"),VLOOKUP(CONCATENATE(LEFT($V35,2),"L"),$R$63:$T$90,3,FALSE),0)-IF(AND($W$16=G$18,$W$14&lt;&gt;$W$15,$W$16=$W$17,RIGHT($W35,3)="2SP"),VLOOKUP(CONCATENATE(LEFT($W35,2),"L"),$R$63:$T$90,3,FALSE),0)-IF(AND($X$16=G$18,$X$14&lt;&gt;$X$15,$X$16=$X$17,RIGHT($X35,3)="2SP"),VLOOKUP(CONCATENATE(LEFT($X35,2),"L"),$R$63:$T$90,3,FALSE),0)-IF(AND($Y$16=G$18,$Y$14&lt;&gt;$Y$15,$Y$16=$Y$17,RIGHT($Y35,3)="2SP"),VLOOKUP(CONCATENATE(LEFT($Y35,2),"L"),$R$63:$T$90,3,FALSE),0))</f>
        <v>17</v>
      </c>
      <c r="H35" s="271" t="str">
        <f>IF(H$18&lt;&gt;"",IF(VLOOKUP(CONCATENATE($A$18,"Line"),'Supply Attribution'!$F$31:$G$37,2,FALSE)=H$18,$A35,0)+IF(VLOOKUP(CONCATENATE($B$18,"Line"),'Supply Attribution'!$F$31:$G$37,2,FALSE)=H$18,$B35,0)+IF(VLOOKUP(CONCATENATE($C$18,"Line"),'Supply Attribution'!$F$31:$G$37,2,FALSE)=H$18,$C35,0)+IF(VLOOKUP(CONCATENATE($D$18,"Line"),'Supply Attribution'!$F$31:$G$37,2,FALSE)=H$18,$D35,0)+IF(VLOOKUP(CONCATENATE($E$18,"Line"),'Supply Attribution'!$F$31:$G$37,2,FALSE)=H$18,$E35,0)+IF(VLOOKUP(CONCATENATE($F$18,"Line"),'Supply Attribution'!$F$31:$G$37,2,FALSE)=H$18,$F35,0)+IF($K$6="UL",LEFT($S$90,2),0)-IF(AND($K$16=H$18,$K$14&lt;&gt;$K$15,$K$16=$K$17,RIGHT($K35,3)="2SP"),VLOOKUP(CONCATENATE(LEFT($K35,2),"L"),$R$63:$T$90,3,FALSE),0)-IF(AND($L$16=H$18,$L$14&lt;&gt;$L$15,$L$16=$L$17,RIGHT($L35,3)="2SP"),VLOOKUP(CONCATENATE(LEFT($L35,2),"L"),$R$63:$T$90,3,FALSE),0)-IF(AND($M$16=H$18,$M$14&lt;&gt;$M$15,$M$16=$M$17,RIGHT($M35,3)="2SP"),VLOOKUP(CONCATENATE(LEFT($M35,2),"L"),$R$63:$T$90,3,FALSE),0)-IF(AND($N$16=H$18,$N$14&lt;&gt;$N$15,$N$16=$N$17,RIGHT($N35,3)="2SP"),VLOOKUP(CONCATENATE(LEFT($N35,2),"L"),$R$63:$T$90,3,FALSE),0)-IF(AND($O$16=H$18,$O$14&lt;&gt;$O$15,$O$16=$O$17,RIGHT($O35,3)="2SP"),VLOOKUP(CONCATENATE(LEFT($O35,2),"L"),$R$63:$T$90,3,FALSE),0)-IF(AND($P$16=H$18,$P$14&lt;&gt;$P$15,$P$16=$P$17,RIGHT($P35,3)="2SP"),VLOOKUP(CONCATENATE(LEFT($P35,2),"L"),$R$63:$T$90,3,FALSE),0)-IF(AND($Q$16=H$18,$Q$14&lt;&gt;$Q$15,$Q$16=$Q$17,RIGHT($Q35,3)="2SP"),VLOOKUP(CONCATENATE(LEFT($Q35,2),"L"),$R$63:$T$90,3,FALSE),0)-IF(AND($T$16=H$18,$T$14&lt;&gt;$T$15,$T$16=$T$17,RIGHT($T35,3)="2SP"),VLOOKUP(CONCATENATE(LEFT($T35,2),"L"),$R$63:$T$90,3,FALSE),0)-IF(AND($U$16=H$18,$U$14&lt;&gt;$U$15,$U$16=$U$17,RIGHT($U35,3)="2SP"),VLOOKUP(CONCATENATE(LEFT($U35,2),"L"),$R$63:$T$90,3,FALSE),0)-IF(AND($V$16=H$18,$V$14&lt;&gt;$V$15,$V$16=$V$17,RIGHT($V35,3)="2SP"),VLOOKUP(CONCATENATE(LEFT($V35,2),"L"),$R$63:$T$90,3,FALSE),0)-IF(AND($W$16=H$18,$W$14&lt;&gt;$W$15,$W$16=$W$17,RIGHT($W35,3)="2SP"),VLOOKUP(CONCATENATE(LEFT($W35,2),"L"),$R$63:$T$90,3,FALSE),0)-IF(AND($X$16=H$18,$X$14&lt;&gt;$X$15,$X$16=$X$17,RIGHT($X35,3)="2SP"),VLOOKUP(CONCATENATE(LEFT($X35,2),"L"),$R$63:$T$90,3,FALSE),0)-IF(AND($Y$16=H$18,$Y$14&lt;&gt;$Y$15,$Y$16=$Y$17,RIGHT($Y35,3)="2SP"),VLOOKUP(CONCATENATE(LEFT($Y35,2),"L"),$R$63:$T$90,3,FALSE),0)+IF(AND($K$6="CE",$T$59="2 Phases",H$18&lt;&gt;""),IF(VLOOKUP(CONCATENATE($A$18,"Line"),'Supply Attribution'!$F$31:$G$37,2,FALSE)="Line3",$A35,0)+IF(VLOOKUP(CONCATENATE($B$18,"Line"),'Supply Attribution'!$F$31:$G$37,2,FALSE)="Line3",$B35,0)+IF(VLOOKUP(CONCATENATE($C$18,"Line"),'Supply Attribution'!$F$31:$G$37,2,FALSE)="Line3",$C35,0)+IF(VLOOKUP(CONCATENATE($D$18,"Line"),'Supply Attribution'!$F$31:$G$37,2,FALSE)="Line3",$D35,0)+IF(VLOOKUP(CONCATENATE($E$18,"Line"),'Supply Attribution'!$F$31:$G$37,2,FALSE)="Line3",$E35,0)+IF(VLOOKUP(CONCATENATE($F$18,"Line"),'Supply Attribution'!$F$31:$G$37,2,FALSE)="Line3",$F35,0)-IF(AND($K$16=I$18,$K$14&lt;&gt;$K$15,$K$16=$K$17,RIGHT($K35,3)="2SP"),VLOOKUP(CONCATENATE(LEFT($K35,2),"L"),$R$63:$T$90,3,FALSE),0)-IF(AND($L$16=I$18,$L$14&lt;&gt;$L$15,$L$16=$L$17,RIGHT($L35,3)="2SP"),VLOOKUP(CONCATENATE(LEFT($L35,2),"L"),$R$63:$T$90,3,FALSE),0)-IF(AND($M$16=I$18,$M$14&lt;&gt;$M$15,$M$16=$M$17,RIGHT($M35,3)="2SP"),VLOOKUP(CONCATENATE(LEFT($M35,2),"L"),$R$63:$T$90,3,FALSE),0)-IF(AND($N$16=I$18,$N$14&lt;&gt;$N$15,$N$16=$N$17,RIGHT($N35,3)="2SP"),VLOOKUP(CONCATENATE(LEFT($N35,2),"L"),$R$63:$T$90,3,FALSE),0)-IF(AND($O$16=I$18,$O$14&lt;&gt;$O$15,$O$16=$O$17,RIGHT($O35,3)="2SP"),VLOOKUP(CONCATENATE(LEFT($O35,2),"L"),$R$63:$T$90,3,FALSE),0)-IF(AND($P$16=I$18,$P$14&lt;&gt;$P$15,$P$16=$P$17,RIGHT($P35,3)="2SP"),VLOOKUP(CONCATENATE(LEFT($P35,2),"L"),$R$63:$T$90,3,FALSE),0)-IF(AND($Q$16=I$18,$Q$14&lt;&gt;$Q$15,$Q$16=$Q$17,RIGHT($Q35,3)="2SP"),VLOOKUP(CONCATENATE(LEFT($Q35,2),"L"),$R$63:$T$90,3,FALSE),0)-IF(AND($T$16=I$18,$T$14&lt;&gt;$T$15,$T$16=$T$17,RIGHT($T35,3)="2SP"),VLOOKUP(CONCATENATE(LEFT($T35,2),"L"),$R$63:$T$90,3,FALSE),0)-IF(AND($U$16=I$18,$U$14&lt;&gt;$U$15,$U$16=$U$17,RIGHT($U35,3)="2SP"),VLOOKUP(CONCATENATE(LEFT($U35,2),"L"),$R$63:$T$90,3,FALSE),0)-IF(AND($V$16=I$18,$V$14&lt;&gt;$V$15,$V$16=$V$17,RIGHT($V35,3)="2SP"),VLOOKUP(CONCATENATE(LEFT($V35,2),"L"),$R$63:$T$90,3,FALSE),0)-IF(AND($W$16=I$18,$W$14&lt;&gt;$W$15,$W$16=$W$17,RIGHT($W35,3)="2SP"),VLOOKUP(CONCATENATE(LEFT($W35,2),"L"),$R$63:$T$90,3,FALSE),0)-IF(AND($X$16=I$18,$X$14&lt;&gt;$X$15,$X$16=$X$17,RIGHT($X35,3)="2SP"),VLOOKUP(CONCATENATE(LEFT($X35,2),"L"),$R$63:$T$90,3,FALSE),0)-IF(AND($Y$16=I$18,$Y$14&lt;&gt;$Y$15,$Y$16=$Y$17,RIGHT($Y35,3)="2SP"),VLOOKUP(CONCATENATE(LEFT($Y35,2),"L"),$R$63:$T$90,3,FALSE),0),0),"")</f>
        <v/>
      </c>
      <c r="I35" s="271" t="str">
        <f>IF(I$18&lt;&gt;"",IF(VLOOKUP(CONCATENATE($A$18,"Line"),'Supply Attribution'!$F$31:$G$37,2,FALSE)=I$18,$A35,0)+IF(VLOOKUP(CONCATENATE($B$18,"Line"),'Supply Attribution'!$F$31:$G$37,2,FALSE)=I$18,$B35,0)+IF(VLOOKUP(CONCATENATE($C$18,"Line"),'Supply Attribution'!$F$31:$G$37,2,FALSE)=I$18,$C35,0)+IF(VLOOKUP(CONCATENATE($D$18,"Line"),'Supply Attribution'!$F$31:$G$37,2,FALSE)=I$18,$D35,0)+IF(VLOOKUP(CONCATENATE($E$18,"Line"),'Supply Attribution'!$F$31:$G$37,2,FALSE)=I$18,$E35,0)+IF(VLOOKUP(CONCATENATE($F$18,"Line"),'Supply Attribution'!$F$31:$G$37,2,FALSE)=I$18,$F35,0)+IF($K$6="UL",LEFT($S$90,2),0)-IF(AND($K$16=I$18,$K$14&lt;&gt;$K$15,$K$16=$K$17,RIGHT($K35,3)="2SP"),VLOOKUP(CONCATENATE(LEFT($K35,2),"L"),$R$63:$T$90,3,FALSE),0)-IF(AND($L$16=I$18,$L$14&lt;&gt;$L$15,$L$16=$L$17,RIGHT($L35,3)="2SP"),VLOOKUP(CONCATENATE(LEFT($L35,2),"L"),$R$63:$T$90,3,FALSE),0)-IF(AND($M$16=I$18,$M$14&lt;&gt;$M$15,$M$16=$M$17,RIGHT($M35,3)="2SP"),VLOOKUP(CONCATENATE(LEFT($M35,2),"L"),$R$63:$T$90,3,FALSE),0)-IF(AND($N$16=I$18,$N$14&lt;&gt;$N$15,$N$16=$N$17,RIGHT($N35,3)="2SP"),VLOOKUP(CONCATENATE(LEFT($N35,2),"L"),$R$63:$T$90,3,FALSE),0)-IF(AND($O$16=I$18,$O$14&lt;&gt;$O$15,$O$16=$O$17,RIGHT($O35,3)="2SP"),VLOOKUP(CONCATENATE(LEFT($O35,2),"L"),$R$63:$T$90,3,FALSE),0)-IF(AND($P$16=I$18,$P$14&lt;&gt;$P$15,$P$16=$P$17,RIGHT($P35,3)="2SP"),VLOOKUP(CONCATENATE(LEFT($P35,2),"L"),$R$63:$T$90,3,FALSE),0)-IF(AND($Q$16=I$18,$Q$14&lt;&gt;$Q$15,$Q$16=$Q$17,RIGHT($Q35,3)="2SP"),VLOOKUP(CONCATENATE(LEFT($Q35,2),"L"),$R$63:$T$90,3,FALSE),0)-IF(AND($T$16=I$18,$T$14&lt;&gt;$T$15,$T$16=$T$17,RIGHT($T35,3)="2SP"),VLOOKUP(CONCATENATE(LEFT($T35,2),"L"),$R$63:$T$90,3,FALSE),0)-IF(AND($U$16=I$18,$U$14&lt;&gt;$U$15,$U$16=$U$17,RIGHT($U35,3)="2SP"),VLOOKUP(CONCATENATE(LEFT($U35,2),"L"),$R$63:$T$90,3,FALSE),0)-IF(AND($V$16=I$18,$V$14&lt;&gt;$V$15,$V$16=$V$17,RIGHT($V35,3)="2SP"),VLOOKUP(CONCATENATE(LEFT($V35,2),"L"),$R$63:$T$90,3,FALSE),0)-IF(AND($W$16=I$18,$W$14&lt;&gt;$W$15,$W$16=$W$17,RIGHT($W35,3)="2SP"),VLOOKUP(CONCATENATE(LEFT($W35,2),"L"),$R$63:$T$90,3,FALSE),0)-IF(AND($X$16=I$18,$X$14&lt;&gt;$X$15,$X$16=$X$17,RIGHT($X35,3)="2SP"),VLOOKUP(CONCATENATE(LEFT($X35,2),"L"),$R$63:$T$90,3,FALSE),0)-IF(AND($Y$16=I$18,$Y$14&lt;&gt;$Y$15,$Y$16=$Y$17,RIGHT($Y35,3)="2SP"),VLOOKUP(CONCATENATE(LEFT($Y35,2),"L"),$R$63:$T$90,3,FALSE),0),"")</f>
        <v/>
      </c>
      <c r="J35" s="129"/>
      <c r="K35" s="130"/>
      <c r="L35" s="130"/>
      <c r="M35" s="130"/>
      <c r="N35" s="130"/>
      <c r="O35" s="130"/>
      <c r="P35" s="130"/>
      <c r="Q35" s="130"/>
      <c r="R35" s="130"/>
      <c r="S35" s="130"/>
      <c r="T35" s="130"/>
      <c r="U35" s="130"/>
      <c r="V35" s="130"/>
      <c r="W35" s="130"/>
      <c r="X35" s="130"/>
      <c r="Y35" s="130"/>
      <c r="Z35" s="131"/>
      <c r="AA35" s="131"/>
      <c r="AB35" s="132"/>
      <c r="AC35" s="132"/>
      <c r="AD35" s="132"/>
      <c r="AE35" s="133">
        <f t="shared" si="0"/>
        <v>0</v>
      </c>
      <c r="AF35" s="78"/>
    </row>
    <row r="36" spans="1:32">
      <c r="A36" s="270">
        <f>IF(AND($K36&lt;&gt;"",$K36&lt;&gt;"--",$K36&lt;&gt;"O3/CP",$K$14=A$18),IF(LEFT($K36,1)="P",VLOOKUP(CONCATENATE(LEFT($K36,2),"H"),$R$63:$T$91,3,FALSE),VLOOKUP($K36,$R$63:$T$91,3,FALSE)))+IF(AND($K36&lt;&gt;"",$K36&lt;&gt;"O3/CP",$K$15=A$18,MID($K36,4,1)="2",$K$15&lt;&gt;$K$14),VLOOKUP(CONCATENATE(LEFT($K36,2),"L"),$R$63:$T$91,3,FALSE),0)+IF(AND($K36="O3/CP",$K$14=A$18),VLOOKUP("O3",$R$63:$T$91,3,FALSE)+VLOOKUP("CP",$R$63:$T$91,3,FALSE),0)+IF(AND($L36&lt;&gt;"",$L36&lt;&gt;"--",$L36&lt;&gt;"O3/CP",$L$14=A$18),IF(LEFT($L36,1)="P",VLOOKUP(CONCATENATE(LEFT($L36,2),"H"),$R$63:$T$91,3,FALSE),VLOOKUP($L36,$R$63:$T$91,3,FALSE)))+IF(AND($L36&lt;&gt;"",$L36&lt;&gt;"O3/CP",$L$15=A$18,MID($L36,4,1)="2",$L$15&lt;&gt;$L$14),VLOOKUP(CONCATENATE(LEFT($L36,2),"L"),$R$63:$T$91,3,FALSE),0)+IF(AND($L36="O3/CP",$L$14=A$18),VLOOKUP("O3",$R$63:$T$91,3,FALSE)+VLOOKUP("CP",$R$63:$T$91,3,FALSE),0)+IF(AND($M36&lt;&gt;"",$M36&lt;&gt;"--",$M36&lt;&gt;"O3/CP",$M$14=A$18),IF(LEFT($M36,1)="P",VLOOKUP(CONCATENATE(LEFT($M36,2),"H"),$R$63:$T$91,3,FALSE),VLOOKUP($M36,$R$63:$T$91,3,FALSE)))+IF(AND($M36&lt;&gt;"",$M36&lt;&gt;"O3/CP",$M$15=A$18,MID($M36,4,1)="2",$M$15&lt;&gt;$M$14),VLOOKUP(CONCATENATE(LEFT($M36,2),"L"),$R$63:$T$91,3,FALSE),0)+IF(AND($M36="O3/CP",$M$14=A$18),VLOOKUP("O3",$R$63:$T$91,3,FALSE)+VLOOKUP("CP",$R$63:$T$91,3,FALSE),0)+IF(AND($N36&lt;&gt;"",$N36&lt;&gt;"--",$N36&lt;&gt;"O3/CP",$N$14=A$18),IF(LEFT($N36,1)="P",VLOOKUP(CONCATENATE(LEFT($N36,2),"H"),$R$63:$T$91,3,FALSE),VLOOKUP($N36,$R$63:$T$91,3,FALSE)))+IF(AND($N36&lt;&gt;"",$N36&lt;&gt;"O3/CP",$N$15=A$18,MID($N36,4,1)="2",$N$15&lt;&gt;$N$14),VLOOKUP(CONCATENATE(LEFT($N36,2),"L"),$R$63:$T$91,3,FALSE),0)+IF(AND($N36="O3/CP",$N$14=A$18),VLOOKUP("O3",$R$63:$T$91,3,FALSE)+VLOOKUP("CP",$R$63:$T$91,3,FALSE),0)+IF(AND($O36&lt;&gt;"",$O36&lt;&gt;"--",$O36&lt;&gt;"O3/CP",$O$14=A$18),IF(LEFT($O36,1)="P",VLOOKUP(CONCATENATE(LEFT($O36,2),"H"),$R$63:$T$91,3,FALSE),VLOOKUP($O36,$R$63:$T$91,3,FALSE)))+IF(AND($O36&lt;&gt;"",$O36&lt;&gt;"O3/CP",$O$15=A$18,MID($O36,4,1)="2",$O$15&lt;&gt;$O$14),VLOOKUP(CONCATENATE(LEFT($O36,2),"L"),$R$63:$T$91,3,FALSE),0)+IF(AND($O36="O3/CP",$O$14=A$18),VLOOKUP("O3",$R$63:$T$91,3,FALSE)+VLOOKUP("CP",$R$63:$T$91,3,FALSE),0)+IF(AND($P36&lt;&gt;"",$P36&lt;&gt;"--",$P36&lt;&gt;"O3/CP",$P$14=A$18),IF(LEFT($P36,1)="P",VLOOKUP(CONCATENATE(LEFT($P36,2),"H"),$R$63:$T$91,3,FALSE),VLOOKUP($P36,$R$63:$T$91,3,FALSE)))+IF(AND($P36&lt;&gt;"",$P36&lt;&gt;"O3/CP",$P$15=A$18,MID($P36,4,1)="2",$P$15&lt;&gt;$P$14),VLOOKUP(CONCATENATE(LEFT($P36,2),"L"),$R$63:$T$91,3,FALSE),0)+IF(AND($P36="O3/CP",$P$14=A$18),VLOOKUP("O3",$R$63:$T$91,3,FALSE)+VLOOKUP("CP",$R$63:$T$91,3,FALSE),0)+IF(AND($Q36&lt;&gt;"",$Q36&lt;&gt;"--",$Q36&lt;&gt;"O3/CP",$Q$14=A$18),IF(LEFT($Q36,1)="P",VLOOKUP(CONCATENATE(LEFT($Q36,2),"H"),$R$63:$T$91,3,FALSE),VLOOKUP($Q36,$R$63:$T$91,3,FALSE)))+IF(AND($Q36&lt;&gt;"",$Q36&lt;&gt;"O3/CP",$Q$15=A$18,MID($Q36,4,1)="2",$Q$15&lt;&gt;$Q$14),VLOOKUP(CONCATENATE(LEFT($Q36,2),"L"),$R$63:$T$91,3,FALSE),0)+IF(AND($Q36="O3/CP",$Q$14=A$18),VLOOKUP("O3",$R$63:$T$91,3,FALSE)+VLOOKUP("CP",$R$63:$T$91,3,FALSE),0)+IF(AND($R36&lt;&gt;"",$R36&lt;&gt;"--",$R36&lt;&gt;"O3/CP",$R$14=A$18),IF(LEFT($R36,1)="P",VLOOKUP(CONCATENATE(LEFT($R36,2),"H"),$R$63:$T$91,3,FALSE),VLOOKUP($R36,$R$63:$T$91,3,FALSE)))+IF(AND($R36&lt;&gt;"",$R36&lt;&gt;"O3/CP",$R$15=A$18,MID($R36,4,1)="2",$R$15&lt;&gt;$R$14),VLOOKUP(CONCATENATE(LEFT($R36,2),"L"),$R$63:$T$91,3,FALSE),0)+IF(AND($R36="O3/CP",$R$14=A$18),VLOOKUP("O3",$R$63:$T$91,3,FALSE)+VLOOKUP("CP",$R$63:$T$91,3,FALSE),0)+IF(AND($S36&lt;&gt;"",$S36&lt;&gt;"--",$S36&lt;&gt;"O3/CP",$S$14=A$18),IF(LEFT($S36,1)="P",VLOOKUP(CONCATENATE(LEFT($S36,2),"H"),$R$63:$T$91,3,FALSE),VLOOKUP($S36,$R$63:$T$91,3,FALSE)))+IF(AND($S36&lt;&gt;"",$S36&lt;&gt;"O3/CP",$S$15=A$18,MID($S36,4,1)="2",$S$15&lt;&gt;$S$14),VLOOKUP(CONCATENATE(LEFT($S36,2),"L"),$R$63:$T$91,3,FALSE),0)+IF(AND($S36="O3/CP",$S$14=A$18),VLOOKUP("O3",$R$63:$T$91,3,FALSE)+VLOOKUP("CP",$R$63:$T$91,3,FALSE),0)+IF(AND($T36&lt;&gt;"",$T36&lt;&gt;"--",$T36&lt;&gt;"O3/CP",$T$14=A$18),IF(LEFT($T36,1)="P",VLOOKUP(CONCATENATE(LEFT($T36,2),"H"),$R$63:$T$91,3,FALSE),VLOOKUP($T36,$R$63:$T$91,3,FALSE)))+IF(AND($T36&lt;&gt;"",$T36&lt;&gt;"O3/CP",$T$15=A$18,MID($T36,4,1)="2",$T$15&lt;&gt;$T$14),VLOOKUP(CONCATENATE(LEFT($T36,2),"L"),$R$63:$T$91,3,FALSE),0)+IF(AND($T36="O3/CP",$T$14=A$18),VLOOKUP("O3",$R$63:$T$91,3,FALSE)+VLOOKUP("CP",$R$63:$T$91,3,FALSE),0)+IF(AND($U36&lt;&gt;"",$U36&lt;&gt;"--",$U36&lt;&gt;"O3/CP",$U$14=A$18),IF(LEFT($U36,1)="P",VLOOKUP(CONCATENATE(LEFT($U36,2),"H"),$R$63:$T$91,3,FALSE),VLOOKUP($U36,$R$63:$T$91,3,FALSE)))+IF(AND($U36&lt;&gt;"",$U36&lt;&gt;"O3/CP",$U$15=A$18,MID($U36,4,1)="2",$U$15&lt;&gt;$U$14),VLOOKUP(CONCATENATE(LEFT($U36,2),"L"),$R$63:$T$91,3,FALSE),0)+IF(AND($U36="O3/CP",$T$14=A$18),VLOOKUP("O3",$R$63:$T$91,3,FALSE)+VLOOKUP("CP",$R$63:$T$91,3,FALSE),0)+IF(AND($V36&lt;&gt;"",$V36&lt;&gt;"--",$V36&lt;&gt;"O3/CP",$V$14=A$18),IF(LEFT($V36,1)="P",VLOOKUP(CONCATENATE(LEFT($V36,2),"H"),$R$63:$T$91,3,FALSE),VLOOKUP($V36,$R$63:$T$91,3,FALSE)))+IF(AND($V36&lt;&gt;"",$V36&lt;&gt;"O3/CP",$V$15=A$18,MID($V36,4,1)="2",$V$15&lt;&gt;$V$14),VLOOKUP(CONCATENATE(LEFT($V36,2),"L"),$R$63:$T$91,3,FALSE),0)+IF(AND($V36="O3/CP",$V$14=A$18),VLOOKUP("O3",$R$63:$T$91,3,FALSE)+VLOOKUP("CP",$R$63:$T$91,3,FALSE),0)+IF(AND($W36&lt;&gt;"",$W36&lt;&gt;"--",$W36&lt;&gt;"O3/CP",$W$14=A$18),IF(LEFT($W36,1)="P",VLOOKUP(CONCATENATE(LEFT($W36,2),"H"),$R$63:$T$91,3,FALSE),VLOOKUP($W36,$R$63:$T$91,3,FALSE)))+IF(AND($W36&lt;&gt;"",$W36&lt;&gt;"O3/CP",$W$15=A$18,MID($W36,4,1)="2",$W$15&lt;&gt;$W$14),VLOOKUP(CONCATENATE(LEFT($W36,2),"L"),$R$63:$T$91,3,FALSE),0)+IF(AND($W36="O3/CP",$W$14=A$18),VLOOKUP("O3",$R$63:$T$91,3,FALSE)+VLOOKUP("CP",$R$63:$T$91,3,FALSE),0)+IF(AND($X36&lt;&gt;"",$X36&lt;&gt;"--",$X36&lt;&gt;"O3/CP",$X$14=A$18),IF(LEFT($X36,1)="P",VLOOKUP(CONCATENATE(LEFT($X36,2),"H"),$R$63:$T$91,3,FALSE),VLOOKUP($X36,$R$63:$T$91,3,FALSE)))+IF(AND($X36&lt;&gt;"",$X36&lt;&gt;"O3/CP",$X$15=A$18,MID($X36,4,1)="2",$X$15&lt;&gt;$X$14),VLOOKUP(CONCATENATE(LEFT($X36,2),"L"),$R$63:$T$91,3,FALSE),0)+IF(AND($X36="O3/CP",$X$14=A$18),VLOOKUP("O3",$R$63:$T$91,3,FALSE)+VLOOKUP("CP",$R$63:$T$91,3,FALSE),0)+IF(AND($Y36&lt;&gt;"",$Y36&lt;&gt;"--",$Y36&lt;&gt;"O3/CP",$Y$14=A$18),IF(LEFT($Y36,1)="P",VLOOKUP(CONCATENATE(LEFT($Y36,2),"H"),$R$63:$T$91,3,FALSE),VLOOKUP($Y36,$R$63:$T$91,3,FALSE)))+IF(AND($Y36&lt;&gt;"",$Y36&lt;&gt;"O3/CP",$Y$15=A$18,MID($Y36,4,1)="2",$Y$15&lt;&gt;$Y$14),VLOOKUP(CONCATENATE(LEFT($Y36,2),"L"),$R$63:$T$91,3,FALSE),0)+IF(AND($Y36="O3/CP",$Y$14=A$18),VLOOKUP("O3",$R$63:$T$91,3,FALSE)+VLOOKUP("CP",$R$63:$T$91,3,FALSE),0)+IF(AND($K$6="CE",'[3]Supply Attribution'!$G$20=A$18),LEFT($S$90,2),0)+IF(AND($X$86&lt;&gt;"Not Set",$X$87=A$18),$X$86,0)</f>
        <v>0</v>
      </c>
      <c r="B36" s="269">
        <f>IF(AND($K36&lt;&gt;"",$K36&lt;&gt;"--",$K36&lt;&gt;"O3/CP",$K$14=B$18),IF(LEFT($K36,1)="P",VLOOKUP(CONCATENATE(LEFT($K36,2),"H"),$R$63:$T$91,3,FALSE),VLOOKUP($K36,$R$63:$T$91,3,FALSE)))+IF(AND($K36&lt;&gt;"",$K36&lt;&gt;"O3/CP",$K$15=B$18,MID($K36,4,1)="2",$K$15&lt;&gt;$K$14),VLOOKUP(CONCATENATE(LEFT($K36,2),"L"),$R$63:$T$91,3,FALSE),0)+IF(AND($K36="O3/CP",$K$14=B$18),VLOOKUP("O3",$R$63:$T$91,3,FALSE)+VLOOKUP("CP",$R$63:$T$91,3,FALSE),0)+IF(AND($L36&lt;&gt;"",$L36&lt;&gt;"--",$L36&lt;&gt;"O3/CP",$L$14=B$18),IF(LEFT($L36,1)="P",VLOOKUP(CONCATENATE(LEFT($L36,2),"H"),$R$63:$T$91,3,FALSE),VLOOKUP($L36,$R$63:$T$91,3,FALSE)))+IF(AND($L36&lt;&gt;"",$L36&lt;&gt;"O3/CP",$L$15=B$18,MID($L36,4,1)="2",$L$15&lt;&gt;$L$14),VLOOKUP(CONCATENATE(LEFT($L36,2),"L"),$R$63:$T$91,3,FALSE),0)+IF(AND($L36="O3/CP",$L$14=B$18),VLOOKUP("O3",$R$63:$T$91,3,FALSE)+VLOOKUP("CP",$R$63:$T$91,3,FALSE),0)+IF(AND($M36&lt;&gt;"",$M36&lt;&gt;"--",$M36&lt;&gt;"O3/CP",$M$14=B$18),IF(LEFT($M36,1)="P",VLOOKUP(CONCATENATE(LEFT($M36,2),"H"),$R$63:$T$91,3,FALSE),VLOOKUP($M36,$R$63:$T$91,3,FALSE)))+IF(AND($M36&lt;&gt;"",$M36&lt;&gt;"O3/CP",$M$15=B$18,MID($M36,4,1)="2",$M$15&lt;&gt;$M$14),VLOOKUP(CONCATENATE(LEFT($M36,2),"L"),$R$63:$T$91,3,FALSE),0)+IF(AND($M36="O3/CP",$M$14=B$18),VLOOKUP("O3",$R$63:$T$91,3,FALSE)+VLOOKUP("CP",$R$63:$T$91,3,FALSE),0)+IF(AND($N36&lt;&gt;"",$N36&lt;&gt;"--",$N36&lt;&gt;"O3/CP",$N$14=B$18),IF(LEFT($N36,1)="P",VLOOKUP(CONCATENATE(LEFT($N36,2),"H"),$R$63:$T$91,3,FALSE),VLOOKUP($N36,$R$63:$T$91,3,FALSE)))+IF(AND($N36&lt;&gt;"",$N36&lt;&gt;"O3/CP",$N$15=B$18,MID($N36,4,1)="2",$N$15&lt;&gt;$N$14),VLOOKUP(CONCATENATE(LEFT($N36,2),"L"),$R$63:$T$91,3,FALSE),0)+IF(AND($N36="O3/CP",$N$14=B$18),VLOOKUP("O3",$R$63:$T$91,3,FALSE)+VLOOKUP("CP",$R$63:$T$91,3,FALSE),0)+IF(AND($O36&lt;&gt;"",$O36&lt;&gt;"--",$O36&lt;&gt;"O3/CP",$O$14=B$18),IF(LEFT($O36,1)="P",VLOOKUP(CONCATENATE(LEFT($O36,2),"H"),$R$63:$T$91,3,FALSE),VLOOKUP($O36,$R$63:$T$91,3,FALSE)))+IF(AND($O36&lt;&gt;"",$O36&lt;&gt;"O3/CP",$O$15=B$18,MID($O36,4,1)="2",$O$15&lt;&gt;$O$14),VLOOKUP(CONCATENATE(LEFT($O36,2),"L"),$R$63:$T$91,3,FALSE),0)+IF(AND($O36="O3/CP",$O$14=B$18),VLOOKUP("O3",$R$63:$T$91,3,FALSE)+VLOOKUP("CP",$R$63:$T$91,3,FALSE),0)+IF(AND($P36&lt;&gt;"",$P36&lt;&gt;"--",$P36&lt;&gt;"O3/CP",$P$14=B$18),IF(LEFT($P36,1)="P",VLOOKUP(CONCATENATE(LEFT($P36,2),"H"),$R$63:$T$91,3,FALSE),VLOOKUP($P36,$R$63:$T$91,3,FALSE)))+IF(AND($P36&lt;&gt;"",$P36&lt;&gt;"O3/CP",$P$15=B$18,MID($P36,4,1)="2",$P$15&lt;&gt;$P$14),VLOOKUP(CONCATENATE(LEFT($P36,2),"L"),$R$63:$T$91,3,FALSE),0)+IF(AND($P36="O3/CP",$P$14=B$18),VLOOKUP("O3",$R$63:$T$91,3,FALSE)+VLOOKUP("CP",$R$63:$T$91,3,FALSE),0)+IF(AND($Q36&lt;&gt;"",$Q36&lt;&gt;"--",$Q36&lt;&gt;"O3/CP",$Q$14=B$18),IF(LEFT($Q36,1)="P",VLOOKUP(CONCATENATE(LEFT($Q36,2),"H"),$R$63:$T$91,3,FALSE),VLOOKUP($Q36,$R$63:$T$91,3,FALSE)))+IF(AND($Q36&lt;&gt;"",$Q36&lt;&gt;"O3/CP",$Q$15=B$18,MID($Q36,4,1)="2",$Q$15&lt;&gt;$Q$14),VLOOKUP(CONCATENATE(LEFT($Q36,2),"L"),$R$63:$T$91,3,FALSE),0)+IF(AND($Q36="O3/CP",$Q$14=B$18),VLOOKUP("O3",$R$63:$T$91,3,FALSE)+VLOOKUP("CP",$R$63:$T$91,3,FALSE),0)+IF(AND($R36&lt;&gt;"",$R36&lt;&gt;"--",$R36&lt;&gt;"O3/CP",$R$14=B$18),IF(LEFT($R36,1)="P",VLOOKUP(CONCATENATE(LEFT($R36,2),"H"),$R$63:$T$91,3,FALSE),VLOOKUP($R36,$R$63:$T$91,3,FALSE)))+IF(AND($R36&lt;&gt;"",$R36&lt;&gt;"O3/CP",$R$15=B$18,MID($R36,4,1)="2",$R$15&lt;&gt;$R$14),VLOOKUP(CONCATENATE(LEFT($R36,2),"L"),$R$63:$T$91,3,FALSE),0)+IF(AND($R36="O3/CP",$R$14=B$18),VLOOKUP("O3",$R$63:$T$91,3,FALSE)+VLOOKUP("CP",$R$63:$T$91,3,FALSE),0)+IF(AND($S36&lt;&gt;"",$S36&lt;&gt;"--",$S36&lt;&gt;"O3/CP",$S$14=B$18),IF(LEFT($S36,1)="P",VLOOKUP(CONCATENATE(LEFT($S36,2),"H"),$R$63:$T$91,3,FALSE),VLOOKUP($S36,$R$63:$T$91,3,FALSE)))+IF(AND($S36&lt;&gt;"",$S36&lt;&gt;"O3/CP",$S$15=B$18,MID($S36,4,1)="2",$S$15&lt;&gt;$S$14),VLOOKUP(CONCATENATE(LEFT($S36,2),"L"),$R$63:$T$91,3,FALSE),0)+IF(AND($S36="O3/CP",$S$14=B$18),VLOOKUP("O3",$R$63:$T$91,3,FALSE)+VLOOKUP("CP",$R$63:$T$91,3,FALSE),0)+IF(AND($T36&lt;&gt;"",$T36&lt;&gt;"--",$T36&lt;&gt;"O3/CP",$T$14=B$18),IF(LEFT($T36,1)="P",VLOOKUP(CONCATENATE(LEFT($T36,2),"H"),$R$63:$T$91,3,FALSE),VLOOKUP($T36,$R$63:$T$91,3,FALSE)))+IF(AND($T36&lt;&gt;"",$T36&lt;&gt;"O3/CP",$T$15=B$18,MID($T36,4,1)="2",$T$15&lt;&gt;$T$14),VLOOKUP(CONCATENATE(LEFT($T36,2),"L"),$R$63:$T$91,3,FALSE),0)+IF(AND($T36="O3/CP",$T$14=B$18),VLOOKUP("O3",$R$63:$T$91,3,FALSE)+VLOOKUP("CP",$R$63:$T$91,3,FALSE),0)+IF(AND($U36&lt;&gt;"",$U36&lt;&gt;"--",$U36&lt;&gt;"O3/CP",$U$14=B$18),IF(LEFT($U36,1)="P",VLOOKUP(CONCATENATE(LEFT($U36,2),"H"),$R$63:$T$91,3,FALSE),VLOOKUP($U36,$R$63:$T$91,3,FALSE)))+IF(AND($U36&lt;&gt;"",$U36&lt;&gt;"O3/CP",$U$15=B$18,MID($U36,4,1)="2",$U$15&lt;&gt;$U$14),VLOOKUP(CONCATENATE(LEFT($U36,2),"L"),$R$63:$T$91,3,FALSE),0)+IF(AND($U36="O3/CP",$T$14=B$18),VLOOKUP("O3",$R$63:$T$91,3,FALSE)+VLOOKUP("CP",$R$63:$T$91,3,FALSE),0)+IF(AND($V36&lt;&gt;"",$V36&lt;&gt;"--",$V36&lt;&gt;"O3/CP",$V$14=B$18),IF(LEFT($V36,1)="P",VLOOKUP(CONCATENATE(LEFT($V36,2),"H"),$R$63:$T$91,3,FALSE),VLOOKUP($V36,$R$63:$T$91,3,FALSE)))+IF(AND($V36&lt;&gt;"",$V36&lt;&gt;"O3/CP",$V$15=B$18,MID($V36,4,1)="2",$V$15&lt;&gt;$V$14),VLOOKUP(CONCATENATE(LEFT($V36,2),"L"),$R$63:$T$91,3,FALSE),0)+IF(AND($V36="O3/CP",$V$14=B$18),VLOOKUP("O3",$R$63:$T$91,3,FALSE)+VLOOKUP("CP",$R$63:$T$91,3,FALSE),0)+IF(AND($W36&lt;&gt;"",$W36&lt;&gt;"--",$W36&lt;&gt;"O3/CP",$W$14=B$18),IF(LEFT($W36,1)="P",VLOOKUP(CONCATENATE(LEFT($W36,2),"H"),$R$63:$T$91,3,FALSE),VLOOKUP($W36,$R$63:$T$91,3,FALSE)))+IF(AND($W36&lt;&gt;"",$W36&lt;&gt;"O3/CP",$W$15=B$18,MID($W36,4,1)="2",$W$15&lt;&gt;$W$14),VLOOKUP(CONCATENATE(LEFT($W36,2),"L"),$R$63:$T$91,3,FALSE),0)+IF(AND($W36="O3/CP",$W$14=B$18),VLOOKUP("O3",$R$63:$T$91,3,FALSE)+VLOOKUP("CP",$R$63:$T$91,3,FALSE),0)+IF(AND($X36&lt;&gt;"",$X36&lt;&gt;"--",$X36&lt;&gt;"O3/CP",$X$14=B$18),IF(LEFT($X36,1)="P",VLOOKUP(CONCATENATE(LEFT($X36,2),"H"),$R$63:$T$91,3,FALSE),VLOOKUP($X36,$R$63:$T$91,3,FALSE)))+IF(AND($X36&lt;&gt;"",$X36&lt;&gt;"O3/CP",$X$15=B$18,MID($X36,4,1)="2",$X$15&lt;&gt;$X$14),VLOOKUP(CONCATENATE(LEFT($X36,2),"L"),$R$63:$T$91,3,FALSE),0)+IF(AND($X36="O3/CP",$X$14=B$18),VLOOKUP("O3",$R$63:$T$91,3,FALSE)+VLOOKUP("CP",$R$63:$T$91,3,FALSE),0)+IF(AND($Y36&lt;&gt;"",$Y36&lt;&gt;"--",$Y36&lt;&gt;"O3/CP",$Y$14=B$18),IF(LEFT($Y36,1)="P",VLOOKUP(CONCATENATE(LEFT($Y36,2),"H"),$R$63:$T$91,3,FALSE),VLOOKUP($Y36,$R$63:$T$91,3,FALSE)))+IF(AND($Y36&lt;&gt;"",$Y36&lt;&gt;"O3/CP",$Y$15=B$18,MID($Y36,4,1)="2",$Y$15&lt;&gt;$Y$14),VLOOKUP(CONCATENATE(LEFT($Y36,2),"L"),$R$63:$T$91,3,FALSE),0)+IF(AND($Y36="O3/CP",$Y$14=B$18),VLOOKUP("O3",$R$63:$T$91,3,FALSE)+VLOOKUP("CP",$R$63:$T$91,3,FALSE),0)+IF(AND($K$6="CE",'[3]Supply Attribution'!$G$20=B$18),LEFT($S$90,2),0)+IF(AND($X$86&lt;&gt;"Not Set",$X$87=B$18),$X$86,0)</f>
        <v>0</v>
      </c>
      <c r="C36" s="269">
        <f>IF(AND($K36&lt;&gt;"",$K36&lt;&gt;"--",$K36&lt;&gt;"O3/CP",$K$14=C$18),IF(LEFT($K36,1)="P",VLOOKUP(CONCATENATE(LEFT($K36,2),"H"),$R$63:$T$91,3,FALSE),VLOOKUP($K36,$R$63:$T$91,3,FALSE)))+IF(AND($K36&lt;&gt;"",$K36&lt;&gt;"O3/CP",$K$15=C$18,MID($K36,4,1)="2",$K$15&lt;&gt;$K$14),VLOOKUP(CONCATENATE(LEFT($K36,2),"L"),$R$63:$T$91,3,FALSE),0)+IF(AND($K36="O3/CP",$K$14=C$18),VLOOKUP("O3",$R$63:$T$91,3,FALSE)+VLOOKUP("CP",$R$63:$T$91,3,FALSE),0)+IF(AND($L36&lt;&gt;"",$L36&lt;&gt;"--",$L36&lt;&gt;"O3/CP",$L$14=C$18),IF(LEFT($L36,1)="P",VLOOKUP(CONCATENATE(LEFT($L36,2),"H"),$R$63:$T$91,3,FALSE),VLOOKUP($L36,$R$63:$T$91,3,FALSE)))+IF(AND($L36&lt;&gt;"",$L36&lt;&gt;"O3/CP",$L$15=C$18,MID($L36,4,1)="2",$L$15&lt;&gt;$L$14),VLOOKUP(CONCATENATE(LEFT($L36,2),"L"),$R$63:$T$91,3,FALSE),0)+IF(AND($L36="O3/CP",$L$14=C$18),VLOOKUP("O3",$R$63:$T$91,3,FALSE)+VLOOKUP("CP",$R$63:$T$91,3,FALSE),0)+IF(AND($M36&lt;&gt;"",$M36&lt;&gt;"--",$M36&lt;&gt;"O3/CP",$M$14=C$18),IF(LEFT($M36,1)="P",VLOOKUP(CONCATENATE(LEFT($M36,2),"H"),$R$63:$T$91,3,FALSE),VLOOKUP($M36,$R$63:$T$91,3,FALSE)))+IF(AND($M36&lt;&gt;"",$M36&lt;&gt;"O3/CP",$M$15=C$18,MID($M36,4,1)="2",$M$15&lt;&gt;$M$14),VLOOKUP(CONCATENATE(LEFT($M36,2),"L"),$R$63:$T$91,3,FALSE),0)+IF(AND($M36="O3/CP",$M$14=C$18),VLOOKUP("O3",$R$63:$T$91,3,FALSE)+VLOOKUP("CP",$R$63:$T$91,3,FALSE),0)+IF(AND($N36&lt;&gt;"",$N36&lt;&gt;"--",$N36&lt;&gt;"O3/CP",$N$14=C$18),IF(LEFT($N36,1)="P",VLOOKUP(CONCATENATE(LEFT($N36,2),"H"),$R$63:$T$91,3,FALSE),VLOOKUP($N36,$R$63:$T$91,3,FALSE)))+IF(AND($N36&lt;&gt;"",$N36&lt;&gt;"O3/CP",$N$15=C$18,MID($N36,4,1)="2",$N$15&lt;&gt;$N$14),VLOOKUP(CONCATENATE(LEFT($N36,2),"L"),$R$63:$T$91,3,FALSE),0)+IF(AND($N36="O3/CP",$N$14=C$18),VLOOKUP("O3",$R$63:$T$91,3,FALSE)+VLOOKUP("CP",$R$63:$T$91,3,FALSE),0)+IF(AND($O36&lt;&gt;"",$O36&lt;&gt;"--",$O36&lt;&gt;"O3/CP",$O$14=C$18),IF(LEFT($O36,1)="P",VLOOKUP(CONCATENATE(LEFT($O36,2),"H"),$R$63:$T$91,3,FALSE),VLOOKUP($O36,$R$63:$T$91,3,FALSE)))+IF(AND($O36&lt;&gt;"",$O36&lt;&gt;"O3/CP",$O$15=C$18,MID($O36,4,1)="2",$O$15&lt;&gt;$O$14),VLOOKUP(CONCATENATE(LEFT($O36,2),"L"),$R$63:$T$91,3,FALSE),0)+IF(AND($O36="O3/CP",$O$14=C$18),VLOOKUP("O3",$R$63:$T$91,3,FALSE)+VLOOKUP("CP",$R$63:$T$91,3,FALSE),0)+IF(AND($P36&lt;&gt;"",$P36&lt;&gt;"--",$P36&lt;&gt;"O3/CP",$P$14=C$18),IF(LEFT($P36,1)="P",VLOOKUP(CONCATENATE(LEFT($P36,2),"H"),$R$63:$T$91,3,FALSE),VLOOKUP($P36,$R$63:$T$91,3,FALSE)))+IF(AND($P36&lt;&gt;"",$P36&lt;&gt;"O3/CP",$P$15=C$18,MID($P36,4,1)="2",$P$15&lt;&gt;$P$14),VLOOKUP(CONCATENATE(LEFT($P36,2),"L"),$R$63:$T$91,3,FALSE),0)+IF(AND($P36="O3/CP",$P$14=C$18),VLOOKUP("O3",$R$63:$T$91,3,FALSE)+VLOOKUP("CP",$R$63:$T$91,3,FALSE),0)+IF(AND($Q36&lt;&gt;"",$Q36&lt;&gt;"--",$Q36&lt;&gt;"O3/CP",$Q$14=C$18),IF(LEFT($Q36,1)="P",VLOOKUP(CONCATENATE(LEFT($Q36,2),"H"),$R$63:$T$91,3,FALSE),VLOOKUP($Q36,$R$63:$T$91,3,FALSE)))+IF(AND($Q36&lt;&gt;"",$Q36&lt;&gt;"O3/CP",$Q$15=C$18,MID($Q36,4,1)="2",$Q$15&lt;&gt;$Q$14),VLOOKUP(CONCATENATE(LEFT($Q36,2),"L"),$R$63:$T$91,3,FALSE),0)+IF(AND($Q36="O3/CP",$Q$14=C$18),VLOOKUP("O3",$R$63:$T$91,3,FALSE)+VLOOKUP("CP",$R$63:$T$91,3,FALSE),0)+IF(AND($R36&lt;&gt;"",$R36&lt;&gt;"--",$R36&lt;&gt;"O3/CP",$R$14=C$18),IF(LEFT($R36,1)="P",VLOOKUP(CONCATENATE(LEFT($R36,2),"H"),$R$63:$T$91,3,FALSE),VLOOKUP($R36,$R$63:$T$91,3,FALSE)))+IF(AND($R36&lt;&gt;"",$R36&lt;&gt;"O3/CP",$R$15=C$18,MID($R36,4,1)="2",$R$15&lt;&gt;$R$14),VLOOKUP(CONCATENATE(LEFT($R36,2),"L"),$R$63:$T$91,3,FALSE),0)+IF(AND($R36="O3/CP",$R$14=C$18),VLOOKUP("O3",$R$63:$T$91,3,FALSE)+VLOOKUP("CP",$R$63:$T$91,3,FALSE),0)+IF(AND($S36&lt;&gt;"",$S36&lt;&gt;"--",$S36&lt;&gt;"O3/CP",$S$14=C$18),IF(LEFT($S36,1)="P",VLOOKUP(CONCATENATE(LEFT($S36,2),"H"),$R$63:$T$91,3,FALSE),VLOOKUP($S36,$R$63:$T$91,3,FALSE)))+IF(AND($S36&lt;&gt;"",$S36&lt;&gt;"O3/CP",$S$15=C$18,MID($S36,4,1)="2",$S$15&lt;&gt;$S$14),VLOOKUP(CONCATENATE(LEFT($S36,2),"L"),$R$63:$T$91,3,FALSE),0)+IF(AND($S36="O3/CP",$S$14=C$18),VLOOKUP("O3",$R$63:$T$91,3,FALSE)+VLOOKUP("CP",$R$63:$T$91,3,FALSE),0)+IF(AND($T36&lt;&gt;"",$T36&lt;&gt;"--",$T36&lt;&gt;"O3/CP",$T$14=C$18),IF(LEFT($T36,1)="P",VLOOKUP(CONCATENATE(LEFT($T36,2),"H"),$R$63:$T$91,3,FALSE),VLOOKUP($T36,$R$63:$T$91,3,FALSE)))+IF(AND($T36&lt;&gt;"",$T36&lt;&gt;"O3/CP",$T$15=C$18,MID($T36,4,1)="2",$T$15&lt;&gt;$T$14),VLOOKUP(CONCATENATE(LEFT($T36,2),"L"),$R$63:$T$91,3,FALSE),0)+IF(AND($T36="O3/CP",$T$14=C$18),VLOOKUP("O3",$R$63:$T$91,3,FALSE)+VLOOKUP("CP",$R$63:$T$91,3,FALSE),0)+IF(AND($U36&lt;&gt;"",$U36&lt;&gt;"--",$U36&lt;&gt;"O3/CP",$U$14=C$18),IF(LEFT($U36,1)="P",VLOOKUP(CONCATENATE(LEFT($U36,2),"H"),$R$63:$T$91,3,FALSE),VLOOKUP($U36,$R$63:$T$91,3,FALSE)))+IF(AND($U36&lt;&gt;"",$U36&lt;&gt;"O3/CP",$U$15=C$18,MID($U36,4,1)="2",$U$15&lt;&gt;$U$14),VLOOKUP(CONCATENATE(LEFT($U36,2),"L"),$R$63:$T$91,3,FALSE),0)+IF(AND($U36="O3/CP",$T$14=C$18),VLOOKUP("O3",$R$63:$T$91,3,FALSE)+VLOOKUP("CP",$R$63:$T$91,3,FALSE),0)+IF(AND($V36&lt;&gt;"",$V36&lt;&gt;"--",$V36&lt;&gt;"O3/CP",$V$14=C$18),IF(LEFT($V36,1)="P",VLOOKUP(CONCATENATE(LEFT($V36,2),"H"),$R$63:$T$91,3,FALSE),VLOOKUP($V36,$R$63:$T$91,3,FALSE)))+IF(AND($V36&lt;&gt;"",$V36&lt;&gt;"O3/CP",$V$15=C$18,MID($V36,4,1)="2",$V$15&lt;&gt;$V$14),VLOOKUP(CONCATENATE(LEFT($V36,2),"L"),$R$63:$T$91,3,FALSE),0)+IF(AND($V36="O3/CP",$V$14=C$18),VLOOKUP("O3",$R$63:$T$91,3,FALSE)+VLOOKUP("CP",$R$63:$T$91,3,FALSE),0)+IF(AND($W36&lt;&gt;"",$W36&lt;&gt;"--",$W36&lt;&gt;"O3/CP",$W$14=C$18),IF(LEFT($W36,1)="P",VLOOKUP(CONCATENATE(LEFT($W36,2),"H"),$R$63:$T$91,3,FALSE),VLOOKUP($W36,$R$63:$T$91,3,FALSE)))+IF(AND($W36&lt;&gt;"",$W36&lt;&gt;"O3/CP",$W$15=C$18,MID($W36,4,1)="2",$W$15&lt;&gt;$W$14),VLOOKUP(CONCATENATE(LEFT($W36,2),"L"),$R$63:$T$91,3,FALSE),0)+IF(AND($W36="O3/CP",$W$14=C$18),VLOOKUP("O3",$R$63:$T$91,3,FALSE)+VLOOKUP("CP",$R$63:$T$91,3,FALSE),0)+IF(AND($X36&lt;&gt;"",$X36&lt;&gt;"--",$X36&lt;&gt;"O3/CP",$X$14=C$18),IF(LEFT($X36,1)="P",VLOOKUP(CONCATENATE(LEFT($X36,2),"H"),$R$63:$T$91,3,FALSE),VLOOKUP($X36,$R$63:$T$91,3,FALSE)))+IF(AND($X36&lt;&gt;"",$X36&lt;&gt;"O3/CP",$X$15=C$18,MID($X36,4,1)="2",$X$15&lt;&gt;$X$14),VLOOKUP(CONCATENATE(LEFT($X36,2),"L"),$R$63:$T$91,3,FALSE),0)+IF(AND($X36="O3/CP",$X$14=C$18),VLOOKUP("O3",$R$63:$T$91,3,FALSE)+VLOOKUP("CP",$R$63:$T$91,3,FALSE),0)+IF(AND($Y36&lt;&gt;"",$Y36&lt;&gt;"--",$Y36&lt;&gt;"O3/CP",$Y$14=C$18),IF(LEFT($Y36,1)="P",VLOOKUP(CONCATENATE(LEFT($Y36,2),"H"),$R$63:$T$91,3,FALSE),VLOOKUP($Y36,$R$63:$T$91,3,FALSE)))+IF(AND($Y36&lt;&gt;"",$Y36&lt;&gt;"O3/CP",$Y$15=C$18,MID($Y36,4,1)="2",$Y$15&lt;&gt;$Y$14),VLOOKUP(CONCATENATE(LEFT($Y36,2),"L"),$R$63:$T$91,3,FALSE),0)+IF(AND($Y36="O3/CP",$Y$14=C$18),VLOOKUP("O3",$R$63:$T$91,3,FALSE)+VLOOKUP("CP",$R$63:$T$91,3,FALSE),0)+IF(AND($K$6="CE",'[3]Supply Attribution'!$G$20=C$18),LEFT($S$90,2),0)+IF(AND($X$86&lt;&gt;"Not Set",$X$87=C$18),$X$86,0)</f>
        <v>0</v>
      </c>
      <c r="D36" s="269">
        <f>IF(AND($K36&lt;&gt;"",$K36&lt;&gt;"--",$K36&lt;&gt;"O3/CP",$K$14=D$18),IF(LEFT($K36,1)="P",VLOOKUP(CONCATENATE(LEFT($K36,2),"H"),$R$63:$T$91,3,FALSE),VLOOKUP($K36,$R$63:$T$91,3,FALSE)))+IF(AND($K36&lt;&gt;"",$K36&lt;&gt;"O3/CP",$K$15=D$18,MID($K36,4,1)="2",$K$15&lt;&gt;$K$14),VLOOKUP(CONCATENATE(LEFT($K36,2),"L"),$R$63:$T$91,3,FALSE),0)+IF(AND($K36="O3/CP",$K$14=D$18),VLOOKUP("O3",$R$63:$T$91,3,FALSE)+VLOOKUP("CP",$R$63:$T$91,3,FALSE),0)+IF(AND($L36&lt;&gt;"",$L36&lt;&gt;"--",$L36&lt;&gt;"O3/CP",$L$14=D$18),IF(LEFT($L36,1)="P",VLOOKUP(CONCATENATE(LEFT($L36,2),"H"),$R$63:$T$91,3,FALSE),VLOOKUP($L36,$R$63:$T$91,3,FALSE)))+IF(AND($L36&lt;&gt;"",$L36&lt;&gt;"O3/CP",$L$15=D$18,MID($L36,4,1)="2",$L$15&lt;&gt;$L$14),VLOOKUP(CONCATENATE(LEFT($L36,2),"L"),$R$63:$T$91,3,FALSE),0)+IF(AND($L36="O3/CP",$L$14=D$18),VLOOKUP("O3",$R$63:$T$91,3,FALSE)+VLOOKUP("CP",$R$63:$T$91,3,FALSE),0)+IF(AND($M36&lt;&gt;"",$M36&lt;&gt;"--",$M36&lt;&gt;"O3/CP",$M$14=D$18),IF(LEFT($M36,1)="P",VLOOKUP(CONCATENATE(LEFT($M36,2),"H"),$R$63:$T$91,3,FALSE),VLOOKUP($M36,$R$63:$T$91,3,FALSE)))+IF(AND($M36&lt;&gt;"",$M36&lt;&gt;"O3/CP",$M$15=D$18,MID($M36,4,1)="2",$M$15&lt;&gt;$M$14),VLOOKUP(CONCATENATE(LEFT($M36,2),"L"),$R$63:$T$91,3,FALSE),0)+IF(AND($M36="O3/CP",$M$14=D$18),VLOOKUP("O3",$R$63:$T$91,3,FALSE)+VLOOKUP("CP",$R$63:$T$91,3,FALSE),0)+IF(AND($N36&lt;&gt;"",$N36&lt;&gt;"--",$N36&lt;&gt;"O3/CP",$N$14=D$18),IF(LEFT($N36,1)="P",VLOOKUP(CONCATENATE(LEFT($N36,2),"H"),$R$63:$T$91,3,FALSE),VLOOKUP($N36,$R$63:$T$91,3,FALSE)))+IF(AND($N36&lt;&gt;"",$N36&lt;&gt;"O3/CP",$N$15=D$18,MID($N36,4,1)="2",$N$15&lt;&gt;$N$14),VLOOKUP(CONCATENATE(LEFT($N36,2),"L"),$R$63:$T$91,3,FALSE),0)+IF(AND($N36="O3/CP",$N$14=D$18),VLOOKUP("O3",$R$63:$T$91,3,FALSE)+VLOOKUP("CP",$R$63:$T$91,3,FALSE),0)+IF(AND($O36&lt;&gt;"",$O36&lt;&gt;"--",$O36&lt;&gt;"O3/CP",$O$14=D$18),IF(LEFT($O36,1)="P",VLOOKUP(CONCATENATE(LEFT($O36,2),"H"),$R$63:$T$91,3,FALSE),VLOOKUP($O36,$R$63:$T$91,3,FALSE)))+IF(AND($O36&lt;&gt;"",$O36&lt;&gt;"O3/CP",$O$15=D$18,MID($O36,4,1)="2",$O$15&lt;&gt;$O$14),VLOOKUP(CONCATENATE(LEFT($O36,2),"L"),$R$63:$T$91,3,FALSE),0)+IF(AND($O36="O3/CP",$O$14=D$18),VLOOKUP("O3",$R$63:$T$91,3,FALSE)+VLOOKUP("CP",$R$63:$T$91,3,FALSE),0)+IF(AND($P36&lt;&gt;"",$P36&lt;&gt;"--",$P36&lt;&gt;"O3/CP",$P$14=D$18),IF(LEFT($P36,1)="P",VLOOKUP(CONCATENATE(LEFT($P36,2),"H"),$R$63:$T$91,3,FALSE),VLOOKUP($P36,$R$63:$T$91,3,FALSE)))+IF(AND($P36&lt;&gt;"",$P36&lt;&gt;"O3/CP",$P$15=D$18,MID($P36,4,1)="2",$P$15&lt;&gt;$P$14),VLOOKUP(CONCATENATE(LEFT($P36,2),"L"),$R$63:$T$91,3,FALSE),0)+IF(AND($P36="O3/CP",$P$14=D$18),VLOOKUP("O3",$R$63:$T$91,3,FALSE)+VLOOKUP("CP",$R$63:$T$91,3,FALSE),0)+IF(AND($Q36&lt;&gt;"",$Q36&lt;&gt;"--",$Q36&lt;&gt;"O3/CP",$Q$14=D$18),IF(LEFT($Q36,1)="P",VLOOKUP(CONCATENATE(LEFT($Q36,2),"H"),$R$63:$T$91,3,FALSE),VLOOKUP($Q36,$R$63:$T$91,3,FALSE)))+IF(AND($Q36&lt;&gt;"",$Q36&lt;&gt;"O3/CP",$Q$15=D$18,MID($Q36,4,1)="2",$Q$15&lt;&gt;$Q$14),VLOOKUP(CONCATENATE(LEFT($Q36,2),"L"),$R$63:$T$91,3,FALSE),0)+IF(AND($Q36="O3/CP",$Q$14=D$18),VLOOKUP("O3",$R$63:$T$91,3,FALSE)+VLOOKUP("CP",$R$63:$T$91,3,FALSE),0)+IF(AND($R36&lt;&gt;"",$R36&lt;&gt;"--",$R36&lt;&gt;"O3/CP",$R$14=D$18),IF(LEFT($R36,1)="P",VLOOKUP(CONCATENATE(LEFT($R36,2),"H"),$R$63:$T$91,3,FALSE),VLOOKUP($R36,$R$63:$T$91,3,FALSE)))+IF(AND($R36&lt;&gt;"",$R36&lt;&gt;"O3/CP",$R$15=D$18,MID($R36,4,1)="2",$R$15&lt;&gt;$R$14),VLOOKUP(CONCATENATE(LEFT($R36,2),"L"),$R$63:$T$91,3,FALSE),0)+IF(AND($R36="O3/CP",$R$14=D$18),VLOOKUP("O3",$R$63:$T$91,3,FALSE)+VLOOKUP("CP",$R$63:$T$91,3,FALSE),0)+IF(AND($S36&lt;&gt;"",$S36&lt;&gt;"--",$S36&lt;&gt;"O3/CP",$S$14=D$18),IF(LEFT($S36,1)="P",VLOOKUP(CONCATENATE(LEFT($S36,2),"H"),$R$63:$T$91,3,FALSE),VLOOKUP($S36,$R$63:$T$91,3,FALSE)))+IF(AND($S36&lt;&gt;"",$S36&lt;&gt;"O3/CP",$S$15=D$18,MID($S36,4,1)="2",$S$15&lt;&gt;$S$14),VLOOKUP(CONCATENATE(LEFT($S36,2),"L"),$R$63:$T$91,3,FALSE),0)+IF(AND($S36="O3/CP",$S$14=D$18),VLOOKUP("O3",$R$63:$T$91,3,FALSE)+VLOOKUP("CP",$R$63:$T$91,3,FALSE),0)+IF(AND($T36&lt;&gt;"",$T36&lt;&gt;"--",$T36&lt;&gt;"O3/CP",$T$14=D$18),IF(LEFT($T36,1)="P",VLOOKUP(CONCATENATE(LEFT($T36,2),"H"),$R$63:$T$91,3,FALSE),VLOOKUP($T36,$R$63:$T$91,3,FALSE)))+IF(AND($T36&lt;&gt;"",$T36&lt;&gt;"O3/CP",$T$15=D$18,MID($T36,4,1)="2",$T$15&lt;&gt;$T$14),VLOOKUP(CONCATENATE(LEFT($T36,2),"L"),$R$63:$T$91,3,FALSE),0)+IF(AND($T36="O3/CP",$T$14=D$18),VLOOKUP("O3",$R$63:$T$91,3,FALSE)+VLOOKUP("CP",$R$63:$T$91,3,FALSE),0)+IF(AND($U36&lt;&gt;"",$U36&lt;&gt;"--",$U36&lt;&gt;"O3/CP",$U$14=D$18),IF(LEFT($U36,1)="P",VLOOKUP(CONCATENATE(LEFT($U36,2),"H"),$R$63:$T$91,3,FALSE),VLOOKUP($U36,$R$63:$T$91,3,FALSE)))+IF(AND($U36&lt;&gt;"",$U36&lt;&gt;"O3/CP",$U$15=D$18,MID($U36,4,1)="2",$U$15&lt;&gt;$U$14),VLOOKUP(CONCATENATE(LEFT($U36,2),"L"),$R$63:$T$91,3,FALSE),0)+IF(AND($U36="O3/CP",$T$14=D$18),VLOOKUP("O3",$R$63:$T$91,3,FALSE)+VLOOKUP("CP",$R$63:$T$91,3,FALSE),0)+IF(AND($V36&lt;&gt;"",$V36&lt;&gt;"--",$V36&lt;&gt;"O3/CP",$V$14=D$18),IF(LEFT($V36,1)="P",VLOOKUP(CONCATENATE(LEFT($V36,2),"H"),$R$63:$T$91,3,FALSE),VLOOKUP($V36,$R$63:$T$91,3,FALSE)))+IF(AND($V36&lt;&gt;"",$V36&lt;&gt;"O3/CP",$V$15=D$18,MID($V36,4,1)="2",$V$15&lt;&gt;$V$14),VLOOKUP(CONCATENATE(LEFT($V36,2),"L"),$R$63:$T$91,3,FALSE),0)+IF(AND($V36="O3/CP",$V$14=D$18),VLOOKUP("O3",$R$63:$T$91,3,FALSE)+VLOOKUP("CP",$R$63:$T$91,3,FALSE),0)+IF(AND($W36&lt;&gt;"",$W36&lt;&gt;"--",$W36&lt;&gt;"O3/CP",$W$14=D$18),IF(LEFT($W36,1)="P",VLOOKUP(CONCATENATE(LEFT($W36,2),"H"),$R$63:$T$91,3,FALSE),VLOOKUP($W36,$R$63:$T$91,3,FALSE)))+IF(AND($W36&lt;&gt;"",$W36&lt;&gt;"O3/CP",$W$15=D$18,MID($W36,4,1)="2",$W$15&lt;&gt;$W$14),VLOOKUP(CONCATENATE(LEFT($W36,2),"L"),$R$63:$T$91,3,FALSE),0)+IF(AND($W36="O3/CP",$W$14=D$18),VLOOKUP("O3",$R$63:$T$91,3,FALSE)+VLOOKUP("CP",$R$63:$T$91,3,FALSE),0)+IF(AND($X36&lt;&gt;"",$X36&lt;&gt;"--",$X36&lt;&gt;"O3/CP",$X$14=D$18),IF(LEFT($X36,1)="P",VLOOKUP(CONCATENATE(LEFT($X36,2),"H"),$R$63:$T$91,3,FALSE),VLOOKUP($X36,$R$63:$T$91,3,FALSE)))+IF(AND($X36&lt;&gt;"",$X36&lt;&gt;"O3/CP",$X$15=D$18,MID($X36,4,1)="2",$X$15&lt;&gt;$X$14),VLOOKUP(CONCATENATE(LEFT($X36,2),"L"),$R$63:$T$91,3,FALSE),0)+IF(AND($X36="O3/CP",$X$14=D$18),VLOOKUP("O3",$R$63:$T$91,3,FALSE)+VLOOKUP("CP",$R$63:$T$91,3,FALSE),0)+IF(AND($Y36&lt;&gt;"",$Y36&lt;&gt;"--",$Y36&lt;&gt;"O3/CP",$Y$14=D$18),IF(LEFT($Y36,1)="P",VLOOKUP(CONCATENATE(LEFT($Y36,2),"H"),$R$63:$T$91,3,FALSE),VLOOKUP($Y36,$R$63:$T$91,3,FALSE)))+IF(AND($Y36&lt;&gt;"",$Y36&lt;&gt;"O3/CP",$Y$15=D$18,MID($Y36,4,1)="2",$Y$15&lt;&gt;$Y$14),VLOOKUP(CONCATENATE(LEFT($Y36,2),"L"),$R$63:$T$91,3,FALSE),0)+IF(AND($Y36="O3/CP",$Y$14=D$18),VLOOKUP("O3",$R$63:$T$91,3,FALSE)+VLOOKUP("CP",$R$63:$T$91,3,FALSE),0)+IF(AND($K$6="CE",'[3]Supply Attribution'!$G$20=D$18),LEFT($S$90,2),0)+IF(AND($X$86&lt;&gt;"Not Set",$X$87=D$18),$X$86,0)</f>
        <v>0</v>
      </c>
      <c r="E36" s="269">
        <f>IF(AND($K36&lt;&gt;"",$K36&lt;&gt;"--",$K36&lt;&gt;"O3/CP",$K$14=E$18),IF(LEFT($K36,1)="P",VLOOKUP(CONCATENATE(LEFT($K36,2),"H"),$R$63:$T$91,3,FALSE),VLOOKUP($K36,$R$63:$T$91,3,FALSE)))+IF(AND($K36&lt;&gt;"",$K36&lt;&gt;"O3/CP",$K$15=E$18,MID($K36,4,1)="2",$K$15&lt;&gt;$K$14),VLOOKUP(CONCATENATE(LEFT($K36,2),"L"),$R$63:$T$91,3,FALSE),0)+IF(AND($K36="O3/CP",$K$14=E$18),VLOOKUP("O3",$R$63:$T$91,3,FALSE)+VLOOKUP("CP",$R$63:$T$91,3,FALSE),0)+IF(AND($L36&lt;&gt;"",$L36&lt;&gt;"--",$L36&lt;&gt;"O3/CP",$L$14=E$18),IF(LEFT($L36,1)="P",VLOOKUP(CONCATENATE(LEFT($L36,2),"H"),$R$63:$T$91,3,FALSE),VLOOKUP($L36,$R$63:$T$91,3,FALSE)))+IF(AND($L36&lt;&gt;"",$L36&lt;&gt;"O3/CP",$L$15=E$18,MID($L36,4,1)="2",$L$15&lt;&gt;$L$14),VLOOKUP(CONCATENATE(LEFT($L36,2),"L"),$R$63:$T$91,3,FALSE),0)+IF(AND($L36="O3/CP",$L$14=E$18),VLOOKUP("O3",$R$63:$T$91,3,FALSE)+VLOOKUP("CP",$R$63:$T$91,3,FALSE),0)+IF(AND($M36&lt;&gt;"",$M36&lt;&gt;"--",$M36&lt;&gt;"O3/CP",$M$14=E$18),IF(LEFT($M36,1)="P",VLOOKUP(CONCATENATE(LEFT($M36,2),"H"),$R$63:$T$91,3,FALSE),VLOOKUP($M36,$R$63:$T$91,3,FALSE)))+IF(AND($M36&lt;&gt;"",$M36&lt;&gt;"O3/CP",$M$15=E$18,MID($M36,4,1)="2",$M$15&lt;&gt;$M$14),VLOOKUP(CONCATENATE(LEFT($M36,2),"L"),$R$63:$T$91,3,FALSE),0)+IF(AND($M36="O3/CP",$M$14=E$18),VLOOKUP("O3",$R$63:$T$91,3,FALSE)+VLOOKUP("CP",$R$63:$T$91,3,FALSE),0)+IF(AND($N36&lt;&gt;"",$N36&lt;&gt;"--",$N36&lt;&gt;"O3/CP",$N$14=E$18),IF(LEFT($N36,1)="P",VLOOKUP(CONCATENATE(LEFT($N36,2),"H"),$R$63:$T$91,3,FALSE),VLOOKUP($N36,$R$63:$T$91,3,FALSE)))+IF(AND($N36&lt;&gt;"",$N36&lt;&gt;"O3/CP",$N$15=E$18,MID($N36,4,1)="2",$N$15&lt;&gt;$N$14),VLOOKUP(CONCATENATE(LEFT($N36,2),"L"),$R$63:$T$91,3,FALSE),0)+IF(AND($N36="O3/CP",$N$14=E$18),VLOOKUP("O3",$R$63:$T$91,3,FALSE)+VLOOKUP("CP",$R$63:$T$91,3,FALSE),0)+IF(AND($O36&lt;&gt;"",$O36&lt;&gt;"--",$O36&lt;&gt;"O3/CP",$O$14=E$18),IF(LEFT($O36,1)="P",VLOOKUP(CONCATENATE(LEFT($O36,2),"H"),$R$63:$T$91,3,FALSE),VLOOKUP($O36,$R$63:$T$91,3,FALSE)))+IF(AND($O36&lt;&gt;"",$O36&lt;&gt;"O3/CP",$O$15=E$18,MID($O36,4,1)="2",$O$15&lt;&gt;$O$14),VLOOKUP(CONCATENATE(LEFT($O36,2),"L"),$R$63:$T$91,3,FALSE),0)+IF(AND($O36="O3/CP",$O$14=E$18),VLOOKUP("O3",$R$63:$T$91,3,FALSE)+VLOOKUP("CP",$R$63:$T$91,3,FALSE),0)+IF(AND($P36&lt;&gt;"",$P36&lt;&gt;"--",$P36&lt;&gt;"O3/CP",$P$14=E$18),IF(LEFT($P36,1)="P",VLOOKUP(CONCATENATE(LEFT($P36,2),"H"),$R$63:$T$91,3,FALSE),VLOOKUP($P36,$R$63:$T$91,3,FALSE)))+IF(AND($P36&lt;&gt;"",$P36&lt;&gt;"O3/CP",$P$15=E$18,MID($P36,4,1)="2",$P$15&lt;&gt;$P$14),VLOOKUP(CONCATENATE(LEFT($P36,2),"L"),$R$63:$T$91,3,FALSE),0)+IF(AND($P36="O3/CP",$P$14=E$18),VLOOKUP("O3",$R$63:$T$91,3,FALSE)+VLOOKUP("CP",$R$63:$T$91,3,FALSE),0)+IF(AND($Q36&lt;&gt;"",$Q36&lt;&gt;"--",$Q36&lt;&gt;"O3/CP",$Q$14=E$18),IF(LEFT($Q36,1)="P",VLOOKUP(CONCATENATE(LEFT($Q36,2),"H"),$R$63:$T$91,3,FALSE),VLOOKUP($Q36,$R$63:$T$91,3,FALSE)))+IF(AND($Q36&lt;&gt;"",$Q36&lt;&gt;"O3/CP",$Q$15=E$18,MID($Q36,4,1)="2",$Q$15&lt;&gt;$Q$14),VLOOKUP(CONCATENATE(LEFT($Q36,2),"L"),$R$63:$T$91,3,FALSE),0)+IF(AND($Q36="O3/CP",$Q$14=E$18),VLOOKUP("O3",$R$63:$T$91,3,FALSE)+VLOOKUP("CP",$R$63:$T$91,3,FALSE),0)+IF(AND($R36&lt;&gt;"",$R36&lt;&gt;"--",$R36&lt;&gt;"O3/CP",$R$14=E$18),IF(LEFT($R36,1)="P",VLOOKUP(CONCATENATE(LEFT($R36,2),"H"),$R$63:$T$91,3,FALSE),VLOOKUP($R36,$R$63:$T$91,3,FALSE)))+IF(AND($R36&lt;&gt;"",$R36&lt;&gt;"O3/CP",$R$15=E$18,MID($R36,4,1)="2",$R$15&lt;&gt;$R$14),VLOOKUP(CONCATENATE(LEFT($R36,2),"L"),$R$63:$T$91,3,FALSE),0)+IF(AND($R36="O3/CP",$R$14=E$18),VLOOKUP("O3",$R$63:$T$91,3,FALSE)+VLOOKUP("CP",$R$63:$T$91,3,FALSE),0)+IF(AND($S36&lt;&gt;"",$S36&lt;&gt;"--",$S36&lt;&gt;"O3/CP",$S$14=E$18),IF(LEFT($S36,1)="P",VLOOKUP(CONCATENATE(LEFT($S36,2),"H"),$R$63:$T$91,3,FALSE),VLOOKUP($S36,$R$63:$T$91,3,FALSE)))+IF(AND($S36&lt;&gt;"",$S36&lt;&gt;"O3/CP",$S$15=E$18,MID($S36,4,1)="2",$S$15&lt;&gt;$S$14),VLOOKUP(CONCATENATE(LEFT($S36,2),"L"),$R$63:$T$91,3,FALSE),0)+IF(AND($S36="O3/CP",$S$14=E$18),VLOOKUP("O3",$R$63:$T$91,3,FALSE)+VLOOKUP("CP",$R$63:$T$91,3,FALSE),0)+IF(AND($T36&lt;&gt;"",$T36&lt;&gt;"--",$T36&lt;&gt;"O3/CP",$T$14=E$18),IF(LEFT($T36,1)="P",VLOOKUP(CONCATENATE(LEFT($T36,2),"H"),$R$63:$T$91,3,FALSE),VLOOKUP($T36,$R$63:$T$91,3,FALSE)))+IF(AND($T36&lt;&gt;"",$T36&lt;&gt;"O3/CP",$T$15=E$18,MID($T36,4,1)="2",$T$15&lt;&gt;$T$14),VLOOKUP(CONCATENATE(LEFT($T36,2),"L"),$R$63:$T$91,3,FALSE),0)+IF(AND($T36="O3/CP",$T$14=E$18),VLOOKUP("O3",$R$63:$T$91,3,FALSE)+VLOOKUP("CP",$R$63:$T$91,3,FALSE),0)+IF(AND($U36&lt;&gt;"",$U36&lt;&gt;"--",$U36&lt;&gt;"O3/CP",$U$14=E$18),IF(LEFT($U36,1)="P",VLOOKUP(CONCATENATE(LEFT($U36,2),"H"),$R$63:$T$91,3,FALSE),VLOOKUP($U36,$R$63:$T$91,3,FALSE)))+IF(AND($U36&lt;&gt;"",$U36&lt;&gt;"O3/CP",$U$15=E$18,MID($U36,4,1)="2",$U$15&lt;&gt;$U$14),VLOOKUP(CONCATENATE(LEFT($U36,2),"L"),$R$63:$T$91,3,FALSE),0)+IF(AND($U36="O3/CP",$T$14=E$18),VLOOKUP("O3",$R$63:$T$91,3,FALSE)+VLOOKUP("CP",$R$63:$T$91,3,FALSE),0)+IF(AND($V36&lt;&gt;"",$V36&lt;&gt;"--",$V36&lt;&gt;"O3/CP",$V$14=E$18),IF(LEFT($V36,1)="P",VLOOKUP(CONCATENATE(LEFT($V36,2),"H"),$R$63:$T$91,3,FALSE),VLOOKUP($V36,$R$63:$T$91,3,FALSE)))+IF(AND($V36&lt;&gt;"",$V36&lt;&gt;"O3/CP",$V$15=E$18,MID($V36,4,1)="2",$V$15&lt;&gt;$V$14),VLOOKUP(CONCATENATE(LEFT($V36,2),"L"),$R$63:$T$91,3,FALSE),0)+IF(AND($V36="O3/CP",$V$14=E$18),VLOOKUP("O3",$R$63:$T$91,3,FALSE)+VLOOKUP("CP",$R$63:$T$91,3,FALSE),0)+IF(AND($W36&lt;&gt;"",$W36&lt;&gt;"--",$W36&lt;&gt;"O3/CP",$W$14=E$18),IF(LEFT($W36,1)="P",VLOOKUP(CONCATENATE(LEFT($W36,2),"H"),$R$63:$T$91,3,FALSE),VLOOKUP($W36,$R$63:$T$91,3,FALSE)))+IF(AND($W36&lt;&gt;"",$W36&lt;&gt;"O3/CP",$W$15=E$18,MID($W36,4,1)="2",$W$15&lt;&gt;$W$14),VLOOKUP(CONCATENATE(LEFT($W36,2),"L"),$R$63:$T$91,3,FALSE),0)+IF(AND($W36="O3/CP",$W$14=E$18),VLOOKUP("O3",$R$63:$T$91,3,FALSE)+VLOOKUP("CP",$R$63:$T$91,3,FALSE),0)+IF(AND($X36&lt;&gt;"",$X36&lt;&gt;"--",$X36&lt;&gt;"O3/CP",$X$14=E$18),IF(LEFT($X36,1)="P",VLOOKUP(CONCATENATE(LEFT($X36,2),"H"),$R$63:$T$91,3,FALSE),VLOOKUP($X36,$R$63:$T$91,3,FALSE)))+IF(AND($X36&lt;&gt;"",$X36&lt;&gt;"O3/CP",$X$15=E$18,MID($X36,4,1)="2",$X$15&lt;&gt;$X$14),VLOOKUP(CONCATENATE(LEFT($X36,2),"L"),$R$63:$T$91,3,FALSE),0)+IF(AND($X36="O3/CP",$X$14=E$18),VLOOKUP("O3",$R$63:$T$91,3,FALSE)+VLOOKUP("CP",$R$63:$T$91,3,FALSE),0)+IF(AND($Y36&lt;&gt;"",$Y36&lt;&gt;"--",$Y36&lt;&gt;"O3/CP",$Y$14=E$18),IF(LEFT($Y36,1)="P",VLOOKUP(CONCATENATE(LEFT($Y36,2),"H"),$R$63:$T$91,3,FALSE),VLOOKUP($Y36,$R$63:$T$91,3,FALSE)))+IF(AND($Y36&lt;&gt;"",$Y36&lt;&gt;"O3/CP",$Y$15=E$18,MID($Y36,4,1)="2",$Y$15&lt;&gt;$Y$14),VLOOKUP(CONCATENATE(LEFT($Y36,2),"L"),$R$63:$T$91,3,FALSE),0)+IF(AND($Y36="O3/CP",$Y$14=E$18),VLOOKUP("O3",$R$63:$T$91,3,FALSE)+VLOOKUP("CP",$R$63:$T$91,3,FALSE),0)+IF(AND($K$6="CE",'[3]Supply Attribution'!$G$20=E$18),LEFT($S$90,2),0)+IF(AND($X$86&lt;&gt;"Not Set",$X$87=E$18),$X$86,0)</f>
        <v>0</v>
      </c>
      <c r="F36" s="268">
        <f>IF(AND($K36&lt;&gt;"",$K36&lt;&gt;"--",$K36&lt;&gt;"O3/CP",$K$14=F$18),IF(LEFT($K36,1)="P",VLOOKUP(CONCATENATE(LEFT($K36,2),"H"),$R$63:$T$91,3,FALSE),VLOOKUP($K36,$R$63:$T$91,3,FALSE)))+IF(AND($K36&lt;&gt;"",$K36&lt;&gt;"O3/CP",$K$15=F$18,MID($K36,4,1)="2",$K$15&lt;&gt;$K$14),VLOOKUP(CONCATENATE(LEFT($K36,2),"L"),$R$63:$T$91,3,FALSE),0)+IF(AND($K36="O3/CP",$K$14=F$18),VLOOKUP("O3",$R$63:$T$91,3,FALSE)+VLOOKUP("CP",$R$63:$T$91,3,FALSE),0)+IF(AND($L36&lt;&gt;"",$L36&lt;&gt;"--",$L36&lt;&gt;"O3/CP",$L$14=F$18),IF(LEFT($L36,1)="P",VLOOKUP(CONCATENATE(LEFT($L36,2),"H"),$R$63:$T$91,3,FALSE),VLOOKUP($L36,$R$63:$T$91,3,FALSE)))+IF(AND($L36&lt;&gt;"",$L36&lt;&gt;"O3/CP",$L$15=F$18,MID($L36,4,1)="2",$L$15&lt;&gt;$L$14),VLOOKUP(CONCATENATE(LEFT($L36,2),"L"),$R$63:$T$91,3,FALSE),0)+IF(AND($L36="O3/CP",$L$14=F$18),VLOOKUP("O3",$R$63:$T$91,3,FALSE)+VLOOKUP("CP",$R$63:$T$91,3,FALSE),0)+IF(AND($M36&lt;&gt;"",$M36&lt;&gt;"--",$M36&lt;&gt;"O3/CP",$M$14=F$18),IF(LEFT($M36,1)="P",VLOOKUP(CONCATENATE(LEFT($M36,2),"H"),$R$63:$T$91,3,FALSE),VLOOKUP($M36,$R$63:$T$91,3,FALSE)))+IF(AND($M36&lt;&gt;"",$M36&lt;&gt;"O3/CP",$M$15=F$18,MID($M36,4,1)="2",$M$15&lt;&gt;$M$14),VLOOKUP(CONCATENATE(LEFT($M36,2),"L"),$R$63:$T$91,3,FALSE),0)+IF(AND($M36="O3/CP",$M$14=F$18),VLOOKUP("O3",$R$63:$T$91,3,FALSE)+VLOOKUP("CP",$R$63:$T$91,3,FALSE),0)+IF(AND($N36&lt;&gt;"",$N36&lt;&gt;"--",$N36&lt;&gt;"O3/CP",$N$14=F$18),IF(LEFT($N36,1)="P",VLOOKUP(CONCATENATE(LEFT($N36,2),"H"),$R$63:$T$91,3,FALSE),VLOOKUP($N36,$R$63:$T$91,3,FALSE)))+IF(AND($N36&lt;&gt;"",$N36&lt;&gt;"O3/CP",$N$15=F$18,MID($N36,4,1)="2",$N$15&lt;&gt;$N$14),VLOOKUP(CONCATENATE(LEFT($N36,2),"L"),$R$63:$T$91,3,FALSE),0)+IF(AND($N36="O3/CP",$N$14=F$18),VLOOKUP("O3",$R$63:$T$91,3,FALSE)+VLOOKUP("CP",$R$63:$T$91,3,FALSE),0)+IF(AND($O36&lt;&gt;"",$O36&lt;&gt;"--",$O36&lt;&gt;"O3/CP",$O$14=F$18),IF(LEFT($O36,1)="P",VLOOKUP(CONCATENATE(LEFT($O36,2),"H"),$R$63:$T$91,3,FALSE),VLOOKUP($O36,$R$63:$T$91,3,FALSE)))+IF(AND($O36&lt;&gt;"",$O36&lt;&gt;"O3/CP",$O$15=F$18,MID($O36,4,1)="2",$O$15&lt;&gt;$O$14),VLOOKUP(CONCATENATE(LEFT($O36,2),"L"),$R$63:$T$91,3,FALSE),0)+IF(AND($O36="O3/CP",$O$14=F$18),VLOOKUP("O3",$R$63:$T$91,3,FALSE)+VLOOKUP("CP",$R$63:$T$91,3,FALSE),0)+IF(AND($P36&lt;&gt;"",$P36&lt;&gt;"--",$P36&lt;&gt;"O3/CP",$P$14=F$18),IF(LEFT($P36,1)="P",VLOOKUP(CONCATENATE(LEFT($P36,2),"H"),$R$63:$T$91,3,FALSE),VLOOKUP($P36,$R$63:$T$91,3,FALSE)))+IF(AND($P36&lt;&gt;"",$P36&lt;&gt;"O3/CP",$P$15=F$18,MID($P36,4,1)="2",$P$15&lt;&gt;$P$14),VLOOKUP(CONCATENATE(LEFT($P36,2),"L"),$R$63:$T$91,3,FALSE),0)+IF(AND($P36="O3/CP",$P$14=F$18),VLOOKUP("O3",$R$63:$T$91,3,FALSE)+VLOOKUP("CP",$R$63:$T$91,3,FALSE),0)+IF(AND($Q36&lt;&gt;"",$Q36&lt;&gt;"--",$Q36&lt;&gt;"O3/CP",$Q$14=F$18),IF(LEFT($Q36,1)="P",VLOOKUP(CONCATENATE(LEFT($Q36,2),"H"),$R$63:$T$91,3,FALSE),VLOOKUP($Q36,$R$63:$T$91,3,FALSE)))+IF(AND($Q36&lt;&gt;"",$Q36&lt;&gt;"O3/CP",$Q$15=F$18,MID($Q36,4,1)="2",$Q$15&lt;&gt;$Q$14),VLOOKUP(CONCATENATE(LEFT($Q36,2),"L"),$R$63:$T$91,3,FALSE),0)+IF(AND($Q36="O3/CP",$Q$14=F$18),VLOOKUP("O3",$R$63:$T$91,3,FALSE)+VLOOKUP("CP",$R$63:$T$91,3,FALSE),0)+IF(AND($R36&lt;&gt;"",$R36&lt;&gt;"--",$R36&lt;&gt;"O3/CP",$R$14=F$18),IF(LEFT($R36,1)="P",VLOOKUP(CONCATENATE(LEFT($R36,2),"H"),$R$63:$T$91,3,FALSE),VLOOKUP($R36,$R$63:$T$91,3,FALSE)))+IF(AND($R36&lt;&gt;"",$R36&lt;&gt;"O3/CP",$R$15=F$18,MID($R36,4,1)="2",$R$15&lt;&gt;$R$14),VLOOKUP(CONCATENATE(LEFT($R36,2),"L"),$R$63:$T$91,3,FALSE),0)+IF(AND($R36="O3/CP",$R$14=F$18),VLOOKUP("O3",$R$63:$T$91,3,FALSE)+VLOOKUP("CP",$R$63:$T$91,3,FALSE),0)+IF(AND($S36&lt;&gt;"",$S36&lt;&gt;"--",$S36&lt;&gt;"O3/CP",$S$14=F$18),IF(LEFT($S36,1)="P",VLOOKUP(CONCATENATE(LEFT($S36,2),"H"),$R$63:$T$91,3,FALSE),VLOOKUP($S36,$R$63:$T$91,3,FALSE)))+IF(AND($S36&lt;&gt;"",$S36&lt;&gt;"O3/CP",$S$15=F$18,MID($S36,4,1)="2",$S$15&lt;&gt;$S$14),VLOOKUP(CONCATENATE(LEFT($S36,2),"L"),$R$63:$T$91,3,FALSE),0)+IF(AND($S36="O3/CP",$S$14=F$18),VLOOKUP("O3",$R$63:$T$91,3,FALSE)+VLOOKUP("CP",$R$63:$T$91,3,FALSE),0)+IF(AND($T36&lt;&gt;"",$T36&lt;&gt;"--",$T36&lt;&gt;"O3/CP",$T$14=F$18),IF(LEFT($T36,1)="P",VLOOKUP(CONCATENATE(LEFT($T36,2),"H"),$R$63:$T$91,3,FALSE),VLOOKUP($T36,$R$63:$T$91,3,FALSE)))+IF(AND($T36&lt;&gt;"",$T36&lt;&gt;"O3/CP",$T$15=F$18,MID($T36,4,1)="2",$T$15&lt;&gt;$T$14),VLOOKUP(CONCATENATE(LEFT($T36,2),"L"),$R$63:$T$91,3,FALSE),0)+IF(AND($T36="O3/CP",$T$14=F$18),VLOOKUP("O3",$R$63:$T$91,3,FALSE)+VLOOKUP("CP",$R$63:$T$91,3,FALSE),0)+IF(AND($U36&lt;&gt;"",$U36&lt;&gt;"--",$U36&lt;&gt;"O3/CP",$U$14=F$18),IF(LEFT($U36,1)="P",VLOOKUP(CONCATENATE(LEFT($U36,2),"H"),$R$63:$T$91,3,FALSE),VLOOKUP($U36,$R$63:$T$91,3,FALSE)))+IF(AND($U36&lt;&gt;"",$U36&lt;&gt;"O3/CP",$U$15=F$18,MID($U36,4,1)="2",$U$15&lt;&gt;$U$14),VLOOKUP(CONCATENATE(LEFT($U36,2),"L"),$R$63:$T$91,3,FALSE),0)+IF(AND($U36="O3/CP",$T$14=F$18),VLOOKUP("O3",$R$63:$T$91,3,FALSE)+VLOOKUP("CP",$R$63:$T$91,3,FALSE),0)+IF(AND($V36&lt;&gt;"",$V36&lt;&gt;"--",$V36&lt;&gt;"O3/CP",$V$14=F$18),IF(LEFT($V36,1)="P",VLOOKUP(CONCATENATE(LEFT($V36,2),"H"),$R$63:$T$91,3,FALSE),VLOOKUP($V36,$R$63:$T$91,3,FALSE)))+IF(AND($V36&lt;&gt;"",$V36&lt;&gt;"O3/CP",$V$15=F$18,MID($V36,4,1)="2",$V$15&lt;&gt;$V$14),VLOOKUP(CONCATENATE(LEFT($V36,2),"L"),$R$63:$T$91,3,FALSE),0)+IF(AND($V36="O3/CP",$V$14=F$18),VLOOKUP("O3",$R$63:$T$91,3,FALSE)+VLOOKUP("CP",$R$63:$T$91,3,FALSE),0)+IF(AND($W36&lt;&gt;"",$W36&lt;&gt;"--",$W36&lt;&gt;"O3/CP",$W$14=F$18),IF(LEFT($W36,1)="P",VLOOKUP(CONCATENATE(LEFT($W36,2),"H"),$R$63:$T$91,3,FALSE),VLOOKUP($W36,$R$63:$T$91,3,FALSE)))+IF(AND($W36&lt;&gt;"",$W36&lt;&gt;"O3/CP",$W$15=F$18,MID($W36,4,1)="2",$W$15&lt;&gt;$W$14),VLOOKUP(CONCATENATE(LEFT($W36,2),"L"),$R$63:$T$91,3,FALSE),0)+IF(AND($W36="O3/CP",$W$14=F$18),VLOOKUP("O3",$R$63:$T$91,3,FALSE)+VLOOKUP("CP",$R$63:$T$91,3,FALSE),0)+IF(AND($X36&lt;&gt;"",$X36&lt;&gt;"--",$X36&lt;&gt;"O3/CP",$X$14=F$18),IF(LEFT($X36,1)="P",VLOOKUP(CONCATENATE(LEFT($X36,2),"H"),$R$63:$T$91,3,FALSE),VLOOKUP($X36,$R$63:$T$91,3,FALSE)))+IF(AND($X36&lt;&gt;"",$X36&lt;&gt;"O3/CP",$X$15=F$18,MID($X36,4,1)="2",$X$15&lt;&gt;$X$14),VLOOKUP(CONCATENATE(LEFT($X36,2),"L"),$R$63:$T$91,3,FALSE),0)+IF(AND($X36="O3/CP",$X$14=F$18),VLOOKUP("O3",$R$63:$T$91,3,FALSE)+VLOOKUP("CP",$R$63:$T$91,3,FALSE),0)+IF(AND($Y36&lt;&gt;"",$Y36&lt;&gt;"--",$Y36&lt;&gt;"O3/CP",$Y$14=F$18),IF(LEFT($Y36,1)="P",VLOOKUP(CONCATENATE(LEFT($Y36,2),"H"),$R$63:$T$91,3,FALSE),VLOOKUP($Y36,$R$63:$T$91,3,FALSE)))+IF(AND($Y36&lt;&gt;"",$Y36&lt;&gt;"O3/CP",$Y$15=F$18,MID($Y36,4,1)="2",$Y$15&lt;&gt;$Y$14),VLOOKUP(CONCATENATE(LEFT($Y36,2),"L"),$R$63:$T$91,3,FALSE),0)+IF(AND($Y36="O3/CP",$Y$14=F$18),VLOOKUP("O3",$R$63:$T$91,3,FALSE)+VLOOKUP("CP",$R$63:$T$91,3,FALSE),0)+IF(AND($K$6="CE",'[3]Supply Attribution'!$G$20=F$18),LEFT($S$90,2),0)+IF(AND($X$86&lt;&gt;"Not Set",$X$87=F$18),$X$86,0)</f>
        <v>0</v>
      </c>
      <c r="G36" s="269">
        <f>IF(AND($K$6="CE",$T$59="1 Phase"),SUM(A36:F36)-IF(AND($K$14&lt;&gt;$K$15,RIGHT($K36,3)="2SP"),VLOOKUP(CONCATENATE(LEFT($K36,2),"L"),$R$63:$T$90,3,FALSE),0)-IF(AND($L$14&lt;&gt;$L$15,RIGHT($L36,3)="2SP"),VLOOKUP(CONCATENATE(LEFT($L36,2),"L"),$R$63:$T$90,3,FALSE),0)-IF(AND($M$14&lt;&gt;$M$15,RIGHT($M36,3)="2SP"),VLOOKUP(CONCATENATE(LEFT($M36,2),"L"),$R$63:$T$90,3,FALSE),0)-IF(AND($N$14&lt;&gt;$N$15,RIGHT($N36,3)="2SP"),VLOOKUP(CONCATENATE(LEFT($N36,2),"L"),$R$63:$T$90,3,FALSE),0)-IF(AND($O$14&lt;&gt;$O$15,RIGHT($O36,3)="2SP"),VLOOKUP(CONCATENATE(LEFT($O36,2),"L"),$R$63:$T$90,3,FALSE),0)-IF(AND($P$14&lt;&gt;$P$15,RIGHT($P36,3)="2SP"),VLOOKUP(CONCATENATE(LEFT($P36,2),"L"),$R$63:$T$90,3,FALSE),0)-IF(AND($Q$14&lt;&gt;$Q$15,RIGHT($Q36,3)="2SP"),VLOOKUP(CONCATENATE(LEFT($Q36,2),"L"),$R$63:$T$90,3,FALSE),0)-IF(AND($R$14&lt;&gt;$R$15,RIGHT($T36,3)="2SP"),VLOOKUP(CONCATENATE(LEFT($R36,2),"L"),$R$63:$T$90,3,FALSE),0)-IF(AND($S$14&lt;&gt;$S$15,RIGHT($T36,3)="2SP"),VLOOKUP(CONCATENATE(LEFT($S36,2),"L"),$R$63:$T$90,3,FALSE),0)-IF(AND($T$14&lt;&gt;$T$15,RIGHT($T36,3)="2SP"),VLOOKUP(CONCATENATE(LEFT($T36,2),"L"),$R$63:$T$90,3,FALSE),0)-IF(AND($U$14&lt;&gt;$U$15,RIGHT($U36,3)="2SP"),VLOOKUP(CONCATENATE(LEFT($U36,2),"L"),$R$63:$T$90,3,FALSE),0)-IF(AND($V$14&lt;&gt;$V$15,RIGHT($V36,3)="2SP"),VLOOKUP(CONCATENATE(LEFT($V36,2),"L"),$R$63:$T$90,3,FALSE),0)-IF(AND($W$14&lt;&gt;$W$15,RIGHT($W36,3)="2SP"),VLOOKUP(CONCATENATE(LEFT($W36,2),"L"),$R$63:$T$90,3,FALSE),0)-IF(AND($X$14&lt;&gt;$X$15,RIGHT($X36,3)="2SP"),VLOOKUP(CONCATENATE(LEFT($X36,2),"L"),$R$63:$T$90,3,FALSE),0)-IF(AND($Y$14&lt;&gt;$Y$15,RIGHT($Y36,3)="2SP"),VLOOKUP(CONCATENATE(LEFT($Y36,2),"L"),$R$63:$T$90,3,FALSE),0),IF(VLOOKUP(CONCATENATE($A$18,"Line"),'[3]Supply Attribution'!$F$31:$G$37,2,FALSE)=G$18,$A36,0)+IF(VLOOKUP(CONCATENATE($B$18,"Line"),'[3]Supply Attribution'!$F$31:$G$37,2,FALSE)=G$18,$B36,0)+IF(VLOOKUP(CONCATENATE($C$18,"Line"),'[3]Supply Attribution'!$F$31:$G$37,2,FALSE)=G$18,$C36,0)+IF(VLOOKUP(CONCATENATE($D$18,"Line"),'[3]Supply Attribution'!$F$31:$G$37,2,FALSE)=G$18,$D36,0)+IF(VLOOKUP(CONCATENATE($E$18,"Line"),'[3]Supply Attribution'!$F$31:$G$37,2,FALSE)=G$18,$E36,0)+IF(VLOOKUP(CONCATENATE($F$18,"Line"),'[3]Supply Attribution'!$F$31:$G$37,2,FALSE)=G$18,$F36,0)+IF($K$6="UL",LEFT($S$90,2),0)-IF(AND($K$16=G$18,$K$14&lt;&gt;$K$15,$K$16=$K$17,RIGHT($K36,3)="2SP"),VLOOKUP(CONCATENATE(LEFT($K36,2),"L"),$R$63:$T$90,3,FALSE),0)-IF(AND($L$16=G$18,$L$14&lt;&gt;$L$15,$L$16=$L$17,RIGHT($L36,3)="2SP"),VLOOKUP(CONCATENATE(LEFT($L36,2),"L"),$R$63:$T$90,3,FALSE),0)-IF(AND($M$16=G$18,$M$14&lt;&gt;$M$15,$M$16=$M$17,RIGHT($M36,3)="2SP"),VLOOKUP(CONCATENATE(LEFT($M36,2),"L"),$R$63:$T$90,3,FALSE),0)-IF(AND($N$16=G$18,$N$14&lt;&gt;$N$15,$N$16=$N$17,RIGHT($N36,3)="2SP"),VLOOKUP(CONCATENATE(LEFT($N36,2),"L"),$R$63:$T$90,3,FALSE),0)-IF(AND($O$16=G$18,$O$14&lt;&gt;$O$15,$O$16=$O$17,RIGHT($O36,3)="2SP"),VLOOKUP(CONCATENATE(LEFT($O36,2),"L"),$R$63:$T$90,3,FALSE),0)-IF(AND($P$16=G$18,$P$14&lt;&gt;$P$15,$P$16=$P$17,RIGHT($P36,3)="2SP"),VLOOKUP(CONCATENATE(LEFT($P36,2),"L"),$R$63:$T$90,3,FALSE),0)-IF(AND($Q$16=G$18,$Q$14&lt;&gt;$Q$15,$Q$16=$Q$17,RIGHT($Q36,3)="2SP"),VLOOKUP(CONCATENATE(LEFT($Q36,2),"L"),$R$63:$T$90,3,FALSE),0)-IF(AND($R$16=G$18,$R$14&lt;&gt;$R$15,$R$16=$R$17,RIGHT($R36,3)="2SP"),VLOOKUP(CONCATENATE(LEFT($R36,2),"L"),$R$63:$T$90,3,FALSE),0)-IF(AND($S$16=G$18,$S$14&lt;&gt;$S$15,$S$16=$S$17,RIGHT($S36,3)="2SP"),VLOOKUP(CONCATENATE(LEFT($S36,2),"L"),$R$63:$T$90,3,FALSE),0)-IF(AND($T$16=G$18,$T$14&lt;&gt;$T$15,$T$16=$T$17,RIGHT($T36,3)="2SP"),VLOOKUP(CONCATENATE(LEFT($T36,2),"L"),$R$63:$T$90,3,FALSE),0)-IF(AND($U$16=G$18,$U$14&lt;&gt;$U$15,$U$16=$U$17,RIGHT($U36,3)="2SP"),VLOOKUP(CONCATENATE(LEFT($U36,2),"L"),$R$63:$T$90,3,FALSE),0)-IF(AND($V$16=G$18,$V$14&lt;&gt;$V$15,$V$16=$V$17,RIGHT($V36,3)="2SP"),VLOOKUP(CONCATENATE(LEFT($V36,2),"L"),$R$63:$T$90,3,FALSE),0)-IF(AND($W$16=G$18,$W$14&lt;&gt;$W$15,$W$16=$W$17,RIGHT($W36,3)="2SP"),VLOOKUP(CONCATENATE(LEFT($W36,2),"L"),$R$63:$T$90,3,FALSE),0)-IF(AND($X$16=G$18,$X$14&lt;&gt;$X$15,$X$16=$X$17,RIGHT($X36,3)="2SP"),VLOOKUP(CONCATENATE(LEFT($X36,2),"L"),$R$63:$T$90,3,FALSE),0)-IF(AND($Y$16=G$18,$Y$14&lt;&gt;$Y$15,$Y$16=$Y$17,RIGHT($Y36,3)="2SP"),VLOOKUP(CONCATENATE(LEFT($Y36,2),"L"),$R$63:$T$90,3,FALSE),0))</f>
        <v>17</v>
      </c>
      <c r="H36" s="269" t="str">
        <f>IF(H$18&lt;&gt;"",IF(VLOOKUP(CONCATENATE($A$18,"Line"),'Supply Attribution'!$F$31:$G$37,2,FALSE)=H$18,$A36,0)+IF(VLOOKUP(CONCATENATE($B$18,"Line"),'Supply Attribution'!$F$31:$G$37,2,FALSE)=H$18,$B36,0)+IF(VLOOKUP(CONCATENATE($C$18,"Line"),'Supply Attribution'!$F$31:$G$37,2,FALSE)=H$18,$C36,0)+IF(VLOOKUP(CONCATENATE($D$18,"Line"),'Supply Attribution'!$F$31:$G$37,2,FALSE)=H$18,$D36,0)+IF(VLOOKUP(CONCATENATE($E$18,"Line"),'Supply Attribution'!$F$31:$G$37,2,FALSE)=H$18,$E36,0)+IF(VLOOKUP(CONCATENATE($F$18,"Line"),'Supply Attribution'!$F$31:$G$37,2,FALSE)=H$18,$F36,0)+IF($K$6="UL",LEFT($S$90,2),0)-IF(AND($K$16=H$18,$K$14&lt;&gt;$K$15,$K$16=$K$17,RIGHT($K36,3)="2SP"),VLOOKUP(CONCATENATE(LEFT($K36,2),"L"),$R$63:$T$90,3,FALSE),0)-IF(AND($L$16=H$18,$L$14&lt;&gt;$L$15,$L$16=$L$17,RIGHT($L36,3)="2SP"),VLOOKUP(CONCATENATE(LEFT($L36,2),"L"),$R$63:$T$90,3,FALSE),0)-IF(AND($M$16=H$18,$M$14&lt;&gt;$M$15,$M$16=$M$17,RIGHT($M36,3)="2SP"),VLOOKUP(CONCATENATE(LEFT($M36,2),"L"),$R$63:$T$90,3,FALSE),0)-IF(AND($N$16=H$18,$N$14&lt;&gt;$N$15,$N$16=$N$17,RIGHT($N36,3)="2SP"),VLOOKUP(CONCATENATE(LEFT($N36,2),"L"),$R$63:$T$90,3,FALSE),0)-IF(AND($O$16=H$18,$O$14&lt;&gt;$O$15,$O$16=$O$17,RIGHT($O36,3)="2SP"),VLOOKUP(CONCATENATE(LEFT($O36,2),"L"),$R$63:$T$90,3,FALSE),0)-IF(AND($P$16=H$18,$P$14&lt;&gt;$P$15,$P$16=$P$17,RIGHT($P36,3)="2SP"),VLOOKUP(CONCATENATE(LEFT($P36,2),"L"),$R$63:$T$90,3,FALSE),0)-IF(AND($Q$16=H$18,$Q$14&lt;&gt;$Q$15,$Q$16=$Q$17,RIGHT($Q36,3)="2SP"),VLOOKUP(CONCATENATE(LEFT($Q36,2),"L"),$R$63:$T$90,3,FALSE),0)-IF(AND($T$16=H$18,$T$14&lt;&gt;$T$15,$T$16=$T$17,RIGHT($T36,3)="2SP"),VLOOKUP(CONCATENATE(LEFT($T36,2),"L"),$R$63:$T$90,3,FALSE),0)-IF(AND($U$16=H$18,$U$14&lt;&gt;$U$15,$U$16=$U$17,RIGHT($U36,3)="2SP"),VLOOKUP(CONCATENATE(LEFT($U36,2),"L"),$R$63:$T$90,3,FALSE),0)-IF(AND($V$16=H$18,$V$14&lt;&gt;$V$15,$V$16=$V$17,RIGHT($V36,3)="2SP"),VLOOKUP(CONCATENATE(LEFT($V36,2),"L"),$R$63:$T$90,3,FALSE),0)-IF(AND($W$16=H$18,$W$14&lt;&gt;$W$15,$W$16=$W$17,RIGHT($W36,3)="2SP"),VLOOKUP(CONCATENATE(LEFT($W36,2),"L"),$R$63:$T$90,3,FALSE),0)-IF(AND($X$16=H$18,$X$14&lt;&gt;$X$15,$X$16=$X$17,RIGHT($X36,3)="2SP"),VLOOKUP(CONCATENATE(LEFT($X36,2),"L"),$R$63:$T$90,3,FALSE),0)-IF(AND($Y$16=H$18,$Y$14&lt;&gt;$Y$15,$Y$16=$Y$17,RIGHT($Y36,3)="2SP"),VLOOKUP(CONCATENATE(LEFT($Y36,2),"L"),$R$63:$T$90,3,FALSE),0)+IF(AND($K$6="CE",$T$59="2 Phases",H$18&lt;&gt;""),IF(VLOOKUP(CONCATENATE($A$18,"Line"),'Supply Attribution'!$F$31:$G$37,2,FALSE)="Line3",$A36,0)+IF(VLOOKUP(CONCATENATE($B$18,"Line"),'Supply Attribution'!$F$31:$G$37,2,FALSE)="Line3",$B36,0)+IF(VLOOKUP(CONCATENATE($C$18,"Line"),'Supply Attribution'!$F$31:$G$37,2,FALSE)="Line3",$C36,0)+IF(VLOOKUP(CONCATENATE($D$18,"Line"),'Supply Attribution'!$F$31:$G$37,2,FALSE)="Line3",$D36,0)+IF(VLOOKUP(CONCATENATE($E$18,"Line"),'Supply Attribution'!$F$31:$G$37,2,FALSE)="Line3",$E36,0)+IF(VLOOKUP(CONCATENATE($F$18,"Line"),'Supply Attribution'!$F$31:$G$37,2,FALSE)="Line3",$F36,0)-IF(AND($K$16=I$18,$K$14&lt;&gt;$K$15,$K$16=$K$17,RIGHT($K36,3)="2SP"),VLOOKUP(CONCATENATE(LEFT($K36,2),"L"),$R$63:$T$90,3,FALSE),0)-IF(AND($L$16=I$18,$L$14&lt;&gt;$L$15,$L$16=$L$17,RIGHT($L36,3)="2SP"),VLOOKUP(CONCATENATE(LEFT($L36,2),"L"),$R$63:$T$90,3,FALSE),0)-IF(AND($M$16=I$18,$M$14&lt;&gt;$M$15,$M$16=$M$17,RIGHT($M36,3)="2SP"),VLOOKUP(CONCATENATE(LEFT($M36,2),"L"),$R$63:$T$90,3,FALSE),0)-IF(AND($N$16=I$18,$N$14&lt;&gt;$N$15,$N$16=$N$17,RIGHT($N36,3)="2SP"),VLOOKUP(CONCATENATE(LEFT($N36,2),"L"),$R$63:$T$90,3,FALSE),0)-IF(AND($O$16=I$18,$O$14&lt;&gt;$O$15,$O$16=$O$17,RIGHT($O36,3)="2SP"),VLOOKUP(CONCATENATE(LEFT($O36,2),"L"),$R$63:$T$90,3,FALSE),0)-IF(AND($P$16=I$18,$P$14&lt;&gt;$P$15,$P$16=$P$17,RIGHT($P36,3)="2SP"),VLOOKUP(CONCATENATE(LEFT($P36,2),"L"),$R$63:$T$90,3,FALSE),0)-IF(AND($Q$16=I$18,$Q$14&lt;&gt;$Q$15,$Q$16=$Q$17,RIGHT($Q36,3)="2SP"),VLOOKUP(CONCATENATE(LEFT($Q36,2),"L"),$R$63:$T$90,3,FALSE),0)-IF(AND($T$16=I$18,$T$14&lt;&gt;$T$15,$T$16=$T$17,RIGHT($T36,3)="2SP"),VLOOKUP(CONCATENATE(LEFT($T36,2),"L"),$R$63:$T$90,3,FALSE),0)-IF(AND($U$16=I$18,$U$14&lt;&gt;$U$15,$U$16=$U$17,RIGHT($U36,3)="2SP"),VLOOKUP(CONCATENATE(LEFT($U36,2),"L"),$R$63:$T$90,3,FALSE),0)-IF(AND($V$16=I$18,$V$14&lt;&gt;$V$15,$V$16=$V$17,RIGHT($V36,3)="2SP"),VLOOKUP(CONCATENATE(LEFT($V36,2),"L"),$R$63:$T$90,3,FALSE),0)-IF(AND($W$16=I$18,$W$14&lt;&gt;$W$15,$W$16=$W$17,RIGHT($W36,3)="2SP"),VLOOKUP(CONCATENATE(LEFT($W36,2),"L"),$R$63:$T$90,3,FALSE),0)-IF(AND($X$16=I$18,$X$14&lt;&gt;$X$15,$X$16=$X$17,RIGHT($X36,3)="2SP"),VLOOKUP(CONCATENATE(LEFT($X36,2),"L"),$R$63:$T$90,3,FALSE),0)-IF(AND($Y$16=I$18,$Y$14&lt;&gt;$Y$15,$Y$16=$Y$17,RIGHT($Y36,3)="2SP"),VLOOKUP(CONCATENATE(LEFT($Y36,2),"L"),$R$63:$T$90,3,FALSE),0),0),"")</f>
        <v/>
      </c>
      <c r="I36" s="269" t="str">
        <f>IF(I$18&lt;&gt;"",IF(VLOOKUP(CONCATENATE($A$18,"Line"),'Supply Attribution'!$F$31:$G$37,2,FALSE)=I$18,$A36,0)+IF(VLOOKUP(CONCATENATE($B$18,"Line"),'Supply Attribution'!$F$31:$G$37,2,FALSE)=I$18,$B36,0)+IF(VLOOKUP(CONCATENATE($C$18,"Line"),'Supply Attribution'!$F$31:$G$37,2,FALSE)=I$18,$C36,0)+IF(VLOOKUP(CONCATENATE($D$18,"Line"),'Supply Attribution'!$F$31:$G$37,2,FALSE)=I$18,$D36,0)+IF(VLOOKUP(CONCATENATE($E$18,"Line"),'Supply Attribution'!$F$31:$G$37,2,FALSE)=I$18,$E36,0)+IF(VLOOKUP(CONCATENATE($F$18,"Line"),'Supply Attribution'!$F$31:$G$37,2,FALSE)=I$18,$F36,0)+IF($K$6="UL",LEFT($S$90,2),0)-IF(AND($K$16=I$18,$K$14&lt;&gt;$K$15,$K$16=$K$17,RIGHT($K36,3)="2SP"),VLOOKUP(CONCATENATE(LEFT($K36,2),"L"),$R$63:$T$90,3,FALSE),0)-IF(AND($L$16=I$18,$L$14&lt;&gt;$L$15,$L$16=$L$17,RIGHT($L36,3)="2SP"),VLOOKUP(CONCATENATE(LEFT($L36,2),"L"),$R$63:$T$90,3,FALSE),0)-IF(AND($M$16=I$18,$M$14&lt;&gt;$M$15,$M$16=$M$17,RIGHT($M36,3)="2SP"),VLOOKUP(CONCATENATE(LEFT($M36,2),"L"),$R$63:$T$90,3,FALSE),0)-IF(AND($N$16=I$18,$N$14&lt;&gt;$N$15,$N$16=$N$17,RIGHT($N36,3)="2SP"),VLOOKUP(CONCATENATE(LEFT($N36,2),"L"),$R$63:$T$90,3,FALSE),0)-IF(AND($O$16=I$18,$O$14&lt;&gt;$O$15,$O$16=$O$17,RIGHT($O36,3)="2SP"),VLOOKUP(CONCATENATE(LEFT($O36,2),"L"),$R$63:$T$90,3,FALSE),0)-IF(AND($P$16=I$18,$P$14&lt;&gt;$P$15,$P$16=$P$17,RIGHT($P36,3)="2SP"),VLOOKUP(CONCATENATE(LEFT($P36,2),"L"),$R$63:$T$90,3,FALSE),0)-IF(AND($Q$16=I$18,$Q$14&lt;&gt;$Q$15,$Q$16=$Q$17,RIGHT($Q36,3)="2SP"),VLOOKUP(CONCATENATE(LEFT($Q36,2),"L"),$R$63:$T$90,3,FALSE),0)-IF(AND($T$16=I$18,$T$14&lt;&gt;$T$15,$T$16=$T$17,RIGHT($T36,3)="2SP"),VLOOKUP(CONCATENATE(LEFT($T36,2),"L"),$R$63:$T$90,3,FALSE),0)-IF(AND($U$16=I$18,$U$14&lt;&gt;$U$15,$U$16=$U$17,RIGHT($U36,3)="2SP"),VLOOKUP(CONCATENATE(LEFT($U36,2),"L"),$R$63:$T$90,3,FALSE),0)-IF(AND($V$16=I$18,$V$14&lt;&gt;$V$15,$V$16=$V$17,RIGHT($V36,3)="2SP"),VLOOKUP(CONCATENATE(LEFT($V36,2),"L"),$R$63:$T$90,3,FALSE),0)-IF(AND($W$16=I$18,$W$14&lt;&gt;$W$15,$W$16=$W$17,RIGHT($W36,3)="2SP"),VLOOKUP(CONCATENATE(LEFT($W36,2),"L"),$R$63:$T$90,3,FALSE),0)-IF(AND($X$16=I$18,$X$14&lt;&gt;$X$15,$X$16=$X$17,RIGHT($X36,3)="2SP"),VLOOKUP(CONCATENATE(LEFT($X36,2),"L"),$R$63:$T$90,3,FALSE),0)-IF(AND($Y$16=I$18,$Y$14&lt;&gt;$Y$15,$Y$16=$Y$17,RIGHT($Y36,3)="2SP"),VLOOKUP(CONCATENATE(LEFT($Y36,2),"L"),$R$63:$T$90,3,FALSE),0),"")</f>
        <v/>
      </c>
      <c r="J36" s="134"/>
      <c r="K36" s="135"/>
      <c r="L36" s="135"/>
      <c r="M36" s="135"/>
      <c r="N36" s="135"/>
      <c r="O36" s="135"/>
      <c r="P36" s="135"/>
      <c r="Q36" s="135"/>
      <c r="R36" s="135"/>
      <c r="S36" s="135"/>
      <c r="T36" s="135"/>
      <c r="U36" s="135"/>
      <c r="V36" s="135"/>
      <c r="W36" s="135"/>
      <c r="X36" s="135"/>
      <c r="Y36" s="135"/>
      <c r="Z36" s="136"/>
      <c r="AA36" s="136"/>
      <c r="AB36" s="137"/>
      <c r="AC36" s="137"/>
      <c r="AD36" s="137"/>
      <c r="AE36" s="138">
        <f t="shared" si="0"/>
        <v>0</v>
      </c>
      <c r="AF36" s="78"/>
    </row>
    <row r="37" spans="1:32">
      <c r="A37" s="264">
        <f>IF(AND($K37&lt;&gt;"",$K37&lt;&gt;"--",$K37&lt;&gt;"O3/CP",$K$14=A$18),IF(LEFT($K37,1)="P",VLOOKUP(CONCATENATE(LEFT($K37,2),"H"),$R$63:$T$91,3,FALSE),VLOOKUP($K37,$R$63:$T$91,3,FALSE)))+IF(AND($K37&lt;&gt;"",$K37&lt;&gt;"O3/CP",$K$15=A$18,MID($K37,4,1)="2",$K$15&lt;&gt;$K$14),VLOOKUP(CONCATENATE(LEFT($K37,2),"L"),$R$63:$T$91,3,FALSE),0)+IF(AND($K37="O3/CP",$K$14=A$18),VLOOKUP("O3",$R$63:$T$91,3,FALSE)+VLOOKUP("CP",$R$63:$T$91,3,FALSE),0)+IF(AND($L37&lt;&gt;"",$L37&lt;&gt;"--",$L37&lt;&gt;"O3/CP",$L$14=A$18),IF(LEFT($L37,1)="P",VLOOKUP(CONCATENATE(LEFT($L37,2),"H"),$R$63:$T$91,3,FALSE),VLOOKUP($L37,$R$63:$T$91,3,FALSE)))+IF(AND($L37&lt;&gt;"",$L37&lt;&gt;"O3/CP",$L$15=A$18,MID($L37,4,1)="2",$L$15&lt;&gt;$L$14),VLOOKUP(CONCATENATE(LEFT($L37,2),"L"),$R$63:$T$91,3,FALSE),0)+IF(AND($L37="O3/CP",$L$14=A$18),VLOOKUP("O3",$R$63:$T$91,3,FALSE)+VLOOKUP("CP",$R$63:$T$91,3,FALSE),0)+IF(AND($M37&lt;&gt;"",$M37&lt;&gt;"--",$M37&lt;&gt;"O3/CP",$M$14=A$18),IF(LEFT($M37,1)="P",VLOOKUP(CONCATENATE(LEFT($M37,2),"H"),$R$63:$T$91,3,FALSE),VLOOKUP($M37,$R$63:$T$91,3,FALSE)))+IF(AND($M37&lt;&gt;"",$M37&lt;&gt;"O3/CP",$M$15=A$18,MID($M37,4,1)="2",$M$15&lt;&gt;$M$14),VLOOKUP(CONCATENATE(LEFT($M37,2),"L"),$R$63:$T$91,3,FALSE),0)+IF(AND($M37="O3/CP",$M$14=A$18),VLOOKUP("O3",$R$63:$T$91,3,FALSE)+VLOOKUP("CP",$R$63:$T$91,3,FALSE),0)+IF(AND($N37&lt;&gt;"",$N37&lt;&gt;"--",$N37&lt;&gt;"O3/CP",$N$14=A$18),IF(LEFT($N37,1)="P",VLOOKUP(CONCATENATE(LEFT($N37,2),"H"),$R$63:$T$91,3,FALSE),VLOOKUP($N37,$R$63:$T$91,3,FALSE)))+IF(AND($N37&lt;&gt;"",$N37&lt;&gt;"O3/CP",$N$15=A$18,MID($N37,4,1)="2",$N$15&lt;&gt;$N$14),VLOOKUP(CONCATENATE(LEFT($N37,2),"L"),$R$63:$T$91,3,FALSE),0)+IF(AND($N37="O3/CP",$N$14=A$18),VLOOKUP("O3",$R$63:$T$91,3,FALSE)+VLOOKUP("CP",$R$63:$T$91,3,FALSE),0)+IF(AND($O37&lt;&gt;"",$O37&lt;&gt;"--",$O37&lt;&gt;"O3/CP",$O$14=A$18),IF(LEFT($O37,1)="P",VLOOKUP(CONCATENATE(LEFT($O37,2),"H"),$R$63:$T$91,3,FALSE),VLOOKUP($O37,$R$63:$T$91,3,FALSE)))+IF(AND($O37&lt;&gt;"",$O37&lt;&gt;"O3/CP",$O$15=A$18,MID($O37,4,1)="2",$O$15&lt;&gt;$O$14),VLOOKUP(CONCATENATE(LEFT($O37,2),"L"),$R$63:$T$91,3,FALSE),0)+IF(AND($O37="O3/CP",$O$14=A$18),VLOOKUP("O3",$R$63:$T$91,3,FALSE)+VLOOKUP("CP",$R$63:$T$91,3,FALSE),0)+IF(AND($P37&lt;&gt;"",$P37&lt;&gt;"--",$P37&lt;&gt;"O3/CP",$P$14=A$18),IF(LEFT($P37,1)="P",VLOOKUP(CONCATENATE(LEFT($P37,2),"H"),$R$63:$T$91,3,FALSE),VLOOKUP($P37,$R$63:$T$91,3,FALSE)))+IF(AND($P37&lt;&gt;"",$P37&lt;&gt;"O3/CP",$P$15=A$18,MID($P37,4,1)="2",$P$15&lt;&gt;$P$14),VLOOKUP(CONCATENATE(LEFT($P37,2),"L"),$R$63:$T$91,3,FALSE),0)+IF(AND($P37="O3/CP",$P$14=A$18),VLOOKUP("O3",$R$63:$T$91,3,FALSE)+VLOOKUP("CP",$R$63:$T$91,3,FALSE),0)+IF(AND($Q37&lt;&gt;"",$Q37&lt;&gt;"--",$Q37&lt;&gt;"O3/CP",$Q$14=A$18),IF(LEFT($Q37,1)="P",VLOOKUP(CONCATENATE(LEFT($Q37,2),"H"),$R$63:$T$91,3,FALSE),VLOOKUP($Q37,$R$63:$T$91,3,FALSE)))+IF(AND($Q37&lt;&gt;"",$Q37&lt;&gt;"O3/CP",$Q$15=A$18,MID($Q37,4,1)="2",$Q$15&lt;&gt;$Q$14),VLOOKUP(CONCATENATE(LEFT($Q37,2),"L"),$R$63:$T$91,3,FALSE),0)+IF(AND($Q37="O3/CP",$Q$14=A$18),VLOOKUP("O3",$R$63:$T$91,3,FALSE)+VLOOKUP("CP",$R$63:$T$91,3,FALSE),0)+IF(AND($R37&lt;&gt;"",$R37&lt;&gt;"--",$R37&lt;&gt;"O3/CP",$R$14=A$18),IF(LEFT($R37,1)="P",VLOOKUP(CONCATENATE(LEFT($R37,2),"H"),$R$63:$T$91,3,FALSE),VLOOKUP($R37,$R$63:$T$91,3,FALSE)))+IF(AND($R37&lt;&gt;"",$R37&lt;&gt;"O3/CP",$R$15=A$18,MID($R37,4,1)="2",$R$15&lt;&gt;$R$14),VLOOKUP(CONCATENATE(LEFT($R37,2),"L"),$R$63:$T$91,3,FALSE),0)+IF(AND($R37="O3/CP",$R$14=A$18),VLOOKUP("O3",$R$63:$T$91,3,FALSE)+VLOOKUP("CP",$R$63:$T$91,3,FALSE),0)+IF(AND($S37&lt;&gt;"",$S37&lt;&gt;"--",$S37&lt;&gt;"O3/CP",$S$14=A$18),IF(LEFT($S37,1)="P",VLOOKUP(CONCATENATE(LEFT($S37,2),"H"),$R$63:$T$91,3,FALSE),VLOOKUP($S37,$R$63:$T$91,3,FALSE)))+IF(AND($S37&lt;&gt;"",$S37&lt;&gt;"O3/CP",$S$15=A$18,MID($S37,4,1)="2",$S$15&lt;&gt;$S$14),VLOOKUP(CONCATENATE(LEFT($S37,2),"L"),$R$63:$T$91,3,FALSE),0)+IF(AND($S37="O3/CP",$S$14=A$18),VLOOKUP("O3",$R$63:$T$91,3,FALSE)+VLOOKUP("CP",$R$63:$T$91,3,FALSE),0)+IF(AND($T37&lt;&gt;"",$T37&lt;&gt;"--",$T37&lt;&gt;"O3/CP",$T$14=A$18),IF(LEFT($T37,1)="P",VLOOKUP(CONCATENATE(LEFT($T37,2),"H"),$R$63:$T$91,3,FALSE),VLOOKUP($T37,$R$63:$T$91,3,FALSE)))+IF(AND($T37&lt;&gt;"",$T37&lt;&gt;"O3/CP",$T$15=A$18,MID($T37,4,1)="2",$T$15&lt;&gt;$T$14),VLOOKUP(CONCATENATE(LEFT($T37,2),"L"),$R$63:$T$91,3,FALSE),0)+IF(AND($T37="O3/CP",$T$14=A$18),VLOOKUP("O3",$R$63:$T$91,3,FALSE)+VLOOKUP("CP",$R$63:$T$91,3,FALSE),0)+IF(AND($U37&lt;&gt;"",$U37&lt;&gt;"--",$U37&lt;&gt;"O3/CP",$U$14=A$18),IF(LEFT($U37,1)="P",VLOOKUP(CONCATENATE(LEFT($U37,2),"H"),$R$63:$T$91,3,FALSE),VLOOKUP($U37,$R$63:$T$91,3,FALSE)))+IF(AND($U37&lt;&gt;"",$U37&lt;&gt;"O3/CP",$U$15=A$18,MID($U37,4,1)="2",$U$15&lt;&gt;$U$14),VLOOKUP(CONCATENATE(LEFT($U37,2),"L"),$R$63:$T$91,3,FALSE),0)+IF(AND($U37="O3/CP",$T$14=A$18),VLOOKUP("O3",$R$63:$T$91,3,FALSE)+VLOOKUP("CP",$R$63:$T$91,3,FALSE),0)+IF(AND($V37&lt;&gt;"",$V37&lt;&gt;"--",$V37&lt;&gt;"O3/CP",$V$14=A$18),IF(LEFT($V37,1)="P",VLOOKUP(CONCATENATE(LEFT($V37,2),"H"),$R$63:$T$91,3,FALSE),VLOOKUP($V37,$R$63:$T$91,3,FALSE)))+IF(AND($V37&lt;&gt;"",$V37&lt;&gt;"O3/CP",$V$15=A$18,MID($V37,4,1)="2",$V$15&lt;&gt;$V$14),VLOOKUP(CONCATENATE(LEFT($V37,2),"L"),$R$63:$T$91,3,FALSE),0)+IF(AND($V37="O3/CP",$V$14=A$18),VLOOKUP("O3",$R$63:$T$91,3,FALSE)+VLOOKUP("CP",$R$63:$T$91,3,FALSE),0)+IF(AND($W37&lt;&gt;"",$W37&lt;&gt;"--",$W37&lt;&gt;"O3/CP",$W$14=A$18),IF(LEFT($W37,1)="P",VLOOKUP(CONCATENATE(LEFT($W37,2),"H"),$R$63:$T$91,3,FALSE),VLOOKUP($W37,$R$63:$T$91,3,FALSE)))+IF(AND($W37&lt;&gt;"",$W37&lt;&gt;"O3/CP",$W$15=A$18,MID($W37,4,1)="2",$W$15&lt;&gt;$W$14),VLOOKUP(CONCATENATE(LEFT($W37,2),"L"),$R$63:$T$91,3,FALSE),0)+IF(AND($W37="O3/CP",$W$14=A$18),VLOOKUP("O3",$R$63:$T$91,3,FALSE)+VLOOKUP("CP",$R$63:$T$91,3,FALSE),0)+IF(AND($X37&lt;&gt;"",$X37&lt;&gt;"--",$X37&lt;&gt;"O3/CP",$X$14=A$18),IF(LEFT($X37,1)="P",VLOOKUP(CONCATENATE(LEFT($X37,2),"H"),$R$63:$T$91,3,FALSE),VLOOKUP($X37,$R$63:$T$91,3,FALSE)))+IF(AND($X37&lt;&gt;"",$X37&lt;&gt;"O3/CP",$X$15=A$18,MID($X37,4,1)="2",$X$15&lt;&gt;$X$14),VLOOKUP(CONCATENATE(LEFT($X37,2),"L"),$R$63:$T$91,3,FALSE),0)+IF(AND($X37="O3/CP",$X$14=A$18),VLOOKUP("O3",$R$63:$T$91,3,FALSE)+VLOOKUP("CP",$R$63:$T$91,3,FALSE),0)+IF(AND($Y37&lt;&gt;"",$Y37&lt;&gt;"--",$Y37&lt;&gt;"O3/CP",$Y$14=A$18),IF(LEFT($Y37,1)="P",VLOOKUP(CONCATENATE(LEFT($Y37,2),"H"),$R$63:$T$91,3,FALSE),VLOOKUP($Y37,$R$63:$T$91,3,FALSE)))+IF(AND($Y37&lt;&gt;"",$Y37&lt;&gt;"O3/CP",$Y$15=A$18,MID($Y37,4,1)="2",$Y$15&lt;&gt;$Y$14),VLOOKUP(CONCATENATE(LEFT($Y37,2),"L"),$R$63:$T$91,3,FALSE),0)+IF(AND($Y37="O3/CP",$Y$14=A$18),VLOOKUP("O3",$R$63:$T$91,3,FALSE)+VLOOKUP("CP",$R$63:$T$91,3,FALSE),0)+IF(AND($K$6="CE",'[3]Supply Attribution'!$G$20=A$18),LEFT($S$90,2),0)+IF(AND($X$86&lt;&gt;"Not Set",$X$87=A$18),$X$86,0)</f>
        <v>0</v>
      </c>
      <c r="B37" s="271">
        <f>IF(AND($K37&lt;&gt;"",$K37&lt;&gt;"--",$K37&lt;&gt;"O3/CP",$K$14=B$18),IF(LEFT($K37,1)="P",VLOOKUP(CONCATENATE(LEFT($K37,2),"H"),$R$63:$T$91,3,FALSE),VLOOKUP($K37,$R$63:$T$91,3,FALSE)))+IF(AND($K37&lt;&gt;"",$K37&lt;&gt;"O3/CP",$K$15=B$18,MID($K37,4,1)="2",$K$15&lt;&gt;$K$14),VLOOKUP(CONCATENATE(LEFT($K37,2),"L"),$R$63:$T$91,3,FALSE),0)+IF(AND($K37="O3/CP",$K$14=B$18),VLOOKUP("O3",$R$63:$T$91,3,FALSE)+VLOOKUP("CP",$R$63:$T$91,3,FALSE),0)+IF(AND($L37&lt;&gt;"",$L37&lt;&gt;"--",$L37&lt;&gt;"O3/CP",$L$14=B$18),IF(LEFT($L37,1)="P",VLOOKUP(CONCATENATE(LEFT($L37,2),"H"),$R$63:$T$91,3,FALSE),VLOOKUP($L37,$R$63:$T$91,3,FALSE)))+IF(AND($L37&lt;&gt;"",$L37&lt;&gt;"O3/CP",$L$15=B$18,MID($L37,4,1)="2",$L$15&lt;&gt;$L$14),VLOOKUP(CONCATENATE(LEFT($L37,2),"L"),$R$63:$T$91,3,FALSE),0)+IF(AND($L37="O3/CP",$L$14=B$18),VLOOKUP("O3",$R$63:$T$91,3,FALSE)+VLOOKUP("CP",$R$63:$T$91,3,FALSE),0)+IF(AND($M37&lt;&gt;"",$M37&lt;&gt;"--",$M37&lt;&gt;"O3/CP",$M$14=B$18),IF(LEFT($M37,1)="P",VLOOKUP(CONCATENATE(LEFT($M37,2),"H"),$R$63:$T$91,3,FALSE),VLOOKUP($M37,$R$63:$T$91,3,FALSE)))+IF(AND($M37&lt;&gt;"",$M37&lt;&gt;"O3/CP",$M$15=B$18,MID($M37,4,1)="2",$M$15&lt;&gt;$M$14),VLOOKUP(CONCATENATE(LEFT($M37,2),"L"),$R$63:$T$91,3,FALSE),0)+IF(AND($M37="O3/CP",$M$14=B$18),VLOOKUP("O3",$R$63:$T$91,3,FALSE)+VLOOKUP("CP",$R$63:$T$91,3,FALSE),0)+IF(AND($N37&lt;&gt;"",$N37&lt;&gt;"--",$N37&lt;&gt;"O3/CP",$N$14=B$18),IF(LEFT($N37,1)="P",VLOOKUP(CONCATENATE(LEFT($N37,2),"H"),$R$63:$T$91,3,FALSE),VLOOKUP($N37,$R$63:$T$91,3,FALSE)))+IF(AND($N37&lt;&gt;"",$N37&lt;&gt;"O3/CP",$N$15=B$18,MID($N37,4,1)="2",$N$15&lt;&gt;$N$14),VLOOKUP(CONCATENATE(LEFT($N37,2),"L"),$R$63:$T$91,3,FALSE),0)+IF(AND($N37="O3/CP",$N$14=B$18),VLOOKUP("O3",$R$63:$T$91,3,FALSE)+VLOOKUP("CP",$R$63:$T$91,3,FALSE),0)+IF(AND($O37&lt;&gt;"",$O37&lt;&gt;"--",$O37&lt;&gt;"O3/CP",$O$14=B$18),IF(LEFT($O37,1)="P",VLOOKUP(CONCATENATE(LEFT($O37,2),"H"),$R$63:$T$91,3,FALSE),VLOOKUP($O37,$R$63:$T$91,3,FALSE)))+IF(AND($O37&lt;&gt;"",$O37&lt;&gt;"O3/CP",$O$15=B$18,MID($O37,4,1)="2",$O$15&lt;&gt;$O$14),VLOOKUP(CONCATENATE(LEFT($O37,2),"L"),$R$63:$T$91,3,FALSE),0)+IF(AND($O37="O3/CP",$O$14=B$18),VLOOKUP("O3",$R$63:$T$91,3,FALSE)+VLOOKUP("CP",$R$63:$T$91,3,FALSE),0)+IF(AND($P37&lt;&gt;"",$P37&lt;&gt;"--",$P37&lt;&gt;"O3/CP",$P$14=B$18),IF(LEFT($P37,1)="P",VLOOKUP(CONCATENATE(LEFT($P37,2),"H"),$R$63:$T$91,3,FALSE),VLOOKUP($P37,$R$63:$T$91,3,FALSE)))+IF(AND($P37&lt;&gt;"",$P37&lt;&gt;"O3/CP",$P$15=B$18,MID($P37,4,1)="2",$P$15&lt;&gt;$P$14),VLOOKUP(CONCATENATE(LEFT($P37,2),"L"),$R$63:$T$91,3,FALSE),0)+IF(AND($P37="O3/CP",$P$14=B$18),VLOOKUP("O3",$R$63:$T$91,3,FALSE)+VLOOKUP("CP",$R$63:$T$91,3,FALSE),0)+IF(AND($Q37&lt;&gt;"",$Q37&lt;&gt;"--",$Q37&lt;&gt;"O3/CP",$Q$14=B$18),IF(LEFT($Q37,1)="P",VLOOKUP(CONCATENATE(LEFT($Q37,2),"H"),$R$63:$T$91,3,FALSE),VLOOKUP($Q37,$R$63:$T$91,3,FALSE)))+IF(AND($Q37&lt;&gt;"",$Q37&lt;&gt;"O3/CP",$Q$15=B$18,MID($Q37,4,1)="2",$Q$15&lt;&gt;$Q$14),VLOOKUP(CONCATENATE(LEFT($Q37,2),"L"),$R$63:$T$91,3,FALSE),0)+IF(AND($Q37="O3/CP",$Q$14=B$18),VLOOKUP("O3",$R$63:$T$91,3,FALSE)+VLOOKUP("CP",$R$63:$T$91,3,FALSE),0)+IF(AND($R37&lt;&gt;"",$R37&lt;&gt;"--",$R37&lt;&gt;"O3/CP",$R$14=B$18),IF(LEFT($R37,1)="P",VLOOKUP(CONCATENATE(LEFT($R37,2),"H"),$R$63:$T$91,3,FALSE),VLOOKUP($R37,$R$63:$T$91,3,FALSE)))+IF(AND($R37&lt;&gt;"",$R37&lt;&gt;"O3/CP",$R$15=B$18,MID($R37,4,1)="2",$R$15&lt;&gt;$R$14),VLOOKUP(CONCATENATE(LEFT($R37,2),"L"),$R$63:$T$91,3,FALSE),0)+IF(AND($R37="O3/CP",$R$14=B$18),VLOOKUP("O3",$R$63:$T$91,3,FALSE)+VLOOKUP("CP",$R$63:$T$91,3,FALSE),0)+IF(AND($S37&lt;&gt;"",$S37&lt;&gt;"--",$S37&lt;&gt;"O3/CP",$S$14=B$18),IF(LEFT($S37,1)="P",VLOOKUP(CONCATENATE(LEFT($S37,2),"H"),$R$63:$T$91,3,FALSE),VLOOKUP($S37,$R$63:$T$91,3,FALSE)))+IF(AND($S37&lt;&gt;"",$S37&lt;&gt;"O3/CP",$S$15=B$18,MID($S37,4,1)="2",$S$15&lt;&gt;$S$14),VLOOKUP(CONCATENATE(LEFT($S37,2),"L"),$R$63:$T$91,3,FALSE),0)+IF(AND($S37="O3/CP",$S$14=B$18),VLOOKUP("O3",$R$63:$T$91,3,FALSE)+VLOOKUP("CP",$R$63:$T$91,3,FALSE),0)+IF(AND($T37&lt;&gt;"",$T37&lt;&gt;"--",$T37&lt;&gt;"O3/CP",$T$14=B$18),IF(LEFT($T37,1)="P",VLOOKUP(CONCATENATE(LEFT($T37,2),"H"),$R$63:$T$91,3,FALSE),VLOOKUP($T37,$R$63:$T$91,3,FALSE)))+IF(AND($T37&lt;&gt;"",$T37&lt;&gt;"O3/CP",$T$15=B$18,MID($T37,4,1)="2",$T$15&lt;&gt;$T$14),VLOOKUP(CONCATENATE(LEFT($T37,2),"L"),$R$63:$T$91,3,FALSE),0)+IF(AND($T37="O3/CP",$T$14=B$18),VLOOKUP("O3",$R$63:$T$91,3,FALSE)+VLOOKUP("CP",$R$63:$T$91,3,FALSE),0)+IF(AND($U37&lt;&gt;"",$U37&lt;&gt;"--",$U37&lt;&gt;"O3/CP",$U$14=B$18),IF(LEFT($U37,1)="P",VLOOKUP(CONCATENATE(LEFT($U37,2),"H"),$R$63:$T$91,3,FALSE),VLOOKUP($U37,$R$63:$T$91,3,FALSE)))+IF(AND($U37&lt;&gt;"",$U37&lt;&gt;"O3/CP",$U$15=B$18,MID($U37,4,1)="2",$U$15&lt;&gt;$U$14),VLOOKUP(CONCATENATE(LEFT($U37,2),"L"),$R$63:$T$91,3,FALSE),0)+IF(AND($U37="O3/CP",$T$14=B$18),VLOOKUP("O3",$R$63:$T$91,3,FALSE)+VLOOKUP("CP",$R$63:$T$91,3,FALSE),0)+IF(AND($V37&lt;&gt;"",$V37&lt;&gt;"--",$V37&lt;&gt;"O3/CP",$V$14=B$18),IF(LEFT($V37,1)="P",VLOOKUP(CONCATENATE(LEFT($V37,2),"H"),$R$63:$T$91,3,FALSE),VLOOKUP($V37,$R$63:$T$91,3,FALSE)))+IF(AND($V37&lt;&gt;"",$V37&lt;&gt;"O3/CP",$V$15=B$18,MID($V37,4,1)="2",$V$15&lt;&gt;$V$14),VLOOKUP(CONCATENATE(LEFT($V37,2),"L"),$R$63:$T$91,3,FALSE),0)+IF(AND($V37="O3/CP",$V$14=B$18),VLOOKUP("O3",$R$63:$T$91,3,FALSE)+VLOOKUP("CP",$R$63:$T$91,3,FALSE),0)+IF(AND($W37&lt;&gt;"",$W37&lt;&gt;"--",$W37&lt;&gt;"O3/CP",$W$14=B$18),IF(LEFT($W37,1)="P",VLOOKUP(CONCATENATE(LEFT($W37,2),"H"),$R$63:$T$91,3,FALSE),VLOOKUP($W37,$R$63:$T$91,3,FALSE)))+IF(AND($W37&lt;&gt;"",$W37&lt;&gt;"O3/CP",$W$15=B$18,MID($W37,4,1)="2",$W$15&lt;&gt;$W$14),VLOOKUP(CONCATENATE(LEFT($W37,2),"L"),$R$63:$T$91,3,FALSE),0)+IF(AND($W37="O3/CP",$W$14=B$18),VLOOKUP("O3",$R$63:$T$91,3,FALSE)+VLOOKUP("CP",$R$63:$T$91,3,FALSE),0)+IF(AND($X37&lt;&gt;"",$X37&lt;&gt;"--",$X37&lt;&gt;"O3/CP",$X$14=B$18),IF(LEFT($X37,1)="P",VLOOKUP(CONCATENATE(LEFT($X37,2),"H"),$R$63:$T$91,3,FALSE),VLOOKUP($X37,$R$63:$T$91,3,FALSE)))+IF(AND($X37&lt;&gt;"",$X37&lt;&gt;"O3/CP",$X$15=B$18,MID($X37,4,1)="2",$X$15&lt;&gt;$X$14),VLOOKUP(CONCATENATE(LEFT($X37,2),"L"),$R$63:$T$91,3,FALSE),0)+IF(AND($X37="O3/CP",$X$14=B$18),VLOOKUP("O3",$R$63:$T$91,3,FALSE)+VLOOKUP("CP",$R$63:$T$91,3,FALSE),0)+IF(AND($Y37&lt;&gt;"",$Y37&lt;&gt;"--",$Y37&lt;&gt;"O3/CP",$Y$14=B$18),IF(LEFT($Y37,1)="P",VLOOKUP(CONCATENATE(LEFT($Y37,2),"H"),$R$63:$T$91,3,FALSE),VLOOKUP($Y37,$R$63:$T$91,3,FALSE)))+IF(AND($Y37&lt;&gt;"",$Y37&lt;&gt;"O3/CP",$Y$15=B$18,MID($Y37,4,1)="2",$Y$15&lt;&gt;$Y$14),VLOOKUP(CONCATENATE(LEFT($Y37,2),"L"),$R$63:$T$91,3,FALSE),0)+IF(AND($Y37="O3/CP",$Y$14=B$18),VLOOKUP("O3",$R$63:$T$91,3,FALSE)+VLOOKUP("CP",$R$63:$T$91,3,FALSE),0)+IF(AND($K$6="CE",'[3]Supply Attribution'!$G$20=B$18),LEFT($S$90,2),0)+IF(AND($X$86&lt;&gt;"Not Set",$X$87=B$18),$X$86,0)</f>
        <v>0</v>
      </c>
      <c r="C37" s="271">
        <f>IF(AND($K37&lt;&gt;"",$K37&lt;&gt;"--",$K37&lt;&gt;"O3/CP",$K$14=C$18),IF(LEFT($K37,1)="P",VLOOKUP(CONCATENATE(LEFT($K37,2),"H"),$R$63:$T$91,3,FALSE),VLOOKUP($K37,$R$63:$T$91,3,FALSE)))+IF(AND($K37&lt;&gt;"",$K37&lt;&gt;"O3/CP",$K$15=C$18,MID($K37,4,1)="2",$K$15&lt;&gt;$K$14),VLOOKUP(CONCATENATE(LEFT($K37,2),"L"),$R$63:$T$91,3,FALSE),0)+IF(AND($K37="O3/CP",$K$14=C$18),VLOOKUP("O3",$R$63:$T$91,3,FALSE)+VLOOKUP("CP",$R$63:$T$91,3,FALSE),0)+IF(AND($L37&lt;&gt;"",$L37&lt;&gt;"--",$L37&lt;&gt;"O3/CP",$L$14=C$18),IF(LEFT($L37,1)="P",VLOOKUP(CONCATENATE(LEFT($L37,2),"H"),$R$63:$T$91,3,FALSE),VLOOKUP($L37,$R$63:$T$91,3,FALSE)))+IF(AND($L37&lt;&gt;"",$L37&lt;&gt;"O3/CP",$L$15=C$18,MID($L37,4,1)="2",$L$15&lt;&gt;$L$14),VLOOKUP(CONCATENATE(LEFT($L37,2),"L"),$R$63:$T$91,3,FALSE),0)+IF(AND($L37="O3/CP",$L$14=C$18),VLOOKUP("O3",$R$63:$T$91,3,FALSE)+VLOOKUP("CP",$R$63:$T$91,3,FALSE),0)+IF(AND($M37&lt;&gt;"",$M37&lt;&gt;"--",$M37&lt;&gt;"O3/CP",$M$14=C$18),IF(LEFT($M37,1)="P",VLOOKUP(CONCATENATE(LEFT($M37,2),"H"),$R$63:$T$91,3,FALSE),VLOOKUP($M37,$R$63:$T$91,3,FALSE)))+IF(AND($M37&lt;&gt;"",$M37&lt;&gt;"O3/CP",$M$15=C$18,MID($M37,4,1)="2",$M$15&lt;&gt;$M$14),VLOOKUP(CONCATENATE(LEFT($M37,2),"L"),$R$63:$T$91,3,FALSE),0)+IF(AND($M37="O3/CP",$M$14=C$18),VLOOKUP("O3",$R$63:$T$91,3,FALSE)+VLOOKUP("CP",$R$63:$T$91,3,FALSE),0)+IF(AND($N37&lt;&gt;"",$N37&lt;&gt;"--",$N37&lt;&gt;"O3/CP",$N$14=C$18),IF(LEFT($N37,1)="P",VLOOKUP(CONCATENATE(LEFT($N37,2),"H"),$R$63:$T$91,3,FALSE),VLOOKUP($N37,$R$63:$T$91,3,FALSE)))+IF(AND($N37&lt;&gt;"",$N37&lt;&gt;"O3/CP",$N$15=C$18,MID($N37,4,1)="2",$N$15&lt;&gt;$N$14),VLOOKUP(CONCATENATE(LEFT($N37,2),"L"),$R$63:$T$91,3,FALSE),0)+IF(AND($N37="O3/CP",$N$14=C$18),VLOOKUP("O3",$R$63:$T$91,3,FALSE)+VLOOKUP("CP",$R$63:$T$91,3,FALSE),0)+IF(AND($O37&lt;&gt;"",$O37&lt;&gt;"--",$O37&lt;&gt;"O3/CP",$O$14=C$18),IF(LEFT($O37,1)="P",VLOOKUP(CONCATENATE(LEFT($O37,2),"H"),$R$63:$T$91,3,FALSE),VLOOKUP($O37,$R$63:$T$91,3,FALSE)))+IF(AND($O37&lt;&gt;"",$O37&lt;&gt;"O3/CP",$O$15=C$18,MID($O37,4,1)="2",$O$15&lt;&gt;$O$14),VLOOKUP(CONCATENATE(LEFT($O37,2),"L"),$R$63:$T$91,3,FALSE),0)+IF(AND($O37="O3/CP",$O$14=C$18),VLOOKUP("O3",$R$63:$T$91,3,FALSE)+VLOOKUP("CP",$R$63:$T$91,3,FALSE),0)+IF(AND($P37&lt;&gt;"",$P37&lt;&gt;"--",$P37&lt;&gt;"O3/CP",$P$14=C$18),IF(LEFT($P37,1)="P",VLOOKUP(CONCATENATE(LEFT($P37,2),"H"),$R$63:$T$91,3,FALSE),VLOOKUP($P37,$R$63:$T$91,3,FALSE)))+IF(AND($P37&lt;&gt;"",$P37&lt;&gt;"O3/CP",$P$15=C$18,MID($P37,4,1)="2",$P$15&lt;&gt;$P$14),VLOOKUP(CONCATENATE(LEFT($P37,2),"L"),$R$63:$T$91,3,FALSE),0)+IF(AND($P37="O3/CP",$P$14=C$18),VLOOKUP("O3",$R$63:$T$91,3,FALSE)+VLOOKUP("CP",$R$63:$T$91,3,FALSE),0)+IF(AND($Q37&lt;&gt;"",$Q37&lt;&gt;"--",$Q37&lt;&gt;"O3/CP",$Q$14=C$18),IF(LEFT($Q37,1)="P",VLOOKUP(CONCATENATE(LEFT($Q37,2),"H"),$R$63:$T$91,3,FALSE),VLOOKUP($Q37,$R$63:$T$91,3,FALSE)))+IF(AND($Q37&lt;&gt;"",$Q37&lt;&gt;"O3/CP",$Q$15=C$18,MID($Q37,4,1)="2",$Q$15&lt;&gt;$Q$14),VLOOKUP(CONCATENATE(LEFT($Q37,2),"L"),$R$63:$T$91,3,FALSE),0)+IF(AND($Q37="O3/CP",$Q$14=C$18),VLOOKUP("O3",$R$63:$T$91,3,FALSE)+VLOOKUP("CP",$R$63:$T$91,3,FALSE),0)+IF(AND($R37&lt;&gt;"",$R37&lt;&gt;"--",$R37&lt;&gt;"O3/CP",$R$14=C$18),IF(LEFT($R37,1)="P",VLOOKUP(CONCATENATE(LEFT($R37,2),"H"),$R$63:$T$91,3,FALSE),VLOOKUP($R37,$R$63:$T$91,3,FALSE)))+IF(AND($R37&lt;&gt;"",$R37&lt;&gt;"O3/CP",$R$15=C$18,MID($R37,4,1)="2",$R$15&lt;&gt;$R$14),VLOOKUP(CONCATENATE(LEFT($R37,2),"L"),$R$63:$T$91,3,FALSE),0)+IF(AND($R37="O3/CP",$R$14=C$18),VLOOKUP("O3",$R$63:$T$91,3,FALSE)+VLOOKUP("CP",$R$63:$T$91,3,FALSE),0)+IF(AND($S37&lt;&gt;"",$S37&lt;&gt;"--",$S37&lt;&gt;"O3/CP",$S$14=C$18),IF(LEFT($S37,1)="P",VLOOKUP(CONCATENATE(LEFT($S37,2),"H"),$R$63:$T$91,3,FALSE),VLOOKUP($S37,$R$63:$T$91,3,FALSE)))+IF(AND($S37&lt;&gt;"",$S37&lt;&gt;"O3/CP",$S$15=C$18,MID($S37,4,1)="2",$S$15&lt;&gt;$S$14),VLOOKUP(CONCATENATE(LEFT($S37,2),"L"),$R$63:$T$91,3,FALSE),0)+IF(AND($S37="O3/CP",$S$14=C$18),VLOOKUP("O3",$R$63:$T$91,3,FALSE)+VLOOKUP("CP",$R$63:$T$91,3,FALSE),0)+IF(AND($T37&lt;&gt;"",$T37&lt;&gt;"--",$T37&lt;&gt;"O3/CP",$T$14=C$18),IF(LEFT($T37,1)="P",VLOOKUP(CONCATENATE(LEFT($T37,2),"H"),$R$63:$T$91,3,FALSE),VLOOKUP($T37,$R$63:$T$91,3,FALSE)))+IF(AND($T37&lt;&gt;"",$T37&lt;&gt;"O3/CP",$T$15=C$18,MID($T37,4,1)="2",$T$15&lt;&gt;$T$14),VLOOKUP(CONCATENATE(LEFT($T37,2),"L"),$R$63:$T$91,3,FALSE),0)+IF(AND($T37="O3/CP",$T$14=C$18),VLOOKUP("O3",$R$63:$T$91,3,FALSE)+VLOOKUP("CP",$R$63:$T$91,3,FALSE),0)+IF(AND($U37&lt;&gt;"",$U37&lt;&gt;"--",$U37&lt;&gt;"O3/CP",$U$14=C$18),IF(LEFT($U37,1)="P",VLOOKUP(CONCATENATE(LEFT($U37,2),"H"),$R$63:$T$91,3,FALSE),VLOOKUP($U37,$R$63:$T$91,3,FALSE)))+IF(AND($U37&lt;&gt;"",$U37&lt;&gt;"O3/CP",$U$15=C$18,MID($U37,4,1)="2",$U$15&lt;&gt;$U$14),VLOOKUP(CONCATENATE(LEFT($U37,2),"L"),$R$63:$T$91,3,FALSE),0)+IF(AND($U37="O3/CP",$T$14=C$18),VLOOKUP("O3",$R$63:$T$91,3,FALSE)+VLOOKUP("CP",$R$63:$T$91,3,FALSE),0)+IF(AND($V37&lt;&gt;"",$V37&lt;&gt;"--",$V37&lt;&gt;"O3/CP",$V$14=C$18),IF(LEFT($V37,1)="P",VLOOKUP(CONCATENATE(LEFT($V37,2),"H"),$R$63:$T$91,3,FALSE),VLOOKUP($V37,$R$63:$T$91,3,FALSE)))+IF(AND($V37&lt;&gt;"",$V37&lt;&gt;"O3/CP",$V$15=C$18,MID($V37,4,1)="2",$V$15&lt;&gt;$V$14),VLOOKUP(CONCATENATE(LEFT($V37,2),"L"),$R$63:$T$91,3,FALSE),0)+IF(AND($V37="O3/CP",$V$14=C$18),VLOOKUP("O3",$R$63:$T$91,3,FALSE)+VLOOKUP("CP",$R$63:$T$91,3,FALSE),0)+IF(AND($W37&lt;&gt;"",$W37&lt;&gt;"--",$W37&lt;&gt;"O3/CP",$W$14=C$18),IF(LEFT($W37,1)="P",VLOOKUP(CONCATENATE(LEFT($W37,2),"H"),$R$63:$T$91,3,FALSE),VLOOKUP($W37,$R$63:$T$91,3,FALSE)))+IF(AND($W37&lt;&gt;"",$W37&lt;&gt;"O3/CP",$W$15=C$18,MID($W37,4,1)="2",$W$15&lt;&gt;$W$14),VLOOKUP(CONCATENATE(LEFT($W37,2),"L"),$R$63:$T$91,3,FALSE),0)+IF(AND($W37="O3/CP",$W$14=C$18),VLOOKUP("O3",$R$63:$T$91,3,FALSE)+VLOOKUP("CP",$R$63:$T$91,3,FALSE),0)+IF(AND($X37&lt;&gt;"",$X37&lt;&gt;"--",$X37&lt;&gt;"O3/CP",$X$14=C$18),IF(LEFT($X37,1)="P",VLOOKUP(CONCATENATE(LEFT($X37,2),"H"),$R$63:$T$91,3,FALSE),VLOOKUP($X37,$R$63:$T$91,3,FALSE)))+IF(AND($X37&lt;&gt;"",$X37&lt;&gt;"O3/CP",$X$15=C$18,MID($X37,4,1)="2",$X$15&lt;&gt;$X$14),VLOOKUP(CONCATENATE(LEFT($X37,2),"L"),$R$63:$T$91,3,FALSE),0)+IF(AND($X37="O3/CP",$X$14=C$18),VLOOKUP("O3",$R$63:$T$91,3,FALSE)+VLOOKUP("CP",$R$63:$T$91,3,FALSE),0)+IF(AND($Y37&lt;&gt;"",$Y37&lt;&gt;"--",$Y37&lt;&gt;"O3/CP",$Y$14=C$18),IF(LEFT($Y37,1)="P",VLOOKUP(CONCATENATE(LEFT($Y37,2),"H"),$R$63:$T$91,3,FALSE),VLOOKUP($Y37,$R$63:$T$91,3,FALSE)))+IF(AND($Y37&lt;&gt;"",$Y37&lt;&gt;"O3/CP",$Y$15=C$18,MID($Y37,4,1)="2",$Y$15&lt;&gt;$Y$14),VLOOKUP(CONCATENATE(LEFT($Y37,2),"L"),$R$63:$T$91,3,FALSE),0)+IF(AND($Y37="O3/CP",$Y$14=C$18),VLOOKUP("O3",$R$63:$T$91,3,FALSE)+VLOOKUP("CP",$R$63:$T$91,3,FALSE),0)+IF(AND($K$6="CE",'[3]Supply Attribution'!$G$20=C$18),LEFT($S$90,2),0)+IF(AND($X$86&lt;&gt;"Not Set",$X$87=C$18),$X$86,0)</f>
        <v>0</v>
      </c>
      <c r="D37" s="271">
        <f>IF(AND($K37&lt;&gt;"",$K37&lt;&gt;"--",$K37&lt;&gt;"O3/CP",$K$14=D$18),IF(LEFT($K37,1)="P",VLOOKUP(CONCATENATE(LEFT($K37,2),"H"),$R$63:$T$91,3,FALSE),VLOOKUP($K37,$R$63:$T$91,3,FALSE)))+IF(AND($K37&lt;&gt;"",$K37&lt;&gt;"O3/CP",$K$15=D$18,MID($K37,4,1)="2",$K$15&lt;&gt;$K$14),VLOOKUP(CONCATENATE(LEFT($K37,2),"L"),$R$63:$T$91,3,FALSE),0)+IF(AND($K37="O3/CP",$K$14=D$18),VLOOKUP("O3",$R$63:$T$91,3,FALSE)+VLOOKUP("CP",$R$63:$T$91,3,FALSE),0)+IF(AND($L37&lt;&gt;"",$L37&lt;&gt;"--",$L37&lt;&gt;"O3/CP",$L$14=D$18),IF(LEFT($L37,1)="P",VLOOKUP(CONCATENATE(LEFT($L37,2),"H"),$R$63:$T$91,3,FALSE),VLOOKUP($L37,$R$63:$T$91,3,FALSE)))+IF(AND($L37&lt;&gt;"",$L37&lt;&gt;"O3/CP",$L$15=D$18,MID($L37,4,1)="2",$L$15&lt;&gt;$L$14),VLOOKUP(CONCATENATE(LEFT($L37,2),"L"),$R$63:$T$91,3,FALSE),0)+IF(AND($L37="O3/CP",$L$14=D$18),VLOOKUP("O3",$R$63:$T$91,3,FALSE)+VLOOKUP("CP",$R$63:$T$91,3,FALSE),0)+IF(AND($M37&lt;&gt;"",$M37&lt;&gt;"--",$M37&lt;&gt;"O3/CP",$M$14=D$18),IF(LEFT($M37,1)="P",VLOOKUP(CONCATENATE(LEFT($M37,2),"H"),$R$63:$T$91,3,FALSE),VLOOKUP($M37,$R$63:$T$91,3,FALSE)))+IF(AND($M37&lt;&gt;"",$M37&lt;&gt;"O3/CP",$M$15=D$18,MID($M37,4,1)="2",$M$15&lt;&gt;$M$14),VLOOKUP(CONCATENATE(LEFT($M37,2),"L"),$R$63:$T$91,3,FALSE),0)+IF(AND($M37="O3/CP",$M$14=D$18),VLOOKUP("O3",$R$63:$T$91,3,FALSE)+VLOOKUP("CP",$R$63:$T$91,3,FALSE),0)+IF(AND($N37&lt;&gt;"",$N37&lt;&gt;"--",$N37&lt;&gt;"O3/CP",$N$14=D$18),IF(LEFT($N37,1)="P",VLOOKUP(CONCATENATE(LEFT($N37,2),"H"),$R$63:$T$91,3,FALSE),VLOOKUP($N37,$R$63:$T$91,3,FALSE)))+IF(AND($N37&lt;&gt;"",$N37&lt;&gt;"O3/CP",$N$15=D$18,MID($N37,4,1)="2",$N$15&lt;&gt;$N$14),VLOOKUP(CONCATENATE(LEFT($N37,2),"L"),$R$63:$T$91,3,FALSE),0)+IF(AND($N37="O3/CP",$N$14=D$18),VLOOKUP("O3",$R$63:$T$91,3,FALSE)+VLOOKUP("CP",$R$63:$T$91,3,FALSE),0)+IF(AND($O37&lt;&gt;"",$O37&lt;&gt;"--",$O37&lt;&gt;"O3/CP",$O$14=D$18),IF(LEFT($O37,1)="P",VLOOKUP(CONCATENATE(LEFT($O37,2),"H"),$R$63:$T$91,3,FALSE),VLOOKUP($O37,$R$63:$T$91,3,FALSE)))+IF(AND($O37&lt;&gt;"",$O37&lt;&gt;"O3/CP",$O$15=D$18,MID($O37,4,1)="2",$O$15&lt;&gt;$O$14),VLOOKUP(CONCATENATE(LEFT($O37,2),"L"),$R$63:$T$91,3,FALSE),0)+IF(AND($O37="O3/CP",$O$14=D$18),VLOOKUP("O3",$R$63:$T$91,3,FALSE)+VLOOKUP("CP",$R$63:$T$91,3,FALSE),0)+IF(AND($P37&lt;&gt;"",$P37&lt;&gt;"--",$P37&lt;&gt;"O3/CP",$P$14=D$18),IF(LEFT($P37,1)="P",VLOOKUP(CONCATENATE(LEFT($P37,2),"H"),$R$63:$T$91,3,FALSE),VLOOKUP($P37,$R$63:$T$91,3,FALSE)))+IF(AND($P37&lt;&gt;"",$P37&lt;&gt;"O3/CP",$P$15=D$18,MID($P37,4,1)="2",$P$15&lt;&gt;$P$14),VLOOKUP(CONCATENATE(LEFT($P37,2),"L"),$R$63:$T$91,3,FALSE),0)+IF(AND($P37="O3/CP",$P$14=D$18),VLOOKUP("O3",$R$63:$T$91,3,FALSE)+VLOOKUP("CP",$R$63:$T$91,3,FALSE),0)+IF(AND($Q37&lt;&gt;"",$Q37&lt;&gt;"--",$Q37&lt;&gt;"O3/CP",$Q$14=D$18),IF(LEFT($Q37,1)="P",VLOOKUP(CONCATENATE(LEFT($Q37,2),"H"),$R$63:$T$91,3,FALSE),VLOOKUP($Q37,$R$63:$T$91,3,FALSE)))+IF(AND($Q37&lt;&gt;"",$Q37&lt;&gt;"O3/CP",$Q$15=D$18,MID($Q37,4,1)="2",$Q$15&lt;&gt;$Q$14),VLOOKUP(CONCATENATE(LEFT($Q37,2),"L"),$R$63:$T$91,3,FALSE),0)+IF(AND($Q37="O3/CP",$Q$14=D$18),VLOOKUP("O3",$R$63:$T$91,3,FALSE)+VLOOKUP("CP",$R$63:$T$91,3,FALSE),0)+IF(AND($R37&lt;&gt;"",$R37&lt;&gt;"--",$R37&lt;&gt;"O3/CP",$R$14=D$18),IF(LEFT($R37,1)="P",VLOOKUP(CONCATENATE(LEFT($R37,2),"H"),$R$63:$T$91,3,FALSE),VLOOKUP($R37,$R$63:$T$91,3,FALSE)))+IF(AND($R37&lt;&gt;"",$R37&lt;&gt;"O3/CP",$R$15=D$18,MID($R37,4,1)="2",$R$15&lt;&gt;$R$14),VLOOKUP(CONCATENATE(LEFT($R37,2),"L"),$R$63:$T$91,3,FALSE),0)+IF(AND($R37="O3/CP",$R$14=D$18),VLOOKUP("O3",$R$63:$T$91,3,FALSE)+VLOOKUP("CP",$R$63:$T$91,3,FALSE),0)+IF(AND($S37&lt;&gt;"",$S37&lt;&gt;"--",$S37&lt;&gt;"O3/CP",$S$14=D$18),IF(LEFT($S37,1)="P",VLOOKUP(CONCATENATE(LEFT($S37,2),"H"),$R$63:$T$91,3,FALSE),VLOOKUP($S37,$R$63:$T$91,3,FALSE)))+IF(AND($S37&lt;&gt;"",$S37&lt;&gt;"O3/CP",$S$15=D$18,MID($S37,4,1)="2",$S$15&lt;&gt;$S$14),VLOOKUP(CONCATENATE(LEFT($S37,2),"L"),$R$63:$T$91,3,FALSE),0)+IF(AND($S37="O3/CP",$S$14=D$18),VLOOKUP("O3",$R$63:$T$91,3,FALSE)+VLOOKUP("CP",$R$63:$T$91,3,FALSE),0)+IF(AND($T37&lt;&gt;"",$T37&lt;&gt;"--",$T37&lt;&gt;"O3/CP",$T$14=D$18),IF(LEFT($T37,1)="P",VLOOKUP(CONCATENATE(LEFT($T37,2),"H"),$R$63:$T$91,3,FALSE),VLOOKUP($T37,$R$63:$T$91,3,FALSE)))+IF(AND($T37&lt;&gt;"",$T37&lt;&gt;"O3/CP",$T$15=D$18,MID($T37,4,1)="2",$T$15&lt;&gt;$T$14),VLOOKUP(CONCATENATE(LEFT($T37,2),"L"),$R$63:$T$91,3,FALSE),0)+IF(AND($T37="O3/CP",$T$14=D$18),VLOOKUP("O3",$R$63:$T$91,3,FALSE)+VLOOKUP("CP",$R$63:$T$91,3,FALSE),0)+IF(AND($U37&lt;&gt;"",$U37&lt;&gt;"--",$U37&lt;&gt;"O3/CP",$U$14=D$18),IF(LEFT($U37,1)="P",VLOOKUP(CONCATENATE(LEFT($U37,2),"H"),$R$63:$T$91,3,FALSE),VLOOKUP($U37,$R$63:$T$91,3,FALSE)))+IF(AND($U37&lt;&gt;"",$U37&lt;&gt;"O3/CP",$U$15=D$18,MID($U37,4,1)="2",$U$15&lt;&gt;$U$14),VLOOKUP(CONCATENATE(LEFT($U37,2),"L"),$R$63:$T$91,3,FALSE),0)+IF(AND($U37="O3/CP",$T$14=D$18),VLOOKUP("O3",$R$63:$T$91,3,FALSE)+VLOOKUP("CP",$R$63:$T$91,3,FALSE),0)+IF(AND($V37&lt;&gt;"",$V37&lt;&gt;"--",$V37&lt;&gt;"O3/CP",$V$14=D$18),IF(LEFT($V37,1)="P",VLOOKUP(CONCATENATE(LEFT($V37,2),"H"),$R$63:$T$91,3,FALSE),VLOOKUP($V37,$R$63:$T$91,3,FALSE)))+IF(AND($V37&lt;&gt;"",$V37&lt;&gt;"O3/CP",$V$15=D$18,MID($V37,4,1)="2",$V$15&lt;&gt;$V$14),VLOOKUP(CONCATENATE(LEFT($V37,2),"L"),$R$63:$T$91,3,FALSE),0)+IF(AND($V37="O3/CP",$V$14=D$18),VLOOKUP("O3",$R$63:$T$91,3,FALSE)+VLOOKUP("CP",$R$63:$T$91,3,FALSE),0)+IF(AND($W37&lt;&gt;"",$W37&lt;&gt;"--",$W37&lt;&gt;"O3/CP",$W$14=D$18),IF(LEFT($W37,1)="P",VLOOKUP(CONCATENATE(LEFT($W37,2),"H"),$R$63:$T$91,3,FALSE),VLOOKUP($W37,$R$63:$T$91,3,FALSE)))+IF(AND($W37&lt;&gt;"",$W37&lt;&gt;"O3/CP",$W$15=D$18,MID($W37,4,1)="2",$W$15&lt;&gt;$W$14),VLOOKUP(CONCATENATE(LEFT($W37,2),"L"),$R$63:$T$91,3,FALSE),0)+IF(AND($W37="O3/CP",$W$14=D$18),VLOOKUP("O3",$R$63:$T$91,3,FALSE)+VLOOKUP("CP",$R$63:$T$91,3,FALSE),0)+IF(AND($X37&lt;&gt;"",$X37&lt;&gt;"--",$X37&lt;&gt;"O3/CP",$X$14=D$18),IF(LEFT($X37,1)="P",VLOOKUP(CONCATENATE(LEFT($X37,2),"H"),$R$63:$T$91,3,FALSE),VLOOKUP($X37,$R$63:$T$91,3,FALSE)))+IF(AND($X37&lt;&gt;"",$X37&lt;&gt;"O3/CP",$X$15=D$18,MID($X37,4,1)="2",$X$15&lt;&gt;$X$14),VLOOKUP(CONCATENATE(LEFT($X37,2),"L"),$R$63:$T$91,3,FALSE),0)+IF(AND($X37="O3/CP",$X$14=D$18),VLOOKUP("O3",$R$63:$T$91,3,FALSE)+VLOOKUP("CP",$R$63:$T$91,3,FALSE),0)+IF(AND($Y37&lt;&gt;"",$Y37&lt;&gt;"--",$Y37&lt;&gt;"O3/CP",$Y$14=D$18),IF(LEFT($Y37,1)="P",VLOOKUP(CONCATENATE(LEFT($Y37,2),"H"),$R$63:$T$91,3,FALSE),VLOOKUP($Y37,$R$63:$T$91,3,FALSE)))+IF(AND($Y37&lt;&gt;"",$Y37&lt;&gt;"O3/CP",$Y$15=D$18,MID($Y37,4,1)="2",$Y$15&lt;&gt;$Y$14),VLOOKUP(CONCATENATE(LEFT($Y37,2),"L"),$R$63:$T$91,3,FALSE),0)+IF(AND($Y37="O3/CP",$Y$14=D$18),VLOOKUP("O3",$R$63:$T$91,3,FALSE)+VLOOKUP("CP",$R$63:$T$91,3,FALSE),0)+IF(AND($K$6="CE",'[3]Supply Attribution'!$G$20=D$18),LEFT($S$90,2),0)+IF(AND($X$86&lt;&gt;"Not Set",$X$87=D$18),$X$86,0)</f>
        <v>0</v>
      </c>
      <c r="E37" s="271">
        <f>IF(AND($K37&lt;&gt;"",$K37&lt;&gt;"--",$K37&lt;&gt;"O3/CP",$K$14=E$18),IF(LEFT($K37,1)="P",VLOOKUP(CONCATENATE(LEFT($K37,2),"H"),$R$63:$T$91,3,FALSE),VLOOKUP($K37,$R$63:$T$91,3,FALSE)))+IF(AND($K37&lt;&gt;"",$K37&lt;&gt;"O3/CP",$K$15=E$18,MID($K37,4,1)="2",$K$15&lt;&gt;$K$14),VLOOKUP(CONCATENATE(LEFT($K37,2),"L"),$R$63:$T$91,3,FALSE),0)+IF(AND($K37="O3/CP",$K$14=E$18),VLOOKUP("O3",$R$63:$T$91,3,FALSE)+VLOOKUP("CP",$R$63:$T$91,3,FALSE),0)+IF(AND($L37&lt;&gt;"",$L37&lt;&gt;"--",$L37&lt;&gt;"O3/CP",$L$14=E$18),IF(LEFT($L37,1)="P",VLOOKUP(CONCATENATE(LEFT($L37,2),"H"),$R$63:$T$91,3,FALSE),VLOOKUP($L37,$R$63:$T$91,3,FALSE)))+IF(AND($L37&lt;&gt;"",$L37&lt;&gt;"O3/CP",$L$15=E$18,MID($L37,4,1)="2",$L$15&lt;&gt;$L$14),VLOOKUP(CONCATENATE(LEFT($L37,2),"L"),$R$63:$T$91,3,FALSE),0)+IF(AND($L37="O3/CP",$L$14=E$18),VLOOKUP("O3",$R$63:$T$91,3,FALSE)+VLOOKUP("CP",$R$63:$T$91,3,FALSE),0)+IF(AND($M37&lt;&gt;"",$M37&lt;&gt;"--",$M37&lt;&gt;"O3/CP",$M$14=E$18),IF(LEFT($M37,1)="P",VLOOKUP(CONCATENATE(LEFT($M37,2),"H"),$R$63:$T$91,3,FALSE),VLOOKUP($M37,$R$63:$T$91,3,FALSE)))+IF(AND($M37&lt;&gt;"",$M37&lt;&gt;"O3/CP",$M$15=E$18,MID($M37,4,1)="2",$M$15&lt;&gt;$M$14),VLOOKUP(CONCATENATE(LEFT($M37,2),"L"),$R$63:$T$91,3,FALSE),0)+IF(AND($M37="O3/CP",$M$14=E$18),VLOOKUP("O3",$R$63:$T$91,3,FALSE)+VLOOKUP("CP",$R$63:$T$91,3,FALSE),0)+IF(AND($N37&lt;&gt;"",$N37&lt;&gt;"--",$N37&lt;&gt;"O3/CP",$N$14=E$18),IF(LEFT($N37,1)="P",VLOOKUP(CONCATENATE(LEFT($N37,2),"H"),$R$63:$T$91,3,FALSE),VLOOKUP($N37,$R$63:$T$91,3,FALSE)))+IF(AND($N37&lt;&gt;"",$N37&lt;&gt;"O3/CP",$N$15=E$18,MID($N37,4,1)="2",$N$15&lt;&gt;$N$14),VLOOKUP(CONCATENATE(LEFT($N37,2),"L"),$R$63:$T$91,3,FALSE),0)+IF(AND($N37="O3/CP",$N$14=E$18),VLOOKUP("O3",$R$63:$T$91,3,FALSE)+VLOOKUP("CP",$R$63:$T$91,3,FALSE),0)+IF(AND($O37&lt;&gt;"",$O37&lt;&gt;"--",$O37&lt;&gt;"O3/CP",$O$14=E$18),IF(LEFT($O37,1)="P",VLOOKUP(CONCATENATE(LEFT($O37,2),"H"),$R$63:$T$91,3,FALSE),VLOOKUP($O37,$R$63:$T$91,3,FALSE)))+IF(AND($O37&lt;&gt;"",$O37&lt;&gt;"O3/CP",$O$15=E$18,MID($O37,4,1)="2",$O$15&lt;&gt;$O$14),VLOOKUP(CONCATENATE(LEFT($O37,2),"L"),$R$63:$T$91,3,FALSE),0)+IF(AND($O37="O3/CP",$O$14=E$18),VLOOKUP("O3",$R$63:$T$91,3,FALSE)+VLOOKUP("CP",$R$63:$T$91,3,FALSE),0)+IF(AND($P37&lt;&gt;"",$P37&lt;&gt;"--",$P37&lt;&gt;"O3/CP",$P$14=E$18),IF(LEFT($P37,1)="P",VLOOKUP(CONCATENATE(LEFT($P37,2),"H"),$R$63:$T$91,3,FALSE),VLOOKUP($P37,$R$63:$T$91,3,FALSE)))+IF(AND($P37&lt;&gt;"",$P37&lt;&gt;"O3/CP",$P$15=E$18,MID($P37,4,1)="2",$P$15&lt;&gt;$P$14),VLOOKUP(CONCATENATE(LEFT($P37,2),"L"),$R$63:$T$91,3,FALSE),0)+IF(AND($P37="O3/CP",$P$14=E$18),VLOOKUP("O3",$R$63:$T$91,3,FALSE)+VLOOKUP("CP",$R$63:$T$91,3,FALSE),0)+IF(AND($Q37&lt;&gt;"",$Q37&lt;&gt;"--",$Q37&lt;&gt;"O3/CP",$Q$14=E$18),IF(LEFT($Q37,1)="P",VLOOKUP(CONCATENATE(LEFT($Q37,2),"H"),$R$63:$T$91,3,FALSE),VLOOKUP($Q37,$R$63:$T$91,3,FALSE)))+IF(AND($Q37&lt;&gt;"",$Q37&lt;&gt;"O3/CP",$Q$15=E$18,MID($Q37,4,1)="2",$Q$15&lt;&gt;$Q$14),VLOOKUP(CONCATENATE(LEFT($Q37,2),"L"),$R$63:$T$91,3,FALSE),0)+IF(AND($Q37="O3/CP",$Q$14=E$18),VLOOKUP("O3",$R$63:$T$91,3,FALSE)+VLOOKUP("CP",$R$63:$T$91,3,FALSE),0)+IF(AND($R37&lt;&gt;"",$R37&lt;&gt;"--",$R37&lt;&gt;"O3/CP",$R$14=E$18),IF(LEFT($R37,1)="P",VLOOKUP(CONCATENATE(LEFT($R37,2),"H"),$R$63:$T$91,3,FALSE),VLOOKUP($R37,$R$63:$T$91,3,FALSE)))+IF(AND($R37&lt;&gt;"",$R37&lt;&gt;"O3/CP",$R$15=E$18,MID($R37,4,1)="2",$R$15&lt;&gt;$R$14),VLOOKUP(CONCATENATE(LEFT($R37,2),"L"),$R$63:$T$91,3,FALSE),0)+IF(AND($R37="O3/CP",$R$14=E$18),VLOOKUP("O3",$R$63:$T$91,3,FALSE)+VLOOKUP("CP",$R$63:$T$91,3,FALSE),0)+IF(AND($S37&lt;&gt;"",$S37&lt;&gt;"--",$S37&lt;&gt;"O3/CP",$S$14=E$18),IF(LEFT($S37,1)="P",VLOOKUP(CONCATENATE(LEFT($S37,2),"H"),$R$63:$T$91,3,FALSE),VLOOKUP($S37,$R$63:$T$91,3,FALSE)))+IF(AND($S37&lt;&gt;"",$S37&lt;&gt;"O3/CP",$S$15=E$18,MID($S37,4,1)="2",$S$15&lt;&gt;$S$14),VLOOKUP(CONCATENATE(LEFT($S37,2),"L"),$R$63:$T$91,3,FALSE),0)+IF(AND($S37="O3/CP",$S$14=E$18),VLOOKUP("O3",$R$63:$T$91,3,FALSE)+VLOOKUP("CP",$R$63:$T$91,3,FALSE),0)+IF(AND($T37&lt;&gt;"",$T37&lt;&gt;"--",$T37&lt;&gt;"O3/CP",$T$14=E$18),IF(LEFT($T37,1)="P",VLOOKUP(CONCATENATE(LEFT($T37,2),"H"),$R$63:$T$91,3,FALSE),VLOOKUP($T37,$R$63:$T$91,3,FALSE)))+IF(AND($T37&lt;&gt;"",$T37&lt;&gt;"O3/CP",$T$15=E$18,MID($T37,4,1)="2",$T$15&lt;&gt;$T$14),VLOOKUP(CONCATENATE(LEFT($T37,2),"L"),$R$63:$T$91,3,FALSE),0)+IF(AND($T37="O3/CP",$T$14=E$18),VLOOKUP("O3",$R$63:$T$91,3,FALSE)+VLOOKUP("CP",$R$63:$T$91,3,FALSE),0)+IF(AND($U37&lt;&gt;"",$U37&lt;&gt;"--",$U37&lt;&gt;"O3/CP",$U$14=E$18),IF(LEFT($U37,1)="P",VLOOKUP(CONCATENATE(LEFT($U37,2),"H"),$R$63:$T$91,3,FALSE),VLOOKUP($U37,$R$63:$T$91,3,FALSE)))+IF(AND($U37&lt;&gt;"",$U37&lt;&gt;"O3/CP",$U$15=E$18,MID($U37,4,1)="2",$U$15&lt;&gt;$U$14),VLOOKUP(CONCATENATE(LEFT($U37,2),"L"),$R$63:$T$91,3,FALSE),0)+IF(AND($U37="O3/CP",$T$14=E$18),VLOOKUP("O3",$R$63:$T$91,3,FALSE)+VLOOKUP("CP",$R$63:$T$91,3,FALSE),0)+IF(AND($V37&lt;&gt;"",$V37&lt;&gt;"--",$V37&lt;&gt;"O3/CP",$V$14=E$18),IF(LEFT($V37,1)="P",VLOOKUP(CONCATENATE(LEFT($V37,2),"H"),$R$63:$T$91,3,FALSE),VLOOKUP($V37,$R$63:$T$91,3,FALSE)))+IF(AND($V37&lt;&gt;"",$V37&lt;&gt;"O3/CP",$V$15=E$18,MID($V37,4,1)="2",$V$15&lt;&gt;$V$14),VLOOKUP(CONCATENATE(LEFT($V37,2),"L"),$R$63:$T$91,3,FALSE),0)+IF(AND($V37="O3/CP",$V$14=E$18),VLOOKUP("O3",$R$63:$T$91,3,FALSE)+VLOOKUP("CP",$R$63:$T$91,3,FALSE),0)+IF(AND($W37&lt;&gt;"",$W37&lt;&gt;"--",$W37&lt;&gt;"O3/CP",$W$14=E$18),IF(LEFT($W37,1)="P",VLOOKUP(CONCATENATE(LEFT($W37,2),"H"),$R$63:$T$91,3,FALSE),VLOOKUP($W37,$R$63:$T$91,3,FALSE)))+IF(AND($W37&lt;&gt;"",$W37&lt;&gt;"O3/CP",$W$15=E$18,MID($W37,4,1)="2",$W$15&lt;&gt;$W$14),VLOOKUP(CONCATENATE(LEFT($W37,2),"L"),$R$63:$T$91,3,FALSE),0)+IF(AND($W37="O3/CP",$W$14=E$18),VLOOKUP("O3",$R$63:$T$91,3,FALSE)+VLOOKUP("CP",$R$63:$T$91,3,FALSE),0)+IF(AND($X37&lt;&gt;"",$X37&lt;&gt;"--",$X37&lt;&gt;"O3/CP",$X$14=E$18),IF(LEFT($X37,1)="P",VLOOKUP(CONCATENATE(LEFT($X37,2),"H"),$R$63:$T$91,3,FALSE),VLOOKUP($X37,$R$63:$T$91,3,FALSE)))+IF(AND($X37&lt;&gt;"",$X37&lt;&gt;"O3/CP",$X$15=E$18,MID($X37,4,1)="2",$X$15&lt;&gt;$X$14),VLOOKUP(CONCATENATE(LEFT($X37,2),"L"),$R$63:$T$91,3,FALSE),0)+IF(AND($X37="O3/CP",$X$14=E$18),VLOOKUP("O3",$R$63:$T$91,3,FALSE)+VLOOKUP("CP",$R$63:$T$91,3,FALSE),0)+IF(AND($Y37&lt;&gt;"",$Y37&lt;&gt;"--",$Y37&lt;&gt;"O3/CP",$Y$14=E$18),IF(LEFT($Y37,1)="P",VLOOKUP(CONCATENATE(LEFT($Y37,2),"H"),$R$63:$T$91,3,FALSE),VLOOKUP($Y37,$R$63:$T$91,3,FALSE)))+IF(AND($Y37&lt;&gt;"",$Y37&lt;&gt;"O3/CP",$Y$15=E$18,MID($Y37,4,1)="2",$Y$15&lt;&gt;$Y$14),VLOOKUP(CONCATENATE(LEFT($Y37,2),"L"),$R$63:$T$91,3,FALSE),0)+IF(AND($Y37="O3/CP",$Y$14=E$18),VLOOKUP("O3",$R$63:$T$91,3,FALSE)+VLOOKUP("CP",$R$63:$T$91,3,FALSE),0)+IF(AND($K$6="CE",'[3]Supply Attribution'!$G$20=E$18),LEFT($S$90,2),0)+IF(AND($X$86&lt;&gt;"Not Set",$X$87=E$18),$X$86,0)</f>
        <v>0</v>
      </c>
      <c r="F37" s="272">
        <f>IF(AND($K37&lt;&gt;"",$K37&lt;&gt;"--",$K37&lt;&gt;"O3/CP",$K$14=F$18),IF(LEFT($K37,1)="P",VLOOKUP(CONCATENATE(LEFT($K37,2),"H"),$R$63:$T$91,3,FALSE),VLOOKUP($K37,$R$63:$T$91,3,FALSE)))+IF(AND($K37&lt;&gt;"",$K37&lt;&gt;"O3/CP",$K$15=F$18,MID($K37,4,1)="2",$K$15&lt;&gt;$K$14),VLOOKUP(CONCATENATE(LEFT($K37,2),"L"),$R$63:$T$91,3,FALSE),0)+IF(AND($K37="O3/CP",$K$14=F$18),VLOOKUP("O3",$R$63:$T$91,3,FALSE)+VLOOKUP("CP",$R$63:$T$91,3,FALSE),0)+IF(AND($L37&lt;&gt;"",$L37&lt;&gt;"--",$L37&lt;&gt;"O3/CP",$L$14=F$18),IF(LEFT($L37,1)="P",VLOOKUP(CONCATENATE(LEFT($L37,2),"H"),$R$63:$T$91,3,FALSE),VLOOKUP($L37,$R$63:$T$91,3,FALSE)))+IF(AND($L37&lt;&gt;"",$L37&lt;&gt;"O3/CP",$L$15=F$18,MID($L37,4,1)="2",$L$15&lt;&gt;$L$14),VLOOKUP(CONCATENATE(LEFT($L37,2),"L"),$R$63:$T$91,3,FALSE),0)+IF(AND($L37="O3/CP",$L$14=F$18),VLOOKUP("O3",$R$63:$T$91,3,FALSE)+VLOOKUP("CP",$R$63:$T$91,3,FALSE),0)+IF(AND($M37&lt;&gt;"",$M37&lt;&gt;"--",$M37&lt;&gt;"O3/CP",$M$14=F$18),IF(LEFT($M37,1)="P",VLOOKUP(CONCATENATE(LEFT($M37,2),"H"),$R$63:$T$91,3,FALSE),VLOOKUP($M37,$R$63:$T$91,3,FALSE)))+IF(AND($M37&lt;&gt;"",$M37&lt;&gt;"O3/CP",$M$15=F$18,MID($M37,4,1)="2",$M$15&lt;&gt;$M$14),VLOOKUP(CONCATENATE(LEFT($M37,2),"L"),$R$63:$T$91,3,FALSE),0)+IF(AND($M37="O3/CP",$M$14=F$18),VLOOKUP("O3",$R$63:$T$91,3,FALSE)+VLOOKUP("CP",$R$63:$T$91,3,FALSE),0)+IF(AND($N37&lt;&gt;"",$N37&lt;&gt;"--",$N37&lt;&gt;"O3/CP",$N$14=F$18),IF(LEFT($N37,1)="P",VLOOKUP(CONCATENATE(LEFT($N37,2),"H"),$R$63:$T$91,3,FALSE),VLOOKUP($N37,$R$63:$T$91,3,FALSE)))+IF(AND($N37&lt;&gt;"",$N37&lt;&gt;"O3/CP",$N$15=F$18,MID($N37,4,1)="2",$N$15&lt;&gt;$N$14),VLOOKUP(CONCATENATE(LEFT($N37,2),"L"),$R$63:$T$91,3,FALSE),0)+IF(AND($N37="O3/CP",$N$14=F$18),VLOOKUP("O3",$R$63:$T$91,3,FALSE)+VLOOKUP("CP",$R$63:$T$91,3,FALSE),0)+IF(AND($O37&lt;&gt;"",$O37&lt;&gt;"--",$O37&lt;&gt;"O3/CP",$O$14=F$18),IF(LEFT($O37,1)="P",VLOOKUP(CONCATENATE(LEFT($O37,2),"H"),$R$63:$T$91,3,FALSE),VLOOKUP($O37,$R$63:$T$91,3,FALSE)))+IF(AND($O37&lt;&gt;"",$O37&lt;&gt;"O3/CP",$O$15=F$18,MID($O37,4,1)="2",$O$15&lt;&gt;$O$14),VLOOKUP(CONCATENATE(LEFT($O37,2),"L"),$R$63:$T$91,3,FALSE),0)+IF(AND($O37="O3/CP",$O$14=F$18),VLOOKUP("O3",$R$63:$T$91,3,FALSE)+VLOOKUP("CP",$R$63:$T$91,3,FALSE),0)+IF(AND($P37&lt;&gt;"",$P37&lt;&gt;"--",$P37&lt;&gt;"O3/CP",$P$14=F$18),IF(LEFT($P37,1)="P",VLOOKUP(CONCATENATE(LEFT($P37,2),"H"),$R$63:$T$91,3,FALSE),VLOOKUP($P37,$R$63:$T$91,3,FALSE)))+IF(AND($P37&lt;&gt;"",$P37&lt;&gt;"O3/CP",$P$15=F$18,MID($P37,4,1)="2",$P$15&lt;&gt;$P$14),VLOOKUP(CONCATENATE(LEFT($P37,2),"L"),$R$63:$T$91,3,FALSE),0)+IF(AND($P37="O3/CP",$P$14=F$18),VLOOKUP("O3",$R$63:$T$91,3,FALSE)+VLOOKUP("CP",$R$63:$T$91,3,FALSE),0)+IF(AND($Q37&lt;&gt;"",$Q37&lt;&gt;"--",$Q37&lt;&gt;"O3/CP",$Q$14=F$18),IF(LEFT($Q37,1)="P",VLOOKUP(CONCATENATE(LEFT($Q37,2),"H"),$R$63:$T$91,3,FALSE),VLOOKUP($Q37,$R$63:$T$91,3,FALSE)))+IF(AND($Q37&lt;&gt;"",$Q37&lt;&gt;"O3/CP",$Q$15=F$18,MID($Q37,4,1)="2",$Q$15&lt;&gt;$Q$14),VLOOKUP(CONCATENATE(LEFT($Q37,2),"L"),$R$63:$T$91,3,FALSE),0)+IF(AND($Q37="O3/CP",$Q$14=F$18),VLOOKUP("O3",$R$63:$T$91,3,FALSE)+VLOOKUP("CP",$R$63:$T$91,3,FALSE),0)+IF(AND($R37&lt;&gt;"",$R37&lt;&gt;"--",$R37&lt;&gt;"O3/CP",$R$14=F$18),IF(LEFT($R37,1)="P",VLOOKUP(CONCATENATE(LEFT($R37,2),"H"),$R$63:$T$91,3,FALSE),VLOOKUP($R37,$R$63:$T$91,3,FALSE)))+IF(AND($R37&lt;&gt;"",$R37&lt;&gt;"O3/CP",$R$15=F$18,MID($R37,4,1)="2",$R$15&lt;&gt;$R$14),VLOOKUP(CONCATENATE(LEFT($R37,2),"L"),$R$63:$T$91,3,FALSE),0)+IF(AND($R37="O3/CP",$R$14=F$18),VLOOKUP("O3",$R$63:$T$91,3,FALSE)+VLOOKUP("CP",$R$63:$T$91,3,FALSE),0)+IF(AND($S37&lt;&gt;"",$S37&lt;&gt;"--",$S37&lt;&gt;"O3/CP",$S$14=F$18),IF(LEFT($S37,1)="P",VLOOKUP(CONCATENATE(LEFT($S37,2),"H"),$R$63:$T$91,3,FALSE),VLOOKUP($S37,$R$63:$T$91,3,FALSE)))+IF(AND($S37&lt;&gt;"",$S37&lt;&gt;"O3/CP",$S$15=F$18,MID($S37,4,1)="2",$S$15&lt;&gt;$S$14),VLOOKUP(CONCATENATE(LEFT($S37,2),"L"),$R$63:$T$91,3,FALSE),0)+IF(AND($S37="O3/CP",$S$14=F$18),VLOOKUP("O3",$R$63:$T$91,3,FALSE)+VLOOKUP("CP",$R$63:$T$91,3,FALSE),0)+IF(AND($T37&lt;&gt;"",$T37&lt;&gt;"--",$T37&lt;&gt;"O3/CP",$T$14=F$18),IF(LEFT($T37,1)="P",VLOOKUP(CONCATENATE(LEFT($T37,2),"H"),$R$63:$T$91,3,FALSE),VLOOKUP($T37,$R$63:$T$91,3,FALSE)))+IF(AND($T37&lt;&gt;"",$T37&lt;&gt;"O3/CP",$T$15=F$18,MID($T37,4,1)="2",$T$15&lt;&gt;$T$14),VLOOKUP(CONCATENATE(LEFT($T37,2),"L"),$R$63:$T$91,3,FALSE),0)+IF(AND($T37="O3/CP",$T$14=F$18),VLOOKUP("O3",$R$63:$T$91,3,FALSE)+VLOOKUP("CP",$R$63:$T$91,3,FALSE),0)+IF(AND($U37&lt;&gt;"",$U37&lt;&gt;"--",$U37&lt;&gt;"O3/CP",$U$14=F$18),IF(LEFT($U37,1)="P",VLOOKUP(CONCATENATE(LEFT($U37,2),"H"),$R$63:$T$91,3,FALSE),VLOOKUP($U37,$R$63:$T$91,3,FALSE)))+IF(AND($U37&lt;&gt;"",$U37&lt;&gt;"O3/CP",$U$15=F$18,MID($U37,4,1)="2",$U$15&lt;&gt;$U$14),VLOOKUP(CONCATENATE(LEFT($U37,2),"L"),$R$63:$T$91,3,FALSE),0)+IF(AND($U37="O3/CP",$T$14=F$18),VLOOKUP("O3",$R$63:$T$91,3,FALSE)+VLOOKUP("CP",$R$63:$T$91,3,FALSE),0)+IF(AND($V37&lt;&gt;"",$V37&lt;&gt;"--",$V37&lt;&gt;"O3/CP",$V$14=F$18),IF(LEFT($V37,1)="P",VLOOKUP(CONCATENATE(LEFT($V37,2),"H"),$R$63:$T$91,3,FALSE),VLOOKUP($V37,$R$63:$T$91,3,FALSE)))+IF(AND($V37&lt;&gt;"",$V37&lt;&gt;"O3/CP",$V$15=F$18,MID($V37,4,1)="2",$V$15&lt;&gt;$V$14),VLOOKUP(CONCATENATE(LEFT($V37,2),"L"),$R$63:$T$91,3,FALSE),0)+IF(AND($V37="O3/CP",$V$14=F$18),VLOOKUP("O3",$R$63:$T$91,3,FALSE)+VLOOKUP("CP",$R$63:$T$91,3,FALSE),0)+IF(AND($W37&lt;&gt;"",$W37&lt;&gt;"--",$W37&lt;&gt;"O3/CP",$W$14=F$18),IF(LEFT($W37,1)="P",VLOOKUP(CONCATENATE(LEFT($W37,2),"H"),$R$63:$T$91,3,FALSE),VLOOKUP($W37,$R$63:$T$91,3,FALSE)))+IF(AND($W37&lt;&gt;"",$W37&lt;&gt;"O3/CP",$W$15=F$18,MID($W37,4,1)="2",$W$15&lt;&gt;$W$14),VLOOKUP(CONCATENATE(LEFT($W37,2),"L"),$R$63:$T$91,3,FALSE),0)+IF(AND($W37="O3/CP",$W$14=F$18),VLOOKUP("O3",$R$63:$T$91,3,FALSE)+VLOOKUP("CP",$R$63:$T$91,3,FALSE),0)+IF(AND($X37&lt;&gt;"",$X37&lt;&gt;"--",$X37&lt;&gt;"O3/CP",$X$14=F$18),IF(LEFT($X37,1)="P",VLOOKUP(CONCATENATE(LEFT($X37,2),"H"),$R$63:$T$91,3,FALSE),VLOOKUP($X37,$R$63:$T$91,3,FALSE)))+IF(AND($X37&lt;&gt;"",$X37&lt;&gt;"O3/CP",$X$15=F$18,MID($X37,4,1)="2",$X$15&lt;&gt;$X$14),VLOOKUP(CONCATENATE(LEFT($X37,2),"L"),$R$63:$T$91,3,FALSE),0)+IF(AND($X37="O3/CP",$X$14=F$18),VLOOKUP("O3",$R$63:$T$91,3,FALSE)+VLOOKUP("CP",$R$63:$T$91,3,FALSE),0)+IF(AND($Y37&lt;&gt;"",$Y37&lt;&gt;"--",$Y37&lt;&gt;"O3/CP",$Y$14=F$18),IF(LEFT($Y37,1)="P",VLOOKUP(CONCATENATE(LEFT($Y37,2),"H"),$R$63:$T$91,3,FALSE),VLOOKUP($Y37,$R$63:$T$91,3,FALSE)))+IF(AND($Y37&lt;&gt;"",$Y37&lt;&gt;"O3/CP",$Y$15=F$18,MID($Y37,4,1)="2",$Y$15&lt;&gt;$Y$14),VLOOKUP(CONCATENATE(LEFT($Y37,2),"L"),$R$63:$T$91,3,FALSE),0)+IF(AND($Y37="O3/CP",$Y$14=F$18),VLOOKUP("O3",$R$63:$T$91,3,FALSE)+VLOOKUP("CP",$R$63:$T$91,3,FALSE),0)+IF(AND($K$6="CE",'[3]Supply Attribution'!$G$20=F$18),LEFT($S$90,2),0)+IF(AND($X$86&lt;&gt;"Not Set",$X$87=F$18),$X$86,0)</f>
        <v>0</v>
      </c>
      <c r="G37" s="271">
        <f>IF(AND($K$6="CE",$T$59="1 Phase"),SUM(A37:F37)-IF(AND($K$14&lt;&gt;$K$15,RIGHT($K37,3)="2SP"),VLOOKUP(CONCATENATE(LEFT($K37,2),"L"),$R$63:$T$90,3,FALSE),0)-IF(AND($L$14&lt;&gt;$L$15,RIGHT($L37,3)="2SP"),VLOOKUP(CONCATENATE(LEFT($L37,2),"L"),$R$63:$T$90,3,FALSE),0)-IF(AND($M$14&lt;&gt;$M$15,RIGHT($M37,3)="2SP"),VLOOKUP(CONCATENATE(LEFT($M37,2),"L"),$R$63:$T$90,3,FALSE),0)-IF(AND($N$14&lt;&gt;$N$15,RIGHT($N37,3)="2SP"),VLOOKUP(CONCATENATE(LEFT($N37,2),"L"),$R$63:$T$90,3,FALSE),0)-IF(AND($O$14&lt;&gt;$O$15,RIGHT($O37,3)="2SP"),VLOOKUP(CONCATENATE(LEFT($O37,2),"L"),$R$63:$T$90,3,FALSE),0)-IF(AND($P$14&lt;&gt;$P$15,RIGHT($P37,3)="2SP"),VLOOKUP(CONCATENATE(LEFT($P37,2),"L"),$R$63:$T$90,3,FALSE),0)-IF(AND($Q$14&lt;&gt;$Q$15,RIGHT($Q37,3)="2SP"),VLOOKUP(CONCATENATE(LEFT($Q37,2),"L"),$R$63:$T$90,3,FALSE),0)-IF(AND($R$14&lt;&gt;$R$15,RIGHT($T37,3)="2SP"),VLOOKUP(CONCATENATE(LEFT($R37,2),"L"),$R$63:$T$90,3,FALSE),0)-IF(AND($S$14&lt;&gt;$S$15,RIGHT($T37,3)="2SP"),VLOOKUP(CONCATENATE(LEFT($S37,2),"L"),$R$63:$T$90,3,FALSE),0)-IF(AND($T$14&lt;&gt;$T$15,RIGHT($T37,3)="2SP"),VLOOKUP(CONCATENATE(LEFT($T37,2),"L"),$R$63:$T$90,3,FALSE),0)-IF(AND($U$14&lt;&gt;$U$15,RIGHT($U37,3)="2SP"),VLOOKUP(CONCATENATE(LEFT($U37,2),"L"),$R$63:$T$90,3,FALSE),0)-IF(AND($V$14&lt;&gt;$V$15,RIGHT($V37,3)="2SP"),VLOOKUP(CONCATENATE(LEFT($V37,2),"L"),$R$63:$T$90,3,FALSE),0)-IF(AND($W$14&lt;&gt;$W$15,RIGHT($W37,3)="2SP"),VLOOKUP(CONCATENATE(LEFT($W37,2),"L"),$R$63:$T$90,3,FALSE),0)-IF(AND($X$14&lt;&gt;$X$15,RIGHT($X37,3)="2SP"),VLOOKUP(CONCATENATE(LEFT($X37,2),"L"),$R$63:$T$90,3,FALSE),0)-IF(AND($Y$14&lt;&gt;$Y$15,RIGHT($Y37,3)="2SP"),VLOOKUP(CONCATENATE(LEFT($Y37,2),"L"),$R$63:$T$90,3,FALSE),0),IF(VLOOKUP(CONCATENATE($A$18,"Line"),'[3]Supply Attribution'!$F$31:$G$37,2,FALSE)=G$18,$A37,0)+IF(VLOOKUP(CONCATENATE($B$18,"Line"),'[3]Supply Attribution'!$F$31:$G$37,2,FALSE)=G$18,$B37,0)+IF(VLOOKUP(CONCATENATE($C$18,"Line"),'[3]Supply Attribution'!$F$31:$G$37,2,FALSE)=G$18,$C37,0)+IF(VLOOKUP(CONCATENATE($D$18,"Line"),'[3]Supply Attribution'!$F$31:$G$37,2,FALSE)=G$18,$D37,0)+IF(VLOOKUP(CONCATENATE($E$18,"Line"),'[3]Supply Attribution'!$F$31:$G$37,2,FALSE)=G$18,$E37,0)+IF(VLOOKUP(CONCATENATE($F$18,"Line"),'[3]Supply Attribution'!$F$31:$G$37,2,FALSE)=G$18,$F37,0)+IF($K$6="UL",LEFT($S$90,2),0)-IF(AND($K$16=G$18,$K$14&lt;&gt;$K$15,$K$16=$K$17,RIGHT($K37,3)="2SP"),VLOOKUP(CONCATENATE(LEFT($K37,2),"L"),$R$63:$T$90,3,FALSE),0)-IF(AND($L$16=G$18,$L$14&lt;&gt;$L$15,$L$16=$L$17,RIGHT($L37,3)="2SP"),VLOOKUP(CONCATENATE(LEFT($L37,2),"L"),$R$63:$T$90,3,FALSE),0)-IF(AND($M$16=G$18,$M$14&lt;&gt;$M$15,$M$16=$M$17,RIGHT($M37,3)="2SP"),VLOOKUP(CONCATENATE(LEFT($M37,2),"L"),$R$63:$T$90,3,FALSE),0)-IF(AND($N$16=G$18,$N$14&lt;&gt;$N$15,$N$16=$N$17,RIGHT($N37,3)="2SP"),VLOOKUP(CONCATENATE(LEFT($N37,2),"L"),$R$63:$T$90,3,FALSE),0)-IF(AND($O$16=G$18,$O$14&lt;&gt;$O$15,$O$16=$O$17,RIGHT($O37,3)="2SP"),VLOOKUP(CONCATENATE(LEFT($O37,2),"L"),$R$63:$T$90,3,FALSE),0)-IF(AND($P$16=G$18,$P$14&lt;&gt;$P$15,$P$16=$P$17,RIGHT($P37,3)="2SP"),VLOOKUP(CONCATENATE(LEFT($P37,2),"L"),$R$63:$T$90,3,FALSE),0)-IF(AND($Q$16=G$18,$Q$14&lt;&gt;$Q$15,$Q$16=$Q$17,RIGHT($Q37,3)="2SP"),VLOOKUP(CONCATENATE(LEFT($Q37,2),"L"),$R$63:$T$90,3,FALSE),0)-IF(AND($R$16=G$18,$R$14&lt;&gt;$R$15,$R$16=$R$17,RIGHT($R37,3)="2SP"),VLOOKUP(CONCATENATE(LEFT($R37,2),"L"),$R$63:$T$90,3,FALSE),0)-IF(AND($S$16=G$18,$S$14&lt;&gt;$S$15,$S$16=$S$17,RIGHT($S37,3)="2SP"),VLOOKUP(CONCATENATE(LEFT($S37,2),"L"),$R$63:$T$90,3,FALSE),0)-IF(AND($T$16=G$18,$T$14&lt;&gt;$T$15,$T$16=$T$17,RIGHT($T37,3)="2SP"),VLOOKUP(CONCATENATE(LEFT($T37,2),"L"),$R$63:$T$90,3,FALSE),0)-IF(AND($U$16=G$18,$U$14&lt;&gt;$U$15,$U$16=$U$17,RIGHT($U37,3)="2SP"),VLOOKUP(CONCATENATE(LEFT($U37,2),"L"),$R$63:$T$90,3,FALSE),0)-IF(AND($V$16=G$18,$V$14&lt;&gt;$V$15,$V$16=$V$17,RIGHT($V37,3)="2SP"),VLOOKUP(CONCATENATE(LEFT($V37,2),"L"),$R$63:$T$90,3,FALSE),0)-IF(AND($W$16=G$18,$W$14&lt;&gt;$W$15,$W$16=$W$17,RIGHT($W37,3)="2SP"),VLOOKUP(CONCATENATE(LEFT($W37,2),"L"),$R$63:$T$90,3,FALSE),0)-IF(AND($X$16=G$18,$X$14&lt;&gt;$X$15,$X$16=$X$17,RIGHT($X37,3)="2SP"),VLOOKUP(CONCATENATE(LEFT($X37,2),"L"),$R$63:$T$90,3,FALSE),0)-IF(AND($Y$16=G$18,$Y$14&lt;&gt;$Y$15,$Y$16=$Y$17,RIGHT($Y37,3)="2SP"),VLOOKUP(CONCATENATE(LEFT($Y37,2),"L"),$R$63:$T$90,3,FALSE),0))</f>
        <v>17</v>
      </c>
      <c r="H37" s="271" t="str">
        <f>IF(H$18&lt;&gt;"",IF(VLOOKUP(CONCATENATE($A$18,"Line"),'Supply Attribution'!$F$31:$G$37,2,FALSE)=H$18,$A37,0)+IF(VLOOKUP(CONCATENATE($B$18,"Line"),'Supply Attribution'!$F$31:$G$37,2,FALSE)=H$18,$B37,0)+IF(VLOOKUP(CONCATENATE($C$18,"Line"),'Supply Attribution'!$F$31:$G$37,2,FALSE)=H$18,$C37,0)+IF(VLOOKUP(CONCATENATE($D$18,"Line"),'Supply Attribution'!$F$31:$G$37,2,FALSE)=H$18,$D37,0)+IF(VLOOKUP(CONCATENATE($E$18,"Line"),'Supply Attribution'!$F$31:$G$37,2,FALSE)=H$18,$E37,0)+IF(VLOOKUP(CONCATENATE($F$18,"Line"),'Supply Attribution'!$F$31:$G$37,2,FALSE)=H$18,$F37,0)+IF($K$6="UL",LEFT($S$90,2),0)-IF(AND($K$16=H$18,$K$14&lt;&gt;$K$15,$K$16=$K$17,RIGHT($K37,3)="2SP"),VLOOKUP(CONCATENATE(LEFT($K37,2),"L"),$R$63:$T$90,3,FALSE),0)-IF(AND($L$16=H$18,$L$14&lt;&gt;$L$15,$L$16=$L$17,RIGHT($L37,3)="2SP"),VLOOKUP(CONCATENATE(LEFT($L37,2),"L"),$R$63:$T$90,3,FALSE),0)-IF(AND($M$16=H$18,$M$14&lt;&gt;$M$15,$M$16=$M$17,RIGHT($M37,3)="2SP"),VLOOKUP(CONCATENATE(LEFT($M37,2),"L"),$R$63:$T$90,3,FALSE),0)-IF(AND($N$16=H$18,$N$14&lt;&gt;$N$15,$N$16=$N$17,RIGHT($N37,3)="2SP"),VLOOKUP(CONCATENATE(LEFT($N37,2),"L"),$R$63:$T$90,3,FALSE),0)-IF(AND($O$16=H$18,$O$14&lt;&gt;$O$15,$O$16=$O$17,RIGHT($O37,3)="2SP"),VLOOKUP(CONCATENATE(LEFT($O37,2),"L"),$R$63:$T$90,3,FALSE),0)-IF(AND($P$16=H$18,$P$14&lt;&gt;$P$15,$P$16=$P$17,RIGHT($P37,3)="2SP"),VLOOKUP(CONCATENATE(LEFT($P37,2),"L"),$R$63:$T$90,3,FALSE),0)-IF(AND($Q$16=H$18,$Q$14&lt;&gt;$Q$15,$Q$16=$Q$17,RIGHT($Q37,3)="2SP"),VLOOKUP(CONCATENATE(LEFT($Q37,2),"L"),$R$63:$T$90,3,FALSE),0)-IF(AND($T$16=H$18,$T$14&lt;&gt;$T$15,$T$16=$T$17,RIGHT($T37,3)="2SP"),VLOOKUP(CONCATENATE(LEFT($T37,2),"L"),$R$63:$T$90,3,FALSE),0)-IF(AND($U$16=H$18,$U$14&lt;&gt;$U$15,$U$16=$U$17,RIGHT($U37,3)="2SP"),VLOOKUP(CONCATENATE(LEFT($U37,2),"L"),$R$63:$T$90,3,FALSE),0)-IF(AND($V$16=H$18,$V$14&lt;&gt;$V$15,$V$16=$V$17,RIGHT($V37,3)="2SP"),VLOOKUP(CONCATENATE(LEFT($V37,2),"L"),$R$63:$T$90,3,FALSE),0)-IF(AND($W$16=H$18,$W$14&lt;&gt;$W$15,$W$16=$W$17,RIGHT($W37,3)="2SP"),VLOOKUP(CONCATENATE(LEFT($W37,2),"L"),$R$63:$T$90,3,FALSE),0)-IF(AND($X$16=H$18,$X$14&lt;&gt;$X$15,$X$16=$X$17,RIGHT($X37,3)="2SP"),VLOOKUP(CONCATENATE(LEFT($X37,2),"L"),$R$63:$T$90,3,FALSE),0)-IF(AND($Y$16=H$18,$Y$14&lt;&gt;$Y$15,$Y$16=$Y$17,RIGHT($Y37,3)="2SP"),VLOOKUP(CONCATENATE(LEFT($Y37,2),"L"),$R$63:$T$90,3,FALSE),0)+IF(AND($K$6="CE",$T$59="2 Phases",H$18&lt;&gt;""),IF(VLOOKUP(CONCATENATE($A$18,"Line"),'Supply Attribution'!$F$31:$G$37,2,FALSE)="Line3",$A37,0)+IF(VLOOKUP(CONCATENATE($B$18,"Line"),'Supply Attribution'!$F$31:$G$37,2,FALSE)="Line3",$B37,0)+IF(VLOOKUP(CONCATENATE($C$18,"Line"),'Supply Attribution'!$F$31:$G$37,2,FALSE)="Line3",$C37,0)+IF(VLOOKUP(CONCATENATE($D$18,"Line"),'Supply Attribution'!$F$31:$G$37,2,FALSE)="Line3",$D37,0)+IF(VLOOKUP(CONCATENATE($E$18,"Line"),'Supply Attribution'!$F$31:$G$37,2,FALSE)="Line3",$E37,0)+IF(VLOOKUP(CONCATENATE($F$18,"Line"),'Supply Attribution'!$F$31:$G$37,2,FALSE)="Line3",$F37,0)-IF(AND($K$16=I$18,$K$14&lt;&gt;$K$15,$K$16=$K$17,RIGHT($K37,3)="2SP"),VLOOKUP(CONCATENATE(LEFT($K37,2),"L"),$R$63:$T$90,3,FALSE),0)-IF(AND($L$16=I$18,$L$14&lt;&gt;$L$15,$L$16=$L$17,RIGHT($L37,3)="2SP"),VLOOKUP(CONCATENATE(LEFT($L37,2),"L"),$R$63:$T$90,3,FALSE),0)-IF(AND($M$16=I$18,$M$14&lt;&gt;$M$15,$M$16=$M$17,RIGHT($M37,3)="2SP"),VLOOKUP(CONCATENATE(LEFT($M37,2),"L"),$R$63:$T$90,3,FALSE),0)-IF(AND($N$16=I$18,$N$14&lt;&gt;$N$15,$N$16=$N$17,RIGHT($N37,3)="2SP"),VLOOKUP(CONCATENATE(LEFT($N37,2),"L"),$R$63:$T$90,3,FALSE),0)-IF(AND($O$16=I$18,$O$14&lt;&gt;$O$15,$O$16=$O$17,RIGHT($O37,3)="2SP"),VLOOKUP(CONCATENATE(LEFT($O37,2),"L"),$R$63:$T$90,3,FALSE),0)-IF(AND($P$16=I$18,$P$14&lt;&gt;$P$15,$P$16=$P$17,RIGHT($P37,3)="2SP"),VLOOKUP(CONCATENATE(LEFT($P37,2),"L"),$R$63:$T$90,3,FALSE),0)-IF(AND($Q$16=I$18,$Q$14&lt;&gt;$Q$15,$Q$16=$Q$17,RIGHT($Q37,3)="2SP"),VLOOKUP(CONCATENATE(LEFT($Q37,2),"L"),$R$63:$T$90,3,FALSE),0)-IF(AND($T$16=I$18,$T$14&lt;&gt;$T$15,$T$16=$T$17,RIGHT($T37,3)="2SP"),VLOOKUP(CONCATENATE(LEFT($T37,2),"L"),$R$63:$T$90,3,FALSE),0)-IF(AND($U$16=I$18,$U$14&lt;&gt;$U$15,$U$16=$U$17,RIGHT($U37,3)="2SP"),VLOOKUP(CONCATENATE(LEFT($U37,2),"L"),$R$63:$T$90,3,FALSE),0)-IF(AND($V$16=I$18,$V$14&lt;&gt;$V$15,$V$16=$V$17,RIGHT($V37,3)="2SP"),VLOOKUP(CONCATENATE(LEFT($V37,2),"L"),$R$63:$T$90,3,FALSE),0)-IF(AND($W$16=I$18,$W$14&lt;&gt;$W$15,$W$16=$W$17,RIGHT($W37,3)="2SP"),VLOOKUP(CONCATENATE(LEFT($W37,2),"L"),$R$63:$T$90,3,FALSE),0)-IF(AND($X$16=I$18,$X$14&lt;&gt;$X$15,$X$16=$X$17,RIGHT($X37,3)="2SP"),VLOOKUP(CONCATENATE(LEFT($X37,2),"L"),$R$63:$T$90,3,FALSE),0)-IF(AND($Y$16=I$18,$Y$14&lt;&gt;$Y$15,$Y$16=$Y$17,RIGHT($Y37,3)="2SP"),VLOOKUP(CONCATENATE(LEFT($Y37,2),"L"),$R$63:$T$90,3,FALSE),0),0),"")</f>
        <v/>
      </c>
      <c r="I37" s="271" t="str">
        <f>IF(I$18&lt;&gt;"",IF(VLOOKUP(CONCATENATE($A$18,"Line"),'Supply Attribution'!$F$31:$G$37,2,FALSE)=I$18,$A37,0)+IF(VLOOKUP(CONCATENATE($B$18,"Line"),'Supply Attribution'!$F$31:$G$37,2,FALSE)=I$18,$B37,0)+IF(VLOOKUP(CONCATENATE($C$18,"Line"),'Supply Attribution'!$F$31:$G$37,2,FALSE)=I$18,$C37,0)+IF(VLOOKUP(CONCATENATE($D$18,"Line"),'Supply Attribution'!$F$31:$G$37,2,FALSE)=I$18,$D37,0)+IF(VLOOKUP(CONCATENATE($E$18,"Line"),'Supply Attribution'!$F$31:$G$37,2,FALSE)=I$18,$E37,0)+IF(VLOOKUP(CONCATENATE($F$18,"Line"),'Supply Attribution'!$F$31:$G$37,2,FALSE)=I$18,$F37,0)+IF($K$6="UL",LEFT($S$90,2),0)-IF(AND($K$16=I$18,$K$14&lt;&gt;$K$15,$K$16=$K$17,RIGHT($K37,3)="2SP"),VLOOKUP(CONCATENATE(LEFT($K37,2),"L"),$R$63:$T$90,3,FALSE),0)-IF(AND($L$16=I$18,$L$14&lt;&gt;$L$15,$L$16=$L$17,RIGHT($L37,3)="2SP"),VLOOKUP(CONCATENATE(LEFT($L37,2),"L"),$R$63:$T$90,3,FALSE),0)-IF(AND($M$16=I$18,$M$14&lt;&gt;$M$15,$M$16=$M$17,RIGHT($M37,3)="2SP"),VLOOKUP(CONCATENATE(LEFT($M37,2),"L"),$R$63:$T$90,3,FALSE),0)-IF(AND($N$16=I$18,$N$14&lt;&gt;$N$15,$N$16=$N$17,RIGHT($N37,3)="2SP"),VLOOKUP(CONCATENATE(LEFT($N37,2),"L"),$R$63:$T$90,3,FALSE),0)-IF(AND($O$16=I$18,$O$14&lt;&gt;$O$15,$O$16=$O$17,RIGHT($O37,3)="2SP"),VLOOKUP(CONCATENATE(LEFT($O37,2),"L"),$R$63:$T$90,3,FALSE),0)-IF(AND($P$16=I$18,$P$14&lt;&gt;$P$15,$P$16=$P$17,RIGHT($P37,3)="2SP"),VLOOKUP(CONCATENATE(LEFT($P37,2),"L"),$R$63:$T$90,3,FALSE),0)-IF(AND($Q$16=I$18,$Q$14&lt;&gt;$Q$15,$Q$16=$Q$17,RIGHT($Q37,3)="2SP"),VLOOKUP(CONCATENATE(LEFT($Q37,2),"L"),$R$63:$T$90,3,FALSE),0)-IF(AND($T$16=I$18,$T$14&lt;&gt;$T$15,$T$16=$T$17,RIGHT($T37,3)="2SP"),VLOOKUP(CONCATENATE(LEFT($T37,2),"L"),$R$63:$T$90,3,FALSE),0)-IF(AND($U$16=I$18,$U$14&lt;&gt;$U$15,$U$16=$U$17,RIGHT($U37,3)="2SP"),VLOOKUP(CONCATENATE(LEFT($U37,2),"L"),$R$63:$T$90,3,FALSE),0)-IF(AND($V$16=I$18,$V$14&lt;&gt;$V$15,$V$16=$V$17,RIGHT($V37,3)="2SP"),VLOOKUP(CONCATENATE(LEFT($V37,2),"L"),$R$63:$T$90,3,FALSE),0)-IF(AND($W$16=I$18,$W$14&lt;&gt;$W$15,$W$16=$W$17,RIGHT($W37,3)="2SP"),VLOOKUP(CONCATENATE(LEFT($W37,2),"L"),$R$63:$T$90,3,FALSE),0)-IF(AND($X$16=I$18,$X$14&lt;&gt;$X$15,$X$16=$X$17,RIGHT($X37,3)="2SP"),VLOOKUP(CONCATENATE(LEFT($X37,2),"L"),$R$63:$T$90,3,FALSE),0)-IF(AND($Y$16=I$18,$Y$14&lt;&gt;$Y$15,$Y$16=$Y$17,RIGHT($Y37,3)="2SP"),VLOOKUP(CONCATENATE(LEFT($Y37,2),"L"),$R$63:$T$90,3,FALSE),0),"")</f>
        <v/>
      </c>
      <c r="J37" s="129"/>
      <c r="K37" s="159"/>
      <c r="L37" s="159"/>
      <c r="M37" s="159"/>
      <c r="N37" s="159"/>
      <c r="O37" s="159"/>
      <c r="P37" s="159"/>
      <c r="Q37" s="130"/>
      <c r="R37" s="130"/>
      <c r="S37" s="130"/>
      <c r="T37" s="130"/>
      <c r="U37" s="130"/>
      <c r="V37" s="130"/>
      <c r="W37" s="130"/>
      <c r="X37" s="130"/>
      <c r="Y37" s="130"/>
      <c r="Z37" s="131"/>
      <c r="AA37" s="131"/>
      <c r="AB37" s="132"/>
      <c r="AC37" s="132"/>
      <c r="AD37" s="132"/>
      <c r="AE37" s="133">
        <f t="shared" si="0"/>
        <v>0</v>
      </c>
      <c r="AF37" s="78"/>
    </row>
    <row r="38" spans="1:32">
      <c r="A38" s="270">
        <f>IF(AND($K38&lt;&gt;"",$K38&lt;&gt;"--",$K38&lt;&gt;"O3/CP",$K$14=A$18),IF(LEFT($K38,1)="P",VLOOKUP(CONCATENATE(LEFT($K38,2),"H"),$R$63:$T$91,3,FALSE),VLOOKUP($K38,$R$63:$T$91,3,FALSE)))+IF(AND($K38&lt;&gt;"",$K38&lt;&gt;"O3/CP",$K$15=A$18,MID($K38,4,1)="2",$K$15&lt;&gt;$K$14),VLOOKUP(CONCATENATE(LEFT($K38,2),"L"),$R$63:$T$91,3,FALSE),0)+IF(AND($K38="O3/CP",$K$14=A$18),VLOOKUP("O3",$R$63:$T$91,3,FALSE)+VLOOKUP("CP",$R$63:$T$91,3,FALSE),0)+IF(AND($L38&lt;&gt;"",$L38&lt;&gt;"--",$L38&lt;&gt;"O3/CP",$L$14=A$18),IF(LEFT($L38,1)="P",VLOOKUP(CONCATENATE(LEFT($L38,2),"H"),$R$63:$T$91,3,FALSE),VLOOKUP($L38,$R$63:$T$91,3,FALSE)))+IF(AND($L38&lt;&gt;"",$L38&lt;&gt;"O3/CP",$L$15=A$18,MID($L38,4,1)="2",$L$15&lt;&gt;$L$14),VLOOKUP(CONCATENATE(LEFT($L38,2),"L"),$R$63:$T$91,3,FALSE),0)+IF(AND($L38="O3/CP",$L$14=A$18),VLOOKUP("O3",$R$63:$T$91,3,FALSE)+VLOOKUP("CP",$R$63:$T$91,3,FALSE),0)+IF(AND($M38&lt;&gt;"",$M38&lt;&gt;"--",$M38&lt;&gt;"O3/CP",$M$14=A$18),IF(LEFT($M38,1)="P",VLOOKUP(CONCATENATE(LEFT($M38,2),"H"),$R$63:$T$91,3,FALSE),VLOOKUP($M38,$R$63:$T$91,3,FALSE)))+IF(AND($M38&lt;&gt;"",$M38&lt;&gt;"O3/CP",$M$15=A$18,MID($M38,4,1)="2",$M$15&lt;&gt;$M$14),VLOOKUP(CONCATENATE(LEFT($M38,2),"L"),$R$63:$T$91,3,FALSE),0)+IF(AND($M38="O3/CP",$M$14=A$18),VLOOKUP("O3",$R$63:$T$91,3,FALSE)+VLOOKUP("CP",$R$63:$T$91,3,FALSE),0)+IF(AND($N38&lt;&gt;"",$N38&lt;&gt;"--",$N38&lt;&gt;"O3/CP",$N$14=A$18),IF(LEFT($N38,1)="P",VLOOKUP(CONCATENATE(LEFT($N38,2),"H"),$R$63:$T$91,3,FALSE),VLOOKUP($N38,$R$63:$T$91,3,FALSE)))+IF(AND($N38&lt;&gt;"",$N38&lt;&gt;"O3/CP",$N$15=A$18,MID($N38,4,1)="2",$N$15&lt;&gt;$N$14),VLOOKUP(CONCATENATE(LEFT($N38,2),"L"),$R$63:$T$91,3,FALSE),0)+IF(AND($N38="O3/CP",$N$14=A$18),VLOOKUP("O3",$R$63:$T$91,3,FALSE)+VLOOKUP("CP",$R$63:$T$91,3,FALSE),0)+IF(AND($O38&lt;&gt;"",$O38&lt;&gt;"--",$O38&lt;&gt;"O3/CP",$O$14=A$18),IF(LEFT($O38,1)="P",VLOOKUP(CONCATENATE(LEFT($O38,2),"H"),$R$63:$T$91,3,FALSE),VLOOKUP($O38,$R$63:$T$91,3,FALSE)))+IF(AND($O38&lt;&gt;"",$O38&lt;&gt;"O3/CP",$O$15=A$18,MID($O38,4,1)="2",$O$15&lt;&gt;$O$14),VLOOKUP(CONCATENATE(LEFT($O38,2),"L"),$R$63:$T$91,3,FALSE),0)+IF(AND($O38="O3/CP",$O$14=A$18),VLOOKUP("O3",$R$63:$T$91,3,FALSE)+VLOOKUP("CP",$R$63:$T$91,3,FALSE),0)+IF(AND($P38&lt;&gt;"",$P38&lt;&gt;"--",$P38&lt;&gt;"O3/CP",$P$14=A$18),IF(LEFT($P38,1)="P",VLOOKUP(CONCATENATE(LEFT($P38,2),"H"),$R$63:$T$91,3,FALSE),VLOOKUP($P38,$R$63:$T$91,3,FALSE)))+IF(AND($P38&lt;&gt;"",$P38&lt;&gt;"O3/CP",$P$15=A$18,MID($P38,4,1)="2",$P$15&lt;&gt;$P$14),VLOOKUP(CONCATENATE(LEFT($P38,2),"L"),$R$63:$T$91,3,FALSE),0)+IF(AND($P38="O3/CP",$P$14=A$18),VLOOKUP("O3",$R$63:$T$91,3,FALSE)+VLOOKUP("CP",$R$63:$T$91,3,FALSE),0)+IF(AND($Q38&lt;&gt;"",$Q38&lt;&gt;"--",$Q38&lt;&gt;"O3/CP",$Q$14=A$18),IF(LEFT($Q38,1)="P",VLOOKUP(CONCATENATE(LEFT($Q38,2),"H"),$R$63:$T$91,3,FALSE),VLOOKUP($Q38,$R$63:$T$91,3,FALSE)))+IF(AND($Q38&lt;&gt;"",$Q38&lt;&gt;"O3/CP",$Q$15=A$18,MID($Q38,4,1)="2",$Q$15&lt;&gt;$Q$14),VLOOKUP(CONCATENATE(LEFT($Q38,2),"L"),$R$63:$T$91,3,FALSE),0)+IF(AND($Q38="O3/CP",$Q$14=A$18),VLOOKUP("O3",$R$63:$T$91,3,FALSE)+VLOOKUP("CP",$R$63:$T$91,3,FALSE),0)+IF(AND($R38&lt;&gt;"",$R38&lt;&gt;"--",$R38&lt;&gt;"O3/CP",$R$14=A$18),IF(LEFT($R38,1)="P",VLOOKUP(CONCATENATE(LEFT($R38,2),"H"),$R$63:$T$91,3,FALSE),VLOOKUP($R38,$R$63:$T$91,3,FALSE)))+IF(AND($R38&lt;&gt;"",$R38&lt;&gt;"O3/CP",$R$15=A$18,MID($R38,4,1)="2",$R$15&lt;&gt;$R$14),VLOOKUP(CONCATENATE(LEFT($R38,2),"L"),$R$63:$T$91,3,FALSE),0)+IF(AND($R38="O3/CP",$R$14=A$18),VLOOKUP("O3",$R$63:$T$91,3,FALSE)+VLOOKUP("CP",$R$63:$T$91,3,FALSE),0)+IF(AND($S38&lt;&gt;"",$S38&lt;&gt;"--",$S38&lt;&gt;"O3/CP",$S$14=A$18),IF(LEFT($S38,1)="P",VLOOKUP(CONCATENATE(LEFT($S38,2),"H"),$R$63:$T$91,3,FALSE),VLOOKUP($S38,$R$63:$T$91,3,FALSE)))+IF(AND($S38&lt;&gt;"",$S38&lt;&gt;"O3/CP",$S$15=A$18,MID($S38,4,1)="2",$S$15&lt;&gt;$S$14),VLOOKUP(CONCATENATE(LEFT($S38,2),"L"),$R$63:$T$91,3,FALSE),0)+IF(AND($S38="O3/CP",$S$14=A$18),VLOOKUP("O3",$R$63:$T$91,3,FALSE)+VLOOKUP("CP",$R$63:$T$91,3,FALSE),0)+IF(AND($T38&lt;&gt;"",$T38&lt;&gt;"--",$T38&lt;&gt;"O3/CP",$T$14=A$18),IF(LEFT($T38,1)="P",VLOOKUP(CONCATENATE(LEFT($T38,2),"H"),$R$63:$T$91,3,FALSE),VLOOKUP($T38,$R$63:$T$91,3,FALSE)))+IF(AND($T38&lt;&gt;"",$T38&lt;&gt;"O3/CP",$T$15=A$18,MID($T38,4,1)="2",$T$15&lt;&gt;$T$14),VLOOKUP(CONCATENATE(LEFT($T38,2),"L"),$R$63:$T$91,3,FALSE),0)+IF(AND($T38="O3/CP",$T$14=A$18),VLOOKUP("O3",$R$63:$T$91,3,FALSE)+VLOOKUP("CP",$R$63:$T$91,3,FALSE),0)+IF(AND($U38&lt;&gt;"",$U38&lt;&gt;"--",$U38&lt;&gt;"O3/CP",$U$14=A$18),IF(LEFT($U38,1)="P",VLOOKUP(CONCATENATE(LEFT($U38,2),"H"),$R$63:$T$91,3,FALSE),VLOOKUP($U38,$R$63:$T$91,3,FALSE)))+IF(AND($U38&lt;&gt;"",$U38&lt;&gt;"O3/CP",$U$15=A$18,MID($U38,4,1)="2",$U$15&lt;&gt;$U$14),VLOOKUP(CONCATENATE(LEFT($U38,2),"L"),$R$63:$T$91,3,FALSE),0)+IF(AND($U38="O3/CP",$T$14=A$18),VLOOKUP("O3",$R$63:$T$91,3,FALSE)+VLOOKUP("CP",$R$63:$T$91,3,FALSE),0)+IF(AND($V38&lt;&gt;"",$V38&lt;&gt;"--",$V38&lt;&gt;"O3/CP",$V$14=A$18),IF(LEFT($V38,1)="P",VLOOKUP(CONCATENATE(LEFT($V38,2),"H"),$R$63:$T$91,3,FALSE),VLOOKUP($V38,$R$63:$T$91,3,FALSE)))+IF(AND($V38&lt;&gt;"",$V38&lt;&gt;"O3/CP",$V$15=A$18,MID($V38,4,1)="2",$V$15&lt;&gt;$V$14),VLOOKUP(CONCATENATE(LEFT($V38,2),"L"),$R$63:$T$91,3,FALSE),0)+IF(AND($V38="O3/CP",$V$14=A$18),VLOOKUP("O3",$R$63:$T$91,3,FALSE)+VLOOKUP("CP",$R$63:$T$91,3,FALSE),0)+IF(AND($W38&lt;&gt;"",$W38&lt;&gt;"--",$W38&lt;&gt;"O3/CP",$W$14=A$18),IF(LEFT($W38,1)="P",VLOOKUP(CONCATENATE(LEFT($W38,2),"H"),$R$63:$T$91,3,FALSE),VLOOKUP($W38,$R$63:$T$91,3,FALSE)))+IF(AND($W38&lt;&gt;"",$W38&lt;&gt;"O3/CP",$W$15=A$18,MID($W38,4,1)="2",$W$15&lt;&gt;$W$14),VLOOKUP(CONCATENATE(LEFT($W38,2),"L"),$R$63:$T$91,3,FALSE),0)+IF(AND($W38="O3/CP",$W$14=A$18),VLOOKUP("O3",$R$63:$T$91,3,FALSE)+VLOOKUP("CP",$R$63:$T$91,3,FALSE),0)+IF(AND($X38&lt;&gt;"",$X38&lt;&gt;"--",$X38&lt;&gt;"O3/CP",$X$14=A$18),IF(LEFT($X38,1)="P",VLOOKUP(CONCATENATE(LEFT($X38,2),"H"),$R$63:$T$91,3,FALSE),VLOOKUP($X38,$R$63:$T$91,3,FALSE)))+IF(AND($X38&lt;&gt;"",$X38&lt;&gt;"O3/CP",$X$15=A$18,MID($X38,4,1)="2",$X$15&lt;&gt;$X$14),VLOOKUP(CONCATENATE(LEFT($X38,2),"L"),$R$63:$T$91,3,FALSE),0)+IF(AND($X38="O3/CP",$X$14=A$18),VLOOKUP("O3",$R$63:$T$91,3,FALSE)+VLOOKUP("CP",$R$63:$T$91,3,FALSE),0)+IF(AND($Y38&lt;&gt;"",$Y38&lt;&gt;"--",$Y38&lt;&gt;"O3/CP",$Y$14=A$18),IF(LEFT($Y38,1)="P",VLOOKUP(CONCATENATE(LEFT($Y38,2),"H"),$R$63:$T$91,3,FALSE),VLOOKUP($Y38,$R$63:$T$91,3,FALSE)))+IF(AND($Y38&lt;&gt;"",$Y38&lt;&gt;"O3/CP",$Y$15=A$18,MID($Y38,4,1)="2",$Y$15&lt;&gt;$Y$14),VLOOKUP(CONCATENATE(LEFT($Y38,2),"L"),$R$63:$T$91,3,FALSE),0)+IF(AND($Y38="O3/CP",$Y$14=A$18),VLOOKUP("O3",$R$63:$T$91,3,FALSE)+VLOOKUP("CP",$R$63:$T$91,3,FALSE),0)+IF(AND($K$6="CE",'[3]Supply Attribution'!$G$20=A$18),LEFT($S$90,2),0)+IF(AND($X$86&lt;&gt;"Not Set",$X$87=A$18),$X$86,0)</f>
        <v>0</v>
      </c>
      <c r="B38" s="269">
        <f>IF(AND($K38&lt;&gt;"",$K38&lt;&gt;"--",$K38&lt;&gt;"O3/CP",$K$14=B$18),IF(LEFT($K38,1)="P",VLOOKUP(CONCATENATE(LEFT($K38,2),"H"),$R$63:$T$91,3,FALSE),VLOOKUP($K38,$R$63:$T$91,3,FALSE)))+IF(AND($K38&lt;&gt;"",$K38&lt;&gt;"O3/CP",$K$15=B$18,MID($K38,4,1)="2",$K$15&lt;&gt;$K$14),VLOOKUP(CONCATENATE(LEFT($K38,2),"L"),$R$63:$T$91,3,FALSE),0)+IF(AND($K38="O3/CP",$K$14=B$18),VLOOKUP("O3",$R$63:$T$91,3,FALSE)+VLOOKUP("CP",$R$63:$T$91,3,FALSE),0)+IF(AND($L38&lt;&gt;"",$L38&lt;&gt;"--",$L38&lt;&gt;"O3/CP",$L$14=B$18),IF(LEFT($L38,1)="P",VLOOKUP(CONCATENATE(LEFT($L38,2),"H"),$R$63:$T$91,3,FALSE),VLOOKUP($L38,$R$63:$T$91,3,FALSE)))+IF(AND($L38&lt;&gt;"",$L38&lt;&gt;"O3/CP",$L$15=B$18,MID($L38,4,1)="2",$L$15&lt;&gt;$L$14),VLOOKUP(CONCATENATE(LEFT($L38,2),"L"),$R$63:$T$91,3,FALSE),0)+IF(AND($L38="O3/CP",$L$14=B$18),VLOOKUP("O3",$R$63:$T$91,3,FALSE)+VLOOKUP("CP",$R$63:$T$91,3,FALSE),0)+IF(AND($M38&lt;&gt;"",$M38&lt;&gt;"--",$M38&lt;&gt;"O3/CP",$M$14=B$18),IF(LEFT($M38,1)="P",VLOOKUP(CONCATENATE(LEFT($M38,2),"H"),$R$63:$T$91,3,FALSE),VLOOKUP($M38,$R$63:$T$91,3,FALSE)))+IF(AND($M38&lt;&gt;"",$M38&lt;&gt;"O3/CP",$M$15=B$18,MID($M38,4,1)="2",$M$15&lt;&gt;$M$14),VLOOKUP(CONCATENATE(LEFT($M38,2),"L"),$R$63:$T$91,3,FALSE),0)+IF(AND($M38="O3/CP",$M$14=B$18),VLOOKUP("O3",$R$63:$T$91,3,FALSE)+VLOOKUP("CP",$R$63:$T$91,3,FALSE),0)+IF(AND($N38&lt;&gt;"",$N38&lt;&gt;"--",$N38&lt;&gt;"O3/CP",$N$14=B$18),IF(LEFT($N38,1)="P",VLOOKUP(CONCATENATE(LEFT($N38,2),"H"),$R$63:$T$91,3,FALSE),VLOOKUP($N38,$R$63:$T$91,3,FALSE)))+IF(AND($N38&lt;&gt;"",$N38&lt;&gt;"O3/CP",$N$15=B$18,MID($N38,4,1)="2",$N$15&lt;&gt;$N$14),VLOOKUP(CONCATENATE(LEFT($N38,2),"L"),$R$63:$T$91,3,FALSE),0)+IF(AND($N38="O3/CP",$N$14=B$18),VLOOKUP("O3",$R$63:$T$91,3,FALSE)+VLOOKUP("CP",$R$63:$T$91,3,FALSE),0)+IF(AND($O38&lt;&gt;"",$O38&lt;&gt;"--",$O38&lt;&gt;"O3/CP",$O$14=B$18),IF(LEFT($O38,1)="P",VLOOKUP(CONCATENATE(LEFT($O38,2),"H"),$R$63:$T$91,3,FALSE),VLOOKUP($O38,$R$63:$T$91,3,FALSE)))+IF(AND($O38&lt;&gt;"",$O38&lt;&gt;"O3/CP",$O$15=B$18,MID($O38,4,1)="2",$O$15&lt;&gt;$O$14),VLOOKUP(CONCATENATE(LEFT($O38,2),"L"),$R$63:$T$91,3,FALSE),0)+IF(AND($O38="O3/CP",$O$14=B$18),VLOOKUP("O3",$R$63:$T$91,3,FALSE)+VLOOKUP("CP",$R$63:$T$91,3,FALSE),0)+IF(AND($P38&lt;&gt;"",$P38&lt;&gt;"--",$P38&lt;&gt;"O3/CP",$P$14=B$18),IF(LEFT($P38,1)="P",VLOOKUP(CONCATENATE(LEFT($P38,2),"H"),$R$63:$T$91,3,FALSE),VLOOKUP($P38,$R$63:$T$91,3,FALSE)))+IF(AND($P38&lt;&gt;"",$P38&lt;&gt;"O3/CP",$P$15=B$18,MID($P38,4,1)="2",$P$15&lt;&gt;$P$14),VLOOKUP(CONCATENATE(LEFT($P38,2),"L"),$R$63:$T$91,3,FALSE),0)+IF(AND($P38="O3/CP",$P$14=B$18),VLOOKUP("O3",$R$63:$T$91,3,FALSE)+VLOOKUP("CP",$R$63:$T$91,3,FALSE),0)+IF(AND($Q38&lt;&gt;"",$Q38&lt;&gt;"--",$Q38&lt;&gt;"O3/CP",$Q$14=B$18),IF(LEFT($Q38,1)="P",VLOOKUP(CONCATENATE(LEFT($Q38,2),"H"),$R$63:$T$91,3,FALSE),VLOOKUP($Q38,$R$63:$T$91,3,FALSE)))+IF(AND($Q38&lt;&gt;"",$Q38&lt;&gt;"O3/CP",$Q$15=B$18,MID($Q38,4,1)="2",$Q$15&lt;&gt;$Q$14),VLOOKUP(CONCATENATE(LEFT($Q38,2),"L"),$R$63:$T$91,3,FALSE),0)+IF(AND($Q38="O3/CP",$Q$14=B$18),VLOOKUP("O3",$R$63:$T$91,3,FALSE)+VLOOKUP("CP",$R$63:$T$91,3,FALSE),0)+IF(AND($R38&lt;&gt;"",$R38&lt;&gt;"--",$R38&lt;&gt;"O3/CP",$R$14=B$18),IF(LEFT($R38,1)="P",VLOOKUP(CONCATENATE(LEFT($R38,2),"H"),$R$63:$T$91,3,FALSE),VLOOKUP($R38,$R$63:$T$91,3,FALSE)))+IF(AND($R38&lt;&gt;"",$R38&lt;&gt;"O3/CP",$R$15=B$18,MID($R38,4,1)="2",$R$15&lt;&gt;$R$14),VLOOKUP(CONCATENATE(LEFT($R38,2),"L"),$R$63:$T$91,3,FALSE),0)+IF(AND($R38="O3/CP",$R$14=B$18),VLOOKUP("O3",$R$63:$T$91,3,FALSE)+VLOOKUP("CP",$R$63:$T$91,3,FALSE),0)+IF(AND($S38&lt;&gt;"",$S38&lt;&gt;"--",$S38&lt;&gt;"O3/CP",$S$14=B$18),IF(LEFT($S38,1)="P",VLOOKUP(CONCATENATE(LEFT($S38,2),"H"),$R$63:$T$91,3,FALSE),VLOOKUP($S38,$R$63:$T$91,3,FALSE)))+IF(AND($S38&lt;&gt;"",$S38&lt;&gt;"O3/CP",$S$15=B$18,MID($S38,4,1)="2",$S$15&lt;&gt;$S$14),VLOOKUP(CONCATENATE(LEFT($S38,2),"L"),$R$63:$T$91,3,FALSE),0)+IF(AND($S38="O3/CP",$S$14=B$18),VLOOKUP("O3",$R$63:$T$91,3,FALSE)+VLOOKUP("CP",$R$63:$T$91,3,FALSE),0)+IF(AND($T38&lt;&gt;"",$T38&lt;&gt;"--",$T38&lt;&gt;"O3/CP",$T$14=B$18),IF(LEFT($T38,1)="P",VLOOKUP(CONCATENATE(LEFT($T38,2),"H"),$R$63:$T$91,3,FALSE),VLOOKUP($T38,$R$63:$T$91,3,FALSE)))+IF(AND($T38&lt;&gt;"",$T38&lt;&gt;"O3/CP",$T$15=B$18,MID($T38,4,1)="2",$T$15&lt;&gt;$T$14),VLOOKUP(CONCATENATE(LEFT($T38,2),"L"),$R$63:$T$91,3,FALSE),0)+IF(AND($T38="O3/CP",$T$14=B$18),VLOOKUP("O3",$R$63:$T$91,3,FALSE)+VLOOKUP("CP",$R$63:$T$91,3,FALSE),0)+IF(AND($U38&lt;&gt;"",$U38&lt;&gt;"--",$U38&lt;&gt;"O3/CP",$U$14=B$18),IF(LEFT($U38,1)="P",VLOOKUP(CONCATENATE(LEFT($U38,2),"H"),$R$63:$T$91,3,FALSE),VLOOKUP($U38,$R$63:$T$91,3,FALSE)))+IF(AND($U38&lt;&gt;"",$U38&lt;&gt;"O3/CP",$U$15=B$18,MID($U38,4,1)="2",$U$15&lt;&gt;$U$14),VLOOKUP(CONCATENATE(LEFT($U38,2),"L"),$R$63:$T$91,3,FALSE),0)+IF(AND($U38="O3/CP",$T$14=B$18),VLOOKUP("O3",$R$63:$T$91,3,FALSE)+VLOOKUP("CP",$R$63:$T$91,3,FALSE),0)+IF(AND($V38&lt;&gt;"",$V38&lt;&gt;"--",$V38&lt;&gt;"O3/CP",$V$14=B$18),IF(LEFT($V38,1)="P",VLOOKUP(CONCATENATE(LEFT($V38,2),"H"),$R$63:$T$91,3,FALSE),VLOOKUP($V38,$R$63:$T$91,3,FALSE)))+IF(AND($V38&lt;&gt;"",$V38&lt;&gt;"O3/CP",$V$15=B$18,MID($V38,4,1)="2",$V$15&lt;&gt;$V$14),VLOOKUP(CONCATENATE(LEFT($V38,2),"L"),$R$63:$T$91,3,FALSE),0)+IF(AND($V38="O3/CP",$V$14=B$18),VLOOKUP("O3",$R$63:$T$91,3,FALSE)+VLOOKUP("CP",$R$63:$T$91,3,FALSE),0)+IF(AND($W38&lt;&gt;"",$W38&lt;&gt;"--",$W38&lt;&gt;"O3/CP",$W$14=B$18),IF(LEFT($W38,1)="P",VLOOKUP(CONCATENATE(LEFT($W38,2),"H"),$R$63:$T$91,3,FALSE),VLOOKUP($W38,$R$63:$T$91,3,FALSE)))+IF(AND($W38&lt;&gt;"",$W38&lt;&gt;"O3/CP",$W$15=B$18,MID($W38,4,1)="2",$W$15&lt;&gt;$W$14),VLOOKUP(CONCATENATE(LEFT($W38,2),"L"),$R$63:$T$91,3,FALSE),0)+IF(AND($W38="O3/CP",$W$14=B$18),VLOOKUP("O3",$R$63:$T$91,3,FALSE)+VLOOKUP("CP",$R$63:$T$91,3,FALSE),0)+IF(AND($X38&lt;&gt;"",$X38&lt;&gt;"--",$X38&lt;&gt;"O3/CP",$X$14=B$18),IF(LEFT($X38,1)="P",VLOOKUP(CONCATENATE(LEFT($X38,2),"H"),$R$63:$T$91,3,FALSE),VLOOKUP($X38,$R$63:$T$91,3,FALSE)))+IF(AND($X38&lt;&gt;"",$X38&lt;&gt;"O3/CP",$X$15=B$18,MID($X38,4,1)="2",$X$15&lt;&gt;$X$14),VLOOKUP(CONCATENATE(LEFT($X38,2),"L"),$R$63:$T$91,3,FALSE),0)+IF(AND($X38="O3/CP",$X$14=B$18),VLOOKUP("O3",$R$63:$T$91,3,FALSE)+VLOOKUP("CP",$R$63:$T$91,3,FALSE),0)+IF(AND($Y38&lt;&gt;"",$Y38&lt;&gt;"--",$Y38&lt;&gt;"O3/CP",$Y$14=B$18),IF(LEFT($Y38,1)="P",VLOOKUP(CONCATENATE(LEFT($Y38,2),"H"),$R$63:$T$91,3,FALSE),VLOOKUP($Y38,$R$63:$T$91,3,FALSE)))+IF(AND($Y38&lt;&gt;"",$Y38&lt;&gt;"O3/CP",$Y$15=B$18,MID($Y38,4,1)="2",$Y$15&lt;&gt;$Y$14),VLOOKUP(CONCATENATE(LEFT($Y38,2),"L"),$R$63:$T$91,3,FALSE),0)+IF(AND($Y38="O3/CP",$Y$14=B$18),VLOOKUP("O3",$R$63:$T$91,3,FALSE)+VLOOKUP("CP",$R$63:$T$91,3,FALSE),0)+IF(AND($K$6="CE",'[3]Supply Attribution'!$G$20=B$18),LEFT($S$90,2),0)+IF(AND($X$86&lt;&gt;"Not Set",$X$87=B$18),$X$86,0)</f>
        <v>0</v>
      </c>
      <c r="C38" s="269">
        <f>IF(AND($K38&lt;&gt;"",$K38&lt;&gt;"--",$K38&lt;&gt;"O3/CP",$K$14=C$18),IF(LEFT($K38,1)="P",VLOOKUP(CONCATENATE(LEFT($K38,2),"H"),$R$63:$T$91,3,FALSE),VLOOKUP($K38,$R$63:$T$91,3,FALSE)))+IF(AND($K38&lt;&gt;"",$K38&lt;&gt;"O3/CP",$K$15=C$18,MID($K38,4,1)="2",$K$15&lt;&gt;$K$14),VLOOKUP(CONCATENATE(LEFT($K38,2),"L"),$R$63:$T$91,3,FALSE),0)+IF(AND($K38="O3/CP",$K$14=C$18),VLOOKUP("O3",$R$63:$T$91,3,FALSE)+VLOOKUP("CP",$R$63:$T$91,3,FALSE),0)+IF(AND($L38&lt;&gt;"",$L38&lt;&gt;"--",$L38&lt;&gt;"O3/CP",$L$14=C$18),IF(LEFT($L38,1)="P",VLOOKUP(CONCATENATE(LEFT($L38,2),"H"),$R$63:$T$91,3,FALSE),VLOOKUP($L38,$R$63:$T$91,3,FALSE)))+IF(AND($L38&lt;&gt;"",$L38&lt;&gt;"O3/CP",$L$15=C$18,MID($L38,4,1)="2",$L$15&lt;&gt;$L$14),VLOOKUP(CONCATENATE(LEFT($L38,2),"L"),$R$63:$T$91,3,FALSE),0)+IF(AND($L38="O3/CP",$L$14=C$18),VLOOKUP("O3",$R$63:$T$91,3,FALSE)+VLOOKUP("CP",$R$63:$T$91,3,FALSE),0)+IF(AND($M38&lt;&gt;"",$M38&lt;&gt;"--",$M38&lt;&gt;"O3/CP",$M$14=C$18),IF(LEFT($M38,1)="P",VLOOKUP(CONCATENATE(LEFT($M38,2),"H"),$R$63:$T$91,3,FALSE),VLOOKUP($M38,$R$63:$T$91,3,FALSE)))+IF(AND($M38&lt;&gt;"",$M38&lt;&gt;"O3/CP",$M$15=C$18,MID($M38,4,1)="2",$M$15&lt;&gt;$M$14),VLOOKUP(CONCATENATE(LEFT($M38,2),"L"),$R$63:$T$91,3,FALSE),0)+IF(AND($M38="O3/CP",$M$14=C$18),VLOOKUP("O3",$R$63:$T$91,3,FALSE)+VLOOKUP("CP",$R$63:$T$91,3,FALSE),0)+IF(AND($N38&lt;&gt;"",$N38&lt;&gt;"--",$N38&lt;&gt;"O3/CP",$N$14=C$18),IF(LEFT($N38,1)="P",VLOOKUP(CONCATENATE(LEFT($N38,2),"H"),$R$63:$T$91,3,FALSE),VLOOKUP($N38,$R$63:$T$91,3,FALSE)))+IF(AND($N38&lt;&gt;"",$N38&lt;&gt;"O3/CP",$N$15=C$18,MID($N38,4,1)="2",$N$15&lt;&gt;$N$14),VLOOKUP(CONCATENATE(LEFT($N38,2),"L"),$R$63:$T$91,3,FALSE),0)+IF(AND($N38="O3/CP",$N$14=C$18),VLOOKUP("O3",$R$63:$T$91,3,FALSE)+VLOOKUP("CP",$R$63:$T$91,3,FALSE),0)+IF(AND($O38&lt;&gt;"",$O38&lt;&gt;"--",$O38&lt;&gt;"O3/CP",$O$14=C$18),IF(LEFT($O38,1)="P",VLOOKUP(CONCATENATE(LEFT($O38,2),"H"),$R$63:$T$91,3,FALSE),VLOOKUP($O38,$R$63:$T$91,3,FALSE)))+IF(AND($O38&lt;&gt;"",$O38&lt;&gt;"O3/CP",$O$15=C$18,MID($O38,4,1)="2",$O$15&lt;&gt;$O$14),VLOOKUP(CONCATENATE(LEFT($O38,2),"L"),$R$63:$T$91,3,FALSE),0)+IF(AND($O38="O3/CP",$O$14=C$18),VLOOKUP("O3",$R$63:$T$91,3,FALSE)+VLOOKUP("CP",$R$63:$T$91,3,FALSE),0)+IF(AND($P38&lt;&gt;"",$P38&lt;&gt;"--",$P38&lt;&gt;"O3/CP",$P$14=C$18),IF(LEFT($P38,1)="P",VLOOKUP(CONCATENATE(LEFT($P38,2),"H"),$R$63:$T$91,3,FALSE),VLOOKUP($P38,$R$63:$T$91,3,FALSE)))+IF(AND($P38&lt;&gt;"",$P38&lt;&gt;"O3/CP",$P$15=C$18,MID($P38,4,1)="2",$P$15&lt;&gt;$P$14),VLOOKUP(CONCATENATE(LEFT($P38,2),"L"),$R$63:$T$91,3,FALSE),0)+IF(AND($P38="O3/CP",$P$14=C$18),VLOOKUP("O3",$R$63:$T$91,3,FALSE)+VLOOKUP("CP",$R$63:$T$91,3,FALSE),0)+IF(AND($Q38&lt;&gt;"",$Q38&lt;&gt;"--",$Q38&lt;&gt;"O3/CP",$Q$14=C$18),IF(LEFT($Q38,1)="P",VLOOKUP(CONCATENATE(LEFT($Q38,2),"H"),$R$63:$T$91,3,FALSE),VLOOKUP($Q38,$R$63:$T$91,3,FALSE)))+IF(AND($Q38&lt;&gt;"",$Q38&lt;&gt;"O3/CP",$Q$15=C$18,MID($Q38,4,1)="2",$Q$15&lt;&gt;$Q$14),VLOOKUP(CONCATENATE(LEFT($Q38,2),"L"),$R$63:$T$91,3,FALSE),0)+IF(AND($Q38="O3/CP",$Q$14=C$18),VLOOKUP("O3",$R$63:$T$91,3,FALSE)+VLOOKUP("CP",$R$63:$T$91,3,FALSE),0)+IF(AND($R38&lt;&gt;"",$R38&lt;&gt;"--",$R38&lt;&gt;"O3/CP",$R$14=C$18),IF(LEFT($R38,1)="P",VLOOKUP(CONCATENATE(LEFT($R38,2),"H"),$R$63:$T$91,3,FALSE),VLOOKUP($R38,$R$63:$T$91,3,FALSE)))+IF(AND($R38&lt;&gt;"",$R38&lt;&gt;"O3/CP",$R$15=C$18,MID($R38,4,1)="2",$R$15&lt;&gt;$R$14),VLOOKUP(CONCATENATE(LEFT($R38,2),"L"),$R$63:$T$91,3,FALSE),0)+IF(AND($R38="O3/CP",$R$14=C$18),VLOOKUP("O3",$R$63:$T$91,3,FALSE)+VLOOKUP("CP",$R$63:$T$91,3,FALSE),0)+IF(AND($S38&lt;&gt;"",$S38&lt;&gt;"--",$S38&lt;&gt;"O3/CP",$S$14=C$18),IF(LEFT($S38,1)="P",VLOOKUP(CONCATENATE(LEFT($S38,2),"H"),$R$63:$T$91,3,FALSE),VLOOKUP($S38,$R$63:$T$91,3,FALSE)))+IF(AND($S38&lt;&gt;"",$S38&lt;&gt;"O3/CP",$S$15=C$18,MID($S38,4,1)="2",$S$15&lt;&gt;$S$14),VLOOKUP(CONCATENATE(LEFT($S38,2),"L"),$R$63:$T$91,3,FALSE),0)+IF(AND($S38="O3/CP",$S$14=C$18),VLOOKUP("O3",$R$63:$T$91,3,FALSE)+VLOOKUP("CP",$R$63:$T$91,3,FALSE),0)+IF(AND($T38&lt;&gt;"",$T38&lt;&gt;"--",$T38&lt;&gt;"O3/CP",$T$14=C$18),IF(LEFT($T38,1)="P",VLOOKUP(CONCATENATE(LEFT($T38,2),"H"),$R$63:$T$91,3,FALSE),VLOOKUP($T38,$R$63:$T$91,3,FALSE)))+IF(AND($T38&lt;&gt;"",$T38&lt;&gt;"O3/CP",$T$15=C$18,MID($T38,4,1)="2",$T$15&lt;&gt;$T$14),VLOOKUP(CONCATENATE(LEFT($T38,2),"L"),$R$63:$T$91,3,FALSE),0)+IF(AND($T38="O3/CP",$T$14=C$18),VLOOKUP("O3",$R$63:$T$91,3,FALSE)+VLOOKUP("CP",$R$63:$T$91,3,FALSE),0)+IF(AND($U38&lt;&gt;"",$U38&lt;&gt;"--",$U38&lt;&gt;"O3/CP",$U$14=C$18),IF(LEFT($U38,1)="P",VLOOKUP(CONCATENATE(LEFT($U38,2),"H"),$R$63:$T$91,3,FALSE),VLOOKUP($U38,$R$63:$T$91,3,FALSE)))+IF(AND($U38&lt;&gt;"",$U38&lt;&gt;"O3/CP",$U$15=C$18,MID($U38,4,1)="2",$U$15&lt;&gt;$U$14),VLOOKUP(CONCATENATE(LEFT($U38,2),"L"),$R$63:$T$91,3,FALSE),0)+IF(AND($U38="O3/CP",$T$14=C$18),VLOOKUP("O3",$R$63:$T$91,3,FALSE)+VLOOKUP("CP",$R$63:$T$91,3,FALSE),0)+IF(AND($V38&lt;&gt;"",$V38&lt;&gt;"--",$V38&lt;&gt;"O3/CP",$V$14=C$18),IF(LEFT($V38,1)="P",VLOOKUP(CONCATENATE(LEFT($V38,2),"H"),$R$63:$T$91,3,FALSE),VLOOKUP($V38,$R$63:$T$91,3,FALSE)))+IF(AND($V38&lt;&gt;"",$V38&lt;&gt;"O3/CP",$V$15=C$18,MID($V38,4,1)="2",$V$15&lt;&gt;$V$14),VLOOKUP(CONCATENATE(LEFT($V38,2),"L"),$R$63:$T$91,3,FALSE),0)+IF(AND($V38="O3/CP",$V$14=C$18),VLOOKUP("O3",$R$63:$T$91,3,FALSE)+VLOOKUP("CP",$R$63:$T$91,3,FALSE),0)+IF(AND($W38&lt;&gt;"",$W38&lt;&gt;"--",$W38&lt;&gt;"O3/CP",$W$14=C$18),IF(LEFT($W38,1)="P",VLOOKUP(CONCATENATE(LEFT($W38,2),"H"),$R$63:$T$91,3,FALSE),VLOOKUP($W38,$R$63:$T$91,3,FALSE)))+IF(AND($W38&lt;&gt;"",$W38&lt;&gt;"O3/CP",$W$15=C$18,MID($W38,4,1)="2",$W$15&lt;&gt;$W$14),VLOOKUP(CONCATENATE(LEFT($W38,2),"L"),$R$63:$T$91,3,FALSE),0)+IF(AND($W38="O3/CP",$W$14=C$18),VLOOKUP("O3",$R$63:$T$91,3,FALSE)+VLOOKUP("CP",$R$63:$T$91,3,FALSE),0)+IF(AND($X38&lt;&gt;"",$X38&lt;&gt;"--",$X38&lt;&gt;"O3/CP",$X$14=C$18),IF(LEFT($X38,1)="P",VLOOKUP(CONCATENATE(LEFT($X38,2),"H"),$R$63:$T$91,3,FALSE),VLOOKUP($X38,$R$63:$T$91,3,FALSE)))+IF(AND($X38&lt;&gt;"",$X38&lt;&gt;"O3/CP",$X$15=C$18,MID($X38,4,1)="2",$X$15&lt;&gt;$X$14),VLOOKUP(CONCATENATE(LEFT($X38,2),"L"),$R$63:$T$91,3,FALSE),0)+IF(AND($X38="O3/CP",$X$14=C$18),VLOOKUP("O3",$R$63:$T$91,3,FALSE)+VLOOKUP("CP",$R$63:$T$91,3,FALSE),0)+IF(AND($Y38&lt;&gt;"",$Y38&lt;&gt;"--",$Y38&lt;&gt;"O3/CP",$Y$14=C$18),IF(LEFT($Y38,1)="P",VLOOKUP(CONCATENATE(LEFT($Y38,2),"H"),$R$63:$T$91,3,FALSE),VLOOKUP($Y38,$R$63:$T$91,3,FALSE)))+IF(AND($Y38&lt;&gt;"",$Y38&lt;&gt;"O3/CP",$Y$15=C$18,MID($Y38,4,1)="2",$Y$15&lt;&gt;$Y$14),VLOOKUP(CONCATENATE(LEFT($Y38,2),"L"),$R$63:$T$91,3,FALSE),0)+IF(AND($Y38="O3/CP",$Y$14=C$18),VLOOKUP("O3",$R$63:$T$91,3,FALSE)+VLOOKUP("CP",$R$63:$T$91,3,FALSE),0)+IF(AND($K$6="CE",'[3]Supply Attribution'!$G$20=C$18),LEFT($S$90,2),0)+IF(AND($X$86&lt;&gt;"Not Set",$X$87=C$18),$X$86,0)</f>
        <v>0</v>
      </c>
      <c r="D38" s="269">
        <f>IF(AND($K38&lt;&gt;"",$K38&lt;&gt;"--",$K38&lt;&gt;"O3/CP",$K$14=D$18),IF(LEFT($K38,1)="P",VLOOKUP(CONCATENATE(LEFT($K38,2),"H"),$R$63:$T$91,3,FALSE),VLOOKUP($K38,$R$63:$T$91,3,FALSE)))+IF(AND($K38&lt;&gt;"",$K38&lt;&gt;"O3/CP",$K$15=D$18,MID($K38,4,1)="2",$K$15&lt;&gt;$K$14),VLOOKUP(CONCATENATE(LEFT($K38,2),"L"),$R$63:$T$91,3,FALSE),0)+IF(AND($K38="O3/CP",$K$14=D$18),VLOOKUP("O3",$R$63:$T$91,3,FALSE)+VLOOKUP("CP",$R$63:$T$91,3,FALSE),0)+IF(AND($L38&lt;&gt;"",$L38&lt;&gt;"--",$L38&lt;&gt;"O3/CP",$L$14=D$18),IF(LEFT($L38,1)="P",VLOOKUP(CONCATENATE(LEFT($L38,2),"H"),$R$63:$T$91,3,FALSE),VLOOKUP($L38,$R$63:$T$91,3,FALSE)))+IF(AND($L38&lt;&gt;"",$L38&lt;&gt;"O3/CP",$L$15=D$18,MID($L38,4,1)="2",$L$15&lt;&gt;$L$14),VLOOKUP(CONCATENATE(LEFT($L38,2),"L"),$R$63:$T$91,3,FALSE),0)+IF(AND($L38="O3/CP",$L$14=D$18),VLOOKUP("O3",$R$63:$T$91,3,FALSE)+VLOOKUP("CP",$R$63:$T$91,3,FALSE),0)+IF(AND($M38&lt;&gt;"",$M38&lt;&gt;"--",$M38&lt;&gt;"O3/CP",$M$14=D$18),IF(LEFT($M38,1)="P",VLOOKUP(CONCATENATE(LEFT($M38,2),"H"),$R$63:$T$91,3,FALSE),VLOOKUP($M38,$R$63:$T$91,3,FALSE)))+IF(AND($M38&lt;&gt;"",$M38&lt;&gt;"O3/CP",$M$15=D$18,MID($M38,4,1)="2",$M$15&lt;&gt;$M$14),VLOOKUP(CONCATENATE(LEFT($M38,2),"L"),$R$63:$T$91,3,FALSE),0)+IF(AND($M38="O3/CP",$M$14=D$18),VLOOKUP("O3",$R$63:$T$91,3,FALSE)+VLOOKUP("CP",$R$63:$T$91,3,FALSE),0)+IF(AND($N38&lt;&gt;"",$N38&lt;&gt;"--",$N38&lt;&gt;"O3/CP",$N$14=D$18),IF(LEFT($N38,1)="P",VLOOKUP(CONCATENATE(LEFT($N38,2),"H"),$R$63:$T$91,3,FALSE),VLOOKUP($N38,$R$63:$T$91,3,FALSE)))+IF(AND($N38&lt;&gt;"",$N38&lt;&gt;"O3/CP",$N$15=D$18,MID($N38,4,1)="2",$N$15&lt;&gt;$N$14),VLOOKUP(CONCATENATE(LEFT($N38,2),"L"),$R$63:$T$91,3,FALSE),0)+IF(AND($N38="O3/CP",$N$14=D$18),VLOOKUP("O3",$R$63:$T$91,3,FALSE)+VLOOKUP("CP",$R$63:$T$91,3,FALSE),0)+IF(AND($O38&lt;&gt;"",$O38&lt;&gt;"--",$O38&lt;&gt;"O3/CP",$O$14=D$18),IF(LEFT($O38,1)="P",VLOOKUP(CONCATENATE(LEFT($O38,2),"H"),$R$63:$T$91,3,FALSE),VLOOKUP($O38,$R$63:$T$91,3,FALSE)))+IF(AND($O38&lt;&gt;"",$O38&lt;&gt;"O3/CP",$O$15=D$18,MID($O38,4,1)="2",$O$15&lt;&gt;$O$14),VLOOKUP(CONCATENATE(LEFT($O38,2),"L"),$R$63:$T$91,3,FALSE),0)+IF(AND($O38="O3/CP",$O$14=D$18),VLOOKUP("O3",$R$63:$T$91,3,FALSE)+VLOOKUP("CP",$R$63:$T$91,3,FALSE),0)+IF(AND($P38&lt;&gt;"",$P38&lt;&gt;"--",$P38&lt;&gt;"O3/CP",$P$14=D$18),IF(LEFT($P38,1)="P",VLOOKUP(CONCATENATE(LEFT($P38,2),"H"),$R$63:$T$91,3,FALSE),VLOOKUP($P38,$R$63:$T$91,3,FALSE)))+IF(AND($P38&lt;&gt;"",$P38&lt;&gt;"O3/CP",$P$15=D$18,MID($P38,4,1)="2",$P$15&lt;&gt;$P$14),VLOOKUP(CONCATENATE(LEFT($P38,2),"L"),$R$63:$T$91,3,FALSE),0)+IF(AND($P38="O3/CP",$P$14=D$18),VLOOKUP("O3",$R$63:$T$91,3,FALSE)+VLOOKUP("CP",$R$63:$T$91,3,FALSE),0)+IF(AND($Q38&lt;&gt;"",$Q38&lt;&gt;"--",$Q38&lt;&gt;"O3/CP",$Q$14=D$18),IF(LEFT($Q38,1)="P",VLOOKUP(CONCATENATE(LEFT($Q38,2),"H"),$R$63:$T$91,3,FALSE),VLOOKUP($Q38,$R$63:$T$91,3,FALSE)))+IF(AND($Q38&lt;&gt;"",$Q38&lt;&gt;"O3/CP",$Q$15=D$18,MID($Q38,4,1)="2",$Q$15&lt;&gt;$Q$14),VLOOKUP(CONCATENATE(LEFT($Q38,2),"L"),$R$63:$T$91,3,FALSE),0)+IF(AND($Q38="O3/CP",$Q$14=D$18),VLOOKUP("O3",$R$63:$T$91,3,FALSE)+VLOOKUP("CP",$R$63:$T$91,3,FALSE),0)+IF(AND($R38&lt;&gt;"",$R38&lt;&gt;"--",$R38&lt;&gt;"O3/CP",$R$14=D$18),IF(LEFT($R38,1)="P",VLOOKUP(CONCATENATE(LEFT($R38,2),"H"),$R$63:$T$91,3,FALSE),VLOOKUP($R38,$R$63:$T$91,3,FALSE)))+IF(AND($R38&lt;&gt;"",$R38&lt;&gt;"O3/CP",$R$15=D$18,MID($R38,4,1)="2",$R$15&lt;&gt;$R$14),VLOOKUP(CONCATENATE(LEFT($R38,2),"L"),$R$63:$T$91,3,FALSE),0)+IF(AND($R38="O3/CP",$R$14=D$18),VLOOKUP("O3",$R$63:$T$91,3,FALSE)+VLOOKUP("CP",$R$63:$T$91,3,FALSE),0)+IF(AND($S38&lt;&gt;"",$S38&lt;&gt;"--",$S38&lt;&gt;"O3/CP",$S$14=D$18),IF(LEFT($S38,1)="P",VLOOKUP(CONCATENATE(LEFT($S38,2),"H"),$R$63:$T$91,3,FALSE),VLOOKUP($S38,$R$63:$T$91,3,FALSE)))+IF(AND($S38&lt;&gt;"",$S38&lt;&gt;"O3/CP",$S$15=D$18,MID($S38,4,1)="2",$S$15&lt;&gt;$S$14),VLOOKUP(CONCATENATE(LEFT($S38,2),"L"),$R$63:$T$91,3,FALSE),0)+IF(AND($S38="O3/CP",$S$14=D$18),VLOOKUP("O3",$R$63:$T$91,3,FALSE)+VLOOKUP("CP",$R$63:$T$91,3,FALSE),0)+IF(AND($T38&lt;&gt;"",$T38&lt;&gt;"--",$T38&lt;&gt;"O3/CP",$T$14=D$18),IF(LEFT($T38,1)="P",VLOOKUP(CONCATENATE(LEFT($T38,2),"H"),$R$63:$T$91,3,FALSE),VLOOKUP($T38,$R$63:$T$91,3,FALSE)))+IF(AND($T38&lt;&gt;"",$T38&lt;&gt;"O3/CP",$T$15=D$18,MID($T38,4,1)="2",$T$15&lt;&gt;$T$14),VLOOKUP(CONCATENATE(LEFT($T38,2),"L"),$R$63:$T$91,3,FALSE),0)+IF(AND($T38="O3/CP",$T$14=D$18),VLOOKUP("O3",$R$63:$T$91,3,FALSE)+VLOOKUP("CP",$R$63:$T$91,3,FALSE),0)+IF(AND($U38&lt;&gt;"",$U38&lt;&gt;"--",$U38&lt;&gt;"O3/CP",$U$14=D$18),IF(LEFT($U38,1)="P",VLOOKUP(CONCATENATE(LEFT($U38,2),"H"),$R$63:$T$91,3,FALSE),VLOOKUP($U38,$R$63:$T$91,3,FALSE)))+IF(AND($U38&lt;&gt;"",$U38&lt;&gt;"O3/CP",$U$15=D$18,MID($U38,4,1)="2",$U$15&lt;&gt;$U$14),VLOOKUP(CONCATENATE(LEFT($U38,2),"L"),$R$63:$T$91,3,FALSE),0)+IF(AND($U38="O3/CP",$T$14=D$18),VLOOKUP("O3",$R$63:$T$91,3,FALSE)+VLOOKUP("CP",$R$63:$T$91,3,FALSE),0)+IF(AND($V38&lt;&gt;"",$V38&lt;&gt;"--",$V38&lt;&gt;"O3/CP",$V$14=D$18),IF(LEFT($V38,1)="P",VLOOKUP(CONCATENATE(LEFT($V38,2),"H"),$R$63:$T$91,3,FALSE),VLOOKUP($V38,$R$63:$T$91,3,FALSE)))+IF(AND($V38&lt;&gt;"",$V38&lt;&gt;"O3/CP",$V$15=D$18,MID($V38,4,1)="2",$V$15&lt;&gt;$V$14),VLOOKUP(CONCATENATE(LEFT($V38,2),"L"),$R$63:$T$91,3,FALSE),0)+IF(AND($V38="O3/CP",$V$14=D$18),VLOOKUP("O3",$R$63:$T$91,3,FALSE)+VLOOKUP("CP",$R$63:$T$91,3,FALSE),0)+IF(AND($W38&lt;&gt;"",$W38&lt;&gt;"--",$W38&lt;&gt;"O3/CP",$W$14=D$18),IF(LEFT($W38,1)="P",VLOOKUP(CONCATENATE(LEFT($W38,2),"H"),$R$63:$T$91,3,FALSE),VLOOKUP($W38,$R$63:$T$91,3,FALSE)))+IF(AND($W38&lt;&gt;"",$W38&lt;&gt;"O3/CP",$W$15=D$18,MID($W38,4,1)="2",$W$15&lt;&gt;$W$14),VLOOKUP(CONCATENATE(LEFT($W38,2),"L"),$R$63:$T$91,3,FALSE),0)+IF(AND($W38="O3/CP",$W$14=D$18),VLOOKUP("O3",$R$63:$T$91,3,FALSE)+VLOOKUP("CP",$R$63:$T$91,3,FALSE),0)+IF(AND($X38&lt;&gt;"",$X38&lt;&gt;"--",$X38&lt;&gt;"O3/CP",$X$14=D$18),IF(LEFT($X38,1)="P",VLOOKUP(CONCATENATE(LEFT($X38,2),"H"),$R$63:$T$91,3,FALSE),VLOOKUP($X38,$R$63:$T$91,3,FALSE)))+IF(AND($X38&lt;&gt;"",$X38&lt;&gt;"O3/CP",$X$15=D$18,MID($X38,4,1)="2",$X$15&lt;&gt;$X$14),VLOOKUP(CONCATENATE(LEFT($X38,2),"L"),$R$63:$T$91,3,FALSE),0)+IF(AND($X38="O3/CP",$X$14=D$18),VLOOKUP("O3",$R$63:$T$91,3,FALSE)+VLOOKUP("CP",$R$63:$T$91,3,FALSE),0)+IF(AND($Y38&lt;&gt;"",$Y38&lt;&gt;"--",$Y38&lt;&gt;"O3/CP",$Y$14=D$18),IF(LEFT($Y38,1)="P",VLOOKUP(CONCATENATE(LEFT($Y38,2),"H"),$R$63:$T$91,3,FALSE),VLOOKUP($Y38,$R$63:$T$91,3,FALSE)))+IF(AND($Y38&lt;&gt;"",$Y38&lt;&gt;"O3/CP",$Y$15=D$18,MID($Y38,4,1)="2",$Y$15&lt;&gt;$Y$14),VLOOKUP(CONCATENATE(LEFT($Y38,2),"L"),$R$63:$T$91,3,FALSE),0)+IF(AND($Y38="O3/CP",$Y$14=D$18),VLOOKUP("O3",$R$63:$T$91,3,FALSE)+VLOOKUP("CP",$R$63:$T$91,3,FALSE),0)+IF(AND($K$6="CE",'[3]Supply Attribution'!$G$20=D$18),LEFT($S$90,2),0)+IF(AND($X$86&lt;&gt;"Not Set",$X$87=D$18),$X$86,0)</f>
        <v>0</v>
      </c>
      <c r="E38" s="269">
        <f>IF(AND($K38&lt;&gt;"",$K38&lt;&gt;"--",$K38&lt;&gt;"O3/CP",$K$14=E$18),IF(LEFT($K38,1)="P",VLOOKUP(CONCATENATE(LEFT($K38,2),"H"),$R$63:$T$91,3,FALSE),VLOOKUP($K38,$R$63:$T$91,3,FALSE)))+IF(AND($K38&lt;&gt;"",$K38&lt;&gt;"O3/CP",$K$15=E$18,MID($K38,4,1)="2",$K$15&lt;&gt;$K$14),VLOOKUP(CONCATENATE(LEFT($K38,2),"L"),$R$63:$T$91,3,FALSE),0)+IF(AND($K38="O3/CP",$K$14=E$18),VLOOKUP("O3",$R$63:$T$91,3,FALSE)+VLOOKUP("CP",$R$63:$T$91,3,FALSE),0)+IF(AND($L38&lt;&gt;"",$L38&lt;&gt;"--",$L38&lt;&gt;"O3/CP",$L$14=E$18),IF(LEFT($L38,1)="P",VLOOKUP(CONCATENATE(LEFT($L38,2),"H"),$R$63:$T$91,3,FALSE),VLOOKUP($L38,$R$63:$T$91,3,FALSE)))+IF(AND($L38&lt;&gt;"",$L38&lt;&gt;"O3/CP",$L$15=E$18,MID($L38,4,1)="2",$L$15&lt;&gt;$L$14),VLOOKUP(CONCATENATE(LEFT($L38,2),"L"),$R$63:$T$91,3,FALSE),0)+IF(AND($L38="O3/CP",$L$14=E$18),VLOOKUP("O3",$R$63:$T$91,3,FALSE)+VLOOKUP("CP",$R$63:$T$91,3,FALSE),0)+IF(AND($M38&lt;&gt;"",$M38&lt;&gt;"--",$M38&lt;&gt;"O3/CP",$M$14=E$18),IF(LEFT($M38,1)="P",VLOOKUP(CONCATENATE(LEFT($M38,2),"H"),$R$63:$T$91,3,FALSE),VLOOKUP($M38,$R$63:$T$91,3,FALSE)))+IF(AND($M38&lt;&gt;"",$M38&lt;&gt;"O3/CP",$M$15=E$18,MID($M38,4,1)="2",$M$15&lt;&gt;$M$14),VLOOKUP(CONCATENATE(LEFT($M38,2),"L"),$R$63:$T$91,3,FALSE),0)+IF(AND($M38="O3/CP",$M$14=E$18),VLOOKUP("O3",$R$63:$T$91,3,FALSE)+VLOOKUP("CP",$R$63:$T$91,3,FALSE),0)+IF(AND($N38&lt;&gt;"",$N38&lt;&gt;"--",$N38&lt;&gt;"O3/CP",$N$14=E$18),IF(LEFT($N38,1)="P",VLOOKUP(CONCATENATE(LEFT($N38,2),"H"),$R$63:$T$91,3,FALSE),VLOOKUP($N38,$R$63:$T$91,3,FALSE)))+IF(AND($N38&lt;&gt;"",$N38&lt;&gt;"O3/CP",$N$15=E$18,MID($N38,4,1)="2",$N$15&lt;&gt;$N$14),VLOOKUP(CONCATENATE(LEFT($N38,2),"L"),$R$63:$T$91,3,FALSE),0)+IF(AND($N38="O3/CP",$N$14=E$18),VLOOKUP("O3",$R$63:$T$91,3,FALSE)+VLOOKUP("CP",$R$63:$T$91,3,FALSE),0)+IF(AND($O38&lt;&gt;"",$O38&lt;&gt;"--",$O38&lt;&gt;"O3/CP",$O$14=E$18),IF(LEFT($O38,1)="P",VLOOKUP(CONCATENATE(LEFT($O38,2),"H"),$R$63:$T$91,3,FALSE),VLOOKUP($O38,$R$63:$T$91,3,FALSE)))+IF(AND($O38&lt;&gt;"",$O38&lt;&gt;"O3/CP",$O$15=E$18,MID($O38,4,1)="2",$O$15&lt;&gt;$O$14),VLOOKUP(CONCATENATE(LEFT($O38,2),"L"),$R$63:$T$91,3,FALSE),0)+IF(AND($O38="O3/CP",$O$14=E$18),VLOOKUP("O3",$R$63:$T$91,3,FALSE)+VLOOKUP("CP",$R$63:$T$91,3,FALSE),0)+IF(AND($P38&lt;&gt;"",$P38&lt;&gt;"--",$P38&lt;&gt;"O3/CP",$P$14=E$18),IF(LEFT($P38,1)="P",VLOOKUP(CONCATENATE(LEFT($P38,2),"H"),$R$63:$T$91,3,FALSE),VLOOKUP($P38,$R$63:$T$91,3,FALSE)))+IF(AND($P38&lt;&gt;"",$P38&lt;&gt;"O3/CP",$P$15=E$18,MID($P38,4,1)="2",$P$15&lt;&gt;$P$14),VLOOKUP(CONCATENATE(LEFT($P38,2),"L"),$R$63:$T$91,3,FALSE),0)+IF(AND($P38="O3/CP",$P$14=E$18),VLOOKUP("O3",$R$63:$T$91,3,FALSE)+VLOOKUP("CP",$R$63:$T$91,3,FALSE),0)+IF(AND($Q38&lt;&gt;"",$Q38&lt;&gt;"--",$Q38&lt;&gt;"O3/CP",$Q$14=E$18),IF(LEFT($Q38,1)="P",VLOOKUP(CONCATENATE(LEFT($Q38,2),"H"),$R$63:$T$91,3,FALSE),VLOOKUP($Q38,$R$63:$T$91,3,FALSE)))+IF(AND($Q38&lt;&gt;"",$Q38&lt;&gt;"O3/CP",$Q$15=E$18,MID($Q38,4,1)="2",$Q$15&lt;&gt;$Q$14),VLOOKUP(CONCATENATE(LEFT($Q38,2),"L"),$R$63:$T$91,3,FALSE),0)+IF(AND($Q38="O3/CP",$Q$14=E$18),VLOOKUP("O3",$R$63:$T$91,3,FALSE)+VLOOKUP("CP",$R$63:$T$91,3,FALSE),0)+IF(AND($R38&lt;&gt;"",$R38&lt;&gt;"--",$R38&lt;&gt;"O3/CP",$R$14=E$18),IF(LEFT($R38,1)="P",VLOOKUP(CONCATENATE(LEFT($R38,2),"H"),$R$63:$T$91,3,FALSE),VLOOKUP($R38,$R$63:$T$91,3,FALSE)))+IF(AND($R38&lt;&gt;"",$R38&lt;&gt;"O3/CP",$R$15=E$18,MID($R38,4,1)="2",$R$15&lt;&gt;$R$14),VLOOKUP(CONCATENATE(LEFT($R38,2),"L"),$R$63:$T$91,3,FALSE),0)+IF(AND($R38="O3/CP",$R$14=E$18),VLOOKUP("O3",$R$63:$T$91,3,FALSE)+VLOOKUP("CP",$R$63:$T$91,3,FALSE),0)+IF(AND($S38&lt;&gt;"",$S38&lt;&gt;"--",$S38&lt;&gt;"O3/CP",$S$14=E$18),IF(LEFT($S38,1)="P",VLOOKUP(CONCATENATE(LEFT($S38,2),"H"),$R$63:$T$91,3,FALSE),VLOOKUP($S38,$R$63:$T$91,3,FALSE)))+IF(AND($S38&lt;&gt;"",$S38&lt;&gt;"O3/CP",$S$15=E$18,MID($S38,4,1)="2",$S$15&lt;&gt;$S$14),VLOOKUP(CONCATENATE(LEFT($S38,2),"L"),$R$63:$T$91,3,FALSE),0)+IF(AND($S38="O3/CP",$S$14=E$18),VLOOKUP("O3",$R$63:$T$91,3,FALSE)+VLOOKUP("CP",$R$63:$T$91,3,FALSE),0)+IF(AND($T38&lt;&gt;"",$T38&lt;&gt;"--",$T38&lt;&gt;"O3/CP",$T$14=E$18),IF(LEFT($T38,1)="P",VLOOKUP(CONCATENATE(LEFT($T38,2),"H"),$R$63:$T$91,3,FALSE),VLOOKUP($T38,$R$63:$T$91,3,FALSE)))+IF(AND($T38&lt;&gt;"",$T38&lt;&gt;"O3/CP",$T$15=E$18,MID($T38,4,1)="2",$T$15&lt;&gt;$T$14),VLOOKUP(CONCATENATE(LEFT($T38,2),"L"),$R$63:$T$91,3,FALSE),0)+IF(AND($T38="O3/CP",$T$14=E$18),VLOOKUP("O3",$R$63:$T$91,3,FALSE)+VLOOKUP("CP",$R$63:$T$91,3,FALSE),0)+IF(AND($U38&lt;&gt;"",$U38&lt;&gt;"--",$U38&lt;&gt;"O3/CP",$U$14=E$18),IF(LEFT($U38,1)="P",VLOOKUP(CONCATENATE(LEFT($U38,2),"H"),$R$63:$T$91,3,FALSE),VLOOKUP($U38,$R$63:$T$91,3,FALSE)))+IF(AND($U38&lt;&gt;"",$U38&lt;&gt;"O3/CP",$U$15=E$18,MID($U38,4,1)="2",$U$15&lt;&gt;$U$14),VLOOKUP(CONCATENATE(LEFT($U38,2),"L"),$R$63:$T$91,3,FALSE),0)+IF(AND($U38="O3/CP",$T$14=E$18),VLOOKUP("O3",$R$63:$T$91,3,FALSE)+VLOOKUP("CP",$R$63:$T$91,3,FALSE),0)+IF(AND($V38&lt;&gt;"",$V38&lt;&gt;"--",$V38&lt;&gt;"O3/CP",$V$14=E$18),IF(LEFT($V38,1)="P",VLOOKUP(CONCATENATE(LEFT($V38,2),"H"),$R$63:$T$91,3,FALSE),VLOOKUP($V38,$R$63:$T$91,3,FALSE)))+IF(AND($V38&lt;&gt;"",$V38&lt;&gt;"O3/CP",$V$15=E$18,MID($V38,4,1)="2",$V$15&lt;&gt;$V$14),VLOOKUP(CONCATENATE(LEFT($V38,2),"L"),$R$63:$T$91,3,FALSE),0)+IF(AND($V38="O3/CP",$V$14=E$18),VLOOKUP("O3",$R$63:$T$91,3,FALSE)+VLOOKUP("CP",$R$63:$T$91,3,FALSE),0)+IF(AND($W38&lt;&gt;"",$W38&lt;&gt;"--",$W38&lt;&gt;"O3/CP",$W$14=E$18),IF(LEFT($W38,1)="P",VLOOKUP(CONCATENATE(LEFT($W38,2),"H"),$R$63:$T$91,3,FALSE),VLOOKUP($W38,$R$63:$T$91,3,FALSE)))+IF(AND($W38&lt;&gt;"",$W38&lt;&gt;"O3/CP",$W$15=E$18,MID($W38,4,1)="2",$W$15&lt;&gt;$W$14),VLOOKUP(CONCATENATE(LEFT($W38,2),"L"),$R$63:$T$91,3,FALSE),0)+IF(AND($W38="O3/CP",$W$14=E$18),VLOOKUP("O3",$R$63:$T$91,3,FALSE)+VLOOKUP("CP",$R$63:$T$91,3,FALSE),0)+IF(AND($X38&lt;&gt;"",$X38&lt;&gt;"--",$X38&lt;&gt;"O3/CP",$X$14=E$18),IF(LEFT($X38,1)="P",VLOOKUP(CONCATENATE(LEFT($X38,2),"H"),$R$63:$T$91,3,FALSE),VLOOKUP($X38,$R$63:$T$91,3,FALSE)))+IF(AND($X38&lt;&gt;"",$X38&lt;&gt;"O3/CP",$X$15=E$18,MID($X38,4,1)="2",$X$15&lt;&gt;$X$14),VLOOKUP(CONCATENATE(LEFT($X38,2),"L"),$R$63:$T$91,3,FALSE),0)+IF(AND($X38="O3/CP",$X$14=E$18),VLOOKUP("O3",$R$63:$T$91,3,FALSE)+VLOOKUP("CP",$R$63:$T$91,3,FALSE),0)+IF(AND($Y38&lt;&gt;"",$Y38&lt;&gt;"--",$Y38&lt;&gt;"O3/CP",$Y$14=E$18),IF(LEFT($Y38,1)="P",VLOOKUP(CONCATENATE(LEFT($Y38,2),"H"),$R$63:$T$91,3,FALSE),VLOOKUP($Y38,$R$63:$T$91,3,FALSE)))+IF(AND($Y38&lt;&gt;"",$Y38&lt;&gt;"O3/CP",$Y$15=E$18,MID($Y38,4,1)="2",$Y$15&lt;&gt;$Y$14),VLOOKUP(CONCATENATE(LEFT($Y38,2),"L"),$R$63:$T$91,3,FALSE),0)+IF(AND($Y38="O3/CP",$Y$14=E$18),VLOOKUP("O3",$R$63:$T$91,3,FALSE)+VLOOKUP("CP",$R$63:$T$91,3,FALSE),0)+IF(AND($K$6="CE",'[3]Supply Attribution'!$G$20=E$18),LEFT($S$90,2),0)+IF(AND($X$86&lt;&gt;"Not Set",$X$87=E$18),$X$86,0)</f>
        <v>0</v>
      </c>
      <c r="F38" s="268">
        <f>IF(AND($K38&lt;&gt;"",$K38&lt;&gt;"--",$K38&lt;&gt;"O3/CP",$K$14=F$18),IF(LEFT($K38,1)="P",VLOOKUP(CONCATENATE(LEFT($K38,2),"H"),$R$63:$T$91,3,FALSE),VLOOKUP($K38,$R$63:$T$91,3,FALSE)))+IF(AND($K38&lt;&gt;"",$K38&lt;&gt;"O3/CP",$K$15=F$18,MID($K38,4,1)="2",$K$15&lt;&gt;$K$14),VLOOKUP(CONCATENATE(LEFT($K38,2),"L"),$R$63:$T$91,3,FALSE),0)+IF(AND($K38="O3/CP",$K$14=F$18),VLOOKUP("O3",$R$63:$T$91,3,FALSE)+VLOOKUP("CP",$R$63:$T$91,3,FALSE),0)+IF(AND($L38&lt;&gt;"",$L38&lt;&gt;"--",$L38&lt;&gt;"O3/CP",$L$14=F$18),IF(LEFT($L38,1)="P",VLOOKUP(CONCATENATE(LEFT($L38,2),"H"),$R$63:$T$91,3,FALSE),VLOOKUP($L38,$R$63:$T$91,3,FALSE)))+IF(AND($L38&lt;&gt;"",$L38&lt;&gt;"O3/CP",$L$15=F$18,MID($L38,4,1)="2",$L$15&lt;&gt;$L$14),VLOOKUP(CONCATENATE(LEFT($L38,2),"L"),$R$63:$T$91,3,FALSE),0)+IF(AND($L38="O3/CP",$L$14=F$18),VLOOKUP("O3",$R$63:$T$91,3,FALSE)+VLOOKUP("CP",$R$63:$T$91,3,FALSE),0)+IF(AND($M38&lt;&gt;"",$M38&lt;&gt;"--",$M38&lt;&gt;"O3/CP",$M$14=F$18),IF(LEFT($M38,1)="P",VLOOKUP(CONCATENATE(LEFT($M38,2),"H"),$R$63:$T$91,3,FALSE),VLOOKUP($M38,$R$63:$T$91,3,FALSE)))+IF(AND($M38&lt;&gt;"",$M38&lt;&gt;"O3/CP",$M$15=F$18,MID($M38,4,1)="2",$M$15&lt;&gt;$M$14),VLOOKUP(CONCATENATE(LEFT($M38,2),"L"),$R$63:$T$91,3,FALSE),0)+IF(AND($M38="O3/CP",$M$14=F$18),VLOOKUP("O3",$R$63:$T$91,3,FALSE)+VLOOKUP("CP",$R$63:$T$91,3,FALSE),0)+IF(AND($N38&lt;&gt;"",$N38&lt;&gt;"--",$N38&lt;&gt;"O3/CP",$N$14=F$18),IF(LEFT($N38,1)="P",VLOOKUP(CONCATENATE(LEFT($N38,2),"H"),$R$63:$T$91,3,FALSE),VLOOKUP($N38,$R$63:$T$91,3,FALSE)))+IF(AND($N38&lt;&gt;"",$N38&lt;&gt;"O3/CP",$N$15=F$18,MID($N38,4,1)="2",$N$15&lt;&gt;$N$14),VLOOKUP(CONCATENATE(LEFT($N38,2),"L"),$R$63:$T$91,3,FALSE),0)+IF(AND($N38="O3/CP",$N$14=F$18),VLOOKUP("O3",$R$63:$T$91,3,FALSE)+VLOOKUP("CP",$R$63:$T$91,3,FALSE),0)+IF(AND($O38&lt;&gt;"",$O38&lt;&gt;"--",$O38&lt;&gt;"O3/CP",$O$14=F$18),IF(LEFT($O38,1)="P",VLOOKUP(CONCATENATE(LEFT($O38,2),"H"),$R$63:$T$91,3,FALSE),VLOOKUP($O38,$R$63:$T$91,3,FALSE)))+IF(AND($O38&lt;&gt;"",$O38&lt;&gt;"O3/CP",$O$15=F$18,MID($O38,4,1)="2",$O$15&lt;&gt;$O$14),VLOOKUP(CONCATENATE(LEFT($O38,2),"L"),$R$63:$T$91,3,FALSE),0)+IF(AND($O38="O3/CP",$O$14=F$18),VLOOKUP("O3",$R$63:$T$91,3,FALSE)+VLOOKUP("CP",$R$63:$T$91,3,FALSE),0)+IF(AND($P38&lt;&gt;"",$P38&lt;&gt;"--",$P38&lt;&gt;"O3/CP",$P$14=F$18),IF(LEFT($P38,1)="P",VLOOKUP(CONCATENATE(LEFT($P38,2),"H"),$R$63:$T$91,3,FALSE),VLOOKUP($P38,$R$63:$T$91,3,FALSE)))+IF(AND($P38&lt;&gt;"",$P38&lt;&gt;"O3/CP",$P$15=F$18,MID($P38,4,1)="2",$P$15&lt;&gt;$P$14),VLOOKUP(CONCATENATE(LEFT($P38,2),"L"),$R$63:$T$91,3,FALSE),0)+IF(AND($P38="O3/CP",$P$14=F$18),VLOOKUP("O3",$R$63:$T$91,3,FALSE)+VLOOKUP("CP",$R$63:$T$91,3,FALSE),0)+IF(AND($Q38&lt;&gt;"",$Q38&lt;&gt;"--",$Q38&lt;&gt;"O3/CP",$Q$14=F$18),IF(LEFT($Q38,1)="P",VLOOKUP(CONCATENATE(LEFT($Q38,2),"H"),$R$63:$T$91,3,FALSE),VLOOKUP($Q38,$R$63:$T$91,3,FALSE)))+IF(AND($Q38&lt;&gt;"",$Q38&lt;&gt;"O3/CP",$Q$15=F$18,MID($Q38,4,1)="2",$Q$15&lt;&gt;$Q$14),VLOOKUP(CONCATENATE(LEFT($Q38,2),"L"),$R$63:$T$91,3,FALSE),0)+IF(AND($Q38="O3/CP",$Q$14=F$18),VLOOKUP("O3",$R$63:$T$91,3,FALSE)+VLOOKUP("CP",$R$63:$T$91,3,FALSE),0)+IF(AND($R38&lt;&gt;"",$R38&lt;&gt;"--",$R38&lt;&gt;"O3/CP",$R$14=F$18),IF(LEFT($R38,1)="P",VLOOKUP(CONCATENATE(LEFT($R38,2),"H"),$R$63:$T$91,3,FALSE),VLOOKUP($R38,$R$63:$T$91,3,FALSE)))+IF(AND($R38&lt;&gt;"",$R38&lt;&gt;"O3/CP",$R$15=F$18,MID($R38,4,1)="2",$R$15&lt;&gt;$R$14),VLOOKUP(CONCATENATE(LEFT($R38,2),"L"),$R$63:$T$91,3,FALSE),0)+IF(AND($R38="O3/CP",$R$14=F$18),VLOOKUP("O3",$R$63:$T$91,3,FALSE)+VLOOKUP("CP",$R$63:$T$91,3,FALSE),0)+IF(AND($S38&lt;&gt;"",$S38&lt;&gt;"--",$S38&lt;&gt;"O3/CP",$S$14=F$18),IF(LEFT($S38,1)="P",VLOOKUP(CONCATENATE(LEFT($S38,2),"H"),$R$63:$T$91,3,FALSE),VLOOKUP($S38,$R$63:$T$91,3,FALSE)))+IF(AND($S38&lt;&gt;"",$S38&lt;&gt;"O3/CP",$S$15=F$18,MID($S38,4,1)="2",$S$15&lt;&gt;$S$14),VLOOKUP(CONCATENATE(LEFT($S38,2),"L"),$R$63:$T$91,3,FALSE),0)+IF(AND($S38="O3/CP",$S$14=F$18),VLOOKUP("O3",$R$63:$T$91,3,FALSE)+VLOOKUP("CP",$R$63:$T$91,3,FALSE),0)+IF(AND($T38&lt;&gt;"",$T38&lt;&gt;"--",$T38&lt;&gt;"O3/CP",$T$14=F$18),IF(LEFT($T38,1)="P",VLOOKUP(CONCATENATE(LEFT($T38,2),"H"),$R$63:$T$91,3,FALSE),VLOOKUP($T38,$R$63:$T$91,3,FALSE)))+IF(AND($T38&lt;&gt;"",$T38&lt;&gt;"O3/CP",$T$15=F$18,MID($T38,4,1)="2",$T$15&lt;&gt;$T$14),VLOOKUP(CONCATENATE(LEFT($T38,2),"L"),$R$63:$T$91,3,FALSE),0)+IF(AND($T38="O3/CP",$T$14=F$18),VLOOKUP("O3",$R$63:$T$91,3,FALSE)+VLOOKUP("CP",$R$63:$T$91,3,FALSE),0)+IF(AND($U38&lt;&gt;"",$U38&lt;&gt;"--",$U38&lt;&gt;"O3/CP",$U$14=F$18),IF(LEFT($U38,1)="P",VLOOKUP(CONCATENATE(LEFT($U38,2),"H"),$R$63:$T$91,3,FALSE),VLOOKUP($U38,$R$63:$T$91,3,FALSE)))+IF(AND($U38&lt;&gt;"",$U38&lt;&gt;"O3/CP",$U$15=F$18,MID($U38,4,1)="2",$U$15&lt;&gt;$U$14),VLOOKUP(CONCATENATE(LEFT($U38,2),"L"),$R$63:$T$91,3,FALSE),0)+IF(AND($U38="O3/CP",$T$14=F$18),VLOOKUP("O3",$R$63:$T$91,3,FALSE)+VLOOKUP("CP",$R$63:$T$91,3,FALSE),0)+IF(AND($V38&lt;&gt;"",$V38&lt;&gt;"--",$V38&lt;&gt;"O3/CP",$V$14=F$18),IF(LEFT($V38,1)="P",VLOOKUP(CONCATENATE(LEFT($V38,2),"H"),$R$63:$T$91,3,FALSE),VLOOKUP($V38,$R$63:$T$91,3,FALSE)))+IF(AND($V38&lt;&gt;"",$V38&lt;&gt;"O3/CP",$V$15=F$18,MID($V38,4,1)="2",$V$15&lt;&gt;$V$14),VLOOKUP(CONCATENATE(LEFT($V38,2),"L"),$R$63:$T$91,3,FALSE),0)+IF(AND($V38="O3/CP",$V$14=F$18),VLOOKUP("O3",$R$63:$T$91,3,FALSE)+VLOOKUP("CP",$R$63:$T$91,3,FALSE),0)+IF(AND($W38&lt;&gt;"",$W38&lt;&gt;"--",$W38&lt;&gt;"O3/CP",$W$14=F$18),IF(LEFT($W38,1)="P",VLOOKUP(CONCATENATE(LEFT($W38,2),"H"),$R$63:$T$91,3,FALSE),VLOOKUP($W38,$R$63:$T$91,3,FALSE)))+IF(AND($W38&lt;&gt;"",$W38&lt;&gt;"O3/CP",$W$15=F$18,MID($W38,4,1)="2",$W$15&lt;&gt;$W$14),VLOOKUP(CONCATENATE(LEFT($W38,2),"L"),$R$63:$T$91,3,FALSE),0)+IF(AND($W38="O3/CP",$W$14=F$18),VLOOKUP("O3",$R$63:$T$91,3,FALSE)+VLOOKUP("CP",$R$63:$T$91,3,FALSE),0)+IF(AND($X38&lt;&gt;"",$X38&lt;&gt;"--",$X38&lt;&gt;"O3/CP",$X$14=F$18),IF(LEFT($X38,1)="P",VLOOKUP(CONCATENATE(LEFT($X38,2),"H"),$R$63:$T$91,3,FALSE),VLOOKUP($X38,$R$63:$T$91,3,FALSE)))+IF(AND($X38&lt;&gt;"",$X38&lt;&gt;"O3/CP",$X$15=F$18,MID($X38,4,1)="2",$X$15&lt;&gt;$X$14),VLOOKUP(CONCATENATE(LEFT($X38,2),"L"),$R$63:$T$91,3,FALSE),0)+IF(AND($X38="O3/CP",$X$14=F$18),VLOOKUP("O3",$R$63:$T$91,3,FALSE)+VLOOKUP("CP",$R$63:$T$91,3,FALSE),0)+IF(AND($Y38&lt;&gt;"",$Y38&lt;&gt;"--",$Y38&lt;&gt;"O3/CP",$Y$14=F$18),IF(LEFT($Y38,1)="P",VLOOKUP(CONCATENATE(LEFT($Y38,2),"H"),$R$63:$T$91,3,FALSE),VLOOKUP($Y38,$R$63:$T$91,3,FALSE)))+IF(AND($Y38&lt;&gt;"",$Y38&lt;&gt;"O3/CP",$Y$15=F$18,MID($Y38,4,1)="2",$Y$15&lt;&gt;$Y$14),VLOOKUP(CONCATENATE(LEFT($Y38,2),"L"),$R$63:$T$91,3,FALSE),0)+IF(AND($Y38="O3/CP",$Y$14=F$18),VLOOKUP("O3",$R$63:$T$91,3,FALSE)+VLOOKUP("CP",$R$63:$T$91,3,FALSE),0)+IF(AND($K$6="CE",'[3]Supply Attribution'!$G$20=F$18),LEFT($S$90,2),0)+IF(AND($X$86&lt;&gt;"Not Set",$X$87=F$18),$X$86,0)</f>
        <v>0</v>
      </c>
      <c r="G38" s="269">
        <f>IF(AND($K$6="CE",$T$59="1 Phase"),SUM(A38:F38)-IF(AND($K$14&lt;&gt;$K$15,RIGHT($K38,3)="2SP"),VLOOKUP(CONCATENATE(LEFT($K38,2),"L"),$R$63:$T$90,3,FALSE),0)-IF(AND($L$14&lt;&gt;$L$15,RIGHT($L38,3)="2SP"),VLOOKUP(CONCATENATE(LEFT($L38,2),"L"),$R$63:$T$90,3,FALSE),0)-IF(AND($M$14&lt;&gt;$M$15,RIGHT($M38,3)="2SP"),VLOOKUP(CONCATENATE(LEFT($M38,2),"L"),$R$63:$T$90,3,FALSE),0)-IF(AND($N$14&lt;&gt;$N$15,RIGHT($N38,3)="2SP"),VLOOKUP(CONCATENATE(LEFT($N38,2),"L"),$R$63:$T$90,3,FALSE),0)-IF(AND($O$14&lt;&gt;$O$15,RIGHT($O38,3)="2SP"),VLOOKUP(CONCATENATE(LEFT($O38,2),"L"),$R$63:$T$90,3,FALSE),0)-IF(AND($P$14&lt;&gt;$P$15,RIGHT($P38,3)="2SP"),VLOOKUP(CONCATENATE(LEFT($P38,2),"L"),$R$63:$T$90,3,FALSE),0)-IF(AND($Q$14&lt;&gt;$Q$15,RIGHT($Q38,3)="2SP"),VLOOKUP(CONCATENATE(LEFT($Q38,2),"L"),$R$63:$T$90,3,FALSE),0)-IF(AND($R$14&lt;&gt;$R$15,RIGHT($T38,3)="2SP"),VLOOKUP(CONCATENATE(LEFT($R38,2),"L"),$R$63:$T$90,3,FALSE),0)-IF(AND($S$14&lt;&gt;$S$15,RIGHT($T38,3)="2SP"),VLOOKUP(CONCATENATE(LEFT($S38,2),"L"),$R$63:$T$90,3,FALSE),0)-IF(AND($T$14&lt;&gt;$T$15,RIGHT($T38,3)="2SP"),VLOOKUP(CONCATENATE(LEFT($T38,2),"L"),$R$63:$T$90,3,FALSE),0)-IF(AND($U$14&lt;&gt;$U$15,RIGHT($U38,3)="2SP"),VLOOKUP(CONCATENATE(LEFT($U38,2),"L"),$R$63:$T$90,3,FALSE),0)-IF(AND($V$14&lt;&gt;$V$15,RIGHT($V38,3)="2SP"),VLOOKUP(CONCATENATE(LEFT($V38,2),"L"),$R$63:$T$90,3,FALSE),0)-IF(AND($W$14&lt;&gt;$W$15,RIGHT($W38,3)="2SP"),VLOOKUP(CONCATENATE(LEFT($W38,2),"L"),$R$63:$T$90,3,FALSE),0)-IF(AND($X$14&lt;&gt;$X$15,RIGHT($X38,3)="2SP"),VLOOKUP(CONCATENATE(LEFT($X38,2),"L"),$R$63:$T$90,3,FALSE),0)-IF(AND($Y$14&lt;&gt;$Y$15,RIGHT($Y38,3)="2SP"),VLOOKUP(CONCATENATE(LEFT($Y38,2),"L"),$R$63:$T$90,3,FALSE),0),IF(VLOOKUP(CONCATENATE($A$18,"Line"),'[3]Supply Attribution'!$F$31:$G$37,2,FALSE)=G$18,$A38,0)+IF(VLOOKUP(CONCATENATE($B$18,"Line"),'[3]Supply Attribution'!$F$31:$G$37,2,FALSE)=G$18,$B38,0)+IF(VLOOKUP(CONCATENATE($C$18,"Line"),'[3]Supply Attribution'!$F$31:$G$37,2,FALSE)=G$18,$C38,0)+IF(VLOOKUP(CONCATENATE($D$18,"Line"),'[3]Supply Attribution'!$F$31:$G$37,2,FALSE)=G$18,$D38,0)+IF(VLOOKUP(CONCATENATE($E$18,"Line"),'[3]Supply Attribution'!$F$31:$G$37,2,FALSE)=G$18,$E38,0)+IF(VLOOKUP(CONCATENATE($F$18,"Line"),'[3]Supply Attribution'!$F$31:$G$37,2,FALSE)=G$18,$F38,0)+IF($K$6="UL",LEFT($S$90,2),0)-IF(AND($K$16=G$18,$K$14&lt;&gt;$K$15,$K$16=$K$17,RIGHT($K38,3)="2SP"),VLOOKUP(CONCATENATE(LEFT($K38,2),"L"),$R$63:$T$90,3,FALSE),0)-IF(AND($L$16=G$18,$L$14&lt;&gt;$L$15,$L$16=$L$17,RIGHT($L38,3)="2SP"),VLOOKUP(CONCATENATE(LEFT($L38,2),"L"),$R$63:$T$90,3,FALSE),0)-IF(AND($M$16=G$18,$M$14&lt;&gt;$M$15,$M$16=$M$17,RIGHT($M38,3)="2SP"),VLOOKUP(CONCATENATE(LEFT($M38,2),"L"),$R$63:$T$90,3,FALSE),0)-IF(AND($N$16=G$18,$N$14&lt;&gt;$N$15,$N$16=$N$17,RIGHT($N38,3)="2SP"),VLOOKUP(CONCATENATE(LEFT($N38,2),"L"),$R$63:$T$90,3,FALSE),0)-IF(AND($O$16=G$18,$O$14&lt;&gt;$O$15,$O$16=$O$17,RIGHT($O38,3)="2SP"),VLOOKUP(CONCATENATE(LEFT($O38,2),"L"),$R$63:$T$90,3,FALSE),0)-IF(AND($P$16=G$18,$P$14&lt;&gt;$P$15,$P$16=$P$17,RIGHT($P38,3)="2SP"),VLOOKUP(CONCATENATE(LEFT($P38,2),"L"),$R$63:$T$90,3,FALSE),0)-IF(AND($Q$16=G$18,$Q$14&lt;&gt;$Q$15,$Q$16=$Q$17,RIGHT($Q38,3)="2SP"),VLOOKUP(CONCATENATE(LEFT($Q38,2),"L"),$R$63:$T$90,3,FALSE),0)-IF(AND($R$16=G$18,$R$14&lt;&gt;$R$15,$R$16=$R$17,RIGHT($R38,3)="2SP"),VLOOKUP(CONCATENATE(LEFT($R38,2),"L"),$R$63:$T$90,3,FALSE),0)-IF(AND($S$16=G$18,$S$14&lt;&gt;$S$15,$S$16=$S$17,RIGHT($S38,3)="2SP"),VLOOKUP(CONCATENATE(LEFT($S38,2),"L"),$R$63:$T$90,3,FALSE),0)-IF(AND($T$16=G$18,$T$14&lt;&gt;$T$15,$T$16=$T$17,RIGHT($T38,3)="2SP"),VLOOKUP(CONCATENATE(LEFT($T38,2),"L"),$R$63:$T$90,3,FALSE),0)-IF(AND($U$16=G$18,$U$14&lt;&gt;$U$15,$U$16=$U$17,RIGHT($U38,3)="2SP"),VLOOKUP(CONCATENATE(LEFT($U38,2),"L"),$R$63:$T$90,3,FALSE),0)-IF(AND($V$16=G$18,$V$14&lt;&gt;$V$15,$V$16=$V$17,RIGHT($V38,3)="2SP"),VLOOKUP(CONCATENATE(LEFT($V38,2),"L"),$R$63:$T$90,3,FALSE),0)-IF(AND($W$16=G$18,$W$14&lt;&gt;$W$15,$W$16=$W$17,RIGHT($W38,3)="2SP"),VLOOKUP(CONCATENATE(LEFT($W38,2),"L"),$R$63:$T$90,3,FALSE),0)-IF(AND($X$16=G$18,$X$14&lt;&gt;$X$15,$X$16=$X$17,RIGHT($X38,3)="2SP"),VLOOKUP(CONCATENATE(LEFT($X38,2),"L"),$R$63:$T$90,3,FALSE),0)-IF(AND($Y$16=G$18,$Y$14&lt;&gt;$Y$15,$Y$16=$Y$17,RIGHT($Y38,3)="2SP"),VLOOKUP(CONCATENATE(LEFT($Y38,2),"L"),$R$63:$T$90,3,FALSE),0))</f>
        <v>17</v>
      </c>
      <c r="H38" s="269" t="str">
        <f>IF(H$18&lt;&gt;"",IF(VLOOKUP(CONCATENATE($A$18,"Line"),'Supply Attribution'!$F$31:$G$37,2,FALSE)=H$18,$A38,0)+IF(VLOOKUP(CONCATENATE($B$18,"Line"),'Supply Attribution'!$F$31:$G$37,2,FALSE)=H$18,$B38,0)+IF(VLOOKUP(CONCATENATE($C$18,"Line"),'Supply Attribution'!$F$31:$G$37,2,FALSE)=H$18,$C38,0)+IF(VLOOKUP(CONCATENATE($D$18,"Line"),'Supply Attribution'!$F$31:$G$37,2,FALSE)=H$18,$D38,0)+IF(VLOOKUP(CONCATENATE($E$18,"Line"),'Supply Attribution'!$F$31:$G$37,2,FALSE)=H$18,$E38,0)+IF(VLOOKUP(CONCATENATE($F$18,"Line"),'Supply Attribution'!$F$31:$G$37,2,FALSE)=H$18,$F38,0)+IF($K$6="UL",LEFT($S$90,2),0)-IF(AND($K$16=H$18,$K$14&lt;&gt;$K$15,$K$16=$K$17,RIGHT($K38,3)="2SP"),VLOOKUP(CONCATENATE(LEFT($K38,2),"L"),$R$63:$T$90,3,FALSE),0)-IF(AND($L$16=H$18,$L$14&lt;&gt;$L$15,$L$16=$L$17,RIGHT($L38,3)="2SP"),VLOOKUP(CONCATENATE(LEFT($L38,2),"L"),$R$63:$T$90,3,FALSE),0)-IF(AND($M$16=H$18,$M$14&lt;&gt;$M$15,$M$16=$M$17,RIGHT($M38,3)="2SP"),VLOOKUP(CONCATENATE(LEFT($M38,2),"L"),$R$63:$T$90,3,FALSE),0)-IF(AND($N$16=H$18,$N$14&lt;&gt;$N$15,$N$16=$N$17,RIGHT($N38,3)="2SP"),VLOOKUP(CONCATENATE(LEFT($N38,2),"L"),$R$63:$T$90,3,FALSE),0)-IF(AND($O$16=H$18,$O$14&lt;&gt;$O$15,$O$16=$O$17,RIGHT($O38,3)="2SP"),VLOOKUP(CONCATENATE(LEFT($O38,2),"L"),$R$63:$T$90,3,FALSE),0)-IF(AND($P$16=H$18,$P$14&lt;&gt;$P$15,$P$16=$P$17,RIGHT($P38,3)="2SP"),VLOOKUP(CONCATENATE(LEFT($P38,2),"L"),$R$63:$T$90,3,FALSE),0)-IF(AND($Q$16=H$18,$Q$14&lt;&gt;$Q$15,$Q$16=$Q$17,RIGHT($Q38,3)="2SP"),VLOOKUP(CONCATENATE(LEFT($Q38,2),"L"),$R$63:$T$90,3,FALSE),0)-IF(AND($T$16=H$18,$T$14&lt;&gt;$T$15,$T$16=$T$17,RIGHT($T38,3)="2SP"),VLOOKUP(CONCATENATE(LEFT($T38,2),"L"),$R$63:$T$90,3,FALSE),0)-IF(AND($U$16=H$18,$U$14&lt;&gt;$U$15,$U$16=$U$17,RIGHT($U38,3)="2SP"),VLOOKUP(CONCATENATE(LEFT($U38,2),"L"),$R$63:$T$90,3,FALSE),0)-IF(AND($V$16=H$18,$V$14&lt;&gt;$V$15,$V$16=$V$17,RIGHT($V38,3)="2SP"),VLOOKUP(CONCATENATE(LEFT($V38,2),"L"),$R$63:$T$90,3,FALSE),0)-IF(AND($W$16=H$18,$W$14&lt;&gt;$W$15,$W$16=$W$17,RIGHT($W38,3)="2SP"),VLOOKUP(CONCATENATE(LEFT($W38,2),"L"),$R$63:$T$90,3,FALSE),0)-IF(AND($X$16=H$18,$X$14&lt;&gt;$X$15,$X$16=$X$17,RIGHT($X38,3)="2SP"),VLOOKUP(CONCATENATE(LEFT($X38,2),"L"),$R$63:$T$90,3,FALSE),0)-IF(AND($Y$16=H$18,$Y$14&lt;&gt;$Y$15,$Y$16=$Y$17,RIGHT($Y38,3)="2SP"),VLOOKUP(CONCATENATE(LEFT($Y38,2),"L"),$R$63:$T$90,3,FALSE),0)+IF(AND($K$6="CE",$T$59="2 Phases",H$18&lt;&gt;""),IF(VLOOKUP(CONCATENATE($A$18,"Line"),'Supply Attribution'!$F$31:$G$37,2,FALSE)="Line3",$A38,0)+IF(VLOOKUP(CONCATENATE($B$18,"Line"),'Supply Attribution'!$F$31:$G$37,2,FALSE)="Line3",$B38,0)+IF(VLOOKUP(CONCATENATE($C$18,"Line"),'Supply Attribution'!$F$31:$G$37,2,FALSE)="Line3",$C38,0)+IF(VLOOKUP(CONCATENATE($D$18,"Line"),'Supply Attribution'!$F$31:$G$37,2,FALSE)="Line3",$D38,0)+IF(VLOOKUP(CONCATENATE($E$18,"Line"),'Supply Attribution'!$F$31:$G$37,2,FALSE)="Line3",$E38,0)+IF(VLOOKUP(CONCATENATE($F$18,"Line"),'Supply Attribution'!$F$31:$G$37,2,FALSE)="Line3",$F38,0)-IF(AND($K$16=I$18,$K$14&lt;&gt;$K$15,$K$16=$K$17,RIGHT($K38,3)="2SP"),VLOOKUP(CONCATENATE(LEFT($K38,2),"L"),$R$63:$T$90,3,FALSE),0)-IF(AND($L$16=I$18,$L$14&lt;&gt;$L$15,$L$16=$L$17,RIGHT($L38,3)="2SP"),VLOOKUP(CONCATENATE(LEFT($L38,2),"L"),$R$63:$T$90,3,FALSE),0)-IF(AND($M$16=I$18,$M$14&lt;&gt;$M$15,$M$16=$M$17,RIGHT($M38,3)="2SP"),VLOOKUP(CONCATENATE(LEFT($M38,2),"L"),$R$63:$T$90,3,FALSE),0)-IF(AND($N$16=I$18,$N$14&lt;&gt;$N$15,$N$16=$N$17,RIGHT($N38,3)="2SP"),VLOOKUP(CONCATENATE(LEFT($N38,2),"L"),$R$63:$T$90,3,FALSE),0)-IF(AND($O$16=I$18,$O$14&lt;&gt;$O$15,$O$16=$O$17,RIGHT($O38,3)="2SP"),VLOOKUP(CONCATENATE(LEFT($O38,2),"L"),$R$63:$T$90,3,FALSE),0)-IF(AND($P$16=I$18,$P$14&lt;&gt;$P$15,$P$16=$P$17,RIGHT($P38,3)="2SP"),VLOOKUP(CONCATENATE(LEFT($P38,2),"L"),$R$63:$T$90,3,FALSE),0)-IF(AND($Q$16=I$18,$Q$14&lt;&gt;$Q$15,$Q$16=$Q$17,RIGHT($Q38,3)="2SP"),VLOOKUP(CONCATENATE(LEFT($Q38,2),"L"),$R$63:$T$90,3,FALSE),0)-IF(AND($T$16=I$18,$T$14&lt;&gt;$T$15,$T$16=$T$17,RIGHT($T38,3)="2SP"),VLOOKUP(CONCATENATE(LEFT($T38,2),"L"),$R$63:$T$90,3,FALSE),0)-IF(AND($U$16=I$18,$U$14&lt;&gt;$U$15,$U$16=$U$17,RIGHT($U38,3)="2SP"),VLOOKUP(CONCATENATE(LEFT($U38,2),"L"),$R$63:$T$90,3,FALSE),0)-IF(AND($V$16=I$18,$V$14&lt;&gt;$V$15,$V$16=$V$17,RIGHT($V38,3)="2SP"),VLOOKUP(CONCATENATE(LEFT($V38,2),"L"),$R$63:$T$90,3,FALSE),0)-IF(AND($W$16=I$18,$W$14&lt;&gt;$W$15,$W$16=$W$17,RIGHT($W38,3)="2SP"),VLOOKUP(CONCATENATE(LEFT($W38,2),"L"),$R$63:$T$90,3,FALSE),0)-IF(AND($X$16=I$18,$X$14&lt;&gt;$X$15,$X$16=$X$17,RIGHT($X38,3)="2SP"),VLOOKUP(CONCATENATE(LEFT($X38,2),"L"),$R$63:$T$90,3,FALSE),0)-IF(AND($Y$16=I$18,$Y$14&lt;&gt;$Y$15,$Y$16=$Y$17,RIGHT($Y38,3)="2SP"),VLOOKUP(CONCATENATE(LEFT($Y38,2),"L"),$R$63:$T$90,3,FALSE),0),0),"")</f>
        <v/>
      </c>
      <c r="I38" s="269" t="str">
        <f>IF(I$18&lt;&gt;"",IF(VLOOKUP(CONCATENATE($A$18,"Line"),'Supply Attribution'!$F$31:$G$37,2,FALSE)=I$18,$A38,0)+IF(VLOOKUP(CONCATENATE($B$18,"Line"),'Supply Attribution'!$F$31:$G$37,2,FALSE)=I$18,$B38,0)+IF(VLOOKUP(CONCATENATE($C$18,"Line"),'Supply Attribution'!$F$31:$G$37,2,FALSE)=I$18,$C38,0)+IF(VLOOKUP(CONCATENATE($D$18,"Line"),'Supply Attribution'!$F$31:$G$37,2,FALSE)=I$18,$D38,0)+IF(VLOOKUP(CONCATENATE($E$18,"Line"),'Supply Attribution'!$F$31:$G$37,2,FALSE)=I$18,$E38,0)+IF(VLOOKUP(CONCATENATE($F$18,"Line"),'Supply Attribution'!$F$31:$G$37,2,FALSE)=I$18,$F38,0)+IF($K$6="UL",LEFT($S$90,2),0)-IF(AND($K$16=I$18,$K$14&lt;&gt;$K$15,$K$16=$K$17,RIGHT($K38,3)="2SP"),VLOOKUP(CONCATENATE(LEFT($K38,2),"L"),$R$63:$T$90,3,FALSE),0)-IF(AND($L$16=I$18,$L$14&lt;&gt;$L$15,$L$16=$L$17,RIGHT($L38,3)="2SP"),VLOOKUP(CONCATENATE(LEFT($L38,2),"L"),$R$63:$T$90,3,FALSE),0)-IF(AND($M$16=I$18,$M$14&lt;&gt;$M$15,$M$16=$M$17,RIGHT($M38,3)="2SP"),VLOOKUP(CONCATENATE(LEFT($M38,2),"L"),$R$63:$T$90,3,FALSE),0)-IF(AND($N$16=I$18,$N$14&lt;&gt;$N$15,$N$16=$N$17,RIGHT($N38,3)="2SP"),VLOOKUP(CONCATENATE(LEFT($N38,2),"L"),$R$63:$T$90,3,FALSE),0)-IF(AND($O$16=I$18,$O$14&lt;&gt;$O$15,$O$16=$O$17,RIGHT($O38,3)="2SP"),VLOOKUP(CONCATENATE(LEFT($O38,2),"L"),$R$63:$T$90,3,FALSE),0)-IF(AND($P$16=I$18,$P$14&lt;&gt;$P$15,$P$16=$P$17,RIGHT($P38,3)="2SP"),VLOOKUP(CONCATENATE(LEFT($P38,2),"L"),$R$63:$T$90,3,FALSE),0)-IF(AND($Q$16=I$18,$Q$14&lt;&gt;$Q$15,$Q$16=$Q$17,RIGHT($Q38,3)="2SP"),VLOOKUP(CONCATENATE(LEFT($Q38,2),"L"),$R$63:$T$90,3,FALSE),0)-IF(AND($T$16=I$18,$T$14&lt;&gt;$T$15,$T$16=$T$17,RIGHT($T38,3)="2SP"),VLOOKUP(CONCATENATE(LEFT($T38,2),"L"),$R$63:$T$90,3,FALSE),0)-IF(AND($U$16=I$18,$U$14&lt;&gt;$U$15,$U$16=$U$17,RIGHT($U38,3)="2SP"),VLOOKUP(CONCATENATE(LEFT($U38,2),"L"),$R$63:$T$90,3,FALSE),0)-IF(AND($V$16=I$18,$V$14&lt;&gt;$V$15,$V$16=$V$17,RIGHT($V38,3)="2SP"),VLOOKUP(CONCATENATE(LEFT($V38,2),"L"),$R$63:$T$90,3,FALSE),0)-IF(AND($W$16=I$18,$W$14&lt;&gt;$W$15,$W$16=$W$17,RIGHT($W38,3)="2SP"),VLOOKUP(CONCATENATE(LEFT($W38,2),"L"),$R$63:$T$90,3,FALSE),0)-IF(AND($X$16=I$18,$X$14&lt;&gt;$X$15,$X$16=$X$17,RIGHT($X38,3)="2SP"),VLOOKUP(CONCATENATE(LEFT($X38,2),"L"),$R$63:$T$90,3,FALSE),0)-IF(AND($Y$16=I$18,$Y$14&lt;&gt;$Y$15,$Y$16=$Y$17,RIGHT($Y38,3)="2SP"),VLOOKUP(CONCATENATE(LEFT($Y38,2),"L"),$R$63:$T$90,3,FALSE),0),"")</f>
        <v/>
      </c>
      <c r="J38" s="134"/>
      <c r="K38" s="135"/>
      <c r="L38" s="135"/>
      <c r="M38" s="135"/>
      <c r="N38" s="135"/>
      <c r="O38" s="135"/>
      <c r="P38" s="135"/>
      <c r="Q38" s="135"/>
      <c r="R38" s="135"/>
      <c r="S38" s="135"/>
      <c r="T38" s="135"/>
      <c r="U38" s="135"/>
      <c r="V38" s="135"/>
      <c r="W38" s="135"/>
      <c r="X38" s="135"/>
      <c r="Y38" s="135"/>
      <c r="Z38" s="136"/>
      <c r="AA38" s="136"/>
      <c r="AB38" s="137"/>
      <c r="AC38" s="137"/>
      <c r="AD38" s="137"/>
      <c r="AE38" s="138">
        <f t="shared" si="0"/>
        <v>0</v>
      </c>
      <c r="AF38" s="78"/>
    </row>
    <row r="39" spans="1:32">
      <c r="A39" s="264">
        <f>IF(AND($K39&lt;&gt;"",$K39&lt;&gt;"--",$K39&lt;&gt;"O3/CP",$K$14=A$18),IF(LEFT($K39,1)="P",VLOOKUP(CONCATENATE(LEFT($K39,2),"H"),$R$63:$T$91,3,FALSE),VLOOKUP($K39,$R$63:$T$91,3,FALSE)))+IF(AND($K39&lt;&gt;"",$K39&lt;&gt;"O3/CP",$K$15=A$18,MID($K39,4,1)="2",$K$15&lt;&gt;$K$14),VLOOKUP(CONCATENATE(LEFT($K39,2),"L"),$R$63:$T$91,3,FALSE),0)+IF(AND($K39="O3/CP",$K$14=A$18),VLOOKUP("O3",$R$63:$T$91,3,FALSE)+VLOOKUP("CP",$R$63:$T$91,3,FALSE),0)+IF(AND($L39&lt;&gt;"",$L39&lt;&gt;"--",$L39&lt;&gt;"O3/CP",$L$14=A$18),IF(LEFT($L39,1)="P",VLOOKUP(CONCATENATE(LEFT($L39,2),"H"),$R$63:$T$91,3,FALSE),VLOOKUP($L39,$R$63:$T$91,3,FALSE)))+IF(AND($L39&lt;&gt;"",$L39&lt;&gt;"O3/CP",$L$15=A$18,MID($L39,4,1)="2",$L$15&lt;&gt;$L$14),VLOOKUP(CONCATENATE(LEFT($L39,2),"L"),$R$63:$T$91,3,FALSE),0)+IF(AND($L39="O3/CP",$L$14=A$18),VLOOKUP("O3",$R$63:$T$91,3,FALSE)+VLOOKUP("CP",$R$63:$T$91,3,FALSE),0)+IF(AND($M39&lt;&gt;"",$M39&lt;&gt;"--",$M39&lt;&gt;"O3/CP",$M$14=A$18),IF(LEFT($M39,1)="P",VLOOKUP(CONCATENATE(LEFT($M39,2),"H"),$R$63:$T$91,3,FALSE),VLOOKUP($M39,$R$63:$T$91,3,FALSE)))+IF(AND($M39&lt;&gt;"",$M39&lt;&gt;"O3/CP",$M$15=A$18,MID($M39,4,1)="2",$M$15&lt;&gt;$M$14),VLOOKUP(CONCATENATE(LEFT($M39,2),"L"),$R$63:$T$91,3,FALSE),0)+IF(AND($M39="O3/CP",$M$14=A$18),VLOOKUP("O3",$R$63:$T$91,3,FALSE)+VLOOKUP("CP",$R$63:$T$91,3,FALSE),0)+IF(AND($N39&lt;&gt;"",$N39&lt;&gt;"--",$N39&lt;&gt;"O3/CP",$N$14=A$18),IF(LEFT($N39,1)="P",VLOOKUP(CONCATENATE(LEFT($N39,2),"H"),$R$63:$T$91,3,FALSE),VLOOKUP($N39,$R$63:$T$91,3,FALSE)))+IF(AND($N39&lt;&gt;"",$N39&lt;&gt;"O3/CP",$N$15=A$18,MID($N39,4,1)="2",$N$15&lt;&gt;$N$14),VLOOKUP(CONCATENATE(LEFT($N39,2),"L"),$R$63:$T$91,3,FALSE),0)+IF(AND($N39="O3/CP",$N$14=A$18),VLOOKUP("O3",$R$63:$T$91,3,FALSE)+VLOOKUP("CP",$R$63:$T$91,3,FALSE),0)+IF(AND($O39&lt;&gt;"",$O39&lt;&gt;"--",$O39&lt;&gt;"O3/CP",$O$14=A$18),IF(LEFT($O39,1)="P",VLOOKUP(CONCATENATE(LEFT($O39,2),"H"),$R$63:$T$91,3,FALSE),VLOOKUP($O39,$R$63:$T$91,3,FALSE)))+IF(AND($O39&lt;&gt;"",$O39&lt;&gt;"O3/CP",$O$15=A$18,MID($O39,4,1)="2",$O$15&lt;&gt;$O$14),VLOOKUP(CONCATENATE(LEFT($O39,2),"L"),$R$63:$T$91,3,FALSE),0)+IF(AND($O39="O3/CP",$O$14=A$18),VLOOKUP("O3",$R$63:$T$91,3,FALSE)+VLOOKUP("CP",$R$63:$T$91,3,FALSE),0)+IF(AND($P39&lt;&gt;"",$P39&lt;&gt;"--",$P39&lt;&gt;"O3/CP",$P$14=A$18),IF(LEFT($P39,1)="P",VLOOKUP(CONCATENATE(LEFT($P39,2),"H"),$R$63:$T$91,3,FALSE),VLOOKUP($P39,$R$63:$T$91,3,FALSE)))+IF(AND($P39&lt;&gt;"",$P39&lt;&gt;"O3/CP",$P$15=A$18,MID($P39,4,1)="2",$P$15&lt;&gt;$P$14),VLOOKUP(CONCATENATE(LEFT($P39,2),"L"),$R$63:$T$91,3,FALSE),0)+IF(AND($P39="O3/CP",$P$14=A$18),VLOOKUP("O3",$R$63:$T$91,3,FALSE)+VLOOKUP("CP",$R$63:$T$91,3,FALSE),0)+IF(AND($Q39&lt;&gt;"",$Q39&lt;&gt;"--",$Q39&lt;&gt;"O3/CP",$Q$14=A$18),IF(LEFT($Q39,1)="P",VLOOKUP(CONCATENATE(LEFT($Q39,2),"H"),$R$63:$T$91,3,FALSE),VLOOKUP($Q39,$R$63:$T$91,3,FALSE)))+IF(AND($Q39&lt;&gt;"",$Q39&lt;&gt;"O3/CP",$Q$15=A$18,MID($Q39,4,1)="2",$Q$15&lt;&gt;$Q$14),VLOOKUP(CONCATENATE(LEFT($Q39,2),"L"),$R$63:$T$91,3,FALSE),0)+IF(AND($Q39="O3/CP",$Q$14=A$18),VLOOKUP("O3",$R$63:$T$91,3,FALSE)+VLOOKUP("CP",$R$63:$T$91,3,FALSE),0)+IF(AND($R39&lt;&gt;"",$R39&lt;&gt;"--",$R39&lt;&gt;"O3/CP",$R$14=A$18),IF(LEFT($R39,1)="P",VLOOKUP(CONCATENATE(LEFT($R39,2),"H"),$R$63:$T$91,3,FALSE),VLOOKUP($R39,$R$63:$T$91,3,FALSE)))+IF(AND($R39&lt;&gt;"",$R39&lt;&gt;"O3/CP",$R$15=A$18,MID($R39,4,1)="2",$R$15&lt;&gt;$R$14),VLOOKUP(CONCATENATE(LEFT($R39,2),"L"),$R$63:$T$91,3,FALSE),0)+IF(AND($R39="O3/CP",$R$14=A$18),VLOOKUP("O3",$R$63:$T$91,3,FALSE)+VLOOKUP("CP",$R$63:$T$91,3,FALSE),0)+IF(AND($S39&lt;&gt;"",$S39&lt;&gt;"--",$S39&lt;&gt;"O3/CP",$S$14=A$18),IF(LEFT($S39,1)="P",VLOOKUP(CONCATENATE(LEFT($S39,2),"H"),$R$63:$T$91,3,FALSE),VLOOKUP($S39,$R$63:$T$91,3,FALSE)))+IF(AND($S39&lt;&gt;"",$S39&lt;&gt;"O3/CP",$S$15=A$18,MID($S39,4,1)="2",$S$15&lt;&gt;$S$14),VLOOKUP(CONCATENATE(LEFT($S39,2),"L"),$R$63:$T$91,3,FALSE),0)+IF(AND($S39="O3/CP",$S$14=A$18),VLOOKUP("O3",$R$63:$T$91,3,FALSE)+VLOOKUP("CP",$R$63:$T$91,3,FALSE),0)+IF(AND($T39&lt;&gt;"",$T39&lt;&gt;"--",$T39&lt;&gt;"O3/CP",$T$14=A$18),IF(LEFT($T39,1)="P",VLOOKUP(CONCATENATE(LEFT($T39,2),"H"),$R$63:$T$91,3,FALSE),VLOOKUP($T39,$R$63:$T$91,3,FALSE)))+IF(AND($T39&lt;&gt;"",$T39&lt;&gt;"O3/CP",$T$15=A$18,MID($T39,4,1)="2",$T$15&lt;&gt;$T$14),VLOOKUP(CONCATENATE(LEFT($T39,2),"L"),$R$63:$T$91,3,FALSE),0)+IF(AND($T39="O3/CP",$T$14=A$18),VLOOKUP("O3",$R$63:$T$91,3,FALSE)+VLOOKUP("CP",$R$63:$T$91,3,FALSE),0)+IF(AND($U39&lt;&gt;"",$U39&lt;&gt;"--",$U39&lt;&gt;"O3/CP",$U$14=A$18),IF(LEFT($U39,1)="P",VLOOKUP(CONCATENATE(LEFT($U39,2),"H"),$R$63:$T$91,3,FALSE),VLOOKUP($U39,$R$63:$T$91,3,FALSE)))+IF(AND($U39&lt;&gt;"",$U39&lt;&gt;"O3/CP",$U$15=A$18,MID($U39,4,1)="2",$U$15&lt;&gt;$U$14),VLOOKUP(CONCATENATE(LEFT($U39,2),"L"),$R$63:$T$91,3,FALSE),0)+IF(AND($U39="O3/CP",$T$14=A$18),VLOOKUP("O3",$R$63:$T$91,3,FALSE)+VLOOKUP("CP",$R$63:$T$91,3,FALSE),0)+IF(AND($V39&lt;&gt;"",$V39&lt;&gt;"--",$V39&lt;&gt;"O3/CP",$V$14=A$18),IF(LEFT($V39,1)="P",VLOOKUP(CONCATENATE(LEFT($V39,2),"H"),$R$63:$T$91,3,FALSE),VLOOKUP($V39,$R$63:$T$91,3,FALSE)))+IF(AND($V39&lt;&gt;"",$V39&lt;&gt;"O3/CP",$V$15=A$18,MID($V39,4,1)="2",$V$15&lt;&gt;$V$14),VLOOKUP(CONCATENATE(LEFT($V39,2),"L"),$R$63:$T$91,3,FALSE),0)+IF(AND($V39="O3/CP",$V$14=A$18),VLOOKUP("O3",$R$63:$T$91,3,FALSE)+VLOOKUP("CP",$R$63:$T$91,3,FALSE),0)+IF(AND($W39&lt;&gt;"",$W39&lt;&gt;"--",$W39&lt;&gt;"O3/CP",$W$14=A$18),IF(LEFT($W39,1)="P",VLOOKUP(CONCATENATE(LEFT($W39,2),"H"),$R$63:$T$91,3,FALSE),VLOOKUP($W39,$R$63:$T$91,3,FALSE)))+IF(AND($W39&lt;&gt;"",$W39&lt;&gt;"O3/CP",$W$15=A$18,MID($W39,4,1)="2",$W$15&lt;&gt;$W$14),VLOOKUP(CONCATENATE(LEFT($W39,2),"L"),$R$63:$T$91,3,FALSE),0)+IF(AND($W39="O3/CP",$W$14=A$18),VLOOKUP("O3",$R$63:$T$91,3,FALSE)+VLOOKUP("CP",$R$63:$T$91,3,FALSE),0)+IF(AND($X39&lt;&gt;"",$X39&lt;&gt;"--",$X39&lt;&gt;"O3/CP",$X$14=A$18),IF(LEFT($X39,1)="P",VLOOKUP(CONCATENATE(LEFT($X39,2),"H"),$R$63:$T$91,3,FALSE),VLOOKUP($X39,$R$63:$T$91,3,FALSE)))+IF(AND($X39&lt;&gt;"",$X39&lt;&gt;"O3/CP",$X$15=A$18,MID($X39,4,1)="2",$X$15&lt;&gt;$X$14),VLOOKUP(CONCATENATE(LEFT($X39,2),"L"),$R$63:$T$91,3,FALSE),0)+IF(AND($X39="O3/CP",$X$14=A$18),VLOOKUP("O3",$R$63:$T$91,3,FALSE)+VLOOKUP("CP",$R$63:$T$91,3,FALSE),0)+IF(AND($Y39&lt;&gt;"",$Y39&lt;&gt;"--",$Y39&lt;&gt;"O3/CP",$Y$14=A$18),IF(LEFT($Y39,1)="P",VLOOKUP(CONCATENATE(LEFT($Y39,2),"H"),$R$63:$T$91,3,FALSE),VLOOKUP($Y39,$R$63:$T$91,3,FALSE)))+IF(AND($Y39&lt;&gt;"",$Y39&lt;&gt;"O3/CP",$Y$15=A$18,MID($Y39,4,1)="2",$Y$15&lt;&gt;$Y$14),VLOOKUP(CONCATENATE(LEFT($Y39,2),"L"),$R$63:$T$91,3,FALSE),0)+IF(AND($Y39="O3/CP",$Y$14=A$18),VLOOKUP("O3",$R$63:$T$91,3,FALSE)+VLOOKUP("CP",$R$63:$T$91,3,FALSE),0)+IF(AND($K$6="CE",'[3]Supply Attribution'!$G$20=A$18),LEFT($S$90,2),0)+IF(AND($X$86&lt;&gt;"Not Set",$X$87=A$18),$X$86,0)</f>
        <v>0</v>
      </c>
      <c r="B39" s="271">
        <f>IF(AND($K39&lt;&gt;"",$K39&lt;&gt;"--",$K39&lt;&gt;"O3/CP",$K$14=B$18),IF(LEFT($K39,1)="P",VLOOKUP(CONCATENATE(LEFT($K39,2),"H"),$R$63:$T$91,3,FALSE),VLOOKUP($K39,$R$63:$T$91,3,FALSE)))+IF(AND($K39&lt;&gt;"",$K39&lt;&gt;"O3/CP",$K$15=B$18,MID($K39,4,1)="2",$K$15&lt;&gt;$K$14),VLOOKUP(CONCATENATE(LEFT($K39,2),"L"),$R$63:$T$91,3,FALSE),0)+IF(AND($K39="O3/CP",$K$14=B$18),VLOOKUP("O3",$R$63:$T$91,3,FALSE)+VLOOKUP("CP",$R$63:$T$91,3,FALSE),0)+IF(AND($L39&lt;&gt;"",$L39&lt;&gt;"--",$L39&lt;&gt;"O3/CP",$L$14=B$18),IF(LEFT($L39,1)="P",VLOOKUP(CONCATENATE(LEFT($L39,2),"H"),$R$63:$T$91,3,FALSE),VLOOKUP($L39,$R$63:$T$91,3,FALSE)))+IF(AND($L39&lt;&gt;"",$L39&lt;&gt;"O3/CP",$L$15=B$18,MID($L39,4,1)="2",$L$15&lt;&gt;$L$14),VLOOKUP(CONCATENATE(LEFT($L39,2),"L"),$R$63:$T$91,3,FALSE),0)+IF(AND($L39="O3/CP",$L$14=B$18),VLOOKUP("O3",$R$63:$T$91,3,FALSE)+VLOOKUP("CP",$R$63:$T$91,3,FALSE),0)+IF(AND($M39&lt;&gt;"",$M39&lt;&gt;"--",$M39&lt;&gt;"O3/CP",$M$14=B$18),IF(LEFT($M39,1)="P",VLOOKUP(CONCATENATE(LEFT($M39,2),"H"),$R$63:$T$91,3,FALSE),VLOOKUP($M39,$R$63:$T$91,3,FALSE)))+IF(AND($M39&lt;&gt;"",$M39&lt;&gt;"O3/CP",$M$15=B$18,MID($M39,4,1)="2",$M$15&lt;&gt;$M$14),VLOOKUP(CONCATENATE(LEFT($M39,2),"L"),$R$63:$T$91,3,FALSE),0)+IF(AND($M39="O3/CP",$M$14=B$18),VLOOKUP("O3",$R$63:$T$91,3,FALSE)+VLOOKUP("CP",$R$63:$T$91,3,FALSE),0)+IF(AND($N39&lt;&gt;"",$N39&lt;&gt;"--",$N39&lt;&gt;"O3/CP",$N$14=B$18),IF(LEFT($N39,1)="P",VLOOKUP(CONCATENATE(LEFT($N39,2),"H"),$R$63:$T$91,3,FALSE),VLOOKUP($N39,$R$63:$T$91,3,FALSE)))+IF(AND($N39&lt;&gt;"",$N39&lt;&gt;"O3/CP",$N$15=B$18,MID($N39,4,1)="2",$N$15&lt;&gt;$N$14),VLOOKUP(CONCATENATE(LEFT($N39,2),"L"),$R$63:$T$91,3,FALSE),0)+IF(AND($N39="O3/CP",$N$14=B$18),VLOOKUP("O3",$R$63:$T$91,3,FALSE)+VLOOKUP("CP",$R$63:$T$91,3,FALSE),0)+IF(AND($O39&lt;&gt;"",$O39&lt;&gt;"--",$O39&lt;&gt;"O3/CP",$O$14=B$18),IF(LEFT($O39,1)="P",VLOOKUP(CONCATENATE(LEFT($O39,2),"H"),$R$63:$T$91,3,FALSE),VLOOKUP($O39,$R$63:$T$91,3,FALSE)))+IF(AND($O39&lt;&gt;"",$O39&lt;&gt;"O3/CP",$O$15=B$18,MID($O39,4,1)="2",$O$15&lt;&gt;$O$14),VLOOKUP(CONCATENATE(LEFT($O39,2),"L"),$R$63:$T$91,3,FALSE),0)+IF(AND($O39="O3/CP",$O$14=B$18),VLOOKUP("O3",$R$63:$T$91,3,FALSE)+VLOOKUP("CP",$R$63:$T$91,3,FALSE),0)+IF(AND($P39&lt;&gt;"",$P39&lt;&gt;"--",$P39&lt;&gt;"O3/CP",$P$14=B$18),IF(LEFT($P39,1)="P",VLOOKUP(CONCATENATE(LEFT($P39,2),"H"),$R$63:$T$91,3,FALSE),VLOOKUP($P39,$R$63:$T$91,3,FALSE)))+IF(AND($P39&lt;&gt;"",$P39&lt;&gt;"O3/CP",$P$15=B$18,MID($P39,4,1)="2",$P$15&lt;&gt;$P$14),VLOOKUP(CONCATENATE(LEFT($P39,2),"L"),$R$63:$T$91,3,FALSE),0)+IF(AND($P39="O3/CP",$P$14=B$18),VLOOKUP("O3",$R$63:$T$91,3,FALSE)+VLOOKUP("CP",$R$63:$T$91,3,FALSE),0)+IF(AND($Q39&lt;&gt;"",$Q39&lt;&gt;"--",$Q39&lt;&gt;"O3/CP",$Q$14=B$18),IF(LEFT($Q39,1)="P",VLOOKUP(CONCATENATE(LEFT($Q39,2),"H"),$R$63:$T$91,3,FALSE),VLOOKUP($Q39,$R$63:$T$91,3,FALSE)))+IF(AND($Q39&lt;&gt;"",$Q39&lt;&gt;"O3/CP",$Q$15=B$18,MID($Q39,4,1)="2",$Q$15&lt;&gt;$Q$14),VLOOKUP(CONCATENATE(LEFT($Q39,2),"L"),$R$63:$T$91,3,FALSE),0)+IF(AND($Q39="O3/CP",$Q$14=B$18),VLOOKUP("O3",$R$63:$T$91,3,FALSE)+VLOOKUP("CP",$R$63:$T$91,3,FALSE),0)+IF(AND($R39&lt;&gt;"",$R39&lt;&gt;"--",$R39&lt;&gt;"O3/CP",$R$14=B$18),IF(LEFT($R39,1)="P",VLOOKUP(CONCATENATE(LEFT($R39,2),"H"),$R$63:$T$91,3,FALSE),VLOOKUP($R39,$R$63:$T$91,3,FALSE)))+IF(AND($R39&lt;&gt;"",$R39&lt;&gt;"O3/CP",$R$15=B$18,MID($R39,4,1)="2",$R$15&lt;&gt;$R$14),VLOOKUP(CONCATENATE(LEFT($R39,2),"L"),$R$63:$T$91,3,FALSE),0)+IF(AND($R39="O3/CP",$R$14=B$18),VLOOKUP("O3",$R$63:$T$91,3,FALSE)+VLOOKUP("CP",$R$63:$T$91,3,FALSE),0)+IF(AND($S39&lt;&gt;"",$S39&lt;&gt;"--",$S39&lt;&gt;"O3/CP",$S$14=B$18),IF(LEFT($S39,1)="P",VLOOKUP(CONCATENATE(LEFT($S39,2),"H"),$R$63:$T$91,3,FALSE),VLOOKUP($S39,$R$63:$T$91,3,FALSE)))+IF(AND($S39&lt;&gt;"",$S39&lt;&gt;"O3/CP",$S$15=B$18,MID($S39,4,1)="2",$S$15&lt;&gt;$S$14),VLOOKUP(CONCATENATE(LEFT($S39,2),"L"),$R$63:$T$91,3,FALSE),0)+IF(AND($S39="O3/CP",$S$14=B$18),VLOOKUP("O3",$R$63:$T$91,3,FALSE)+VLOOKUP("CP",$R$63:$T$91,3,FALSE),0)+IF(AND($T39&lt;&gt;"",$T39&lt;&gt;"--",$T39&lt;&gt;"O3/CP",$T$14=B$18),IF(LEFT($T39,1)="P",VLOOKUP(CONCATENATE(LEFT($T39,2),"H"),$R$63:$T$91,3,FALSE),VLOOKUP($T39,$R$63:$T$91,3,FALSE)))+IF(AND($T39&lt;&gt;"",$T39&lt;&gt;"O3/CP",$T$15=B$18,MID($T39,4,1)="2",$T$15&lt;&gt;$T$14),VLOOKUP(CONCATENATE(LEFT($T39,2),"L"),$R$63:$T$91,3,FALSE),0)+IF(AND($T39="O3/CP",$T$14=B$18),VLOOKUP("O3",$R$63:$T$91,3,FALSE)+VLOOKUP("CP",$R$63:$T$91,3,FALSE),0)+IF(AND($U39&lt;&gt;"",$U39&lt;&gt;"--",$U39&lt;&gt;"O3/CP",$U$14=B$18),IF(LEFT($U39,1)="P",VLOOKUP(CONCATENATE(LEFT($U39,2),"H"),$R$63:$T$91,3,FALSE),VLOOKUP($U39,$R$63:$T$91,3,FALSE)))+IF(AND($U39&lt;&gt;"",$U39&lt;&gt;"O3/CP",$U$15=B$18,MID($U39,4,1)="2",$U$15&lt;&gt;$U$14),VLOOKUP(CONCATENATE(LEFT($U39,2),"L"),$R$63:$T$91,3,FALSE),0)+IF(AND($U39="O3/CP",$T$14=B$18),VLOOKUP("O3",$R$63:$T$91,3,FALSE)+VLOOKUP("CP",$R$63:$T$91,3,FALSE),0)+IF(AND($V39&lt;&gt;"",$V39&lt;&gt;"--",$V39&lt;&gt;"O3/CP",$V$14=B$18),IF(LEFT($V39,1)="P",VLOOKUP(CONCATENATE(LEFT($V39,2),"H"),$R$63:$T$91,3,FALSE),VLOOKUP($V39,$R$63:$T$91,3,FALSE)))+IF(AND($V39&lt;&gt;"",$V39&lt;&gt;"O3/CP",$V$15=B$18,MID($V39,4,1)="2",$V$15&lt;&gt;$V$14),VLOOKUP(CONCATENATE(LEFT($V39,2),"L"),$R$63:$T$91,3,FALSE),0)+IF(AND($V39="O3/CP",$V$14=B$18),VLOOKUP("O3",$R$63:$T$91,3,FALSE)+VLOOKUP("CP",$R$63:$T$91,3,FALSE),0)+IF(AND($W39&lt;&gt;"",$W39&lt;&gt;"--",$W39&lt;&gt;"O3/CP",$W$14=B$18),IF(LEFT($W39,1)="P",VLOOKUP(CONCATENATE(LEFT($W39,2),"H"),$R$63:$T$91,3,FALSE),VLOOKUP($W39,$R$63:$T$91,3,FALSE)))+IF(AND($W39&lt;&gt;"",$W39&lt;&gt;"O3/CP",$W$15=B$18,MID($W39,4,1)="2",$W$15&lt;&gt;$W$14),VLOOKUP(CONCATENATE(LEFT($W39,2),"L"),$R$63:$T$91,3,FALSE),0)+IF(AND($W39="O3/CP",$W$14=B$18),VLOOKUP("O3",$R$63:$T$91,3,FALSE)+VLOOKUP("CP",$R$63:$T$91,3,FALSE),0)+IF(AND($X39&lt;&gt;"",$X39&lt;&gt;"--",$X39&lt;&gt;"O3/CP",$X$14=B$18),IF(LEFT($X39,1)="P",VLOOKUP(CONCATENATE(LEFT($X39,2),"H"),$R$63:$T$91,3,FALSE),VLOOKUP($X39,$R$63:$T$91,3,FALSE)))+IF(AND($X39&lt;&gt;"",$X39&lt;&gt;"O3/CP",$X$15=B$18,MID($X39,4,1)="2",$X$15&lt;&gt;$X$14),VLOOKUP(CONCATENATE(LEFT($X39,2),"L"),$R$63:$T$91,3,FALSE),0)+IF(AND($X39="O3/CP",$X$14=B$18),VLOOKUP("O3",$R$63:$T$91,3,FALSE)+VLOOKUP("CP",$R$63:$T$91,3,FALSE),0)+IF(AND($Y39&lt;&gt;"",$Y39&lt;&gt;"--",$Y39&lt;&gt;"O3/CP",$Y$14=B$18),IF(LEFT($Y39,1)="P",VLOOKUP(CONCATENATE(LEFT($Y39,2),"H"),$R$63:$T$91,3,FALSE),VLOOKUP($Y39,$R$63:$T$91,3,FALSE)))+IF(AND($Y39&lt;&gt;"",$Y39&lt;&gt;"O3/CP",$Y$15=B$18,MID($Y39,4,1)="2",$Y$15&lt;&gt;$Y$14),VLOOKUP(CONCATENATE(LEFT($Y39,2),"L"),$R$63:$T$91,3,FALSE),0)+IF(AND($Y39="O3/CP",$Y$14=B$18),VLOOKUP("O3",$R$63:$T$91,3,FALSE)+VLOOKUP("CP",$R$63:$T$91,3,FALSE),0)+IF(AND($K$6="CE",'[3]Supply Attribution'!$G$20=B$18),LEFT($S$90,2),0)+IF(AND($X$86&lt;&gt;"Not Set",$X$87=B$18),$X$86,0)</f>
        <v>0</v>
      </c>
      <c r="C39" s="271">
        <f>IF(AND($K39&lt;&gt;"",$K39&lt;&gt;"--",$K39&lt;&gt;"O3/CP",$K$14=C$18),IF(LEFT($K39,1)="P",VLOOKUP(CONCATENATE(LEFT($K39,2),"H"),$R$63:$T$91,3,FALSE),VLOOKUP($K39,$R$63:$T$91,3,FALSE)))+IF(AND($K39&lt;&gt;"",$K39&lt;&gt;"O3/CP",$K$15=C$18,MID($K39,4,1)="2",$K$15&lt;&gt;$K$14),VLOOKUP(CONCATENATE(LEFT($K39,2),"L"),$R$63:$T$91,3,FALSE),0)+IF(AND($K39="O3/CP",$K$14=C$18),VLOOKUP("O3",$R$63:$T$91,3,FALSE)+VLOOKUP("CP",$R$63:$T$91,3,FALSE),0)+IF(AND($L39&lt;&gt;"",$L39&lt;&gt;"--",$L39&lt;&gt;"O3/CP",$L$14=C$18),IF(LEFT($L39,1)="P",VLOOKUP(CONCATENATE(LEFT($L39,2),"H"),$R$63:$T$91,3,FALSE),VLOOKUP($L39,$R$63:$T$91,3,FALSE)))+IF(AND($L39&lt;&gt;"",$L39&lt;&gt;"O3/CP",$L$15=C$18,MID($L39,4,1)="2",$L$15&lt;&gt;$L$14),VLOOKUP(CONCATENATE(LEFT($L39,2),"L"),$R$63:$T$91,3,FALSE),0)+IF(AND($L39="O3/CP",$L$14=C$18),VLOOKUP("O3",$R$63:$T$91,3,FALSE)+VLOOKUP("CP",$R$63:$T$91,3,FALSE),0)+IF(AND($M39&lt;&gt;"",$M39&lt;&gt;"--",$M39&lt;&gt;"O3/CP",$M$14=C$18),IF(LEFT($M39,1)="P",VLOOKUP(CONCATENATE(LEFT($M39,2),"H"),$R$63:$T$91,3,FALSE),VLOOKUP($M39,$R$63:$T$91,3,FALSE)))+IF(AND($M39&lt;&gt;"",$M39&lt;&gt;"O3/CP",$M$15=C$18,MID($M39,4,1)="2",$M$15&lt;&gt;$M$14),VLOOKUP(CONCATENATE(LEFT($M39,2),"L"),$R$63:$T$91,3,FALSE),0)+IF(AND($M39="O3/CP",$M$14=C$18),VLOOKUP("O3",$R$63:$T$91,3,FALSE)+VLOOKUP("CP",$R$63:$T$91,3,FALSE),0)+IF(AND($N39&lt;&gt;"",$N39&lt;&gt;"--",$N39&lt;&gt;"O3/CP",$N$14=C$18),IF(LEFT($N39,1)="P",VLOOKUP(CONCATENATE(LEFT($N39,2),"H"),$R$63:$T$91,3,FALSE),VLOOKUP($N39,$R$63:$T$91,3,FALSE)))+IF(AND($N39&lt;&gt;"",$N39&lt;&gt;"O3/CP",$N$15=C$18,MID($N39,4,1)="2",$N$15&lt;&gt;$N$14),VLOOKUP(CONCATENATE(LEFT($N39,2),"L"),$R$63:$T$91,3,FALSE),0)+IF(AND($N39="O3/CP",$N$14=C$18),VLOOKUP("O3",$R$63:$T$91,3,FALSE)+VLOOKUP("CP",$R$63:$T$91,3,FALSE),0)+IF(AND($O39&lt;&gt;"",$O39&lt;&gt;"--",$O39&lt;&gt;"O3/CP",$O$14=C$18),IF(LEFT($O39,1)="P",VLOOKUP(CONCATENATE(LEFT($O39,2),"H"),$R$63:$T$91,3,FALSE),VLOOKUP($O39,$R$63:$T$91,3,FALSE)))+IF(AND($O39&lt;&gt;"",$O39&lt;&gt;"O3/CP",$O$15=C$18,MID($O39,4,1)="2",$O$15&lt;&gt;$O$14),VLOOKUP(CONCATENATE(LEFT($O39,2),"L"),$R$63:$T$91,3,FALSE),0)+IF(AND($O39="O3/CP",$O$14=C$18),VLOOKUP("O3",$R$63:$T$91,3,FALSE)+VLOOKUP("CP",$R$63:$T$91,3,FALSE),0)+IF(AND($P39&lt;&gt;"",$P39&lt;&gt;"--",$P39&lt;&gt;"O3/CP",$P$14=C$18),IF(LEFT($P39,1)="P",VLOOKUP(CONCATENATE(LEFT($P39,2),"H"),$R$63:$T$91,3,FALSE),VLOOKUP($P39,$R$63:$T$91,3,FALSE)))+IF(AND($P39&lt;&gt;"",$P39&lt;&gt;"O3/CP",$P$15=C$18,MID($P39,4,1)="2",$P$15&lt;&gt;$P$14),VLOOKUP(CONCATENATE(LEFT($P39,2),"L"),$R$63:$T$91,3,FALSE),0)+IF(AND($P39="O3/CP",$P$14=C$18),VLOOKUP("O3",$R$63:$T$91,3,FALSE)+VLOOKUP("CP",$R$63:$T$91,3,FALSE),0)+IF(AND($Q39&lt;&gt;"",$Q39&lt;&gt;"--",$Q39&lt;&gt;"O3/CP",$Q$14=C$18),IF(LEFT($Q39,1)="P",VLOOKUP(CONCATENATE(LEFT($Q39,2),"H"),$R$63:$T$91,3,FALSE),VLOOKUP($Q39,$R$63:$T$91,3,FALSE)))+IF(AND($Q39&lt;&gt;"",$Q39&lt;&gt;"O3/CP",$Q$15=C$18,MID($Q39,4,1)="2",$Q$15&lt;&gt;$Q$14),VLOOKUP(CONCATENATE(LEFT($Q39,2),"L"),$R$63:$T$91,3,FALSE),0)+IF(AND($Q39="O3/CP",$Q$14=C$18),VLOOKUP("O3",$R$63:$T$91,3,FALSE)+VLOOKUP("CP",$R$63:$T$91,3,FALSE),0)+IF(AND($R39&lt;&gt;"",$R39&lt;&gt;"--",$R39&lt;&gt;"O3/CP",$R$14=C$18),IF(LEFT($R39,1)="P",VLOOKUP(CONCATENATE(LEFT($R39,2),"H"),$R$63:$T$91,3,FALSE),VLOOKUP($R39,$R$63:$T$91,3,FALSE)))+IF(AND($R39&lt;&gt;"",$R39&lt;&gt;"O3/CP",$R$15=C$18,MID($R39,4,1)="2",$R$15&lt;&gt;$R$14),VLOOKUP(CONCATENATE(LEFT($R39,2),"L"),$R$63:$T$91,3,FALSE),0)+IF(AND($R39="O3/CP",$R$14=C$18),VLOOKUP("O3",$R$63:$T$91,3,FALSE)+VLOOKUP("CP",$R$63:$T$91,3,FALSE),0)+IF(AND($S39&lt;&gt;"",$S39&lt;&gt;"--",$S39&lt;&gt;"O3/CP",$S$14=C$18),IF(LEFT($S39,1)="P",VLOOKUP(CONCATENATE(LEFT($S39,2),"H"),$R$63:$T$91,3,FALSE),VLOOKUP($S39,$R$63:$T$91,3,FALSE)))+IF(AND($S39&lt;&gt;"",$S39&lt;&gt;"O3/CP",$S$15=C$18,MID($S39,4,1)="2",$S$15&lt;&gt;$S$14),VLOOKUP(CONCATENATE(LEFT($S39,2),"L"),$R$63:$T$91,3,FALSE),0)+IF(AND($S39="O3/CP",$S$14=C$18),VLOOKUP("O3",$R$63:$T$91,3,FALSE)+VLOOKUP("CP",$R$63:$T$91,3,FALSE),0)+IF(AND($T39&lt;&gt;"",$T39&lt;&gt;"--",$T39&lt;&gt;"O3/CP",$T$14=C$18),IF(LEFT($T39,1)="P",VLOOKUP(CONCATENATE(LEFT($T39,2),"H"),$R$63:$T$91,3,FALSE),VLOOKUP($T39,$R$63:$T$91,3,FALSE)))+IF(AND($T39&lt;&gt;"",$T39&lt;&gt;"O3/CP",$T$15=C$18,MID($T39,4,1)="2",$T$15&lt;&gt;$T$14),VLOOKUP(CONCATENATE(LEFT($T39,2),"L"),$R$63:$T$91,3,FALSE),0)+IF(AND($T39="O3/CP",$T$14=C$18),VLOOKUP("O3",$R$63:$T$91,3,FALSE)+VLOOKUP("CP",$R$63:$T$91,3,FALSE),0)+IF(AND($U39&lt;&gt;"",$U39&lt;&gt;"--",$U39&lt;&gt;"O3/CP",$U$14=C$18),IF(LEFT($U39,1)="P",VLOOKUP(CONCATENATE(LEFT($U39,2),"H"),$R$63:$T$91,3,FALSE),VLOOKUP($U39,$R$63:$T$91,3,FALSE)))+IF(AND($U39&lt;&gt;"",$U39&lt;&gt;"O3/CP",$U$15=C$18,MID($U39,4,1)="2",$U$15&lt;&gt;$U$14),VLOOKUP(CONCATENATE(LEFT($U39,2),"L"),$R$63:$T$91,3,FALSE),0)+IF(AND($U39="O3/CP",$T$14=C$18),VLOOKUP("O3",$R$63:$T$91,3,FALSE)+VLOOKUP("CP",$R$63:$T$91,3,FALSE),0)+IF(AND($V39&lt;&gt;"",$V39&lt;&gt;"--",$V39&lt;&gt;"O3/CP",$V$14=C$18),IF(LEFT($V39,1)="P",VLOOKUP(CONCATENATE(LEFT($V39,2),"H"),$R$63:$T$91,3,FALSE),VLOOKUP($V39,$R$63:$T$91,3,FALSE)))+IF(AND($V39&lt;&gt;"",$V39&lt;&gt;"O3/CP",$V$15=C$18,MID($V39,4,1)="2",$V$15&lt;&gt;$V$14),VLOOKUP(CONCATENATE(LEFT($V39,2),"L"),$R$63:$T$91,3,FALSE),0)+IF(AND($V39="O3/CP",$V$14=C$18),VLOOKUP("O3",$R$63:$T$91,3,FALSE)+VLOOKUP("CP",$R$63:$T$91,3,FALSE),0)+IF(AND($W39&lt;&gt;"",$W39&lt;&gt;"--",$W39&lt;&gt;"O3/CP",$W$14=C$18),IF(LEFT($W39,1)="P",VLOOKUP(CONCATENATE(LEFT($W39,2),"H"),$R$63:$T$91,3,FALSE),VLOOKUP($W39,$R$63:$T$91,3,FALSE)))+IF(AND($W39&lt;&gt;"",$W39&lt;&gt;"O3/CP",$W$15=C$18,MID($W39,4,1)="2",$W$15&lt;&gt;$W$14),VLOOKUP(CONCATENATE(LEFT($W39,2),"L"),$R$63:$T$91,3,FALSE),0)+IF(AND($W39="O3/CP",$W$14=C$18),VLOOKUP("O3",$R$63:$T$91,3,FALSE)+VLOOKUP("CP",$R$63:$T$91,3,FALSE),0)+IF(AND($X39&lt;&gt;"",$X39&lt;&gt;"--",$X39&lt;&gt;"O3/CP",$X$14=C$18),IF(LEFT($X39,1)="P",VLOOKUP(CONCATENATE(LEFT($X39,2),"H"),$R$63:$T$91,3,FALSE),VLOOKUP($X39,$R$63:$T$91,3,FALSE)))+IF(AND($X39&lt;&gt;"",$X39&lt;&gt;"O3/CP",$X$15=C$18,MID($X39,4,1)="2",$X$15&lt;&gt;$X$14),VLOOKUP(CONCATENATE(LEFT($X39,2),"L"),$R$63:$T$91,3,FALSE),0)+IF(AND($X39="O3/CP",$X$14=C$18),VLOOKUP("O3",$R$63:$T$91,3,FALSE)+VLOOKUP("CP",$R$63:$T$91,3,FALSE),0)+IF(AND($Y39&lt;&gt;"",$Y39&lt;&gt;"--",$Y39&lt;&gt;"O3/CP",$Y$14=C$18),IF(LEFT($Y39,1)="P",VLOOKUP(CONCATENATE(LEFT($Y39,2),"H"),$R$63:$T$91,3,FALSE),VLOOKUP($Y39,$R$63:$T$91,3,FALSE)))+IF(AND($Y39&lt;&gt;"",$Y39&lt;&gt;"O3/CP",$Y$15=C$18,MID($Y39,4,1)="2",$Y$15&lt;&gt;$Y$14),VLOOKUP(CONCATENATE(LEFT($Y39,2),"L"),$R$63:$T$91,3,FALSE),0)+IF(AND($Y39="O3/CP",$Y$14=C$18),VLOOKUP("O3",$R$63:$T$91,3,FALSE)+VLOOKUP("CP",$R$63:$T$91,3,FALSE),0)+IF(AND($K$6="CE",'[3]Supply Attribution'!$G$20=C$18),LEFT($S$90,2),0)+IF(AND($X$86&lt;&gt;"Not Set",$X$87=C$18),$X$86,0)</f>
        <v>0</v>
      </c>
      <c r="D39" s="271">
        <f>IF(AND($K39&lt;&gt;"",$K39&lt;&gt;"--",$K39&lt;&gt;"O3/CP",$K$14=D$18),IF(LEFT($K39,1)="P",VLOOKUP(CONCATENATE(LEFT($K39,2),"H"),$R$63:$T$91,3,FALSE),VLOOKUP($K39,$R$63:$T$91,3,FALSE)))+IF(AND($K39&lt;&gt;"",$K39&lt;&gt;"O3/CP",$K$15=D$18,MID($K39,4,1)="2",$K$15&lt;&gt;$K$14),VLOOKUP(CONCATENATE(LEFT($K39,2),"L"),$R$63:$T$91,3,FALSE),0)+IF(AND($K39="O3/CP",$K$14=D$18),VLOOKUP("O3",$R$63:$T$91,3,FALSE)+VLOOKUP("CP",$R$63:$T$91,3,FALSE),0)+IF(AND($L39&lt;&gt;"",$L39&lt;&gt;"--",$L39&lt;&gt;"O3/CP",$L$14=D$18),IF(LEFT($L39,1)="P",VLOOKUP(CONCATENATE(LEFT($L39,2),"H"),$R$63:$T$91,3,FALSE),VLOOKUP($L39,$R$63:$T$91,3,FALSE)))+IF(AND($L39&lt;&gt;"",$L39&lt;&gt;"O3/CP",$L$15=D$18,MID($L39,4,1)="2",$L$15&lt;&gt;$L$14),VLOOKUP(CONCATENATE(LEFT($L39,2),"L"),$R$63:$T$91,3,FALSE),0)+IF(AND($L39="O3/CP",$L$14=D$18),VLOOKUP("O3",$R$63:$T$91,3,FALSE)+VLOOKUP("CP",$R$63:$T$91,3,FALSE),0)+IF(AND($M39&lt;&gt;"",$M39&lt;&gt;"--",$M39&lt;&gt;"O3/CP",$M$14=D$18),IF(LEFT($M39,1)="P",VLOOKUP(CONCATENATE(LEFT($M39,2),"H"),$R$63:$T$91,3,FALSE),VLOOKUP($M39,$R$63:$T$91,3,FALSE)))+IF(AND($M39&lt;&gt;"",$M39&lt;&gt;"O3/CP",$M$15=D$18,MID($M39,4,1)="2",$M$15&lt;&gt;$M$14),VLOOKUP(CONCATENATE(LEFT($M39,2),"L"),$R$63:$T$91,3,FALSE),0)+IF(AND($M39="O3/CP",$M$14=D$18),VLOOKUP("O3",$R$63:$T$91,3,FALSE)+VLOOKUP("CP",$R$63:$T$91,3,FALSE),0)+IF(AND($N39&lt;&gt;"",$N39&lt;&gt;"--",$N39&lt;&gt;"O3/CP",$N$14=D$18),IF(LEFT($N39,1)="P",VLOOKUP(CONCATENATE(LEFT($N39,2),"H"),$R$63:$T$91,3,FALSE),VLOOKUP($N39,$R$63:$T$91,3,FALSE)))+IF(AND($N39&lt;&gt;"",$N39&lt;&gt;"O3/CP",$N$15=D$18,MID($N39,4,1)="2",$N$15&lt;&gt;$N$14),VLOOKUP(CONCATENATE(LEFT($N39,2),"L"),$R$63:$T$91,3,FALSE),0)+IF(AND($N39="O3/CP",$N$14=D$18),VLOOKUP("O3",$R$63:$T$91,3,FALSE)+VLOOKUP("CP",$R$63:$T$91,3,FALSE),0)+IF(AND($O39&lt;&gt;"",$O39&lt;&gt;"--",$O39&lt;&gt;"O3/CP",$O$14=D$18),IF(LEFT($O39,1)="P",VLOOKUP(CONCATENATE(LEFT($O39,2),"H"),$R$63:$T$91,3,FALSE),VLOOKUP($O39,$R$63:$T$91,3,FALSE)))+IF(AND($O39&lt;&gt;"",$O39&lt;&gt;"O3/CP",$O$15=D$18,MID($O39,4,1)="2",$O$15&lt;&gt;$O$14),VLOOKUP(CONCATENATE(LEFT($O39,2),"L"),$R$63:$T$91,3,FALSE),0)+IF(AND($O39="O3/CP",$O$14=D$18),VLOOKUP("O3",$R$63:$T$91,3,FALSE)+VLOOKUP("CP",$R$63:$T$91,3,FALSE),0)+IF(AND($P39&lt;&gt;"",$P39&lt;&gt;"--",$P39&lt;&gt;"O3/CP",$P$14=D$18),IF(LEFT($P39,1)="P",VLOOKUP(CONCATENATE(LEFT($P39,2),"H"),$R$63:$T$91,3,FALSE),VLOOKUP($P39,$R$63:$T$91,3,FALSE)))+IF(AND($P39&lt;&gt;"",$P39&lt;&gt;"O3/CP",$P$15=D$18,MID($P39,4,1)="2",$P$15&lt;&gt;$P$14),VLOOKUP(CONCATENATE(LEFT($P39,2),"L"),$R$63:$T$91,3,FALSE),0)+IF(AND($P39="O3/CP",$P$14=D$18),VLOOKUP("O3",$R$63:$T$91,3,FALSE)+VLOOKUP("CP",$R$63:$T$91,3,FALSE),0)+IF(AND($Q39&lt;&gt;"",$Q39&lt;&gt;"--",$Q39&lt;&gt;"O3/CP",$Q$14=D$18),IF(LEFT($Q39,1)="P",VLOOKUP(CONCATENATE(LEFT($Q39,2),"H"),$R$63:$T$91,3,FALSE),VLOOKUP($Q39,$R$63:$T$91,3,FALSE)))+IF(AND($Q39&lt;&gt;"",$Q39&lt;&gt;"O3/CP",$Q$15=D$18,MID($Q39,4,1)="2",$Q$15&lt;&gt;$Q$14),VLOOKUP(CONCATENATE(LEFT($Q39,2),"L"),$R$63:$T$91,3,FALSE),0)+IF(AND($Q39="O3/CP",$Q$14=D$18),VLOOKUP("O3",$R$63:$T$91,3,FALSE)+VLOOKUP("CP",$R$63:$T$91,3,FALSE),0)+IF(AND($R39&lt;&gt;"",$R39&lt;&gt;"--",$R39&lt;&gt;"O3/CP",$R$14=D$18),IF(LEFT($R39,1)="P",VLOOKUP(CONCATENATE(LEFT($R39,2),"H"),$R$63:$T$91,3,FALSE),VLOOKUP($R39,$R$63:$T$91,3,FALSE)))+IF(AND($R39&lt;&gt;"",$R39&lt;&gt;"O3/CP",$R$15=D$18,MID($R39,4,1)="2",$R$15&lt;&gt;$R$14),VLOOKUP(CONCATENATE(LEFT($R39,2),"L"),$R$63:$T$91,3,FALSE),0)+IF(AND($R39="O3/CP",$R$14=D$18),VLOOKUP("O3",$R$63:$T$91,3,FALSE)+VLOOKUP("CP",$R$63:$T$91,3,FALSE),0)+IF(AND($S39&lt;&gt;"",$S39&lt;&gt;"--",$S39&lt;&gt;"O3/CP",$S$14=D$18),IF(LEFT($S39,1)="P",VLOOKUP(CONCATENATE(LEFT($S39,2),"H"),$R$63:$T$91,3,FALSE),VLOOKUP($S39,$R$63:$T$91,3,FALSE)))+IF(AND($S39&lt;&gt;"",$S39&lt;&gt;"O3/CP",$S$15=D$18,MID($S39,4,1)="2",$S$15&lt;&gt;$S$14),VLOOKUP(CONCATENATE(LEFT($S39,2),"L"),$R$63:$T$91,3,FALSE),0)+IF(AND($S39="O3/CP",$S$14=D$18),VLOOKUP("O3",$R$63:$T$91,3,FALSE)+VLOOKUP("CP",$R$63:$T$91,3,FALSE),0)+IF(AND($T39&lt;&gt;"",$T39&lt;&gt;"--",$T39&lt;&gt;"O3/CP",$T$14=D$18),IF(LEFT($T39,1)="P",VLOOKUP(CONCATENATE(LEFT($T39,2),"H"),$R$63:$T$91,3,FALSE),VLOOKUP($T39,$R$63:$T$91,3,FALSE)))+IF(AND($T39&lt;&gt;"",$T39&lt;&gt;"O3/CP",$T$15=D$18,MID($T39,4,1)="2",$T$15&lt;&gt;$T$14),VLOOKUP(CONCATENATE(LEFT($T39,2),"L"),$R$63:$T$91,3,FALSE),0)+IF(AND($T39="O3/CP",$T$14=D$18),VLOOKUP("O3",$R$63:$T$91,3,FALSE)+VLOOKUP("CP",$R$63:$T$91,3,FALSE),0)+IF(AND($U39&lt;&gt;"",$U39&lt;&gt;"--",$U39&lt;&gt;"O3/CP",$U$14=D$18),IF(LEFT($U39,1)="P",VLOOKUP(CONCATENATE(LEFT($U39,2),"H"),$R$63:$T$91,3,FALSE),VLOOKUP($U39,$R$63:$T$91,3,FALSE)))+IF(AND($U39&lt;&gt;"",$U39&lt;&gt;"O3/CP",$U$15=D$18,MID($U39,4,1)="2",$U$15&lt;&gt;$U$14),VLOOKUP(CONCATENATE(LEFT($U39,2),"L"),$R$63:$T$91,3,FALSE),0)+IF(AND($U39="O3/CP",$T$14=D$18),VLOOKUP("O3",$R$63:$T$91,3,FALSE)+VLOOKUP("CP",$R$63:$T$91,3,FALSE),0)+IF(AND($V39&lt;&gt;"",$V39&lt;&gt;"--",$V39&lt;&gt;"O3/CP",$V$14=D$18),IF(LEFT($V39,1)="P",VLOOKUP(CONCATENATE(LEFT($V39,2),"H"),$R$63:$T$91,3,FALSE),VLOOKUP($V39,$R$63:$T$91,3,FALSE)))+IF(AND($V39&lt;&gt;"",$V39&lt;&gt;"O3/CP",$V$15=D$18,MID($V39,4,1)="2",$V$15&lt;&gt;$V$14),VLOOKUP(CONCATENATE(LEFT($V39,2),"L"),$R$63:$T$91,3,FALSE),0)+IF(AND($V39="O3/CP",$V$14=D$18),VLOOKUP("O3",$R$63:$T$91,3,FALSE)+VLOOKUP("CP",$R$63:$T$91,3,FALSE),0)+IF(AND($W39&lt;&gt;"",$W39&lt;&gt;"--",$W39&lt;&gt;"O3/CP",$W$14=D$18),IF(LEFT($W39,1)="P",VLOOKUP(CONCATENATE(LEFT($W39,2),"H"),$R$63:$T$91,3,FALSE),VLOOKUP($W39,$R$63:$T$91,3,FALSE)))+IF(AND($W39&lt;&gt;"",$W39&lt;&gt;"O3/CP",$W$15=D$18,MID($W39,4,1)="2",$W$15&lt;&gt;$W$14),VLOOKUP(CONCATENATE(LEFT($W39,2),"L"),$R$63:$T$91,3,FALSE),0)+IF(AND($W39="O3/CP",$W$14=D$18),VLOOKUP("O3",$R$63:$T$91,3,FALSE)+VLOOKUP("CP",$R$63:$T$91,3,FALSE),0)+IF(AND($X39&lt;&gt;"",$X39&lt;&gt;"--",$X39&lt;&gt;"O3/CP",$X$14=D$18),IF(LEFT($X39,1)="P",VLOOKUP(CONCATENATE(LEFT($X39,2),"H"),$R$63:$T$91,3,FALSE),VLOOKUP($X39,$R$63:$T$91,3,FALSE)))+IF(AND($X39&lt;&gt;"",$X39&lt;&gt;"O3/CP",$X$15=D$18,MID($X39,4,1)="2",$X$15&lt;&gt;$X$14),VLOOKUP(CONCATENATE(LEFT($X39,2),"L"),$R$63:$T$91,3,FALSE),0)+IF(AND($X39="O3/CP",$X$14=D$18),VLOOKUP("O3",$R$63:$T$91,3,FALSE)+VLOOKUP("CP",$R$63:$T$91,3,FALSE),0)+IF(AND($Y39&lt;&gt;"",$Y39&lt;&gt;"--",$Y39&lt;&gt;"O3/CP",$Y$14=D$18),IF(LEFT($Y39,1)="P",VLOOKUP(CONCATENATE(LEFT($Y39,2),"H"),$R$63:$T$91,3,FALSE),VLOOKUP($Y39,$R$63:$T$91,3,FALSE)))+IF(AND($Y39&lt;&gt;"",$Y39&lt;&gt;"O3/CP",$Y$15=D$18,MID($Y39,4,1)="2",$Y$15&lt;&gt;$Y$14),VLOOKUP(CONCATENATE(LEFT($Y39,2),"L"),$R$63:$T$91,3,FALSE),0)+IF(AND($Y39="O3/CP",$Y$14=D$18),VLOOKUP("O3",$R$63:$T$91,3,FALSE)+VLOOKUP("CP",$R$63:$T$91,3,FALSE),0)+IF(AND($K$6="CE",'[3]Supply Attribution'!$G$20=D$18),LEFT($S$90,2),0)+IF(AND($X$86&lt;&gt;"Not Set",$X$87=D$18),$X$86,0)</f>
        <v>0</v>
      </c>
      <c r="E39" s="271">
        <f>IF(AND($K39&lt;&gt;"",$K39&lt;&gt;"--",$K39&lt;&gt;"O3/CP",$K$14=E$18),IF(LEFT($K39,1)="P",VLOOKUP(CONCATENATE(LEFT($K39,2),"H"),$R$63:$T$91,3,FALSE),VLOOKUP($K39,$R$63:$T$91,3,FALSE)))+IF(AND($K39&lt;&gt;"",$K39&lt;&gt;"O3/CP",$K$15=E$18,MID($K39,4,1)="2",$K$15&lt;&gt;$K$14),VLOOKUP(CONCATENATE(LEFT($K39,2),"L"),$R$63:$T$91,3,FALSE),0)+IF(AND($K39="O3/CP",$K$14=E$18),VLOOKUP("O3",$R$63:$T$91,3,FALSE)+VLOOKUP("CP",$R$63:$T$91,3,FALSE),0)+IF(AND($L39&lt;&gt;"",$L39&lt;&gt;"--",$L39&lt;&gt;"O3/CP",$L$14=E$18),IF(LEFT($L39,1)="P",VLOOKUP(CONCATENATE(LEFT($L39,2),"H"),$R$63:$T$91,3,FALSE),VLOOKUP($L39,$R$63:$T$91,3,FALSE)))+IF(AND($L39&lt;&gt;"",$L39&lt;&gt;"O3/CP",$L$15=E$18,MID($L39,4,1)="2",$L$15&lt;&gt;$L$14),VLOOKUP(CONCATENATE(LEFT($L39,2),"L"),$R$63:$T$91,3,FALSE),0)+IF(AND($L39="O3/CP",$L$14=E$18),VLOOKUP("O3",$R$63:$T$91,3,FALSE)+VLOOKUP("CP",$R$63:$T$91,3,FALSE),0)+IF(AND($M39&lt;&gt;"",$M39&lt;&gt;"--",$M39&lt;&gt;"O3/CP",$M$14=E$18),IF(LEFT($M39,1)="P",VLOOKUP(CONCATENATE(LEFT($M39,2),"H"),$R$63:$T$91,3,FALSE),VLOOKUP($M39,$R$63:$T$91,3,FALSE)))+IF(AND($M39&lt;&gt;"",$M39&lt;&gt;"O3/CP",$M$15=E$18,MID($M39,4,1)="2",$M$15&lt;&gt;$M$14),VLOOKUP(CONCATENATE(LEFT($M39,2),"L"),$R$63:$T$91,3,FALSE),0)+IF(AND($M39="O3/CP",$M$14=E$18),VLOOKUP("O3",$R$63:$T$91,3,FALSE)+VLOOKUP("CP",$R$63:$T$91,3,FALSE),0)+IF(AND($N39&lt;&gt;"",$N39&lt;&gt;"--",$N39&lt;&gt;"O3/CP",$N$14=E$18),IF(LEFT($N39,1)="P",VLOOKUP(CONCATENATE(LEFT($N39,2),"H"),$R$63:$T$91,3,FALSE),VLOOKUP($N39,$R$63:$T$91,3,FALSE)))+IF(AND($N39&lt;&gt;"",$N39&lt;&gt;"O3/CP",$N$15=E$18,MID($N39,4,1)="2",$N$15&lt;&gt;$N$14),VLOOKUP(CONCATENATE(LEFT($N39,2),"L"),$R$63:$T$91,3,FALSE),0)+IF(AND($N39="O3/CP",$N$14=E$18),VLOOKUP("O3",$R$63:$T$91,3,FALSE)+VLOOKUP("CP",$R$63:$T$91,3,FALSE),0)+IF(AND($O39&lt;&gt;"",$O39&lt;&gt;"--",$O39&lt;&gt;"O3/CP",$O$14=E$18),IF(LEFT($O39,1)="P",VLOOKUP(CONCATENATE(LEFT($O39,2),"H"),$R$63:$T$91,3,FALSE),VLOOKUP($O39,$R$63:$T$91,3,FALSE)))+IF(AND($O39&lt;&gt;"",$O39&lt;&gt;"O3/CP",$O$15=E$18,MID($O39,4,1)="2",$O$15&lt;&gt;$O$14),VLOOKUP(CONCATENATE(LEFT($O39,2),"L"),$R$63:$T$91,3,FALSE),0)+IF(AND($O39="O3/CP",$O$14=E$18),VLOOKUP("O3",$R$63:$T$91,3,FALSE)+VLOOKUP("CP",$R$63:$T$91,3,FALSE),0)+IF(AND($P39&lt;&gt;"",$P39&lt;&gt;"--",$P39&lt;&gt;"O3/CP",$P$14=E$18),IF(LEFT($P39,1)="P",VLOOKUP(CONCATENATE(LEFT($P39,2),"H"),$R$63:$T$91,3,FALSE),VLOOKUP($P39,$R$63:$T$91,3,FALSE)))+IF(AND($P39&lt;&gt;"",$P39&lt;&gt;"O3/CP",$P$15=E$18,MID($P39,4,1)="2",$P$15&lt;&gt;$P$14),VLOOKUP(CONCATENATE(LEFT($P39,2),"L"),$R$63:$T$91,3,FALSE),0)+IF(AND($P39="O3/CP",$P$14=E$18),VLOOKUP("O3",$R$63:$T$91,3,FALSE)+VLOOKUP("CP",$R$63:$T$91,3,FALSE),0)+IF(AND($Q39&lt;&gt;"",$Q39&lt;&gt;"--",$Q39&lt;&gt;"O3/CP",$Q$14=E$18),IF(LEFT($Q39,1)="P",VLOOKUP(CONCATENATE(LEFT($Q39,2),"H"),$R$63:$T$91,3,FALSE),VLOOKUP($Q39,$R$63:$T$91,3,FALSE)))+IF(AND($Q39&lt;&gt;"",$Q39&lt;&gt;"O3/CP",$Q$15=E$18,MID($Q39,4,1)="2",$Q$15&lt;&gt;$Q$14),VLOOKUP(CONCATENATE(LEFT($Q39,2),"L"),$R$63:$T$91,3,FALSE),0)+IF(AND($Q39="O3/CP",$Q$14=E$18),VLOOKUP("O3",$R$63:$T$91,3,FALSE)+VLOOKUP("CP",$R$63:$T$91,3,FALSE),0)+IF(AND($R39&lt;&gt;"",$R39&lt;&gt;"--",$R39&lt;&gt;"O3/CP",$R$14=E$18),IF(LEFT($R39,1)="P",VLOOKUP(CONCATENATE(LEFT($R39,2),"H"),$R$63:$T$91,3,FALSE),VLOOKUP($R39,$R$63:$T$91,3,FALSE)))+IF(AND($R39&lt;&gt;"",$R39&lt;&gt;"O3/CP",$R$15=E$18,MID($R39,4,1)="2",$R$15&lt;&gt;$R$14),VLOOKUP(CONCATENATE(LEFT($R39,2),"L"),$R$63:$T$91,3,FALSE),0)+IF(AND($R39="O3/CP",$R$14=E$18),VLOOKUP("O3",$R$63:$T$91,3,FALSE)+VLOOKUP("CP",$R$63:$T$91,3,FALSE),0)+IF(AND($S39&lt;&gt;"",$S39&lt;&gt;"--",$S39&lt;&gt;"O3/CP",$S$14=E$18),IF(LEFT($S39,1)="P",VLOOKUP(CONCATENATE(LEFT($S39,2),"H"),$R$63:$T$91,3,FALSE),VLOOKUP($S39,$R$63:$T$91,3,FALSE)))+IF(AND($S39&lt;&gt;"",$S39&lt;&gt;"O3/CP",$S$15=E$18,MID($S39,4,1)="2",$S$15&lt;&gt;$S$14),VLOOKUP(CONCATENATE(LEFT($S39,2),"L"),$R$63:$T$91,3,FALSE),0)+IF(AND($S39="O3/CP",$S$14=E$18),VLOOKUP("O3",$R$63:$T$91,3,FALSE)+VLOOKUP("CP",$R$63:$T$91,3,FALSE),0)+IF(AND($T39&lt;&gt;"",$T39&lt;&gt;"--",$T39&lt;&gt;"O3/CP",$T$14=E$18),IF(LEFT($T39,1)="P",VLOOKUP(CONCATENATE(LEFT($T39,2),"H"),$R$63:$T$91,3,FALSE),VLOOKUP($T39,$R$63:$T$91,3,FALSE)))+IF(AND($T39&lt;&gt;"",$T39&lt;&gt;"O3/CP",$T$15=E$18,MID($T39,4,1)="2",$T$15&lt;&gt;$T$14),VLOOKUP(CONCATENATE(LEFT($T39,2),"L"),$R$63:$T$91,3,FALSE),0)+IF(AND($T39="O3/CP",$T$14=E$18),VLOOKUP("O3",$R$63:$T$91,3,FALSE)+VLOOKUP("CP",$R$63:$T$91,3,FALSE),0)+IF(AND($U39&lt;&gt;"",$U39&lt;&gt;"--",$U39&lt;&gt;"O3/CP",$U$14=E$18),IF(LEFT($U39,1)="P",VLOOKUP(CONCATENATE(LEFT($U39,2),"H"),$R$63:$T$91,3,FALSE),VLOOKUP($U39,$R$63:$T$91,3,FALSE)))+IF(AND($U39&lt;&gt;"",$U39&lt;&gt;"O3/CP",$U$15=E$18,MID($U39,4,1)="2",$U$15&lt;&gt;$U$14),VLOOKUP(CONCATENATE(LEFT($U39,2),"L"),$R$63:$T$91,3,FALSE),0)+IF(AND($U39="O3/CP",$T$14=E$18),VLOOKUP("O3",$R$63:$T$91,3,FALSE)+VLOOKUP("CP",$R$63:$T$91,3,FALSE),0)+IF(AND($V39&lt;&gt;"",$V39&lt;&gt;"--",$V39&lt;&gt;"O3/CP",$V$14=E$18),IF(LEFT($V39,1)="P",VLOOKUP(CONCATENATE(LEFT($V39,2),"H"),$R$63:$T$91,3,FALSE),VLOOKUP($V39,$R$63:$T$91,3,FALSE)))+IF(AND($V39&lt;&gt;"",$V39&lt;&gt;"O3/CP",$V$15=E$18,MID($V39,4,1)="2",$V$15&lt;&gt;$V$14),VLOOKUP(CONCATENATE(LEFT($V39,2),"L"),$R$63:$T$91,3,FALSE),0)+IF(AND($V39="O3/CP",$V$14=E$18),VLOOKUP("O3",$R$63:$T$91,3,FALSE)+VLOOKUP("CP",$R$63:$T$91,3,FALSE),0)+IF(AND($W39&lt;&gt;"",$W39&lt;&gt;"--",$W39&lt;&gt;"O3/CP",$W$14=E$18),IF(LEFT($W39,1)="P",VLOOKUP(CONCATENATE(LEFT($W39,2),"H"),$R$63:$T$91,3,FALSE),VLOOKUP($W39,$R$63:$T$91,3,FALSE)))+IF(AND($W39&lt;&gt;"",$W39&lt;&gt;"O3/CP",$W$15=E$18,MID($W39,4,1)="2",$W$15&lt;&gt;$W$14),VLOOKUP(CONCATENATE(LEFT($W39,2),"L"),$R$63:$T$91,3,FALSE),0)+IF(AND($W39="O3/CP",$W$14=E$18),VLOOKUP("O3",$R$63:$T$91,3,FALSE)+VLOOKUP("CP",$R$63:$T$91,3,FALSE),0)+IF(AND($X39&lt;&gt;"",$X39&lt;&gt;"--",$X39&lt;&gt;"O3/CP",$X$14=E$18),IF(LEFT($X39,1)="P",VLOOKUP(CONCATENATE(LEFT($X39,2),"H"),$R$63:$T$91,3,FALSE),VLOOKUP($X39,$R$63:$T$91,3,FALSE)))+IF(AND($X39&lt;&gt;"",$X39&lt;&gt;"O3/CP",$X$15=E$18,MID($X39,4,1)="2",$X$15&lt;&gt;$X$14),VLOOKUP(CONCATENATE(LEFT($X39,2),"L"),$R$63:$T$91,3,FALSE),0)+IF(AND($X39="O3/CP",$X$14=E$18),VLOOKUP("O3",$R$63:$T$91,3,FALSE)+VLOOKUP("CP",$R$63:$T$91,3,FALSE),0)+IF(AND($Y39&lt;&gt;"",$Y39&lt;&gt;"--",$Y39&lt;&gt;"O3/CP",$Y$14=E$18),IF(LEFT($Y39,1)="P",VLOOKUP(CONCATENATE(LEFT($Y39,2),"H"),$R$63:$T$91,3,FALSE),VLOOKUP($Y39,$R$63:$T$91,3,FALSE)))+IF(AND($Y39&lt;&gt;"",$Y39&lt;&gt;"O3/CP",$Y$15=E$18,MID($Y39,4,1)="2",$Y$15&lt;&gt;$Y$14),VLOOKUP(CONCATENATE(LEFT($Y39,2),"L"),$R$63:$T$91,3,FALSE),0)+IF(AND($Y39="O3/CP",$Y$14=E$18),VLOOKUP("O3",$R$63:$T$91,3,FALSE)+VLOOKUP("CP",$R$63:$T$91,3,FALSE),0)+IF(AND($K$6="CE",'[3]Supply Attribution'!$G$20=E$18),LEFT($S$90,2),0)+IF(AND($X$86&lt;&gt;"Not Set",$X$87=E$18),$X$86,0)</f>
        <v>0</v>
      </c>
      <c r="F39" s="272">
        <f>IF(AND($K39&lt;&gt;"",$K39&lt;&gt;"--",$K39&lt;&gt;"O3/CP",$K$14=F$18),IF(LEFT($K39,1)="P",VLOOKUP(CONCATENATE(LEFT($K39,2),"H"),$R$63:$T$91,3,FALSE),VLOOKUP($K39,$R$63:$T$91,3,FALSE)))+IF(AND($K39&lt;&gt;"",$K39&lt;&gt;"O3/CP",$K$15=F$18,MID($K39,4,1)="2",$K$15&lt;&gt;$K$14),VLOOKUP(CONCATENATE(LEFT($K39,2),"L"),$R$63:$T$91,3,FALSE),0)+IF(AND($K39="O3/CP",$K$14=F$18),VLOOKUP("O3",$R$63:$T$91,3,FALSE)+VLOOKUP("CP",$R$63:$T$91,3,FALSE),0)+IF(AND($L39&lt;&gt;"",$L39&lt;&gt;"--",$L39&lt;&gt;"O3/CP",$L$14=F$18),IF(LEFT($L39,1)="P",VLOOKUP(CONCATENATE(LEFT($L39,2),"H"),$R$63:$T$91,3,FALSE),VLOOKUP($L39,$R$63:$T$91,3,FALSE)))+IF(AND($L39&lt;&gt;"",$L39&lt;&gt;"O3/CP",$L$15=F$18,MID($L39,4,1)="2",$L$15&lt;&gt;$L$14),VLOOKUP(CONCATENATE(LEFT($L39,2),"L"),$R$63:$T$91,3,FALSE),0)+IF(AND($L39="O3/CP",$L$14=F$18),VLOOKUP("O3",$R$63:$T$91,3,FALSE)+VLOOKUP("CP",$R$63:$T$91,3,FALSE),0)+IF(AND($M39&lt;&gt;"",$M39&lt;&gt;"--",$M39&lt;&gt;"O3/CP",$M$14=F$18),IF(LEFT($M39,1)="P",VLOOKUP(CONCATENATE(LEFT($M39,2),"H"),$R$63:$T$91,3,FALSE),VLOOKUP($M39,$R$63:$T$91,3,FALSE)))+IF(AND($M39&lt;&gt;"",$M39&lt;&gt;"O3/CP",$M$15=F$18,MID($M39,4,1)="2",$M$15&lt;&gt;$M$14),VLOOKUP(CONCATENATE(LEFT($M39,2),"L"),$R$63:$T$91,3,FALSE),0)+IF(AND($M39="O3/CP",$M$14=F$18),VLOOKUP("O3",$R$63:$T$91,3,FALSE)+VLOOKUP("CP",$R$63:$T$91,3,FALSE),0)+IF(AND($N39&lt;&gt;"",$N39&lt;&gt;"--",$N39&lt;&gt;"O3/CP",$N$14=F$18),IF(LEFT($N39,1)="P",VLOOKUP(CONCATENATE(LEFT($N39,2),"H"),$R$63:$T$91,3,FALSE),VLOOKUP($N39,$R$63:$T$91,3,FALSE)))+IF(AND($N39&lt;&gt;"",$N39&lt;&gt;"O3/CP",$N$15=F$18,MID($N39,4,1)="2",$N$15&lt;&gt;$N$14),VLOOKUP(CONCATENATE(LEFT($N39,2),"L"),$R$63:$T$91,3,FALSE),0)+IF(AND($N39="O3/CP",$N$14=F$18),VLOOKUP("O3",$R$63:$T$91,3,FALSE)+VLOOKUP("CP",$R$63:$T$91,3,FALSE),0)+IF(AND($O39&lt;&gt;"",$O39&lt;&gt;"--",$O39&lt;&gt;"O3/CP",$O$14=F$18),IF(LEFT($O39,1)="P",VLOOKUP(CONCATENATE(LEFT($O39,2),"H"),$R$63:$T$91,3,FALSE),VLOOKUP($O39,$R$63:$T$91,3,FALSE)))+IF(AND($O39&lt;&gt;"",$O39&lt;&gt;"O3/CP",$O$15=F$18,MID($O39,4,1)="2",$O$15&lt;&gt;$O$14),VLOOKUP(CONCATENATE(LEFT($O39,2),"L"),$R$63:$T$91,3,FALSE),0)+IF(AND($O39="O3/CP",$O$14=F$18),VLOOKUP("O3",$R$63:$T$91,3,FALSE)+VLOOKUP("CP",$R$63:$T$91,3,FALSE),0)+IF(AND($P39&lt;&gt;"",$P39&lt;&gt;"--",$P39&lt;&gt;"O3/CP",$P$14=F$18),IF(LEFT($P39,1)="P",VLOOKUP(CONCATENATE(LEFT($P39,2),"H"),$R$63:$T$91,3,FALSE),VLOOKUP($P39,$R$63:$T$91,3,FALSE)))+IF(AND($P39&lt;&gt;"",$P39&lt;&gt;"O3/CP",$P$15=F$18,MID($P39,4,1)="2",$P$15&lt;&gt;$P$14),VLOOKUP(CONCATENATE(LEFT($P39,2),"L"),$R$63:$T$91,3,FALSE),0)+IF(AND($P39="O3/CP",$P$14=F$18),VLOOKUP("O3",$R$63:$T$91,3,FALSE)+VLOOKUP("CP",$R$63:$T$91,3,FALSE),0)+IF(AND($Q39&lt;&gt;"",$Q39&lt;&gt;"--",$Q39&lt;&gt;"O3/CP",$Q$14=F$18),IF(LEFT($Q39,1)="P",VLOOKUP(CONCATENATE(LEFT($Q39,2),"H"),$R$63:$T$91,3,FALSE),VLOOKUP($Q39,$R$63:$T$91,3,FALSE)))+IF(AND($Q39&lt;&gt;"",$Q39&lt;&gt;"O3/CP",$Q$15=F$18,MID($Q39,4,1)="2",$Q$15&lt;&gt;$Q$14),VLOOKUP(CONCATENATE(LEFT($Q39,2),"L"),$R$63:$T$91,3,FALSE),0)+IF(AND($Q39="O3/CP",$Q$14=F$18),VLOOKUP("O3",$R$63:$T$91,3,FALSE)+VLOOKUP("CP",$R$63:$T$91,3,FALSE),0)+IF(AND($R39&lt;&gt;"",$R39&lt;&gt;"--",$R39&lt;&gt;"O3/CP",$R$14=F$18),IF(LEFT($R39,1)="P",VLOOKUP(CONCATENATE(LEFT($R39,2),"H"),$R$63:$T$91,3,FALSE),VLOOKUP($R39,$R$63:$T$91,3,FALSE)))+IF(AND($R39&lt;&gt;"",$R39&lt;&gt;"O3/CP",$R$15=F$18,MID($R39,4,1)="2",$R$15&lt;&gt;$R$14),VLOOKUP(CONCATENATE(LEFT($R39,2),"L"),$R$63:$T$91,3,FALSE),0)+IF(AND($R39="O3/CP",$R$14=F$18),VLOOKUP("O3",$R$63:$T$91,3,FALSE)+VLOOKUP("CP",$R$63:$T$91,3,FALSE),0)+IF(AND($S39&lt;&gt;"",$S39&lt;&gt;"--",$S39&lt;&gt;"O3/CP",$S$14=F$18),IF(LEFT($S39,1)="P",VLOOKUP(CONCATENATE(LEFT($S39,2),"H"),$R$63:$T$91,3,FALSE),VLOOKUP($S39,$R$63:$T$91,3,FALSE)))+IF(AND($S39&lt;&gt;"",$S39&lt;&gt;"O3/CP",$S$15=F$18,MID($S39,4,1)="2",$S$15&lt;&gt;$S$14),VLOOKUP(CONCATENATE(LEFT($S39,2),"L"),$R$63:$T$91,3,FALSE),0)+IF(AND($S39="O3/CP",$S$14=F$18),VLOOKUP("O3",$R$63:$T$91,3,FALSE)+VLOOKUP("CP",$R$63:$T$91,3,FALSE),0)+IF(AND($T39&lt;&gt;"",$T39&lt;&gt;"--",$T39&lt;&gt;"O3/CP",$T$14=F$18),IF(LEFT($T39,1)="P",VLOOKUP(CONCATENATE(LEFT($T39,2),"H"),$R$63:$T$91,3,FALSE),VLOOKUP($T39,$R$63:$T$91,3,FALSE)))+IF(AND($T39&lt;&gt;"",$T39&lt;&gt;"O3/CP",$T$15=F$18,MID($T39,4,1)="2",$T$15&lt;&gt;$T$14),VLOOKUP(CONCATENATE(LEFT($T39,2),"L"),$R$63:$T$91,3,FALSE),0)+IF(AND($T39="O3/CP",$T$14=F$18),VLOOKUP("O3",$R$63:$T$91,3,FALSE)+VLOOKUP("CP",$R$63:$T$91,3,FALSE),0)+IF(AND($U39&lt;&gt;"",$U39&lt;&gt;"--",$U39&lt;&gt;"O3/CP",$U$14=F$18),IF(LEFT($U39,1)="P",VLOOKUP(CONCATENATE(LEFT($U39,2),"H"),$R$63:$T$91,3,FALSE),VLOOKUP($U39,$R$63:$T$91,3,FALSE)))+IF(AND($U39&lt;&gt;"",$U39&lt;&gt;"O3/CP",$U$15=F$18,MID($U39,4,1)="2",$U$15&lt;&gt;$U$14),VLOOKUP(CONCATENATE(LEFT($U39,2),"L"),$R$63:$T$91,3,FALSE),0)+IF(AND($U39="O3/CP",$T$14=F$18),VLOOKUP("O3",$R$63:$T$91,3,FALSE)+VLOOKUP("CP",$R$63:$T$91,3,FALSE),0)+IF(AND($V39&lt;&gt;"",$V39&lt;&gt;"--",$V39&lt;&gt;"O3/CP",$V$14=F$18),IF(LEFT($V39,1)="P",VLOOKUP(CONCATENATE(LEFT($V39,2),"H"),$R$63:$T$91,3,FALSE),VLOOKUP($V39,$R$63:$T$91,3,FALSE)))+IF(AND($V39&lt;&gt;"",$V39&lt;&gt;"O3/CP",$V$15=F$18,MID($V39,4,1)="2",$V$15&lt;&gt;$V$14),VLOOKUP(CONCATENATE(LEFT($V39,2),"L"),$R$63:$T$91,3,FALSE),0)+IF(AND($V39="O3/CP",$V$14=F$18),VLOOKUP("O3",$R$63:$T$91,3,FALSE)+VLOOKUP("CP",$R$63:$T$91,3,FALSE),0)+IF(AND($W39&lt;&gt;"",$W39&lt;&gt;"--",$W39&lt;&gt;"O3/CP",$W$14=F$18),IF(LEFT($W39,1)="P",VLOOKUP(CONCATENATE(LEFT($W39,2),"H"),$R$63:$T$91,3,FALSE),VLOOKUP($W39,$R$63:$T$91,3,FALSE)))+IF(AND($W39&lt;&gt;"",$W39&lt;&gt;"O3/CP",$W$15=F$18,MID($W39,4,1)="2",$W$15&lt;&gt;$W$14),VLOOKUP(CONCATENATE(LEFT($W39,2),"L"),$R$63:$T$91,3,FALSE),0)+IF(AND($W39="O3/CP",$W$14=F$18),VLOOKUP("O3",$R$63:$T$91,3,FALSE)+VLOOKUP("CP",$R$63:$T$91,3,FALSE),0)+IF(AND($X39&lt;&gt;"",$X39&lt;&gt;"--",$X39&lt;&gt;"O3/CP",$X$14=F$18),IF(LEFT($X39,1)="P",VLOOKUP(CONCATENATE(LEFT($X39,2),"H"),$R$63:$T$91,3,FALSE),VLOOKUP($X39,$R$63:$T$91,3,FALSE)))+IF(AND($X39&lt;&gt;"",$X39&lt;&gt;"O3/CP",$X$15=F$18,MID($X39,4,1)="2",$X$15&lt;&gt;$X$14),VLOOKUP(CONCATENATE(LEFT($X39,2),"L"),$R$63:$T$91,3,FALSE),0)+IF(AND($X39="O3/CP",$X$14=F$18),VLOOKUP("O3",$R$63:$T$91,3,FALSE)+VLOOKUP("CP",$R$63:$T$91,3,FALSE),0)+IF(AND($Y39&lt;&gt;"",$Y39&lt;&gt;"--",$Y39&lt;&gt;"O3/CP",$Y$14=F$18),IF(LEFT($Y39,1)="P",VLOOKUP(CONCATENATE(LEFT($Y39,2),"H"),$R$63:$T$91,3,FALSE),VLOOKUP($Y39,$R$63:$T$91,3,FALSE)))+IF(AND($Y39&lt;&gt;"",$Y39&lt;&gt;"O3/CP",$Y$15=F$18,MID($Y39,4,1)="2",$Y$15&lt;&gt;$Y$14),VLOOKUP(CONCATENATE(LEFT($Y39,2),"L"),$R$63:$T$91,3,FALSE),0)+IF(AND($Y39="O3/CP",$Y$14=F$18),VLOOKUP("O3",$R$63:$T$91,3,FALSE)+VLOOKUP("CP",$R$63:$T$91,3,FALSE),0)+IF(AND($K$6="CE",'[3]Supply Attribution'!$G$20=F$18),LEFT($S$90,2),0)+IF(AND($X$86&lt;&gt;"Not Set",$X$87=F$18),$X$86,0)</f>
        <v>0</v>
      </c>
      <c r="G39" s="271">
        <f>IF(AND($K$6="CE",$T$59="1 Phase"),SUM(A39:F39)-IF(AND($K$14&lt;&gt;$K$15,RIGHT($K39,3)="2SP"),VLOOKUP(CONCATENATE(LEFT($K39,2),"L"),$R$63:$T$90,3,FALSE),0)-IF(AND($L$14&lt;&gt;$L$15,RIGHT($L39,3)="2SP"),VLOOKUP(CONCATENATE(LEFT($L39,2),"L"),$R$63:$T$90,3,FALSE),0)-IF(AND($M$14&lt;&gt;$M$15,RIGHT($M39,3)="2SP"),VLOOKUP(CONCATENATE(LEFT($M39,2),"L"),$R$63:$T$90,3,FALSE),0)-IF(AND($N$14&lt;&gt;$N$15,RIGHT($N39,3)="2SP"),VLOOKUP(CONCATENATE(LEFT($N39,2),"L"),$R$63:$T$90,3,FALSE),0)-IF(AND($O$14&lt;&gt;$O$15,RIGHT($O39,3)="2SP"),VLOOKUP(CONCATENATE(LEFT($O39,2),"L"),$R$63:$T$90,3,FALSE),0)-IF(AND($P$14&lt;&gt;$P$15,RIGHT($P39,3)="2SP"),VLOOKUP(CONCATENATE(LEFT($P39,2),"L"),$R$63:$T$90,3,FALSE),0)-IF(AND($Q$14&lt;&gt;$Q$15,RIGHT($Q39,3)="2SP"),VLOOKUP(CONCATENATE(LEFT($Q39,2),"L"),$R$63:$T$90,3,FALSE),0)-IF(AND($R$14&lt;&gt;$R$15,RIGHT($T39,3)="2SP"),VLOOKUP(CONCATENATE(LEFT($R39,2),"L"),$R$63:$T$90,3,FALSE),0)-IF(AND($S$14&lt;&gt;$S$15,RIGHT($T39,3)="2SP"),VLOOKUP(CONCATENATE(LEFT($S39,2),"L"),$R$63:$T$90,3,FALSE),0)-IF(AND($T$14&lt;&gt;$T$15,RIGHT($T39,3)="2SP"),VLOOKUP(CONCATENATE(LEFT($T39,2),"L"),$R$63:$T$90,3,FALSE),0)-IF(AND($U$14&lt;&gt;$U$15,RIGHT($U39,3)="2SP"),VLOOKUP(CONCATENATE(LEFT($U39,2),"L"),$R$63:$T$90,3,FALSE),0)-IF(AND($V$14&lt;&gt;$V$15,RIGHT($V39,3)="2SP"),VLOOKUP(CONCATENATE(LEFT($V39,2),"L"),$R$63:$T$90,3,FALSE),0)-IF(AND($W$14&lt;&gt;$W$15,RIGHT($W39,3)="2SP"),VLOOKUP(CONCATENATE(LEFT($W39,2),"L"),$R$63:$T$90,3,FALSE),0)-IF(AND($X$14&lt;&gt;$X$15,RIGHT($X39,3)="2SP"),VLOOKUP(CONCATENATE(LEFT($X39,2),"L"),$R$63:$T$90,3,FALSE),0)-IF(AND($Y$14&lt;&gt;$Y$15,RIGHT($Y39,3)="2SP"),VLOOKUP(CONCATENATE(LEFT($Y39,2),"L"),$R$63:$T$90,3,FALSE),0),IF(VLOOKUP(CONCATENATE($A$18,"Line"),'[3]Supply Attribution'!$F$31:$G$37,2,FALSE)=G$18,$A39,0)+IF(VLOOKUP(CONCATENATE($B$18,"Line"),'[3]Supply Attribution'!$F$31:$G$37,2,FALSE)=G$18,$B39,0)+IF(VLOOKUP(CONCATENATE($C$18,"Line"),'[3]Supply Attribution'!$F$31:$G$37,2,FALSE)=G$18,$C39,0)+IF(VLOOKUP(CONCATENATE($D$18,"Line"),'[3]Supply Attribution'!$F$31:$G$37,2,FALSE)=G$18,$D39,0)+IF(VLOOKUP(CONCATENATE($E$18,"Line"),'[3]Supply Attribution'!$F$31:$G$37,2,FALSE)=G$18,$E39,0)+IF(VLOOKUP(CONCATENATE($F$18,"Line"),'[3]Supply Attribution'!$F$31:$G$37,2,FALSE)=G$18,$F39,0)+IF($K$6="UL",LEFT($S$90,2),0)-IF(AND($K$16=G$18,$K$14&lt;&gt;$K$15,$K$16=$K$17,RIGHT($K39,3)="2SP"),VLOOKUP(CONCATENATE(LEFT($K39,2),"L"),$R$63:$T$90,3,FALSE),0)-IF(AND($L$16=G$18,$L$14&lt;&gt;$L$15,$L$16=$L$17,RIGHT($L39,3)="2SP"),VLOOKUP(CONCATENATE(LEFT($L39,2),"L"),$R$63:$T$90,3,FALSE),0)-IF(AND($M$16=G$18,$M$14&lt;&gt;$M$15,$M$16=$M$17,RIGHT($M39,3)="2SP"),VLOOKUP(CONCATENATE(LEFT($M39,2),"L"),$R$63:$T$90,3,FALSE),0)-IF(AND($N$16=G$18,$N$14&lt;&gt;$N$15,$N$16=$N$17,RIGHT($N39,3)="2SP"),VLOOKUP(CONCATENATE(LEFT($N39,2),"L"),$R$63:$T$90,3,FALSE),0)-IF(AND($O$16=G$18,$O$14&lt;&gt;$O$15,$O$16=$O$17,RIGHT($O39,3)="2SP"),VLOOKUP(CONCATENATE(LEFT($O39,2),"L"),$R$63:$T$90,3,FALSE),0)-IF(AND($P$16=G$18,$P$14&lt;&gt;$P$15,$P$16=$P$17,RIGHT($P39,3)="2SP"),VLOOKUP(CONCATENATE(LEFT($P39,2),"L"),$R$63:$T$90,3,FALSE),0)-IF(AND($Q$16=G$18,$Q$14&lt;&gt;$Q$15,$Q$16=$Q$17,RIGHT($Q39,3)="2SP"),VLOOKUP(CONCATENATE(LEFT($Q39,2),"L"),$R$63:$T$90,3,FALSE),0)-IF(AND($R$16=G$18,$R$14&lt;&gt;$R$15,$R$16=$R$17,RIGHT($R39,3)="2SP"),VLOOKUP(CONCATENATE(LEFT($R39,2),"L"),$R$63:$T$90,3,FALSE),0)-IF(AND($S$16=G$18,$S$14&lt;&gt;$S$15,$S$16=$S$17,RIGHT($S39,3)="2SP"),VLOOKUP(CONCATENATE(LEFT($S39,2),"L"),$R$63:$T$90,3,FALSE),0)-IF(AND($T$16=G$18,$T$14&lt;&gt;$T$15,$T$16=$T$17,RIGHT($T39,3)="2SP"),VLOOKUP(CONCATENATE(LEFT($T39,2),"L"),$R$63:$T$90,3,FALSE),0)-IF(AND($U$16=G$18,$U$14&lt;&gt;$U$15,$U$16=$U$17,RIGHT($U39,3)="2SP"),VLOOKUP(CONCATENATE(LEFT($U39,2),"L"),$R$63:$T$90,3,FALSE),0)-IF(AND($V$16=G$18,$V$14&lt;&gt;$V$15,$V$16=$V$17,RIGHT($V39,3)="2SP"),VLOOKUP(CONCATENATE(LEFT($V39,2),"L"),$R$63:$T$90,3,FALSE),0)-IF(AND($W$16=G$18,$W$14&lt;&gt;$W$15,$W$16=$W$17,RIGHT($W39,3)="2SP"),VLOOKUP(CONCATENATE(LEFT($W39,2),"L"),$R$63:$T$90,3,FALSE),0)-IF(AND($X$16=G$18,$X$14&lt;&gt;$X$15,$X$16=$X$17,RIGHT($X39,3)="2SP"),VLOOKUP(CONCATENATE(LEFT($X39,2),"L"),$R$63:$T$90,3,FALSE),0)-IF(AND($Y$16=G$18,$Y$14&lt;&gt;$Y$15,$Y$16=$Y$17,RIGHT($Y39,3)="2SP"),VLOOKUP(CONCATENATE(LEFT($Y39,2),"L"),$R$63:$T$90,3,FALSE),0))</f>
        <v>17</v>
      </c>
      <c r="H39" s="271" t="str">
        <f>IF(H$18&lt;&gt;"",IF(VLOOKUP(CONCATENATE($A$18,"Line"),'Supply Attribution'!$F$31:$G$37,2,FALSE)=H$18,$A39,0)+IF(VLOOKUP(CONCATENATE($B$18,"Line"),'Supply Attribution'!$F$31:$G$37,2,FALSE)=H$18,$B39,0)+IF(VLOOKUP(CONCATENATE($C$18,"Line"),'Supply Attribution'!$F$31:$G$37,2,FALSE)=H$18,$C39,0)+IF(VLOOKUP(CONCATENATE($D$18,"Line"),'Supply Attribution'!$F$31:$G$37,2,FALSE)=H$18,$D39,0)+IF(VLOOKUP(CONCATENATE($E$18,"Line"),'Supply Attribution'!$F$31:$G$37,2,FALSE)=H$18,$E39,0)+IF(VLOOKUP(CONCATENATE($F$18,"Line"),'Supply Attribution'!$F$31:$G$37,2,FALSE)=H$18,$F39,0)+IF($K$6="UL",LEFT($S$90,2),0)-IF(AND($K$16=H$18,$K$14&lt;&gt;$K$15,$K$16=$K$17,RIGHT($K39,3)="2SP"),VLOOKUP(CONCATENATE(LEFT($K39,2),"L"),$R$63:$T$90,3,FALSE),0)-IF(AND($L$16=H$18,$L$14&lt;&gt;$L$15,$L$16=$L$17,RIGHT($L39,3)="2SP"),VLOOKUP(CONCATENATE(LEFT($L39,2),"L"),$R$63:$T$90,3,FALSE),0)-IF(AND($M$16=H$18,$M$14&lt;&gt;$M$15,$M$16=$M$17,RIGHT($M39,3)="2SP"),VLOOKUP(CONCATENATE(LEFT($M39,2),"L"),$R$63:$T$90,3,FALSE),0)-IF(AND($N$16=H$18,$N$14&lt;&gt;$N$15,$N$16=$N$17,RIGHT($N39,3)="2SP"),VLOOKUP(CONCATENATE(LEFT($N39,2),"L"),$R$63:$T$90,3,FALSE),0)-IF(AND($O$16=H$18,$O$14&lt;&gt;$O$15,$O$16=$O$17,RIGHT($O39,3)="2SP"),VLOOKUP(CONCATENATE(LEFT($O39,2),"L"),$R$63:$T$90,3,FALSE),0)-IF(AND($P$16=H$18,$P$14&lt;&gt;$P$15,$P$16=$P$17,RIGHT($P39,3)="2SP"),VLOOKUP(CONCATENATE(LEFT($P39,2),"L"),$R$63:$T$90,3,FALSE),0)-IF(AND($Q$16=H$18,$Q$14&lt;&gt;$Q$15,$Q$16=$Q$17,RIGHT($Q39,3)="2SP"),VLOOKUP(CONCATENATE(LEFT($Q39,2),"L"),$R$63:$T$90,3,FALSE),0)-IF(AND($T$16=H$18,$T$14&lt;&gt;$T$15,$T$16=$T$17,RIGHT($T39,3)="2SP"),VLOOKUP(CONCATENATE(LEFT($T39,2),"L"),$R$63:$T$90,3,FALSE),0)-IF(AND($U$16=H$18,$U$14&lt;&gt;$U$15,$U$16=$U$17,RIGHT($U39,3)="2SP"),VLOOKUP(CONCATENATE(LEFT($U39,2),"L"),$R$63:$T$90,3,FALSE),0)-IF(AND($V$16=H$18,$V$14&lt;&gt;$V$15,$V$16=$V$17,RIGHT($V39,3)="2SP"),VLOOKUP(CONCATENATE(LEFT($V39,2),"L"),$R$63:$T$90,3,FALSE),0)-IF(AND($W$16=H$18,$W$14&lt;&gt;$W$15,$W$16=$W$17,RIGHT($W39,3)="2SP"),VLOOKUP(CONCATENATE(LEFT($W39,2),"L"),$R$63:$T$90,3,FALSE),0)-IF(AND($X$16=H$18,$X$14&lt;&gt;$X$15,$X$16=$X$17,RIGHT($X39,3)="2SP"),VLOOKUP(CONCATENATE(LEFT($X39,2),"L"),$R$63:$T$90,3,FALSE),0)-IF(AND($Y$16=H$18,$Y$14&lt;&gt;$Y$15,$Y$16=$Y$17,RIGHT($Y39,3)="2SP"),VLOOKUP(CONCATENATE(LEFT($Y39,2),"L"),$R$63:$T$90,3,FALSE),0)+IF(AND($K$6="CE",$T$59="2 Phases",H$18&lt;&gt;""),IF(VLOOKUP(CONCATENATE($A$18,"Line"),'Supply Attribution'!$F$31:$G$37,2,FALSE)="Line3",$A39,0)+IF(VLOOKUP(CONCATENATE($B$18,"Line"),'Supply Attribution'!$F$31:$G$37,2,FALSE)="Line3",$B39,0)+IF(VLOOKUP(CONCATENATE($C$18,"Line"),'Supply Attribution'!$F$31:$G$37,2,FALSE)="Line3",$C39,0)+IF(VLOOKUP(CONCATENATE($D$18,"Line"),'Supply Attribution'!$F$31:$G$37,2,FALSE)="Line3",$D39,0)+IF(VLOOKUP(CONCATENATE($E$18,"Line"),'Supply Attribution'!$F$31:$G$37,2,FALSE)="Line3",$E39,0)+IF(VLOOKUP(CONCATENATE($F$18,"Line"),'Supply Attribution'!$F$31:$G$37,2,FALSE)="Line3",$F39,0)-IF(AND($K$16=I$18,$K$14&lt;&gt;$K$15,$K$16=$K$17,RIGHT($K39,3)="2SP"),VLOOKUP(CONCATENATE(LEFT($K39,2),"L"),$R$63:$T$90,3,FALSE),0)-IF(AND($L$16=I$18,$L$14&lt;&gt;$L$15,$L$16=$L$17,RIGHT($L39,3)="2SP"),VLOOKUP(CONCATENATE(LEFT($L39,2),"L"),$R$63:$T$90,3,FALSE),0)-IF(AND($M$16=I$18,$M$14&lt;&gt;$M$15,$M$16=$M$17,RIGHT($M39,3)="2SP"),VLOOKUP(CONCATENATE(LEFT($M39,2),"L"),$R$63:$T$90,3,FALSE),0)-IF(AND($N$16=I$18,$N$14&lt;&gt;$N$15,$N$16=$N$17,RIGHT($N39,3)="2SP"),VLOOKUP(CONCATENATE(LEFT($N39,2),"L"),$R$63:$T$90,3,FALSE),0)-IF(AND($O$16=I$18,$O$14&lt;&gt;$O$15,$O$16=$O$17,RIGHT($O39,3)="2SP"),VLOOKUP(CONCATENATE(LEFT($O39,2),"L"),$R$63:$T$90,3,FALSE),0)-IF(AND($P$16=I$18,$P$14&lt;&gt;$P$15,$P$16=$P$17,RIGHT($P39,3)="2SP"),VLOOKUP(CONCATENATE(LEFT($P39,2),"L"),$R$63:$T$90,3,FALSE),0)-IF(AND($Q$16=I$18,$Q$14&lt;&gt;$Q$15,$Q$16=$Q$17,RIGHT($Q39,3)="2SP"),VLOOKUP(CONCATENATE(LEFT($Q39,2),"L"),$R$63:$T$90,3,FALSE),0)-IF(AND($T$16=I$18,$T$14&lt;&gt;$T$15,$T$16=$T$17,RIGHT($T39,3)="2SP"),VLOOKUP(CONCATENATE(LEFT($T39,2),"L"),$R$63:$T$90,3,FALSE),0)-IF(AND($U$16=I$18,$U$14&lt;&gt;$U$15,$U$16=$U$17,RIGHT($U39,3)="2SP"),VLOOKUP(CONCATENATE(LEFT($U39,2),"L"),$R$63:$T$90,3,FALSE),0)-IF(AND($V$16=I$18,$V$14&lt;&gt;$V$15,$V$16=$V$17,RIGHT($V39,3)="2SP"),VLOOKUP(CONCATENATE(LEFT($V39,2),"L"),$R$63:$T$90,3,FALSE),0)-IF(AND($W$16=I$18,$W$14&lt;&gt;$W$15,$W$16=$W$17,RIGHT($W39,3)="2SP"),VLOOKUP(CONCATENATE(LEFT($W39,2),"L"),$R$63:$T$90,3,FALSE),0)-IF(AND($X$16=I$18,$X$14&lt;&gt;$X$15,$X$16=$X$17,RIGHT($X39,3)="2SP"),VLOOKUP(CONCATENATE(LEFT($X39,2),"L"),$R$63:$T$90,3,FALSE),0)-IF(AND($Y$16=I$18,$Y$14&lt;&gt;$Y$15,$Y$16=$Y$17,RIGHT($Y39,3)="2SP"),VLOOKUP(CONCATENATE(LEFT($Y39,2),"L"),$R$63:$T$90,3,FALSE),0),0),"")</f>
        <v/>
      </c>
      <c r="I39" s="271" t="str">
        <f>IF(I$18&lt;&gt;"",IF(VLOOKUP(CONCATENATE($A$18,"Line"),'Supply Attribution'!$F$31:$G$37,2,FALSE)=I$18,$A39,0)+IF(VLOOKUP(CONCATENATE($B$18,"Line"),'Supply Attribution'!$F$31:$G$37,2,FALSE)=I$18,$B39,0)+IF(VLOOKUP(CONCATENATE($C$18,"Line"),'Supply Attribution'!$F$31:$G$37,2,FALSE)=I$18,$C39,0)+IF(VLOOKUP(CONCATENATE($D$18,"Line"),'Supply Attribution'!$F$31:$G$37,2,FALSE)=I$18,$D39,0)+IF(VLOOKUP(CONCATENATE($E$18,"Line"),'Supply Attribution'!$F$31:$G$37,2,FALSE)=I$18,$E39,0)+IF(VLOOKUP(CONCATENATE($F$18,"Line"),'Supply Attribution'!$F$31:$G$37,2,FALSE)=I$18,$F39,0)+IF($K$6="UL",LEFT($S$90,2),0)-IF(AND($K$16=I$18,$K$14&lt;&gt;$K$15,$K$16=$K$17,RIGHT($K39,3)="2SP"),VLOOKUP(CONCATENATE(LEFT($K39,2),"L"),$R$63:$T$90,3,FALSE),0)-IF(AND($L$16=I$18,$L$14&lt;&gt;$L$15,$L$16=$L$17,RIGHT($L39,3)="2SP"),VLOOKUP(CONCATENATE(LEFT($L39,2),"L"),$R$63:$T$90,3,FALSE),0)-IF(AND($M$16=I$18,$M$14&lt;&gt;$M$15,$M$16=$M$17,RIGHT($M39,3)="2SP"),VLOOKUP(CONCATENATE(LEFT($M39,2),"L"),$R$63:$T$90,3,FALSE),0)-IF(AND($N$16=I$18,$N$14&lt;&gt;$N$15,$N$16=$N$17,RIGHT($N39,3)="2SP"),VLOOKUP(CONCATENATE(LEFT($N39,2),"L"),$R$63:$T$90,3,FALSE),0)-IF(AND($O$16=I$18,$O$14&lt;&gt;$O$15,$O$16=$O$17,RIGHT($O39,3)="2SP"),VLOOKUP(CONCATENATE(LEFT($O39,2),"L"),$R$63:$T$90,3,FALSE),0)-IF(AND($P$16=I$18,$P$14&lt;&gt;$P$15,$P$16=$P$17,RIGHT($P39,3)="2SP"),VLOOKUP(CONCATENATE(LEFT($P39,2),"L"),$R$63:$T$90,3,FALSE),0)-IF(AND($Q$16=I$18,$Q$14&lt;&gt;$Q$15,$Q$16=$Q$17,RIGHT($Q39,3)="2SP"),VLOOKUP(CONCATENATE(LEFT($Q39,2),"L"),$R$63:$T$90,3,FALSE),0)-IF(AND($T$16=I$18,$T$14&lt;&gt;$T$15,$T$16=$T$17,RIGHT($T39,3)="2SP"),VLOOKUP(CONCATENATE(LEFT($T39,2),"L"),$R$63:$T$90,3,FALSE),0)-IF(AND($U$16=I$18,$U$14&lt;&gt;$U$15,$U$16=$U$17,RIGHT($U39,3)="2SP"),VLOOKUP(CONCATENATE(LEFT($U39,2),"L"),$R$63:$T$90,3,FALSE),0)-IF(AND($V$16=I$18,$V$14&lt;&gt;$V$15,$V$16=$V$17,RIGHT($V39,3)="2SP"),VLOOKUP(CONCATENATE(LEFT($V39,2),"L"),$R$63:$T$90,3,FALSE),0)-IF(AND($W$16=I$18,$W$14&lt;&gt;$W$15,$W$16=$W$17,RIGHT($W39,3)="2SP"),VLOOKUP(CONCATENATE(LEFT($W39,2),"L"),$R$63:$T$90,3,FALSE),0)-IF(AND($X$16=I$18,$X$14&lt;&gt;$X$15,$X$16=$X$17,RIGHT($X39,3)="2SP"),VLOOKUP(CONCATENATE(LEFT($X39,2),"L"),$R$63:$T$90,3,FALSE),0)-IF(AND($Y$16=I$18,$Y$14&lt;&gt;$Y$15,$Y$16=$Y$17,RIGHT($Y39,3)="2SP"),VLOOKUP(CONCATENATE(LEFT($Y39,2),"L"),$R$63:$T$90,3,FALSE),0),"")</f>
        <v/>
      </c>
      <c r="J39" s="129"/>
      <c r="K39" s="130"/>
      <c r="L39" s="130"/>
      <c r="M39" s="130"/>
      <c r="N39" s="130"/>
      <c r="O39" s="130"/>
      <c r="P39" s="130"/>
      <c r="Q39" s="130"/>
      <c r="R39" s="130"/>
      <c r="S39" s="130"/>
      <c r="T39" s="130"/>
      <c r="U39" s="130"/>
      <c r="V39" s="130"/>
      <c r="W39" s="130"/>
      <c r="X39" s="130"/>
      <c r="Y39" s="130"/>
      <c r="Z39" s="131"/>
      <c r="AA39" s="131"/>
      <c r="AB39" s="132"/>
      <c r="AC39" s="132"/>
      <c r="AD39" s="132"/>
      <c r="AE39" s="133">
        <f t="shared" si="0"/>
        <v>0</v>
      </c>
      <c r="AF39" s="78"/>
    </row>
    <row r="40" spans="1:32" ht="13.15" customHeight="1">
      <c r="A40" s="270">
        <f>IF(AND($K40&lt;&gt;"",$K40&lt;&gt;"--",$K40&lt;&gt;"O3/CP",$K$14=A$18),IF(LEFT($K40,1)="P",VLOOKUP(CONCATENATE(LEFT($K40,2),"H"),$R$63:$T$91,3,FALSE),VLOOKUP($K40,$R$63:$T$91,3,FALSE)))+IF(AND($K40&lt;&gt;"",$K40&lt;&gt;"O3/CP",$K$15=A$18,MID($K40,4,1)="2",$K$15&lt;&gt;$K$14),VLOOKUP(CONCATENATE(LEFT($K40,2),"L"),$R$63:$T$91,3,FALSE),0)+IF(AND($K40="O3/CP",$K$14=A$18),VLOOKUP("O3",$R$63:$T$91,3,FALSE)+VLOOKUP("CP",$R$63:$T$91,3,FALSE),0)+IF(AND($L40&lt;&gt;"",$L40&lt;&gt;"--",$L40&lt;&gt;"O3/CP",$L$14=A$18),IF(LEFT($L40,1)="P",VLOOKUP(CONCATENATE(LEFT($L40,2),"H"),$R$63:$T$91,3,FALSE),VLOOKUP($L40,$R$63:$T$91,3,FALSE)))+IF(AND($L40&lt;&gt;"",$L40&lt;&gt;"O3/CP",$L$15=A$18,MID($L40,4,1)="2",$L$15&lt;&gt;$L$14),VLOOKUP(CONCATENATE(LEFT($L40,2),"L"),$R$63:$T$91,3,FALSE),0)+IF(AND($L40="O3/CP",$L$14=A$18),VLOOKUP("O3",$R$63:$T$91,3,FALSE)+VLOOKUP("CP",$R$63:$T$91,3,FALSE),0)+IF(AND($M40&lt;&gt;"",$M40&lt;&gt;"--",$M40&lt;&gt;"O3/CP",$M$14=A$18),IF(LEFT($M40,1)="P",VLOOKUP(CONCATENATE(LEFT($M40,2),"H"),$R$63:$T$91,3,FALSE),VLOOKUP($M40,$R$63:$T$91,3,FALSE)))+IF(AND($M40&lt;&gt;"",$M40&lt;&gt;"O3/CP",$M$15=A$18,MID($M40,4,1)="2",$M$15&lt;&gt;$M$14),VLOOKUP(CONCATENATE(LEFT($M40,2),"L"),$R$63:$T$91,3,FALSE),0)+IF(AND($M40="O3/CP",$M$14=A$18),VLOOKUP("O3",$R$63:$T$91,3,FALSE)+VLOOKUP("CP",$R$63:$T$91,3,FALSE),0)+IF(AND($N40&lt;&gt;"",$N40&lt;&gt;"--",$N40&lt;&gt;"O3/CP",$N$14=A$18),IF(LEFT($N40,1)="P",VLOOKUP(CONCATENATE(LEFT($N40,2),"H"),$R$63:$T$91,3,FALSE),VLOOKUP($N40,$R$63:$T$91,3,FALSE)))+IF(AND($N40&lt;&gt;"",$N40&lt;&gt;"O3/CP",$N$15=A$18,MID($N40,4,1)="2",$N$15&lt;&gt;$N$14),VLOOKUP(CONCATENATE(LEFT($N40,2),"L"),$R$63:$T$91,3,FALSE),0)+IF(AND($N40="O3/CP",$N$14=A$18),VLOOKUP("O3",$R$63:$T$91,3,FALSE)+VLOOKUP("CP",$R$63:$T$91,3,FALSE),0)+IF(AND($O40&lt;&gt;"",$O40&lt;&gt;"--",$O40&lt;&gt;"O3/CP",$O$14=A$18),IF(LEFT($O40,1)="P",VLOOKUP(CONCATENATE(LEFT($O40,2),"H"),$R$63:$T$91,3,FALSE),VLOOKUP($O40,$R$63:$T$91,3,FALSE)))+IF(AND($O40&lt;&gt;"",$O40&lt;&gt;"O3/CP",$O$15=A$18,MID($O40,4,1)="2",$O$15&lt;&gt;$O$14),VLOOKUP(CONCATENATE(LEFT($O40,2),"L"),$R$63:$T$91,3,FALSE),0)+IF(AND($O40="O3/CP",$O$14=A$18),VLOOKUP("O3",$R$63:$T$91,3,FALSE)+VLOOKUP("CP",$R$63:$T$91,3,FALSE),0)+IF(AND($P40&lt;&gt;"",$P40&lt;&gt;"--",$P40&lt;&gt;"O3/CP",$P$14=A$18),IF(LEFT($P40,1)="P",VLOOKUP(CONCATENATE(LEFT($P40,2),"H"),$R$63:$T$91,3,FALSE),VLOOKUP($P40,$R$63:$T$91,3,FALSE)))+IF(AND($P40&lt;&gt;"",$P40&lt;&gt;"O3/CP",$P$15=A$18,MID($P40,4,1)="2",$P$15&lt;&gt;$P$14),VLOOKUP(CONCATENATE(LEFT($P40,2),"L"),$R$63:$T$91,3,FALSE),0)+IF(AND($P40="O3/CP",$P$14=A$18),VLOOKUP("O3",$R$63:$T$91,3,FALSE)+VLOOKUP("CP",$R$63:$T$91,3,FALSE),0)+IF(AND($Q40&lt;&gt;"",$Q40&lt;&gt;"--",$Q40&lt;&gt;"O3/CP",$Q$14=A$18),IF(LEFT($Q40,1)="P",VLOOKUP(CONCATENATE(LEFT($Q40,2),"H"),$R$63:$T$91,3,FALSE),VLOOKUP($Q40,$R$63:$T$91,3,FALSE)))+IF(AND($Q40&lt;&gt;"",$Q40&lt;&gt;"O3/CP",$Q$15=A$18,MID($Q40,4,1)="2",$Q$15&lt;&gt;$Q$14),VLOOKUP(CONCATENATE(LEFT($Q40,2),"L"),$R$63:$T$91,3,FALSE),0)+IF(AND($Q40="O3/CP",$Q$14=A$18),VLOOKUP("O3",$R$63:$T$91,3,FALSE)+VLOOKUP("CP",$R$63:$T$91,3,FALSE),0)+IF(AND($R40&lt;&gt;"",$R40&lt;&gt;"--",$R40&lt;&gt;"O3/CP",$R$14=A$18),IF(LEFT($R40,1)="P",VLOOKUP(CONCATENATE(LEFT($R40,2),"H"),$R$63:$T$91,3,FALSE),VLOOKUP($R40,$R$63:$T$91,3,FALSE)))+IF(AND($R40&lt;&gt;"",$R40&lt;&gt;"O3/CP",$R$15=A$18,MID($R40,4,1)="2",$R$15&lt;&gt;$R$14),VLOOKUP(CONCATENATE(LEFT($R40,2),"L"),$R$63:$T$91,3,FALSE),0)+IF(AND($R40="O3/CP",$R$14=A$18),VLOOKUP("O3",$R$63:$T$91,3,FALSE)+VLOOKUP("CP",$R$63:$T$91,3,FALSE),0)+IF(AND($S40&lt;&gt;"",$S40&lt;&gt;"--",$S40&lt;&gt;"O3/CP",$S$14=A$18),IF(LEFT($S40,1)="P",VLOOKUP(CONCATENATE(LEFT($S40,2),"H"),$R$63:$T$91,3,FALSE),VLOOKUP($S40,$R$63:$T$91,3,FALSE)))+IF(AND($S40&lt;&gt;"",$S40&lt;&gt;"O3/CP",$S$15=A$18,MID($S40,4,1)="2",$S$15&lt;&gt;$S$14),VLOOKUP(CONCATENATE(LEFT($S40,2),"L"),$R$63:$T$91,3,FALSE),0)+IF(AND($S40="O3/CP",$S$14=A$18),VLOOKUP("O3",$R$63:$T$91,3,FALSE)+VLOOKUP("CP",$R$63:$T$91,3,FALSE),0)+IF(AND($T40&lt;&gt;"",$T40&lt;&gt;"--",$T40&lt;&gt;"O3/CP",$T$14=A$18),IF(LEFT($T40,1)="P",VLOOKUP(CONCATENATE(LEFT($T40,2),"H"),$R$63:$T$91,3,FALSE),VLOOKUP($T40,$R$63:$T$91,3,FALSE)))+IF(AND($T40&lt;&gt;"",$T40&lt;&gt;"O3/CP",$T$15=A$18,MID($T40,4,1)="2",$T$15&lt;&gt;$T$14),VLOOKUP(CONCATENATE(LEFT($T40,2),"L"),$R$63:$T$91,3,FALSE),0)+IF(AND($T40="O3/CP",$T$14=A$18),VLOOKUP("O3",$R$63:$T$91,3,FALSE)+VLOOKUP("CP",$R$63:$T$91,3,FALSE),0)+IF(AND($U40&lt;&gt;"",$U40&lt;&gt;"--",$U40&lt;&gt;"O3/CP",$U$14=A$18),IF(LEFT($U40,1)="P",VLOOKUP(CONCATENATE(LEFT($U40,2),"H"),$R$63:$T$91,3,FALSE),VLOOKUP($U40,$R$63:$T$91,3,FALSE)))+IF(AND($U40&lt;&gt;"",$U40&lt;&gt;"O3/CP",$U$15=A$18,MID($U40,4,1)="2",$U$15&lt;&gt;$U$14),VLOOKUP(CONCATENATE(LEFT($U40,2),"L"),$R$63:$T$91,3,FALSE),0)+IF(AND($U40="O3/CP",$T$14=A$18),VLOOKUP("O3",$R$63:$T$91,3,FALSE)+VLOOKUP("CP",$R$63:$T$91,3,FALSE),0)+IF(AND($V40&lt;&gt;"",$V40&lt;&gt;"--",$V40&lt;&gt;"O3/CP",$V$14=A$18),IF(LEFT($V40,1)="P",VLOOKUP(CONCATENATE(LEFT($V40,2),"H"),$R$63:$T$91,3,FALSE),VLOOKUP($V40,$R$63:$T$91,3,FALSE)))+IF(AND($V40&lt;&gt;"",$V40&lt;&gt;"O3/CP",$V$15=A$18,MID($V40,4,1)="2",$V$15&lt;&gt;$V$14),VLOOKUP(CONCATENATE(LEFT($V40,2),"L"),$R$63:$T$91,3,FALSE),0)+IF(AND($V40="O3/CP",$V$14=A$18),VLOOKUP("O3",$R$63:$T$91,3,FALSE)+VLOOKUP("CP",$R$63:$T$91,3,FALSE),0)+IF(AND($W40&lt;&gt;"",$W40&lt;&gt;"--",$W40&lt;&gt;"O3/CP",$W$14=A$18),IF(LEFT($W40,1)="P",VLOOKUP(CONCATENATE(LEFT($W40,2),"H"),$R$63:$T$91,3,FALSE),VLOOKUP($W40,$R$63:$T$91,3,FALSE)))+IF(AND($W40&lt;&gt;"",$W40&lt;&gt;"O3/CP",$W$15=A$18,MID($W40,4,1)="2",$W$15&lt;&gt;$W$14),VLOOKUP(CONCATENATE(LEFT($W40,2),"L"),$R$63:$T$91,3,FALSE),0)+IF(AND($W40="O3/CP",$W$14=A$18),VLOOKUP("O3",$R$63:$T$91,3,FALSE)+VLOOKUP("CP",$R$63:$T$91,3,FALSE),0)+IF(AND($X40&lt;&gt;"",$X40&lt;&gt;"--",$X40&lt;&gt;"O3/CP",$X$14=A$18),IF(LEFT($X40,1)="P",VLOOKUP(CONCATENATE(LEFT($X40,2),"H"),$R$63:$T$91,3,FALSE),VLOOKUP($X40,$R$63:$T$91,3,FALSE)))+IF(AND($X40&lt;&gt;"",$X40&lt;&gt;"O3/CP",$X$15=A$18,MID($X40,4,1)="2",$X$15&lt;&gt;$X$14),VLOOKUP(CONCATENATE(LEFT($X40,2),"L"),$R$63:$T$91,3,FALSE),0)+IF(AND($X40="O3/CP",$X$14=A$18),VLOOKUP("O3",$R$63:$T$91,3,FALSE)+VLOOKUP("CP",$R$63:$T$91,3,FALSE),0)+IF(AND($Y40&lt;&gt;"",$Y40&lt;&gt;"--",$Y40&lt;&gt;"O3/CP",$Y$14=A$18),IF(LEFT($Y40,1)="P",VLOOKUP(CONCATENATE(LEFT($Y40,2),"H"),$R$63:$T$91,3,FALSE),VLOOKUP($Y40,$R$63:$T$91,3,FALSE)))+IF(AND($Y40&lt;&gt;"",$Y40&lt;&gt;"O3/CP",$Y$15=A$18,MID($Y40,4,1)="2",$Y$15&lt;&gt;$Y$14),VLOOKUP(CONCATENATE(LEFT($Y40,2),"L"),$R$63:$T$91,3,FALSE),0)+IF(AND($Y40="O3/CP",$Y$14=A$18),VLOOKUP("O3",$R$63:$T$91,3,FALSE)+VLOOKUP("CP",$R$63:$T$91,3,FALSE),0)+IF(AND($K$6="CE",'[3]Supply Attribution'!$G$20=A$18),LEFT($S$90,2),0)+IF(AND($X$86&lt;&gt;"Not Set",$X$87=A$18),$X$86,0)</f>
        <v>0</v>
      </c>
      <c r="B40" s="269">
        <f>IF(AND($K40&lt;&gt;"",$K40&lt;&gt;"--",$K40&lt;&gt;"O3/CP",$K$14=B$18),IF(LEFT($K40,1)="P",VLOOKUP(CONCATENATE(LEFT($K40,2),"H"),$R$63:$T$91,3,FALSE),VLOOKUP($K40,$R$63:$T$91,3,FALSE)))+IF(AND($K40&lt;&gt;"",$K40&lt;&gt;"O3/CP",$K$15=B$18,MID($K40,4,1)="2",$K$15&lt;&gt;$K$14),VLOOKUP(CONCATENATE(LEFT($K40,2),"L"),$R$63:$T$91,3,FALSE),0)+IF(AND($K40="O3/CP",$K$14=B$18),VLOOKUP("O3",$R$63:$T$91,3,FALSE)+VLOOKUP("CP",$R$63:$T$91,3,FALSE),0)+IF(AND($L40&lt;&gt;"",$L40&lt;&gt;"--",$L40&lt;&gt;"O3/CP",$L$14=B$18),IF(LEFT($L40,1)="P",VLOOKUP(CONCATENATE(LEFT($L40,2),"H"),$R$63:$T$91,3,FALSE),VLOOKUP($L40,$R$63:$T$91,3,FALSE)))+IF(AND($L40&lt;&gt;"",$L40&lt;&gt;"O3/CP",$L$15=B$18,MID($L40,4,1)="2",$L$15&lt;&gt;$L$14),VLOOKUP(CONCATENATE(LEFT($L40,2),"L"),$R$63:$T$91,3,FALSE),0)+IF(AND($L40="O3/CP",$L$14=B$18),VLOOKUP("O3",$R$63:$T$91,3,FALSE)+VLOOKUP("CP",$R$63:$T$91,3,FALSE),0)+IF(AND($M40&lt;&gt;"",$M40&lt;&gt;"--",$M40&lt;&gt;"O3/CP",$M$14=B$18),IF(LEFT($M40,1)="P",VLOOKUP(CONCATENATE(LEFT($M40,2),"H"),$R$63:$T$91,3,FALSE),VLOOKUP($M40,$R$63:$T$91,3,FALSE)))+IF(AND($M40&lt;&gt;"",$M40&lt;&gt;"O3/CP",$M$15=B$18,MID($M40,4,1)="2",$M$15&lt;&gt;$M$14),VLOOKUP(CONCATENATE(LEFT($M40,2),"L"),$R$63:$T$91,3,FALSE),0)+IF(AND($M40="O3/CP",$M$14=B$18),VLOOKUP("O3",$R$63:$T$91,3,FALSE)+VLOOKUP("CP",$R$63:$T$91,3,FALSE),0)+IF(AND($N40&lt;&gt;"",$N40&lt;&gt;"--",$N40&lt;&gt;"O3/CP",$N$14=B$18),IF(LEFT($N40,1)="P",VLOOKUP(CONCATENATE(LEFT($N40,2),"H"),$R$63:$T$91,3,FALSE),VLOOKUP($N40,$R$63:$T$91,3,FALSE)))+IF(AND($N40&lt;&gt;"",$N40&lt;&gt;"O3/CP",$N$15=B$18,MID($N40,4,1)="2",$N$15&lt;&gt;$N$14),VLOOKUP(CONCATENATE(LEFT($N40,2),"L"),$R$63:$T$91,3,FALSE),0)+IF(AND($N40="O3/CP",$N$14=B$18),VLOOKUP("O3",$R$63:$T$91,3,FALSE)+VLOOKUP("CP",$R$63:$T$91,3,FALSE),0)+IF(AND($O40&lt;&gt;"",$O40&lt;&gt;"--",$O40&lt;&gt;"O3/CP",$O$14=B$18),IF(LEFT($O40,1)="P",VLOOKUP(CONCATENATE(LEFT($O40,2),"H"),$R$63:$T$91,3,FALSE),VLOOKUP($O40,$R$63:$T$91,3,FALSE)))+IF(AND($O40&lt;&gt;"",$O40&lt;&gt;"O3/CP",$O$15=B$18,MID($O40,4,1)="2",$O$15&lt;&gt;$O$14),VLOOKUP(CONCATENATE(LEFT($O40,2),"L"),$R$63:$T$91,3,FALSE),0)+IF(AND($O40="O3/CP",$O$14=B$18),VLOOKUP("O3",$R$63:$T$91,3,FALSE)+VLOOKUP("CP",$R$63:$T$91,3,FALSE),0)+IF(AND($P40&lt;&gt;"",$P40&lt;&gt;"--",$P40&lt;&gt;"O3/CP",$P$14=B$18),IF(LEFT($P40,1)="P",VLOOKUP(CONCATENATE(LEFT($P40,2),"H"),$R$63:$T$91,3,FALSE),VLOOKUP($P40,$R$63:$T$91,3,FALSE)))+IF(AND($P40&lt;&gt;"",$P40&lt;&gt;"O3/CP",$P$15=B$18,MID($P40,4,1)="2",$P$15&lt;&gt;$P$14),VLOOKUP(CONCATENATE(LEFT($P40,2),"L"),$R$63:$T$91,3,FALSE),0)+IF(AND($P40="O3/CP",$P$14=B$18),VLOOKUP("O3",$R$63:$T$91,3,FALSE)+VLOOKUP("CP",$R$63:$T$91,3,FALSE),0)+IF(AND($Q40&lt;&gt;"",$Q40&lt;&gt;"--",$Q40&lt;&gt;"O3/CP",$Q$14=B$18),IF(LEFT($Q40,1)="P",VLOOKUP(CONCATENATE(LEFT($Q40,2),"H"),$R$63:$T$91,3,FALSE),VLOOKUP($Q40,$R$63:$T$91,3,FALSE)))+IF(AND($Q40&lt;&gt;"",$Q40&lt;&gt;"O3/CP",$Q$15=B$18,MID($Q40,4,1)="2",$Q$15&lt;&gt;$Q$14),VLOOKUP(CONCATENATE(LEFT($Q40,2),"L"),$R$63:$T$91,3,FALSE),0)+IF(AND($Q40="O3/CP",$Q$14=B$18),VLOOKUP("O3",$R$63:$T$91,3,FALSE)+VLOOKUP("CP",$R$63:$T$91,3,FALSE),0)+IF(AND($R40&lt;&gt;"",$R40&lt;&gt;"--",$R40&lt;&gt;"O3/CP",$R$14=B$18),IF(LEFT($R40,1)="P",VLOOKUP(CONCATENATE(LEFT($R40,2),"H"),$R$63:$T$91,3,FALSE),VLOOKUP($R40,$R$63:$T$91,3,FALSE)))+IF(AND($R40&lt;&gt;"",$R40&lt;&gt;"O3/CP",$R$15=B$18,MID($R40,4,1)="2",$R$15&lt;&gt;$R$14),VLOOKUP(CONCATENATE(LEFT($R40,2),"L"),$R$63:$T$91,3,FALSE),0)+IF(AND($R40="O3/CP",$R$14=B$18),VLOOKUP("O3",$R$63:$T$91,3,FALSE)+VLOOKUP("CP",$R$63:$T$91,3,FALSE),0)+IF(AND($S40&lt;&gt;"",$S40&lt;&gt;"--",$S40&lt;&gt;"O3/CP",$S$14=B$18),IF(LEFT($S40,1)="P",VLOOKUP(CONCATENATE(LEFT($S40,2),"H"),$R$63:$T$91,3,FALSE),VLOOKUP($S40,$R$63:$T$91,3,FALSE)))+IF(AND($S40&lt;&gt;"",$S40&lt;&gt;"O3/CP",$S$15=B$18,MID($S40,4,1)="2",$S$15&lt;&gt;$S$14),VLOOKUP(CONCATENATE(LEFT($S40,2),"L"),$R$63:$T$91,3,FALSE),0)+IF(AND($S40="O3/CP",$S$14=B$18),VLOOKUP("O3",$R$63:$T$91,3,FALSE)+VLOOKUP("CP",$R$63:$T$91,3,FALSE),0)+IF(AND($T40&lt;&gt;"",$T40&lt;&gt;"--",$T40&lt;&gt;"O3/CP",$T$14=B$18),IF(LEFT($T40,1)="P",VLOOKUP(CONCATENATE(LEFT($T40,2),"H"),$R$63:$T$91,3,FALSE),VLOOKUP($T40,$R$63:$T$91,3,FALSE)))+IF(AND($T40&lt;&gt;"",$T40&lt;&gt;"O3/CP",$T$15=B$18,MID($T40,4,1)="2",$T$15&lt;&gt;$T$14),VLOOKUP(CONCATENATE(LEFT($T40,2),"L"),$R$63:$T$91,3,FALSE),0)+IF(AND($T40="O3/CP",$T$14=B$18),VLOOKUP("O3",$R$63:$T$91,3,FALSE)+VLOOKUP("CP",$R$63:$T$91,3,FALSE),0)+IF(AND($U40&lt;&gt;"",$U40&lt;&gt;"--",$U40&lt;&gt;"O3/CP",$U$14=B$18),IF(LEFT($U40,1)="P",VLOOKUP(CONCATENATE(LEFT($U40,2),"H"),$R$63:$T$91,3,FALSE),VLOOKUP($U40,$R$63:$T$91,3,FALSE)))+IF(AND($U40&lt;&gt;"",$U40&lt;&gt;"O3/CP",$U$15=B$18,MID($U40,4,1)="2",$U$15&lt;&gt;$U$14),VLOOKUP(CONCATENATE(LEFT($U40,2),"L"),$R$63:$T$91,3,FALSE),0)+IF(AND($U40="O3/CP",$T$14=B$18),VLOOKUP("O3",$R$63:$T$91,3,FALSE)+VLOOKUP("CP",$R$63:$T$91,3,FALSE),0)+IF(AND($V40&lt;&gt;"",$V40&lt;&gt;"--",$V40&lt;&gt;"O3/CP",$V$14=B$18),IF(LEFT($V40,1)="P",VLOOKUP(CONCATENATE(LEFT($V40,2),"H"),$R$63:$T$91,3,FALSE),VLOOKUP($V40,$R$63:$T$91,3,FALSE)))+IF(AND($V40&lt;&gt;"",$V40&lt;&gt;"O3/CP",$V$15=B$18,MID($V40,4,1)="2",$V$15&lt;&gt;$V$14),VLOOKUP(CONCATENATE(LEFT($V40,2),"L"),$R$63:$T$91,3,FALSE),0)+IF(AND($V40="O3/CP",$V$14=B$18),VLOOKUP("O3",$R$63:$T$91,3,FALSE)+VLOOKUP("CP",$R$63:$T$91,3,FALSE),0)+IF(AND($W40&lt;&gt;"",$W40&lt;&gt;"--",$W40&lt;&gt;"O3/CP",$W$14=B$18),IF(LEFT($W40,1)="P",VLOOKUP(CONCATENATE(LEFT($W40,2),"H"),$R$63:$T$91,3,FALSE),VLOOKUP($W40,$R$63:$T$91,3,FALSE)))+IF(AND($W40&lt;&gt;"",$W40&lt;&gt;"O3/CP",$W$15=B$18,MID($W40,4,1)="2",$W$15&lt;&gt;$W$14),VLOOKUP(CONCATENATE(LEFT($W40,2),"L"),$R$63:$T$91,3,FALSE),0)+IF(AND($W40="O3/CP",$W$14=B$18),VLOOKUP("O3",$R$63:$T$91,3,FALSE)+VLOOKUP("CP",$R$63:$T$91,3,FALSE),0)+IF(AND($X40&lt;&gt;"",$X40&lt;&gt;"--",$X40&lt;&gt;"O3/CP",$X$14=B$18),IF(LEFT($X40,1)="P",VLOOKUP(CONCATENATE(LEFT($X40,2),"H"),$R$63:$T$91,3,FALSE),VLOOKUP($X40,$R$63:$T$91,3,FALSE)))+IF(AND($X40&lt;&gt;"",$X40&lt;&gt;"O3/CP",$X$15=B$18,MID($X40,4,1)="2",$X$15&lt;&gt;$X$14),VLOOKUP(CONCATENATE(LEFT($X40,2),"L"),$R$63:$T$91,3,FALSE),0)+IF(AND($X40="O3/CP",$X$14=B$18),VLOOKUP("O3",$R$63:$T$91,3,FALSE)+VLOOKUP("CP",$R$63:$T$91,3,FALSE),0)+IF(AND($Y40&lt;&gt;"",$Y40&lt;&gt;"--",$Y40&lt;&gt;"O3/CP",$Y$14=B$18),IF(LEFT($Y40,1)="P",VLOOKUP(CONCATENATE(LEFT($Y40,2),"H"),$R$63:$T$91,3,FALSE),VLOOKUP($Y40,$R$63:$T$91,3,FALSE)))+IF(AND($Y40&lt;&gt;"",$Y40&lt;&gt;"O3/CP",$Y$15=B$18,MID($Y40,4,1)="2",$Y$15&lt;&gt;$Y$14),VLOOKUP(CONCATENATE(LEFT($Y40,2),"L"),$R$63:$T$91,3,FALSE),0)+IF(AND($Y40="O3/CP",$Y$14=B$18),VLOOKUP("O3",$R$63:$T$91,3,FALSE)+VLOOKUP("CP",$R$63:$T$91,3,FALSE),0)+IF(AND($K$6="CE",'[3]Supply Attribution'!$G$20=B$18),LEFT($S$90,2),0)+IF(AND($X$86&lt;&gt;"Not Set",$X$87=B$18),$X$86,0)</f>
        <v>0</v>
      </c>
      <c r="C40" s="269">
        <f>IF(AND($K40&lt;&gt;"",$K40&lt;&gt;"--",$K40&lt;&gt;"O3/CP",$K$14=C$18),IF(LEFT($K40,1)="P",VLOOKUP(CONCATENATE(LEFT($K40,2),"H"),$R$63:$T$91,3,FALSE),VLOOKUP($K40,$R$63:$T$91,3,FALSE)))+IF(AND($K40&lt;&gt;"",$K40&lt;&gt;"O3/CP",$K$15=C$18,MID($K40,4,1)="2",$K$15&lt;&gt;$K$14),VLOOKUP(CONCATENATE(LEFT($K40,2),"L"),$R$63:$T$91,3,FALSE),0)+IF(AND($K40="O3/CP",$K$14=C$18),VLOOKUP("O3",$R$63:$T$91,3,FALSE)+VLOOKUP("CP",$R$63:$T$91,3,FALSE),0)+IF(AND($L40&lt;&gt;"",$L40&lt;&gt;"--",$L40&lt;&gt;"O3/CP",$L$14=C$18),IF(LEFT($L40,1)="P",VLOOKUP(CONCATENATE(LEFT($L40,2),"H"),$R$63:$T$91,3,FALSE),VLOOKUP($L40,$R$63:$T$91,3,FALSE)))+IF(AND($L40&lt;&gt;"",$L40&lt;&gt;"O3/CP",$L$15=C$18,MID($L40,4,1)="2",$L$15&lt;&gt;$L$14),VLOOKUP(CONCATENATE(LEFT($L40,2),"L"),$R$63:$T$91,3,FALSE),0)+IF(AND($L40="O3/CP",$L$14=C$18),VLOOKUP("O3",$R$63:$T$91,3,FALSE)+VLOOKUP("CP",$R$63:$T$91,3,FALSE),0)+IF(AND($M40&lt;&gt;"",$M40&lt;&gt;"--",$M40&lt;&gt;"O3/CP",$M$14=C$18),IF(LEFT($M40,1)="P",VLOOKUP(CONCATENATE(LEFT($M40,2),"H"),$R$63:$T$91,3,FALSE),VLOOKUP($M40,$R$63:$T$91,3,FALSE)))+IF(AND($M40&lt;&gt;"",$M40&lt;&gt;"O3/CP",$M$15=C$18,MID($M40,4,1)="2",$M$15&lt;&gt;$M$14),VLOOKUP(CONCATENATE(LEFT($M40,2),"L"),$R$63:$T$91,3,FALSE),0)+IF(AND($M40="O3/CP",$M$14=C$18),VLOOKUP("O3",$R$63:$T$91,3,FALSE)+VLOOKUP("CP",$R$63:$T$91,3,FALSE),0)+IF(AND($N40&lt;&gt;"",$N40&lt;&gt;"--",$N40&lt;&gt;"O3/CP",$N$14=C$18),IF(LEFT($N40,1)="P",VLOOKUP(CONCATENATE(LEFT($N40,2),"H"),$R$63:$T$91,3,FALSE),VLOOKUP($N40,$R$63:$T$91,3,FALSE)))+IF(AND($N40&lt;&gt;"",$N40&lt;&gt;"O3/CP",$N$15=C$18,MID($N40,4,1)="2",$N$15&lt;&gt;$N$14),VLOOKUP(CONCATENATE(LEFT($N40,2),"L"),$R$63:$T$91,3,FALSE),0)+IF(AND($N40="O3/CP",$N$14=C$18),VLOOKUP("O3",$R$63:$T$91,3,FALSE)+VLOOKUP("CP",$R$63:$T$91,3,FALSE),0)+IF(AND($O40&lt;&gt;"",$O40&lt;&gt;"--",$O40&lt;&gt;"O3/CP",$O$14=C$18),IF(LEFT($O40,1)="P",VLOOKUP(CONCATENATE(LEFT($O40,2),"H"),$R$63:$T$91,3,FALSE),VLOOKUP($O40,$R$63:$T$91,3,FALSE)))+IF(AND($O40&lt;&gt;"",$O40&lt;&gt;"O3/CP",$O$15=C$18,MID($O40,4,1)="2",$O$15&lt;&gt;$O$14),VLOOKUP(CONCATENATE(LEFT($O40,2),"L"),$R$63:$T$91,3,FALSE),0)+IF(AND($O40="O3/CP",$O$14=C$18),VLOOKUP("O3",$R$63:$T$91,3,FALSE)+VLOOKUP("CP",$R$63:$T$91,3,FALSE),0)+IF(AND($P40&lt;&gt;"",$P40&lt;&gt;"--",$P40&lt;&gt;"O3/CP",$P$14=C$18),IF(LEFT($P40,1)="P",VLOOKUP(CONCATENATE(LEFT($P40,2),"H"),$R$63:$T$91,3,FALSE),VLOOKUP($P40,$R$63:$T$91,3,FALSE)))+IF(AND($P40&lt;&gt;"",$P40&lt;&gt;"O3/CP",$P$15=C$18,MID($P40,4,1)="2",$P$15&lt;&gt;$P$14),VLOOKUP(CONCATENATE(LEFT($P40,2),"L"),$R$63:$T$91,3,FALSE),0)+IF(AND($P40="O3/CP",$P$14=C$18),VLOOKUP("O3",$R$63:$T$91,3,FALSE)+VLOOKUP("CP",$R$63:$T$91,3,FALSE),0)+IF(AND($Q40&lt;&gt;"",$Q40&lt;&gt;"--",$Q40&lt;&gt;"O3/CP",$Q$14=C$18),IF(LEFT($Q40,1)="P",VLOOKUP(CONCATENATE(LEFT($Q40,2),"H"),$R$63:$T$91,3,FALSE),VLOOKUP($Q40,$R$63:$T$91,3,FALSE)))+IF(AND($Q40&lt;&gt;"",$Q40&lt;&gt;"O3/CP",$Q$15=C$18,MID($Q40,4,1)="2",$Q$15&lt;&gt;$Q$14),VLOOKUP(CONCATENATE(LEFT($Q40,2),"L"),$R$63:$T$91,3,FALSE),0)+IF(AND($Q40="O3/CP",$Q$14=C$18),VLOOKUP("O3",$R$63:$T$91,3,FALSE)+VLOOKUP("CP",$R$63:$T$91,3,FALSE),0)+IF(AND($R40&lt;&gt;"",$R40&lt;&gt;"--",$R40&lt;&gt;"O3/CP",$R$14=C$18),IF(LEFT($R40,1)="P",VLOOKUP(CONCATENATE(LEFT($R40,2),"H"),$R$63:$T$91,3,FALSE),VLOOKUP($R40,$R$63:$T$91,3,FALSE)))+IF(AND($R40&lt;&gt;"",$R40&lt;&gt;"O3/CP",$R$15=C$18,MID($R40,4,1)="2",$R$15&lt;&gt;$R$14),VLOOKUP(CONCATENATE(LEFT($R40,2),"L"),$R$63:$T$91,3,FALSE),0)+IF(AND($R40="O3/CP",$R$14=C$18),VLOOKUP("O3",$R$63:$T$91,3,FALSE)+VLOOKUP("CP",$R$63:$T$91,3,FALSE),0)+IF(AND($S40&lt;&gt;"",$S40&lt;&gt;"--",$S40&lt;&gt;"O3/CP",$S$14=C$18),IF(LEFT($S40,1)="P",VLOOKUP(CONCATENATE(LEFT($S40,2),"H"),$R$63:$T$91,3,FALSE),VLOOKUP($S40,$R$63:$T$91,3,FALSE)))+IF(AND($S40&lt;&gt;"",$S40&lt;&gt;"O3/CP",$S$15=C$18,MID($S40,4,1)="2",$S$15&lt;&gt;$S$14),VLOOKUP(CONCATENATE(LEFT($S40,2),"L"),$R$63:$T$91,3,FALSE),0)+IF(AND($S40="O3/CP",$S$14=C$18),VLOOKUP("O3",$R$63:$T$91,3,FALSE)+VLOOKUP("CP",$R$63:$T$91,3,FALSE),0)+IF(AND($T40&lt;&gt;"",$T40&lt;&gt;"--",$T40&lt;&gt;"O3/CP",$T$14=C$18),IF(LEFT($T40,1)="P",VLOOKUP(CONCATENATE(LEFT($T40,2),"H"),$R$63:$T$91,3,FALSE),VLOOKUP($T40,$R$63:$T$91,3,FALSE)))+IF(AND($T40&lt;&gt;"",$T40&lt;&gt;"O3/CP",$T$15=C$18,MID($T40,4,1)="2",$T$15&lt;&gt;$T$14),VLOOKUP(CONCATENATE(LEFT($T40,2),"L"),$R$63:$T$91,3,FALSE),0)+IF(AND($T40="O3/CP",$T$14=C$18),VLOOKUP("O3",$R$63:$T$91,3,FALSE)+VLOOKUP("CP",$R$63:$T$91,3,FALSE),0)+IF(AND($U40&lt;&gt;"",$U40&lt;&gt;"--",$U40&lt;&gt;"O3/CP",$U$14=C$18),IF(LEFT($U40,1)="P",VLOOKUP(CONCATENATE(LEFT($U40,2),"H"),$R$63:$T$91,3,FALSE),VLOOKUP($U40,$R$63:$T$91,3,FALSE)))+IF(AND($U40&lt;&gt;"",$U40&lt;&gt;"O3/CP",$U$15=C$18,MID($U40,4,1)="2",$U$15&lt;&gt;$U$14),VLOOKUP(CONCATENATE(LEFT($U40,2),"L"),$R$63:$T$91,3,FALSE),0)+IF(AND($U40="O3/CP",$T$14=C$18),VLOOKUP("O3",$R$63:$T$91,3,FALSE)+VLOOKUP("CP",$R$63:$T$91,3,FALSE),0)+IF(AND($V40&lt;&gt;"",$V40&lt;&gt;"--",$V40&lt;&gt;"O3/CP",$V$14=C$18),IF(LEFT($V40,1)="P",VLOOKUP(CONCATENATE(LEFT($V40,2),"H"),$R$63:$T$91,3,FALSE),VLOOKUP($V40,$R$63:$T$91,3,FALSE)))+IF(AND($V40&lt;&gt;"",$V40&lt;&gt;"O3/CP",$V$15=C$18,MID($V40,4,1)="2",$V$15&lt;&gt;$V$14),VLOOKUP(CONCATENATE(LEFT($V40,2),"L"),$R$63:$T$91,3,FALSE),0)+IF(AND($V40="O3/CP",$V$14=C$18),VLOOKUP("O3",$R$63:$T$91,3,FALSE)+VLOOKUP("CP",$R$63:$T$91,3,FALSE),0)+IF(AND($W40&lt;&gt;"",$W40&lt;&gt;"--",$W40&lt;&gt;"O3/CP",$W$14=C$18),IF(LEFT($W40,1)="P",VLOOKUP(CONCATENATE(LEFT($W40,2),"H"),$R$63:$T$91,3,FALSE),VLOOKUP($W40,$R$63:$T$91,3,FALSE)))+IF(AND($W40&lt;&gt;"",$W40&lt;&gt;"O3/CP",$W$15=C$18,MID($W40,4,1)="2",$W$15&lt;&gt;$W$14),VLOOKUP(CONCATENATE(LEFT($W40,2),"L"),$R$63:$T$91,3,FALSE),0)+IF(AND($W40="O3/CP",$W$14=C$18),VLOOKUP("O3",$R$63:$T$91,3,FALSE)+VLOOKUP("CP",$R$63:$T$91,3,FALSE),0)+IF(AND($X40&lt;&gt;"",$X40&lt;&gt;"--",$X40&lt;&gt;"O3/CP",$X$14=C$18),IF(LEFT($X40,1)="P",VLOOKUP(CONCATENATE(LEFT($X40,2),"H"),$R$63:$T$91,3,FALSE),VLOOKUP($X40,$R$63:$T$91,3,FALSE)))+IF(AND($X40&lt;&gt;"",$X40&lt;&gt;"O3/CP",$X$15=C$18,MID($X40,4,1)="2",$X$15&lt;&gt;$X$14),VLOOKUP(CONCATENATE(LEFT($X40,2),"L"),$R$63:$T$91,3,FALSE),0)+IF(AND($X40="O3/CP",$X$14=C$18),VLOOKUP("O3",$R$63:$T$91,3,FALSE)+VLOOKUP("CP",$R$63:$T$91,3,FALSE),0)+IF(AND($Y40&lt;&gt;"",$Y40&lt;&gt;"--",$Y40&lt;&gt;"O3/CP",$Y$14=C$18),IF(LEFT($Y40,1)="P",VLOOKUP(CONCATENATE(LEFT($Y40,2),"H"),$R$63:$T$91,3,FALSE),VLOOKUP($Y40,$R$63:$T$91,3,FALSE)))+IF(AND($Y40&lt;&gt;"",$Y40&lt;&gt;"O3/CP",$Y$15=C$18,MID($Y40,4,1)="2",$Y$15&lt;&gt;$Y$14),VLOOKUP(CONCATENATE(LEFT($Y40,2),"L"),$R$63:$T$91,3,FALSE),0)+IF(AND($Y40="O3/CP",$Y$14=C$18),VLOOKUP("O3",$R$63:$T$91,3,FALSE)+VLOOKUP("CP",$R$63:$T$91,3,FALSE),0)+IF(AND($K$6="CE",'[3]Supply Attribution'!$G$20=C$18),LEFT($S$90,2),0)+IF(AND($X$86&lt;&gt;"Not Set",$X$87=C$18),$X$86,0)</f>
        <v>0</v>
      </c>
      <c r="D40" s="269">
        <f>IF(AND($K40&lt;&gt;"",$K40&lt;&gt;"--",$K40&lt;&gt;"O3/CP",$K$14=D$18),IF(LEFT($K40,1)="P",VLOOKUP(CONCATENATE(LEFT($K40,2),"H"),$R$63:$T$91,3,FALSE),VLOOKUP($K40,$R$63:$T$91,3,FALSE)))+IF(AND($K40&lt;&gt;"",$K40&lt;&gt;"O3/CP",$K$15=D$18,MID($K40,4,1)="2",$K$15&lt;&gt;$K$14),VLOOKUP(CONCATENATE(LEFT($K40,2),"L"),$R$63:$T$91,3,FALSE),0)+IF(AND($K40="O3/CP",$K$14=D$18),VLOOKUP("O3",$R$63:$T$91,3,FALSE)+VLOOKUP("CP",$R$63:$T$91,3,FALSE),0)+IF(AND($L40&lt;&gt;"",$L40&lt;&gt;"--",$L40&lt;&gt;"O3/CP",$L$14=D$18),IF(LEFT($L40,1)="P",VLOOKUP(CONCATENATE(LEFT($L40,2),"H"),$R$63:$T$91,3,FALSE),VLOOKUP($L40,$R$63:$T$91,3,FALSE)))+IF(AND($L40&lt;&gt;"",$L40&lt;&gt;"O3/CP",$L$15=D$18,MID($L40,4,1)="2",$L$15&lt;&gt;$L$14),VLOOKUP(CONCATENATE(LEFT($L40,2),"L"),$R$63:$T$91,3,FALSE),0)+IF(AND($L40="O3/CP",$L$14=D$18),VLOOKUP("O3",$R$63:$T$91,3,FALSE)+VLOOKUP("CP",$R$63:$T$91,3,FALSE),0)+IF(AND($M40&lt;&gt;"",$M40&lt;&gt;"--",$M40&lt;&gt;"O3/CP",$M$14=D$18),IF(LEFT($M40,1)="P",VLOOKUP(CONCATENATE(LEFT($M40,2),"H"),$R$63:$T$91,3,FALSE),VLOOKUP($M40,$R$63:$T$91,3,FALSE)))+IF(AND($M40&lt;&gt;"",$M40&lt;&gt;"O3/CP",$M$15=D$18,MID($M40,4,1)="2",$M$15&lt;&gt;$M$14),VLOOKUP(CONCATENATE(LEFT($M40,2),"L"),$R$63:$T$91,3,FALSE),0)+IF(AND($M40="O3/CP",$M$14=D$18),VLOOKUP("O3",$R$63:$T$91,3,FALSE)+VLOOKUP("CP",$R$63:$T$91,3,FALSE),0)+IF(AND($N40&lt;&gt;"",$N40&lt;&gt;"--",$N40&lt;&gt;"O3/CP",$N$14=D$18),IF(LEFT($N40,1)="P",VLOOKUP(CONCATENATE(LEFT($N40,2),"H"),$R$63:$T$91,3,FALSE),VLOOKUP($N40,$R$63:$T$91,3,FALSE)))+IF(AND($N40&lt;&gt;"",$N40&lt;&gt;"O3/CP",$N$15=D$18,MID($N40,4,1)="2",$N$15&lt;&gt;$N$14),VLOOKUP(CONCATENATE(LEFT($N40,2),"L"),$R$63:$T$91,3,FALSE),0)+IF(AND($N40="O3/CP",$N$14=D$18),VLOOKUP("O3",$R$63:$T$91,3,FALSE)+VLOOKUP("CP",$R$63:$T$91,3,FALSE),0)+IF(AND($O40&lt;&gt;"",$O40&lt;&gt;"--",$O40&lt;&gt;"O3/CP",$O$14=D$18),IF(LEFT($O40,1)="P",VLOOKUP(CONCATENATE(LEFT($O40,2),"H"),$R$63:$T$91,3,FALSE),VLOOKUP($O40,$R$63:$T$91,3,FALSE)))+IF(AND($O40&lt;&gt;"",$O40&lt;&gt;"O3/CP",$O$15=D$18,MID($O40,4,1)="2",$O$15&lt;&gt;$O$14),VLOOKUP(CONCATENATE(LEFT($O40,2),"L"),$R$63:$T$91,3,FALSE),0)+IF(AND($O40="O3/CP",$O$14=D$18),VLOOKUP("O3",$R$63:$T$91,3,FALSE)+VLOOKUP("CP",$R$63:$T$91,3,FALSE),0)+IF(AND($P40&lt;&gt;"",$P40&lt;&gt;"--",$P40&lt;&gt;"O3/CP",$P$14=D$18),IF(LEFT($P40,1)="P",VLOOKUP(CONCATENATE(LEFT($P40,2),"H"),$R$63:$T$91,3,FALSE),VLOOKUP($P40,$R$63:$T$91,3,FALSE)))+IF(AND($P40&lt;&gt;"",$P40&lt;&gt;"O3/CP",$P$15=D$18,MID($P40,4,1)="2",$P$15&lt;&gt;$P$14),VLOOKUP(CONCATENATE(LEFT($P40,2),"L"),$R$63:$T$91,3,FALSE),0)+IF(AND($P40="O3/CP",$P$14=D$18),VLOOKUP("O3",$R$63:$T$91,3,FALSE)+VLOOKUP("CP",$R$63:$T$91,3,FALSE),0)+IF(AND($Q40&lt;&gt;"",$Q40&lt;&gt;"--",$Q40&lt;&gt;"O3/CP",$Q$14=D$18),IF(LEFT($Q40,1)="P",VLOOKUP(CONCATENATE(LEFT($Q40,2),"H"),$R$63:$T$91,3,FALSE),VLOOKUP($Q40,$R$63:$T$91,3,FALSE)))+IF(AND($Q40&lt;&gt;"",$Q40&lt;&gt;"O3/CP",$Q$15=D$18,MID($Q40,4,1)="2",$Q$15&lt;&gt;$Q$14),VLOOKUP(CONCATENATE(LEFT($Q40,2),"L"),$R$63:$T$91,3,FALSE),0)+IF(AND($Q40="O3/CP",$Q$14=D$18),VLOOKUP("O3",$R$63:$T$91,3,FALSE)+VLOOKUP("CP",$R$63:$T$91,3,FALSE),0)+IF(AND($R40&lt;&gt;"",$R40&lt;&gt;"--",$R40&lt;&gt;"O3/CP",$R$14=D$18),IF(LEFT($R40,1)="P",VLOOKUP(CONCATENATE(LEFT($R40,2),"H"),$R$63:$T$91,3,FALSE),VLOOKUP($R40,$R$63:$T$91,3,FALSE)))+IF(AND($R40&lt;&gt;"",$R40&lt;&gt;"O3/CP",$R$15=D$18,MID($R40,4,1)="2",$R$15&lt;&gt;$R$14),VLOOKUP(CONCATENATE(LEFT($R40,2),"L"),$R$63:$T$91,3,FALSE),0)+IF(AND($R40="O3/CP",$R$14=D$18),VLOOKUP("O3",$R$63:$T$91,3,FALSE)+VLOOKUP("CP",$R$63:$T$91,3,FALSE),0)+IF(AND($S40&lt;&gt;"",$S40&lt;&gt;"--",$S40&lt;&gt;"O3/CP",$S$14=D$18),IF(LEFT($S40,1)="P",VLOOKUP(CONCATENATE(LEFT($S40,2),"H"),$R$63:$T$91,3,FALSE),VLOOKUP($S40,$R$63:$T$91,3,FALSE)))+IF(AND($S40&lt;&gt;"",$S40&lt;&gt;"O3/CP",$S$15=D$18,MID($S40,4,1)="2",$S$15&lt;&gt;$S$14),VLOOKUP(CONCATENATE(LEFT($S40,2),"L"),$R$63:$T$91,3,FALSE),0)+IF(AND($S40="O3/CP",$S$14=D$18),VLOOKUP("O3",$R$63:$T$91,3,FALSE)+VLOOKUP("CP",$R$63:$T$91,3,FALSE),0)+IF(AND($T40&lt;&gt;"",$T40&lt;&gt;"--",$T40&lt;&gt;"O3/CP",$T$14=D$18),IF(LEFT($T40,1)="P",VLOOKUP(CONCATENATE(LEFT($T40,2),"H"),$R$63:$T$91,3,FALSE),VLOOKUP($T40,$R$63:$T$91,3,FALSE)))+IF(AND($T40&lt;&gt;"",$T40&lt;&gt;"O3/CP",$T$15=D$18,MID($T40,4,1)="2",$T$15&lt;&gt;$T$14),VLOOKUP(CONCATENATE(LEFT($T40,2),"L"),$R$63:$T$91,3,FALSE),0)+IF(AND($T40="O3/CP",$T$14=D$18),VLOOKUP("O3",$R$63:$T$91,3,FALSE)+VLOOKUP("CP",$R$63:$T$91,3,FALSE),0)+IF(AND($U40&lt;&gt;"",$U40&lt;&gt;"--",$U40&lt;&gt;"O3/CP",$U$14=D$18),IF(LEFT($U40,1)="P",VLOOKUP(CONCATENATE(LEFT($U40,2),"H"),$R$63:$T$91,3,FALSE),VLOOKUP($U40,$R$63:$T$91,3,FALSE)))+IF(AND($U40&lt;&gt;"",$U40&lt;&gt;"O3/CP",$U$15=D$18,MID($U40,4,1)="2",$U$15&lt;&gt;$U$14),VLOOKUP(CONCATENATE(LEFT($U40,2),"L"),$R$63:$T$91,3,FALSE),0)+IF(AND($U40="O3/CP",$T$14=D$18),VLOOKUP("O3",$R$63:$T$91,3,FALSE)+VLOOKUP("CP",$R$63:$T$91,3,FALSE),0)+IF(AND($V40&lt;&gt;"",$V40&lt;&gt;"--",$V40&lt;&gt;"O3/CP",$V$14=D$18),IF(LEFT($V40,1)="P",VLOOKUP(CONCATENATE(LEFT($V40,2),"H"),$R$63:$T$91,3,FALSE),VLOOKUP($V40,$R$63:$T$91,3,FALSE)))+IF(AND($V40&lt;&gt;"",$V40&lt;&gt;"O3/CP",$V$15=D$18,MID($V40,4,1)="2",$V$15&lt;&gt;$V$14),VLOOKUP(CONCATENATE(LEFT($V40,2),"L"),$R$63:$T$91,3,FALSE),0)+IF(AND($V40="O3/CP",$V$14=D$18),VLOOKUP("O3",$R$63:$T$91,3,FALSE)+VLOOKUP("CP",$R$63:$T$91,3,FALSE),0)+IF(AND($W40&lt;&gt;"",$W40&lt;&gt;"--",$W40&lt;&gt;"O3/CP",$W$14=D$18),IF(LEFT($W40,1)="P",VLOOKUP(CONCATENATE(LEFT($W40,2),"H"),$R$63:$T$91,3,FALSE),VLOOKUP($W40,$R$63:$T$91,3,FALSE)))+IF(AND($W40&lt;&gt;"",$W40&lt;&gt;"O3/CP",$W$15=D$18,MID($W40,4,1)="2",$W$15&lt;&gt;$W$14),VLOOKUP(CONCATENATE(LEFT($W40,2),"L"),$R$63:$T$91,3,FALSE),0)+IF(AND($W40="O3/CP",$W$14=D$18),VLOOKUP("O3",$R$63:$T$91,3,FALSE)+VLOOKUP("CP",$R$63:$T$91,3,FALSE),0)+IF(AND($X40&lt;&gt;"",$X40&lt;&gt;"--",$X40&lt;&gt;"O3/CP",$X$14=D$18),IF(LEFT($X40,1)="P",VLOOKUP(CONCATENATE(LEFT($X40,2),"H"),$R$63:$T$91,3,FALSE),VLOOKUP($X40,$R$63:$T$91,3,FALSE)))+IF(AND($X40&lt;&gt;"",$X40&lt;&gt;"O3/CP",$X$15=D$18,MID($X40,4,1)="2",$X$15&lt;&gt;$X$14),VLOOKUP(CONCATENATE(LEFT($X40,2),"L"),$R$63:$T$91,3,FALSE),0)+IF(AND($X40="O3/CP",$X$14=D$18),VLOOKUP("O3",$R$63:$T$91,3,FALSE)+VLOOKUP("CP",$R$63:$T$91,3,FALSE),0)+IF(AND($Y40&lt;&gt;"",$Y40&lt;&gt;"--",$Y40&lt;&gt;"O3/CP",$Y$14=D$18),IF(LEFT($Y40,1)="P",VLOOKUP(CONCATENATE(LEFT($Y40,2),"H"),$R$63:$T$91,3,FALSE),VLOOKUP($Y40,$R$63:$T$91,3,FALSE)))+IF(AND($Y40&lt;&gt;"",$Y40&lt;&gt;"O3/CP",$Y$15=D$18,MID($Y40,4,1)="2",$Y$15&lt;&gt;$Y$14),VLOOKUP(CONCATENATE(LEFT($Y40,2),"L"),$R$63:$T$91,3,FALSE),0)+IF(AND($Y40="O3/CP",$Y$14=D$18),VLOOKUP("O3",$R$63:$T$91,3,FALSE)+VLOOKUP("CP",$R$63:$T$91,3,FALSE),0)+IF(AND($K$6="CE",'[3]Supply Attribution'!$G$20=D$18),LEFT($S$90,2),0)+IF(AND($X$86&lt;&gt;"Not Set",$X$87=D$18),$X$86,0)</f>
        <v>0</v>
      </c>
      <c r="E40" s="269">
        <f>IF(AND($K40&lt;&gt;"",$K40&lt;&gt;"--",$K40&lt;&gt;"O3/CP",$K$14=E$18),IF(LEFT($K40,1)="P",VLOOKUP(CONCATENATE(LEFT($K40,2),"H"),$R$63:$T$91,3,FALSE),VLOOKUP($K40,$R$63:$T$91,3,FALSE)))+IF(AND($K40&lt;&gt;"",$K40&lt;&gt;"O3/CP",$K$15=E$18,MID($K40,4,1)="2",$K$15&lt;&gt;$K$14),VLOOKUP(CONCATENATE(LEFT($K40,2),"L"),$R$63:$T$91,3,FALSE),0)+IF(AND($K40="O3/CP",$K$14=E$18),VLOOKUP("O3",$R$63:$T$91,3,FALSE)+VLOOKUP("CP",$R$63:$T$91,3,FALSE),0)+IF(AND($L40&lt;&gt;"",$L40&lt;&gt;"--",$L40&lt;&gt;"O3/CP",$L$14=E$18),IF(LEFT($L40,1)="P",VLOOKUP(CONCATENATE(LEFT($L40,2),"H"),$R$63:$T$91,3,FALSE),VLOOKUP($L40,$R$63:$T$91,3,FALSE)))+IF(AND($L40&lt;&gt;"",$L40&lt;&gt;"O3/CP",$L$15=E$18,MID($L40,4,1)="2",$L$15&lt;&gt;$L$14),VLOOKUP(CONCATENATE(LEFT($L40,2),"L"),$R$63:$T$91,3,FALSE),0)+IF(AND($L40="O3/CP",$L$14=E$18),VLOOKUP("O3",$R$63:$T$91,3,FALSE)+VLOOKUP("CP",$R$63:$T$91,3,FALSE),0)+IF(AND($M40&lt;&gt;"",$M40&lt;&gt;"--",$M40&lt;&gt;"O3/CP",$M$14=E$18),IF(LEFT($M40,1)="P",VLOOKUP(CONCATENATE(LEFT($M40,2),"H"),$R$63:$T$91,3,FALSE),VLOOKUP($M40,$R$63:$T$91,3,FALSE)))+IF(AND($M40&lt;&gt;"",$M40&lt;&gt;"O3/CP",$M$15=E$18,MID($M40,4,1)="2",$M$15&lt;&gt;$M$14),VLOOKUP(CONCATENATE(LEFT($M40,2),"L"),$R$63:$T$91,3,FALSE),0)+IF(AND($M40="O3/CP",$M$14=E$18),VLOOKUP("O3",$R$63:$T$91,3,FALSE)+VLOOKUP("CP",$R$63:$T$91,3,FALSE),0)+IF(AND($N40&lt;&gt;"",$N40&lt;&gt;"--",$N40&lt;&gt;"O3/CP",$N$14=E$18),IF(LEFT($N40,1)="P",VLOOKUP(CONCATENATE(LEFT($N40,2),"H"),$R$63:$T$91,3,FALSE),VLOOKUP($N40,$R$63:$T$91,3,FALSE)))+IF(AND($N40&lt;&gt;"",$N40&lt;&gt;"O3/CP",$N$15=E$18,MID($N40,4,1)="2",$N$15&lt;&gt;$N$14),VLOOKUP(CONCATENATE(LEFT($N40,2),"L"),$R$63:$T$91,3,FALSE),0)+IF(AND($N40="O3/CP",$N$14=E$18),VLOOKUP("O3",$R$63:$T$91,3,FALSE)+VLOOKUP("CP",$R$63:$T$91,3,FALSE),0)+IF(AND($O40&lt;&gt;"",$O40&lt;&gt;"--",$O40&lt;&gt;"O3/CP",$O$14=E$18),IF(LEFT($O40,1)="P",VLOOKUP(CONCATENATE(LEFT($O40,2),"H"),$R$63:$T$91,3,FALSE),VLOOKUP($O40,$R$63:$T$91,3,FALSE)))+IF(AND($O40&lt;&gt;"",$O40&lt;&gt;"O3/CP",$O$15=E$18,MID($O40,4,1)="2",$O$15&lt;&gt;$O$14),VLOOKUP(CONCATENATE(LEFT($O40,2),"L"),$R$63:$T$91,3,FALSE),0)+IF(AND($O40="O3/CP",$O$14=E$18),VLOOKUP("O3",$R$63:$T$91,3,FALSE)+VLOOKUP("CP",$R$63:$T$91,3,FALSE),0)+IF(AND($P40&lt;&gt;"",$P40&lt;&gt;"--",$P40&lt;&gt;"O3/CP",$P$14=E$18),IF(LEFT($P40,1)="P",VLOOKUP(CONCATENATE(LEFT($P40,2),"H"),$R$63:$T$91,3,FALSE),VLOOKUP($P40,$R$63:$T$91,3,FALSE)))+IF(AND($P40&lt;&gt;"",$P40&lt;&gt;"O3/CP",$P$15=E$18,MID($P40,4,1)="2",$P$15&lt;&gt;$P$14),VLOOKUP(CONCATENATE(LEFT($P40,2),"L"),$R$63:$T$91,3,FALSE),0)+IF(AND($P40="O3/CP",$P$14=E$18),VLOOKUP("O3",$R$63:$T$91,3,FALSE)+VLOOKUP("CP",$R$63:$T$91,3,FALSE),0)+IF(AND($Q40&lt;&gt;"",$Q40&lt;&gt;"--",$Q40&lt;&gt;"O3/CP",$Q$14=E$18),IF(LEFT($Q40,1)="P",VLOOKUP(CONCATENATE(LEFT($Q40,2),"H"),$R$63:$T$91,3,FALSE),VLOOKUP($Q40,$R$63:$T$91,3,FALSE)))+IF(AND($Q40&lt;&gt;"",$Q40&lt;&gt;"O3/CP",$Q$15=E$18,MID($Q40,4,1)="2",$Q$15&lt;&gt;$Q$14),VLOOKUP(CONCATENATE(LEFT($Q40,2),"L"),$R$63:$T$91,3,FALSE),0)+IF(AND($Q40="O3/CP",$Q$14=E$18),VLOOKUP("O3",$R$63:$T$91,3,FALSE)+VLOOKUP("CP",$R$63:$T$91,3,FALSE),0)+IF(AND($R40&lt;&gt;"",$R40&lt;&gt;"--",$R40&lt;&gt;"O3/CP",$R$14=E$18),IF(LEFT($R40,1)="P",VLOOKUP(CONCATENATE(LEFT($R40,2),"H"),$R$63:$T$91,3,FALSE),VLOOKUP($R40,$R$63:$T$91,3,FALSE)))+IF(AND($R40&lt;&gt;"",$R40&lt;&gt;"O3/CP",$R$15=E$18,MID($R40,4,1)="2",$R$15&lt;&gt;$R$14),VLOOKUP(CONCATENATE(LEFT($R40,2),"L"),$R$63:$T$91,3,FALSE),0)+IF(AND($R40="O3/CP",$R$14=E$18),VLOOKUP("O3",$R$63:$T$91,3,FALSE)+VLOOKUP("CP",$R$63:$T$91,3,FALSE),0)+IF(AND($S40&lt;&gt;"",$S40&lt;&gt;"--",$S40&lt;&gt;"O3/CP",$S$14=E$18),IF(LEFT($S40,1)="P",VLOOKUP(CONCATENATE(LEFT($S40,2),"H"),$R$63:$T$91,3,FALSE),VLOOKUP($S40,$R$63:$T$91,3,FALSE)))+IF(AND($S40&lt;&gt;"",$S40&lt;&gt;"O3/CP",$S$15=E$18,MID($S40,4,1)="2",$S$15&lt;&gt;$S$14),VLOOKUP(CONCATENATE(LEFT($S40,2),"L"),$R$63:$T$91,3,FALSE),0)+IF(AND($S40="O3/CP",$S$14=E$18),VLOOKUP("O3",$R$63:$T$91,3,FALSE)+VLOOKUP("CP",$R$63:$T$91,3,FALSE),0)+IF(AND($T40&lt;&gt;"",$T40&lt;&gt;"--",$T40&lt;&gt;"O3/CP",$T$14=E$18),IF(LEFT($T40,1)="P",VLOOKUP(CONCATENATE(LEFT($T40,2),"H"),$R$63:$T$91,3,FALSE),VLOOKUP($T40,$R$63:$T$91,3,FALSE)))+IF(AND($T40&lt;&gt;"",$T40&lt;&gt;"O3/CP",$T$15=E$18,MID($T40,4,1)="2",$T$15&lt;&gt;$T$14),VLOOKUP(CONCATENATE(LEFT($T40,2),"L"),$R$63:$T$91,3,FALSE),0)+IF(AND($T40="O3/CP",$T$14=E$18),VLOOKUP("O3",$R$63:$T$91,3,FALSE)+VLOOKUP("CP",$R$63:$T$91,3,FALSE),0)+IF(AND($U40&lt;&gt;"",$U40&lt;&gt;"--",$U40&lt;&gt;"O3/CP",$U$14=E$18),IF(LEFT($U40,1)="P",VLOOKUP(CONCATENATE(LEFT($U40,2),"H"),$R$63:$T$91,3,FALSE),VLOOKUP($U40,$R$63:$T$91,3,FALSE)))+IF(AND($U40&lt;&gt;"",$U40&lt;&gt;"O3/CP",$U$15=E$18,MID($U40,4,1)="2",$U$15&lt;&gt;$U$14),VLOOKUP(CONCATENATE(LEFT($U40,2),"L"),$R$63:$T$91,3,FALSE),0)+IF(AND($U40="O3/CP",$T$14=E$18),VLOOKUP("O3",$R$63:$T$91,3,FALSE)+VLOOKUP("CP",$R$63:$T$91,3,FALSE),0)+IF(AND($V40&lt;&gt;"",$V40&lt;&gt;"--",$V40&lt;&gt;"O3/CP",$V$14=E$18),IF(LEFT($V40,1)="P",VLOOKUP(CONCATENATE(LEFT($V40,2),"H"),$R$63:$T$91,3,FALSE),VLOOKUP($V40,$R$63:$T$91,3,FALSE)))+IF(AND($V40&lt;&gt;"",$V40&lt;&gt;"O3/CP",$V$15=E$18,MID($V40,4,1)="2",$V$15&lt;&gt;$V$14),VLOOKUP(CONCATENATE(LEFT($V40,2),"L"),$R$63:$T$91,3,FALSE),0)+IF(AND($V40="O3/CP",$V$14=E$18),VLOOKUP("O3",$R$63:$T$91,3,FALSE)+VLOOKUP("CP",$R$63:$T$91,3,FALSE),0)+IF(AND($W40&lt;&gt;"",$W40&lt;&gt;"--",$W40&lt;&gt;"O3/CP",$W$14=E$18),IF(LEFT($W40,1)="P",VLOOKUP(CONCATENATE(LEFT($W40,2),"H"),$R$63:$T$91,3,FALSE),VLOOKUP($W40,$R$63:$T$91,3,FALSE)))+IF(AND($W40&lt;&gt;"",$W40&lt;&gt;"O3/CP",$W$15=E$18,MID($W40,4,1)="2",$W$15&lt;&gt;$W$14),VLOOKUP(CONCATENATE(LEFT($W40,2),"L"),$R$63:$T$91,3,FALSE),0)+IF(AND($W40="O3/CP",$W$14=E$18),VLOOKUP("O3",$R$63:$T$91,3,FALSE)+VLOOKUP("CP",$R$63:$T$91,3,FALSE),0)+IF(AND($X40&lt;&gt;"",$X40&lt;&gt;"--",$X40&lt;&gt;"O3/CP",$X$14=E$18),IF(LEFT($X40,1)="P",VLOOKUP(CONCATENATE(LEFT($X40,2),"H"),$R$63:$T$91,3,FALSE),VLOOKUP($X40,$R$63:$T$91,3,FALSE)))+IF(AND($X40&lt;&gt;"",$X40&lt;&gt;"O3/CP",$X$15=E$18,MID($X40,4,1)="2",$X$15&lt;&gt;$X$14),VLOOKUP(CONCATENATE(LEFT($X40,2),"L"),$R$63:$T$91,3,FALSE),0)+IF(AND($X40="O3/CP",$X$14=E$18),VLOOKUP("O3",$R$63:$T$91,3,FALSE)+VLOOKUP("CP",$R$63:$T$91,3,FALSE),0)+IF(AND($Y40&lt;&gt;"",$Y40&lt;&gt;"--",$Y40&lt;&gt;"O3/CP",$Y$14=E$18),IF(LEFT($Y40,1)="P",VLOOKUP(CONCATENATE(LEFT($Y40,2),"H"),$R$63:$T$91,3,FALSE),VLOOKUP($Y40,$R$63:$T$91,3,FALSE)))+IF(AND($Y40&lt;&gt;"",$Y40&lt;&gt;"O3/CP",$Y$15=E$18,MID($Y40,4,1)="2",$Y$15&lt;&gt;$Y$14),VLOOKUP(CONCATENATE(LEFT($Y40,2),"L"),$R$63:$T$91,3,FALSE),0)+IF(AND($Y40="O3/CP",$Y$14=E$18),VLOOKUP("O3",$R$63:$T$91,3,FALSE)+VLOOKUP("CP",$R$63:$T$91,3,FALSE),0)+IF(AND($K$6="CE",'[3]Supply Attribution'!$G$20=E$18),LEFT($S$90,2),0)+IF(AND($X$86&lt;&gt;"Not Set",$X$87=E$18),$X$86,0)</f>
        <v>0</v>
      </c>
      <c r="F40" s="268">
        <f>IF(AND($K40&lt;&gt;"",$K40&lt;&gt;"--",$K40&lt;&gt;"O3/CP",$K$14=F$18),IF(LEFT($K40,1)="P",VLOOKUP(CONCATENATE(LEFT($K40,2),"H"),$R$63:$T$91,3,FALSE),VLOOKUP($K40,$R$63:$T$91,3,FALSE)))+IF(AND($K40&lt;&gt;"",$K40&lt;&gt;"O3/CP",$K$15=F$18,MID($K40,4,1)="2",$K$15&lt;&gt;$K$14),VLOOKUP(CONCATENATE(LEFT($K40,2),"L"),$R$63:$T$91,3,FALSE),0)+IF(AND($K40="O3/CP",$K$14=F$18),VLOOKUP("O3",$R$63:$T$91,3,FALSE)+VLOOKUP("CP",$R$63:$T$91,3,FALSE),0)+IF(AND($L40&lt;&gt;"",$L40&lt;&gt;"--",$L40&lt;&gt;"O3/CP",$L$14=F$18),IF(LEFT($L40,1)="P",VLOOKUP(CONCATENATE(LEFT($L40,2),"H"),$R$63:$T$91,3,FALSE),VLOOKUP($L40,$R$63:$T$91,3,FALSE)))+IF(AND($L40&lt;&gt;"",$L40&lt;&gt;"O3/CP",$L$15=F$18,MID($L40,4,1)="2",$L$15&lt;&gt;$L$14),VLOOKUP(CONCATENATE(LEFT($L40,2),"L"),$R$63:$T$91,3,FALSE),0)+IF(AND($L40="O3/CP",$L$14=F$18),VLOOKUP("O3",$R$63:$T$91,3,FALSE)+VLOOKUP("CP",$R$63:$T$91,3,FALSE),0)+IF(AND($M40&lt;&gt;"",$M40&lt;&gt;"--",$M40&lt;&gt;"O3/CP",$M$14=F$18),IF(LEFT($M40,1)="P",VLOOKUP(CONCATENATE(LEFT($M40,2),"H"),$R$63:$T$91,3,FALSE),VLOOKUP($M40,$R$63:$T$91,3,FALSE)))+IF(AND($M40&lt;&gt;"",$M40&lt;&gt;"O3/CP",$M$15=F$18,MID($M40,4,1)="2",$M$15&lt;&gt;$M$14),VLOOKUP(CONCATENATE(LEFT($M40,2),"L"),$R$63:$T$91,3,FALSE),0)+IF(AND($M40="O3/CP",$M$14=F$18),VLOOKUP("O3",$R$63:$T$91,3,FALSE)+VLOOKUP("CP",$R$63:$T$91,3,FALSE),0)+IF(AND($N40&lt;&gt;"",$N40&lt;&gt;"--",$N40&lt;&gt;"O3/CP",$N$14=F$18),IF(LEFT($N40,1)="P",VLOOKUP(CONCATENATE(LEFT($N40,2),"H"),$R$63:$T$91,3,FALSE),VLOOKUP($N40,$R$63:$T$91,3,FALSE)))+IF(AND($N40&lt;&gt;"",$N40&lt;&gt;"O3/CP",$N$15=F$18,MID($N40,4,1)="2",$N$15&lt;&gt;$N$14),VLOOKUP(CONCATENATE(LEFT($N40,2),"L"),$R$63:$T$91,3,FALSE),0)+IF(AND($N40="O3/CP",$N$14=F$18),VLOOKUP("O3",$R$63:$T$91,3,FALSE)+VLOOKUP("CP",$R$63:$T$91,3,FALSE),0)+IF(AND($O40&lt;&gt;"",$O40&lt;&gt;"--",$O40&lt;&gt;"O3/CP",$O$14=F$18),IF(LEFT($O40,1)="P",VLOOKUP(CONCATENATE(LEFT($O40,2),"H"),$R$63:$T$91,3,FALSE),VLOOKUP($O40,$R$63:$T$91,3,FALSE)))+IF(AND($O40&lt;&gt;"",$O40&lt;&gt;"O3/CP",$O$15=F$18,MID($O40,4,1)="2",$O$15&lt;&gt;$O$14),VLOOKUP(CONCATENATE(LEFT($O40,2),"L"),$R$63:$T$91,3,FALSE),0)+IF(AND($O40="O3/CP",$O$14=F$18),VLOOKUP("O3",$R$63:$T$91,3,FALSE)+VLOOKUP("CP",$R$63:$T$91,3,FALSE),0)+IF(AND($P40&lt;&gt;"",$P40&lt;&gt;"--",$P40&lt;&gt;"O3/CP",$P$14=F$18),IF(LEFT($P40,1)="P",VLOOKUP(CONCATENATE(LEFT($P40,2),"H"),$R$63:$T$91,3,FALSE),VLOOKUP($P40,$R$63:$T$91,3,FALSE)))+IF(AND($P40&lt;&gt;"",$P40&lt;&gt;"O3/CP",$P$15=F$18,MID($P40,4,1)="2",$P$15&lt;&gt;$P$14),VLOOKUP(CONCATENATE(LEFT($P40,2),"L"),$R$63:$T$91,3,FALSE),0)+IF(AND($P40="O3/CP",$P$14=F$18),VLOOKUP("O3",$R$63:$T$91,3,FALSE)+VLOOKUP("CP",$R$63:$T$91,3,FALSE),0)+IF(AND($Q40&lt;&gt;"",$Q40&lt;&gt;"--",$Q40&lt;&gt;"O3/CP",$Q$14=F$18),IF(LEFT($Q40,1)="P",VLOOKUP(CONCATENATE(LEFT($Q40,2),"H"),$R$63:$T$91,3,FALSE),VLOOKUP($Q40,$R$63:$T$91,3,FALSE)))+IF(AND($Q40&lt;&gt;"",$Q40&lt;&gt;"O3/CP",$Q$15=F$18,MID($Q40,4,1)="2",$Q$15&lt;&gt;$Q$14),VLOOKUP(CONCATENATE(LEFT($Q40,2),"L"),$R$63:$T$91,3,FALSE),0)+IF(AND($Q40="O3/CP",$Q$14=F$18),VLOOKUP("O3",$R$63:$T$91,3,FALSE)+VLOOKUP("CP",$R$63:$T$91,3,FALSE),0)+IF(AND($R40&lt;&gt;"",$R40&lt;&gt;"--",$R40&lt;&gt;"O3/CP",$R$14=F$18),IF(LEFT($R40,1)="P",VLOOKUP(CONCATENATE(LEFT($R40,2),"H"),$R$63:$T$91,3,FALSE),VLOOKUP($R40,$R$63:$T$91,3,FALSE)))+IF(AND($R40&lt;&gt;"",$R40&lt;&gt;"O3/CP",$R$15=F$18,MID($R40,4,1)="2",$R$15&lt;&gt;$R$14),VLOOKUP(CONCATENATE(LEFT($R40,2),"L"),$R$63:$T$91,3,FALSE),0)+IF(AND($R40="O3/CP",$R$14=F$18),VLOOKUP("O3",$R$63:$T$91,3,FALSE)+VLOOKUP("CP",$R$63:$T$91,3,FALSE),0)+IF(AND($S40&lt;&gt;"",$S40&lt;&gt;"--",$S40&lt;&gt;"O3/CP",$S$14=F$18),IF(LEFT($S40,1)="P",VLOOKUP(CONCATENATE(LEFT($S40,2),"H"),$R$63:$T$91,3,FALSE),VLOOKUP($S40,$R$63:$T$91,3,FALSE)))+IF(AND($S40&lt;&gt;"",$S40&lt;&gt;"O3/CP",$S$15=F$18,MID($S40,4,1)="2",$S$15&lt;&gt;$S$14),VLOOKUP(CONCATENATE(LEFT($S40,2),"L"),$R$63:$T$91,3,FALSE),0)+IF(AND($S40="O3/CP",$S$14=F$18),VLOOKUP("O3",$R$63:$T$91,3,FALSE)+VLOOKUP("CP",$R$63:$T$91,3,FALSE),0)+IF(AND($T40&lt;&gt;"",$T40&lt;&gt;"--",$T40&lt;&gt;"O3/CP",$T$14=F$18),IF(LEFT($T40,1)="P",VLOOKUP(CONCATENATE(LEFT($T40,2),"H"),$R$63:$T$91,3,FALSE),VLOOKUP($T40,$R$63:$T$91,3,FALSE)))+IF(AND($T40&lt;&gt;"",$T40&lt;&gt;"O3/CP",$T$15=F$18,MID($T40,4,1)="2",$T$15&lt;&gt;$T$14),VLOOKUP(CONCATENATE(LEFT($T40,2),"L"),$R$63:$T$91,3,FALSE),0)+IF(AND($T40="O3/CP",$T$14=F$18),VLOOKUP("O3",$R$63:$T$91,3,FALSE)+VLOOKUP("CP",$R$63:$T$91,3,FALSE),0)+IF(AND($U40&lt;&gt;"",$U40&lt;&gt;"--",$U40&lt;&gt;"O3/CP",$U$14=F$18),IF(LEFT($U40,1)="P",VLOOKUP(CONCATENATE(LEFT($U40,2),"H"),$R$63:$T$91,3,FALSE),VLOOKUP($U40,$R$63:$T$91,3,FALSE)))+IF(AND($U40&lt;&gt;"",$U40&lt;&gt;"O3/CP",$U$15=F$18,MID($U40,4,1)="2",$U$15&lt;&gt;$U$14),VLOOKUP(CONCATENATE(LEFT($U40,2),"L"),$R$63:$T$91,3,FALSE),0)+IF(AND($U40="O3/CP",$T$14=F$18),VLOOKUP("O3",$R$63:$T$91,3,FALSE)+VLOOKUP("CP",$R$63:$T$91,3,FALSE),0)+IF(AND($V40&lt;&gt;"",$V40&lt;&gt;"--",$V40&lt;&gt;"O3/CP",$V$14=F$18),IF(LEFT($V40,1)="P",VLOOKUP(CONCATENATE(LEFT($V40,2),"H"),$R$63:$T$91,3,FALSE),VLOOKUP($V40,$R$63:$T$91,3,FALSE)))+IF(AND($V40&lt;&gt;"",$V40&lt;&gt;"O3/CP",$V$15=F$18,MID($V40,4,1)="2",$V$15&lt;&gt;$V$14),VLOOKUP(CONCATENATE(LEFT($V40,2),"L"),$R$63:$T$91,3,FALSE),0)+IF(AND($V40="O3/CP",$V$14=F$18),VLOOKUP("O3",$R$63:$T$91,3,FALSE)+VLOOKUP("CP",$R$63:$T$91,3,FALSE),0)+IF(AND($W40&lt;&gt;"",$W40&lt;&gt;"--",$W40&lt;&gt;"O3/CP",$W$14=F$18),IF(LEFT($W40,1)="P",VLOOKUP(CONCATENATE(LEFT($W40,2),"H"),$R$63:$T$91,3,FALSE),VLOOKUP($W40,$R$63:$T$91,3,FALSE)))+IF(AND($W40&lt;&gt;"",$W40&lt;&gt;"O3/CP",$W$15=F$18,MID($W40,4,1)="2",$W$15&lt;&gt;$W$14),VLOOKUP(CONCATENATE(LEFT($W40,2),"L"),$R$63:$T$91,3,FALSE),0)+IF(AND($W40="O3/CP",$W$14=F$18),VLOOKUP("O3",$R$63:$T$91,3,FALSE)+VLOOKUP("CP",$R$63:$T$91,3,FALSE),0)+IF(AND($X40&lt;&gt;"",$X40&lt;&gt;"--",$X40&lt;&gt;"O3/CP",$X$14=F$18),IF(LEFT($X40,1)="P",VLOOKUP(CONCATENATE(LEFT($X40,2),"H"),$R$63:$T$91,3,FALSE),VLOOKUP($X40,$R$63:$T$91,3,FALSE)))+IF(AND($X40&lt;&gt;"",$X40&lt;&gt;"O3/CP",$X$15=F$18,MID($X40,4,1)="2",$X$15&lt;&gt;$X$14),VLOOKUP(CONCATENATE(LEFT($X40,2),"L"),$R$63:$T$91,3,FALSE),0)+IF(AND($X40="O3/CP",$X$14=F$18),VLOOKUP("O3",$R$63:$T$91,3,FALSE)+VLOOKUP("CP",$R$63:$T$91,3,FALSE),0)+IF(AND($Y40&lt;&gt;"",$Y40&lt;&gt;"--",$Y40&lt;&gt;"O3/CP",$Y$14=F$18),IF(LEFT($Y40,1)="P",VLOOKUP(CONCATENATE(LEFT($Y40,2),"H"),$R$63:$T$91,3,FALSE),VLOOKUP($Y40,$R$63:$T$91,3,FALSE)))+IF(AND($Y40&lt;&gt;"",$Y40&lt;&gt;"O3/CP",$Y$15=F$18,MID($Y40,4,1)="2",$Y$15&lt;&gt;$Y$14),VLOOKUP(CONCATENATE(LEFT($Y40,2),"L"),$R$63:$T$91,3,FALSE),0)+IF(AND($Y40="O3/CP",$Y$14=F$18),VLOOKUP("O3",$R$63:$T$91,3,FALSE)+VLOOKUP("CP",$R$63:$T$91,3,FALSE),0)+IF(AND($K$6="CE",'[3]Supply Attribution'!$G$20=F$18),LEFT($S$90,2),0)+IF(AND($X$86&lt;&gt;"Not Set",$X$87=F$18),$X$86,0)</f>
        <v>0</v>
      </c>
      <c r="G40" s="269">
        <f>IF(AND($K$6="CE",$T$59="1 Phase"),SUM(A40:F40)-IF(AND($K$14&lt;&gt;$K$15,RIGHT($K40,3)="2SP"),VLOOKUP(CONCATENATE(LEFT($K40,2),"L"),$R$63:$T$90,3,FALSE),0)-IF(AND($L$14&lt;&gt;$L$15,RIGHT($L40,3)="2SP"),VLOOKUP(CONCATENATE(LEFT($L40,2),"L"),$R$63:$T$90,3,FALSE),0)-IF(AND($M$14&lt;&gt;$M$15,RIGHT($M40,3)="2SP"),VLOOKUP(CONCATENATE(LEFT($M40,2),"L"),$R$63:$T$90,3,FALSE),0)-IF(AND($N$14&lt;&gt;$N$15,RIGHT($N40,3)="2SP"),VLOOKUP(CONCATENATE(LEFT($N40,2),"L"),$R$63:$T$90,3,FALSE),0)-IF(AND($O$14&lt;&gt;$O$15,RIGHT($O40,3)="2SP"),VLOOKUP(CONCATENATE(LEFT($O40,2),"L"),$R$63:$T$90,3,FALSE),0)-IF(AND($P$14&lt;&gt;$P$15,RIGHT($P40,3)="2SP"),VLOOKUP(CONCATENATE(LEFT($P40,2),"L"),$R$63:$T$90,3,FALSE),0)-IF(AND($Q$14&lt;&gt;$Q$15,RIGHT($Q40,3)="2SP"),VLOOKUP(CONCATENATE(LEFT($Q40,2),"L"),$R$63:$T$90,3,FALSE),0)-IF(AND($R$14&lt;&gt;$R$15,RIGHT($T40,3)="2SP"),VLOOKUP(CONCATENATE(LEFT($R40,2),"L"),$R$63:$T$90,3,FALSE),0)-IF(AND($S$14&lt;&gt;$S$15,RIGHT($T40,3)="2SP"),VLOOKUP(CONCATENATE(LEFT($S40,2),"L"),$R$63:$T$90,3,FALSE),0)-IF(AND($T$14&lt;&gt;$T$15,RIGHT($T40,3)="2SP"),VLOOKUP(CONCATENATE(LEFT($T40,2),"L"),$R$63:$T$90,3,FALSE),0)-IF(AND($U$14&lt;&gt;$U$15,RIGHT($U40,3)="2SP"),VLOOKUP(CONCATENATE(LEFT($U40,2),"L"),$R$63:$T$90,3,FALSE),0)-IF(AND($V$14&lt;&gt;$V$15,RIGHT($V40,3)="2SP"),VLOOKUP(CONCATENATE(LEFT($V40,2),"L"),$R$63:$T$90,3,FALSE),0)-IF(AND($W$14&lt;&gt;$W$15,RIGHT($W40,3)="2SP"),VLOOKUP(CONCATENATE(LEFT($W40,2),"L"),$R$63:$T$90,3,FALSE),0)-IF(AND($X$14&lt;&gt;$X$15,RIGHT($X40,3)="2SP"),VLOOKUP(CONCATENATE(LEFT($X40,2),"L"),$R$63:$T$90,3,FALSE),0)-IF(AND($Y$14&lt;&gt;$Y$15,RIGHT($Y40,3)="2SP"),VLOOKUP(CONCATENATE(LEFT($Y40,2),"L"),$R$63:$T$90,3,FALSE),0),IF(VLOOKUP(CONCATENATE($A$18,"Line"),'[3]Supply Attribution'!$F$31:$G$37,2,FALSE)=G$18,$A40,0)+IF(VLOOKUP(CONCATENATE($B$18,"Line"),'[3]Supply Attribution'!$F$31:$G$37,2,FALSE)=G$18,$B40,0)+IF(VLOOKUP(CONCATENATE($C$18,"Line"),'[3]Supply Attribution'!$F$31:$G$37,2,FALSE)=G$18,$C40,0)+IF(VLOOKUP(CONCATENATE($D$18,"Line"),'[3]Supply Attribution'!$F$31:$G$37,2,FALSE)=G$18,$D40,0)+IF(VLOOKUP(CONCATENATE($E$18,"Line"),'[3]Supply Attribution'!$F$31:$G$37,2,FALSE)=G$18,$E40,0)+IF(VLOOKUP(CONCATENATE($F$18,"Line"),'[3]Supply Attribution'!$F$31:$G$37,2,FALSE)=G$18,$F40,0)+IF($K$6="UL",LEFT($S$90,2),0)-IF(AND($K$16=G$18,$K$14&lt;&gt;$K$15,$K$16=$K$17,RIGHT($K40,3)="2SP"),VLOOKUP(CONCATENATE(LEFT($K40,2),"L"),$R$63:$T$90,3,FALSE),0)-IF(AND($L$16=G$18,$L$14&lt;&gt;$L$15,$L$16=$L$17,RIGHT($L40,3)="2SP"),VLOOKUP(CONCATENATE(LEFT($L40,2),"L"),$R$63:$T$90,3,FALSE),0)-IF(AND($M$16=G$18,$M$14&lt;&gt;$M$15,$M$16=$M$17,RIGHT($M40,3)="2SP"),VLOOKUP(CONCATENATE(LEFT($M40,2),"L"),$R$63:$T$90,3,FALSE),0)-IF(AND($N$16=G$18,$N$14&lt;&gt;$N$15,$N$16=$N$17,RIGHT($N40,3)="2SP"),VLOOKUP(CONCATENATE(LEFT($N40,2),"L"),$R$63:$T$90,3,FALSE),0)-IF(AND($O$16=G$18,$O$14&lt;&gt;$O$15,$O$16=$O$17,RIGHT($O40,3)="2SP"),VLOOKUP(CONCATENATE(LEFT($O40,2),"L"),$R$63:$T$90,3,FALSE),0)-IF(AND($P$16=G$18,$P$14&lt;&gt;$P$15,$P$16=$P$17,RIGHT($P40,3)="2SP"),VLOOKUP(CONCATENATE(LEFT($P40,2),"L"),$R$63:$T$90,3,FALSE),0)-IF(AND($Q$16=G$18,$Q$14&lt;&gt;$Q$15,$Q$16=$Q$17,RIGHT($Q40,3)="2SP"),VLOOKUP(CONCATENATE(LEFT($Q40,2),"L"),$R$63:$T$90,3,FALSE),0)-IF(AND($R$16=G$18,$R$14&lt;&gt;$R$15,$R$16=$R$17,RIGHT($R40,3)="2SP"),VLOOKUP(CONCATENATE(LEFT($R40,2),"L"),$R$63:$T$90,3,FALSE),0)-IF(AND($S$16=G$18,$S$14&lt;&gt;$S$15,$S$16=$S$17,RIGHT($S40,3)="2SP"),VLOOKUP(CONCATENATE(LEFT($S40,2),"L"),$R$63:$T$90,3,FALSE),0)-IF(AND($T$16=G$18,$T$14&lt;&gt;$T$15,$T$16=$T$17,RIGHT($T40,3)="2SP"),VLOOKUP(CONCATENATE(LEFT($T40,2),"L"),$R$63:$T$90,3,FALSE),0)-IF(AND($U$16=G$18,$U$14&lt;&gt;$U$15,$U$16=$U$17,RIGHT($U40,3)="2SP"),VLOOKUP(CONCATENATE(LEFT($U40,2),"L"),$R$63:$T$90,3,FALSE),0)-IF(AND($V$16=G$18,$V$14&lt;&gt;$V$15,$V$16=$V$17,RIGHT($V40,3)="2SP"),VLOOKUP(CONCATENATE(LEFT($V40,2),"L"),$R$63:$T$90,3,FALSE),0)-IF(AND($W$16=G$18,$W$14&lt;&gt;$W$15,$W$16=$W$17,RIGHT($W40,3)="2SP"),VLOOKUP(CONCATENATE(LEFT($W40,2),"L"),$R$63:$T$90,3,FALSE),0)-IF(AND($X$16=G$18,$X$14&lt;&gt;$X$15,$X$16=$X$17,RIGHT($X40,3)="2SP"),VLOOKUP(CONCATENATE(LEFT($X40,2),"L"),$R$63:$T$90,3,FALSE),0)-IF(AND($Y$16=G$18,$Y$14&lt;&gt;$Y$15,$Y$16=$Y$17,RIGHT($Y40,3)="2SP"),VLOOKUP(CONCATENATE(LEFT($Y40,2),"L"),$R$63:$T$90,3,FALSE),0))</f>
        <v>17</v>
      </c>
      <c r="H40" s="269" t="str">
        <f>IF(H$18&lt;&gt;"",IF(VLOOKUP(CONCATENATE($A$18,"Line"),'Supply Attribution'!$F$31:$G$37,2,FALSE)=H$18,$A40,0)+IF(VLOOKUP(CONCATENATE($B$18,"Line"),'Supply Attribution'!$F$31:$G$37,2,FALSE)=H$18,$B40,0)+IF(VLOOKUP(CONCATENATE($C$18,"Line"),'Supply Attribution'!$F$31:$G$37,2,FALSE)=H$18,$C40,0)+IF(VLOOKUP(CONCATENATE($D$18,"Line"),'Supply Attribution'!$F$31:$G$37,2,FALSE)=H$18,$D40,0)+IF(VLOOKUP(CONCATENATE($E$18,"Line"),'Supply Attribution'!$F$31:$G$37,2,FALSE)=H$18,$E40,0)+IF(VLOOKUP(CONCATENATE($F$18,"Line"),'Supply Attribution'!$F$31:$G$37,2,FALSE)=H$18,$F40,0)+IF($K$6="UL",LEFT($S$90,2),0)-IF(AND($K$16=H$18,$K$14&lt;&gt;$K$15,$K$16=$K$17,RIGHT($K40,3)="2SP"),VLOOKUP(CONCATENATE(LEFT($K40,2),"L"),$R$63:$T$90,3,FALSE),0)-IF(AND($L$16=H$18,$L$14&lt;&gt;$L$15,$L$16=$L$17,RIGHT($L40,3)="2SP"),VLOOKUP(CONCATENATE(LEFT($L40,2),"L"),$R$63:$T$90,3,FALSE),0)-IF(AND($M$16=H$18,$M$14&lt;&gt;$M$15,$M$16=$M$17,RIGHT($M40,3)="2SP"),VLOOKUP(CONCATENATE(LEFT($M40,2),"L"),$R$63:$T$90,3,FALSE),0)-IF(AND($N$16=H$18,$N$14&lt;&gt;$N$15,$N$16=$N$17,RIGHT($N40,3)="2SP"),VLOOKUP(CONCATENATE(LEFT($N40,2),"L"),$R$63:$T$90,3,FALSE),0)-IF(AND($O$16=H$18,$O$14&lt;&gt;$O$15,$O$16=$O$17,RIGHT($O40,3)="2SP"),VLOOKUP(CONCATENATE(LEFT($O40,2),"L"),$R$63:$T$90,3,FALSE),0)-IF(AND($P$16=H$18,$P$14&lt;&gt;$P$15,$P$16=$P$17,RIGHT($P40,3)="2SP"),VLOOKUP(CONCATENATE(LEFT($P40,2),"L"),$R$63:$T$90,3,FALSE),0)-IF(AND($Q$16=H$18,$Q$14&lt;&gt;$Q$15,$Q$16=$Q$17,RIGHT($Q40,3)="2SP"),VLOOKUP(CONCATENATE(LEFT($Q40,2),"L"),$R$63:$T$90,3,FALSE),0)-IF(AND($T$16=H$18,$T$14&lt;&gt;$T$15,$T$16=$T$17,RIGHT($T40,3)="2SP"),VLOOKUP(CONCATENATE(LEFT($T40,2),"L"),$R$63:$T$90,3,FALSE),0)-IF(AND($U$16=H$18,$U$14&lt;&gt;$U$15,$U$16=$U$17,RIGHT($U40,3)="2SP"),VLOOKUP(CONCATENATE(LEFT($U40,2),"L"),$R$63:$T$90,3,FALSE),0)-IF(AND($V$16=H$18,$V$14&lt;&gt;$V$15,$V$16=$V$17,RIGHT($V40,3)="2SP"),VLOOKUP(CONCATENATE(LEFT($V40,2),"L"),$R$63:$T$90,3,FALSE),0)-IF(AND($W$16=H$18,$W$14&lt;&gt;$W$15,$W$16=$W$17,RIGHT($W40,3)="2SP"),VLOOKUP(CONCATENATE(LEFT($W40,2),"L"),$R$63:$T$90,3,FALSE),0)-IF(AND($X$16=H$18,$X$14&lt;&gt;$X$15,$X$16=$X$17,RIGHT($X40,3)="2SP"),VLOOKUP(CONCATENATE(LEFT($X40,2),"L"),$R$63:$T$90,3,FALSE),0)-IF(AND($Y$16=H$18,$Y$14&lt;&gt;$Y$15,$Y$16=$Y$17,RIGHT($Y40,3)="2SP"),VLOOKUP(CONCATENATE(LEFT($Y40,2),"L"),$R$63:$T$90,3,FALSE),0)+IF(AND($K$6="CE",$T$59="2 Phases",H$18&lt;&gt;""),IF(VLOOKUP(CONCATENATE($A$18,"Line"),'Supply Attribution'!$F$31:$G$37,2,FALSE)="Line3",$A40,0)+IF(VLOOKUP(CONCATENATE($B$18,"Line"),'Supply Attribution'!$F$31:$G$37,2,FALSE)="Line3",$B40,0)+IF(VLOOKUP(CONCATENATE($C$18,"Line"),'Supply Attribution'!$F$31:$G$37,2,FALSE)="Line3",$C40,0)+IF(VLOOKUP(CONCATENATE($D$18,"Line"),'Supply Attribution'!$F$31:$G$37,2,FALSE)="Line3",$D40,0)+IF(VLOOKUP(CONCATENATE($E$18,"Line"),'Supply Attribution'!$F$31:$G$37,2,FALSE)="Line3",$E40,0)+IF(VLOOKUP(CONCATENATE($F$18,"Line"),'Supply Attribution'!$F$31:$G$37,2,FALSE)="Line3",$F40,0)-IF(AND($K$16=I$18,$K$14&lt;&gt;$K$15,$K$16=$K$17,RIGHT($K40,3)="2SP"),VLOOKUP(CONCATENATE(LEFT($K40,2),"L"),$R$63:$T$90,3,FALSE),0)-IF(AND($L$16=I$18,$L$14&lt;&gt;$L$15,$L$16=$L$17,RIGHT($L40,3)="2SP"),VLOOKUP(CONCATENATE(LEFT($L40,2),"L"),$R$63:$T$90,3,FALSE),0)-IF(AND($M$16=I$18,$M$14&lt;&gt;$M$15,$M$16=$M$17,RIGHT($M40,3)="2SP"),VLOOKUP(CONCATENATE(LEFT($M40,2),"L"),$R$63:$T$90,3,FALSE),0)-IF(AND($N$16=I$18,$N$14&lt;&gt;$N$15,$N$16=$N$17,RIGHT($N40,3)="2SP"),VLOOKUP(CONCATENATE(LEFT($N40,2),"L"),$R$63:$T$90,3,FALSE),0)-IF(AND($O$16=I$18,$O$14&lt;&gt;$O$15,$O$16=$O$17,RIGHT($O40,3)="2SP"),VLOOKUP(CONCATENATE(LEFT($O40,2),"L"),$R$63:$T$90,3,FALSE),0)-IF(AND($P$16=I$18,$P$14&lt;&gt;$P$15,$P$16=$P$17,RIGHT($P40,3)="2SP"),VLOOKUP(CONCATENATE(LEFT($P40,2),"L"),$R$63:$T$90,3,FALSE),0)-IF(AND($Q$16=I$18,$Q$14&lt;&gt;$Q$15,$Q$16=$Q$17,RIGHT($Q40,3)="2SP"),VLOOKUP(CONCATENATE(LEFT($Q40,2),"L"),$R$63:$T$90,3,FALSE),0)-IF(AND($T$16=I$18,$T$14&lt;&gt;$T$15,$T$16=$T$17,RIGHT($T40,3)="2SP"),VLOOKUP(CONCATENATE(LEFT($T40,2),"L"),$R$63:$T$90,3,FALSE),0)-IF(AND($U$16=I$18,$U$14&lt;&gt;$U$15,$U$16=$U$17,RIGHT($U40,3)="2SP"),VLOOKUP(CONCATENATE(LEFT($U40,2),"L"),$R$63:$T$90,3,FALSE),0)-IF(AND($V$16=I$18,$V$14&lt;&gt;$V$15,$V$16=$V$17,RIGHT($V40,3)="2SP"),VLOOKUP(CONCATENATE(LEFT($V40,2),"L"),$R$63:$T$90,3,FALSE),0)-IF(AND($W$16=I$18,$W$14&lt;&gt;$W$15,$W$16=$W$17,RIGHT($W40,3)="2SP"),VLOOKUP(CONCATENATE(LEFT($W40,2),"L"),$R$63:$T$90,3,FALSE),0)-IF(AND($X$16=I$18,$X$14&lt;&gt;$X$15,$X$16=$X$17,RIGHT($X40,3)="2SP"),VLOOKUP(CONCATENATE(LEFT($X40,2),"L"),$R$63:$T$90,3,FALSE),0)-IF(AND($Y$16=I$18,$Y$14&lt;&gt;$Y$15,$Y$16=$Y$17,RIGHT($Y40,3)="2SP"),VLOOKUP(CONCATENATE(LEFT($Y40,2),"L"),$R$63:$T$90,3,FALSE),0),0),"")</f>
        <v/>
      </c>
      <c r="I40" s="269" t="str">
        <f>IF(I$18&lt;&gt;"",IF(VLOOKUP(CONCATENATE($A$18,"Line"),'Supply Attribution'!$F$31:$G$37,2,FALSE)=I$18,$A40,0)+IF(VLOOKUP(CONCATENATE($B$18,"Line"),'Supply Attribution'!$F$31:$G$37,2,FALSE)=I$18,$B40,0)+IF(VLOOKUP(CONCATENATE($C$18,"Line"),'Supply Attribution'!$F$31:$G$37,2,FALSE)=I$18,$C40,0)+IF(VLOOKUP(CONCATENATE($D$18,"Line"),'Supply Attribution'!$F$31:$G$37,2,FALSE)=I$18,$D40,0)+IF(VLOOKUP(CONCATENATE($E$18,"Line"),'Supply Attribution'!$F$31:$G$37,2,FALSE)=I$18,$E40,0)+IF(VLOOKUP(CONCATENATE($F$18,"Line"),'Supply Attribution'!$F$31:$G$37,2,FALSE)=I$18,$F40,0)+IF($K$6="UL",LEFT($S$90,2),0)-IF(AND($K$16=I$18,$K$14&lt;&gt;$K$15,$K$16=$K$17,RIGHT($K40,3)="2SP"),VLOOKUP(CONCATENATE(LEFT($K40,2),"L"),$R$63:$T$90,3,FALSE),0)-IF(AND($L$16=I$18,$L$14&lt;&gt;$L$15,$L$16=$L$17,RIGHT($L40,3)="2SP"),VLOOKUP(CONCATENATE(LEFT($L40,2),"L"),$R$63:$T$90,3,FALSE),0)-IF(AND($M$16=I$18,$M$14&lt;&gt;$M$15,$M$16=$M$17,RIGHT($M40,3)="2SP"),VLOOKUP(CONCATENATE(LEFT($M40,2),"L"),$R$63:$T$90,3,FALSE),0)-IF(AND($N$16=I$18,$N$14&lt;&gt;$N$15,$N$16=$N$17,RIGHT($N40,3)="2SP"),VLOOKUP(CONCATENATE(LEFT($N40,2),"L"),$R$63:$T$90,3,FALSE),0)-IF(AND($O$16=I$18,$O$14&lt;&gt;$O$15,$O$16=$O$17,RIGHT($O40,3)="2SP"),VLOOKUP(CONCATENATE(LEFT($O40,2),"L"),$R$63:$T$90,3,FALSE),0)-IF(AND($P$16=I$18,$P$14&lt;&gt;$P$15,$P$16=$P$17,RIGHT($P40,3)="2SP"),VLOOKUP(CONCATENATE(LEFT($P40,2),"L"),$R$63:$T$90,3,FALSE),0)-IF(AND($Q$16=I$18,$Q$14&lt;&gt;$Q$15,$Q$16=$Q$17,RIGHT($Q40,3)="2SP"),VLOOKUP(CONCATENATE(LEFT($Q40,2),"L"),$R$63:$T$90,3,FALSE),0)-IF(AND($T$16=I$18,$T$14&lt;&gt;$T$15,$T$16=$T$17,RIGHT($T40,3)="2SP"),VLOOKUP(CONCATENATE(LEFT($T40,2),"L"),$R$63:$T$90,3,FALSE),0)-IF(AND($U$16=I$18,$U$14&lt;&gt;$U$15,$U$16=$U$17,RIGHT($U40,3)="2SP"),VLOOKUP(CONCATENATE(LEFT($U40,2),"L"),$R$63:$T$90,3,FALSE),0)-IF(AND($V$16=I$18,$V$14&lt;&gt;$V$15,$V$16=$V$17,RIGHT($V40,3)="2SP"),VLOOKUP(CONCATENATE(LEFT($V40,2),"L"),$R$63:$T$90,3,FALSE),0)-IF(AND($W$16=I$18,$W$14&lt;&gt;$W$15,$W$16=$W$17,RIGHT($W40,3)="2SP"),VLOOKUP(CONCATENATE(LEFT($W40,2),"L"),$R$63:$T$90,3,FALSE),0)-IF(AND($X$16=I$18,$X$14&lt;&gt;$X$15,$X$16=$X$17,RIGHT($X40,3)="2SP"),VLOOKUP(CONCATENATE(LEFT($X40,2),"L"),$R$63:$T$90,3,FALSE),0)-IF(AND($Y$16=I$18,$Y$14&lt;&gt;$Y$15,$Y$16=$Y$17,RIGHT($Y40,3)="2SP"),VLOOKUP(CONCATENATE(LEFT($Y40,2),"L"),$R$63:$T$90,3,FALSE),0),"")</f>
        <v/>
      </c>
      <c r="J40" s="134"/>
      <c r="K40" s="135"/>
      <c r="L40" s="135"/>
      <c r="M40" s="135"/>
      <c r="N40" s="135"/>
      <c r="O40" s="135"/>
      <c r="P40" s="135"/>
      <c r="Q40" s="135"/>
      <c r="R40" s="135"/>
      <c r="S40" s="135"/>
      <c r="T40" s="135"/>
      <c r="U40" s="135"/>
      <c r="V40" s="135"/>
      <c r="W40" s="135"/>
      <c r="X40" s="135"/>
      <c r="Y40" s="135"/>
      <c r="Z40" s="136"/>
      <c r="AA40" s="136"/>
      <c r="AB40" s="137"/>
      <c r="AC40" s="137"/>
      <c r="AD40" s="137"/>
      <c r="AE40" s="138">
        <f t="shared" si="0"/>
        <v>0</v>
      </c>
      <c r="AF40" s="78"/>
    </row>
    <row r="41" spans="1:32" ht="13.15" customHeight="1">
      <c r="A41" s="264">
        <f>IF(AND($K41&lt;&gt;"",$K41&lt;&gt;"--",$K41&lt;&gt;"O3/CP",$K$14=A$18),IF(LEFT($K41,1)="P",VLOOKUP(CONCATENATE(LEFT($K41,2),"H"),$R$63:$T$91,3,FALSE),VLOOKUP($K41,$R$63:$T$91,3,FALSE)))+IF(AND($K41&lt;&gt;"",$K41&lt;&gt;"O3/CP",$K$15=A$18,MID($K41,4,1)="2",$K$15&lt;&gt;$K$14),VLOOKUP(CONCATENATE(LEFT($K41,2),"L"),$R$63:$T$91,3,FALSE),0)+IF(AND($K41="O3/CP",$K$14=A$18),VLOOKUP("O3",$R$63:$T$91,3,FALSE)+VLOOKUP("CP",$R$63:$T$91,3,FALSE),0)+IF(AND($L41&lt;&gt;"",$L41&lt;&gt;"--",$L41&lt;&gt;"O3/CP",$L$14=A$18),IF(LEFT($L41,1)="P",VLOOKUP(CONCATENATE(LEFT($L41,2),"H"),$R$63:$T$91,3,FALSE),VLOOKUP($L41,$R$63:$T$91,3,FALSE)))+IF(AND($L41&lt;&gt;"",$L41&lt;&gt;"O3/CP",$L$15=A$18,MID($L41,4,1)="2",$L$15&lt;&gt;$L$14),VLOOKUP(CONCATENATE(LEFT($L41,2),"L"),$R$63:$T$91,3,FALSE),0)+IF(AND($L41="O3/CP",$L$14=A$18),VLOOKUP("O3",$R$63:$T$91,3,FALSE)+VLOOKUP("CP",$R$63:$T$91,3,FALSE),0)+IF(AND($M41&lt;&gt;"",$M41&lt;&gt;"--",$M41&lt;&gt;"O3/CP",$M$14=A$18),IF(LEFT($M41,1)="P",VLOOKUP(CONCATENATE(LEFT($M41,2),"H"),$R$63:$T$91,3,FALSE),VLOOKUP($M41,$R$63:$T$91,3,FALSE)))+IF(AND($M41&lt;&gt;"",$M41&lt;&gt;"O3/CP",$M$15=A$18,MID($M41,4,1)="2",$M$15&lt;&gt;$M$14),VLOOKUP(CONCATENATE(LEFT($M41,2),"L"),$R$63:$T$91,3,FALSE),0)+IF(AND($M41="O3/CP",$M$14=A$18),VLOOKUP("O3",$R$63:$T$91,3,FALSE)+VLOOKUP("CP",$R$63:$T$91,3,FALSE),0)+IF(AND($N41&lt;&gt;"",$N41&lt;&gt;"--",$N41&lt;&gt;"O3/CP",$N$14=A$18),IF(LEFT($N41,1)="P",VLOOKUP(CONCATENATE(LEFT($N41,2),"H"),$R$63:$T$91,3,FALSE),VLOOKUP($N41,$R$63:$T$91,3,FALSE)))+IF(AND($N41&lt;&gt;"",$N41&lt;&gt;"O3/CP",$N$15=A$18,MID($N41,4,1)="2",$N$15&lt;&gt;$N$14),VLOOKUP(CONCATENATE(LEFT($N41,2),"L"),$R$63:$T$91,3,FALSE),0)+IF(AND($N41="O3/CP",$N$14=A$18),VLOOKUP("O3",$R$63:$T$91,3,FALSE)+VLOOKUP("CP",$R$63:$T$91,3,FALSE),0)+IF(AND($O41&lt;&gt;"",$O41&lt;&gt;"--",$O41&lt;&gt;"O3/CP",$O$14=A$18),IF(LEFT($O41,1)="P",VLOOKUP(CONCATENATE(LEFT($O41,2),"H"),$R$63:$T$91,3,FALSE),VLOOKUP($O41,$R$63:$T$91,3,FALSE)))+IF(AND($O41&lt;&gt;"",$O41&lt;&gt;"O3/CP",$O$15=A$18,MID($O41,4,1)="2",$O$15&lt;&gt;$O$14),VLOOKUP(CONCATENATE(LEFT($O41,2),"L"),$R$63:$T$91,3,FALSE),0)+IF(AND($O41="O3/CP",$O$14=A$18),VLOOKUP("O3",$R$63:$T$91,3,FALSE)+VLOOKUP("CP",$R$63:$T$91,3,FALSE),0)+IF(AND($P41&lt;&gt;"",$P41&lt;&gt;"--",$P41&lt;&gt;"O3/CP",$P$14=A$18),IF(LEFT($P41,1)="P",VLOOKUP(CONCATENATE(LEFT($P41,2),"H"),$R$63:$T$91,3,FALSE),VLOOKUP($P41,$R$63:$T$91,3,FALSE)))+IF(AND($P41&lt;&gt;"",$P41&lt;&gt;"O3/CP",$P$15=A$18,MID($P41,4,1)="2",$P$15&lt;&gt;$P$14),VLOOKUP(CONCATENATE(LEFT($P41,2),"L"),$R$63:$T$91,3,FALSE),0)+IF(AND($P41="O3/CP",$P$14=A$18),VLOOKUP("O3",$R$63:$T$91,3,FALSE)+VLOOKUP("CP",$R$63:$T$91,3,FALSE),0)+IF(AND($Q41&lt;&gt;"",$Q41&lt;&gt;"--",$Q41&lt;&gt;"O3/CP",$Q$14=A$18),IF(LEFT($Q41,1)="P",VLOOKUP(CONCATENATE(LEFT($Q41,2),"H"),$R$63:$T$91,3,FALSE),VLOOKUP($Q41,$R$63:$T$91,3,FALSE)))+IF(AND($Q41&lt;&gt;"",$Q41&lt;&gt;"O3/CP",$Q$15=A$18,MID($Q41,4,1)="2",$Q$15&lt;&gt;$Q$14),VLOOKUP(CONCATENATE(LEFT($Q41,2),"L"),$R$63:$T$91,3,FALSE),0)+IF(AND($Q41="O3/CP",$Q$14=A$18),VLOOKUP("O3",$R$63:$T$91,3,FALSE)+VLOOKUP("CP",$R$63:$T$91,3,FALSE),0)+IF(AND($R41&lt;&gt;"",$R41&lt;&gt;"--",$R41&lt;&gt;"O3/CP",$R$14=A$18),IF(LEFT($R41,1)="P",VLOOKUP(CONCATENATE(LEFT($R41,2),"H"),$R$63:$T$91,3,FALSE),VLOOKUP($R41,$R$63:$T$91,3,FALSE)))+IF(AND($R41&lt;&gt;"",$R41&lt;&gt;"O3/CP",$R$15=A$18,MID($R41,4,1)="2",$R$15&lt;&gt;$R$14),VLOOKUP(CONCATENATE(LEFT($R41,2),"L"),$R$63:$T$91,3,FALSE),0)+IF(AND($R41="O3/CP",$R$14=A$18),VLOOKUP("O3",$R$63:$T$91,3,FALSE)+VLOOKUP("CP",$R$63:$T$91,3,FALSE),0)+IF(AND($S41&lt;&gt;"",$S41&lt;&gt;"--",$S41&lt;&gt;"O3/CP",$S$14=A$18),IF(LEFT($S41,1)="P",VLOOKUP(CONCATENATE(LEFT($S41,2),"H"),$R$63:$T$91,3,FALSE),VLOOKUP($S41,$R$63:$T$91,3,FALSE)))+IF(AND($S41&lt;&gt;"",$S41&lt;&gt;"O3/CP",$S$15=A$18,MID($S41,4,1)="2",$S$15&lt;&gt;$S$14),VLOOKUP(CONCATENATE(LEFT($S41,2),"L"),$R$63:$T$91,3,FALSE),0)+IF(AND($S41="O3/CP",$S$14=A$18),VLOOKUP("O3",$R$63:$T$91,3,FALSE)+VLOOKUP("CP",$R$63:$T$91,3,FALSE),0)+IF(AND($T41&lt;&gt;"",$T41&lt;&gt;"--",$T41&lt;&gt;"O3/CP",$T$14=A$18),IF(LEFT($T41,1)="P",VLOOKUP(CONCATENATE(LEFT($T41,2),"H"),$R$63:$T$91,3,FALSE),VLOOKUP($T41,$R$63:$T$91,3,FALSE)))+IF(AND($T41&lt;&gt;"",$T41&lt;&gt;"O3/CP",$T$15=A$18,MID($T41,4,1)="2",$T$15&lt;&gt;$T$14),VLOOKUP(CONCATENATE(LEFT($T41,2),"L"),$R$63:$T$91,3,FALSE),0)+IF(AND($T41="O3/CP",$T$14=A$18),VLOOKUP("O3",$R$63:$T$91,3,FALSE)+VLOOKUP("CP",$R$63:$T$91,3,FALSE),0)+IF(AND($U41&lt;&gt;"",$U41&lt;&gt;"--",$U41&lt;&gt;"O3/CP",$U$14=A$18),IF(LEFT($U41,1)="P",VLOOKUP(CONCATENATE(LEFT($U41,2),"H"),$R$63:$T$91,3,FALSE),VLOOKUP($U41,$R$63:$T$91,3,FALSE)))+IF(AND($U41&lt;&gt;"",$U41&lt;&gt;"O3/CP",$U$15=A$18,MID($U41,4,1)="2",$U$15&lt;&gt;$U$14),VLOOKUP(CONCATENATE(LEFT($U41,2),"L"),$R$63:$T$91,3,FALSE),0)+IF(AND($U41="O3/CP",$T$14=A$18),VLOOKUP("O3",$R$63:$T$91,3,FALSE)+VLOOKUP("CP",$R$63:$T$91,3,FALSE),0)+IF(AND($V41&lt;&gt;"",$V41&lt;&gt;"--",$V41&lt;&gt;"O3/CP",$V$14=A$18),IF(LEFT($V41,1)="P",VLOOKUP(CONCATENATE(LEFT($V41,2),"H"),$R$63:$T$91,3,FALSE),VLOOKUP($V41,$R$63:$T$91,3,FALSE)))+IF(AND($V41&lt;&gt;"",$V41&lt;&gt;"O3/CP",$V$15=A$18,MID($V41,4,1)="2",$V$15&lt;&gt;$V$14),VLOOKUP(CONCATENATE(LEFT($V41,2),"L"),$R$63:$T$91,3,FALSE),0)+IF(AND($V41="O3/CP",$V$14=A$18),VLOOKUP("O3",$R$63:$T$91,3,FALSE)+VLOOKUP("CP",$R$63:$T$91,3,FALSE),0)+IF(AND($W41&lt;&gt;"",$W41&lt;&gt;"--",$W41&lt;&gt;"O3/CP",$W$14=A$18),IF(LEFT($W41,1)="P",VLOOKUP(CONCATENATE(LEFT($W41,2),"H"),$R$63:$T$91,3,FALSE),VLOOKUP($W41,$R$63:$T$91,3,FALSE)))+IF(AND($W41&lt;&gt;"",$W41&lt;&gt;"O3/CP",$W$15=A$18,MID($W41,4,1)="2",$W$15&lt;&gt;$W$14),VLOOKUP(CONCATENATE(LEFT($W41,2),"L"),$R$63:$T$91,3,FALSE),0)+IF(AND($W41="O3/CP",$W$14=A$18),VLOOKUP("O3",$R$63:$T$91,3,FALSE)+VLOOKUP("CP",$R$63:$T$91,3,FALSE),0)+IF(AND($X41&lt;&gt;"",$X41&lt;&gt;"--",$X41&lt;&gt;"O3/CP",$X$14=A$18),IF(LEFT($X41,1)="P",VLOOKUP(CONCATENATE(LEFT($X41,2),"H"),$R$63:$T$91,3,FALSE),VLOOKUP($X41,$R$63:$T$91,3,FALSE)))+IF(AND($X41&lt;&gt;"",$X41&lt;&gt;"O3/CP",$X$15=A$18,MID($X41,4,1)="2",$X$15&lt;&gt;$X$14),VLOOKUP(CONCATENATE(LEFT($X41,2),"L"),$R$63:$T$91,3,FALSE),0)+IF(AND($X41="O3/CP",$X$14=A$18),VLOOKUP("O3",$R$63:$T$91,3,FALSE)+VLOOKUP("CP",$R$63:$T$91,3,FALSE),0)+IF(AND($Y41&lt;&gt;"",$Y41&lt;&gt;"--",$Y41&lt;&gt;"O3/CP",$Y$14=A$18),IF(LEFT($Y41,1)="P",VLOOKUP(CONCATENATE(LEFT($Y41,2),"H"),$R$63:$T$91,3,FALSE),VLOOKUP($Y41,$R$63:$T$91,3,FALSE)))+IF(AND($Y41&lt;&gt;"",$Y41&lt;&gt;"O3/CP",$Y$15=A$18,MID($Y41,4,1)="2",$Y$15&lt;&gt;$Y$14),VLOOKUP(CONCATENATE(LEFT($Y41,2),"L"),$R$63:$T$91,3,FALSE),0)+IF(AND($Y41="O3/CP",$Y$14=A$18),VLOOKUP("O3",$R$63:$T$91,3,FALSE)+VLOOKUP("CP",$R$63:$T$91,3,FALSE),0)+IF(AND($K$6="CE",'[3]Supply Attribution'!$G$20=A$18),LEFT($S$90,2),0)+IF(AND($X$86&lt;&gt;"Not Set",$X$87=A$18),$X$86,0)</f>
        <v>0</v>
      </c>
      <c r="B41" s="271">
        <f>IF(AND($K41&lt;&gt;"",$K41&lt;&gt;"--",$K41&lt;&gt;"O3/CP",$K$14=B$18),IF(LEFT($K41,1)="P",VLOOKUP(CONCATENATE(LEFT($K41,2),"H"),$R$63:$T$91,3,FALSE),VLOOKUP($K41,$R$63:$T$91,3,FALSE)))+IF(AND($K41&lt;&gt;"",$K41&lt;&gt;"O3/CP",$K$15=B$18,MID($K41,4,1)="2",$K$15&lt;&gt;$K$14),VLOOKUP(CONCATENATE(LEFT($K41,2),"L"),$R$63:$T$91,3,FALSE),0)+IF(AND($K41="O3/CP",$K$14=B$18),VLOOKUP("O3",$R$63:$T$91,3,FALSE)+VLOOKUP("CP",$R$63:$T$91,3,FALSE),0)+IF(AND($L41&lt;&gt;"",$L41&lt;&gt;"--",$L41&lt;&gt;"O3/CP",$L$14=B$18),IF(LEFT($L41,1)="P",VLOOKUP(CONCATENATE(LEFT($L41,2),"H"),$R$63:$T$91,3,FALSE),VLOOKUP($L41,$R$63:$T$91,3,FALSE)))+IF(AND($L41&lt;&gt;"",$L41&lt;&gt;"O3/CP",$L$15=B$18,MID($L41,4,1)="2",$L$15&lt;&gt;$L$14),VLOOKUP(CONCATENATE(LEFT($L41,2),"L"),$R$63:$T$91,3,FALSE),0)+IF(AND($L41="O3/CP",$L$14=B$18),VLOOKUP("O3",$R$63:$T$91,3,FALSE)+VLOOKUP("CP",$R$63:$T$91,3,FALSE),0)+IF(AND($M41&lt;&gt;"",$M41&lt;&gt;"--",$M41&lt;&gt;"O3/CP",$M$14=B$18),IF(LEFT($M41,1)="P",VLOOKUP(CONCATENATE(LEFT($M41,2),"H"),$R$63:$T$91,3,FALSE),VLOOKUP($M41,$R$63:$T$91,3,FALSE)))+IF(AND($M41&lt;&gt;"",$M41&lt;&gt;"O3/CP",$M$15=B$18,MID($M41,4,1)="2",$M$15&lt;&gt;$M$14),VLOOKUP(CONCATENATE(LEFT($M41,2),"L"),$R$63:$T$91,3,FALSE),0)+IF(AND($M41="O3/CP",$M$14=B$18),VLOOKUP("O3",$R$63:$T$91,3,FALSE)+VLOOKUP("CP",$R$63:$T$91,3,FALSE),0)+IF(AND($N41&lt;&gt;"",$N41&lt;&gt;"--",$N41&lt;&gt;"O3/CP",$N$14=B$18),IF(LEFT($N41,1)="P",VLOOKUP(CONCATENATE(LEFT($N41,2),"H"),$R$63:$T$91,3,FALSE),VLOOKUP($N41,$R$63:$T$91,3,FALSE)))+IF(AND($N41&lt;&gt;"",$N41&lt;&gt;"O3/CP",$N$15=B$18,MID($N41,4,1)="2",$N$15&lt;&gt;$N$14),VLOOKUP(CONCATENATE(LEFT($N41,2),"L"),$R$63:$T$91,3,FALSE),0)+IF(AND($N41="O3/CP",$N$14=B$18),VLOOKUP("O3",$R$63:$T$91,3,FALSE)+VLOOKUP("CP",$R$63:$T$91,3,FALSE),0)+IF(AND($O41&lt;&gt;"",$O41&lt;&gt;"--",$O41&lt;&gt;"O3/CP",$O$14=B$18),IF(LEFT($O41,1)="P",VLOOKUP(CONCATENATE(LEFT($O41,2),"H"),$R$63:$T$91,3,FALSE),VLOOKUP($O41,$R$63:$T$91,3,FALSE)))+IF(AND($O41&lt;&gt;"",$O41&lt;&gt;"O3/CP",$O$15=B$18,MID($O41,4,1)="2",$O$15&lt;&gt;$O$14),VLOOKUP(CONCATENATE(LEFT($O41,2),"L"),$R$63:$T$91,3,FALSE),0)+IF(AND($O41="O3/CP",$O$14=B$18),VLOOKUP("O3",$R$63:$T$91,3,FALSE)+VLOOKUP("CP",$R$63:$T$91,3,FALSE),0)+IF(AND($P41&lt;&gt;"",$P41&lt;&gt;"--",$P41&lt;&gt;"O3/CP",$P$14=B$18),IF(LEFT($P41,1)="P",VLOOKUP(CONCATENATE(LEFT($P41,2),"H"),$R$63:$T$91,3,FALSE),VLOOKUP($P41,$R$63:$T$91,3,FALSE)))+IF(AND($P41&lt;&gt;"",$P41&lt;&gt;"O3/CP",$P$15=B$18,MID($P41,4,1)="2",$P$15&lt;&gt;$P$14),VLOOKUP(CONCATENATE(LEFT($P41,2),"L"),$R$63:$T$91,3,FALSE),0)+IF(AND($P41="O3/CP",$P$14=B$18),VLOOKUP("O3",$R$63:$T$91,3,FALSE)+VLOOKUP("CP",$R$63:$T$91,3,FALSE),0)+IF(AND($Q41&lt;&gt;"",$Q41&lt;&gt;"--",$Q41&lt;&gt;"O3/CP",$Q$14=B$18),IF(LEFT($Q41,1)="P",VLOOKUP(CONCATENATE(LEFT($Q41,2),"H"),$R$63:$T$91,3,FALSE),VLOOKUP($Q41,$R$63:$T$91,3,FALSE)))+IF(AND($Q41&lt;&gt;"",$Q41&lt;&gt;"O3/CP",$Q$15=B$18,MID($Q41,4,1)="2",$Q$15&lt;&gt;$Q$14),VLOOKUP(CONCATENATE(LEFT($Q41,2),"L"),$R$63:$T$91,3,FALSE),0)+IF(AND($Q41="O3/CP",$Q$14=B$18),VLOOKUP("O3",$R$63:$T$91,3,FALSE)+VLOOKUP("CP",$R$63:$T$91,3,FALSE),0)+IF(AND($R41&lt;&gt;"",$R41&lt;&gt;"--",$R41&lt;&gt;"O3/CP",$R$14=B$18),IF(LEFT($R41,1)="P",VLOOKUP(CONCATENATE(LEFT($R41,2),"H"),$R$63:$T$91,3,FALSE),VLOOKUP($R41,$R$63:$T$91,3,FALSE)))+IF(AND($R41&lt;&gt;"",$R41&lt;&gt;"O3/CP",$R$15=B$18,MID($R41,4,1)="2",$R$15&lt;&gt;$R$14),VLOOKUP(CONCATENATE(LEFT($R41,2),"L"),$R$63:$T$91,3,FALSE),0)+IF(AND($R41="O3/CP",$R$14=B$18),VLOOKUP("O3",$R$63:$T$91,3,FALSE)+VLOOKUP("CP",$R$63:$T$91,3,FALSE),0)+IF(AND($S41&lt;&gt;"",$S41&lt;&gt;"--",$S41&lt;&gt;"O3/CP",$S$14=B$18),IF(LEFT($S41,1)="P",VLOOKUP(CONCATENATE(LEFT($S41,2),"H"),$R$63:$T$91,3,FALSE),VLOOKUP($S41,$R$63:$T$91,3,FALSE)))+IF(AND($S41&lt;&gt;"",$S41&lt;&gt;"O3/CP",$S$15=B$18,MID($S41,4,1)="2",$S$15&lt;&gt;$S$14),VLOOKUP(CONCATENATE(LEFT($S41,2),"L"),$R$63:$T$91,3,FALSE),0)+IF(AND($S41="O3/CP",$S$14=B$18),VLOOKUP("O3",$R$63:$T$91,3,FALSE)+VLOOKUP("CP",$R$63:$T$91,3,FALSE),0)+IF(AND($T41&lt;&gt;"",$T41&lt;&gt;"--",$T41&lt;&gt;"O3/CP",$T$14=B$18),IF(LEFT($T41,1)="P",VLOOKUP(CONCATENATE(LEFT($T41,2),"H"),$R$63:$T$91,3,FALSE),VLOOKUP($T41,$R$63:$T$91,3,FALSE)))+IF(AND($T41&lt;&gt;"",$T41&lt;&gt;"O3/CP",$T$15=B$18,MID($T41,4,1)="2",$T$15&lt;&gt;$T$14),VLOOKUP(CONCATENATE(LEFT($T41,2),"L"),$R$63:$T$91,3,FALSE),0)+IF(AND($T41="O3/CP",$T$14=B$18),VLOOKUP("O3",$R$63:$T$91,3,FALSE)+VLOOKUP("CP",$R$63:$T$91,3,FALSE),0)+IF(AND($U41&lt;&gt;"",$U41&lt;&gt;"--",$U41&lt;&gt;"O3/CP",$U$14=B$18),IF(LEFT($U41,1)="P",VLOOKUP(CONCATENATE(LEFT($U41,2),"H"),$R$63:$T$91,3,FALSE),VLOOKUP($U41,$R$63:$T$91,3,FALSE)))+IF(AND($U41&lt;&gt;"",$U41&lt;&gt;"O3/CP",$U$15=B$18,MID($U41,4,1)="2",$U$15&lt;&gt;$U$14),VLOOKUP(CONCATENATE(LEFT($U41,2),"L"),$R$63:$T$91,3,FALSE),0)+IF(AND($U41="O3/CP",$T$14=B$18),VLOOKUP("O3",$R$63:$T$91,3,FALSE)+VLOOKUP("CP",$R$63:$T$91,3,FALSE),0)+IF(AND($V41&lt;&gt;"",$V41&lt;&gt;"--",$V41&lt;&gt;"O3/CP",$V$14=B$18),IF(LEFT($V41,1)="P",VLOOKUP(CONCATENATE(LEFT($V41,2),"H"),$R$63:$T$91,3,FALSE),VLOOKUP($V41,$R$63:$T$91,3,FALSE)))+IF(AND($V41&lt;&gt;"",$V41&lt;&gt;"O3/CP",$V$15=B$18,MID($V41,4,1)="2",$V$15&lt;&gt;$V$14),VLOOKUP(CONCATENATE(LEFT($V41,2),"L"),$R$63:$T$91,3,FALSE),0)+IF(AND($V41="O3/CP",$V$14=B$18),VLOOKUP("O3",$R$63:$T$91,3,FALSE)+VLOOKUP("CP",$R$63:$T$91,3,FALSE),0)+IF(AND($W41&lt;&gt;"",$W41&lt;&gt;"--",$W41&lt;&gt;"O3/CP",$W$14=B$18),IF(LEFT($W41,1)="P",VLOOKUP(CONCATENATE(LEFT($W41,2),"H"),$R$63:$T$91,3,FALSE),VLOOKUP($W41,$R$63:$T$91,3,FALSE)))+IF(AND($W41&lt;&gt;"",$W41&lt;&gt;"O3/CP",$W$15=B$18,MID($W41,4,1)="2",$W$15&lt;&gt;$W$14),VLOOKUP(CONCATENATE(LEFT($W41,2),"L"),$R$63:$T$91,3,FALSE),0)+IF(AND($W41="O3/CP",$W$14=B$18),VLOOKUP("O3",$R$63:$T$91,3,FALSE)+VLOOKUP("CP",$R$63:$T$91,3,FALSE),0)+IF(AND($X41&lt;&gt;"",$X41&lt;&gt;"--",$X41&lt;&gt;"O3/CP",$X$14=B$18),IF(LEFT($X41,1)="P",VLOOKUP(CONCATENATE(LEFT($X41,2),"H"),$R$63:$T$91,3,FALSE),VLOOKUP($X41,$R$63:$T$91,3,FALSE)))+IF(AND($X41&lt;&gt;"",$X41&lt;&gt;"O3/CP",$X$15=B$18,MID($X41,4,1)="2",$X$15&lt;&gt;$X$14),VLOOKUP(CONCATENATE(LEFT($X41,2),"L"),$R$63:$T$91,3,FALSE),0)+IF(AND($X41="O3/CP",$X$14=B$18),VLOOKUP("O3",$R$63:$T$91,3,FALSE)+VLOOKUP("CP",$R$63:$T$91,3,FALSE),0)+IF(AND($Y41&lt;&gt;"",$Y41&lt;&gt;"--",$Y41&lt;&gt;"O3/CP",$Y$14=B$18),IF(LEFT($Y41,1)="P",VLOOKUP(CONCATENATE(LEFT($Y41,2),"H"),$R$63:$T$91,3,FALSE),VLOOKUP($Y41,$R$63:$T$91,3,FALSE)))+IF(AND($Y41&lt;&gt;"",$Y41&lt;&gt;"O3/CP",$Y$15=B$18,MID($Y41,4,1)="2",$Y$15&lt;&gt;$Y$14),VLOOKUP(CONCATENATE(LEFT($Y41,2),"L"),$R$63:$T$91,3,FALSE),0)+IF(AND($Y41="O3/CP",$Y$14=B$18),VLOOKUP("O3",$R$63:$T$91,3,FALSE)+VLOOKUP("CP",$R$63:$T$91,3,FALSE),0)+IF(AND($K$6="CE",'[3]Supply Attribution'!$G$20=B$18),LEFT($S$90,2),0)+IF(AND($X$86&lt;&gt;"Not Set",$X$87=B$18),$X$86,0)</f>
        <v>0</v>
      </c>
      <c r="C41" s="271">
        <f>IF(AND($K41&lt;&gt;"",$K41&lt;&gt;"--",$K41&lt;&gt;"O3/CP",$K$14=C$18),IF(LEFT($K41,1)="P",VLOOKUP(CONCATENATE(LEFT($K41,2),"H"),$R$63:$T$91,3,FALSE),VLOOKUP($K41,$R$63:$T$91,3,FALSE)))+IF(AND($K41&lt;&gt;"",$K41&lt;&gt;"O3/CP",$K$15=C$18,MID($K41,4,1)="2",$K$15&lt;&gt;$K$14),VLOOKUP(CONCATENATE(LEFT($K41,2),"L"),$R$63:$T$91,3,FALSE),0)+IF(AND($K41="O3/CP",$K$14=C$18),VLOOKUP("O3",$R$63:$T$91,3,FALSE)+VLOOKUP("CP",$R$63:$T$91,3,FALSE),0)+IF(AND($L41&lt;&gt;"",$L41&lt;&gt;"--",$L41&lt;&gt;"O3/CP",$L$14=C$18),IF(LEFT($L41,1)="P",VLOOKUP(CONCATENATE(LEFT($L41,2),"H"),$R$63:$T$91,3,FALSE),VLOOKUP($L41,$R$63:$T$91,3,FALSE)))+IF(AND($L41&lt;&gt;"",$L41&lt;&gt;"O3/CP",$L$15=C$18,MID($L41,4,1)="2",$L$15&lt;&gt;$L$14),VLOOKUP(CONCATENATE(LEFT($L41,2),"L"),$R$63:$T$91,3,FALSE),0)+IF(AND($L41="O3/CP",$L$14=C$18),VLOOKUP("O3",$R$63:$T$91,3,FALSE)+VLOOKUP("CP",$R$63:$T$91,3,FALSE),0)+IF(AND($M41&lt;&gt;"",$M41&lt;&gt;"--",$M41&lt;&gt;"O3/CP",$M$14=C$18),IF(LEFT($M41,1)="P",VLOOKUP(CONCATENATE(LEFT($M41,2),"H"),$R$63:$T$91,3,FALSE),VLOOKUP($M41,$R$63:$T$91,3,FALSE)))+IF(AND($M41&lt;&gt;"",$M41&lt;&gt;"O3/CP",$M$15=C$18,MID($M41,4,1)="2",$M$15&lt;&gt;$M$14),VLOOKUP(CONCATENATE(LEFT($M41,2),"L"),$R$63:$T$91,3,FALSE),0)+IF(AND($M41="O3/CP",$M$14=C$18),VLOOKUP("O3",$R$63:$T$91,3,FALSE)+VLOOKUP("CP",$R$63:$T$91,3,FALSE),0)+IF(AND($N41&lt;&gt;"",$N41&lt;&gt;"--",$N41&lt;&gt;"O3/CP",$N$14=C$18),IF(LEFT($N41,1)="P",VLOOKUP(CONCATENATE(LEFT($N41,2),"H"),$R$63:$T$91,3,FALSE),VLOOKUP($N41,$R$63:$T$91,3,FALSE)))+IF(AND($N41&lt;&gt;"",$N41&lt;&gt;"O3/CP",$N$15=C$18,MID($N41,4,1)="2",$N$15&lt;&gt;$N$14),VLOOKUP(CONCATENATE(LEFT($N41,2),"L"),$R$63:$T$91,3,FALSE),0)+IF(AND($N41="O3/CP",$N$14=C$18),VLOOKUP("O3",$R$63:$T$91,3,FALSE)+VLOOKUP("CP",$R$63:$T$91,3,FALSE),0)+IF(AND($O41&lt;&gt;"",$O41&lt;&gt;"--",$O41&lt;&gt;"O3/CP",$O$14=C$18),IF(LEFT($O41,1)="P",VLOOKUP(CONCATENATE(LEFT($O41,2),"H"),$R$63:$T$91,3,FALSE),VLOOKUP($O41,$R$63:$T$91,3,FALSE)))+IF(AND($O41&lt;&gt;"",$O41&lt;&gt;"O3/CP",$O$15=C$18,MID($O41,4,1)="2",$O$15&lt;&gt;$O$14),VLOOKUP(CONCATENATE(LEFT($O41,2),"L"),$R$63:$T$91,3,FALSE),0)+IF(AND($O41="O3/CP",$O$14=C$18),VLOOKUP("O3",$R$63:$T$91,3,FALSE)+VLOOKUP("CP",$R$63:$T$91,3,FALSE),0)+IF(AND($P41&lt;&gt;"",$P41&lt;&gt;"--",$P41&lt;&gt;"O3/CP",$P$14=C$18),IF(LEFT($P41,1)="P",VLOOKUP(CONCATENATE(LEFT($P41,2),"H"),$R$63:$T$91,3,FALSE),VLOOKUP($P41,$R$63:$T$91,3,FALSE)))+IF(AND($P41&lt;&gt;"",$P41&lt;&gt;"O3/CP",$P$15=C$18,MID($P41,4,1)="2",$P$15&lt;&gt;$P$14),VLOOKUP(CONCATENATE(LEFT($P41,2),"L"),$R$63:$T$91,3,FALSE),0)+IF(AND($P41="O3/CP",$P$14=C$18),VLOOKUP("O3",$R$63:$T$91,3,FALSE)+VLOOKUP("CP",$R$63:$T$91,3,FALSE),0)+IF(AND($Q41&lt;&gt;"",$Q41&lt;&gt;"--",$Q41&lt;&gt;"O3/CP",$Q$14=C$18),IF(LEFT($Q41,1)="P",VLOOKUP(CONCATENATE(LEFT($Q41,2),"H"),$R$63:$T$91,3,FALSE),VLOOKUP($Q41,$R$63:$T$91,3,FALSE)))+IF(AND($Q41&lt;&gt;"",$Q41&lt;&gt;"O3/CP",$Q$15=C$18,MID($Q41,4,1)="2",$Q$15&lt;&gt;$Q$14),VLOOKUP(CONCATENATE(LEFT($Q41,2),"L"),$R$63:$T$91,3,FALSE),0)+IF(AND($Q41="O3/CP",$Q$14=C$18),VLOOKUP("O3",$R$63:$T$91,3,FALSE)+VLOOKUP("CP",$R$63:$T$91,3,FALSE),0)+IF(AND($R41&lt;&gt;"",$R41&lt;&gt;"--",$R41&lt;&gt;"O3/CP",$R$14=C$18),IF(LEFT($R41,1)="P",VLOOKUP(CONCATENATE(LEFT($R41,2),"H"),$R$63:$T$91,3,FALSE),VLOOKUP($R41,$R$63:$T$91,3,FALSE)))+IF(AND($R41&lt;&gt;"",$R41&lt;&gt;"O3/CP",$R$15=C$18,MID($R41,4,1)="2",$R$15&lt;&gt;$R$14),VLOOKUP(CONCATENATE(LEFT($R41,2),"L"),$R$63:$T$91,3,FALSE),0)+IF(AND($R41="O3/CP",$R$14=C$18),VLOOKUP("O3",$R$63:$T$91,3,FALSE)+VLOOKUP("CP",$R$63:$T$91,3,FALSE),0)+IF(AND($S41&lt;&gt;"",$S41&lt;&gt;"--",$S41&lt;&gt;"O3/CP",$S$14=C$18),IF(LEFT($S41,1)="P",VLOOKUP(CONCATENATE(LEFT($S41,2),"H"),$R$63:$T$91,3,FALSE),VLOOKUP($S41,$R$63:$T$91,3,FALSE)))+IF(AND($S41&lt;&gt;"",$S41&lt;&gt;"O3/CP",$S$15=C$18,MID($S41,4,1)="2",$S$15&lt;&gt;$S$14),VLOOKUP(CONCATENATE(LEFT($S41,2),"L"),$R$63:$T$91,3,FALSE),0)+IF(AND($S41="O3/CP",$S$14=C$18),VLOOKUP("O3",$R$63:$T$91,3,FALSE)+VLOOKUP("CP",$R$63:$T$91,3,FALSE),0)+IF(AND($T41&lt;&gt;"",$T41&lt;&gt;"--",$T41&lt;&gt;"O3/CP",$T$14=C$18),IF(LEFT($T41,1)="P",VLOOKUP(CONCATENATE(LEFT($T41,2),"H"),$R$63:$T$91,3,FALSE),VLOOKUP($T41,$R$63:$T$91,3,FALSE)))+IF(AND($T41&lt;&gt;"",$T41&lt;&gt;"O3/CP",$T$15=C$18,MID($T41,4,1)="2",$T$15&lt;&gt;$T$14),VLOOKUP(CONCATENATE(LEFT($T41,2),"L"),$R$63:$T$91,3,FALSE),0)+IF(AND($T41="O3/CP",$T$14=C$18),VLOOKUP("O3",$R$63:$T$91,3,FALSE)+VLOOKUP("CP",$R$63:$T$91,3,FALSE),0)+IF(AND($U41&lt;&gt;"",$U41&lt;&gt;"--",$U41&lt;&gt;"O3/CP",$U$14=C$18),IF(LEFT($U41,1)="P",VLOOKUP(CONCATENATE(LEFT($U41,2),"H"),$R$63:$T$91,3,FALSE),VLOOKUP($U41,$R$63:$T$91,3,FALSE)))+IF(AND($U41&lt;&gt;"",$U41&lt;&gt;"O3/CP",$U$15=C$18,MID($U41,4,1)="2",$U$15&lt;&gt;$U$14),VLOOKUP(CONCATENATE(LEFT($U41,2),"L"),$R$63:$T$91,3,FALSE),0)+IF(AND($U41="O3/CP",$T$14=C$18),VLOOKUP("O3",$R$63:$T$91,3,FALSE)+VLOOKUP("CP",$R$63:$T$91,3,FALSE),0)+IF(AND($V41&lt;&gt;"",$V41&lt;&gt;"--",$V41&lt;&gt;"O3/CP",$V$14=C$18),IF(LEFT($V41,1)="P",VLOOKUP(CONCATENATE(LEFT($V41,2),"H"),$R$63:$T$91,3,FALSE),VLOOKUP($V41,$R$63:$T$91,3,FALSE)))+IF(AND($V41&lt;&gt;"",$V41&lt;&gt;"O3/CP",$V$15=C$18,MID($V41,4,1)="2",$V$15&lt;&gt;$V$14),VLOOKUP(CONCATENATE(LEFT($V41,2),"L"),$R$63:$T$91,3,FALSE),0)+IF(AND($V41="O3/CP",$V$14=C$18),VLOOKUP("O3",$R$63:$T$91,3,FALSE)+VLOOKUP("CP",$R$63:$T$91,3,FALSE),0)+IF(AND($W41&lt;&gt;"",$W41&lt;&gt;"--",$W41&lt;&gt;"O3/CP",$W$14=C$18),IF(LEFT($W41,1)="P",VLOOKUP(CONCATENATE(LEFT($W41,2),"H"),$R$63:$T$91,3,FALSE),VLOOKUP($W41,$R$63:$T$91,3,FALSE)))+IF(AND($W41&lt;&gt;"",$W41&lt;&gt;"O3/CP",$W$15=C$18,MID($W41,4,1)="2",$W$15&lt;&gt;$W$14),VLOOKUP(CONCATENATE(LEFT($W41,2),"L"),$R$63:$T$91,3,FALSE),0)+IF(AND($W41="O3/CP",$W$14=C$18),VLOOKUP("O3",$R$63:$T$91,3,FALSE)+VLOOKUP("CP",$R$63:$T$91,3,FALSE),0)+IF(AND($X41&lt;&gt;"",$X41&lt;&gt;"--",$X41&lt;&gt;"O3/CP",$X$14=C$18),IF(LEFT($X41,1)="P",VLOOKUP(CONCATENATE(LEFT($X41,2),"H"),$R$63:$T$91,3,FALSE),VLOOKUP($X41,$R$63:$T$91,3,FALSE)))+IF(AND($X41&lt;&gt;"",$X41&lt;&gt;"O3/CP",$X$15=C$18,MID($X41,4,1)="2",$X$15&lt;&gt;$X$14),VLOOKUP(CONCATENATE(LEFT($X41,2),"L"),$R$63:$T$91,3,FALSE),0)+IF(AND($X41="O3/CP",$X$14=C$18),VLOOKUP("O3",$R$63:$T$91,3,FALSE)+VLOOKUP("CP",$R$63:$T$91,3,FALSE),0)+IF(AND($Y41&lt;&gt;"",$Y41&lt;&gt;"--",$Y41&lt;&gt;"O3/CP",$Y$14=C$18),IF(LEFT($Y41,1)="P",VLOOKUP(CONCATENATE(LEFT($Y41,2),"H"),$R$63:$T$91,3,FALSE),VLOOKUP($Y41,$R$63:$T$91,3,FALSE)))+IF(AND($Y41&lt;&gt;"",$Y41&lt;&gt;"O3/CP",$Y$15=C$18,MID($Y41,4,1)="2",$Y$15&lt;&gt;$Y$14),VLOOKUP(CONCATENATE(LEFT($Y41,2),"L"),$R$63:$T$91,3,FALSE),0)+IF(AND($Y41="O3/CP",$Y$14=C$18),VLOOKUP("O3",$R$63:$T$91,3,FALSE)+VLOOKUP("CP",$R$63:$T$91,3,FALSE),0)+IF(AND($K$6="CE",'[3]Supply Attribution'!$G$20=C$18),LEFT($S$90,2),0)+IF(AND($X$86&lt;&gt;"Not Set",$X$87=C$18),$X$86,0)</f>
        <v>0</v>
      </c>
      <c r="D41" s="271">
        <f>IF(AND($K41&lt;&gt;"",$K41&lt;&gt;"--",$K41&lt;&gt;"O3/CP",$K$14=D$18),IF(LEFT($K41,1)="P",VLOOKUP(CONCATENATE(LEFT($K41,2),"H"),$R$63:$T$91,3,FALSE),VLOOKUP($K41,$R$63:$T$91,3,FALSE)))+IF(AND($K41&lt;&gt;"",$K41&lt;&gt;"O3/CP",$K$15=D$18,MID($K41,4,1)="2",$K$15&lt;&gt;$K$14),VLOOKUP(CONCATENATE(LEFT($K41,2),"L"),$R$63:$T$91,3,FALSE),0)+IF(AND($K41="O3/CP",$K$14=D$18),VLOOKUP("O3",$R$63:$T$91,3,FALSE)+VLOOKUP("CP",$R$63:$T$91,3,FALSE),0)+IF(AND($L41&lt;&gt;"",$L41&lt;&gt;"--",$L41&lt;&gt;"O3/CP",$L$14=D$18),IF(LEFT($L41,1)="P",VLOOKUP(CONCATENATE(LEFT($L41,2),"H"),$R$63:$T$91,3,FALSE),VLOOKUP($L41,$R$63:$T$91,3,FALSE)))+IF(AND($L41&lt;&gt;"",$L41&lt;&gt;"O3/CP",$L$15=D$18,MID($L41,4,1)="2",$L$15&lt;&gt;$L$14),VLOOKUP(CONCATENATE(LEFT($L41,2),"L"),$R$63:$T$91,3,FALSE),0)+IF(AND($L41="O3/CP",$L$14=D$18),VLOOKUP("O3",$R$63:$T$91,3,FALSE)+VLOOKUP("CP",$R$63:$T$91,3,FALSE),0)+IF(AND($M41&lt;&gt;"",$M41&lt;&gt;"--",$M41&lt;&gt;"O3/CP",$M$14=D$18),IF(LEFT($M41,1)="P",VLOOKUP(CONCATENATE(LEFT($M41,2),"H"),$R$63:$T$91,3,FALSE),VLOOKUP($M41,$R$63:$T$91,3,FALSE)))+IF(AND($M41&lt;&gt;"",$M41&lt;&gt;"O3/CP",$M$15=D$18,MID($M41,4,1)="2",$M$15&lt;&gt;$M$14),VLOOKUP(CONCATENATE(LEFT($M41,2),"L"),$R$63:$T$91,3,FALSE),0)+IF(AND($M41="O3/CP",$M$14=D$18),VLOOKUP("O3",$R$63:$T$91,3,FALSE)+VLOOKUP("CP",$R$63:$T$91,3,FALSE),0)+IF(AND($N41&lt;&gt;"",$N41&lt;&gt;"--",$N41&lt;&gt;"O3/CP",$N$14=D$18),IF(LEFT($N41,1)="P",VLOOKUP(CONCATENATE(LEFT($N41,2),"H"),$R$63:$T$91,3,FALSE),VLOOKUP($N41,$R$63:$T$91,3,FALSE)))+IF(AND($N41&lt;&gt;"",$N41&lt;&gt;"O3/CP",$N$15=D$18,MID($N41,4,1)="2",$N$15&lt;&gt;$N$14),VLOOKUP(CONCATENATE(LEFT($N41,2),"L"),$R$63:$T$91,3,FALSE),0)+IF(AND($N41="O3/CP",$N$14=D$18),VLOOKUP("O3",$R$63:$T$91,3,FALSE)+VLOOKUP("CP",$R$63:$T$91,3,FALSE),0)+IF(AND($O41&lt;&gt;"",$O41&lt;&gt;"--",$O41&lt;&gt;"O3/CP",$O$14=D$18),IF(LEFT($O41,1)="P",VLOOKUP(CONCATENATE(LEFT($O41,2),"H"),$R$63:$T$91,3,FALSE),VLOOKUP($O41,$R$63:$T$91,3,FALSE)))+IF(AND($O41&lt;&gt;"",$O41&lt;&gt;"O3/CP",$O$15=D$18,MID($O41,4,1)="2",$O$15&lt;&gt;$O$14),VLOOKUP(CONCATENATE(LEFT($O41,2),"L"),$R$63:$T$91,3,FALSE),0)+IF(AND($O41="O3/CP",$O$14=D$18),VLOOKUP("O3",$R$63:$T$91,3,FALSE)+VLOOKUP("CP",$R$63:$T$91,3,FALSE),0)+IF(AND($P41&lt;&gt;"",$P41&lt;&gt;"--",$P41&lt;&gt;"O3/CP",$P$14=D$18),IF(LEFT($P41,1)="P",VLOOKUP(CONCATENATE(LEFT($P41,2),"H"),$R$63:$T$91,3,FALSE),VLOOKUP($P41,$R$63:$T$91,3,FALSE)))+IF(AND($P41&lt;&gt;"",$P41&lt;&gt;"O3/CP",$P$15=D$18,MID($P41,4,1)="2",$P$15&lt;&gt;$P$14),VLOOKUP(CONCATENATE(LEFT($P41,2),"L"),$R$63:$T$91,3,FALSE),0)+IF(AND($P41="O3/CP",$P$14=D$18),VLOOKUP("O3",$R$63:$T$91,3,FALSE)+VLOOKUP("CP",$R$63:$T$91,3,FALSE),0)+IF(AND($Q41&lt;&gt;"",$Q41&lt;&gt;"--",$Q41&lt;&gt;"O3/CP",$Q$14=D$18),IF(LEFT($Q41,1)="P",VLOOKUP(CONCATENATE(LEFT($Q41,2),"H"),$R$63:$T$91,3,FALSE),VLOOKUP($Q41,$R$63:$T$91,3,FALSE)))+IF(AND($Q41&lt;&gt;"",$Q41&lt;&gt;"O3/CP",$Q$15=D$18,MID($Q41,4,1)="2",$Q$15&lt;&gt;$Q$14),VLOOKUP(CONCATENATE(LEFT($Q41,2),"L"),$R$63:$T$91,3,FALSE),0)+IF(AND($Q41="O3/CP",$Q$14=D$18),VLOOKUP("O3",$R$63:$T$91,3,FALSE)+VLOOKUP("CP",$R$63:$T$91,3,FALSE),0)+IF(AND($R41&lt;&gt;"",$R41&lt;&gt;"--",$R41&lt;&gt;"O3/CP",$R$14=D$18),IF(LEFT($R41,1)="P",VLOOKUP(CONCATENATE(LEFT($R41,2),"H"),$R$63:$T$91,3,FALSE),VLOOKUP($R41,$R$63:$T$91,3,FALSE)))+IF(AND($R41&lt;&gt;"",$R41&lt;&gt;"O3/CP",$R$15=D$18,MID($R41,4,1)="2",$R$15&lt;&gt;$R$14),VLOOKUP(CONCATENATE(LEFT($R41,2),"L"),$R$63:$T$91,3,FALSE),0)+IF(AND($R41="O3/CP",$R$14=D$18),VLOOKUP("O3",$R$63:$T$91,3,FALSE)+VLOOKUP("CP",$R$63:$T$91,3,FALSE),0)+IF(AND($S41&lt;&gt;"",$S41&lt;&gt;"--",$S41&lt;&gt;"O3/CP",$S$14=D$18),IF(LEFT($S41,1)="P",VLOOKUP(CONCATENATE(LEFT($S41,2),"H"),$R$63:$T$91,3,FALSE),VLOOKUP($S41,$R$63:$T$91,3,FALSE)))+IF(AND($S41&lt;&gt;"",$S41&lt;&gt;"O3/CP",$S$15=D$18,MID($S41,4,1)="2",$S$15&lt;&gt;$S$14),VLOOKUP(CONCATENATE(LEFT($S41,2),"L"),$R$63:$T$91,3,FALSE),0)+IF(AND($S41="O3/CP",$S$14=D$18),VLOOKUP("O3",$R$63:$T$91,3,FALSE)+VLOOKUP("CP",$R$63:$T$91,3,FALSE),0)+IF(AND($T41&lt;&gt;"",$T41&lt;&gt;"--",$T41&lt;&gt;"O3/CP",$T$14=D$18),IF(LEFT($T41,1)="P",VLOOKUP(CONCATENATE(LEFT($T41,2),"H"),$R$63:$T$91,3,FALSE),VLOOKUP($T41,$R$63:$T$91,3,FALSE)))+IF(AND($T41&lt;&gt;"",$T41&lt;&gt;"O3/CP",$T$15=D$18,MID($T41,4,1)="2",$T$15&lt;&gt;$T$14),VLOOKUP(CONCATENATE(LEFT($T41,2),"L"),$R$63:$T$91,3,FALSE),0)+IF(AND($T41="O3/CP",$T$14=D$18),VLOOKUP("O3",$R$63:$T$91,3,FALSE)+VLOOKUP("CP",$R$63:$T$91,3,FALSE),0)+IF(AND($U41&lt;&gt;"",$U41&lt;&gt;"--",$U41&lt;&gt;"O3/CP",$U$14=D$18),IF(LEFT($U41,1)="P",VLOOKUP(CONCATENATE(LEFT($U41,2),"H"),$R$63:$T$91,3,FALSE),VLOOKUP($U41,$R$63:$T$91,3,FALSE)))+IF(AND($U41&lt;&gt;"",$U41&lt;&gt;"O3/CP",$U$15=D$18,MID($U41,4,1)="2",$U$15&lt;&gt;$U$14),VLOOKUP(CONCATENATE(LEFT($U41,2),"L"),$R$63:$T$91,3,FALSE),0)+IF(AND($U41="O3/CP",$T$14=D$18),VLOOKUP("O3",$R$63:$T$91,3,FALSE)+VLOOKUP("CP",$R$63:$T$91,3,FALSE),0)+IF(AND($V41&lt;&gt;"",$V41&lt;&gt;"--",$V41&lt;&gt;"O3/CP",$V$14=D$18),IF(LEFT($V41,1)="P",VLOOKUP(CONCATENATE(LEFT($V41,2),"H"),$R$63:$T$91,3,FALSE),VLOOKUP($V41,$R$63:$T$91,3,FALSE)))+IF(AND($V41&lt;&gt;"",$V41&lt;&gt;"O3/CP",$V$15=D$18,MID($V41,4,1)="2",$V$15&lt;&gt;$V$14),VLOOKUP(CONCATENATE(LEFT($V41,2),"L"),$R$63:$T$91,3,FALSE),0)+IF(AND($V41="O3/CP",$V$14=D$18),VLOOKUP("O3",$R$63:$T$91,3,FALSE)+VLOOKUP("CP",$R$63:$T$91,3,FALSE),0)+IF(AND($W41&lt;&gt;"",$W41&lt;&gt;"--",$W41&lt;&gt;"O3/CP",$W$14=D$18),IF(LEFT($W41,1)="P",VLOOKUP(CONCATENATE(LEFT($W41,2),"H"),$R$63:$T$91,3,FALSE),VLOOKUP($W41,$R$63:$T$91,3,FALSE)))+IF(AND($W41&lt;&gt;"",$W41&lt;&gt;"O3/CP",$W$15=D$18,MID($W41,4,1)="2",$W$15&lt;&gt;$W$14),VLOOKUP(CONCATENATE(LEFT($W41,2),"L"),$R$63:$T$91,3,FALSE),0)+IF(AND($W41="O3/CP",$W$14=D$18),VLOOKUP("O3",$R$63:$T$91,3,FALSE)+VLOOKUP("CP",$R$63:$T$91,3,FALSE),0)+IF(AND($X41&lt;&gt;"",$X41&lt;&gt;"--",$X41&lt;&gt;"O3/CP",$X$14=D$18),IF(LEFT($X41,1)="P",VLOOKUP(CONCATENATE(LEFT($X41,2),"H"),$R$63:$T$91,3,FALSE),VLOOKUP($X41,$R$63:$T$91,3,FALSE)))+IF(AND($X41&lt;&gt;"",$X41&lt;&gt;"O3/CP",$X$15=D$18,MID($X41,4,1)="2",$X$15&lt;&gt;$X$14),VLOOKUP(CONCATENATE(LEFT($X41,2),"L"),$R$63:$T$91,3,FALSE),0)+IF(AND($X41="O3/CP",$X$14=D$18),VLOOKUP("O3",$R$63:$T$91,3,FALSE)+VLOOKUP("CP",$R$63:$T$91,3,FALSE),0)+IF(AND($Y41&lt;&gt;"",$Y41&lt;&gt;"--",$Y41&lt;&gt;"O3/CP",$Y$14=D$18),IF(LEFT($Y41,1)="P",VLOOKUP(CONCATENATE(LEFT($Y41,2),"H"),$R$63:$T$91,3,FALSE),VLOOKUP($Y41,$R$63:$T$91,3,FALSE)))+IF(AND($Y41&lt;&gt;"",$Y41&lt;&gt;"O3/CP",$Y$15=D$18,MID($Y41,4,1)="2",$Y$15&lt;&gt;$Y$14),VLOOKUP(CONCATENATE(LEFT($Y41,2),"L"),$R$63:$T$91,3,FALSE),0)+IF(AND($Y41="O3/CP",$Y$14=D$18),VLOOKUP("O3",$R$63:$T$91,3,FALSE)+VLOOKUP("CP",$R$63:$T$91,3,FALSE),0)+IF(AND($K$6="CE",'[3]Supply Attribution'!$G$20=D$18),LEFT($S$90,2),0)+IF(AND($X$86&lt;&gt;"Not Set",$X$87=D$18),$X$86,0)</f>
        <v>0</v>
      </c>
      <c r="E41" s="271">
        <f>IF(AND($K41&lt;&gt;"",$K41&lt;&gt;"--",$K41&lt;&gt;"O3/CP",$K$14=E$18),IF(LEFT($K41,1)="P",VLOOKUP(CONCATENATE(LEFT($K41,2),"H"),$R$63:$T$91,3,FALSE),VLOOKUP($K41,$R$63:$T$91,3,FALSE)))+IF(AND($K41&lt;&gt;"",$K41&lt;&gt;"O3/CP",$K$15=E$18,MID($K41,4,1)="2",$K$15&lt;&gt;$K$14),VLOOKUP(CONCATENATE(LEFT($K41,2),"L"),$R$63:$T$91,3,FALSE),0)+IF(AND($K41="O3/CP",$K$14=E$18),VLOOKUP("O3",$R$63:$T$91,3,FALSE)+VLOOKUP("CP",$R$63:$T$91,3,FALSE),0)+IF(AND($L41&lt;&gt;"",$L41&lt;&gt;"--",$L41&lt;&gt;"O3/CP",$L$14=E$18),IF(LEFT($L41,1)="P",VLOOKUP(CONCATENATE(LEFT($L41,2),"H"),$R$63:$T$91,3,FALSE),VLOOKUP($L41,$R$63:$T$91,3,FALSE)))+IF(AND($L41&lt;&gt;"",$L41&lt;&gt;"O3/CP",$L$15=E$18,MID($L41,4,1)="2",$L$15&lt;&gt;$L$14),VLOOKUP(CONCATENATE(LEFT($L41,2),"L"),$R$63:$T$91,3,FALSE),0)+IF(AND($L41="O3/CP",$L$14=E$18),VLOOKUP("O3",$R$63:$T$91,3,FALSE)+VLOOKUP("CP",$R$63:$T$91,3,FALSE),0)+IF(AND($M41&lt;&gt;"",$M41&lt;&gt;"--",$M41&lt;&gt;"O3/CP",$M$14=E$18),IF(LEFT($M41,1)="P",VLOOKUP(CONCATENATE(LEFT($M41,2),"H"),$R$63:$T$91,3,FALSE),VLOOKUP($M41,$R$63:$T$91,3,FALSE)))+IF(AND($M41&lt;&gt;"",$M41&lt;&gt;"O3/CP",$M$15=E$18,MID($M41,4,1)="2",$M$15&lt;&gt;$M$14),VLOOKUP(CONCATENATE(LEFT($M41,2),"L"),$R$63:$T$91,3,FALSE),0)+IF(AND($M41="O3/CP",$M$14=E$18),VLOOKUP("O3",$R$63:$T$91,3,FALSE)+VLOOKUP("CP",$R$63:$T$91,3,FALSE),0)+IF(AND($N41&lt;&gt;"",$N41&lt;&gt;"--",$N41&lt;&gt;"O3/CP",$N$14=E$18),IF(LEFT($N41,1)="P",VLOOKUP(CONCATENATE(LEFT($N41,2),"H"),$R$63:$T$91,3,FALSE),VLOOKUP($N41,$R$63:$T$91,3,FALSE)))+IF(AND($N41&lt;&gt;"",$N41&lt;&gt;"O3/CP",$N$15=E$18,MID($N41,4,1)="2",$N$15&lt;&gt;$N$14),VLOOKUP(CONCATENATE(LEFT($N41,2),"L"),$R$63:$T$91,3,FALSE),0)+IF(AND($N41="O3/CP",$N$14=E$18),VLOOKUP("O3",$R$63:$T$91,3,FALSE)+VLOOKUP("CP",$R$63:$T$91,3,FALSE),0)+IF(AND($O41&lt;&gt;"",$O41&lt;&gt;"--",$O41&lt;&gt;"O3/CP",$O$14=E$18),IF(LEFT($O41,1)="P",VLOOKUP(CONCATENATE(LEFT($O41,2),"H"),$R$63:$T$91,3,FALSE),VLOOKUP($O41,$R$63:$T$91,3,FALSE)))+IF(AND($O41&lt;&gt;"",$O41&lt;&gt;"O3/CP",$O$15=E$18,MID($O41,4,1)="2",$O$15&lt;&gt;$O$14),VLOOKUP(CONCATENATE(LEFT($O41,2),"L"),$R$63:$T$91,3,FALSE),0)+IF(AND($O41="O3/CP",$O$14=E$18),VLOOKUP("O3",$R$63:$T$91,3,FALSE)+VLOOKUP("CP",$R$63:$T$91,3,FALSE),0)+IF(AND($P41&lt;&gt;"",$P41&lt;&gt;"--",$P41&lt;&gt;"O3/CP",$P$14=E$18),IF(LEFT($P41,1)="P",VLOOKUP(CONCATENATE(LEFT($P41,2),"H"),$R$63:$T$91,3,FALSE),VLOOKUP($P41,$R$63:$T$91,3,FALSE)))+IF(AND($P41&lt;&gt;"",$P41&lt;&gt;"O3/CP",$P$15=E$18,MID($P41,4,1)="2",$P$15&lt;&gt;$P$14),VLOOKUP(CONCATENATE(LEFT($P41,2),"L"),$R$63:$T$91,3,FALSE),0)+IF(AND($P41="O3/CP",$P$14=E$18),VLOOKUP("O3",$R$63:$T$91,3,FALSE)+VLOOKUP("CP",$R$63:$T$91,3,FALSE),0)+IF(AND($Q41&lt;&gt;"",$Q41&lt;&gt;"--",$Q41&lt;&gt;"O3/CP",$Q$14=E$18),IF(LEFT($Q41,1)="P",VLOOKUP(CONCATENATE(LEFT($Q41,2),"H"),$R$63:$T$91,3,FALSE),VLOOKUP($Q41,$R$63:$T$91,3,FALSE)))+IF(AND($Q41&lt;&gt;"",$Q41&lt;&gt;"O3/CP",$Q$15=E$18,MID($Q41,4,1)="2",$Q$15&lt;&gt;$Q$14),VLOOKUP(CONCATENATE(LEFT($Q41,2),"L"),$R$63:$T$91,3,FALSE),0)+IF(AND($Q41="O3/CP",$Q$14=E$18),VLOOKUP("O3",$R$63:$T$91,3,FALSE)+VLOOKUP("CP",$R$63:$T$91,3,FALSE),0)+IF(AND($R41&lt;&gt;"",$R41&lt;&gt;"--",$R41&lt;&gt;"O3/CP",$R$14=E$18),IF(LEFT($R41,1)="P",VLOOKUP(CONCATENATE(LEFT($R41,2),"H"),$R$63:$T$91,3,FALSE),VLOOKUP($R41,$R$63:$T$91,3,FALSE)))+IF(AND($R41&lt;&gt;"",$R41&lt;&gt;"O3/CP",$R$15=E$18,MID($R41,4,1)="2",$R$15&lt;&gt;$R$14),VLOOKUP(CONCATENATE(LEFT($R41,2),"L"),$R$63:$T$91,3,FALSE),0)+IF(AND($R41="O3/CP",$R$14=E$18),VLOOKUP("O3",$R$63:$T$91,3,FALSE)+VLOOKUP("CP",$R$63:$T$91,3,FALSE),0)+IF(AND($S41&lt;&gt;"",$S41&lt;&gt;"--",$S41&lt;&gt;"O3/CP",$S$14=E$18),IF(LEFT($S41,1)="P",VLOOKUP(CONCATENATE(LEFT($S41,2),"H"),$R$63:$T$91,3,FALSE),VLOOKUP($S41,$R$63:$T$91,3,FALSE)))+IF(AND($S41&lt;&gt;"",$S41&lt;&gt;"O3/CP",$S$15=E$18,MID($S41,4,1)="2",$S$15&lt;&gt;$S$14),VLOOKUP(CONCATENATE(LEFT($S41,2),"L"),$R$63:$T$91,3,FALSE),0)+IF(AND($S41="O3/CP",$S$14=E$18),VLOOKUP("O3",$R$63:$T$91,3,FALSE)+VLOOKUP("CP",$R$63:$T$91,3,FALSE),0)+IF(AND($T41&lt;&gt;"",$T41&lt;&gt;"--",$T41&lt;&gt;"O3/CP",$T$14=E$18),IF(LEFT($T41,1)="P",VLOOKUP(CONCATENATE(LEFT($T41,2),"H"),$R$63:$T$91,3,FALSE),VLOOKUP($T41,$R$63:$T$91,3,FALSE)))+IF(AND($T41&lt;&gt;"",$T41&lt;&gt;"O3/CP",$T$15=E$18,MID($T41,4,1)="2",$T$15&lt;&gt;$T$14),VLOOKUP(CONCATENATE(LEFT($T41,2),"L"),$R$63:$T$91,3,FALSE),0)+IF(AND($T41="O3/CP",$T$14=E$18),VLOOKUP("O3",$R$63:$T$91,3,FALSE)+VLOOKUP("CP",$R$63:$T$91,3,FALSE),0)+IF(AND($U41&lt;&gt;"",$U41&lt;&gt;"--",$U41&lt;&gt;"O3/CP",$U$14=E$18),IF(LEFT($U41,1)="P",VLOOKUP(CONCATENATE(LEFT($U41,2),"H"),$R$63:$T$91,3,FALSE),VLOOKUP($U41,$R$63:$T$91,3,FALSE)))+IF(AND($U41&lt;&gt;"",$U41&lt;&gt;"O3/CP",$U$15=E$18,MID($U41,4,1)="2",$U$15&lt;&gt;$U$14),VLOOKUP(CONCATENATE(LEFT($U41,2),"L"),$R$63:$T$91,3,FALSE),0)+IF(AND($U41="O3/CP",$T$14=E$18),VLOOKUP("O3",$R$63:$T$91,3,FALSE)+VLOOKUP("CP",$R$63:$T$91,3,FALSE),0)+IF(AND($V41&lt;&gt;"",$V41&lt;&gt;"--",$V41&lt;&gt;"O3/CP",$V$14=E$18),IF(LEFT($V41,1)="P",VLOOKUP(CONCATENATE(LEFT($V41,2),"H"),$R$63:$T$91,3,FALSE),VLOOKUP($V41,$R$63:$T$91,3,FALSE)))+IF(AND($V41&lt;&gt;"",$V41&lt;&gt;"O3/CP",$V$15=E$18,MID($V41,4,1)="2",$V$15&lt;&gt;$V$14),VLOOKUP(CONCATENATE(LEFT($V41,2),"L"),$R$63:$T$91,3,FALSE),0)+IF(AND($V41="O3/CP",$V$14=E$18),VLOOKUP("O3",$R$63:$T$91,3,FALSE)+VLOOKUP("CP",$R$63:$T$91,3,FALSE),0)+IF(AND($W41&lt;&gt;"",$W41&lt;&gt;"--",$W41&lt;&gt;"O3/CP",$W$14=E$18),IF(LEFT($W41,1)="P",VLOOKUP(CONCATENATE(LEFT($W41,2),"H"),$R$63:$T$91,3,FALSE),VLOOKUP($W41,$R$63:$T$91,3,FALSE)))+IF(AND($W41&lt;&gt;"",$W41&lt;&gt;"O3/CP",$W$15=E$18,MID($W41,4,1)="2",$W$15&lt;&gt;$W$14),VLOOKUP(CONCATENATE(LEFT($W41,2),"L"),$R$63:$T$91,3,FALSE),0)+IF(AND($W41="O3/CP",$W$14=E$18),VLOOKUP("O3",$R$63:$T$91,3,FALSE)+VLOOKUP("CP",$R$63:$T$91,3,FALSE),0)+IF(AND($X41&lt;&gt;"",$X41&lt;&gt;"--",$X41&lt;&gt;"O3/CP",$X$14=E$18),IF(LEFT($X41,1)="P",VLOOKUP(CONCATENATE(LEFT($X41,2),"H"),$R$63:$T$91,3,FALSE),VLOOKUP($X41,$R$63:$T$91,3,FALSE)))+IF(AND($X41&lt;&gt;"",$X41&lt;&gt;"O3/CP",$X$15=E$18,MID($X41,4,1)="2",$X$15&lt;&gt;$X$14),VLOOKUP(CONCATENATE(LEFT($X41,2),"L"),$R$63:$T$91,3,FALSE),0)+IF(AND($X41="O3/CP",$X$14=E$18),VLOOKUP("O3",$R$63:$T$91,3,FALSE)+VLOOKUP("CP",$R$63:$T$91,3,FALSE),0)+IF(AND($Y41&lt;&gt;"",$Y41&lt;&gt;"--",$Y41&lt;&gt;"O3/CP",$Y$14=E$18),IF(LEFT($Y41,1)="P",VLOOKUP(CONCATENATE(LEFT($Y41,2),"H"),$R$63:$T$91,3,FALSE),VLOOKUP($Y41,$R$63:$T$91,3,FALSE)))+IF(AND($Y41&lt;&gt;"",$Y41&lt;&gt;"O3/CP",$Y$15=E$18,MID($Y41,4,1)="2",$Y$15&lt;&gt;$Y$14),VLOOKUP(CONCATENATE(LEFT($Y41,2),"L"),$R$63:$T$91,3,FALSE),0)+IF(AND($Y41="O3/CP",$Y$14=E$18),VLOOKUP("O3",$R$63:$T$91,3,FALSE)+VLOOKUP("CP",$R$63:$T$91,3,FALSE),0)+IF(AND($K$6="CE",'[3]Supply Attribution'!$G$20=E$18),LEFT($S$90,2),0)+IF(AND($X$86&lt;&gt;"Not Set",$X$87=E$18),$X$86,0)</f>
        <v>0</v>
      </c>
      <c r="F41" s="272">
        <f>IF(AND($K41&lt;&gt;"",$K41&lt;&gt;"--",$K41&lt;&gt;"O3/CP",$K$14=F$18),IF(LEFT($K41,1)="P",VLOOKUP(CONCATENATE(LEFT($K41,2),"H"),$R$63:$T$91,3,FALSE),VLOOKUP($K41,$R$63:$T$91,3,FALSE)))+IF(AND($K41&lt;&gt;"",$K41&lt;&gt;"O3/CP",$K$15=F$18,MID($K41,4,1)="2",$K$15&lt;&gt;$K$14),VLOOKUP(CONCATENATE(LEFT($K41,2),"L"),$R$63:$T$91,3,FALSE),0)+IF(AND($K41="O3/CP",$K$14=F$18),VLOOKUP("O3",$R$63:$T$91,3,FALSE)+VLOOKUP("CP",$R$63:$T$91,3,FALSE),0)+IF(AND($L41&lt;&gt;"",$L41&lt;&gt;"--",$L41&lt;&gt;"O3/CP",$L$14=F$18),IF(LEFT($L41,1)="P",VLOOKUP(CONCATENATE(LEFT($L41,2),"H"),$R$63:$T$91,3,FALSE),VLOOKUP($L41,$R$63:$T$91,3,FALSE)))+IF(AND($L41&lt;&gt;"",$L41&lt;&gt;"O3/CP",$L$15=F$18,MID($L41,4,1)="2",$L$15&lt;&gt;$L$14),VLOOKUP(CONCATENATE(LEFT($L41,2),"L"),$R$63:$T$91,3,FALSE),0)+IF(AND($L41="O3/CP",$L$14=F$18),VLOOKUP("O3",$R$63:$T$91,3,FALSE)+VLOOKUP("CP",$R$63:$T$91,3,FALSE),0)+IF(AND($M41&lt;&gt;"",$M41&lt;&gt;"--",$M41&lt;&gt;"O3/CP",$M$14=F$18),IF(LEFT($M41,1)="P",VLOOKUP(CONCATENATE(LEFT($M41,2),"H"),$R$63:$T$91,3,FALSE),VLOOKUP($M41,$R$63:$T$91,3,FALSE)))+IF(AND($M41&lt;&gt;"",$M41&lt;&gt;"O3/CP",$M$15=F$18,MID($M41,4,1)="2",$M$15&lt;&gt;$M$14),VLOOKUP(CONCATENATE(LEFT($M41,2),"L"),$R$63:$T$91,3,FALSE),0)+IF(AND($M41="O3/CP",$M$14=F$18),VLOOKUP("O3",$R$63:$T$91,3,FALSE)+VLOOKUP("CP",$R$63:$T$91,3,FALSE),0)+IF(AND($N41&lt;&gt;"",$N41&lt;&gt;"--",$N41&lt;&gt;"O3/CP",$N$14=F$18),IF(LEFT($N41,1)="P",VLOOKUP(CONCATENATE(LEFT($N41,2),"H"),$R$63:$T$91,3,FALSE),VLOOKUP($N41,$R$63:$T$91,3,FALSE)))+IF(AND($N41&lt;&gt;"",$N41&lt;&gt;"O3/CP",$N$15=F$18,MID($N41,4,1)="2",$N$15&lt;&gt;$N$14),VLOOKUP(CONCATENATE(LEFT($N41,2),"L"),$R$63:$T$91,3,FALSE),0)+IF(AND($N41="O3/CP",$N$14=F$18),VLOOKUP("O3",$R$63:$T$91,3,FALSE)+VLOOKUP("CP",$R$63:$T$91,3,FALSE),0)+IF(AND($O41&lt;&gt;"",$O41&lt;&gt;"--",$O41&lt;&gt;"O3/CP",$O$14=F$18),IF(LEFT($O41,1)="P",VLOOKUP(CONCATENATE(LEFT($O41,2),"H"),$R$63:$T$91,3,FALSE),VLOOKUP($O41,$R$63:$T$91,3,FALSE)))+IF(AND($O41&lt;&gt;"",$O41&lt;&gt;"O3/CP",$O$15=F$18,MID($O41,4,1)="2",$O$15&lt;&gt;$O$14),VLOOKUP(CONCATENATE(LEFT($O41,2),"L"),$R$63:$T$91,3,FALSE),0)+IF(AND($O41="O3/CP",$O$14=F$18),VLOOKUP("O3",$R$63:$T$91,3,FALSE)+VLOOKUP("CP",$R$63:$T$91,3,FALSE),0)+IF(AND($P41&lt;&gt;"",$P41&lt;&gt;"--",$P41&lt;&gt;"O3/CP",$P$14=F$18),IF(LEFT($P41,1)="P",VLOOKUP(CONCATENATE(LEFT($P41,2),"H"),$R$63:$T$91,3,FALSE),VLOOKUP($P41,$R$63:$T$91,3,FALSE)))+IF(AND($P41&lt;&gt;"",$P41&lt;&gt;"O3/CP",$P$15=F$18,MID($P41,4,1)="2",$P$15&lt;&gt;$P$14),VLOOKUP(CONCATENATE(LEFT($P41,2),"L"),$R$63:$T$91,3,FALSE),0)+IF(AND($P41="O3/CP",$P$14=F$18),VLOOKUP("O3",$R$63:$T$91,3,FALSE)+VLOOKUP("CP",$R$63:$T$91,3,FALSE),0)+IF(AND($Q41&lt;&gt;"",$Q41&lt;&gt;"--",$Q41&lt;&gt;"O3/CP",$Q$14=F$18),IF(LEFT($Q41,1)="P",VLOOKUP(CONCATENATE(LEFT($Q41,2),"H"),$R$63:$T$91,3,FALSE),VLOOKUP($Q41,$R$63:$T$91,3,FALSE)))+IF(AND($Q41&lt;&gt;"",$Q41&lt;&gt;"O3/CP",$Q$15=F$18,MID($Q41,4,1)="2",$Q$15&lt;&gt;$Q$14),VLOOKUP(CONCATENATE(LEFT($Q41,2),"L"),$R$63:$T$91,3,FALSE),0)+IF(AND($Q41="O3/CP",$Q$14=F$18),VLOOKUP("O3",$R$63:$T$91,3,FALSE)+VLOOKUP("CP",$R$63:$T$91,3,FALSE),0)+IF(AND($R41&lt;&gt;"",$R41&lt;&gt;"--",$R41&lt;&gt;"O3/CP",$R$14=F$18),IF(LEFT($R41,1)="P",VLOOKUP(CONCATENATE(LEFT($R41,2),"H"),$R$63:$T$91,3,FALSE),VLOOKUP($R41,$R$63:$T$91,3,FALSE)))+IF(AND($R41&lt;&gt;"",$R41&lt;&gt;"O3/CP",$R$15=F$18,MID($R41,4,1)="2",$R$15&lt;&gt;$R$14),VLOOKUP(CONCATENATE(LEFT($R41,2),"L"),$R$63:$T$91,3,FALSE),0)+IF(AND($R41="O3/CP",$R$14=F$18),VLOOKUP("O3",$R$63:$T$91,3,FALSE)+VLOOKUP("CP",$R$63:$T$91,3,FALSE),0)+IF(AND($S41&lt;&gt;"",$S41&lt;&gt;"--",$S41&lt;&gt;"O3/CP",$S$14=F$18),IF(LEFT($S41,1)="P",VLOOKUP(CONCATENATE(LEFT($S41,2),"H"),$R$63:$T$91,3,FALSE),VLOOKUP($S41,$R$63:$T$91,3,FALSE)))+IF(AND($S41&lt;&gt;"",$S41&lt;&gt;"O3/CP",$S$15=F$18,MID($S41,4,1)="2",$S$15&lt;&gt;$S$14),VLOOKUP(CONCATENATE(LEFT($S41,2),"L"),$R$63:$T$91,3,FALSE),0)+IF(AND($S41="O3/CP",$S$14=F$18),VLOOKUP("O3",$R$63:$T$91,3,FALSE)+VLOOKUP("CP",$R$63:$T$91,3,FALSE),0)+IF(AND($T41&lt;&gt;"",$T41&lt;&gt;"--",$T41&lt;&gt;"O3/CP",$T$14=F$18),IF(LEFT($T41,1)="P",VLOOKUP(CONCATENATE(LEFT($T41,2),"H"),$R$63:$T$91,3,FALSE),VLOOKUP($T41,$R$63:$T$91,3,FALSE)))+IF(AND($T41&lt;&gt;"",$T41&lt;&gt;"O3/CP",$T$15=F$18,MID($T41,4,1)="2",$T$15&lt;&gt;$T$14),VLOOKUP(CONCATENATE(LEFT($T41,2),"L"),$R$63:$T$91,3,FALSE),0)+IF(AND($T41="O3/CP",$T$14=F$18),VLOOKUP("O3",$R$63:$T$91,3,FALSE)+VLOOKUP("CP",$R$63:$T$91,3,FALSE),0)+IF(AND($U41&lt;&gt;"",$U41&lt;&gt;"--",$U41&lt;&gt;"O3/CP",$U$14=F$18),IF(LEFT($U41,1)="P",VLOOKUP(CONCATENATE(LEFT($U41,2),"H"),$R$63:$T$91,3,FALSE),VLOOKUP($U41,$R$63:$T$91,3,FALSE)))+IF(AND($U41&lt;&gt;"",$U41&lt;&gt;"O3/CP",$U$15=F$18,MID($U41,4,1)="2",$U$15&lt;&gt;$U$14),VLOOKUP(CONCATENATE(LEFT($U41,2),"L"),$R$63:$T$91,3,FALSE),0)+IF(AND($U41="O3/CP",$T$14=F$18),VLOOKUP("O3",$R$63:$T$91,3,FALSE)+VLOOKUP("CP",$R$63:$T$91,3,FALSE),0)+IF(AND($V41&lt;&gt;"",$V41&lt;&gt;"--",$V41&lt;&gt;"O3/CP",$V$14=F$18),IF(LEFT($V41,1)="P",VLOOKUP(CONCATENATE(LEFT($V41,2),"H"),$R$63:$T$91,3,FALSE),VLOOKUP($V41,$R$63:$T$91,3,FALSE)))+IF(AND($V41&lt;&gt;"",$V41&lt;&gt;"O3/CP",$V$15=F$18,MID($V41,4,1)="2",$V$15&lt;&gt;$V$14),VLOOKUP(CONCATENATE(LEFT($V41,2),"L"),$R$63:$T$91,3,FALSE),0)+IF(AND($V41="O3/CP",$V$14=F$18),VLOOKUP("O3",$R$63:$T$91,3,FALSE)+VLOOKUP("CP",$R$63:$T$91,3,FALSE),0)+IF(AND($W41&lt;&gt;"",$W41&lt;&gt;"--",$W41&lt;&gt;"O3/CP",$W$14=F$18),IF(LEFT($W41,1)="P",VLOOKUP(CONCATENATE(LEFT($W41,2),"H"),$R$63:$T$91,3,FALSE),VLOOKUP($W41,$R$63:$T$91,3,FALSE)))+IF(AND($W41&lt;&gt;"",$W41&lt;&gt;"O3/CP",$W$15=F$18,MID($W41,4,1)="2",$W$15&lt;&gt;$W$14),VLOOKUP(CONCATENATE(LEFT($W41,2),"L"),$R$63:$T$91,3,FALSE),0)+IF(AND($W41="O3/CP",$W$14=F$18),VLOOKUP("O3",$R$63:$T$91,3,FALSE)+VLOOKUP("CP",$R$63:$T$91,3,FALSE),0)+IF(AND($X41&lt;&gt;"",$X41&lt;&gt;"--",$X41&lt;&gt;"O3/CP",$X$14=F$18),IF(LEFT($X41,1)="P",VLOOKUP(CONCATENATE(LEFT($X41,2),"H"),$R$63:$T$91,3,FALSE),VLOOKUP($X41,$R$63:$T$91,3,FALSE)))+IF(AND($X41&lt;&gt;"",$X41&lt;&gt;"O3/CP",$X$15=F$18,MID($X41,4,1)="2",$X$15&lt;&gt;$X$14),VLOOKUP(CONCATENATE(LEFT($X41,2),"L"),$R$63:$T$91,3,FALSE),0)+IF(AND($X41="O3/CP",$X$14=F$18),VLOOKUP("O3",$R$63:$T$91,3,FALSE)+VLOOKUP("CP",$R$63:$T$91,3,FALSE),0)+IF(AND($Y41&lt;&gt;"",$Y41&lt;&gt;"--",$Y41&lt;&gt;"O3/CP",$Y$14=F$18),IF(LEFT($Y41,1)="P",VLOOKUP(CONCATENATE(LEFT($Y41,2),"H"),$R$63:$T$91,3,FALSE),VLOOKUP($Y41,$R$63:$T$91,3,FALSE)))+IF(AND($Y41&lt;&gt;"",$Y41&lt;&gt;"O3/CP",$Y$15=F$18,MID($Y41,4,1)="2",$Y$15&lt;&gt;$Y$14),VLOOKUP(CONCATENATE(LEFT($Y41,2),"L"),$R$63:$T$91,3,FALSE),0)+IF(AND($Y41="O3/CP",$Y$14=F$18),VLOOKUP("O3",$R$63:$T$91,3,FALSE)+VLOOKUP("CP",$R$63:$T$91,3,FALSE),0)+IF(AND($K$6="CE",'[3]Supply Attribution'!$G$20=F$18),LEFT($S$90,2),0)+IF(AND($X$86&lt;&gt;"Not Set",$X$87=F$18),$X$86,0)</f>
        <v>0</v>
      </c>
      <c r="G41" s="271">
        <f>IF(AND($K$6="CE",$T$59="1 Phase"),SUM(A41:F41)-IF(AND($K$14&lt;&gt;$K$15,RIGHT($K41,3)="2SP"),VLOOKUP(CONCATENATE(LEFT($K41,2),"L"),$R$63:$T$90,3,FALSE),0)-IF(AND($L$14&lt;&gt;$L$15,RIGHT($L41,3)="2SP"),VLOOKUP(CONCATENATE(LEFT($L41,2),"L"),$R$63:$T$90,3,FALSE),0)-IF(AND($M$14&lt;&gt;$M$15,RIGHT($M41,3)="2SP"),VLOOKUP(CONCATENATE(LEFT($M41,2),"L"),$R$63:$T$90,3,FALSE),0)-IF(AND($N$14&lt;&gt;$N$15,RIGHT($N41,3)="2SP"),VLOOKUP(CONCATENATE(LEFT($N41,2),"L"),$R$63:$T$90,3,FALSE),0)-IF(AND($O$14&lt;&gt;$O$15,RIGHT($O41,3)="2SP"),VLOOKUP(CONCATENATE(LEFT($O41,2),"L"),$R$63:$T$90,3,FALSE),0)-IF(AND($P$14&lt;&gt;$P$15,RIGHT($P41,3)="2SP"),VLOOKUP(CONCATENATE(LEFT($P41,2),"L"),$R$63:$T$90,3,FALSE),0)-IF(AND($Q$14&lt;&gt;$Q$15,RIGHT($Q41,3)="2SP"),VLOOKUP(CONCATENATE(LEFT($Q41,2),"L"),$R$63:$T$90,3,FALSE),0)-IF(AND($R$14&lt;&gt;$R$15,RIGHT($T41,3)="2SP"),VLOOKUP(CONCATENATE(LEFT($R41,2),"L"),$R$63:$T$90,3,FALSE),0)-IF(AND($S$14&lt;&gt;$S$15,RIGHT($T41,3)="2SP"),VLOOKUP(CONCATENATE(LEFT($S41,2),"L"),$R$63:$T$90,3,FALSE),0)-IF(AND($T$14&lt;&gt;$T$15,RIGHT($T41,3)="2SP"),VLOOKUP(CONCATENATE(LEFT($T41,2),"L"),$R$63:$T$90,3,FALSE),0)-IF(AND($U$14&lt;&gt;$U$15,RIGHT($U41,3)="2SP"),VLOOKUP(CONCATENATE(LEFT($U41,2),"L"),$R$63:$T$90,3,FALSE),0)-IF(AND($V$14&lt;&gt;$V$15,RIGHT($V41,3)="2SP"),VLOOKUP(CONCATENATE(LEFT($V41,2),"L"),$R$63:$T$90,3,FALSE),0)-IF(AND($W$14&lt;&gt;$W$15,RIGHT($W41,3)="2SP"),VLOOKUP(CONCATENATE(LEFT($W41,2),"L"),$R$63:$T$90,3,FALSE),0)-IF(AND($X$14&lt;&gt;$X$15,RIGHT($X41,3)="2SP"),VLOOKUP(CONCATENATE(LEFT($X41,2),"L"),$R$63:$T$90,3,FALSE),0)-IF(AND($Y$14&lt;&gt;$Y$15,RIGHT($Y41,3)="2SP"),VLOOKUP(CONCATENATE(LEFT($Y41,2),"L"),$R$63:$T$90,3,FALSE),0),IF(VLOOKUP(CONCATENATE($A$18,"Line"),'[3]Supply Attribution'!$F$31:$G$37,2,FALSE)=G$18,$A41,0)+IF(VLOOKUP(CONCATENATE($B$18,"Line"),'[3]Supply Attribution'!$F$31:$G$37,2,FALSE)=G$18,$B41,0)+IF(VLOOKUP(CONCATENATE($C$18,"Line"),'[3]Supply Attribution'!$F$31:$G$37,2,FALSE)=G$18,$C41,0)+IF(VLOOKUP(CONCATENATE($D$18,"Line"),'[3]Supply Attribution'!$F$31:$G$37,2,FALSE)=G$18,$D41,0)+IF(VLOOKUP(CONCATENATE($E$18,"Line"),'[3]Supply Attribution'!$F$31:$G$37,2,FALSE)=G$18,$E41,0)+IF(VLOOKUP(CONCATENATE($F$18,"Line"),'[3]Supply Attribution'!$F$31:$G$37,2,FALSE)=G$18,$F41,0)+IF($K$6="UL",LEFT($S$90,2),0)-IF(AND($K$16=G$18,$K$14&lt;&gt;$K$15,$K$16=$K$17,RIGHT($K41,3)="2SP"),VLOOKUP(CONCATENATE(LEFT($K41,2),"L"),$R$63:$T$90,3,FALSE),0)-IF(AND($L$16=G$18,$L$14&lt;&gt;$L$15,$L$16=$L$17,RIGHT($L41,3)="2SP"),VLOOKUP(CONCATENATE(LEFT($L41,2),"L"),$R$63:$T$90,3,FALSE),0)-IF(AND($M$16=G$18,$M$14&lt;&gt;$M$15,$M$16=$M$17,RIGHT($M41,3)="2SP"),VLOOKUP(CONCATENATE(LEFT($M41,2),"L"),$R$63:$T$90,3,FALSE),0)-IF(AND($N$16=G$18,$N$14&lt;&gt;$N$15,$N$16=$N$17,RIGHT($N41,3)="2SP"),VLOOKUP(CONCATENATE(LEFT($N41,2),"L"),$R$63:$T$90,3,FALSE),0)-IF(AND($O$16=G$18,$O$14&lt;&gt;$O$15,$O$16=$O$17,RIGHT($O41,3)="2SP"),VLOOKUP(CONCATENATE(LEFT($O41,2),"L"),$R$63:$T$90,3,FALSE),0)-IF(AND($P$16=G$18,$P$14&lt;&gt;$P$15,$P$16=$P$17,RIGHT($P41,3)="2SP"),VLOOKUP(CONCATENATE(LEFT($P41,2),"L"),$R$63:$T$90,3,FALSE),0)-IF(AND($Q$16=G$18,$Q$14&lt;&gt;$Q$15,$Q$16=$Q$17,RIGHT($Q41,3)="2SP"),VLOOKUP(CONCATENATE(LEFT($Q41,2),"L"),$R$63:$T$90,3,FALSE),0)-IF(AND($R$16=G$18,$R$14&lt;&gt;$R$15,$R$16=$R$17,RIGHT($R41,3)="2SP"),VLOOKUP(CONCATENATE(LEFT($R41,2),"L"),$R$63:$T$90,3,FALSE),0)-IF(AND($S$16=G$18,$S$14&lt;&gt;$S$15,$S$16=$S$17,RIGHT($S41,3)="2SP"),VLOOKUP(CONCATENATE(LEFT($S41,2),"L"),$R$63:$T$90,3,FALSE),0)-IF(AND($T$16=G$18,$T$14&lt;&gt;$T$15,$T$16=$T$17,RIGHT($T41,3)="2SP"),VLOOKUP(CONCATENATE(LEFT($T41,2),"L"),$R$63:$T$90,3,FALSE),0)-IF(AND($U$16=G$18,$U$14&lt;&gt;$U$15,$U$16=$U$17,RIGHT($U41,3)="2SP"),VLOOKUP(CONCATENATE(LEFT($U41,2),"L"),$R$63:$T$90,3,FALSE),0)-IF(AND($V$16=G$18,$V$14&lt;&gt;$V$15,$V$16=$V$17,RIGHT($V41,3)="2SP"),VLOOKUP(CONCATENATE(LEFT($V41,2),"L"),$R$63:$T$90,3,FALSE),0)-IF(AND($W$16=G$18,$W$14&lt;&gt;$W$15,$W$16=$W$17,RIGHT($W41,3)="2SP"),VLOOKUP(CONCATENATE(LEFT($W41,2),"L"),$R$63:$T$90,3,FALSE),0)-IF(AND($X$16=G$18,$X$14&lt;&gt;$X$15,$X$16=$X$17,RIGHT($X41,3)="2SP"),VLOOKUP(CONCATENATE(LEFT($X41,2),"L"),$R$63:$T$90,3,FALSE),0)-IF(AND($Y$16=G$18,$Y$14&lt;&gt;$Y$15,$Y$16=$Y$17,RIGHT($Y41,3)="2SP"),VLOOKUP(CONCATENATE(LEFT($Y41,2),"L"),$R$63:$T$90,3,FALSE),0))</f>
        <v>17</v>
      </c>
      <c r="H41" s="271" t="str">
        <f>IF(H$18&lt;&gt;"",IF(VLOOKUP(CONCATENATE($A$18,"Line"),'Supply Attribution'!$F$31:$G$37,2,FALSE)=H$18,$A41,0)+IF(VLOOKUP(CONCATENATE($B$18,"Line"),'Supply Attribution'!$F$31:$G$37,2,FALSE)=H$18,$B41,0)+IF(VLOOKUP(CONCATENATE($C$18,"Line"),'Supply Attribution'!$F$31:$G$37,2,FALSE)=H$18,$C41,0)+IF(VLOOKUP(CONCATENATE($D$18,"Line"),'Supply Attribution'!$F$31:$G$37,2,FALSE)=H$18,$D41,0)+IF(VLOOKUP(CONCATENATE($E$18,"Line"),'Supply Attribution'!$F$31:$G$37,2,FALSE)=H$18,$E41,0)+IF(VLOOKUP(CONCATENATE($F$18,"Line"),'Supply Attribution'!$F$31:$G$37,2,FALSE)=H$18,$F41,0)+IF($K$6="UL",LEFT($S$90,2),0)-IF(AND($K$16=H$18,$K$14&lt;&gt;$K$15,$K$16=$K$17,RIGHT($K41,3)="2SP"),VLOOKUP(CONCATENATE(LEFT($K41,2),"L"),$R$63:$T$90,3,FALSE),0)-IF(AND($L$16=H$18,$L$14&lt;&gt;$L$15,$L$16=$L$17,RIGHT($L41,3)="2SP"),VLOOKUP(CONCATENATE(LEFT($L41,2),"L"),$R$63:$T$90,3,FALSE),0)-IF(AND($M$16=H$18,$M$14&lt;&gt;$M$15,$M$16=$M$17,RIGHT($M41,3)="2SP"),VLOOKUP(CONCATENATE(LEFT($M41,2),"L"),$R$63:$T$90,3,FALSE),0)-IF(AND($N$16=H$18,$N$14&lt;&gt;$N$15,$N$16=$N$17,RIGHT($N41,3)="2SP"),VLOOKUP(CONCATENATE(LEFT($N41,2),"L"),$R$63:$T$90,3,FALSE),0)-IF(AND($O$16=H$18,$O$14&lt;&gt;$O$15,$O$16=$O$17,RIGHT($O41,3)="2SP"),VLOOKUP(CONCATENATE(LEFT($O41,2),"L"),$R$63:$T$90,3,FALSE),0)-IF(AND($P$16=H$18,$P$14&lt;&gt;$P$15,$P$16=$P$17,RIGHT($P41,3)="2SP"),VLOOKUP(CONCATENATE(LEFT($P41,2),"L"),$R$63:$T$90,3,FALSE),0)-IF(AND($Q$16=H$18,$Q$14&lt;&gt;$Q$15,$Q$16=$Q$17,RIGHT($Q41,3)="2SP"),VLOOKUP(CONCATENATE(LEFT($Q41,2),"L"),$R$63:$T$90,3,FALSE),0)-IF(AND($T$16=H$18,$T$14&lt;&gt;$T$15,$T$16=$T$17,RIGHT($T41,3)="2SP"),VLOOKUP(CONCATENATE(LEFT($T41,2),"L"),$R$63:$T$90,3,FALSE),0)-IF(AND($U$16=H$18,$U$14&lt;&gt;$U$15,$U$16=$U$17,RIGHT($U41,3)="2SP"),VLOOKUP(CONCATENATE(LEFT($U41,2),"L"),$R$63:$T$90,3,FALSE),0)-IF(AND($V$16=H$18,$V$14&lt;&gt;$V$15,$V$16=$V$17,RIGHT($V41,3)="2SP"),VLOOKUP(CONCATENATE(LEFT($V41,2),"L"),$R$63:$T$90,3,FALSE),0)-IF(AND($W$16=H$18,$W$14&lt;&gt;$W$15,$W$16=$W$17,RIGHT($W41,3)="2SP"),VLOOKUP(CONCATENATE(LEFT($W41,2),"L"),$R$63:$T$90,3,FALSE),0)-IF(AND($X$16=H$18,$X$14&lt;&gt;$X$15,$X$16=$X$17,RIGHT($X41,3)="2SP"),VLOOKUP(CONCATENATE(LEFT($X41,2),"L"),$R$63:$T$90,3,FALSE),0)-IF(AND($Y$16=H$18,$Y$14&lt;&gt;$Y$15,$Y$16=$Y$17,RIGHT($Y41,3)="2SP"),VLOOKUP(CONCATENATE(LEFT($Y41,2),"L"),$R$63:$T$90,3,FALSE),0)+IF(AND($K$6="CE",$T$59="2 Phases",H$18&lt;&gt;""),IF(VLOOKUP(CONCATENATE($A$18,"Line"),'Supply Attribution'!$F$31:$G$37,2,FALSE)="Line3",$A41,0)+IF(VLOOKUP(CONCATENATE($B$18,"Line"),'Supply Attribution'!$F$31:$G$37,2,FALSE)="Line3",$B41,0)+IF(VLOOKUP(CONCATENATE($C$18,"Line"),'Supply Attribution'!$F$31:$G$37,2,FALSE)="Line3",$C41,0)+IF(VLOOKUP(CONCATENATE($D$18,"Line"),'Supply Attribution'!$F$31:$G$37,2,FALSE)="Line3",$D41,0)+IF(VLOOKUP(CONCATENATE($E$18,"Line"),'Supply Attribution'!$F$31:$G$37,2,FALSE)="Line3",$E41,0)+IF(VLOOKUP(CONCATENATE($F$18,"Line"),'Supply Attribution'!$F$31:$G$37,2,FALSE)="Line3",$F41,0)-IF(AND($K$16=I$18,$K$14&lt;&gt;$K$15,$K$16=$K$17,RIGHT($K41,3)="2SP"),VLOOKUP(CONCATENATE(LEFT($K41,2),"L"),$R$63:$T$90,3,FALSE),0)-IF(AND($L$16=I$18,$L$14&lt;&gt;$L$15,$L$16=$L$17,RIGHT($L41,3)="2SP"),VLOOKUP(CONCATENATE(LEFT($L41,2),"L"),$R$63:$T$90,3,FALSE),0)-IF(AND($M$16=I$18,$M$14&lt;&gt;$M$15,$M$16=$M$17,RIGHT($M41,3)="2SP"),VLOOKUP(CONCATENATE(LEFT($M41,2),"L"),$R$63:$T$90,3,FALSE),0)-IF(AND($N$16=I$18,$N$14&lt;&gt;$N$15,$N$16=$N$17,RIGHT($N41,3)="2SP"),VLOOKUP(CONCATENATE(LEFT($N41,2),"L"),$R$63:$T$90,3,FALSE),0)-IF(AND($O$16=I$18,$O$14&lt;&gt;$O$15,$O$16=$O$17,RIGHT($O41,3)="2SP"),VLOOKUP(CONCATENATE(LEFT($O41,2),"L"),$R$63:$T$90,3,FALSE),0)-IF(AND($P$16=I$18,$P$14&lt;&gt;$P$15,$P$16=$P$17,RIGHT($P41,3)="2SP"),VLOOKUP(CONCATENATE(LEFT($P41,2),"L"),$R$63:$T$90,3,FALSE),0)-IF(AND($Q$16=I$18,$Q$14&lt;&gt;$Q$15,$Q$16=$Q$17,RIGHT($Q41,3)="2SP"),VLOOKUP(CONCATENATE(LEFT($Q41,2),"L"),$R$63:$T$90,3,FALSE),0)-IF(AND($T$16=I$18,$T$14&lt;&gt;$T$15,$T$16=$T$17,RIGHT($T41,3)="2SP"),VLOOKUP(CONCATENATE(LEFT($T41,2),"L"),$R$63:$T$90,3,FALSE),0)-IF(AND($U$16=I$18,$U$14&lt;&gt;$U$15,$U$16=$U$17,RIGHT($U41,3)="2SP"),VLOOKUP(CONCATENATE(LEFT($U41,2),"L"),$R$63:$T$90,3,FALSE),0)-IF(AND($V$16=I$18,$V$14&lt;&gt;$V$15,$V$16=$V$17,RIGHT($V41,3)="2SP"),VLOOKUP(CONCATENATE(LEFT($V41,2),"L"),$R$63:$T$90,3,FALSE),0)-IF(AND($W$16=I$18,$W$14&lt;&gt;$W$15,$W$16=$W$17,RIGHT($W41,3)="2SP"),VLOOKUP(CONCATENATE(LEFT($W41,2),"L"),$R$63:$T$90,3,FALSE),0)-IF(AND($X$16=I$18,$X$14&lt;&gt;$X$15,$X$16=$X$17,RIGHT($X41,3)="2SP"),VLOOKUP(CONCATENATE(LEFT($X41,2),"L"),$R$63:$T$90,3,FALSE),0)-IF(AND($Y$16=I$18,$Y$14&lt;&gt;$Y$15,$Y$16=$Y$17,RIGHT($Y41,3)="2SP"),VLOOKUP(CONCATENATE(LEFT($Y41,2),"L"),$R$63:$T$90,3,FALSE),0),0),"")</f>
        <v/>
      </c>
      <c r="I41" s="271" t="str">
        <f>IF(I$18&lt;&gt;"",IF(VLOOKUP(CONCATENATE($A$18,"Line"),'Supply Attribution'!$F$31:$G$37,2,FALSE)=I$18,$A41,0)+IF(VLOOKUP(CONCATENATE($B$18,"Line"),'Supply Attribution'!$F$31:$G$37,2,FALSE)=I$18,$B41,0)+IF(VLOOKUP(CONCATENATE($C$18,"Line"),'Supply Attribution'!$F$31:$G$37,2,FALSE)=I$18,$C41,0)+IF(VLOOKUP(CONCATENATE($D$18,"Line"),'Supply Attribution'!$F$31:$G$37,2,FALSE)=I$18,$D41,0)+IF(VLOOKUP(CONCATENATE($E$18,"Line"),'Supply Attribution'!$F$31:$G$37,2,FALSE)=I$18,$E41,0)+IF(VLOOKUP(CONCATENATE($F$18,"Line"),'Supply Attribution'!$F$31:$G$37,2,FALSE)=I$18,$F41,0)+IF($K$6="UL",LEFT($S$90,2),0)-IF(AND($K$16=I$18,$K$14&lt;&gt;$K$15,$K$16=$K$17,RIGHT($K41,3)="2SP"),VLOOKUP(CONCATENATE(LEFT($K41,2),"L"),$R$63:$T$90,3,FALSE),0)-IF(AND($L$16=I$18,$L$14&lt;&gt;$L$15,$L$16=$L$17,RIGHT($L41,3)="2SP"),VLOOKUP(CONCATENATE(LEFT($L41,2),"L"),$R$63:$T$90,3,FALSE),0)-IF(AND($M$16=I$18,$M$14&lt;&gt;$M$15,$M$16=$M$17,RIGHT($M41,3)="2SP"),VLOOKUP(CONCATENATE(LEFT($M41,2),"L"),$R$63:$T$90,3,FALSE),0)-IF(AND($N$16=I$18,$N$14&lt;&gt;$N$15,$N$16=$N$17,RIGHT($N41,3)="2SP"),VLOOKUP(CONCATENATE(LEFT($N41,2),"L"),$R$63:$T$90,3,FALSE),0)-IF(AND($O$16=I$18,$O$14&lt;&gt;$O$15,$O$16=$O$17,RIGHT($O41,3)="2SP"),VLOOKUP(CONCATENATE(LEFT($O41,2),"L"),$R$63:$T$90,3,FALSE),0)-IF(AND($P$16=I$18,$P$14&lt;&gt;$P$15,$P$16=$P$17,RIGHT($P41,3)="2SP"),VLOOKUP(CONCATENATE(LEFT($P41,2),"L"),$R$63:$T$90,3,FALSE),0)-IF(AND($Q$16=I$18,$Q$14&lt;&gt;$Q$15,$Q$16=$Q$17,RIGHT($Q41,3)="2SP"),VLOOKUP(CONCATENATE(LEFT($Q41,2),"L"),$R$63:$T$90,3,FALSE),0)-IF(AND($T$16=I$18,$T$14&lt;&gt;$T$15,$T$16=$T$17,RIGHT($T41,3)="2SP"),VLOOKUP(CONCATENATE(LEFT($T41,2),"L"),$R$63:$T$90,3,FALSE),0)-IF(AND($U$16=I$18,$U$14&lt;&gt;$U$15,$U$16=$U$17,RIGHT($U41,3)="2SP"),VLOOKUP(CONCATENATE(LEFT($U41,2),"L"),$R$63:$T$90,3,FALSE),0)-IF(AND($V$16=I$18,$V$14&lt;&gt;$V$15,$V$16=$V$17,RIGHT($V41,3)="2SP"),VLOOKUP(CONCATENATE(LEFT($V41,2),"L"),$R$63:$T$90,3,FALSE),0)-IF(AND($W$16=I$18,$W$14&lt;&gt;$W$15,$W$16=$W$17,RIGHT($W41,3)="2SP"),VLOOKUP(CONCATENATE(LEFT($W41,2),"L"),$R$63:$T$90,3,FALSE),0)-IF(AND($X$16=I$18,$X$14&lt;&gt;$X$15,$X$16=$X$17,RIGHT($X41,3)="2SP"),VLOOKUP(CONCATENATE(LEFT($X41,2),"L"),$R$63:$T$90,3,FALSE),0)-IF(AND($Y$16=I$18,$Y$14&lt;&gt;$Y$15,$Y$16=$Y$17,RIGHT($Y41,3)="2SP"),VLOOKUP(CONCATENATE(LEFT($Y41,2),"L"),$R$63:$T$90,3,FALSE),0),"")</f>
        <v/>
      </c>
      <c r="J41" s="129"/>
      <c r="K41" s="130"/>
      <c r="L41" s="130"/>
      <c r="M41" s="130"/>
      <c r="N41" s="130"/>
      <c r="O41" s="130"/>
      <c r="P41" s="130"/>
      <c r="Q41" s="130"/>
      <c r="R41" s="130"/>
      <c r="S41" s="130"/>
      <c r="T41" s="130"/>
      <c r="U41" s="130"/>
      <c r="V41" s="130"/>
      <c r="W41" s="130"/>
      <c r="X41" s="130"/>
      <c r="Y41" s="130"/>
      <c r="Z41" s="131"/>
      <c r="AA41" s="131"/>
      <c r="AB41" s="132"/>
      <c r="AC41" s="132"/>
      <c r="AD41" s="132"/>
      <c r="AE41" s="133">
        <f t="shared" si="0"/>
        <v>0</v>
      </c>
      <c r="AF41" s="78"/>
    </row>
    <row r="42" spans="1:32" ht="12.95" customHeight="1">
      <c r="A42" s="270">
        <f>IF(AND($K42&lt;&gt;"",$K42&lt;&gt;"--",$K42&lt;&gt;"O3/CP",$K$14=A$18),IF(LEFT($K42,1)="P",VLOOKUP(CONCATENATE(LEFT($K42,2),"H"),$R$63:$T$91,3,FALSE),VLOOKUP($K42,$R$63:$T$91,3,FALSE)))+IF(AND($K42&lt;&gt;"",$K42&lt;&gt;"O3/CP",$K$15=A$18,MID($K42,4,1)="2",$K$15&lt;&gt;$K$14),VLOOKUP(CONCATENATE(LEFT($K42,2),"L"),$R$63:$T$91,3,FALSE),0)+IF(AND($K42="O3/CP",$K$14=A$18),VLOOKUP("O3",$R$63:$T$91,3,FALSE)+VLOOKUP("CP",$R$63:$T$91,3,FALSE),0)+IF(AND($L42&lt;&gt;"",$L42&lt;&gt;"--",$L42&lt;&gt;"O3/CP",$L$14=A$18),IF(LEFT($L42,1)="P",VLOOKUP(CONCATENATE(LEFT($L42,2),"H"),$R$63:$T$91,3,FALSE),VLOOKUP($L42,$R$63:$T$91,3,FALSE)))+IF(AND($L42&lt;&gt;"",$L42&lt;&gt;"O3/CP",$L$15=A$18,MID($L42,4,1)="2",$L$15&lt;&gt;$L$14),VLOOKUP(CONCATENATE(LEFT($L42,2),"L"),$R$63:$T$91,3,FALSE),0)+IF(AND($L42="O3/CP",$L$14=A$18),VLOOKUP("O3",$R$63:$T$91,3,FALSE)+VLOOKUP("CP",$R$63:$T$91,3,FALSE),0)+IF(AND($M42&lt;&gt;"",$M42&lt;&gt;"--",$M42&lt;&gt;"O3/CP",$M$14=A$18),IF(LEFT($M42,1)="P",VLOOKUP(CONCATENATE(LEFT($M42,2),"H"),$R$63:$T$91,3,FALSE),VLOOKUP($M42,$R$63:$T$91,3,FALSE)))+IF(AND($M42&lt;&gt;"",$M42&lt;&gt;"O3/CP",$M$15=A$18,MID($M42,4,1)="2",$M$15&lt;&gt;$M$14),VLOOKUP(CONCATENATE(LEFT($M42,2),"L"),$R$63:$T$91,3,FALSE),0)+IF(AND($M42="O3/CP",$M$14=A$18),VLOOKUP("O3",$R$63:$T$91,3,FALSE)+VLOOKUP("CP",$R$63:$T$91,3,FALSE),0)+IF(AND($N42&lt;&gt;"",$N42&lt;&gt;"--",$N42&lt;&gt;"O3/CP",$N$14=A$18),IF(LEFT($N42,1)="P",VLOOKUP(CONCATENATE(LEFT($N42,2),"H"),$R$63:$T$91,3,FALSE),VLOOKUP($N42,$R$63:$T$91,3,FALSE)))+IF(AND($N42&lt;&gt;"",$N42&lt;&gt;"O3/CP",$N$15=A$18,MID($N42,4,1)="2",$N$15&lt;&gt;$N$14),VLOOKUP(CONCATENATE(LEFT($N42,2),"L"),$R$63:$T$91,3,FALSE),0)+IF(AND($N42="O3/CP",$N$14=A$18),VLOOKUP("O3",$R$63:$T$91,3,FALSE)+VLOOKUP("CP",$R$63:$T$91,3,FALSE),0)+IF(AND($O42&lt;&gt;"",$O42&lt;&gt;"--",$O42&lt;&gt;"O3/CP",$O$14=A$18),IF(LEFT($O42,1)="P",VLOOKUP(CONCATENATE(LEFT($O42,2),"H"),$R$63:$T$91,3,FALSE),VLOOKUP($O42,$R$63:$T$91,3,FALSE)))+IF(AND($O42&lt;&gt;"",$O42&lt;&gt;"O3/CP",$O$15=A$18,MID($O42,4,1)="2",$O$15&lt;&gt;$O$14),VLOOKUP(CONCATENATE(LEFT($O42,2),"L"),$R$63:$T$91,3,FALSE),0)+IF(AND($O42="O3/CP",$O$14=A$18),VLOOKUP("O3",$R$63:$T$91,3,FALSE)+VLOOKUP("CP",$R$63:$T$91,3,FALSE),0)+IF(AND($P42&lt;&gt;"",$P42&lt;&gt;"--",$P42&lt;&gt;"O3/CP",$P$14=A$18),IF(LEFT($P42,1)="P",VLOOKUP(CONCATENATE(LEFT($P42,2),"H"),$R$63:$T$91,3,FALSE),VLOOKUP($P42,$R$63:$T$91,3,FALSE)))+IF(AND($P42&lt;&gt;"",$P42&lt;&gt;"O3/CP",$P$15=A$18,MID($P42,4,1)="2",$P$15&lt;&gt;$P$14),VLOOKUP(CONCATENATE(LEFT($P42,2),"L"),$R$63:$T$91,3,FALSE),0)+IF(AND($P42="O3/CP",$P$14=A$18),VLOOKUP("O3",$R$63:$T$91,3,FALSE)+VLOOKUP("CP",$R$63:$T$91,3,FALSE),0)+IF(AND($Q42&lt;&gt;"",$Q42&lt;&gt;"--",$Q42&lt;&gt;"O3/CP",$Q$14=A$18),IF(LEFT($Q42,1)="P",VLOOKUP(CONCATENATE(LEFT($Q42,2),"H"),$R$63:$T$91,3,FALSE),VLOOKUP($Q42,$R$63:$T$91,3,FALSE)))+IF(AND($Q42&lt;&gt;"",$Q42&lt;&gt;"O3/CP",$Q$15=A$18,MID($Q42,4,1)="2",$Q$15&lt;&gt;$Q$14),VLOOKUP(CONCATENATE(LEFT($Q42,2),"L"),$R$63:$T$91,3,FALSE),0)+IF(AND($Q42="O3/CP",$Q$14=A$18),VLOOKUP("O3",$R$63:$T$91,3,FALSE)+VLOOKUP("CP",$R$63:$T$91,3,FALSE),0)+IF(AND($R42&lt;&gt;"",$R42&lt;&gt;"--",$R42&lt;&gt;"O3/CP",$R$14=A$18),IF(LEFT($R42,1)="P",VLOOKUP(CONCATENATE(LEFT($R42,2),"H"),$R$63:$T$91,3,FALSE),VLOOKUP($R42,$R$63:$T$91,3,FALSE)))+IF(AND($R42&lt;&gt;"",$R42&lt;&gt;"O3/CP",$R$15=A$18,MID($R42,4,1)="2",$R$15&lt;&gt;$R$14),VLOOKUP(CONCATENATE(LEFT($R42,2),"L"),$R$63:$T$91,3,FALSE),0)+IF(AND($R42="O3/CP",$R$14=A$18),VLOOKUP("O3",$R$63:$T$91,3,FALSE)+VLOOKUP("CP",$R$63:$T$91,3,FALSE),0)+IF(AND($S42&lt;&gt;"",$S42&lt;&gt;"--",$S42&lt;&gt;"O3/CP",$S$14=A$18),IF(LEFT($S42,1)="P",VLOOKUP(CONCATENATE(LEFT($S42,2),"H"),$R$63:$T$91,3,FALSE),VLOOKUP($S42,$R$63:$T$91,3,FALSE)))+IF(AND($S42&lt;&gt;"",$S42&lt;&gt;"O3/CP",$S$15=A$18,MID($S42,4,1)="2",$S$15&lt;&gt;$S$14),VLOOKUP(CONCATENATE(LEFT($S42,2),"L"),$R$63:$T$91,3,FALSE),0)+IF(AND($S42="O3/CP",$S$14=A$18),VLOOKUP("O3",$R$63:$T$91,3,FALSE)+VLOOKUP("CP",$R$63:$T$91,3,FALSE),0)+IF(AND($T42&lt;&gt;"",$T42&lt;&gt;"--",$T42&lt;&gt;"O3/CP",$T$14=A$18),IF(LEFT($T42,1)="P",VLOOKUP(CONCATENATE(LEFT($T42,2),"H"),$R$63:$T$91,3,FALSE),VLOOKUP($T42,$R$63:$T$91,3,FALSE)))+IF(AND($T42&lt;&gt;"",$T42&lt;&gt;"O3/CP",$T$15=A$18,MID($T42,4,1)="2",$T$15&lt;&gt;$T$14),VLOOKUP(CONCATENATE(LEFT($T42,2),"L"),$R$63:$T$91,3,FALSE),0)+IF(AND($T42="O3/CP",$T$14=A$18),VLOOKUP("O3",$R$63:$T$91,3,FALSE)+VLOOKUP("CP",$R$63:$T$91,3,FALSE),0)+IF(AND($U42&lt;&gt;"",$U42&lt;&gt;"--",$U42&lt;&gt;"O3/CP",$U$14=A$18),IF(LEFT($U42,1)="P",VLOOKUP(CONCATENATE(LEFT($U42,2),"H"),$R$63:$T$91,3,FALSE),VLOOKUP($U42,$R$63:$T$91,3,FALSE)))+IF(AND($U42&lt;&gt;"",$U42&lt;&gt;"O3/CP",$U$15=A$18,MID($U42,4,1)="2",$U$15&lt;&gt;$U$14),VLOOKUP(CONCATENATE(LEFT($U42,2),"L"),$R$63:$T$91,3,FALSE),0)+IF(AND($U42="O3/CP",$T$14=A$18),VLOOKUP("O3",$R$63:$T$91,3,FALSE)+VLOOKUP("CP",$R$63:$T$91,3,FALSE),0)+IF(AND($V42&lt;&gt;"",$V42&lt;&gt;"--",$V42&lt;&gt;"O3/CP",$V$14=A$18),IF(LEFT($V42,1)="P",VLOOKUP(CONCATENATE(LEFT($V42,2),"H"),$R$63:$T$91,3,FALSE),VLOOKUP($V42,$R$63:$T$91,3,FALSE)))+IF(AND($V42&lt;&gt;"",$V42&lt;&gt;"O3/CP",$V$15=A$18,MID($V42,4,1)="2",$V$15&lt;&gt;$V$14),VLOOKUP(CONCATENATE(LEFT($V42,2),"L"),$R$63:$T$91,3,FALSE),0)+IF(AND($V42="O3/CP",$V$14=A$18),VLOOKUP("O3",$R$63:$T$91,3,FALSE)+VLOOKUP("CP",$R$63:$T$91,3,FALSE),0)+IF(AND($W42&lt;&gt;"",$W42&lt;&gt;"--",$W42&lt;&gt;"O3/CP",$W$14=A$18),IF(LEFT($W42,1)="P",VLOOKUP(CONCATENATE(LEFT($W42,2),"H"),$R$63:$T$91,3,FALSE),VLOOKUP($W42,$R$63:$T$91,3,FALSE)))+IF(AND($W42&lt;&gt;"",$W42&lt;&gt;"O3/CP",$W$15=A$18,MID($W42,4,1)="2",$W$15&lt;&gt;$W$14),VLOOKUP(CONCATENATE(LEFT($W42,2),"L"),$R$63:$T$91,3,FALSE),0)+IF(AND($W42="O3/CP",$W$14=A$18),VLOOKUP("O3",$R$63:$T$91,3,FALSE)+VLOOKUP("CP",$R$63:$T$91,3,FALSE),0)+IF(AND($X42&lt;&gt;"",$X42&lt;&gt;"--",$X42&lt;&gt;"O3/CP",$X$14=A$18),IF(LEFT($X42,1)="P",VLOOKUP(CONCATENATE(LEFT($X42,2),"H"),$R$63:$T$91,3,FALSE),VLOOKUP($X42,$R$63:$T$91,3,FALSE)))+IF(AND($X42&lt;&gt;"",$X42&lt;&gt;"O3/CP",$X$15=A$18,MID($X42,4,1)="2",$X$15&lt;&gt;$X$14),VLOOKUP(CONCATENATE(LEFT($X42,2),"L"),$R$63:$T$91,3,FALSE),0)+IF(AND($X42="O3/CP",$X$14=A$18),VLOOKUP("O3",$R$63:$T$91,3,FALSE)+VLOOKUP("CP",$R$63:$T$91,3,FALSE),0)+IF(AND($Y42&lt;&gt;"",$Y42&lt;&gt;"--",$Y42&lt;&gt;"O3/CP",$Y$14=A$18),IF(LEFT($Y42,1)="P",VLOOKUP(CONCATENATE(LEFT($Y42,2),"H"),$R$63:$T$91,3,FALSE),VLOOKUP($Y42,$R$63:$T$91,3,FALSE)))+IF(AND($Y42&lt;&gt;"",$Y42&lt;&gt;"O3/CP",$Y$15=A$18,MID($Y42,4,1)="2",$Y$15&lt;&gt;$Y$14),VLOOKUP(CONCATENATE(LEFT($Y42,2),"L"),$R$63:$T$91,3,FALSE),0)+IF(AND($Y42="O3/CP",$Y$14=A$18),VLOOKUP("O3",$R$63:$T$91,3,FALSE)+VLOOKUP("CP",$R$63:$T$91,3,FALSE),0)+IF(AND($K$6="CE",'[3]Supply Attribution'!$G$20=A$18),LEFT($S$90,2),0)+IF(AND($X$86&lt;&gt;"Not Set",$X$87=A$18),$X$86,0)</f>
        <v>0</v>
      </c>
      <c r="B42" s="269">
        <f>IF(AND($K42&lt;&gt;"",$K42&lt;&gt;"--",$K42&lt;&gt;"O3/CP",$K$14=B$18),IF(LEFT($K42,1)="P",VLOOKUP(CONCATENATE(LEFT($K42,2),"H"),$R$63:$T$91,3,FALSE),VLOOKUP($K42,$R$63:$T$91,3,FALSE)))+IF(AND($K42&lt;&gt;"",$K42&lt;&gt;"O3/CP",$K$15=B$18,MID($K42,4,1)="2",$K$15&lt;&gt;$K$14),VLOOKUP(CONCATENATE(LEFT($K42,2),"L"),$R$63:$T$91,3,FALSE),0)+IF(AND($K42="O3/CP",$K$14=B$18),VLOOKUP("O3",$R$63:$T$91,3,FALSE)+VLOOKUP("CP",$R$63:$T$91,3,FALSE),0)+IF(AND($L42&lt;&gt;"",$L42&lt;&gt;"--",$L42&lt;&gt;"O3/CP",$L$14=B$18),IF(LEFT($L42,1)="P",VLOOKUP(CONCATENATE(LEFT($L42,2),"H"),$R$63:$T$91,3,FALSE),VLOOKUP($L42,$R$63:$T$91,3,FALSE)))+IF(AND($L42&lt;&gt;"",$L42&lt;&gt;"O3/CP",$L$15=B$18,MID($L42,4,1)="2",$L$15&lt;&gt;$L$14),VLOOKUP(CONCATENATE(LEFT($L42,2),"L"),$R$63:$T$91,3,FALSE),0)+IF(AND($L42="O3/CP",$L$14=B$18),VLOOKUP("O3",$R$63:$T$91,3,FALSE)+VLOOKUP("CP",$R$63:$T$91,3,FALSE),0)+IF(AND($M42&lt;&gt;"",$M42&lt;&gt;"--",$M42&lt;&gt;"O3/CP",$M$14=B$18),IF(LEFT($M42,1)="P",VLOOKUP(CONCATENATE(LEFT($M42,2),"H"),$R$63:$T$91,3,FALSE),VLOOKUP($M42,$R$63:$T$91,3,FALSE)))+IF(AND($M42&lt;&gt;"",$M42&lt;&gt;"O3/CP",$M$15=B$18,MID($M42,4,1)="2",$M$15&lt;&gt;$M$14),VLOOKUP(CONCATENATE(LEFT($M42,2),"L"),$R$63:$T$91,3,FALSE),0)+IF(AND($M42="O3/CP",$M$14=B$18),VLOOKUP("O3",$R$63:$T$91,3,FALSE)+VLOOKUP("CP",$R$63:$T$91,3,FALSE),0)+IF(AND($N42&lt;&gt;"",$N42&lt;&gt;"--",$N42&lt;&gt;"O3/CP",$N$14=B$18),IF(LEFT($N42,1)="P",VLOOKUP(CONCATENATE(LEFT($N42,2),"H"),$R$63:$T$91,3,FALSE),VLOOKUP($N42,$R$63:$T$91,3,FALSE)))+IF(AND($N42&lt;&gt;"",$N42&lt;&gt;"O3/CP",$N$15=B$18,MID($N42,4,1)="2",$N$15&lt;&gt;$N$14),VLOOKUP(CONCATENATE(LEFT($N42,2),"L"),$R$63:$T$91,3,FALSE),0)+IF(AND($N42="O3/CP",$N$14=B$18),VLOOKUP("O3",$R$63:$T$91,3,FALSE)+VLOOKUP("CP",$R$63:$T$91,3,FALSE),0)+IF(AND($O42&lt;&gt;"",$O42&lt;&gt;"--",$O42&lt;&gt;"O3/CP",$O$14=B$18),IF(LEFT($O42,1)="P",VLOOKUP(CONCATENATE(LEFT($O42,2),"H"),$R$63:$T$91,3,FALSE),VLOOKUP($O42,$R$63:$T$91,3,FALSE)))+IF(AND($O42&lt;&gt;"",$O42&lt;&gt;"O3/CP",$O$15=B$18,MID($O42,4,1)="2",$O$15&lt;&gt;$O$14),VLOOKUP(CONCATENATE(LEFT($O42,2),"L"),$R$63:$T$91,3,FALSE),0)+IF(AND($O42="O3/CP",$O$14=B$18),VLOOKUP("O3",$R$63:$T$91,3,FALSE)+VLOOKUP("CP",$R$63:$T$91,3,FALSE),0)+IF(AND($P42&lt;&gt;"",$P42&lt;&gt;"--",$P42&lt;&gt;"O3/CP",$P$14=B$18),IF(LEFT($P42,1)="P",VLOOKUP(CONCATENATE(LEFT($P42,2),"H"),$R$63:$T$91,3,FALSE),VLOOKUP($P42,$R$63:$T$91,3,FALSE)))+IF(AND($P42&lt;&gt;"",$P42&lt;&gt;"O3/CP",$P$15=B$18,MID($P42,4,1)="2",$P$15&lt;&gt;$P$14),VLOOKUP(CONCATENATE(LEFT($P42,2),"L"),$R$63:$T$91,3,FALSE),0)+IF(AND($P42="O3/CP",$P$14=B$18),VLOOKUP("O3",$R$63:$T$91,3,FALSE)+VLOOKUP("CP",$R$63:$T$91,3,FALSE),0)+IF(AND($Q42&lt;&gt;"",$Q42&lt;&gt;"--",$Q42&lt;&gt;"O3/CP",$Q$14=B$18),IF(LEFT($Q42,1)="P",VLOOKUP(CONCATENATE(LEFT($Q42,2),"H"),$R$63:$T$91,3,FALSE),VLOOKUP($Q42,$R$63:$T$91,3,FALSE)))+IF(AND($Q42&lt;&gt;"",$Q42&lt;&gt;"O3/CP",$Q$15=B$18,MID($Q42,4,1)="2",$Q$15&lt;&gt;$Q$14),VLOOKUP(CONCATENATE(LEFT($Q42,2),"L"),$R$63:$T$91,3,FALSE),0)+IF(AND($Q42="O3/CP",$Q$14=B$18),VLOOKUP("O3",$R$63:$T$91,3,FALSE)+VLOOKUP("CP",$R$63:$T$91,3,FALSE),0)+IF(AND($R42&lt;&gt;"",$R42&lt;&gt;"--",$R42&lt;&gt;"O3/CP",$R$14=B$18),IF(LEFT($R42,1)="P",VLOOKUP(CONCATENATE(LEFT($R42,2),"H"),$R$63:$T$91,3,FALSE),VLOOKUP($R42,$R$63:$T$91,3,FALSE)))+IF(AND($R42&lt;&gt;"",$R42&lt;&gt;"O3/CP",$R$15=B$18,MID($R42,4,1)="2",$R$15&lt;&gt;$R$14),VLOOKUP(CONCATENATE(LEFT($R42,2),"L"),$R$63:$T$91,3,FALSE),0)+IF(AND($R42="O3/CP",$R$14=B$18),VLOOKUP("O3",$R$63:$T$91,3,FALSE)+VLOOKUP("CP",$R$63:$T$91,3,FALSE),0)+IF(AND($S42&lt;&gt;"",$S42&lt;&gt;"--",$S42&lt;&gt;"O3/CP",$S$14=B$18),IF(LEFT($S42,1)="P",VLOOKUP(CONCATENATE(LEFT($S42,2),"H"),$R$63:$T$91,3,FALSE),VLOOKUP($S42,$R$63:$T$91,3,FALSE)))+IF(AND($S42&lt;&gt;"",$S42&lt;&gt;"O3/CP",$S$15=B$18,MID($S42,4,1)="2",$S$15&lt;&gt;$S$14),VLOOKUP(CONCATENATE(LEFT($S42,2),"L"),$R$63:$T$91,3,FALSE),0)+IF(AND($S42="O3/CP",$S$14=B$18),VLOOKUP("O3",$R$63:$T$91,3,FALSE)+VLOOKUP("CP",$R$63:$T$91,3,FALSE),0)+IF(AND($T42&lt;&gt;"",$T42&lt;&gt;"--",$T42&lt;&gt;"O3/CP",$T$14=B$18),IF(LEFT($T42,1)="P",VLOOKUP(CONCATENATE(LEFT($T42,2),"H"),$R$63:$T$91,3,FALSE),VLOOKUP($T42,$R$63:$T$91,3,FALSE)))+IF(AND($T42&lt;&gt;"",$T42&lt;&gt;"O3/CP",$T$15=B$18,MID($T42,4,1)="2",$T$15&lt;&gt;$T$14),VLOOKUP(CONCATENATE(LEFT($T42,2),"L"),$R$63:$T$91,3,FALSE),0)+IF(AND($T42="O3/CP",$T$14=B$18),VLOOKUP("O3",$R$63:$T$91,3,FALSE)+VLOOKUP("CP",$R$63:$T$91,3,FALSE),0)+IF(AND($U42&lt;&gt;"",$U42&lt;&gt;"--",$U42&lt;&gt;"O3/CP",$U$14=B$18),IF(LEFT($U42,1)="P",VLOOKUP(CONCATENATE(LEFT($U42,2),"H"),$R$63:$T$91,3,FALSE),VLOOKUP($U42,$R$63:$T$91,3,FALSE)))+IF(AND($U42&lt;&gt;"",$U42&lt;&gt;"O3/CP",$U$15=B$18,MID($U42,4,1)="2",$U$15&lt;&gt;$U$14),VLOOKUP(CONCATENATE(LEFT($U42,2),"L"),$R$63:$T$91,3,FALSE),0)+IF(AND($U42="O3/CP",$T$14=B$18),VLOOKUP("O3",$R$63:$T$91,3,FALSE)+VLOOKUP("CP",$R$63:$T$91,3,FALSE),0)+IF(AND($V42&lt;&gt;"",$V42&lt;&gt;"--",$V42&lt;&gt;"O3/CP",$V$14=B$18),IF(LEFT($V42,1)="P",VLOOKUP(CONCATENATE(LEFT($V42,2),"H"),$R$63:$T$91,3,FALSE),VLOOKUP($V42,$R$63:$T$91,3,FALSE)))+IF(AND($V42&lt;&gt;"",$V42&lt;&gt;"O3/CP",$V$15=B$18,MID($V42,4,1)="2",$V$15&lt;&gt;$V$14),VLOOKUP(CONCATENATE(LEFT($V42,2),"L"),$R$63:$T$91,3,FALSE),0)+IF(AND($V42="O3/CP",$V$14=B$18),VLOOKUP("O3",$R$63:$T$91,3,FALSE)+VLOOKUP("CP",$R$63:$T$91,3,FALSE),0)+IF(AND($W42&lt;&gt;"",$W42&lt;&gt;"--",$W42&lt;&gt;"O3/CP",$W$14=B$18),IF(LEFT($W42,1)="P",VLOOKUP(CONCATENATE(LEFT($W42,2),"H"),$R$63:$T$91,3,FALSE),VLOOKUP($W42,$R$63:$T$91,3,FALSE)))+IF(AND($W42&lt;&gt;"",$W42&lt;&gt;"O3/CP",$W$15=B$18,MID($W42,4,1)="2",$W$15&lt;&gt;$W$14),VLOOKUP(CONCATENATE(LEFT($W42,2),"L"),$R$63:$T$91,3,FALSE),0)+IF(AND($W42="O3/CP",$W$14=B$18),VLOOKUP("O3",$R$63:$T$91,3,FALSE)+VLOOKUP("CP",$R$63:$T$91,3,FALSE),0)+IF(AND($X42&lt;&gt;"",$X42&lt;&gt;"--",$X42&lt;&gt;"O3/CP",$X$14=B$18),IF(LEFT($X42,1)="P",VLOOKUP(CONCATENATE(LEFT($X42,2),"H"),$R$63:$T$91,3,FALSE),VLOOKUP($X42,$R$63:$T$91,3,FALSE)))+IF(AND($X42&lt;&gt;"",$X42&lt;&gt;"O3/CP",$X$15=B$18,MID($X42,4,1)="2",$X$15&lt;&gt;$X$14),VLOOKUP(CONCATENATE(LEFT($X42,2),"L"),$R$63:$T$91,3,FALSE),0)+IF(AND($X42="O3/CP",$X$14=B$18),VLOOKUP("O3",$R$63:$T$91,3,FALSE)+VLOOKUP("CP",$R$63:$T$91,3,FALSE),0)+IF(AND($Y42&lt;&gt;"",$Y42&lt;&gt;"--",$Y42&lt;&gt;"O3/CP",$Y$14=B$18),IF(LEFT($Y42,1)="P",VLOOKUP(CONCATENATE(LEFT($Y42,2),"H"),$R$63:$T$91,3,FALSE),VLOOKUP($Y42,$R$63:$T$91,3,FALSE)))+IF(AND($Y42&lt;&gt;"",$Y42&lt;&gt;"O3/CP",$Y$15=B$18,MID($Y42,4,1)="2",$Y$15&lt;&gt;$Y$14),VLOOKUP(CONCATENATE(LEFT($Y42,2),"L"),$R$63:$T$91,3,FALSE),0)+IF(AND($Y42="O3/CP",$Y$14=B$18),VLOOKUP("O3",$R$63:$T$91,3,FALSE)+VLOOKUP("CP",$R$63:$T$91,3,FALSE),0)+IF(AND($K$6="CE",'[3]Supply Attribution'!$G$20=B$18),LEFT($S$90,2),0)+IF(AND($X$86&lt;&gt;"Not Set",$X$87=B$18),$X$86,0)</f>
        <v>0</v>
      </c>
      <c r="C42" s="269">
        <f>IF(AND($K42&lt;&gt;"",$K42&lt;&gt;"--",$K42&lt;&gt;"O3/CP",$K$14=C$18),IF(LEFT($K42,1)="P",VLOOKUP(CONCATENATE(LEFT($K42,2),"H"),$R$63:$T$91,3,FALSE),VLOOKUP($K42,$R$63:$T$91,3,FALSE)))+IF(AND($K42&lt;&gt;"",$K42&lt;&gt;"O3/CP",$K$15=C$18,MID($K42,4,1)="2",$K$15&lt;&gt;$K$14),VLOOKUP(CONCATENATE(LEFT($K42,2),"L"),$R$63:$T$91,3,FALSE),0)+IF(AND($K42="O3/CP",$K$14=C$18),VLOOKUP("O3",$R$63:$T$91,3,FALSE)+VLOOKUP("CP",$R$63:$T$91,3,FALSE),0)+IF(AND($L42&lt;&gt;"",$L42&lt;&gt;"--",$L42&lt;&gt;"O3/CP",$L$14=C$18),IF(LEFT($L42,1)="P",VLOOKUP(CONCATENATE(LEFT($L42,2),"H"),$R$63:$T$91,3,FALSE),VLOOKUP($L42,$R$63:$T$91,3,FALSE)))+IF(AND($L42&lt;&gt;"",$L42&lt;&gt;"O3/CP",$L$15=C$18,MID($L42,4,1)="2",$L$15&lt;&gt;$L$14),VLOOKUP(CONCATENATE(LEFT($L42,2),"L"),$R$63:$T$91,3,FALSE),0)+IF(AND($L42="O3/CP",$L$14=C$18),VLOOKUP("O3",$R$63:$T$91,3,FALSE)+VLOOKUP("CP",$R$63:$T$91,3,FALSE),0)+IF(AND($M42&lt;&gt;"",$M42&lt;&gt;"--",$M42&lt;&gt;"O3/CP",$M$14=C$18),IF(LEFT($M42,1)="P",VLOOKUP(CONCATENATE(LEFT($M42,2),"H"),$R$63:$T$91,3,FALSE),VLOOKUP($M42,$R$63:$T$91,3,FALSE)))+IF(AND($M42&lt;&gt;"",$M42&lt;&gt;"O3/CP",$M$15=C$18,MID($M42,4,1)="2",$M$15&lt;&gt;$M$14),VLOOKUP(CONCATENATE(LEFT($M42,2),"L"),$R$63:$T$91,3,FALSE),0)+IF(AND($M42="O3/CP",$M$14=C$18),VLOOKUP("O3",$R$63:$T$91,3,FALSE)+VLOOKUP("CP",$R$63:$T$91,3,FALSE),0)+IF(AND($N42&lt;&gt;"",$N42&lt;&gt;"--",$N42&lt;&gt;"O3/CP",$N$14=C$18),IF(LEFT($N42,1)="P",VLOOKUP(CONCATENATE(LEFT($N42,2),"H"),$R$63:$T$91,3,FALSE),VLOOKUP($N42,$R$63:$T$91,3,FALSE)))+IF(AND($N42&lt;&gt;"",$N42&lt;&gt;"O3/CP",$N$15=C$18,MID($N42,4,1)="2",$N$15&lt;&gt;$N$14),VLOOKUP(CONCATENATE(LEFT($N42,2),"L"),$R$63:$T$91,3,FALSE),0)+IF(AND($N42="O3/CP",$N$14=C$18),VLOOKUP("O3",$R$63:$T$91,3,FALSE)+VLOOKUP("CP",$R$63:$T$91,3,FALSE),0)+IF(AND($O42&lt;&gt;"",$O42&lt;&gt;"--",$O42&lt;&gt;"O3/CP",$O$14=C$18),IF(LEFT($O42,1)="P",VLOOKUP(CONCATENATE(LEFT($O42,2),"H"),$R$63:$T$91,3,FALSE),VLOOKUP($O42,$R$63:$T$91,3,FALSE)))+IF(AND($O42&lt;&gt;"",$O42&lt;&gt;"O3/CP",$O$15=C$18,MID($O42,4,1)="2",$O$15&lt;&gt;$O$14),VLOOKUP(CONCATENATE(LEFT($O42,2),"L"),$R$63:$T$91,3,FALSE),0)+IF(AND($O42="O3/CP",$O$14=C$18),VLOOKUP("O3",$R$63:$T$91,3,FALSE)+VLOOKUP("CP",$R$63:$T$91,3,FALSE),0)+IF(AND($P42&lt;&gt;"",$P42&lt;&gt;"--",$P42&lt;&gt;"O3/CP",$P$14=C$18),IF(LEFT($P42,1)="P",VLOOKUP(CONCATENATE(LEFT($P42,2),"H"),$R$63:$T$91,3,FALSE),VLOOKUP($P42,$R$63:$T$91,3,FALSE)))+IF(AND($P42&lt;&gt;"",$P42&lt;&gt;"O3/CP",$P$15=C$18,MID($P42,4,1)="2",$P$15&lt;&gt;$P$14),VLOOKUP(CONCATENATE(LEFT($P42,2),"L"),$R$63:$T$91,3,FALSE),0)+IF(AND($P42="O3/CP",$P$14=C$18),VLOOKUP("O3",$R$63:$T$91,3,FALSE)+VLOOKUP("CP",$R$63:$T$91,3,FALSE),0)+IF(AND($Q42&lt;&gt;"",$Q42&lt;&gt;"--",$Q42&lt;&gt;"O3/CP",$Q$14=C$18),IF(LEFT($Q42,1)="P",VLOOKUP(CONCATENATE(LEFT($Q42,2),"H"),$R$63:$T$91,3,FALSE),VLOOKUP($Q42,$R$63:$T$91,3,FALSE)))+IF(AND($Q42&lt;&gt;"",$Q42&lt;&gt;"O3/CP",$Q$15=C$18,MID($Q42,4,1)="2",$Q$15&lt;&gt;$Q$14),VLOOKUP(CONCATENATE(LEFT($Q42,2),"L"),$R$63:$T$91,3,FALSE),0)+IF(AND($Q42="O3/CP",$Q$14=C$18),VLOOKUP("O3",$R$63:$T$91,3,FALSE)+VLOOKUP("CP",$R$63:$T$91,3,FALSE),0)+IF(AND($R42&lt;&gt;"",$R42&lt;&gt;"--",$R42&lt;&gt;"O3/CP",$R$14=C$18),IF(LEFT($R42,1)="P",VLOOKUP(CONCATENATE(LEFT($R42,2),"H"),$R$63:$T$91,3,FALSE),VLOOKUP($R42,$R$63:$T$91,3,FALSE)))+IF(AND($R42&lt;&gt;"",$R42&lt;&gt;"O3/CP",$R$15=C$18,MID($R42,4,1)="2",$R$15&lt;&gt;$R$14),VLOOKUP(CONCATENATE(LEFT($R42,2),"L"),$R$63:$T$91,3,FALSE),0)+IF(AND($R42="O3/CP",$R$14=C$18),VLOOKUP("O3",$R$63:$T$91,3,FALSE)+VLOOKUP("CP",$R$63:$T$91,3,FALSE),0)+IF(AND($S42&lt;&gt;"",$S42&lt;&gt;"--",$S42&lt;&gt;"O3/CP",$S$14=C$18),IF(LEFT($S42,1)="P",VLOOKUP(CONCATENATE(LEFT($S42,2),"H"),$R$63:$T$91,3,FALSE),VLOOKUP($S42,$R$63:$T$91,3,FALSE)))+IF(AND($S42&lt;&gt;"",$S42&lt;&gt;"O3/CP",$S$15=C$18,MID($S42,4,1)="2",$S$15&lt;&gt;$S$14),VLOOKUP(CONCATENATE(LEFT($S42,2),"L"),$R$63:$T$91,3,FALSE),0)+IF(AND($S42="O3/CP",$S$14=C$18),VLOOKUP("O3",$R$63:$T$91,3,FALSE)+VLOOKUP("CP",$R$63:$T$91,3,FALSE),0)+IF(AND($T42&lt;&gt;"",$T42&lt;&gt;"--",$T42&lt;&gt;"O3/CP",$T$14=C$18),IF(LEFT($T42,1)="P",VLOOKUP(CONCATENATE(LEFT($T42,2),"H"),$R$63:$T$91,3,FALSE),VLOOKUP($T42,$R$63:$T$91,3,FALSE)))+IF(AND($T42&lt;&gt;"",$T42&lt;&gt;"O3/CP",$T$15=C$18,MID($T42,4,1)="2",$T$15&lt;&gt;$T$14),VLOOKUP(CONCATENATE(LEFT($T42,2),"L"),$R$63:$T$91,3,FALSE),0)+IF(AND($T42="O3/CP",$T$14=C$18),VLOOKUP("O3",$R$63:$T$91,3,FALSE)+VLOOKUP("CP",$R$63:$T$91,3,FALSE),0)+IF(AND($U42&lt;&gt;"",$U42&lt;&gt;"--",$U42&lt;&gt;"O3/CP",$U$14=C$18),IF(LEFT($U42,1)="P",VLOOKUP(CONCATENATE(LEFT($U42,2),"H"),$R$63:$T$91,3,FALSE),VLOOKUP($U42,$R$63:$T$91,3,FALSE)))+IF(AND($U42&lt;&gt;"",$U42&lt;&gt;"O3/CP",$U$15=C$18,MID($U42,4,1)="2",$U$15&lt;&gt;$U$14),VLOOKUP(CONCATENATE(LEFT($U42,2),"L"),$R$63:$T$91,3,FALSE),0)+IF(AND($U42="O3/CP",$T$14=C$18),VLOOKUP("O3",$R$63:$T$91,3,FALSE)+VLOOKUP("CP",$R$63:$T$91,3,FALSE),0)+IF(AND($V42&lt;&gt;"",$V42&lt;&gt;"--",$V42&lt;&gt;"O3/CP",$V$14=C$18),IF(LEFT($V42,1)="P",VLOOKUP(CONCATENATE(LEFT($V42,2),"H"),$R$63:$T$91,3,FALSE),VLOOKUP($V42,$R$63:$T$91,3,FALSE)))+IF(AND($V42&lt;&gt;"",$V42&lt;&gt;"O3/CP",$V$15=C$18,MID($V42,4,1)="2",$V$15&lt;&gt;$V$14),VLOOKUP(CONCATENATE(LEFT($V42,2),"L"),$R$63:$T$91,3,FALSE),0)+IF(AND($V42="O3/CP",$V$14=C$18),VLOOKUP("O3",$R$63:$T$91,3,FALSE)+VLOOKUP("CP",$R$63:$T$91,3,FALSE),0)+IF(AND($W42&lt;&gt;"",$W42&lt;&gt;"--",$W42&lt;&gt;"O3/CP",$W$14=C$18),IF(LEFT($W42,1)="P",VLOOKUP(CONCATENATE(LEFT($W42,2),"H"),$R$63:$T$91,3,FALSE),VLOOKUP($W42,$R$63:$T$91,3,FALSE)))+IF(AND($W42&lt;&gt;"",$W42&lt;&gt;"O3/CP",$W$15=C$18,MID($W42,4,1)="2",$W$15&lt;&gt;$W$14),VLOOKUP(CONCATENATE(LEFT($W42,2),"L"),$R$63:$T$91,3,FALSE),0)+IF(AND($W42="O3/CP",$W$14=C$18),VLOOKUP("O3",$R$63:$T$91,3,FALSE)+VLOOKUP("CP",$R$63:$T$91,3,FALSE),0)+IF(AND($X42&lt;&gt;"",$X42&lt;&gt;"--",$X42&lt;&gt;"O3/CP",$X$14=C$18),IF(LEFT($X42,1)="P",VLOOKUP(CONCATENATE(LEFT($X42,2),"H"),$R$63:$T$91,3,FALSE),VLOOKUP($X42,$R$63:$T$91,3,FALSE)))+IF(AND($X42&lt;&gt;"",$X42&lt;&gt;"O3/CP",$X$15=C$18,MID($X42,4,1)="2",$X$15&lt;&gt;$X$14),VLOOKUP(CONCATENATE(LEFT($X42,2),"L"),$R$63:$T$91,3,FALSE),0)+IF(AND($X42="O3/CP",$X$14=C$18),VLOOKUP("O3",$R$63:$T$91,3,FALSE)+VLOOKUP("CP",$R$63:$T$91,3,FALSE),0)+IF(AND($Y42&lt;&gt;"",$Y42&lt;&gt;"--",$Y42&lt;&gt;"O3/CP",$Y$14=C$18),IF(LEFT($Y42,1)="P",VLOOKUP(CONCATENATE(LEFT($Y42,2),"H"),$R$63:$T$91,3,FALSE),VLOOKUP($Y42,$R$63:$T$91,3,FALSE)))+IF(AND($Y42&lt;&gt;"",$Y42&lt;&gt;"O3/CP",$Y$15=C$18,MID($Y42,4,1)="2",$Y$15&lt;&gt;$Y$14),VLOOKUP(CONCATENATE(LEFT($Y42,2),"L"),$R$63:$T$91,3,FALSE),0)+IF(AND($Y42="O3/CP",$Y$14=C$18),VLOOKUP("O3",$R$63:$T$91,3,FALSE)+VLOOKUP("CP",$R$63:$T$91,3,FALSE),0)+IF(AND($K$6="CE",'[3]Supply Attribution'!$G$20=C$18),LEFT($S$90,2),0)+IF(AND($X$86&lt;&gt;"Not Set",$X$87=C$18),$X$86,0)</f>
        <v>0</v>
      </c>
      <c r="D42" s="269">
        <f>IF(AND($K42&lt;&gt;"",$K42&lt;&gt;"--",$K42&lt;&gt;"O3/CP",$K$14=D$18),IF(LEFT($K42,1)="P",VLOOKUP(CONCATENATE(LEFT($K42,2),"H"),$R$63:$T$91,3,FALSE),VLOOKUP($K42,$R$63:$T$91,3,FALSE)))+IF(AND($K42&lt;&gt;"",$K42&lt;&gt;"O3/CP",$K$15=D$18,MID($K42,4,1)="2",$K$15&lt;&gt;$K$14),VLOOKUP(CONCATENATE(LEFT($K42,2),"L"),$R$63:$T$91,3,FALSE),0)+IF(AND($K42="O3/CP",$K$14=D$18),VLOOKUP("O3",$R$63:$T$91,3,FALSE)+VLOOKUP("CP",$R$63:$T$91,3,FALSE),0)+IF(AND($L42&lt;&gt;"",$L42&lt;&gt;"--",$L42&lt;&gt;"O3/CP",$L$14=D$18),IF(LEFT($L42,1)="P",VLOOKUP(CONCATENATE(LEFT($L42,2),"H"),$R$63:$T$91,3,FALSE),VLOOKUP($L42,$R$63:$T$91,3,FALSE)))+IF(AND($L42&lt;&gt;"",$L42&lt;&gt;"O3/CP",$L$15=D$18,MID($L42,4,1)="2",$L$15&lt;&gt;$L$14),VLOOKUP(CONCATENATE(LEFT($L42,2),"L"),$R$63:$T$91,3,FALSE),0)+IF(AND($L42="O3/CP",$L$14=D$18),VLOOKUP("O3",$R$63:$T$91,3,FALSE)+VLOOKUP("CP",$R$63:$T$91,3,FALSE),0)+IF(AND($M42&lt;&gt;"",$M42&lt;&gt;"--",$M42&lt;&gt;"O3/CP",$M$14=D$18),IF(LEFT($M42,1)="P",VLOOKUP(CONCATENATE(LEFT($M42,2),"H"),$R$63:$T$91,3,FALSE),VLOOKUP($M42,$R$63:$T$91,3,FALSE)))+IF(AND($M42&lt;&gt;"",$M42&lt;&gt;"O3/CP",$M$15=D$18,MID($M42,4,1)="2",$M$15&lt;&gt;$M$14),VLOOKUP(CONCATENATE(LEFT($M42,2),"L"),$R$63:$T$91,3,FALSE),0)+IF(AND($M42="O3/CP",$M$14=D$18),VLOOKUP("O3",$R$63:$T$91,3,FALSE)+VLOOKUP("CP",$R$63:$T$91,3,FALSE),0)+IF(AND($N42&lt;&gt;"",$N42&lt;&gt;"--",$N42&lt;&gt;"O3/CP",$N$14=D$18),IF(LEFT($N42,1)="P",VLOOKUP(CONCATENATE(LEFT($N42,2),"H"),$R$63:$T$91,3,FALSE),VLOOKUP($N42,$R$63:$T$91,3,FALSE)))+IF(AND($N42&lt;&gt;"",$N42&lt;&gt;"O3/CP",$N$15=D$18,MID($N42,4,1)="2",$N$15&lt;&gt;$N$14),VLOOKUP(CONCATENATE(LEFT($N42,2),"L"),$R$63:$T$91,3,FALSE),0)+IF(AND($N42="O3/CP",$N$14=D$18),VLOOKUP("O3",$R$63:$T$91,3,FALSE)+VLOOKUP("CP",$R$63:$T$91,3,FALSE),0)+IF(AND($O42&lt;&gt;"",$O42&lt;&gt;"--",$O42&lt;&gt;"O3/CP",$O$14=D$18),IF(LEFT($O42,1)="P",VLOOKUP(CONCATENATE(LEFT($O42,2),"H"),$R$63:$T$91,3,FALSE),VLOOKUP($O42,$R$63:$T$91,3,FALSE)))+IF(AND($O42&lt;&gt;"",$O42&lt;&gt;"O3/CP",$O$15=D$18,MID($O42,4,1)="2",$O$15&lt;&gt;$O$14),VLOOKUP(CONCATENATE(LEFT($O42,2),"L"),$R$63:$T$91,3,FALSE),0)+IF(AND($O42="O3/CP",$O$14=D$18),VLOOKUP("O3",$R$63:$T$91,3,FALSE)+VLOOKUP("CP",$R$63:$T$91,3,FALSE),0)+IF(AND($P42&lt;&gt;"",$P42&lt;&gt;"--",$P42&lt;&gt;"O3/CP",$P$14=D$18),IF(LEFT($P42,1)="P",VLOOKUP(CONCATENATE(LEFT($P42,2),"H"),$R$63:$T$91,3,FALSE),VLOOKUP($P42,$R$63:$T$91,3,FALSE)))+IF(AND($P42&lt;&gt;"",$P42&lt;&gt;"O3/CP",$P$15=D$18,MID($P42,4,1)="2",$P$15&lt;&gt;$P$14),VLOOKUP(CONCATENATE(LEFT($P42,2),"L"),$R$63:$T$91,3,FALSE),0)+IF(AND($P42="O3/CP",$P$14=D$18),VLOOKUP("O3",$R$63:$T$91,3,FALSE)+VLOOKUP("CP",$R$63:$T$91,3,FALSE),0)+IF(AND($Q42&lt;&gt;"",$Q42&lt;&gt;"--",$Q42&lt;&gt;"O3/CP",$Q$14=D$18),IF(LEFT($Q42,1)="P",VLOOKUP(CONCATENATE(LEFT($Q42,2),"H"),$R$63:$T$91,3,FALSE),VLOOKUP($Q42,$R$63:$T$91,3,FALSE)))+IF(AND($Q42&lt;&gt;"",$Q42&lt;&gt;"O3/CP",$Q$15=D$18,MID($Q42,4,1)="2",$Q$15&lt;&gt;$Q$14),VLOOKUP(CONCATENATE(LEFT($Q42,2),"L"),$R$63:$T$91,3,FALSE),0)+IF(AND($Q42="O3/CP",$Q$14=D$18),VLOOKUP("O3",$R$63:$T$91,3,FALSE)+VLOOKUP("CP",$R$63:$T$91,3,FALSE),0)+IF(AND($R42&lt;&gt;"",$R42&lt;&gt;"--",$R42&lt;&gt;"O3/CP",$R$14=D$18),IF(LEFT($R42,1)="P",VLOOKUP(CONCATENATE(LEFT($R42,2),"H"),$R$63:$T$91,3,FALSE),VLOOKUP($R42,$R$63:$T$91,3,FALSE)))+IF(AND($R42&lt;&gt;"",$R42&lt;&gt;"O3/CP",$R$15=D$18,MID($R42,4,1)="2",$R$15&lt;&gt;$R$14),VLOOKUP(CONCATENATE(LEFT($R42,2),"L"),$R$63:$T$91,3,FALSE),0)+IF(AND($R42="O3/CP",$R$14=D$18),VLOOKUP("O3",$R$63:$T$91,3,FALSE)+VLOOKUP("CP",$R$63:$T$91,3,FALSE),0)+IF(AND($S42&lt;&gt;"",$S42&lt;&gt;"--",$S42&lt;&gt;"O3/CP",$S$14=D$18),IF(LEFT($S42,1)="P",VLOOKUP(CONCATENATE(LEFT($S42,2),"H"),$R$63:$T$91,3,FALSE),VLOOKUP($S42,$R$63:$T$91,3,FALSE)))+IF(AND($S42&lt;&gt;"",$S42&lt;&gt;"O3/CP",$S$15=D$18,MID($S42,4,1)="2",$S$15&lt;&gt;$S$14),VLOOKUP(CONCATENATE(LEFT($S42,2),"L"),$R$63:$T$91,3,FALSE),0)+IF(AND($S42="O3/CP",$S$14=D$18),VLOOKUP("O3",$R$63:$T$91,3,FALSE)+VLOOKUP("CP",$R$63:$T$91,3,FALSE),0)+IF(AND($T42&lt;&gt;"",$T42&lt;&gt;"--",$T42&lt;&gt;"O3/CP",$T$14=D$18),IF(LEFT($T42,1)="P",VLOOKUP(CONCATENATE(LEFT($T42,2),"H"),$R$63:$T$91,3,FALSE),VLOOKUP($T42,$R$63:$T$91,3,FALSE)))+IF(AND($T42&lt;&gt;"",$T42&lt;&gt;"O3/CP",$T$15=D$18,MID($T42,4,1)="2",$T$15&lt;&gt;$T$14),VLOOKUP(CONCATENATE(LEFT($T42,2),"L"),$R$63:$T$91,3,FALSE),0)+IF(AND($T42="O3/CP",$T$14=D$18),VLOOKUP("O3",$R$63:$T$91,3,FALSE)+VLOOKUP("CP",$R$63:$T$91,3,FALSE),0)+IF(AND($U42&lt;&gt;"",$U42&lt;&gt;"--",$U42&lt;&gt;"O3/CP",$U$14=D$18),IF(LEFT($U42,1)="P",VLOOKUP(CONCATENATE(LEFT($U42,2),"H"),$R$63:$T$91,3,FALSE),VLOOKUP($U42,$R$63:$T$91,3,FALSE)))+IF(AND($U42&lt;&gt;"",$U42&lt;&gt;"O3/CP",$U$15=D$18,MID($U42,4,1)="2",$U$15&lt;&gt;$U$14),VLOOKUP(CONCATENATE(LEFT($U42,2),"L"),$R$63:$T$91,3,FALSE),0)+IF(AND($U42="O3/CP",$T$14=D$18),VLOOKUP("O3",$R$63:$T$91,3,FALSE)+VLOOKUP("CP",$R$63:$T$91,3,FALSE),0)+IF(AND($V42&lt;&gt;"",$V42&lt;&gt;"--",$V42&lt;&gt;"O3/CP",$V$14=D$18),IF(LEFT($V42,1)="P",VLOOKUP(CONCATENATE(LEFT($V42,2),"H"),$R$63:$T$91,3,FALSE),VLOOKUP($V42,$R$63:$T$91,3,FALSE)))+IF(AND($V42&lt;&gt;"",$V42&lt;&gt;"O3/CP",$V$15=D$18,MID($V42,4,1)="2",$V$15&lt;&gt;$V$14),VLOOKUP(CONCATENATE(LEFT($V42,2),"L"),$R$63:$T$91,3,FALSE),0)+IF(AND($V42="O3/CP",$V$14=D$18),VLOOKUP("O3",$R$63:$T$91,3,FALSE)+VLOOKUP("CP",$R$63:$T$91,3,FALSE),0)+IF(AND($W42&lt;&gt;"",$W42&lt;&gt;"--",$W42&lt;&gt;"O3/CP",$W$14=D$18),IF(LEFT($W42,1)="P",VLOOKUP(CONCATENATE(LEFT($W42,2),"H"),$R$63:$T$91,3,FALSE),VLOOKUP($W42,$R$63:$T$91,3,FALSE)))+IF(AND($W42&lt;&gt;"",$W42&lt;&gt;"O3/CP",$W$15=D$18,MID($W42,4,1)="2",$W$15&lt;&gt;$W$14),VLOOKUP(CONCATENATE(LEFT($W42,2),"L"),$R$63:$T$91,3,FALSE),0)+IF(AND($W42="O3/CP",$W$14=D$18),VLOOKUP("O3",$R$63:$T$91,3,FALSE)+VLOOKUP("CP",$R$63:$T$91,3,FALSE),0)+IF(AND($X42&lt;&gt;"",$X42&lt;&gt;"--",$X42&lt;&gt;"O3/CP",$X$14=D$18),IF(LEFT($X42,1)="P",VLOOKUP(CONCATENATE(LEFT($X42,2),"H"),$R$63:$T$91,3,FALSE),VLOOKUP($X42,$R$63:$T$91,3,FALSE)))+IF(AND($X42&lt;&gt;"",$X42&lt;&gt;"O3/CP",$X$15=D$18,MID($X42,4,1)="2",$X$15&lt;&gt;$X$14),VLOOKUP(CONCATENATE(LEFT($X42,2),"L"),$R$63:$T$91,3,FALSE),0)+IF(AND($X42="O3/CP",$X$14=D$18),VLOOKUP("O3",$R$63:$T$91,3,FALSE)+VLOOKUP("CP",$R$63:$T$91,3,FALSE),0)+IF(AND($Y42&lt;&gt;"",$Y42&lt;&gt;"--",$Y42&lt;&gt;"O3/CP",$Y$14=D$18),IF(LEFT($Y42,1)="P",VLOOKUP(CONCATENATE(LEFT($Y42,2),"H"),$R$63:$T$91,3,FALSE),VLOOKUP($Y42,$R$63:$T$91,3,FALSE)))+IF(AND($Y42&lt;&gt;"",$Y42&lt;&gt;"O3/CP",$Y$15=D$18,MID($Y42,4,1)="2",$Y$15&lt;&gt;$Y$14),VLOOKUP(CONCATENATE(LEFT($Y42,2),"L"),$R$63:$T$91,3,FALSE),0)+IF(AND($Y42="O3/CP",$Y$14=D$18),VLOOKUP("O3",$R$63:$T$91,3,FALSE)+VLOOKUP("CP",$R$63:$T$91,3,FALSE),0)+IF(AND($K$6="CE",'[3]Supply Attribution'!$G$20=D$18),LEFT($S$90,2),0)+IF(AND($X$86&lt;&gt;"Not Set",$X$87=D$18),$X$86,0)</f>
        <v>0</v>
      </c>
      <c r="E42" s="269">
        <f>IF(AND($K42&lt;&gt;"",$K42&lt;&gt;"--",$K42&lt;&gt;"O3/CP",$K$14=E$18),IF(LEFT($K42,1)="P",VLOOKUP(CONCATENATE(LEFT($K42,2),"H"),$R$63:$T$91,3,FALSE),VLOOKUP($K42,$R$63:$T$91,3,FALSE)))+IF(AND($K42&lt;&gt;"",$K42&lt;&gt;"O3/CP",$K$15=E$18,MID($K42,4,1)="2",$K$15&lt;&gt;$K$14),VLOOKUP(CONCATENATE(LEFT($K42,2),"L"),$R$63:$T$91,3,FALSE),0)+IF(AND($K42="O3/CP",$K$14=E$18),VLOOKUP("O3",$R$63:$T$91,3,FALSE)+VLOOKUP("CP",$R$63:$T$91,3,FALSE),0)+IF(AND($L42&lt;&gt;"",$L42&lt;&gt;"--",$L42&lt;&gt;"O3/CP",$L$14=E$18),IF(LEFT($L42,1)="P",VLOOKUP(CONCATENATE(LEFT($L42,2),"H"),$R$63:$T$91,3,FALSE),VLOOKUP($L42,$R$63:$T$91,3,FALSE)))+IF(AND($L42&lt;&gt;"",$L42&lt;&gt;"O3/CP",$L$15=E$18,MID($L42,4,1)="2",$L$15&lt;&gt;$L$14),VLOOKUP(CONCATENATE(LEFT($L42,2),"L"),$R$63:$T$91,3,FALSE),0)+IF(AND($L42="O3/CP",$L$14=E$18),VLOOKUP("O3",$R$63:$T$91,3,FALSE)+VLOOKUP("CP",$R$63:$T$91,3,FALSE),0)+IF(AND($M42&lt;&gt;"",$M42&lt;&gt;"--",$M42&lt;&gt;"O3/CP",$M$14=E$18),IF(LEFT($M42,1)="P",VLOOKUP(CONCATENATE(LEFT($M42,2),"H"),$R$63:$T$91,3,FALSE),VLOOKUP($M42,$R$63:$T$91,3,FALSE)))+IF(AND($M42&lt;&gt;"",$M42&lt;&gt;"O3/CP",$M$15=E$18,MID($M42,4,1)="2",$M$15&lt;&gt;$M$14),VLOOKUP(CONCATENATE(LEFT($M42,2),"L"),$R$63:$T$91,3,FALSE),0)+IF(AND($M42="O3/CP",$M$14=E$18),VLOOKUP("O3",$R$63:$T$91,3,FALSE)+VLOOKUP("CP",$R$63:$T$91,3,FALSE),0)+IF(AND($N42&lt;&gt;"",$N42&lt;&gt;"--",$N42&lt;&gt;"O3/CP",$N$14=E$18),IF(LEFT($N42,1)="P",VLOOKUP(CONCATENATE(LEFT($N42,2),"H"),$R$63:$T$91,3,FALSE),VLOOKUP($N42,$R$63:$T$91,3,FALSE)))+IF(AND($N42&lt;&gt;"",$N42&lt;&gt;"O3/CP",$N$15=E$18,MID($N42,4,1)="2",$N$15&lt;&gt;$N$14),VLOOKUP(CONCATENATE(LEFT($N42,2),"L"),$R$63:$T$91,3,FALSE),0)+IF(AND($N42="O3/CP",$N$14=E$18),VLOOKUP("O3",$R$63:$T$91,3,FALSE)+VLOOKUP("CP",$R$63:$T$91,3,FALSE),0)+IF(AND($O42&lt;&gt;"",$O42&lt;&gt;"--",$O42&lt;&gt;"O3/CP",$O$14=E$18),IF(LEFT($O42,1)="P",VLOOKUP(CONCATENATE(LEFT($O42,2),"H"),$R$63:$T$91,3,FALSE),VLOOKUP($O42,$R$63:$T$91,3,FALSE)))+IF(AND($O42&lt;&gt;"",$O42&lt;&gt;"O3/CP",$O$15=E$18,MID($O42,4,1)="2",$O$15&lt;&gt;$O$14),VLOOKUP(CONCATENATE(LEFT($O42,2),"L"),$R$63:$T$91,3,FALSE),0)+IF(AND($O42="O3/CP",$O$14=E$18),VLOOKUP("O3",$R$63:$T$91,3,FALSE)+VLOOKUP("CP",$R$63:$T$91,3,FALSE),0)+IF(AND($P42&lt;&gt;"",$P42&lt;&gt;"--",$P42&lt;&gt;"O3/CP",$P$14=E$18),IF(LEFT($P42,1)="P",VLOOKUP(CONCATENATE(LEFT($P42,2),"H"),$R$63:$T$91,3,FALSE),VLOOKUP($P42,$R$63:$T$91,3,FALSE)))+IF(AND($P42&lt;&gt;"",$P42&lt;&gt;"O3/CP",$P$15=E$18,MID($P42,4,1)="2",$P$15&lt;&gt;$P$14),VLOOKUP(CONCATENATE(LEFT($P42,2),"L"),$R$63:$T$91,3,FALSE),0)+IF(AND($P42="O3/CP",$P$14=E$18),VLOOKUP("O3",$R$63:$T$91,3,FALSE)+VLOOKUP("CP",$R$63:$T$91,3,FALSE),0)+IF(AND($Q42&lt;&gt;"",$Q42&lt;&gt;"--",$Q42&lt;&gt;"O3/CP",$Q$14=E$18),IF(LEFT($Q42,1)="P",VLOOKUP(CONCATENATE(LEFT($Q42,2),"H"),$R$63:$T$91,3,FALSE),VLOOKUP($Q42,$R$63:$T$91,3,FALSE)))+IF(AND($Q42&lt;&gt;"",$Q42&lt;&gt;"O3/CP",$Q$15=E$18,MID($Q42,4,1)="2",$Q$15&lt;&gt;$Q$14),VLOOKUP(CONCATENATE(LEFT($Q42,2),"L"),$R$63:$T$91,3,FALSE),0)+IF(AND($Q42="O3/CP",$Q$14=E$18),VLOOKUP("O3",$R$63:$T$91,3,FALSE)+VLOOKUP("CP",$R$63:$T$91,3,FALSE),0)+IF(AND($R42&lt;&gt;"",$R42&lt;&gt;"--",$R42&lt;&gt;"O3/CP",$R$14=E$18),IF(LEFT($R42,1)="P",VLOOKUP(CONCATENATE(LEFT($R42,2),"H"),$R$63:$T$91,3,FALSE),VLOOKUP($R42,$R$63:$T$91,3,FALSE)))+IF(AND($R42&lt;&gt;"",$R42&lt;&gt;"O3/CP",$R$15=E$18,MID($R42,4,1)="2",$R$15&lt;&gt;$R$14),VLOOKUP(CONCATENATE(LEFT($R42,2),"L"),$R$63:$T$91,3,FALSE),0)+IF(AND($R42="O3/CP",$R$14=E$18),VLOOKUP("O3",$R$63:$T$91,3,FALSE)+VLOOKUP("CP",$R$63:$T$91,3,FALSE),0)+IF(AND($S42&lt;&gt;"",$S42&lt;&gt;"--",$S42&lt;&gt;"O3/CP",$S$14=E$18),IF(LEFT($S42,1)="P",VLOOKUP(CONCATENATE(LEFT($S42,2),"H"),$R$63:$T$91,3,FALSE),VLOOKUP($S42,$R$63:$T$91,3,FALSE)))+IF(AND($S42&lt;&gt;"",$S42&lt;&gt;"O3/CP",$S$15=E$18,MID($S42,4,1)="2",$S$15&lt;&gt;$S$14),VLOOKUP(CONCATENATE(LEFT($S42,2),"L"),$R$63:$T$91,3,FALSE),0)+IF(AND($S42="O3/CP",$S$14=E$18),VLOOKUP("O3",$R$63:$T$91,3,FALSE)+VLOOKUP("CP",$R$63:$T$91,3,FALSE),0)+IF(AND($T42&lt;&gt;"",$T42&lt;&gt;"--",$T42&lt;&gt;"O3/CP",$T$14=E$18),IF(LEFT($T42,1)="P",VLOOKUP(CONCATENATE(LEFT($T42,2),"H"),$R$63:$T$91,3,FALSE),VLOOKUP($T42,$R$63:$T$91,3,FALSE)))+IF(AND($T42&lt;&gt;"",$T42&lt;&gt;"O3/CP",$T$15=E$18,MID($T42,4,1)="2",$T$15&lt;&gt;$T$14),VLOOKUP(CONCATENATE(LEFT($T42,2),"L"),$R$63:$T$91,3,FALSE),0)+IF(AND($T42="O3/CP",$T$14=E$18),VLOOKUP("O3",$R$63:$T$91,3,FALSE)+VLOOKUP("CP",$R$63:$T$91,3,FALSE),0)+IF(AND($U42&lt;&gt;"",$U42&lt;&gt;"--",$U42&lt;&gt;"O3/CP",$U$14=E$18),IF(LEFT($U42,1)="P",VLOOKUP(CONCATENATE(LEFT($U42,2),"H"),$R$63:$T$91,3,FALSE),VLOOKUP($U42,$R$63:$T$91,3,FALSE)))+IF(AND($U42&lt;&gt;"",$U42&lt;&gt;"O3/CP",$U$15=E$18,MID($U42,4,1)="2",$U$15&lt;&gt;$U$14),VLOOKUP(CONCATENATE(LEFT($U42,2),"L"),$R$63:$T$91,3,FALSE),0)+IF(AND($U42="O3/CP",$T$14=E$18),VLOOKUP("O3",$R$63:$T$91,3,FALSE)+VLOOKUP("CP",$R$63:$T$91,3,FALSE),0)+IF(AND($V42&lt;&gt;"",$V42&lt;&gt;"--",$V42&lt;&gt;"O3/CP",$V$14=E$18),IF(LEFT($V42,1)="P",VLOOKUP(CONCATENATE(LEFT($V42,2),"H"),$R$63:$T$91,3,FALSE),VLOOKUP($V42,$R$63:$T$91,3,FALSE)))+IF(AND($V42&lt;&gt;"",$V42&lt;&gt;"O3/CP",$V$15=E$18,MID($V42,4,1)="2",$V$15&lt;&gt;$V$14),VLOOKUP(CONCATENATE(LEFT($V42,2),"L"),$R$63:$T$91,3,FALSE),0)+IF(AND($V42="O3/CP",$V$14=E$18),VLOOKUP("O3",$R$63:$T$91,3,FALSE)+VLOOKUP("CP",$R$63:$T$91,3,FALSE),0)+IF(AND($W42&lt;&gt;"",$W42&lt;&gt;"--",$W42&lt;&gt;"O3/CP",$W$14=E$18),IF(LEFT($W42,1)="P",VLOOKUP(CONCATENATE(LEFT($W42,2),"H"),$R$63:$T$91,3,FALSE),VLOOKUP($W42,$R$63:$T$91,3,FALSE)))+IF(AND($W42&lt;&gt;"",$W42&lt;&gt;"O3/CP",$W$15=E$18,MID($W42,4,1)="2",$W$15&lt;&gt;$W$14),VLOOKUP(CONCATENATE(LEFT($W42,2),"L"),$R$63:$T$91,3,FALSE),0)+IF(AND($W42="O3/CP",$W$14=E$18),VLOOKUP("O3",$R$63:$T$91,3,FALSE)+VLOOKUP("CP",$R$63:$T$91,3,FALSE),0)+IF(AND($X42&lt;&gt;"",$X42&lt;&gt;"--",$X42&lt;&gt;"O3/CP",$X$14=E$18),IF(LEFT($X42,1)="P",VLOOKUP(CONCATENATE(LEFT($X42,2),"H"),$R$63:$T$91,3,FALSE),VLOOKUP($X42,$R$63:$T$91,3,FALSE)))+IF(AND($X42&lt;&gt;"",$X42&lt;&gt;"O3/CP",$X$15=E$18,MID($X42,4,1)="2",$X$15&lt;&gt;$X$14),VLOOKUP(CONCATENATE(LEFT($X42,2),"L"),$R$63:$T$91,3,FALSE),0)+IF(AND($X42="O3/CP",$X$14=E$18),VLOOKUP("O3",$R$63:$T$91,3,FALSE)+VLOOKUP("CP",$R$63:$T$91,3,FALSE),0)+IF(AND($Y42&lt;&gt;"",$Y42&lt;&gt;"--",$Y42&lt;&gt;"O3/CP",$Y$14=E$18),IF(LEFT($Y42,1)="P",VLOOKUP(CONCATENATE(LEFT($Y42,2),"H"),$R$63:$T$91,3,FALSE),VLOOKUP($Y42,$R$63:$T$91,3,FALSE)))+IF(AND($Y42&lt;&gt;"",$Y42&lt;&gt;"O3/CP",$Y$15=E$18,MID($Y42,4,1)="2",$Y$15&lt;&gt;$Y$14),VLOOKUP(CONCATENATE(LEFT($Y42,2),"L"),$R$63:$T$91,3,FALSE),0)+IF(AND($Y42="O3/CP",$Y$14=E$18),VLOOKUP("O3",$R$63:$T$91,3,FALSE)+VLOOKUP("CP",$R$63:$T$91,3,FALSE),0)+IF(AND($K$6="CE",'[3]Supply Attribution'!$G$20=E$18),LEFT($S$90,2),0)+IF(AND($X$86&lt;&gt;"Not Set",$X$87=E$18),$X$86,0)</f>
        <v>0</v>
      </c>
      <c r="F42" s="268">
        <f>IF(AND($K42&lt;&gt;"",$K42&lt;&gt;"--",$K42&lt;&gt;"O3/CP",$K$14=F$18),IF(LEFT($K42,1)="P",VLOOKUP(CONCATENATE(LEFT($K42,2),"H"),$R$63:$T$91,3,FALSE),VLOOKUP($K42,$R$63:$T$91,3,FALSE)))+IF(AND($K42&lt;&gt;"",$K42&lt;&gt;"O3/CP",$K$15=F$18,MID($K42,4,1)="2",$K$15&lt;&gt;$K$14),VLOOKUP(CONCATENATE(LEFT($K42,2),"L"),$R$63:$T$91,3,FALSE),0)+IF(AND($K42="O3/CP",$K$14=F$18),VLOOKUP("O3",$R$63:$T$91,3,FALSE)+VLOOKUP("CP",$R$63:$T$91,3,FALSE),0)+IF(AND($L42&lt;&gt;"",$L42&lt;&gt;"--",$L42&lt;&gt;"O3/CP",$L$14=F$18),IF(LEFT($L42,1)="P",VLOOKUP(CONCATENATE(LEFT($L42,2),"H"),$R$63:$T$91,3,FALSE),VLOOKUP($L42,$R$63:$T$91,3,FALSE)))+IF(AND($L42&lt;&gt;"",$L42&lt;&gt;"O3/CP",$L$15=F$18,MID($L42,4,1)="2",$L$15&lt;&gt;$L$14),VLOOKUP(CONCATENATE(LEFT($L42,2),"L"),$R$63:$T$91,3,FALSE),0)+IF(AND($L42="O3/CP",$L$14=F$18),VLOOKUP("O3",$R$63:$T$91,3,FALSE)+VLOOKUP("CP",$R$63:$T$91,3,FALSE),0)+IF(AND($M42&lt;&gt;"",$M42&lt;&gt;"--",$M42&lt;&gt;"O3/CP",$M$14=F$18),IF(LEFT($M42,1)="P",VLOOKUP(CONCATENATE(LEFT($M42,2),"H"),$R$63:$T$91,3,FALSE),VLOOKUP($M42,$R$63:$T$91,3,FALSE)))+IF(AND($M42&lt;&gt;"",$M42&lt;&gt;"O3/CP",$M$15=F$18,MID($M42,4,1)="2",$M$15&lt;&gt;$M$14),VLOOKUP(CONCATENATE(LEFT($M42,2),"L"),$R$63:$T$91,3,FALSE),0)+IF(AND($M42="O3/CP",$M$14=F$18),VLOOKUP("O3",$R$63:$T$91,3,FALSE)+VLOOKUP("CP",$R$63:$T$91,3,FALSE),0)+IF(AND($N42&lt;&gt;"",$N42&lt;&gt;"--",$N42&lt;&gt;"O3/CP",$N$14=F$18),IF(LEFT($N42,1)="P",VLOOKUP(CONCATENATE(LEFT($N42,2),"H"),$R$63:$T$91,3,FALSE),VLOOKUP($N42,$R$63:$T$91,3,FALSE)))+IF(AND($N42&lt;&gt;"",$N42&lt;&gt;"O3/CP",$N$15=F$18,MID($N42,4,1)="2",$N$15&lt;&gt;$N$14),VLOOKUP(CONCATENATE(LEFT($N42,2),"L"),$R$63:$T$91,3,FALSE),0)+IF(AND($N42="O3/CP",$N$14=F$18),VLOOKUP("O3",$R$63:$T$91,3,FALSE)+VLOOKUP("CP",$R$63:$T$91,3,FALSE),0)+IF(AND($O42&lt;&gt;"",$O42&lt;&gt;"--",$O42&lt;&gt;"O3/CP",$O$14=F$18),IF(LEFT($O42,1)="P",VLOOKUP(CONCATENATE(LEFT($O42,2),"H"),$R$63:$T$91,3,FALSE),VLOOKUP($O42,$R$63:$T$91,3,FALSE)))+IF(AND($O42&lt;&gt;"",$O42&lt;&gt;"O3/CP",$O$15=F$18,MID($O42,4,1)="2",$O$15&lt;&gt;$O$14),VLOOKUP(CONCATENATE(LEFT($O42,2),"L"),$R$63:$T$91,3,FALSE),0)+IF(AND($O42="O3/CP",$O$14=F$18),VLOOKUP("O3",$R$63:$T$91,3,FALSE)+VLOOKUP("CP",$R$63:$T$91,3,FALSE),0)+IF(AND($P42&lt;&gt;"",$P42&lt;&gt;"--",$P42&lt;&gt;"O3/CP",$P$14=F$18),IF(LEFT($P42,1)="P",VLOOKUP(CONCATENATE(LEFT($P42,2),"H"),$R$63:$T$91,3,FALSE),VLOOKUP($P42,$R$63:$T$91,3,FALSE)))+IF(AND($P42&lt;&gt;"",$P42&lt;&gt;"O3/CP",$P$15=F$18,MID($P42,4,1)="2",$P$15&lt;&gt;$P$14),VLOOKUP(CONCATENATE(LEFT($P42,2),"L"),$R$63:$T$91,3,FALSE),0)+IF(AND($P42="O3/CP",$P$14=F$18),VLOOKUP("O3",$R$63:$T$91,3,FALSE)+VLOOKUP("CP",$R$63:$T$91,3,FALSE),0)+IF(AND($Q42&lt;&gt;"",$Q42&lt;&gt;"--",$Q42&lt;&gt;"O3/CP",$Q$14=F$18),IF(LEFT($Q42,1)="P",VLOOKUP(CONCATENATE(LEFT($Q42,2),"H"),$R$63:$T$91,3,FALSE),VLOOKUP($Q42,$R$63:$T$91,3,FALSE)))+IF(AND($Q42&lt;&gt;"",$Q42&lt;&gt;"O3/CP",$Q$15=F$18,MID($Q42,4,1)="2",$Q$15&lt;&gt;$Q$14),VLOOKUP(CONCATENATE(LEFT($Q42,2),"L"),$R$63:$T$91,3,FALSE),0)+IF(AND($Q42="O3/CP",$Q$14=F$18),VLOOKUP("O3",$R$63:$T$91,3,FALSE)+VLOOKUP("CP",$R$63:$T$91,3,FALSE),0)+IF(AND($R42&lt;&gt;"",$R42&lt;&gt;"--",$R42&lt;&gt;"O3/CP",$R$14=F$18),IF(LEFT($R42,1)="P",VLOOKUP(CONCATENATE(LEFT($R42,2),"H"),$R$63:$T$91,3,FALSE),VLOOKUP($R42,$R$63:$T$91,3,FALSE)))+IF(AND($R42&lt;&gt;"",$R42&lt;&gt;"O3/CP",$R$15=F$18,MID($R42,4,1)="2",$R$15&lt;&gt;$R$14),VLOOKUP(CONCATENATE(LEFT($R42,2),"L"),$R$63:$T$91,3,FALSE),0)+IF(AND($R42="O3/CP",$R$14=F$18),VLOOKUP("O3",$R$63:$T$91,3,FALSE)+VLOOKUP("CP",$R$63:$T$91,3,FALSE),0)+IF(AND($S42&lt;&gt;"",$S42&lt;&gt;"--",$S42&lt;&gt;"O3/CP",$S$14=F$18),IF(LEFT($S42,1)="P",VLOOKUP(CONCATENATE(LEFT($S42,2),"H"),$R$63:$T$91,3,FALSE),VLOOKUP($S42,$R$63:$T$91,3,FALSE)))+IF(AND($S42&lt;&gt;"",$S42&lt;&gt;"O3/CP",$S$15=F$18,MID($S42,4,1)="2",$S$15&lt;&gt;$S$14),VLOOKUP(CONCATENATE(LEFT($S42,2),"L"),$R$63:$T$91,3,FALSE),0)+IF(AND($S42="O3/CP",$S$14=F$18),VLOOKUP("O3",$R$63:$T$91,3,FALSE)+VLOOKUP("CP",$R$63:$T$91,3,FALSE),0)+IF(AND($T42&lt;&gt;"",$T42&lt;&gt;"--",$T42&lt;&gt;"O3/CP",$T$14=F$18),IF(LEFT($T42,1)="P",VLOOKUP(CONCATENATE(LEFT($T42,2),"H"),$R$63:$T$91,3,FALSE),VLOOKUP($T42,$R$63:$T$91,3,FALSE)))+IF(AND($T42&lt;&gt;"",$T42&lt;&gt;"O3/CP",$T$15=F$18,MID($T42,4,1)="2",$T$15&lt;&gt;$T$14),VLOOKUP(CONCATENATE(LEFT($T42,2),"L"),$R$63:$T$91,3,FALSE),0)+IF(AND($T42="O3/CP",$T$14=F$18),VLOOKUP("O3",$R$63:$T$91,3,FALSE)+VLOOKUP("CP",$R$63:$T$91,3,FALSE),0)+IF(AND($U42&lt;&gt;"",$U42&lt;&gt;"--",$U42&lt;&gt;"O3/CP",$U$14=F$18),IF(LEFT($U42,1)="P",VLOOKUP(CONCATENATE(LEFT($U42,2),"H"),$R$63:$T$91,3,FALSE),VLOOKUP($U42,$R$63:$T$91,3,FALSE)))+IF(AND($U42&lt;&gt;"",$U42&lt;&gt;"O3/CP",$U$15=F$18,MID($U42,4,1)="2",$U$15&lt;&gt;$U$14),VLOOKUP(CONCATENATE(LEFT($U42,2),"L"),$R$63:$T$91,3,FALSE),0)+IF(AND($U42="O3/CP",$T$14=F$18),VLOOKUP("O3",$R$63:$T$91,3,FALSE)+VLOOKUP("CP",$R$63:$T$91,3,FALSE),0)+IF(AND($V42&lt;&gt;"",$V42&lt;&gt;"--",$V42&lt;&gt;"O3/CP",$V$14=F$18),IF(LEFT($V42,1)="P",VLOOKUP(CONCATENATE(LEFT($V42,2),"H"),$R$63:$T$91,3,FALSE),VLOOKUP($V42,$R$63:$T$91,3,FALSE)))+IF(AND($V42&lt;&gt;"",$V42&lt;&gt;"O3/CP",$V$15=F$18,MID($V42,4,1)="2",$V$15&lt;&gt;$V$14),VLOOKUP(CONCATENATE(LEFT($V42,2),"L"),$R$63:$T$91,3,FALSE),0)+IF(AND($V42="O3/CP",$V$14=F$18),VLOOKUP("O3",$R$63:$T$91,3,FALSE)+VLOOKUP("CP",$R$63:$T$91,3,FALSE),0)+IF(AND($W42&lt;&gt;"",$W42&lt;&gt;"--",$W42&lt;&gt;"O3/CP",$W$14=F$18),IF(LEFT($W42,1)="P",VLOOKUP(CONCATENATE(LEFT($W42,2),"H"),$R$63:$T$91,3,FALSE),VLOOKUP($W42,$R$63:$T$91,3,FALSE)))+IF(AND($W42&lt;&gt;"",$W42&lt;&gt;"O3/CP",$W$15=F$18,MID($W42,4,1)="2",$W$15&lt;&gt;$W$14),VLOOKUP(CONCATENATE(LEFT($W42,2),"L"),$R$63:$T$91,3,FALSE),0)+IF(AND($W42="O3/CP",$W$14=F$18),VLOOKUP("O3",$R$63:$T$91,3,FALSE)+VLOOKUP("CP",$R$63:$T$91,3,FALSE),0)+IF(AND($X42&lt;&gt;"",$X42&lt;&gt;"--",$X42&lt;&gt;"O3/CP",$X$14=F$18),IF(LEFT($X42,1)="P",VLOOKUP(CONCATENATE(LEFT($X42,2),"H"),$R$63:$T$91,3,FALSE),VLOOKUP($X42,$R$63:$T$91,3,FALSE)))+IF(AND($X42&lt;&gt;"",$X42&lt;&gt;"O3/CP",$X$15=F$18,MID($X42,4,1)="2",$X$15&lt;&gt;$X$14),VLOOKUP(CONCATENATE(LEFT($X42,2),"L"),$R$63:$T$91,3,FALSE),0)+IF(AND($X42="O3/CP",$X$14=F$18),VLOOKUP("O3",$R$63:$T$91,3,FALSE)+VLOOKUP("CP",$R$63:$T$91,3,FALSE),0)+IF(AND($Y42&lt;&gt;"",$Y42&lt;&gt;"--",$Y42&lt;&gt;"O3/CP",$Y$14=F$18),IF(LEFT($Y42,1)="P",VLOOKUP(CONCATENATE(LEFT($Y42,2),"H"),$R$63:$T$91,3,FALSE),VLOOKUP($Y42,$R$63:$T$91,3,FALSE)))+IF(AND($Y42&lt;&gt;"",$Y42&lt;&gt;"O3/CP",$Y$15=F$18,MID($Y42,4,1)="2",$Y$15&lt;&gt;$Y$14),VLOOKUP(CONCATENATE(LEFT($Y42,2),"L"),$R$63:$T$91,3,FALSE),0)+IF(AND($Y42="O3/CP",$Y$14=F$18),VLOOKUP("O3",$R$63:$T$91,3,FALSE)+VLOOKUP("CP",$R$63:$T$91,3,FALSE),0)+IF(AND($K$6="CE",'[3]Supply Attribution'!$G$20=F$18),LEFT($S$90,2),0)+IF(AND($X$86&lt;&gt;"Not Set",$X$87=F$18),$X$86,0)</f>
        <v>0</v>
      </c>
      <c r="G42" s="269">
        <f>IF(AND($K$6="CE",$T$59="1 Phase"),SUM(A42:F42)-IF(AND($K$14&lt;&gt;$K$15,RIGHT($K42,3)="2SP"),VLOOKUP(CONCATENATE(LEFT($K42,2),"L"),$R$63:$T$90,3,FALSE),0)-IF(AND($L$14&lt;&gt;$L$15,RIGHT($L42,3)="2SP"),VLOOKUP(CONCATENATE(LEFT($L42,2),"L"),$R$63:$T$90,3,FALSE),0)-IF(AND($M$14&lt;&gt;$M$15,RIGHT($M42,3)="2SP"),VLOOKUP(CONCATENATE(LEFT($M42,2),"L"),$R$63:$T$90,3,FALSE),0)-IF(AND($N$14&lt;&gt;$N$15,RIGHT($N42,3)="2SP"),VLOOKUP(CONCATENATE(LEFT($N42,2),"L"),$R$63:$T$90,3,FALSE),0)-IF(AND($O$14&lt;&gt;$O$15,RIGHT($O42,3)="2SP"),VLOOKUP(CONCATENATE(LEFT($O42,2),"L"),$R$63:$T$90,3,FALSE),0)-IF(AND($P$14&lt;&gt;$P$15,RIGHT($P42,3)="2SP"),VLOOKUP(CONCATENATE(LEFT($P42,2),"L"),$R$63:$T$90,3,FALSE),0)-IF(AND($Q$14&lt;&gt;$Q$15,RIGHT($Q42,3)="2SP"),VLOOKUP(CONCATENATE(LEFT($Q42,2),"L"),$R$63:$T$90,3,FALSE),0)-IF(AND($R$14&lt;&gt;$R$15,RIGHT($T42,3)="2SP"),VLOOKUP(CONCATENATE(LEFT($R42,2),"L"),$R$63:$T$90,3,FALSE),0)-IF(AND($S$14&lt;&gt;$S$15,RIGHT($T42,3)="2SP"),VLOOKUP(CONCATENATE(LEFT($S42,2),"L"),$R$63:$T$90,3,FALSE),0)-IF(AND($T$14&lt;&gt;$T$15,RIGHT($T42,3)="2SP"),VLOOKUP(CONCATENATE(LEFT($T42,2),"L"),$R$63:$T$90,3,FALSE),0)-IF(AND($U$14&lt;&gt;$U$15,RIGHT($U42,3)="2SP"),VLOOKUP(CONCATENATE(LEFT($U42,2),"L"),$R$63:$T$90,3,FALSE),0)-IF(AND($V$14&lt;&gt;$V$15,RIGHT($V42,3)="2SP"),VLOOKUP(CONCATENATE(LEFT($V42,2),"L"),$R$63:$T$90,3,FALSE),0)-IF(AND($W$14&lt;&gt;$W$15,RIGHT($W42,3)="2SP"),VLOOKUP(CONCATENATE(LEFT($W42,2),"L"),$R$63:$T$90,3,FALSE),0)-IF(AND($X$14&lt;&gt;$X$15,RIGHT($X42,3)="2SP"),VLOOKUP(CONCATENATE(LEFT($X42,2),"L"),$R$63:$T$90,3,FALSE),0)-IF(AND($Y$14&lt;&gt;$Y$15,RIGHT($Y42,3)="2SP"),VLOOKUP(CONCATENATE(LEFT($Y42,2),"L"),$R$63:$T$90,3,FALSE),0),IF(VLOOKUP(CONCATENATE($A$18,"Line"),'[3]Supply Attribution'!$F$31:$G$37,2,FALSE)=G$18,$A42,0)+IF(VLOOKUP(CONCATENATE($B$18,"Line"),'[3]Supply Attribution'!$F$31:$G$37,2,FALSE)=G$18,$B42,0)+IF(VLOOKUP(CONCATENATE($C$18,"Line"),'[3]Supply Attribution'!$F$31:$G$37,2,FALSE)=G$18,$C42,0)+IF(VLOOKUP(CONCATENATE($D$18,"Line"),'[3]Supply Attribution'!$F$31:$G$37,2,FALSE)=G$18,$D42,0)+IF(VLOOKUP(CONCATENATE($E$18,"Line"),'[3]Supply Attribution'!$F$31:$G$37,2,FALSE)=G$18,$E42,0)+IF(VLOOKUP(CONCATENATE($F$18,"Line"),'[3]Supply Attribution'!$F$31:$G$37,2,FALSE)=G$18,$F42,0)+IF($K$6="UL",LEFT($S$90,2),0)-IF(AND($K$16=G$18,$K$14&lt;&gt;$K$15,$K$16=$K$17,RIGHT($K42,3)="2SP"),VLOOKUP(CONCATENATE(LEFT($K42,2),"L"),$R$63:$T$90,3,FALSE),0)-IF(AND($L$16=G$18,$L$14&lt;&gt;$L$15,$L$16=$L$17,RIGHT($L42,3)="2SP"),VLOOKUP(CONCATENATE(LEFT($L42,2),"L"),$R$63:$T$90,3,FALSE),0)-IF(AND($M$16=G$18,$M$14&lt;&gt;$M$15,$M$16=$M$17,RIGHT($M42,3)="2SP"),VLOOKUP(CONCATENATE(LEFT($M42,2),"L"),$R$63:$T$90,3,FALSE),0)-IF(AND($N$16=G$18,$N$14&lt;&gt;$N$15,$N$16=$N$17,RIGHT($N42,3)="2SP"),VLOOKUP(CONCATENATE(LEFT($N42,2),"L"),$R$63:$T$90,3,FALSE),0)-IF(AND($O$16=G$18,$O$14&lt;&gt;$O$15,$O$16=$O$17,RIGHT($O42,3)="2SP"),VLOOKUP(CONCATENATE(LEFT($O42,2),"L"),$R$63:$T$90,3,FALSE),0)-IF(AND($P$16=G$18,$P$14&lt;&gt;$P$15,$P$16=$P$17,RIGHT($P42,3)="2SP"),VLOOKUP(CONCATENATE(LEFT($P42,2),"L"),$R$63:$T$90,3,FALSE),0)-IF(AND($Q$16=G$18,$Q$14&lt;&gt;$Q$15,$Q$16=$Q$17,RIGHT($Q42,3)="2SP"),VLOOKUP(CONCATENATE(LEFT($Q42,2),"L"),$R$63:$T$90,3,FALSE),0)-IF(AND($R$16=G$18,$R$14&lt;&gt;$R$15,$R$16=$R$17,RIGHT($R42,3)="2SP"),VLOOKUP(CONCATENATE(LEFT($R42,2),"L"),$R$63:$T$90,3,FALSE),0)-IF(AND($S$16=G$18,$S$14&lt;&gt;$S$15,$S$16=$S$17,RIGHT($S42,3)="2SP"),VLOOKUP(CONCATENATE(LEFT($S42,2),"L"),$R$63:$T$90,3,FALSE),0)-IF(AND($T$16=G$18,$T$14&lt;&gt;$T$15,$T$16=$T$17,RIGHT($T42,3)="2SP"),VLOOKUP(CONCATENATE(LEFT($T42,2),"L"),$R$63:$T$90,3,FALSE),0)-IF(AND($U$16=G$18,$U$14&lt;&gt;$U$15,$U$16=$U$17,RIGHT($U42,3)="2SP"),VLOOKUP(CONCATENATE(LEFT($U42,2),"L"),$R$63:$T$90,3,FALSE),0)-IF(AND($V$16=G$18,$V$14&lt;&gt;$V$15,$V$16=$V$17,RIGHT($V42,3)="2SP"),VLOOKUP(CONCATENATE(LEFT($V42,2),"L"),$R$63:$T$90,3,FALSE),0)-IF(AND($W$16=G$18,$W$14&lt;&gt;$W$15,$W$16=$W$17,RIGHT($W42,3)="2SP"),VLOOKUP(CONCATENATE(LEFT($W42,2),"L"),$R$63:$T$90,3,FALSE),0)-IF(AND($X$16=G$18,$X$14&lt;&gt;$X$15,$X$16=$X$17,RIGHT($X42,3)="2SP"),VLOOKUP(CONCATENATE(LEFT($X42,2),"L"),$R$63:$T$90,3,FALSE),0)-IF(AND($Y$16=G$18,$Y$14&lt;&gt;$Y$15,$Y$16=$Y$17,RIGHT($Y42,3)="2SP"),VLOOKUP(CONCATENATE(LEFT($Y42,2),"L"),$R$63:$T$90,3,FALSE),0))</f>
        <v>17</v>
      </c>
      <c r="H42" s="269" t="str">
        <f>IF(H$18&lt;&gt;"",IF(VLOOKUP(CONCATENATE($A$18,"Line"),'Supply Attribution'!$F$31:$G$37,2,FALSE)=H$18,$A42,0)+IF(VLOOKUP(CONCATENATE($B$18,"Line"),'Supply Attribution'!$F$31:$G$37,2,FALSE)=H$18,$B42,0)+IF(VLOOKUP(CONCATENATE($C$18,"Line"),'Supply Attribution'!$F$31:$G$37,2,FALSE)=H$18,$C42,0)+IF(VLOOKUP(CONCATENATE($D$18,"Line"),'Supply Attribution'!$F$31:$G$37,2,FALSE)=H$18,$D42,0)+IF(VLOOKUP(CONCATENATE($E$18,"Line"),'Supply Attribution'!$F$31:$G$37,2,FALSE)=H$18,$E42,0)+IF(VLOOKUP(CONCATENATE($F$18,"Line"),'Supply Attribution'!$F$31:$G$37,2,FALSE)=H$18,$F42,0)+IF($K$6="UL",LEFT($S$90,2),0)-IF(AND($K$16=H$18,$K$14&lt;&gt;$K$15,$K$16=$K$17,RIGHT($K42,3)="2SP"),VLOOKUP(CONCATENATE(LEFT($K42,2),"L"),$R$63:$T$90,3,FALSE),0)-IF(AND($L$16=H$18,$L$14&lt;&gt;$L$15,$L$16=$L$17,RIGHT($L42,3)="2SP"),VLOOKUP(CONCATENATE(LEFT($L42,2),"L"),$R$63:$T$90,3,FALSE),0)-IF(AND($M$16=H$18,$M$14&lt;&gt;$M$15,$M$16=$M$17,RIGHT($M42,3)="2SP"),VLOOKUP(CONCATENATE(LEFT($M42,2),"L"),$R$63:$T$90,3,FALSE),0)-IF(AND($N$16=H$18,$N$14&lt;&gt;$N$15,$N$16=$N$17,RIGHT($N42,3)="2SP"),VLOOKUP(CONCATENATE(LEFT($N42,2),"L"),$R$63:$T$90,3,FALSE),0)-IF(AND($O$16=H$18,$O$14&lt;&gt;$O$15,$O$16=$O$17,RIGHT($O42,3)="2SP"),VLOOKUP(CONCATENATE(LEFT($O42,2),"L"),$R$63:$T$90,3,FALSE),0)-IF(AND($P$16=H$18,$P$14&lt;&gt;$P$15,$P$16=$P$17,RIGHT($P42,3)="2SP"),VLOOKUP(CONCATENATE(LEFT($P42,2),"L"),$R$63:$T$90,3,FALSE),0)-IF(AND($Q$16=H$18,$Q$14&lt;&gt;$Q$15,$Q$16=$Q$17,RIGHT($Q42,3)="2SP"),VLOOKUP(CONCATENATE(LEFT($Q42,2),"L"),$R$63:$T$90,3,FALSE),0)-IF(AND($T$16=H$18,$T$14&lt;&gt;$T$15,$T$16=$T$17,RIGHT($T42,3)="2SP"),VLOOKUP(CONCATENATE(LEFT($T42,2),"L"),$R$63:$T$90,3,FALSE),0)-IF(AND($U$16=H$18,$U$14&lt;&gt;$U$15,$U$16=$U$17,RIGHT($U42,3)="2SP"),VLOOKUP(CONCATENATE(LEFT($U42,2),"L"),$R$63:$T$90,3,FALSE),0)-IF(AND($V$16=H$18,$V$14&lt;&gt;$V$15,$V$16=$V$17,RIGHT($V42,3)="2SP"),VLOOKUP(CONCATENATE(LEFT($V42,2),"L"),$R$63:$T$90,3,FALSE),0)-IF(AND($W$16=H$18,$W$14&lt;&gt;$W$15,$W$16=$W$17,RIGHT($W42,3)="2SP"),VLOOKUP(CONCATENATE(LEFT($W42,2),"L"),$R$63:$T$90,3,FALSE),0)-IF(AND($X$16=H$18,$X$14&lt;&gt;$X$15,$X$16=$X$17,RIGHT($X42,3)="2SP"),VLOOKUP(CONCATENATE(LEFT($X42,2),"L"),$R$63:$T$90,3,FALSE),0)-IF(AND($Y$16=H$18,$Y$14&lt;&gt;$Y$15,$Y$16=$Y$17,RIGHT($Y42,3)="2SP"),VLOOKUP(CONCATENATE(LEFT($Y42,2),"L"),$R$63:$T$90,3,FALSE),0)+IF(AND($K$6="CE",$T$59="2 Phases",H$18&lt;&gt;""),IF(VLOOKUP(CONCATENATE($A$18,"Line"),'Supply Attribution'!$F$31:$G$37,2,FALSE)="Line3",$A42,0)+IF(VLOOKUP(CONCATENATE($B$18,"Line"),'Supply Attribution'!$F$31:$G$37,2,FALSE)="Line3",$B42,0)+IF(VLOOKUP(CONCATENATE($C$18,"Line"),'Supply Attribution'!$F$31:$G$37,2,FALSE)="Line3",$C42,0)+IF(VLOOKUP(CONCATENATE($D$18,"Line"),'Supply Attribution'!$F$31:$G$37,2,FALSE)="Line3",$D42,0)+IF(VLOOKUP(CONCATENATE($E$18,"Line"),'Supply Attribution'!$F$31:$G$37,2,FALSE)="Line3",$E42,0)+IF(VLOOKUP(CONCATENATE($F$18,"Line"),'Supply Attribution'!$F$31:$G$37,2,FALSE)="Line3",$F42,0)-IF(AND($K$16=I$18,$K$14&lt;&gt;$K$15,$K$16=$K$17,RIGHT($K42,3)="2SP"),VLOOKUP(CONCATENATE(LEFT($K42,2),"L"),$R$63:$T$90,3,FALSE),0)-IF(AND($L$16=I$18,$L$14&lt;&gt;$L$15,$L$16=$L$17,RIGHT($L42,3)="2SP"),VLOOKUP(CONCATENATE(LEFT($L42,2),"L"),$R$63:$T$90,3,FALSE),0)-IF(AND($M$16=I$18,$M$14&lt;&gt;$M$15,$M$16=$M$17,RIGHT($M42,3)="2SP"),VLOOKUP(CONCATENATE(LEFT($M42,2),"L"),$R$63:$T$90,3,FALSE),0)-IF(AND($N$16=I$18,$N$14&lt;&gt;$N$15,$N$16=$N$17,RIGHT($N42,3)="2SP"),VLOOKUP(CONCATENATE(LEFT($N42,2),"L"),$R$63:$T$90,3,FALSE),0)-IF(AND($O$16=I$18,$O$14&lt;&gt;$O$15,$O$16=$O$17,RIGHT($O42,3)="2SP"),VLOOKUP(CONCATENATE(LEFT($O42,2),"L"),$R$63:$T$90,3,FALSE),0)-IF(AND($P$16=I$18,$P$14&lt;&gt;$P$15,$P$16=$P$17,RIGHT($P42,3)="2SP"),VLOOKUP(CONCATENATE(LEFT($P42,2),"L"),$R$63:$T$90,3,FALSE),0)-IF(AND($Q$16=I$18,$Q$14&lt;&gt;$Q$15,$Q$16=$Q$17,RIGHT($Q42,3)="2SP"),VLOOKUP(CONCATENATE(LEFT($Q42,2),"L"),$R$63:$T$90,3,FALSE),0)-IF(AND($T$16=I$18,$T$14&lt;&gt;$T$15,$T$16=$T$17,RIGHT($T42,3)="2SP"),VLOOKUP(CONCATENATE(LEFT($T42,2),"L"),$R$63:$T$90,3,FALSE),0)-IF(AND($U$16=I$18,$U$14&lt;&gt;$U$15,$U$16=$U$17,RIGHT($U42,3)="2SP"),VLOOKUP(CONCATENATE(LEFT($U42,2),"L"),$R$63:$T$90,3,FALSE),0)-IF(AND($V$16=I$18,$V$14&lt;&gt;$V$15,$V$16=$V$17,RIGHT($V42,3)="2SP"),VLOOKUP(CONCATENATE(LEFT($V42,2),"L"),$R$63:$T$90,3,FALSE),0)-IF(AND($W$16=I$18,$W$14&lt;&gt;$W$15,$W$16=$W$17,RIGHT($W42,3)="2SP"),VLOOKUP(CONCATENATE(LEFT($W42,2),"L"),$R$63:$T$90,3,FALSE),0)-IF(AND($X$16=I$18,$X$14&lt;&gt;$X$15,$X$16=$X$17,RIGHT($X42,3)="2SP"),VLOOKUP(CONCATENATE(LEFT($X42,2),"L"),$R$63:$T$90,3,FALSE),0)-IF(AND($Y$16=I$18,$Y$14&lt;&gt;$Y$15,$Y$16=$Y$17,RIGHT($Y42,3)="2SP"),VLOOKUP(CONCATENATE(LEFT($Y42,2),"L"),$R$63:$T$90,3,FALSE),0),0),"")</f>
        <v/>
      </c>
      <c r="I42" s="269" t="str">
        <f>IF(I$18&lt;&gt;"",IF(VLOOKUP(CONCATENATE($A$18,"Line"),'Supply Attribution'!$F$31:$G$37,2,FALSE)=I$18,$A42,0)+IF(VLOOKUP(CONCATENATE($B$18,"Line"),'Supply Attribution'!$F$31:$G$37,2,FALSE)=I$18,$B42,0)+IF(VLOOKUP(CONCATENATE($C$18,"Line"),'Supply Attribution'!$F$31:$G$37,2,FALSE)=I$18,$C42,0)+IF(VLOOKUP(CONCATENATE($D$18,"Line"),'Supply Attribution'!$F$31:$G$37,2,FALSE)=I$18,$D42,0)+IF(VLOOKUP(CONCATENATE($E$18,"Line"),'Supply Attribution'!$F$31:$G$37,2,FALSE)=I$18,$E42,0)+IF(VLOOKUP(CONCATENATE($F$18,"Line"),'Supply Attribution'!$F$31:$G$37,2,FALSE)=I$18,$F42,0)+IF($K$6="UL",LEFT($S$90,2),0)-IF(AND($K$16=I$18,$K$14&lt;&gt;$K$15,$K$16=$K$17,RIGHT($K42,3)="2SP"),VLOOKUP(CONCATENATE(LEFT($K42,2),"L"),$R$63:$T$90,3,FALSE),0)-IF(AND($L$16=I$18,$L$14&lt;&gt;$L$15,$L$16=$L$17,RIGHT($L42,3)="2SP"),VLOOKUP(CONCATENATE(LEFT($L42,2),"L"),$R$63:$T$90,3,FALSE),0)-IF(AND($M$16=I$18,$M$14&lt;&gt;$M$15,$M$16=$M$17,RIGHT($M42,3)="2SP"),VLOOKUP(CONCATENATE(LEFT($M42,2),"L"),$R$63:$T$90,3,FALSE),0)-IF(AND($N$16=I$18,$N$14&lt;&gt;$N$15,$N$16=$N$17,RIGHT($N42,3)="2SP"),VLOOKUP(CONCATENATE(LEFT($N42,2),"L"),$R$63:$T$90,3,FALSE),0)-IF(AND($O$16=I$18,$O$14&lt;&gt;$O$15,$O$16=$O$17,RIGHT($O42,3)="2SP"),VLOOKUP(CONCATENATE(LEFT($O42,2),"L"),$R$63:$T$90,3,FALSE),0)-IF(AND($P$16=I$18,$P$14&lt;&gt;$P$15,$P$16=$P$17,RIGHT($P42,3)="2SP"),VLOOKUP(CONCATENATE(LEFT($P42,2),"L"),$R$63:$T$90,3,FALSE),0)-IF(AND($Q$16=I$18,$Q$14&lt;&gt;$Q$15,$Q$16=$Q$17,RIGHT($Q42,3)="2SP"),VLOOKUP(CONCATENATE(LEFT($Q42,2),"L"),$R$63:$T$90,3,FALSE),0)-IF(AND($T$16=I$18,$T$14&lt;&gt;$T$15,$T$16=$T$17,RIGHT($T42,3)="2SP"),VLOOKUP(CONCATENATE(LEFT($T42,2),"L"),$R$63:$T$90,3,FALSE),0)-IF(AND($U$16=I$18,$U$14&lt;&gt;$U$15,$U$16=$U$17,RIGHT($U42,3)="2SP"),VLOOKUP(CONCATENATE(LEFT($U42,2),"L"),$R$63:$T$90,3,FALSE),0)-IF(AND($V$16=I$18,$V$14&lt;&gt;$V$15,$V$16=$V$17,RIGHT($V42,3)="2SP"),VLOOKUP(CONCATENATE(LEFT($V42,2),"L"),$R$63:$T$90,3,FALSE),0)-IF(AND($W$16=I$18,$W$14&lt;&gt;$W$15,$W$16=$W$17,RIGHT($W42,3)="2SP"),VLOOKUP(CONCATENATE(LEFT($W42,2),"L"),$R$63:$T$90,3,FALSE),0)-IF(AND($X$16=I$18,$X$14&lt;&gt;$X$15,$X$16=$X$17,RIGHT($X42,3)="2SP"),VLOOKUP(CONCATENATE(LEFT($X42,2),"L"),$R$63:$T$90,3,FALSE),0)-IF(AND($Y$16=I$18,$Y$14&lt;&gt;$Y$15,$Y$16=$Y$17,RIGHT($Y42,3)="2SP"),VLOOKUP(CONCATENATE(LEFT($Y42,2),"L"),$R$63:$T$90,3,FALSE),0),"")</f>
        <v/>
      </c>
      <c r="J42" s="134"/>
      <c r="K42" s="135"/>
      <c r="L42" s="135"/>
      <c r="M42" s="135"/>
      <c r="N42" s="135"/>
      <c r="O42" s="135"/>
      <c r="P42" s="135"/>
      <c r="Q42" s="135"/>
      <c r="R42" s="135"/>
      <c r="S42" s="135"/>
      <c r="T42" s="135"/>
      <c r="U42" s="135"/>
      <c r="V42" s="135"/>
      <c r="W42" s="135"/>
      <c r="X42" s="135"/>
      <c r="Y42" s="135"/>
      <c r="Z42" s="136"/>
      <c r="AA42" s="136"/>
      <c r="AB42" s="137"/>
      <c r="AC42" s="137"/>
      <c r="AD42" s="137"/>
      <c r="AE42" s="138">
        <f t="shared" si="0"/>
        <v>0</v>
      </c>
      <c r="AF42" s="78"/>
    </row>
    <row r="43" spans="1:32" ht="13.15" customHeight="1">
      <c r="A43" s="264">
        <f>IF(AND($K43&lt;&gt;"",$K43&lt;&gt;"--",$K43&lt;&gt;"O3/CP",$K$14=A$18),IF(LEFT($K43,1)="P",VLOOKUP(CONCATENATE(LEFT($K43,2),"H"),$R$63:$T$91,3,FALSE),VLOOKUP($K43,$R$63:$T$91,3,FALSE)))+IF(AND($K43&lt;&gt;"",$K43&lt;&gt;"O3/CP",$K$15=A$18,MID($K43,4,1)="2",$K$15&lt;&gt;$K$14),VLOOKUP(CONCATENATE(LEFT($K43,2),"L"),$R$63:$T$91,3,FALSE),0)+IF(AND($K43="O3/CP",$K$14=A$18),VLOOKUP("O3",$R$63:$T$91,3,FALSE)+VLOOKUP("CP",$R$63:$T$91,3,FALSE),0)+IF(AND($L43&lt;&gt;"",$L43&lt;&gt;"--",$L43&lt;&gt;"O3/CP",$L$14=A$18),IF(LEFT($L43,1)="P",VLOOKUP(CONCATENATE(LEFT($L43,2),"H"),$R$63:$T$91,3,FALSE),VLOOKUP($L43,$R$63:$T$91,3,FALSE)))+IF(AND($L43&lt;&gt;"",$L43&lt;&gt;"O3/CP",$L$15=A$18,MID($L43,4,1)="2",$L$15&lt;&gt;$L$14),VLOOKUP(CONCATENATE(LEFT($L43,2),"L"),$R$63:$T$91,3,FALSE),0)+IF(AND($L43="O3/CP",$L$14=A$18),VLOOKUP("O3",$R$63:$T$91,3,FALSE)+VLOOKUP("CP",$R$63:$T$91,3,FALSE),0)+IF(AND($M43&lt;&gt;"",$M43&lt;&gt;"--",$M43&lt;&gt;"O3/CP",$M$14=A$18),IF(LEFT($M43,1)="P",VLOOKUP(CONCATENATE(LEFT($M43,2),"H"),$R$63:$T$91,3,FALSE),VLOOKUP($M43,$R$63:$T$91,3,FALSE)))+IF(AND($M43&lt;&gt;"",$M43&lt;&gt;"O3/CP",$M$15=A$18,MID($M43,4,1)="2",$M$15&lt;&gt;$M$14),VLOOKUP(CONCATENATE(LEFT($M43,2),"L"),$R$63:$T$91,3,FALSE),0)+IF(AND($M43="O3/CP",$M$14=A$18),VLOOKUP("O3",$R$63:$T$91,3,FALSE)+VLOOKUP("CP",$R$63:$T$91,3,FALSE),0)+IF(AND($N43&lt;&gt;"",$N43&lt;&gt;"--",$N43&lt;&gt;"O3/CP",$N$14=A$18),IF(LEFT($N43,1)="P",VLOOKUP(CONCATENATE(LEFT($N43,2),"H"),$R$63:$T$91,3,FALSE),VLOOKUP($N43,$R$63:$T$91,3,FALSE)))+IF(AND($N43&lt;&gt;"",$N43&lt;&gt;"O3/CP",$N$15=A$18,MID($N43,4,1)="2",$N$15&lt;&gt;$N$14),VLOOKUP(CONCATENATE(LEFT($N43,2),"L"),$R$63:$T$91,3,FALSE),0)+IF(AND($N43="O3/CP",$N$14=A$18),VLOOKUP("O3",$R$63:$T$91,3,FALSE)+VLOOKUP("CP",$R$63:$T$91,3,FALSE),0)+IF(AND($O43&lt;&gt;"",$O43&lt;&gt;"--",$O43&lt;&gt;"O3/CP",$O$14=A$18),IF(LEFT($O43,1)="P",VLOOKUP(CONCATENATE(LEFT($O43,2),"H"),$R$63:$T$91,3,FALSE),VLOOKUP($O43,$R$63:$T$91,3,FALSE)))+IF(AND($O43&lt;&gt;"",$O43&lt;&gt;"O3/CP",$O$15=A$18,MID($O43,4,1)="2",$O$15&lt;&gt;$O$14),VLOOKUP(CONCATENATE(LEFT($O43,2),"L"),$R$63:$T$91,3,FALSE),0)+IF(AND($O43="O3/CP",$O$14=A$18),VLOOKUP("O3",$R$63:$T$91,3,FALSE)+VLOOKUP("CP",$R$63:$T$91,3,FALSE),0)+IF(AND($P43&lt;&gt;"",$P43&lt;&gt;"--",$P43&lt;&gt;"O3/CP",$P$14=A$18),IF(LEFT($P43,1)="P",VLOOKUP(CONCATENATE(LEFT($P43,2),"H"),$R$63:$T$91,3,FALSE),VLOOKUP($P43,$R$63:$T$91,3,FALSE)))+IF(AND($P43&lt;&gt;"",$P43&lt;&gt;"O3/CP",$P$15=A$18,MID($P43,4,1)="2",$P$15&lt;&gt;$P$14),VLOOKUP(CONCATENATE(LEFT($P43,2),"L"),$R$63:$T$91,3,FALSE),0)+IF(AND($P43="O3/CP",$P$14=A$18),VLOOKUP("O3",$R$63:$T$91,3,FALSE)+VLOOKUP("CP",$R$63:$T$91,3,FALSE),0)+IF(AND($Q43&lt;&gt;"",$Q43&lt;&gt;"--",$Q43&lt;&gt;"O3/CP",$Q$14=A$18),IF(LEFT($Q43,1)="P",VLOOKUP(CONCATENATE(LEFT($Q43,2),"H"),$R$63:$T$91,3,FALSE),VLOOKUP($Q43,$R$63:$T$91,3,FALSE)))+IF(AND($Q43&lt;&gt;"",$Q43&lt;&gt;"O3/CP",$Q$15=A$18,MID($Q43,4,1)="2",$Q$15&lt;&gt;$Q$14),VLOOKUP(CONCATENATE(LEFT($Q43,2),"L"),$R$63:$T$91,3,FALSE),0)+IF(AND($Q43="O3/CP",$Q$14=A$18),VLOOKUP("O3",$R$63:$T$91,3,FALSE)+VLOOKUP("CP",$R$63:$T$91,3,FALSE),0)+IF(AND($R43&lt;&gt;"",$R43&lt;&gt;"--",$R43&lt;&gt;"O3/CP",$R$14=A$18),IF(LEFT($R43,1)="P",VLOOKUP(CONCATENATE(LEFT($R43,2),"H"),$R$63:$T$91,3,FALSE),VLOOKUP($R43,$R$63:$T$91,3,FALSE)))+IF(AND($R43&lt;&gt;"",$R43&lt;&gt;"O3/CP",$R$15=A$18,MID($R43,4,1)="2",$R$15&lt;&gt;$R$14),VLOOKUP(CONCATENATE(LEFT($R43,2),"L"),$R$63:$T$91,3,FALSE),0)+IF(AND($R43="O3/CP",$R$14=A$18),VLOOKUP("O3",$R$63:$T$91,3,FALSE)+VLOOKUP("CP",$R$63:$T$91,3,FALSE),0)+IF(AND($S43&lt;&gt;"",$S43&lt;&gt;"--",$S43&lt;&gt;"O3/CP",$S$14=A$18),IF(LEFT($S43,1)="P",VLOOKUP(CONCATENATE(LEFT($S43,2),"H"),$R$63:$T$91,3,FALSE),VLOOKUP($S43,$R$63:$T$91,3,FALSE)))+IF(AND($S43&lt;&gt;"",$S43&lt;&gt;"O3/CP",$S$15=A$18,MID($S43,4,1)="2",$S$15&lt;&gt;$S$14),VLOOKUP(CONCATENATE(LEFT($S43,2),"L"),$R$63:$T$91,3,FALSE),0)+IF(AND($S43="O3/CP",$S$14=A$18),VLOOKUP("O3",$R$63:$T$91,3,FALSE)+VLOOKUP("CP",$R$63:$T$91,3,FALSE),0)+IF(AND($T43&lt;&gt;"",$T43&lt;&gt;"--",$T43&lt;&gt;"O3/CP",$T$14=A$18),IF(LEFT($T43,1)="P",VLOOKUP(CONCATENATE(LEFT($T43,2),"H"),$R$63:$T$91,3,FALSE),VLOOKUP($T43,$R$63:$T$91,3,FALSE)))+IF(AND($T43&lt;&gt;"",$T43&lt;&gt;"O3/CP",$T$15=A$18,MID($T43,4,1)="2",$T$15&lt;&gt;$T$14),VLOOKUP(CONCATENATE(LEFT($T43,2),"L"),$R$63:$T$91,3,FALSE),0)+IF(AND($T43="O3/CP",$T$14=A$18),VLOOKUP("O3",$R$63:$T$91,3,FALSE)+VLOOKUP("CP",$R$63:$T$91,3,FALSE),0)+IF(AND($U43&lt;&gt;"",$U43&lt;&gt;"--",$U43&lt;&gt;"O3/CP",$U$14=A$18),IF(LEFT($U43,1)="P",VLOOKUP(CONCATENATE(LEFT($U43,2),"H"),$R$63:$T$91,3,FALSE),VLOOKUP($U43,$R$63:$T$91,3,FALSE)))+IF(AND($U43&lt;&gt;"",$U43&lt;&gt;"O3/CP",$U$15=A$18,MID($U43,4,1)="2",$U$15&lt;&gt;$U$14),VLOOKUP(CONCATENATE(LEFT($U43,2),"L"),$R$63:$T$91,3,FALSE),0)+IF(AND($U43="O3/CP",$T$14=A$18),VLOOKUP("O3",$R$63:$T$91,3,FALSE)+VLOOKUP("CP",$R$63:$T$91,3,FALSE),0)+IF(AND($V43&lt;&gt;"",$V43&lt;&gt;"--",$V43&lt;&gt;"O3/CP",$V$14=A$18),IF(LEFT($V43,1)="P",VLOOKUP(CONCATENATE(LEFT($V43,2),"H"),$R$63:$T$91,3,FALSE),VLOOKUP($V43,$R$63:$T$91,3,FALSE)))+IF(AND($V43&lt;&gt;"",$V43&lt;&gt;"O3/CP",$V$15=A$18,MID($V43,4,1)="2",$V$15&lt;&gt;$V$14),VLOOKUP(CONCATENATE(LEFT($V43,2),"L"),$R$63:$T$91,3,FALSE),0)+IF(AND($V43="O3/CP",$V$14=A$18),VLOOKUP("O3",$R$63:$T$91,3,FALSE)+VLOOKUP("CP",$R$63:$T$91,3,FALSE),0)+IF(AND($W43&lt;&gt;"",$W43&lt;&gt;"--",$W43&lt;&gt;"O3/CP",$W$14=A$18),IF(LEFT($W43,1)="P",VLOOKUP(CONCATENATE(LEFT($W43,2),"H"),$R$63:$T$91,3,FALSE),VLOOKUP($W43,$R$63:$T$91,3,FALSE)))+IF(AND($W43&lt;&gt;"",$W43&lt;&gt;"O3/CP",$W$15=A$18,MID($W43,4,1)="2",$W$15&lt;&gt;$W$14),VLOOKUP(CONCATENATE(LEFT($W43,2),"L"),$R$63:$T$91,3,FALSE),0)+IF(AND($W43="O3/CP",$W$14=A$18),VLOOKUP("O3",$R$63:$T$91,3,FALSE)+VLOOKUP("CP",$R$63:$T$91,3,FALSE),0)+IF(AND($X43&lt;&gt;"",$X43&lt;&gt;"--",$X43&lt;&gt;"O3/CP",$X$14=A$18),IF(LEFT($X43,1)="P",VLOOKUP(CONCATENATE(LEFT($X43,2),"H"),$R$63:$T$91,3,FALSE),VLOOKUP($X43,$R$63:$T$91,3,FALSE)))+IF(AND($X43&lt;&gt;"",$X43&lt;&gt;"O3/CP",$X$15=A$18,MID($X43,4,1)="2",$X$15&lt;&gt;$X$14),VLOOKUP(CONCATENATE(LEFT($X43,2),"L"),$R$63:$T$91,3,FALSE),0)+IF(AND($X43="O3/CP",$X$14=A$18),VLOOKUP("O3",$R$63:$T$91,3,FALSE)+VLOOKUP("CP",$R$63:$T$91,3,FALSE),0)+IF(AND($Y43&lt;&gt;"",$Y43&lt;&gt;"--",$Y43&lt;&gt;"O3/CP",$Y$14=A$18),IF(LEFT($Y43,1)="P",VLOOKUP(CONCATENATE(LEFT($Y43,2),"H"),$R$63:$T$91,3,FALSE),VLOOKUP($Y43,$R$63:$T$91,3,FALSE)))+IF(AND($Y43&lt;&gt;"",$Y43&lt;&gt;"O3/CP",$Y$15=A$18,MID($Y43,4,1)="2",$Y$15&lt;&gt;$Y$14),VLOOKUP(CONCATENATE(LEFT($Y43,2),"L"),$R$63:$T$91,3,FALSE),0)+IF(AND($Y43="O3/CP",$Y$14=A$18),VLOOKUP("O3",$R$63:$T$91,3,FALSE)+VLOOKUP("CP",$R$63:$T$91,3,FALSE),0)+IF(AND($K$6="CE",'[3]Supply Attribution'!$G$20=A$18),LEFT($S$90,2),0)+IF(AND($X$86&lt;&gt;"Not Set",$X$87=A$18),$X$86,0)</f>
        <v>0</v>
      </c>
      <c r="B43" s="271">
        <f>IF(AND($K43&lt;&gt;"",$K43&lt;&gt;"--",$K43&lt;&gt;"O3/CP",$K$14=B$18),IF(LEFT($K43,1)="P",VLOOKUP(CONCATENATE(LEFT($K43,2),"H"),$R$63:$T$91,3,FALSE),VLOOKUP($K43,$R$63:$T$91,3,FALSE)))+IF(AND($K43&lt;&gt;"",$K43&lt;&gt;"O3/CP",$K$15=B$18,MID($K43,4,1)="2",$K$15&lt;&gt;$K$14),VLOOKUP(CONCATENATE(LEFT($K43,2),"L"),$R$63:$T$91,3,FALSE),0)+IF(AND($K43="O3/CP",$K$14=B$18),VLOOKUP("O3",$R$63:$T$91,3,FALSE)+VLOOKUP("CP",$R$63:$T$91,3,FALSE),0)+IF(AND($L43&lt;&gt;"",$L43&lt;&gt;"--",$L43&lt;&gt;"O3/CP",$L$14=B$18),IF(LEFT($L43,1)="P",VLOOKUP(CONCATENATE(LEFT($L43,2),"H"),$R$63:$T$91,3,FALSE),VLOOKUP($L43,$R$63:$T$91,3,FALSE)))+IF(AND($L43&lt;&gt;"",$L43&lt;&gt;"O3/CP",$L$15=B$18,MID($L43,4,1)="2",$L$15&lt;&gt;$L$14),VLOOKUP(CONCATENATE(LEFT($L43,2),"L"),$R$63:$T$91,3,FALSE),0)+IF(AND($L43="O3/CP",$L$14=B$18),VLOOKUP("O3",$R$63:$T$91,3,FALSE)+VLOOKUP("CP",$R$63:$T$91,3,FALSE),0)+IF(AND($M43&lt;&gt;"",$M43&lt;&gt;"--",$M43&lt;&gt;"O3/CP",$M$14=B$18),IF(LEFT($M43,1)="P",VLOOKUP(CONCATENATE(LEFT($M43,2),"H"),$R$63:$T$91,3,FALSE),VLOOKUP($M43,$R$63:$T$91,3,FALSE)))+IF(AND($M43&lt;&gt;"",$M43&lt;&gt;"O3/CP",$M$15=B$18,MID($M43,4,1)="2",$M$15&lt;&gt;$M$14),VLOOKUP(CONCATENATE(LEFT($M43,2),"L"),$R$63:$T$91,3,FALSE),0)+IF(AND($M43="O3/CP",$M$14=B$18),VLOOKUP("O3",$R$63:$T$91,3,FALSE)+VLOOKUP("CP",$R$63:$T$91,3,FALSE),0)+IF(AND($N43&lt;&gt;"",$N43&lt;&gt;"--",$N43&lt;&gt;"O3/CP",$N$14=B$18),IF(LEFT($N43,1)="P",VLOOKUP(CONCATENATE(LEFT($N43,2),"H"),$R$63:$T$91,3,FALSE),VLOOKUP($N43,$R$63:$T$91,3,FALSE)))+IF(AND($N43&lt;&gt;"",$N43&lt;&gt;"O3/CP",$N$15=B$18,MID($N43,4,1)="2",$N$15&lt;&gt;$N$14),VLOOKUP(CONCATENATE(LEFT($N43,2),"L"),$R$63:$T$91,3,FALSE),0)+IF(AND($N43="O3/CP",$N$14=B$18),VLOOKUP("O3",$R$63:$T$91,3,FALSE)+VLOOKUP("CP",$R$63:$T$91,3,FALSE),0)+IF(AND($O43&lt;&gt;"",$O43&lt;&gt;"--",$O43&lt;&gt;"O3/CP",$O$14=B$18),IF(LEFT($O43,1)="P",VLOOKUP(CONCATENATE(LEFT($O43,2),"H"),$R$63:$T$91,3,FALSE),VLOOKUP($O43,$R$63:$T$91,3,FALSE)))+IF(AND($O43&lt;&gt;"",$O43&lt;&gt;"O3/CP",$O$15=B$18,MID($O43,4,1)="2",$O$15&lt;&gt;$O$14),VLOOKUP(CONCATENATE(LEFT($O43,2),"L"),$R$63:$T$91,3,FALSE),0)+IF(AND($O43="O3/CP",$O$14=B$18),VLOOKUP("O3",$R$63:$T$91,3,FALSE)+VLOOKUP("CP",$R$63:$T$91,3,FALSE),0)+IF(AND($P43&lt;&gt;"",$P43&lt;&gt;"--",$P43&lt;&gt;"O3/CP",$P$14=B$18),IF(LEFT($P43,1)="P",VLOOKUP(CONCATENATE(LEFT($P43,2),"H"),$R$63:$T$91,3,FALSE),VLOOKUP($P43,$R$63:$T$91,3,FALSE)))+IF(AND($P43&lt;&gt;"",$P43&lt;&gt;"O3/CP",$P$15=B$18,MID($P43,4,1)="2",$P$15&lt;&gt;$P$14),VLOOKUP(CONCATENATE(LEFT($P43,2),"L"),$R$63:$T$91,3,FALSE),0)+IF(AND($P43="O3/CP",$P$14=B$18),VLOOKUP("O3",$R$63:$T$91,3,FALSE)+VLOOKUP("CP",$R$63:$T$91,3,FALSE),0)+IF(AND($Q43&lt;&gt;"",$Q43&lt;&gt;"--",$Q43&lt;&gt;"O3/CP",$Q$14=B$18),IF(LEFT($Q43,1)="P",VLOOKUP(CONCATENATE(LEFT($Q43,2),"H"),$R$63:$T$91,3,FALSE),VLOOKUP($Q43,$R$63:$T$91,3,FALSE)))+IF(AND($Q43&lt;&gt;"",$Q43&lt;&gt;"O3/CP",$Q$15=B$18,MID($Q43,4,1)="2",$Q$15&lt;&gt;$Q$14),VLOOKUP(CONCATENATE(LEFT($Q43,2),"L"),$R$63:$T$91,3,FALSE),0)+IF(AND($Q43="O3/CP",$Q$14=B$18),VLOOKUP("O3",$R$63:$T$91,3,FALSE)+VLOOKUP("CP",$R$63:$T$91,3,FALSE),0)+IF(AND($R43&lt;&gt;"",$R43&lt;&gt;"--",$R43&lt;&gt;"O3/CP",$R$14=B$18),IF(LEFT($R43,1)="P",VLOOKUP(CONCATENATE(LEFT($R43,2),"H"),$R$63:$T$91,3,FALSE),VLOOKUP($R43,$R$63:$T$91,3,FALSE)))+IF(AND($R43&lt;&gt;"",$R43&lt;&gt;"O3/CP",$R$15=B$18,MID($R43,4,1)="2",$R$15&lt;&gt;$R$14),VLOOKUP(CONCATENATE(LEFT($R43,2),"L"),$R$63:$T$91,3,FALSE),0)+IF(AND($R43="O3/CP",$R$14=B$18),VLOOKUP("O3",$R$63:$T$91,3,FALSE)+VLOOKUP("CP",$R$63:$T$91,3,FALSE),0)+IF(AND($S43&lt;&gt;"",$S43&lt;&gt;"--",$S43&lt;&gt;"O3/CP",$S$14=B$18),IF(LEFT($S43,1)="P",VLOOKUP(CONCATENATE(LEFT($S43,2),"H"),$R$63:$T$91,3,FALSE),VLOOKUP($S43,$R$63:$T$91,3,FALSE)))+IF(AND($S43&lt;&gt;"",$S43&lt;&gt;"O3/CP",$S$15=B$18,MID($S43,4,1)="2",$S$15&lt;&gt;$S$14),VLOOKUP(CONCATENATE(LEFT($S43,2),"L"),$R$63:$T$91,3,FALSE),0)+IF(AND($S43="O3/CP",$S$14=B$18),VLOOKUP("O3",$R$63:$T$91,3,FALSE)+VLOOKUP("CP",$R$63:$T$91,3,FALSE),0)+IF(AND($T43&lt;&gt;"",$T43&lt;&gt;"--",$T43&lt;&gt;"O3/CP",$T$14=B$18),IF(LEFT($T43,1)="P",VLOOKUP(CONCATENATE(LEFT($T43,2),"H"),$R$63:$T$91,3,FALSE),VLOOKUP($T43,$R$63:$T$91,3,FALSE)))+IF(AND($T43&lt;&gt;"",$T43&lt;&gt;"O3/CP",$T$15=B$18,MID($T43,4,1)="2",$T$15&lt;&gt;$T$14),VLOOKUP(CONCATENATE(LEFT($T43,2),"L"),$R$63:$T$91,3,FALSE),0)+IF(AND($T43="O3/CP",$T$14=B$18),VLOOKUP("O3",$R$63:$T$91,3,FALSE)+VLOOKUP("CP",$R$63:$T$91,3,FALSE),0)+IF(AND($U43&lt;&gt;"",$U43&lt;&gt;"--",$U43&lt;&gt;"O3/CP",$U$14=B$18),IF(LEFT($U43,1)="P",VLOOKUP(CONCATENATE(LEFT($U43,2),"H"),$R$63:$T$91,3,FALSE),VLOOKUP($U43,$R$63:$T$91,3,FALSE)))+IF(AND($U43&lt;&gt;"",$U43&lt;&gt;"O3/CP",$U$15=B$18,MID($U43,4,1)="2",$U$15&lt;&gt;$U$14),VLOOKUP(CONCATENATE(LEFT($U43,2),"L"),$R$63:$T$91,3,FALSE),0)+IF(AND($U43="O3/CP",$T$14=B$18),VLOOKUP("O3",$R$63:$T$91,3,FALSE)+VLOOKUP("CP",$R$63:$T$91,3,FALSE),0)+IF(AND($V43&lt;&gt;"",$V43&lt;&gt;"--",$V43&lt;&gt;"O3/CP",$V$14=B$18),IF(LEFT($V43,1)="P",VLOOKUP(CONCATENATE(LEFT($V43,2),"H"),$R$63:$T$91,3,FALSE),VLOOKUP($V43,$R$63:$T$91,3,FALSE)))+IF(AND($V43&lt;&gt;"",$V43&lt;&gt;"O3/CP",$V$15=B$18,MID($V43,4,1)="2",$V$15&lt;&gt;$V$14),VLOOKUP(CONCATENATE(LEFT($V43,2),"L"),$R$63:$T$91,3,FALSE),0)+IF(AND($V43="O3/CP",$V$14=B$18),VLOOKUP("O3",$R$63:$T$91,3,FALSE)+VLOOKUP("CP",$R$63:$T$91,3,FALSE),0)+IF(AND($W43&lt;&gt;"",$W43&lt;&gt;"--",$W43&lt;&gt;"O3/CP",$W$14=B$18),IF(LEFT($W43,1)="P",VLOOKUP(CONCATENATE(LEFT($W43,2),"H"),$R$63:$T$91,3,FALSE),VLOOKUP($W43,$R$63:$T$91,3,FALSE)))+IF(AND($W43&lt;&gt;"",$W43&lt;&gt;"O3/CP",$W$15=B$18,MID($W43,4,1)="2",$W$15&lt;&gt;$W$14),VLOOKUP(CONCATENATE(LEFT($W43,2),"L"),$R$63:$T$91,3,FALSE),0)+IF(AND($W43="O3/CP",$W$14=B$18),VLOOKUP("O3",$R$63:$T$91,3,FALSE)+VLOOKUP("CP",$R$63:$T$91,3,FALSE),0)+IF(AND($X43&lt;&gt;"",$X43&lt;&gt;"--",$X43&lt;&gt;"O3/CP",$X$14=B$18),IF(LEFT($X43,1)="P",VLOOKUP(CONCATENATE(LEFT($X43,2),"H"),$R$63:$T$91,3,FALSE),VLOOKUP($X43,$R$63:$T$91,3,FALSE)))+IF(AND($X43&lt;&gt;"",$X43&lt;&gt;"O3/CP",$X$15=B$18,MID($X43,4,1)="2",$X$15&lt;&gt;$X$14),VLOOKUP(CONCATENATE(LEFT($X43,2),"L"),$R$63:$T$91,3,FALSE),0)+IF(AND($X43="O3/CP",$X$14=B$18),VLOOKUP("O3",$R$63:$T$91,3,FALSE)+VLOOKUP("CP",$R$63:$T$91,3,FALSE),0)+IF(AND($Y43&lt;&gt;"",$Y43&lt;&gt;"--",$Y43&lt;&gt;"O3/CP",$Y$14=B$18),IF(LEFT($Y43,1)="P",VLOOKUP(CONCATENATE(LEFT($Y43,2),"H"),$R$63:$T$91,3,FALSE),VLOOKUP($Y43,$R$63:$T$91,3,FALSE)))+IF(AND($Y43&lt;&gt;"",$Y43&lt;&gt;"O3/CP",$Y$15=B$18,MID($Y43,4,1)="2",$Y$15&lt;&gt;$Y$14),VLOOKUP(CONCATENATE(LEFT($Y43,2),"L"),$R$63:$T$91,3,FALSE),0)+IF(AND($Y43="O3/CP",$Y$14=B$18),VLOOKUP("O3",$R$63:$T$91,3,FALSE)+VLOOKUP("CP",$R$63:$T$91,3,FALSE),0)+IF(AND($K$6="CE",'[3]Supply Attribution'!$G$20=B$18),LEFT($S$90,2),0)+IF(AND($X$86&lt;&gt;"Not Set",$X$87=B$18),$X$86,0)</f>
        <v>0</v>
      </c>
      <c r="C43" s="271">
        <f>IF(AND($K43&lt;&gt;"",$K43&lt;&gt;"--",$K43&lt;&gt;"O3/CP",$K$14=C$18),IF(LEFT($K43,1)="P",VLOOKUP(CONCATENATE(LEFT($K43,2),"H"),$R$63:$T$91,3,FALSE),VLOOKUP($K43,$R$63:$T$91,3,FALSE)))+IF(AND($K43&lt;&gt;"",$K43&lt;&gt;"O3/CP",$K$15=C$18,MID($K43,4,1)="2",$K$15&lt;&gt;$K$14),VLOOKUP(CONCATENATE(LEFT($K43,2),"L"),$R$63:$T$91,3,FALSE),0)+IF(AND($K43="O3/CP",$K$14=C$18),VLOOKUP("O3",$R$63:$T$91,3,FALSE)+VLOOKUP("CP",$R$63:$T$91,3,FALSE),0)+IF(AND($L43&lt;&gt;"",$L43&lt;&gt;"--",$L43&lt;&gt;"O3/CP",$L$14=C$18),IF(LEFT($L43,1)="P",VLOOKUP(CONCATENATE(LEFT($L43,2),"H"),$R$63:$T$91,3,FALSE),VLOOKUP($L43,$R$63:$T$91,3,FALSE)))+IF(AND($L43&lt;&gt;"",$L43&lt;&gt;"O3/CP",$L$15=C$18,MID($L43,4,1)="2",$L$15&lt;&gt;$L$14),VLOOKUP(CONCATENATE(LEFT($L43,2),"L"),$R$63:$T$91,3,FALSE),0)+IF(AND($L43="O3/CP",$L$14=C$18),VLOOKUP("O3",$R$63:$T$91,3,FALSE)+VLOOKUP("CP",$R$63:$T$91,3,FALSE),0)+IF(AND($M43&lt;&gt;"",$M43&lt;&gt;"--",$M43&lt;&gt;"O3/CP",$M$14=C$18),IF(LEFT($M43,1)="P",VLOOKUP(CONCATENATE(LEFT($M43,2),"H"),$R$63:$T$91,3,FALSE),VLOOKUP($M43,$R$63:$T$91,3,FALSE)))+IF(AND($M43&lt;&gt;"",$M43&lt;&gt;"O3/CP",$M$15=C$18,MID($M43,4,1)="2",$M$15&lt;&gt;$M$14),VLOOKUP(CONCATENATE(LEFT($M43,2),"L"),$R$63:$T$91,3,FALSE),0)+IF(AND($M43="O3/CP",$M$14=C$18),VLOOKUP("O3",$R$63:$T$91,3,FALSE)+VLOOKUP("CP",$R$63:$T$91,3,FALSE),0)+IF(AND($N43&lt;&gt;"",$N43&lt;&gt;"--",$N43&lt;&gt;"O3/CP",$N$14=C$18),IF(LEFT($N43,1)="P",VLOOKUP(CONCATENATE(LEFT($N43,2),"H"),$R$63:$T$91,3,FALSE),VLOOKUP($N43,$R$63:$T$91,3,FALSE)))+IF(AND($N43&lt;&gt;"",$N43&lt;&gt;"O3/CP",$N$15=C$18,MID($N43,4,1)="2",$N$15&lt;&gt;$N$14),VLOOKUP(CONCATENATE(LEFT($N43,2),"L"),$R$63:$T$91,3,FALSE),0)+IF(AND($N43="O3/CP",$N$14=C$18),VLOOKUP("O3",$R$63:$T$91,3,FALSE)+VLOOKUP("CP",$R$63:$T$91,3,FALSE),0)+IF(AND($O43&lt;&gt;"",$O43&lt;&gt;"--",$O43&lt;&gt;"O3/CP",$O$14=C$18),IF(LEFT($O43,1)="P",VLOOKUP(CONCATENATE(LEFT($O43,2),"H"),$R$63:$T$91,3,FALSE),VLOOKUP($O43,$R$63:$T$91,3,FALSE)))+IF(AND($O43&lt;&gt;"",$O43&lt;&gt;"O3/CP",$O$15=C$18,MID($O43,4,1)="2",$O$15&lt;&gt;$O$14),VLOOKUP(CONCATENATE(LEFT($O43,2),"L"),$R$63:$T$91,3,FALSE),0)+IF(AND($O43="O3/CP",$O$14=C$18),VLOOKUP("O3",$R$63:$T$91,3,FALSE)+VLOOKUP("CP",$R$63:$T$91,3,FALSE),0)+IF(AND($P43&lt;&gt;"",$P43&lt;&gt;"--",$P43&lt;&gt;"O3/CP",$P$14=C$18),IF(LEFT($P43,1)="P",VLOOKUP(CONCATENATE(LEFT($P43,2),"H"),$R$63:$T$91,3,FALSE),VLOOKUP($P43,$R$63:$T$91,3,FALSE)))+IF(AND($P43&lt;&gt;"",$P43&lt;&gt;"O3/CP",$P$15=C$18,MID($P43,4,1)="2",$P$15&lt;&gt;$P$14),VLOOKUP(CONCATENATE(LEFT($P43,2),"L"),$R$63:$T$91,3,FALSE),0)+IF(AND($P43="O3/CP",$P$14=C$18),VLOOKUP("O3",$R$63:$T$91,3,FALSE)+VLOOKUP("CP",$R$63:$T$91,3,FALSE),0)+IF(AND($Q43&lt;&gt;"",$Q43&lt;&gt;"--",$Q43&lt;&gt;"O3/CP",$Q$14=C$18),IF(LEFT($Q43,1)="P",VLOOKUP(CONCATENATE(LEFT($Q43,2),"H"),$R$63:$T$91,3,FALSE),VLOOKUP($Q43,$R$63:$T$91,3,FALSE)))+IF(AND($Q43&lt;&gt;"",$Q43&lt;&gt;"O3/CP",$Q$15=C$18,MID($Q43,4,1)="2",$Q$15&lt;&gt;$Q$14),VLOOKUP(CONCATENATE(LEFT($Q43,2),"L"),$R$63:$T$91,3,FALSE),0)+IF(AND($Q43="O3/CP",$Q$14=C$18),VLOOKUP("O3",$R$63:$T$91,3,FALSE)+VLOOKUP("CP",$R$63:$T$91,3,FALSE),0)+IF(AND($R43&lt;&gt;"",$R43&lt;&gt;"--",$R43&lt;&gt;"O3/CP",$R$14=C$18),IF(LEFT($R43,1)="P",VLOOKUP(CONCATENATE(LEFT($R43,2),"H"),$R$63:$T$91,3,FALSE),VLOOKUP($R43,$R$63:$T$91,3,FALSE)))+IF(AND($R43&lt;&gt;"",$R43&lt;&gt;"O3/CP",$R$15=C$18,MID($R43,4,1)="2",$R$15&lt;&gt;$R$14),VLOOKUP(CONCATENATE(LEFT($R43,2),"L"),$R$63:$T$91,3,FALSE),0)+IF(AND($R43="O3/CP",$R$14=C$18),VLOOKUP("O3",$R$63:$T$91,3,FALSE)+VLOOKUP("CP",$R$63:$T$91,3,FALSE),0)+IF(AND($S43&lt;&gt;"",$S43&lt;&gt;"--",$S43&lt;&gt;"O3/CP",$S$14=C$18),IF(LEFT($S43,1)="P",VLOOKUP(CONCATENATE(LEFT($S43,2),"H"),$R$63:$T$91,3,FALSE),VLOOKUP($S43,$R$63:$T$91,3,FALSE)))+IF(AND($S43&lt;&gt;"",$S43&lt;&gt;"O3/CP",$S$15=C$18,MID($S43,4,1)="2",$S$15&lt;&gt;$S$14),VLOOKUP(CONCATENATE(LEFT($S43,2),"L"),$R$63:$T$91,3,FALSE),0)+IF(AND($S43="O3/CP",$S$14=C$18),VLOOKUP("O3",$R$63:$T$91,3,FALSE)+VLOOKUP("CP",$R$63:$T$91,3,FALSE),0)+IF(AND($T43&lt;&gt;"",$T43&lt;&gt;"--",$T43&lt;&gt;"O3/CP",$T$14=C$18),IF(LEFT($T43,1)="P",VLOOKUP(CONCATENATE(LEFT($T43,2),"H"),$R$63:$T$91,3,FALSE),VLOOKUP($T43,$R$63:$T$91,3,FALSE)))+IF(AND($T43&lt;&gt;"",$T43&lt;&gt;"O3/CP",$T$15=C$18,MID($T43,4,1)="2",$T$15&lt;&gt;$T$14),VLOOKUP(CONCATENATE(LEFT($T43,2),"L"),$R$63:$T$91,3,FALSE),0)+IF(AND($T43="O3/CP",$T$14=C$18),VLOOKUP("O3",$R$63:$T$91,3,FALSE)+VLOOKUP("CP",$R$63:$T$91,3,FALSE),0)+IF(AND($U43&lt;&gt;"",$U43&lt;&gt;"--",$U43&lt;&gt;"O3/CP",$U$14=C$18),IF(LEFT($U43,1)="P",VLOOKUP(CONCATENATE(LEFT($U43,2),"H"),$R$63:$T$91,3,FALSE),VLOOKUP($U43,$R$63:$T$91,3,FALSE)))+IF(AND($U43&lt;&gt;"",$U43&lt;&gt;"O3/CP",$U$15=C$18,MID($U43,4,1)="2",$U$15&lt;&gt;$U$14),VLOOKUP(CONCATENATE(LEFT($U43,2),"L"),$R$63:$T$91,3,FALSE),0)+IF(AND($U43="O3/CP",$T$14=C$18),VLOOKUP("O3",$R$63:$T$91,3,FALSE)+VLOOKUP("CP",$R$63:$T$91,3,FALSE),0)+IF(AND($V43&lt;&gt;"",$V43&lt;&gt;"--",$V43&lt;&gt;"O3/CP",$V$14=C$18),IF(LEFT($V43,1)="P",VLOOKUP(CONCATENATE(LEFT($V43,2),"H"),$R$63:$T$91,3,FALSE),VLOOKUP($V43,$R$63:$T$91,3,FALSE)))+IF(AND($V43&lt;&gt;"",$V43&lt;&gt;"O3/CP",$V$15=C$18,MID($V43,4,1)="2",$V$15&lt;&gt;$V$14),VLOOKUP(CONCATENATE(LEFT($V43,2),"L"),$R$63:$T$91,3,FALSE),0)+IF(AND($V43="O3/CP",$V$14=C$18),VLOOKUP("O3",$R$63:$T$91,3,FALSE)+VLOOKUP("CP",$R$63:$T$91,3,FALSE),0)+IF(AND($W43&lt;&gt;"",$W43&lt;&gt;"--",$W43&lt;&gt;"O3/CP",$W$14=C$18),IF(LEFT($W43,1)="P",VLOOKUP(CONCATENATE(LEFT($W43,2),"H"),$R$63:$T$91,3,FALSE),VLOOKUP($W43,$R$63:$T$91,3,FALSE)))+IF(AND($W43&lt;&gt;"",$W43&lt;&gt;"O3/CP",$W$15=C$18,MID($W43,4,1)="2",$W$15&lt;&gt;$W$14),VLOOKUP(CONCATENATE(LEFT($W43,2),"L"),$R$63:$T$91,3,FALSE),0)+IF(AND($W43="O3/CP",$W$14=C$18),VLOOKUP("O3",$R$63:$T$91,3,FALSE)+VLOOKUP("CP",$R$63:$T$91,3,FALSE),0)+IF(AND($X43&lt;&gt;"",$X43&lt;&gt;"--",$X43&lt;&gt;"O3/CP",$X$14=C$18),IF(LEFT($X43,1)="P",VLOOKUP(CONCATENATE(LEFT($X43,2),"H"),$R$63:$T$91,3,FALSE),VLOOKUP($X43,$R$63:$T$91,3,FALSE)))+IF(AND($X43&lt;&gt;"",$X43&lt;&gt;"O3/CP",$X$15=C$18,MID($X43,4,1)="2",$X$15&lt;&gt;$X$14),VLOOKUP(CONCATENATE(LEFT($X43,2),"L"),$R$63:$T$91,3,FALSE),0)+IF(AND($X43="O3/CP",$X$14=C$18),VLOOKUP("O3",$R$63:$T$91,3,FALSE)+VLOOKUP("CP",$R$63:$T$91,3,FALSE),0)+IF(AND($Y43&lt;&gt;"",$Y43&lt;&gt;"--",$Y43&lt;&gt;"O3/CP",$Y$14=C$18),IF(LEFT($Y43,1)="P",VLOOKUP(CONCATENATE(LEFT($Y43,2),"H"),$R$63:$T$91,3,FALSE),VLOOKUP($Y43,$R$63:$T$91,3,FALSE)))+IF(AND($Y43&lt;&gt;"",$Y43&lt;&gt;"O3/CP",$Y$15=C$18,MID($Y43,4,1)="2",$Y$15&lt;&gt;$Y$14),VLOOKUP(CONCATENATE(LEFT($Y43,2),"L"),$R$63:$T$91,3,FALSE),0)+IF(AND($Y43="O3/CP",$Y$14=C$18),VLOOKUP("O3",$R$63:$T$91,3,FALSE)+VLOOKUP("CP",$R$63:$T$91,3,FALSE),0)+IF(AND($K$6="CE",'[3]Supply Attribution'!$G$20=C$18),LEFT($S$90,2),0)+IF(AND($X$86&lt;&gt;"Not Set",$X$87=C$18),$X$86,0)</f>
        <v>0</v>
      </c>
      <c r="D43" s="271">
        <f>IF(AND($K43&lt;&gt;"",$K43&lt;&gt;"--",$K43&lt;&gt;"O3/CP",$K$14=D$18),IF(LEFT($K43,1)="P",VLOOKUP(CONCATENATE(LEFT($K43,2),"H"),$R$63:$T$91,3,FALSE),VLOOKUP($K43,$R$63:$T$91,3,FALSE)))+IF(AND($K43&lt;&gt;"",$K43&lt;&gt;"O3/CP",$K$15=D$18,MID($K43,4,1)="2",$K$15&lt;&gt;$K$14),VLOOKUP(CONCATENATE(LEFT($K43,2),"L"),$R$63:$T$91,3,FALSE),0)+IF(AND($K43="O3/CP",$K$14=D$18),VLOOKUP("O3",$R$63:$T$91,3,FALSE)+VLOOKUP("CP",$R$63:$T$91,3,FALSE),0)+IF(AND($L43&lt;&gt;"",$L43&lt;&gt;"--",$L43&lt;&gt;"O3/CP",$L$14=D$18),IF(LEFT($L43,1)="P",VLOOKUP(CONCATENATE(LEFT($L43,2),"H"),$R$63:$T$91,3,FALSE),VLOOKUP($L43,$R$63:$T$91,3,FALSE)))+IF(AND($L43&lt;&gt;"",$L43&lt;&gt;"O3/CP",$L$15=D$18,MID($L43,4,1)="2",$L$15&lt;&gt;$L$14),VLOOKUP(CONCATENATE(LEFT($L43,2),"L"),$R$63:$T$91,3,FALSE),0)+IF(AND($L43="O3/CP",$L$14=D$18),VLOOKUP("O3",$R$63:$T$91,3,FALSE)+VLOOKUP("CP",$R$63:$T$91,3,FALSE),0)+IF(AND($M43&lt;&gt;"",$M43&lt;&gt;"--",$M43&lt;&gt;"O3/CP",$M$14=D$18),IF(LEFT($M43,1)="P",VLOOKUP(CONCATENATE(LEFT($M43,2),"H"),$R$63:$T$91,3,FALSE),VLOOKUP($M43,$R$63:$T$91,3,FALSE)))+IF(AND($M43&lt;&gt;"",$M43&lt;&gt;"O3/CP",$M$15=D$18,MID($M43,4,1)="2",$M$15&lt;&gt;$M$14),VLOOKUP(CONCATENATE(LEFT($M43,2),"L"),$R$63:$T$91,3,FALSE),0)+IF(AND($M43="O3/CP",$M$14=D$18),VLOOKUP("O3",$R$63:$T$91,3,FALSE)+VLOOKUP("CP",$R$63:$T$91,3,FALSE),0)+IF(AND($N43&lt;&gt;"",$N43&lt;&gt;"--",$N43&lt;&gt;"O3/CP",$N$14=D$18),IF(LEFT($N43,1)="P",VLOOKUP(CONCATENATE(LEFT($N43,2),"H"),$R$63:$T$91,3,FALSE),VLOOKUP($N43,$R$63:$T$91,3,FALSE)))+IF(AND($N43&lt;&gt;"",$N43&lt;&gt;"O3/CP",$N$15=D$18,MID($N43,4,1)="2",$N$15&lt;&gt;$N$14),VLOOKUP(CONCATENATE(LEFT($N43,2),"L"),$R$63:$T$91,3,FALSE),0)+IF(AND($N43="O3/CP",$N$14=D$18),VLOOKUP("O3",$R$63:$T$91,3,FALSE)+VLOOKUP("CP",$R$63:$T$91,3,FALSE),0)+IF(AND($O43&lt;&gt;"",$O43&lt;&gt;"--",$O43&lt;&gt;"O3/CP",$O$14=D$18),IF(LEFT($O43,1)="P",VLOOKUP(CONCATENATE(LEFT($O43,2),"H"),$R$63:$T$91,3,FALSE),VLOOKUP($O43,$R$63:$T$91,3,FALSE)))+IF(AND($O43&lt;&gt;"",$O43&lt;&gt;"O3/CP",$O$15=D$18,MID($O43,4,1)="2",$O$15&lt;&gt;$O$14),VLOOKUP(CONCATENATE(LEFT($O43,2),"L"),$R$63:$T$91,3,FALSE),0)+IF(AND($O43="O3/CP",$O$14=D$18),VLOOKUP("O3",$R$63:$T$91,3,FALSE)+VLOOKUP("CP",$R$63:$T$91,3,FALSE),0)+IF(AND($P43&lt;&gt;"",$P43&lt;&gt;"--",$P43&lt;&gt;"O3/CP",$P$14=D$18),IF(LEFT($P43,1)="P",VLOOKUP(CONCATENATE(LEFT($P43,2),"H"),$R$63:$T$91,3,FALSE),VLOOKUP($P43,$R$63:$T$91,3,FALSE)))+IF(AND($P43&lt;&gt;"",$P43&lt;&gt;"O3/CP",$P$15=D$18,MID($P43,4,1)="2",$P$15&lt;&gt;$P$14),VLOOKUP(CONCATENATE(LEFT($P43,2),"L"),$R$63:$T$91,3,FALSE),0)+IF(AND($P43="O3/CP",$P$14=D$18),VLOOKUP("O3",$R$63:$T$91,3,FALSE)+VLOOKUP("CP",$R$63:$T$91,3,FALSE),0)+IF(AND($Q43&lt;&gt;"",$Q43&lt;&gt;"--",$Q43&lt;&gt;"O3/CP",$Q$14=D$18),IF(LEFT($Q43,1)="P",VLOOKUP(CONCATENATE(LEFT($Q43,2),"H"),$R$63:$T$91,3,FALSE),VLOOKUP($Q43,$R$63:$T$91,3,FALSE)))+IF(AND($Q43&lt;&gt;"",$Q43&lt;&gt;"O3/CP",$Q$15=D$18,MID($Q43,4,1)="2",$Q$15&lt;&gt;$Q$14),VLOOKUP(CONCATENATE(LEFT($Q43,2),"L"),$R$63:$T$91,3,FALSE),0)+IF(AND($Q43="O3/CP",$Q$14=D$18),VLOOKUP("O3",$R$63:$T$91,3,FALSE)+VLOOKUP("CP",$R$63:$T$91,3,FALSE),0)+IF(AND($R43&lt;&gt;"",$R43&lt;&gt;"--",$R43&lt;&gt;"O3/CP",$R$14=D$18),IF(LEFT($R43,1)="P",VLOOKUP(CONCATENATE(LEFT($R43,2),"H"),$R$63:$T$91,3,FALSE),VLOOKUP($R43,$R$63:$T$91,3,FALSE)))+IF(AND($R43&lt;&gt;"",$R43&lt;&gt;"O3/CP",$R$15=D$18,MID($R43,4,1)="2",$R$15&lt;&gt;$R$14),VLOOKUP(CONCATENATE(LEFT($R43,2),"L"),$R$63:$T$91,3,FALSE),0)+IF(AND($R43="O3/CP",$R$14=D$18),VLOOKUP("O3",$R$63:$T$91,3,FALSE)+VLOOKUP("CP",$R$63:$T$91,3,FALSE),0)+IF(AND($S43&lt;&gt;"",$S43&lt;&gt;"--",$S43&lt;&gt;"O3/CP",$S$14=D$18),IF(LEFT($S43,1)="P",VLOOKUP(CONCATENATE(LEFT($S43,2),"H"),$R$63:$T$91,3,FALSE),VLOOKUP($S43,$R$63:$T$91,3,FALSE)))+IF(AND($S43&lt;&gt;"",$S43&lt;&gt;"O3/CP",$S$15=D$18,MID($S43,4,1)="2",$S$15&lt;&gt;$S$14),VLOOKUP(CONCATENATE(LEFT($S43,2),"L"),$R$63:$T$91,3,FALSE),0)+IF(AND($S43="O3/CP",$S$14=D$18),VLOOKUP("O3",$R$63:$T$91,3,FALSE)+VLOOKUP("CP",$R$63:$T$91,3,FALSE),0)+IF(AND($T43&lt;&gt;"",$T43&lt;&gt;"--",$T43&lt;&gt;"O3/CP",$T$14=D$18),IF(LEFT($T43,1)="P",VLOOKUP(CONCATENATE(LEFT($T43,2),"H"),$R$63:$T$91,3,FALSE),VLOOKUP($T43,$R$63:$T$91,3,FALSE)))+IF(AND($T43&lt;&gt;"",$T43&lt;&gt;"O3/CP",$T$15=D$18,MID($T43,4,1)="2",$T$15&lt;&gt;$T$14),VLOOKUP(CONCATENATE(LEFT($T43,2),"L"),$R$63:$T$91,3,FALSE),0)+IF(AND($T43="O3/CP",$T$14=D$18),VLOOKUP("O3",$R$63:$T$91,3,FALSE)+VLOOKUP("CP",$R$63:$T$91,3,FALSE),0)+IF(AND($U43&lt;&gt;"",$U43&lt;&gt;"--",$U43&lt;&gt;"O3/CP",$U$14=D$18),IF(LEFT($U43,1)="P",VLOOKUP(CONCATENATE(LEFT($U43,2),"H"),$R$63:$T$91,3,FALSE),VLOOKUP($U43,$R$63:$T$91,3,FALSE)))+IF(AND($U43&lt;&gt;"",$U43&lt;&gt;"O3/CP",$U$15=D$18,MID($U43,4,1)="2",$U$15&lt;&gt;$U$14),VLOOKUP(CONCATENATE(LEFT($U43,2),"L"),$R$63:$T$91,3,FALSE),0)+IF(AND($U43="O3/CP",$T$14=D$18),VLOOKUP("O3",$R$63:$T$91,3,FALSE)+VLOOKUP("CP",$R$63:$T$91,3,FALSE),0)+IF(AND($V43&lt;&gt;"",$V43&lt;&gt;"--",$V43&lt;&gt;"O3/CP",$V$14=D$18),IF(LEFT($V43,1)="P",VLOOKUP(CONCATENATE(LEFT($V43,2),"H"),$R$63:$T$91,3,FALSE),VLOOKUP($V43,$R$63:$T$91,3,FALSE)))+IF(AND($V43&lt;&gt;"",$V43&lt;&gt;"O3/CP",$V$15=D$18,MID($V43,4,1)="2",$V$15&lt;&gt;$V$14),VLOOKUP(CONCATENATE(LEFT($V43,2),"L"),$R$63:$T$91,3,FALSE),0)+IF(AND($V43="O3/CP",$V$14=D$18),VLOOKUP("O3",$R$63:$T$91,3,FALSE)+VLOOKUP("CP",$R$63:$T$91,3,FALSE),0)+IF(AND($W43&lt;&gt;"",$W43&lt;&gt;"--",$W43&lt;&gt;"O3/CP",$W$14=D$18),IF(LEFT($W43,1)="P",VLOOKUP(CONCATENATE(LEFT($W43,2),"H"),$R$63:$T$91,3,FALSE),VLOOKUP($W43,$R$63:$T$91,3,FALSE)))+IF(AND($W43&lt;&gt;"",$W43&lt;&gt;"O3/CP",$W$15=D$18,MID($W43,4,1)="2",$W$15&lt;&gt;$W$14),VLOOKUP(CONCATENATE(LEFT($W43,2),"L"),$R$63:$T$91,3,FALSE),0)+IF(AND($W43="O3/CP",$W$14=D$18),VLOOKUP("O3",$R$63:$T$91,3,FALSE)+VLOOKUP("CP",$R$63:$T$91,3,FALSE),0)+IF(AND($X43&lt;&gt;"",$X43&lt;&gt;"--",$X43&lt;&gt;"O3/CP",$X$14=D$18),IF(LEFT($X43,1)="P",VLOOKUP(CONCATENATE(LEFT($X43,2),"H"),$R$63:$T$91,3,FALSE),VLOOKUP($X43,$R$63:$T$91,3,FALSE)))+IF(AND($X43&lt;&gt;"",$X43&lt;&gt;"O3/CP",$X$15=D$18,MID($X43,4,1)="2",$X$15&lt;&gt;$X$14),VLOOKUP(CONCATENATE(LEFT($X43,2),"L"),$R$63:$T$91,3,FALSE),0)+IF(AND($X43="O3/CP",$X$14=D$18),VLOOKUP("O3",$R$63:$T$91,3,FALSE)+VLOOKUP("CP",$R$63:$T$91,3,FALSE),0)+IF(AND($Y43&lt;&gt;"",$Y43&lt;&gt;"--",$Y43&lt;&gt;"O3/CP",$Y$14=D$18),IF(LEFT($Y43,1)="P",VLOOKUP(CONCATENATE(LEFT($Y43,2),"H"),$R$63:$T$91,3,FALSE),VLOOKUP($Y43,$R$63:$T$91,3,FALSE)))+IF(AND($Y43&lt;&gt;"",$Y43&lt;&gt;"O3/CP",$Y$15=D$18,MID($Y43,4,1)="2",$Y$15&lt;&gt;$Y$14),VLOOKUP(CONCATENATE(LEFT($Y43,2),"L"),$R$63:$T$91,3,FALSE),0)+IF(AND($Y43="O3/CP",$Y$14=D$18),VLOOKUP("O3",$R$63:$T$91,3,FALSE)+VLOOKUP("CP",$R$63:$T$91,3,FALSE),0)+IF(AND($K$6="CE",'[3]Supply Attribution'!$G$20=D$18),LEFT($S$90,2),0)+IF(AND($X$86&lt;&gt;"Not Set",$X$87=D$18),$X$86,0)</f>
        <v>0</v>
      </c>
      <c r="E43" s="271">
        <f>IF(AND($K43&lt;&gt;"",$K43&lt;&gt;"--",$K43&lt;&gt;"O3/CP",$K$14=E$18),IF(LEFT($K43,1)="P",VLOOKUP(CONCATENATE(LEFT($K43,2),"H"),$R$63:$T$91,3,FALSE),VLOOKUP($K43,$R$63:$T$91,3,FALSE)))+IF(AND($K43&lt;&gt;"",$K43&lt;&gt;"O3/CP",$K$15=E$18,MID($K43,4,1)="2",$K$15&lt;&gt;$K$14),VLOOKUP(CONCATENATE(LEFT($K43,2),"L"),$R$63:$T$91,3,FALSE),0)+IF(AND($K43="O3/CP",$K$14=E$18),VLOOKUP("O3",$R$63:$T$91,3,FALSE)+VLOOKUP("CP",$R$63:$T$91,3,FALSE),0)+IF(AND($L43&lt;&gt;"",$L43&lt;&gt;"--",$L43&lt;&gt;"O3/CP",$L$14=E$18),IF(LEFT($L43,1)="P",VLOOKUP(CONCATENATE(LEFT($L43,2),"H"),$R$63:$T$91,3,FALSE),VLOOKUP($L43,$R$63:$T$91,3,FALSE)))+IF(AND($L43&lt;&gt;"",$L43&lt;&gt;"O3/CP",$L$15=E$18,MID($L43,4,1)="2",$L$15&lt;&gt;$L$14),VLOOKUP(CONCATENATE(LEFT($L43,2),"L"),$R$63:$T$91,3,FALSE),0)+IF(AND($L43="O3/CP",$L$14=E$18),VLOOKUP("O3",$R$63:$T$91,3,FALSE)+VLOOKUP("CP",$R$63:$T$91,3,FALSE),0)+IF(AND($M43&lt;&gt;"",$M43&lt;&gt;"--",$M43&lt;&gt;"O3/CP",$M$14=E$18),IF(LEFT($M43,1)="P",VLOOKUP(CONCATENATE(LEFT($M43,2),"H"),$R$63:$T$91,3,FALSE),VLOOKUP($M43,$R$63:$T$91,3,FALSE)))+IF(AND($M43&lt;&gt;"",$M43&lt;&gt;"O3/CP",$M$15=E$18,MID($M43,4,1)="2",$M$15&lt;&gt;$M$14),VLOOKUP(CONCATENATE(LEFT($M43,2),"L"),$R$63:$T$91,3,FALSE),0)+IF(AND($M43="O3/CP",$M$14=E$18),VLOOKUP("O3",$R$63:$T$91,3,FALSE)+VLOOKUP("CP",$R$63:$T$91,3,FALSE),0)+IF(AND($N43&lt;&gt;"",$N43&lt;&gt;"--",$N43&lt;&gt;"O3/CP",$N$14=E$18),IF(LEFT($N43,1)="P",VLOOKUP(CONCATENATE(LEFT($N43,2),"H"),$R$63:$T$91,3,FALSE),VLOOKUP($N43,$R$63:$T$91,3,FALSE)))+IF(AND($N43&lt;&gt;"",$N43&lt;&gt;"O3/CP",$N$15=E$18,MID($N43,4,1)="2",$N$15&lt;&gt;$N$14),VLOOKUP(CONCATENATE(LEFT($N43,2),"L"),$R$63:$T$91,3,FALSE),0)+IF(AND($N43="O3/CP",$N$14=E$18),VLOOKUP("O3",$R$63:$T$91,3,FALSE)+VLOOKUP("CP",$R$63:$T$91,3,FALSE),0)+IF(AND($O43&lt;&gt;"",$O43&lt;&gt;"--",$O43&lt;&gt;"O3/CP",$O$14=E$18),IF(LEFT($O43,1)="P",VLOOKUP(CONCATENATE(LEFT($O43,2),"H"),$R$63:$T$91,3,FALSE),VLOOKUP($O43,$R$63:$T$91,3,FALSE)))+IF(AND($O43&lt;&gt;"",$O43&lt;&gt;"O3/CP",$O$15=E$18,MID($O43,4,1)="2",$O$15&lt;&gt;$O$14),VLOOKUP(CONCATENATE(LEFT($O43,2),"L"),$R$63:$T$91,3,FALSE),0)+IF(AND($O43="O3/CP",$O$14=E$18),VLOOKUP("O3",$R$63:$T$91,3,FALSE)+VLOOKUP("CP",$R$63:$T$91,3,FALSE),0)+IF(AND($P43&lt;&gt;"",$P43&lt;&gt;"--",$P43&lt;&gt;"O3/CP",$P$14=E$18),IF(LEFT($P43,1)="P",VLOOKUP(CONCATENATE(LEFT($P43,2),"H"),$R$63:$T$91,3,FALSE),VLOOKUP($P43,$R$63:$T$91,3,FALSE)))+IF(AND($P43&lt;&gt;"",$P43&lt;&gt;"O3/CP",$P$15=E$18,MID($P43,4,1)="2",$P$15&lt;&gt;$P$14),VLOOKUP(CONCATENATE(LEFT($P43,2),"L"),$R$63:$T$91,3,FALSE),0)+IF(AND($P43="O3/CP",$P$14=E$18),VLOOKUP("O3",$R$63:$T$91,3,FALSE)+VLOOKUP("CP",$R$63:$T$91,3,FALSE),0)+IF(AND($Q43&lt;&gt;"",$Q43&lt;&gt;"--",$Q43&lt;&gt;"O3/CP",$Q$14=E$18),IF(LEFT($Q43,1)="P",VLOOKUP(CONCATENATE(LEFT($Q43,2),"H"),$R$63:$T$91,3,FALSE),VLOOKUP($Q43,$R$63:$T$91,3,FALSE)))+IF(AND($Q43&lt;&gt;"",$Q43&lt;&gt;"O3/CP",$Q$15=E$18,MID($Q43,4,1)="2",$Q$15&lt;&gt;$Q$14),VLOOKUP(CONCATENATE(LEFT($Q43,2),"L"),$R$63:$T$91,3,FALSE),0)+IF(AND($Q43="O3/CP",$Q$14=E$18),VLOOKUP("O3",$R$63:$T$91,3,FALSE)+VLOOKUP("CP",$R$63:$T$91,3,FALSE),0)+IF(AND($R43&lt;&gt;"",$R43&lt;&gt;"--",$R43&lt;&gt;"O3/CP",$R$14=E$18),IF(LEFT($R43,1)="P",VLOOKUP(CONCATENATE(LEFT($R43,2),"H"),$R$63:$T$91,3,FALSE),VLOOKUP($R43,$R$63:$T$91,3,FALSE)))+IF(AND($R43&lt;&gt;"",$R43&lt;&gt;"O3/CP",$R$15=E$18,MID($R43,4,1)="2",$R$15&lt;&gt;$R$14),VLOOKUP(CONCATENATE(LEFT($R43,2),"L"),$R$63:$T$91,3,FALSE),0)+IF(AND($R43="O3/CP",$R$14=E$18),VLOOKUP("O3",$R$63:$T$91,3,FALSE)+VLOOKUP("CP",$R$63:$T$91,3,FALSE),0)+IF(AND($S43&lt;&gt;"",$S43&lt;&gt;"--",$S43&lt;&gt;"O3/CP",$S$14=E$18),IF(LEFT($S43,1)="P",VLOOKUP(CONCATENATE(LEFT($S43,2),"H"),$R$63:$T$91,3,FALSE),VLOOKUP($S43,$R$63:$T$91,3,FALSE)))+IF(AND($S43&lt;&gt;"",$S43&lt;&gt;"O3/CP",$S$15=E$18,MID($S43,4,1)="2",$S$15&lt;&gt;$S$14),VLOOKUP(CONCATENATE(LEFT($S43,2),"L"),$R$63:$T$91,3,FALSE),0)+IF(AND($S43="O3/CP",$S$14=E$18),VLOOKUP("O3",$R$63:$T$91,3,FALSE)+VLOOKUP("CP",$R$63:$T$91,3,FALSE),0)+IF(AND($T43&lt;&gt;"",$T43&lt;&gt;"--",$T43&lt;&gt;"O3/CP",$T$14=E$18),IF(LEFT($T43,1)="P",VLOOKUP(CONCATENATE(LEFT($T43,2),"H"),$R$63:$T$91,3,FALSE),VLOOKUP($T43,$R$63:$T$91,3,FALSE)))+IF(AND($T43&lt;&gt;"",$T43&lt;&gt;"O3/CP",$T$15=E$18,MID($T43,4,1)="2",$T$15&lt;&gt;$T$14),VLOOKUP(CONCATENATE(LEFT($T43,2),"L"),$R$63:$T$91,3,FALSE),0)+IF(AND($T43="O3/CP",$T$14=E$18),VLOOKUP("O3",$R$63:$T$91,3,FALSE)+VLOOKUP("CP",$R$63:$T$91,3,FALSE),0)+IF(AND($U43&lt;&gt;"",$U43&lt;&gt;"--",$U43&lt;&gt;"O3/CP",$U$14=E$18),IF(LEFT($U43,1)="P",VLOOKUP(CONCATENATE(LEFT($U43,2),"H"),$R$63:$T$91,3,FALSE),VLOOKUP($U43,$R$63:$T$91,3,FALSE)))+IF(AND($U43&lt;&gt;"",$U43&lt;&gt;"O3/CP",$U$15=E$18,MID($U43,4,1)="2",$U$15&lt;&gt;$U$14),VLOOKUP(CONCATENATE(LEFT($U43,2),"L"),$R$63:$T$91,3,FALSE),0)+IF(AND($U43="O3/CP",$T$14=E$18),VLOOKUP("O3",$R$63:$T$91,3,FALSE)+VLOOKUP("CP",$R$63:$T$91,3,FALSE),0)+IF(AND($V43&lt;&gt;"",$V43&lt;&gt;"--",$V43&lt;&gt;"O3/CP",$V$14=E$18),IF(LEFT($V43,1)="P",VLOOKUP(CONCATENATE(LEFT($V43,2),"H"),$R$63:$T$91,3,FALSE),VLOOKUP($V43,$R$63:$T$91,3,FALSE)))+IF(AND($V43&lt;&gt;"",$V43&lt;&gt;"O3/CP",$V$15=E$18,MID($V43,4,1)="2",$V$15&lt;&gt;$V$14),VLOOKUP(CONCATENATE(LEFT($V43,2),"L"),$R$63:$T$91,3,FALSE),0)+IF(AND($V43="O3/CP",$V$14=E$18),VLOOKUP("O3",$R$63:$T$91,3,FALSE)+VLOOKUP("CP",$R$63:$T$91,3,FALSE),0)+IF(AND($W43&lt;&gt;"",$W43&lt;&gt;"--",$W43&lt;&gt;"O3/CP",$W$14=E$18),IF(LEFT($W43,1)="P",VLOOKUP(CONCATENATE(LEFT($W43,2),"H"),$R$63:$T$91,3,FALSE),VLOOKUP($W43,$R$63:$T$91,3,FALSE)))+IF(AND($W43&lt;&gt;"",$W43&lt;&gt;"O3/CP",$W$15=E$18,MID($W43,4,1)="2",$W$15&lt;&gt;$W$14),VLOOKUP(CONCATENATE(LEFT($W43,2),"L"),$R$63:$T$91,3,FALSE),0)+IF(AND($W43="O3/CP",$W$14=E$18),VLOOKUP("O3",$R$63:$T$91,3,FALSE)+VLOOKUP("CP",$R$63:$T$91,3,FALSE),0)+IF(AND($X43&lt;&gt;"",$X43&lt;&gt;"--",$X43&lt;&gt;"O3/CP",$X$14=E$18),IF(LEFT($X43,1)="P",VLOOKUP(CONCATENATE(LEFT($X43,2),"H"),$R$63:$T$91,3,FALSE),VLOOKUP($X43,$R$63:$T$91,3,FALSE)))+IF(AND($X43&lt;&gt;"",$X43&lt;&gt;"O3/CP",$X$15=E$18,MID($X43,4,1)="2",$X$15&lt;&gt;$X$14),VLOOKUP(CONCATENATE(LEFT($X43,2),"L"),$R$63:$T$91,3,FALSE),0)+IF(AND($X43="O3/CP",$X$14=E$18),VLOOKUP("O3",$R$63:$T$91,3,FALSE)+VLOOKUP("CP",$R$63:$T$91,3,FALSE),0)+IF(AND($Y43&lt;&gt;"",$Y43&lt;&gt;"--",$Y43&lt;&gt;"O3/CP",$Y$14=E$18),IF(LEFT($Y43,1)="P",VLOOKUP(CONCATENATE(LEFT($Y43,2),"H"),$R$63:$T$91,3,FALSE),VLOOKUP($Y43,$R$63:$T$91,3,FALSE)))+IF(AND($Y43&lt;&gt;"",$Y43&lt;&gt;"O3/CP",$Y$15=E$18,MID($Y43,4,1)="2",$Y$15&lt;&gt;$Y$14),VLOOKUP(CONCATENATE(LEFT($Y43,2),"L"),$R$63:$T$91,3,FALSE),0)+IF(AND($Y43="O3/CP",$Y$14=E$18),VLOOKUP("O3",$R$63:$T$91,3,FALSE)+VLOOKUP("CP",$R$63:$T$91,3,FALSE),0)+IF(AND($K$6="CE",'[3]Supply Attribution'!$G$20=E$18),LEFT($S$90,2),0)+IF(AND($X$86&lt;&gt;"Not Set",$X$87=E$18),$X$86,0)</f>
        <v>0</v>
      </c>
      <c r="F43" s="272">
        <f>IF(AND($K43&lt;&gt;"",$K43&lt;&gt;"--",$K43&lt;&gt;"O3/CP",$K$14=F$18),IF(LEFT($K43,1)="P",VLOOKUP(CONCATENATE(LEFT($K43,2),"H"),$R$63:$T$91,3,FALSE),VLOOKUP($K43,$R$63:$T$91,3,FALSE)))+IF(AND($K43&lt;&gt;"",$K43&lt;&gt;"O3/CP",$K$15=F$18,MID($K43,4,1)="2",$K$15&lt;&gt;$K$14),VLOOKUP(CONCATENATE(LEFT($K43,2),"L"),$R$63:$T$91,3,FALSE),0)+IF(AND($K43="O3/CP",$K$14=F$18),VLOOKUP("O3",$R$63:$T$91,3,FALSE)+VLOOKUP("CP",$R$63:$T$91,3,FALSE),0)+IF(AND($L43&lt;&gt;"",$L43&lt;&gt;"--",$L43&lt;&gt;"O3/CP",$L$14=F$18),IF(LEFT($L43,1)="P",VLOOKUP(CONCATENATE(LEFT($L43,2),"H"),$R$63:$T$91,3,FALSE),VLOOKUP($L43,$R$63:$T$91,3,FALSE)))+IF(AND($L43&lt;&gt;"",$L43&lt;&gt;"O3/CP",$L$15=F$18,MID($L43,4,1)="2",$L$15&lt;&gt;$L$14),VLOOKUP(CONCATENATE(LEFT($L43,2),"L"),$R$63:$T$91,3,FALSE),0)+IF(AND($L43="O3/CP",$L$14=F$18),VLOOKUP("O3",$R$63:$T$91,3,FALSE)+VLOOKUP("CP",$R$63:$T$91,3,FALSE),0)+IF(AND($M43&lt;&gt;"",$M43&lt;&gt;"--",$M43&lt;&gt;"O3/CP",$M$14=F$18),IF(LEFT($M43,1)="P",VLOOKUP(CONCATENATE(LEFT($M43,2),"H"),$R$63:$T$91,3,FALSE),VLOOKUP($M43,$R$63:$T$91,3,FALSE)))+IF(AND($M43&lt;&gt;"",$M43&lt;&gt;"O3/CP",$M$15=F$18,MID($M43,4,1)="2",$M$15&lt;&gt;$M$14),VLOOKUP(CONCATENATE(LEFT($M43,2),"L"),$R$63:$T$91,3,FALSE),0)+IF(AND($M43="O3/CP",$M$14=F$18),VLOOKUP("O3",$R$63:$T$91,3,FALSE)+VLOOKUP("CP",$R$63:$T$91,3,FALSE),0)+IF(AND($N43&lt;&gt;"",$N43&lt;&gt;"--",$N43&lt;&gt;"O3/CP",$N$14=F$18),IF(LEFT($N43,1)="P",VLOOKUP(CONCATENATE(LEFT($N43,2),"H"),$R$63:$T$91,3,FALSE),VLOOKUP($N43,$R$63:$T$91,3,FALSE)))+IF(AND($N43&lt;&gt;"",$N43&lt;&gt;"O3/CP",$N$15=F$18,MID($N43,4,1)="2",$N$15&lt;&gt;$N$14),VLOOKUP(CONCATENATE(LEFT($N43,2),"L"),$R$63:$T$91,3,FALSE),0)+IF(AND($N43="O3/CP",$N$14=F$18),VLOOKUP("O3",$R$63:$T$91,3,FALSE)+VLOOKUP("CP",$R$63:$T$91,3,FALSE),0)+IF(AND($O43&lt;&gt;"",$O43&lt;&gt;"--",$O43&lt;&gt;"O3/CP",$O$14=F$18),IF(LEFT($O43,1)="P",VLOOKUP(CONCATENATE(LEFT($O43,2),"H"),$R$63:$T$91,3,FALSE),VLOOKUP($O43,$R$63:$T$91,3,FALSE)))+IF(AND($O43&lt;&gt;"",$O43&lt;&gt;"O3/CP",$O$15=F$18,MID($O43,4,1)="2",$O$15&lt;&gt;$O$14),VLOOKUP(CONCATENATE(LEFT($O43,2),"L"),$R$63:$T$91,3,FALSE),0)+IF(AND($O43="O3/CP",$O$14=F$18),VLOOKUP("O3",$R$63:$T$91,3,FALSE)+VLOOKUP("CP",$R$63:$T$91,3,FALSE),0)+IF(AND($P43&lt;&gt;"",$P43&lt;&gt;"--",$P43&lt;&gt;"O3/CP",$P$14=F$18),IF(LEFT($P43,1)="P",VLOOKUP(CONCATENATE(LEFT($P43,2),"H"),$R$63:$T$91,3,FALSE),VLOOKUP($P43,$R$63:$T$91,3,FALSE)))+IF(AND($P43&lt;&gt;"",$P43&lt;&gt;"O3/CP",$P$15=F$18,MID($P43,4,1)="2",$P$15&lt;&gt;$P$14),VLOOKUP(CONCATENATE(LEFT($P43,2),"L"),$R$63:$T$91,3,FALSE),0)+IF(AND($P43="O3/CP",$P$14=F$18),VLOOKUP("O3",$R$63:$T$91,3,FALSE)+VLOOKUP("CP",$R$63:$T$91,3,FALSE),0)+IF(AND($Q43&lt;&gt;"",$Q43&lt;&gt;"--",$Q43&lt;&gt;"O3/CP",$Q$14=F$18),IF(LEFT($Q43,1)="P",VLOOKUP(CONCATENATE(LEFT($Q43,2),"H"),$R$63:$T$91,3,FALSE),VLOOKUP($Q43,$R$63:$T$91,3,FALSE)))+IF(AND($Q43&lt;&gt;"",$Q43&lt;&gt;"O3/CP",$Q$15=F$18,MID($Q43,4,1)="2",$Q$15&lt;&gt;$Q$14),VLOOKUP(CONCATENATE(LEFT($Q43,2),"L"),$R$63:$T$91,3,FALSE),0)+IF(AND($Q43="O3/CP",$Q$14=F$18),VLOOKUP("O3",$R$63:$T$91,3,FALSE)+VLOOKUP("CP",$R$63:$T$91,3,FALSE),0)+IF(AND($R43&lt;&gt;"",$R43&lt;&gt;"--",$R43&lt;&gt;"O3/CP",$R$14=F$18),IF(LEFT($R43,1)="P",VLOOKUP(CONCATENATE(LEFT($R43,2),"H"),$R$63:$T$91,3,FALSE),VLOOKUP($R43,$R$63:$T$91,3,FALSE)))+IF(AND($R43&lt;&gt;"",$R43&lt;&gt;"O3/CP",$R$15=F$18,MID($R43,4,1)="2",$R$15&lt;&gt;$R$14),VLOOKUP(CONCATENATE(LEFT($R43,2),"L"),$R$63:$T$91,3,FALSE),0)+IF(AND($R43="O3/CP",$R$14=F$18),VLOOKUP("O3",$R$63:$T$91,3,FALSE)+VLOOKUP("CP",$R$63:$T$91,3,FALSE),0)+IF(AND($S43&lt;&gt;"",$S43&lt;&gt;"--",$S43&lt;&gt;"O3/CP",$S$14=F$18),IF(LEFT($S43,1)="P",VLOOKUP(CONCATENATE(LEFT($S43,2),"H"),$R$63:$T$91,3,FALSE),VLOOKUP($S43,$R$63:$T$91,3,FALSE)))+IF(AND($S43&lt;&gt;"",$S43&lt;&gt;"O3/CP",$S$15=F$18,MID($S43,4,1)="2",$S$15&lt;&gt;$S$14),VLOOKUP(CONCATENATE(LEFT($S43,2),"L"),$R$63:$T$91,3,FALSE),0)+IF(AND($S43="O3/CP",$S$14=F$18),VLOOKUP("O3",$R$63:$T$91,3,FALSE)+VLOOKUP("CP",$R$63:$T$91,3,FALSE),0)+IF(AND($T43&lt;&gt;"",$T43&lt;&gt;"--",$T43&lt;&gt;"O3/CP",$T$14=F$18),IF(LEFT($T43,1)="P",VLOOKUP(CONCATENATE(LEFT($T43,2),"H"),$R$63:$T$91,3,FALSE),VLOOKUP($T43,$R$63:$T$91,3,FALSE)))+IF(AND($T43&lt;&gt;"",$T43&lt;&gt;"O3/CP",$T$15=F$18,MID($T43,4,1)="2",$T$15&lt;&gt;$T$14),VLOOKUP(CONCATENATE(LEFT($T43,2),"L"),$R$63:$T$91,3,FALSE),0)+IF(AND($T43="O3/CP",$T$14=F$18),VLOOKUP("O3",$R$63:$T$91,3,FALSE)+VLOOKUP("CP",$R$63:$T$91,3,FALSE),0)+IF(AND($U43&lt;&gt;"",$U43&lt;&gt;"--",$U43&lt;&gt;"O3/CP",$U$14=F$18),IF(LEFT($U43,1)="P",VLOOKUP(CONCATENATE(LEFT($U43,2),"H"),$R$63:$T$91,3,FALSE),VLOOKUP($U43,$R$63:$T$91,3,FALSE)))+IF(AND($U43&lt;&gt;"",$U43&lt;&gt;"O3/CP",$U$15=F$18,MID($U43,4,1)="2",$U$15&lt;&gt;$U$14),VLOOKUP(CONCATENATE(LEFT($U43,2),"L"),$R$63:$T$91,3,FALSE),0)+IF(AND($U43="O3/CP",$T$14=F$18),VLOOKUP("O3",$R$63:$T$91,3,FALSE)+VLOOKUP("CP",$R$63:$T$91,3,FALSE),0)+IF(AND($V43&lt;&gt;"",$V43&lt;&gt;"--",$V43&lt;&gt;"O3/CP",$V$14=F$18),IF(LEFT($V43,1)="P",VLOOKUP(CONCATENATE(LEFT($V43,2),"H"),$R$63:$T$91,3,FALSE),VLOOKUP($V43,$R$63:$T$91,3,FALSE)))+IF(AND($V43&lt;&gt;"",$V43&lt;&gt;"O3/CP",$V$15=F$18,MID($V43,4,1)="2",$V$15&lt;&gt;$V$14),VLOOKUP(CONCATENATE(LEFT($V43,2),"L"),$R$63:$T$91,3,FALSE),0)+IF(AND($V43="O3/CP",$V$14=F$18),VLOOKUP("O3",$R$63:$T$91,3,FALSE)+VLOOKUP("CP",$R$63:$T$91,3,FALSE),0)+IF(AND($W43&lt;&gt;"",$W43&lt;&gt;"--",$W43&lt;&gt;"O3/CP",$W$14=F$18),IF(LEFT($W43,1)="P",VLOOKUP(CONCATENATE(LEFT($W43,2),"H"),$R$63:$T$91,3,FALSE),VLOOKUP($W43,$R$63:$T$91,3,FALSE)))+IF(AND($W43&lt;&gt;"",$W43&lt;&gt;"O3/CP",$W$15=F$18,MID($W43,4,1)="2",$W$15&lt;&gt;$W$14),VLOOKUP(CONCATENATE(LEFT($W43,2),"L"),$R$63:$T$91,3,FALSE),0)+IF(AND($W43="O3/CP",$W$14=F$18),VLOOKUP("O3",$R$63:$T$91,3,FALSE)+VLOOKUP("CP",$R$63:$T$91,3,FALSE),0)+IF(AND($X43&lt;&gt;"",$X43&lt;&gt;"--",$X43&lt;&gt;"O3/CP",$X$14=F$18),IF(LEFT($X43,1)="P",VLOOKUP(CONCATENATE(LEFT($X43,2),"H"),$R$63:$T$91,3,FALSE),VLOOKUP($X43,$R$63:$T$91,3,FALSE)))+IF(AND($X43&lt;&gt;"",$X43&lt;&gt;"O3/CP",$X$15=F$18,MID($X43,4,1)="2",$X$15&lt;&gt;$X$14),VLOOKUP(CONCATENATE(LEFT($X43,2),"L"),$R$63:$T$91,3,FALSE),0)+IF(AND($X43="O3/CP",$X$14=F$18),VLOOKUP("O3",$R$63:$T$91,3,FALSE)+VLOOKUP("CP",$R$63:$T$91,3,FALSE),0)+IF(AND($Y43&lt;&gt;"",$Y43&lt;&gt;"--",$Y43&lt;&gt;"O3/CP",$Y$14=F$18),IF(LEFT($Y43,1)="P",VLOOKUP(CONCATENATE(LEFT($Y43,2),"H"),$R$63:$T$91,3,FALSE),VLOOKUP($Y43,$R$63:$T$91,3,FALSE)))+IF(AND($Y43&lt;&gt;"",$Y43&lt;&gt;"O3/CP",$Y$15=F$18,MID($Y43,4,1)="2",$Y$15&lt;&gt;$Y$14),VLOOKUP(CONCATENATE(LEFT($Y43,2),"L"),$R$63:$T$91,3,FALSE),0)+IF(AND($Y43="O3/CP",$Y$14=F$18),VLOOKUP("O3",$R$63:$T$91,3,FALSE)+VLOOKUP("CP",$R$63:$T$91,3,FALSE),0)+IF(AND($K$6="CE",'[3]Supply Attribution'!$G$20=F$18),LEFT($S$90,2),0)+IF(AND($X$86&lt;&gt;"Not Set",$X$87=F$18),$X$86,0)</f>
        <v>0</v>
      </c>
      <c r="G43" s="271">
        <f>IF(AND($K$6="CE",$T$59="1 Phase"),SUM(A43:F43)-IF(AND($K$14&lt;&gt;$K$15,RIGHT($K43,3)="2SP"),VLOOKUP(CONCATENATE(LEFT($K43,2),"L"),$R$63:$T$90,3,FALSE),0)-IF(AND($L$14&lt;&gt;$L$15,RIGHT($L43,3)="2SP"),VLOOKUP(CONCATENATE(LEFT($L43,2),"L"),$R$63:$T$90,3,FALSE),0)-IF(AND($M$14&lt;&gt;$M$15,RIGHT($M43,3)="2SP"),VLOOKUP(CONCATENATE(LEFT($M43,2),"L"),$R$63:$T$90,3,FALSE),0)-IF(AND($N$14&lt;&gt;$N$15,RIGHT($N43,3)="2SP"),VLOOKUP(CONCATENATE(LEFT($N43,2),"L"),$R$63:$T$90,3,FALSE),0)-IF(AND($O$14&lt;&gt;$O$15,RIGHT($O43,3)="2SP"),VLOOKUP(CONCATENATE(LEFT($O43,2),"L"),$R$63:$T$90,3,FALSE),0)-IF(AND($P$14&lt;&gt;$P$15,RIGHT($P43,3)="2SP"),VLOOKUP(CONCATENATE(LEFT($P43,2),"L"),$R$63:$T$90,3,FALSE),0)-IF(AND($Q$14&lt;&gt;$Q$15,RIGHT($Q43,3)="2SP"),VLOOKUP(CONCATENATE(LEFT($Q43,2),"L"),$R$63:$T$90,3,FALSE),0)-IF(AND($R$14&lt;&gt;$R$15,RIGHT($T43,3)="2SP"),VLOOKUP(CONCATENATE(LEFT($R43,2),"L"),$R$63:$T$90,3,FALSE),0)-IF(AND($S$14&lt;&gt;$S$15,RIGHT($T43,3)="2SP"),VLOOKUP(CONCATENATE(LEFT($S43,2),"L"),$R$63:$T$90,3,FALSE),0)-IF(AND($T$14&lt;&gt;$T$15,RIGHT($T43,3)="2SP"),VLOOKUP(CONCATENATE(LEFT($T43,2),"L"),$R$63:$T$90,3,FALSE),0)-IF(AND($U$14&lt;&gt;$U$15,RIGHT($U43,3)="2SP"),VLOOKUP(CONCATENATE(LEFT($U43,2),"L"),$R$63:$T$90,3,FALSE),0)-IF(AND($V$14&lt;&gt;$V$15,RIGHT($V43,3)="2SP"),VLOOKUP(CONCATENATE(LEFT($V43,2),"L"),$R$63:$T$90,3,FALSE),0)-IF(AND($W$14&lt;&gt;$W$15,RIGHT($W43,3)="2SP"),VLOOKUP(CONCATENATE(LEFT($W43,2),"L"),$R$63:$T$90,3,FALSE),0)-IF(AND($X$14&lt;&gt;$X$15,RIGHT($X43,3)="2SP"),VLOOKUP(CONCATENATE(LEFT($X43,2),"L"),$R$63:$T$90,3,FALSE),0)-IF(AND($Y$14&lt;&gt;$Y$15,RIGHT($Y43,3)="2SP"),VLOOKUP(CONCATENATE(LEFT($Y43,2),"L"),$R$63:$T$90,3,FALSE),0),IF(VLOOKUP(CONCATENATE($A$18,"Line"),'[3]Supply Attribution'!$F$31:$G$37,2,FALSE)=G$18,$A43,0)+IF(VLOOKUP(CONCATENATE($B$18,"Line"),'[3]Supply Attribution'!$F$31:$G$37,2,FALSE)=G$18,$B43,0)+IF(VLOOKUP(CONCATENATE($C$18,"Line"),'[3]Supply Attribution'!$F$31:$G$37,2,FALSE)=G$18,$C43,0)+IF(VLOOKUP(CONCATENATE($D$18,"Line"),'[3]Supply Attribution'!$F$31:$G$37,2,FALSE)=G$18,$D43,0)+IF(VLOOKUP(CONCATENATE($E$18,"Line"),'[3]Supply Attribution'!$F$31:$G$37,2,FALSE)=G$18,$E43,0)+IF(VLOOKUP(CONCATENATE($F$18,"Line"),'[3]Supply Attribution'!$F$31:$G$37,2,FALSE)=G$18,$F43,0)+IF($K$6="UL",LEFT($S$90,2),0)-IF(AND($K$16=G$18,$K$14&lt;&gt;$K$15,$K$16=$K$17,RIGHT($K43,3)="2SP"),VLOOKUP(CONCATENATE(LEFT($K43,2),"L"),$R$63:$T$90,3,FALSE),0)-IF(AND($L$16=G$18,$L$14&lt;&gt;$L$15,$L$16=$L$17,RIGHT($L43,3)="2SP"),VLOOKUP(CONCATENATE(LEFT($L43,2),"L"),$R$63:$T$90,3,FALSE),0)-IF(AND($M$16=G$18,$M$14&lt;&gt;$M$15,$M$16=$M$17,RIGHT($M43,3)="2SP"),VLOOKUP(CONCATENATE(LEFT($M43,2),"L"),$R$63:$T$90,3,FALSE),0)-IF(AND($N$16=G$18,$N$14&lt;&gt;$N$15,$N$16=$N$17,RIGHT($N43,3)="2SP"),VLOOKUP(CONCATENATE(LEFT($N43,2),"L"),$R$63:$T$90,3,FALSE),0)-IF(AND($O$16=G$18,$O$14&lt;&gt;$O$15,$O$16=$O$17,RIGHT($O43,3)="2SP"),VLOOKUP(CONCATENATE(LEFT($O43,2),"L"),$R$63:$T$90,3,FALSE),0)-IF(AND($P$16=G$18,$P$14&lt;&gt;$P$15,$P$16=$P$17,RIGHT($P43,3)="2SP"),VLOOKUP(CONCATENATE(LEFT($P43,2),"L"),$R$63:$T$90,3,FALSE),0)-IF(AND($Q$16=G$18,$Q$14&lt;&gt;$Q$15,$Q$16=$Q$17,RIGHT($Q43,3)="2SP"),VLOOKUP(CONCATENATE(LEFT($Q43,2),"L"),$R$63:$T$90,3,FALSE),0)-IF(AND($R$16=G$18,$R$14&lt;&gt;$R$15,$R$16=$R$17,RIGHT($R43,3)="2SP"),VLOOKUP(CONCATENATE(LEFT($R43,2),"L"),$R$63:$T$90,3,FALSE),0)-IF(AND($S$16=G$18,$S$14&lt;&gt;$S$15,$S$16=$S$17,RIGHT($S43,3)="2SP"),VLOOKUP(CONCATENATE(LEFT($S43,2),"L"),$R$63:$T$90,3,FALSE),0)-IF(AND($T$16=G$18,$T$14&lt;&gt;$T$15,$T$16=$T$17,RIGHT($T43,3)="2SP"),VLOOKUP(CONCATENATE(LEFT($T43,2),"L"),$R$63:$T$90,3,FALSE),0)-IF(AND($U$16=G$18,$U$14&lt;&gt;$U$15,$U$16=$U$17,RIGHT($U43,3)="2SP"),VLOOKUP(CONCATENATE(LEFT($U43,2),"L"),$R$63:$T$90,3,FALSE),0)-IF(AND($V$16=G$18,$V$14&lt;&gt;$V$15,$V$16=$V$17,RIGHT($V43,3)="2SP"),VLOOKUP(CONCATENATE(LEFT($V43,2),"L"),$R$63:$T$90,3,FALSE),0)-IF(AND($W$16=G$18,$W$14&lt;&gt;$W$15,$W$16=$W$17,RIGHT($W43,3)="2SP"),VLOOKUP(CONCATENATE(LEFT($W43,2),"L"),$R$63:$T$90,3,FALSE),0)-IF(AND($X$16=G$18,$X$14&lt;&gt;$X$15,$X$16=$X$17,RIGHT($X43,3)="2SP"),VLOOKUP(CONCATENATE(LEFT($X43,2),"L"),$R$63:$T$90,3,FALSE),0)-IF(AND($Y$16=G$18,$Y$14&lt;&gt;$Y$15,$Y$16=$Y$17,RIGHT($Y43,3)="2SP"),VLOOKUP(CONCATENATE(LEFT($Y43,2),"L"),$R$63:$T$90,3,FALSE),0))</f>
        <v>17</v>
      </c>
      <c r="H43" s="271" t="str">
        <f>IF(H$18&lt;&gt;"",IF(VLOOKUP(CONCATENATE($A$18,"Line"),'Supply Attribution'!$F$31:$G$37,2,FALSE)=H$18,$A43,0)+IF(VLOOKUP(CONCATENATE($B$18,"Line"),'Supply Attribution'!$F$31:$G$37,2,FALSE)=H$18,$B43,0)+IF(VLOOKUP(CONCATENATE($C$18,"Line"),'Supply Attribution'!$F$31:$G$37,2,FALSE)=H$18,$C43,0)+IF(VLOOKUP(CONCATENATE($D$18,"Line"),'Supply Attribution'!$F$31:$G$37,2,FALSE)=H$18,$D43,0)+IF(VLOOKUP(CONCATENATE($E$18,"Line"),'Supply Attribution'!$F$31:$G$37,2,FALSE)=H$18,$E43,0)+IF(VLOOKUP(CONCATENATE($F$18,"Line"),'Supply Attribution'!$F$31:$G$37,2,FALSE)=H$18,$F43,0)+IF($K$6="UL",LEFT($S$90,2),0)-IF(AND($K$16=H$18,$K$14&lt;&gt;$K$15,$K$16=$K$17,RIGHT($K43,3)="2SP"),VLOOKUP(CONCATENATE(LEFT($K43,2),"L"),$R$63:$T$90,3,FALSE),0)-IF(AND($L$16=H$18,$L$14&lt;&gt;$L$15,$L$16=$L$17,RIGHT($L43,3)="2SP"),VLOOKUP(CONCATENATE(LEFT($L43,2),"L"),$R$63:$T$90,3,FALSE),0)-IF(AND($M$16=H$18,$M$14&lt;&gt;$M$15,$M$16=$M$17,RIGHT($M43,3)="2SP"),VLOOKUP(CONCATENATE(LEFT($M43,2),"L"),$R$63:$T$90,3,FALSE),0)-IF(AND($N$16=H$18,$N$14&lt;&gt;$N$15,$N$16=$N$17,RIGHT($N43,3)="2SP"),VLOOKUP(CONCATENATE(LEFT($N43,2),"L"),$R$63:$T$90,3,FALSE),0)-IF(AND($O$16=H$18,$O$14&lt;&gt;$O$15,$O$16=$O$17,RIGHT($O43,3)="2SP"),VLOOKUP(CONCATENATE(LEFT($O43,2),"L"),$R$63:$T$90,3,FALSE),0)-IF(AND($P$16=H$18,$P$14&lt;&gt;$P$15,$P$16=$P$17,RIGHT($P43,3)="2SP"),VLOOKUP(CONCATENATE(LEFT($P43,2),"L"),$R$63:$T$90,3,FALSE),0)-IF(AND($Q$16=H$18,$Q$14&lt;&gt;$Q$15,$Q$16=$Q$17,RIGHT($Q43,3)="2SP"),VLOOKUP(CONCATENATE(LEFT($Q43,2),"L"),$R$63:$T$90,3,FALSE),0)-IF(AND($T$16=H$18,$T$14&lt;&gt;$T$15,$T$16=$T$17,RIGHT($T43,3)="2SP"),VLOOKUP(CONCATENATE(LEFT($T43,2),"L"),$R$63:$T$90,3,FALSE),0)-IF(AND($U$16=H$18,$U$14&lt;&gt;$U$15,$U$16=$U$17,RIGHT($U43,3)="2SP"),VLOOKUP(CONCATENATE(LEFT($U43,2),"L"),$R$63:$T$90,3,FALSE),0)-IF(AND($V$16=H$18,$V$14&lt;&gt;$V$15,$V$16=$V$17,RIGHT($V43,3)="2SP"),VLOOKUP(CONCATENATE(LEFT($V43,2),"L"),$R$63:$T$90,3,FALSE),0)-IF(AND($W$16=H$18,$W$14&lt;&gt;$W$15,$W$16=$W$17,RIGHT($W43,3)="2SP"),VLOOKUP(CONCATENATE(LEFT($W43,2),"L"),$R$63:$T$90,3,FALSE),0)-IF(AND($X$16=H$18,$X$14&lt;&gt;$X$15,$X$16=$X$17,RIGHT($X43,3)="2SP"),VLOOKUP(CONCATENATE(LEFT($X43,2),"L"),$R$63:$T$90,3,FALSE),0)-IF(AND($Y$16=H$18,$Y$14&lt;&gt;$Y$15,$Y$16=$Y$17,RIGHT($Y43,3)="2SP"),VLOOKUP(CONCATENATE(LEFT($Y43,2),"L"),$R$63:$T$90,3,FALSE),0)+IF(AND($K$6="CE",$T$59="2 Phases",H$18&lt;&gt;""),IF(VLOOKUP(CONCATENATE($A$18,"Line"),'Supply Attribution'!$F$31:$G$37,2,FALSE)="Line3",$A43,0)+IF(VLOOKUP(CONCATENATE($B$18,"Line"),'Supply Attribution'!$F$31:$G$37,2,FALSE)="Line3",$B43,0)+IF(VLOOKUP(CONCATENATE($C$18,"Line"),'Supply Attribution'!$F$31:$G$37,2,FALSE)="Line3",$C43,0)+IF(VLOOKUP(CONCATENATE($D$18,"Line"),'Supply Attribution'!$F$31:$G$37,2,FALSE)="Line3",$D43,0)+IF(VLOOKUP(CONCATENATE($E$18,"Line"),'Supply Attribution'!$F$31:$G$37,2,FALSE)="Line3",$E43,0)+IF(VLOOKUP(CONCATENATE($F$18,"Line"),'Supply Attribution'!$F$31:$G$37,2,FALSE)="Line3",$F43,0)-IF(AND($K$16=I$18,$K$14&lt;&gt;$K$15,$K$16=$K$17,RIGHT($K43,3)="2SP"),VLOOKUP(CONCATENATE(LEFT($K43,2),"L"),$R$63:$T$90,3,FALSE),0)-IF(AND($L$16=I$18,$L$14&lt;&gt;$L$15,$L$16=$L$17,RIGHT($L43,3)="2SP"),VLOOKUP(CONCATENATE(LEFT($L43,2),"L"),$R$63:$T$90,3,FALSE),0)-IF(AND($M$16=I$18,$M$14&lt;&gt;$M$15,$M$16=$M$17,RIGHT($M43,3)="2SP"),VLOOKUP(CONCATENATE(LEFT($M43,2),"L"),$R$63:$T$90,3,FALSE),0)-IF(AND($N$16=I$18,$N$14&lt;&gt;$N$15,$N$16=$N$17,RIGHT($N43,3)="2SP"),VLOOKUP(CONCATENATE(LEFT($N43,2),"L"),$R$63:$T$90,3,FALSE),0)-IF(AND($O$16=I$18,$O$14&lt;&gt;$O$15,$O$16=$O$17,RIGHT($O43,3)="2SP"),VLOOKUP(CONCATENATE(LEFT($O43,2),"L"),$R$63:$T$90,3,FALSE),0)-IF(AND($P$16=I$18,$P$14&lt;&gt;$P$15,$P$16=$P$17,RIGHT($P43,3)="2SP"),VLOOKUP(CONCATENATE(LEFT($P43,2),"L"),$R$63:$T$90,3,FALSE),0)-IF(AND($Q$16=I$18,$Q$14&lt;&gt;$Q$15,$Q$16=$Q$17,RIGHT($Q43,3)="2SP"),VLOOKUP(CONCATENATE(LEFT($Q43,2),"L"),$R$63:$T$90,3,FALSE),0)-IF(AND($T$16=I$18,$T$14&lt;&gt;$T$15,$T$16=$T$17,RIGHT($T43,3)="2SP"),VLOOKUP(CONCATENATE(LEFT($T43,2),"L"),$R$63:$T$90,3,FALSE),0)-IF(AND($U$16=I$18,$U$14&lt;&gt;$U$15,$U$16=$U$17,RIGHT($U43,3)="2SP"),VLOOKUP(CONCATENATE(LEFT($U43,2),"L"),$R$63:$T$90,3,FALSE),0)-IF(AND($V$16=I$18,$V$14&lt;&gt;$V$15,$V$16=$V$17,RIGHT($V43,3)="2SP"),VLOOKUP(CONCATENATE(LEFT($V43,2),"L"),$R$63:$T$90,3,FALSE),0)-IF(AND($W$16=I$18,$W$14&lt;&gt;$W$15,$W$16=$W$17,RIGHT($W43,3)="2SP"),VLOOKUP(CONCATENATE(LEFT($W43,2),"L"),$R$63:$T$90,3,FALSE),0)-IF(AND($X$16=I$18,$X$14&lt;&gt;$X$15,$X$16=$X$17,RIGHT($X43,3)="2SP"),VLOOKUP(CONCATENATE(LEFT($X43,2),"L"),$R$63:$T$90,3,FALSE),0)-IF(AND($Y$16=I$18,$Y$14&lt;&gt;$Y$15,$Y$16=$Y$17,RIGHT($Y43,3)="2SP"),VLOOKUP(CONCATENATE(LEFT($Y43,2),"L"),$R$63:$T$90,3,FALSE),0),0),"")</f>
        <v/>
      </c>
      <c r="I43" s="271" t="str">
        <f>IF(I$18&lt;&gt;"",IF(VLOOKUP(CONCATENATE($A$18,"Line"),'Supply Attribution'!$F$31:$G$37,2,FALSE)=I$18,$A43,0)+IF(VLOOKUP(CONCATENATE($B$18,"Line"),'Supply Attribution'!$F$31:$G$37,2,FALSE)=I$18,$B43,0)+IF(VLOOKUP(CONCATENATE($C$18,"Line"),'Supply Attribution'!$F$31:$G$37,2,FALSE)=I$18,$C43,0)+IF(VLOOKUP(CONCATENATE($D$18,"Line"),'Supply Attribution'!$F$31:$G$37,2,FALSE)=I$18,$D43,0)+IF(VLOOKUP(CONCATENATE($E$18,"Line"),'Supply Attribution'!$F$31:$G$37,2,FALSE)=I$18,$E43,0)+IF(VLOOKUP(CONCATENATE($F$18,"Line"),'Supply Attribution'!$F$31:$G$37,2,FALSE)=I$18,$F43,0)+IF($K$6="UL",LEFT($S$90,2),0)-IF(AND($K$16=I$18,$K$14&lt;&gt;$K$15,$K$16=$K$17,RIGHT($K43,3)="2SP"),VLOOKUP(CONCATENATE(LEFT($K43,2),"L"),$R$63:$T$90,3,FALSE),0)-IF(AND($L$16=I$18,$L$14&lt;&gt;$L$15,$L$16=$L$17,RIGHT($L43,3)="2SP"),VLOOKUP(CONCATENATE(LEFT($L43,2),"L"),$R$63:$T$90,3,FALSE),0)-IF(AND($M$16=I$18,$M$14&lt;&gt;$M$15,$M$16=$M$17,RIGHT($M43,3)="2SP"),VLOOKUP(CONCATENATE(LEFT($M43,2),"L"),$R$63:$T$90,3,FALSE),0)-IF(AND($N$16=I$18,$N$14&lt;&gt;$N$15,$N$16=$N$17,RIGHT($N43,3)="2SP"),VLOOKUP(CONCATENATE(LEFT($N43,2),"L"),$R$63:$T$90,3,FALSE),0)-IF(AND($O$16=I$18,$O$14&lt;&gt;$O$15,$O$16=$O$17,RIGHT($O43,3)="2SP"),VLOOKUP(CONCATENATE(LEFT($O43,2),"L"),$R$63:$T$90,3,FALSE),0)-IF(AND($P$16=I$18,$P$14&lt;&gt;$P$15,$P$16=$P$17,RIGHT($P43,3)="2SP"),VLOOKUP(CONCATENATE(LEFT($P43,2),"L"),$R$63:$T$90,3,FALSE),0)-IF(AND($Q$16=I$18,$Q$14&lt;&gt;$Q$15,$Q$16=$Q$17,RIGHT($Q43,3)="2SP"),VLOOKUP(CONCATENATE(LEFT($Q43,2),"L"),$R$63:$T$90,3,FALSE),0)-IF(AND($T$16=I$18,$T$14&lt;&gt;$T$15,$T$16=$T$17,RIGHT($T43,3)="2SP"),VLOOKUP(CONCATENATE(LEFT($T43,2),"L"),$R$63:$T$90,3,FALSE),0)-IF(AND($U$16=I$18,$U$14&lt;&gt;$U$15,$U$16=$U$17,RIGHT($U43,3)="2SP"),VLOOKUP(CONCATENATE(LEFT($U43,2),"L"),$R$63:$T$90,3,FALSE),0)-IF(AND($V$16=I$18,$V$14&lt;&gt;$V$15,$V$16=$V$17,RIGHT($V43,3)="2SP"),VLOOKUP(CONCATENATE(LEFT($V43,2),"L"),$R$63:$T$90,3,FALSE),0)-IF(AND($W$16=I$18,$W$14&lt;&gt;$W$15,$W$16=$W$17,RIGHT($W43,3)="2SP"),VLOOKUP(CONCATENATE(LEFT($W43,2),"L"),$R$63:$T$90,3,FALSE),0)-IF(AND($X$16=I$18,$X$14&lt;&gt;$X$15,$X$16=$X$17,RIGHT($X43,3)="2SP"),VLOOKUP(CONCATENATE(LEFT($X43,2),"L"),$R$63:$T$90,3,FALSE),0)-IF(AND($Y$16=I$18,$Y$14&lt;&gt;$Y$15,$Y$16=$Y$17,RIGHT($Y43,3)="2SP"),VLOOKUP(CONCATENATE(LEFT($Y43,2),"L"),$R$63:$T$90,3,FALSE),0),"")</f>
        <v/>
      </c>
      <c r="J43" s="129"/>
      <c r="K43" s="130"/>
      <c r="L43" s="130"/>
      <c r="M43" s="130"/>
      <c r="N43" s="130"/>
      <c r="O43" s="130"/>
      <c r="P43" s="130"/>
      <c r="Q43" s="130"/>
      <c r="R43" s="130"/>
      <c r="S43" s="130"/>
      <c r="T43" s="130"/>
      <c r="U43" s="130"/>
      <c r="V43" s="130"/>
      <c r="W43" s="130"/>
      <c r="X43" s="130"/>
      <c r="Y43" s="130"/>
      <c r="Z43" s="131"/>
      <c r="AA43" s="131"/>
      <c r="AB43" s="132"/>
      <c r="AC43" s="132"/>
      <c r="AD43" s="132"/>
      <c r="AE43" s="133">
        <f t="shared" si="0"/>
        <v>0</v>
      </c>
      <c r="AF43" s="78"/>
    </row>
    <row r="44" spans="1:32" ht="13.15" customHeight="1">
      <c r="A44" s="270">
        <f>IF(AND($K44&lt;&gt;"",$K44&lt;&gt;"--",$K44&lt;&gt;"O3/CP",$K$14=A$18),IF(LEFT($K44,1)="P",VLOOKUP(CONCATENATE(LEFT($K44,2),"H"),$R$63:$T$91,3,FALSE),VLOOKUP($K44,$R$63:$T$91,3,FALSE)))+IF(AND($K44&lt;&gt;"",$K44&lt;&gt;"O3/CP",$K$15=A$18,MID($K44,4,1)="2",$K$15&lt;&gt;$K$14),VLOOKUP(CONCATENATE(LEFT($K44,2),"L"),$R$63:$T$91,3,FALSE),0)+IF(AND($K44="O3/CP",$K$14=A$18),VLOOKUP("O3",$R$63:$T$91,3,FALSE)+VLOOKUP("CP",$R$63:$T$91,3,FALSE),0)+IF(AND($L44&lt;&gt;"",$L44&lt;&gt;"--",$L44&lt;&gt;"O3/CP",$L$14=A$18),IF(LEFT($L44,1)="P",VLOOKUP(CONCATENATE(LEFT($L44,2),"H"),$R$63:$T$91,3,FALSE),VLOOKUP($L44,$R$63:$T$91,3,FALSE)))+IF(AND($L44&lt;&gt;"",$L44&lt;&gt;"O3/CP",$L$15=A$18,MID($L44,4,1)="2",$L$15&lt;&gt;$L$14),VLOOKUP(CONCATENATE(LEFT($L44,2),"L"),$R$63:$T$91,3,FALSE),0)+IF(AND($L44="O3/CP",$L$14=A$18),VLOOKUP("O3",$R$63:$T$91,3,FALSE)+VLOOKUP("CP",$R$63:$T$91,3,FALSE),0)+IF(AND($M44&lt;&gt;"",$M44&lt;&gt;"--",$M44&lt;&gt;"O3/CP",$M$14=A$18),IF(LEFT($M44,1)="P",VLOOKUP(CONCATENATE(LEFT($M44,2),"H"),$R$63:$T$91,3,FALSE),VLOOKUP($M44,$R$63:$T$91,3,FALSE)))+IF(AND($M44&lt;&gt;"",$M44&lt;&gt;"O3/CP",$M$15=A$18,MID($M44,4,1)="2",$M$15&lt;&gt;$M$14),VLOOKUP(CONCATENATE(LEFT($M44,2),"L"),$R$63:$T$91,3,FALSE),0)+IF(AND($M44="O3/CP",$M$14=A$18),VLOOKUP("O3",$R$63:$T$91,3,FALSE)+VLOOKUP("CP",$R$63:$T$91,3,FALSE),0)+IF(AND($N44&lt;&gt;"",$N44&lt;&gt;"--",$N44&lt;&gt;"O3/CP",$N$14=A$18),IF(LEFT($N44,1)="P",VLOOKUP(CONCATENATE(LEFT($N44,2),"H"),$R$63:$T$91,3,FALSE),VLOOKUP($N44,$R$63:$T$91,3,FALSE)))+IF(AND($N44&lt;&gt;"",$N44&lt;&gt;"O3/CP",$N$15=A$18,MID($N44,4,1)="2",$N$15&lt;&gt;$N$14),VLOOKUP(CONCATENATE(LEFT($N44,2),"L"),$R$63:$T$91,3,FALSE),0)+IF(AND($N44="O3/CP",$N$14=A$18),VLOOKUP("O3",$R$63:$T$91,3,FALSE)+VLOOKUP("CP",$R$63:$T$91,3,FALSE),0)+IF(AND($O44&lt;&gt;"",$O44&lt;&gt;"--",$O44&lt;&gt;"O3/CP",$O$14=A$18),IF(LEFT($O44,1)="P",VLOOKUP(CONCATENATE(LEFT($O44,2),"H"),$R$63:$T$91,3,FALSE),VLOOKUP($O44,$R$63:$T$91,3,FALSE)))+IF(AND($O44&lt;&gt;"",$O44&lt;&gt;"O3/CP",$O$15=A$18,MID($O44,4,1)="2",$O$15&lt;&gt;$O$14),VLOOKUP(CONCATENATE(LEFT($O44,2),"L"),$R$63:$T$91,3,FALSE),0)+IF(AND($O44="O3/CP",$O$14=A$18),VLOOKUP("O3",$R$63:$T$91,3,FALSE)+VLOOKUP("CP",$R$63:$T$91,3,FALSE),0)+IF(AND($P44&lt;&gt;"",$P44&lt;&gt;"--",$P44&lt;&gt;"O3/CP",$P$14=A$18),IF(LEFT($P44,1)="P",VLOOKUP(CONCATENATE(LEFT($P44,2),"H"),$R$63:$T$91,3,FALSE),VLOOKUP($P44,$R$63:$T$91,3,FALSE)))+IF(AND($P44&lt;&gt;"",$P44&lt;&gt;"O3/CP",$P$15=A$18,MID($P44,4,1)="2",$P$15&lt;&gt;$P$14),VLOOKUP(CONCATENATE(LEFT($P44,2),"L"),$R$63:$T$91,3,FALSE),0)+IF(AND($P44="O3/CP",$P$14=A$18),VLOOKUP("O3",$R$63:$T$91,3,FALSE)+VLOOKUP("CP",$R$63:$T$91,3,FALSE),0)+IF(AND($Q44&lt;&gt;"",$Q44&lt;&gt;"--",$Q44&lt;&gt;"O3/CP",$Q$14=A$18),IF(LEFT($Q44,1)="P",VLOOKUP(CONCATENATE(LEFT($Q44,2),"H"),$R$63:$T$91,3,FALSE),VLOOKUP($Q44,$R$63:$T$91,3,FALSE)))+IF(AND($Q44&lt;&gt;"",$Q44&lt;&gt;"O3/CP",$Q$15=A$18,MID($Q44,4,1)="2",$Q$15&lt;&gt;$Q$14),VLOOKUP(CONCATENATE(LEFT($Q44,2),"L"),$R$63:$T$91,3,FALSE),0)+IF(AND($Q44="O3/CP",$Q$14=A$18),VLOOKUP("O3",$R$63:$T$91,3,FALSE)+VLOOKUP("CP",$R$63:$T$91,3,FALSE),0)+IF(AND($R44&lt;&gt;"",$R44&lt;&gt;"--",$R44&lt;&gt;"O3/CP",$R$14=A$18),IF(LEFT($R44,1)="P",VLOOKUP(CONCATENATE(LEFT($R44,2),"H"),$R$63:$T$91,3,FALSE),VLOOKUP($R44,$R$63:$T$91,3,FALSE)))+IF(AND($R44&lt;&gt;"",$R44&lt;&gt;"O3/CP",$R$15=A$18,MID($R44,4,1)="2",$R$15&lt;&gt;$R$14),VLOOKUP(CONCATENATE(LEFT($R44,2),"L"),$R$63:$T$91,3,FALSE),0)+IF(AND($R44="O3/CP",$R$14=A$18),VLOOKUP("O3",$R$63:$T$91,3,FALSE)+VLOOKUP("CP",$R$63:$T$91,3,FALSE),0)+IF(AND($S44&lt;&gt;"",$S44&lt;&gt;"--",$S44&lt;&gt;"O3/CP",$S$14=A$18),IF(LEFT($S44,1)="P",VLOOKUP(CONCATENATE(LEFT($S44,2),"H"),$R$63:$T$91,3,FALSE),VLOOKUP($S44,$R$63:$T$91,3,FALSE)))+IF(AND($S44&lt;&gt;"",$S44&lt;&gt;"O3/CP",$S$15=A$18,MID($S44,4,1)="2",$S$15&lt;&gt;$S$14),VLOOKUP(CONCATENATE(LEFT($S44,2),"L"),$R$63:$T$91,3,FALSE),0)+IF(AND($S44="O3/CP",$S$14=A$18),VLOOKUP("O3",$R$63:$T$91,3,FALSE)+VLOOKUP("CP",$R$63:$T$91,3,FALSE),0)+IF(AND($T44&lt;&gt;"",$T44&lt;&gt;"--",$T44&lt;&gt;"O3/CP",$T$14=A$18),IF(LEFT($T44,1)="P",VLOOKUP(CONCATENATE(LEFT($T44,2),"H"),$R$63:$T$91,3,FALSE),VLOOKUP($T44,$R$63:$T$91,3,FALSE)))+IF(AND($T44&lt;&gt;"",$T44&lt;&gt;"O3/CP",$T$15=A$18,MID($T44,4,1)="2",$T$15&lt;&gt;$T$14),VLOOKUP(CONCATENATE(LEFT($T44,2),"L"),$R$63:$T$91,3,FALSE),0)+IF(AND($T44="O3/CP",$T$14=A$18),VLOOKUP("O3",$R$63:$T$91,3,FALSE)+VLOOKUP("CP",$R$63:$T$91,3,FALSE),0)+IF(AND($U44&lt;&gt;"",$U44&lt;&gt;"--",$U44&lt;&gt;"O3/CP",$U$14=A$18),IF(LEFT($U44,1)="P",VLOOKUP(CONCATENATE(LEFT($U44,2),"H"),$R$63:$T$91,3,FALSE),VLOOKUP($U44,$R$63:$T$91,3,FALSE)))+IF(AND($U44&lt;&gt;"",$U44&lt;&gt;"O3/CP",$U$15=A$18,MID($U44,4,1)="2",$U$15&lt;&gt;$U$14),VLOOKUP(CONCATENATE(LEFT($U44,2),"L"),$R$63:$T$91,3,FALSE),0)+IF(AND($U44="O3/CP",$T$14=A$18),VLOOKUP("O3",$R$63:$T$91,3,FALSE)+VLOOKUP("CP",$R$63:$T$91,3,FALSE),0)+IF(AND($V44&lt;&gt;"",$V44&lt;&gt;"--",$V44&lt;&gt;"O3/CP",$V$14=A$18),IF(LEFT($V44,1)="P",VLOOKUP(CONCATENATE(LEFT($V44,2),"H"),$R$63:$T$91,3,FALSE),VLOOKUP($V44,$R$63:$T$91,3,FALSE)))+IF(AND($V44&lt;&gt;"",$V44&lt;&gt;"O3/CP",$V$15=A$18,MID($V44,4,1)="2",$V$15&lt;&gt;$V$14),VLOOKUP(CONCATENATE(LEFT($V44,2),"L"),$R$63:$T$91,3,FALSE),0)+IF(AND($V44="O3/CP",$V$14=A$18),VLOOKUP("O3",$R$63:$T$91,3,FALSE)+VLOOKUP("CP",$R$63:$T$91,3,FALSE),0)+IF(AND($W44&lt;&gt;"",$W44&lt;&gt;"--",$W44&lt;&gt;"O3/CP",$W$14=A$18),IF(LEFT($W44,1)="P",VLOOKUP(CONCATENATE(LEFT($W44,2),"H"),$R$63:$T$91,3,FALSE),VLOOKUP($W44,$R$63:$T$91,3,FALSE)))+IF(AND($W44&lt;&gt;"",$W44&lt;&gt;"O3/CP",$W$15=A$18,MID($W44,4,1)="2",$W$15&lt;&gt;$W$14),VLOOKUP(CONCATENATE(LEFT($W44,2),"L"),$R$63:$T$91,3,FALSE),0)+IF(AND($W44="O3/CP",$W$14=A$18),VLOOKUP("O3",$R$63:$T$91,3,FALSE)+VLOOKUP("CP",$R$63:$T$91,3,FALSE),0)+IF(AND($X44&lt;&gt;"",$X44&lt;&gt;"--",$X44&lt;&gt;"O3/CP",$X$14=A$18),IF(LEFT($X44,1)="P",VLOOKUP(CONCATENATE(LEFT($X44,2),"H"),$R$63:$T$91,3,FALSE),VLOOKUP($X44,$R$63:$T$91,3,FALSE)))+IF(AND($X44&lt;&gt;"",$X44&lt;&gt;"O3/CP",$X$15=A$18,MID($X44,4,1)="2",$X$15&lt;&gt;$X$14),VLOOKUP(CONCATENATE(LEFT($X44,2),"L"),$R$63:$T$91,3,FALSE),0)+IF(AND($X44="O3/CP",$X$14=A$18),VLOOKUP("O3",$R$63:$T$91,3,FALSE)+VLOOKUP("CP",$R$63:$T$91,3,FALSE),0)+IF(AND($Y44&lt;&gt;"",$Y44&lt;&gt;"--",$Y44&lt;&gt;"O3/CP",$Y$14=A$18),IF(LEFT($Y44,1)="P",VLOOKUP(CONCATENATE(LEFT($Y44,2),"H"),$R$63:$T$91,3,FALSE),VLOOKUP($Y44,$R$63:$T$91,3,FALSE)))+IF(AND($Y44&lt;&gt;"",$Y44&lt;&gt;"O3/CP",$Y$15=A$18,MID($Y44,4,1)="2",$Y$15&lt;&gt;$Y$14),VLOOKUP(CONCATENATE(LEFT($Y44,2),"L"),$R$63:$T$91,3,FALSE),0)+IF(AND($Y44="O3/CP",$Y$14=A$18),VLOOKUP("O3",$R$63:$T$91,3,FALSE)+VLOOKUP("CP",$R$63:$T$91,3,FALSE),0)+IF(AND($K$6="CE",'[3]Supply Attribution'!$G$20=A$18),LEFT($S$90,2),0)+IF(AND($X$86&lt;&gt;"Not Set",$X$87=A$18),$X$86,0)</f>
        <v>0</v>
      </c>
      <c r="B44" s="269">
        <f>IF(AND($K44&lt;&gt;"",$K44&lt;&gt;"--",$K44&lt;&gt;"O3/CP",$K$14=B$18),IF(LEFT($K44,1)="P",VLOOKUP(CONCATENATE(LEFT($K44,2),"H"),$R$63:$T$91,3,FALSE),VLOOKUP($K44,$R$63:$T$91,3,FALSE)))+IF(AND($K44&lt;&gt;"",$K44&lt;&gt;"O3/CP",$K$15=B$18,MID($K44,4,1)="2",$K$15&lt;&gt;$K$14),VLOOKUP(CONCATENATE(LEFT($K44,2),"L"),$R$63:$T$91,3,FALSE),0)+IF(AND($K44="O3/CP",$K$14=B$18),VLOOKUP("O3",$R$63:$T$91,3,FALSE)+VLOOKUP("CP",$R$63:$T$91,3,FALSE),0)+IF(AND($L44&lt;&gt;"",$L44&lt;&gt;"--",$L44&lt;&gt;"O3/CP",$L$14=B$18),IF(LEFT($L44,1)="P",VLOOKUP(CONCATENATE(LEFT($L44,2),"H"),$R$63:$T$91,3,FALSE),VLOOKUP($L44,$R$63:$T$91,3,FALSE)))+IF(AND($L44&lt;&gt;"",$L44&lt;&gt;"O3/CP",$L$15=B$18,MID($L44,4,1)="2",$L$15&lt;&gt;$L$14),VLOOKUP(CONCATENATE(LEFT($L44,2),"L"),$R$63:$T$91,3,FALSE),0)+IF(AND($L44="O3/CP",$L$14=B$18),VLOOKUP("O3",$R$63:$T$91,3,FALSE)+VLOOKUP("CP",$R$63:$T$91,3,FALSE),0)+IF(AND($M44&lt;&gt;"",$M44&lt;&gt;"--",$M44&lt;&gt;"O3/CP",$M$14=B$18),IF(LEFT($M44,1)="P",VLOOKUP(CONCATENATE(LEFT($M44,2),"H"),$R$63:$T$91,3,FALSE),VLOOKUP($M44,$R$63:$T$91,3,FALSE)))+IF(AND($M44&lt;&gt;"",$M44&lt;&gt;"O3/CP",$M$15=B$18,MID($M44,4,1)="2",$M$15&lt;&gt;$M$14),VLOOKUP(CONCATENATE(LEFT($M44,2),"L"),$R$63:$T$91,3,FALSE),0)+IF(AND($M44="O3/CP",$M$14=B$18),VLOOKUP("O3",$R$63:$T$91,3,FALSE)+VLOOKUP("CP",$R$63:$T$91,3,FALSE),0)+IF(AND($N44&lt;&gt;"",$N44&lt;&gt;"--",$N44&lt;&gt;"O3/CP",$N$14=B$18),IF(LEFT($N44,1)="P",VLOOKUP(CONCATENATE(LEFT($N44,2),"H"),$R$63:$T$91,3,FALSE),VLOOKUP($N44,$R$63:$T$91,3,FALSE)))+IF(AND($N44&lt;&gt;"",$N44&lt;&gt;"O3/CP",$N$15=B$18,MID($N44,4,1)="2",$N$15&lt;&gt;$N$14),VLOOKUP(CONCATENATE(LEFT($N44,2),"L"),$R$63:$T$91,3,FALSE),0)+IF(AND($N44="O3/CP",$N$14=B$18),VLOOKUP("O3",$R$63:$T$91,3,FALSE)+VLOOKUP("CP",$R$63:$T$91,3,FALSE),0)+IF(AND($O44&lt;&gt;"",$O44&lt;&gt;"--",$O44&lt;&gt;"O3/CP",$O$14=B$18),IF(LEFT($O44,1)="P",VLOOKUP(CONCATENATE(LEFT($O44,2),"H"),$R$63:$T$91,3,FALSE),VLOOKUP($O44,$R$63:$T$91,3,FALSE)))+IF(AND($O44&lt;&gt;"",$O44&lt;&gt;"O3/CP",$O$15=B$18,MID($O44,4,1)="2",$O$15&lt;&gt;$O$14),VLOOKUP(CONCATENATE(LEFT($O44,2),"L"),$R$63:$T$91,3,FALSE),0)+IF(AND($O44="O3/CP",$O$14=B$18),VLOOKUP("O3",$R$63:$T$91,3,FALSE)+VLOOKUP("CP",$R$63:$T$91,3,FALSE),0)+IF(AND($P44&lt;&gt;"",$P44&lt;&gt;"--",$P44&lt;&gt;"O3/CP",$P$14=B$18),IF(LEFT($P44,1)="P",VLOOKUP(CONCATENATE(LEFT($P44,2),"H"),$R$63:$T$91,3,FALSE),VLOOKUP($P44,$R$63:$T$91,3,FALSE)))+IF(AND($P44&lt;&gt;"",$P44&lt;&gt;"O3/CP",$P$15=B$18,MID($P44,4,1)="2",$P$15&lt;&gt;$P$14),VLOOKUP(CONCATENATE(LEFT($P44,2),"L"),$R$63:$T$91,3,FALSE),0)+IF(AND($P44="O3/CP",$P$14=B$18),VLOOKUP("O3",$R$63:$T$91,3,FALSE)+VLOOKUP("CP",$R$63:$T$91,3,FALSE),0)+IF(AND($Q44&lt;&gt;"",$Q44&lt;&gt;"--",$Q44&lt;&gt;"O3/CP",$Q$14=B$18),IF(LEFT($Q44,1)="P",VLOOKUP(CONCATENATE(LEFT($Q44,2),"H"),$R$63:$T$91,3,FALSE),VLOOKUP($Q44,$R$63:$T$91,3,FALSE)))+IF(AND($Q44&lt;&gt;"",$Q44&lt;&gt;"O3/CP",$Q$15=B$18,MID($Q44,4,1)="2",$Q$15&lt;&gt;$Q$14),VLOOKUP(CONCATENATE(LEFT($Q44,2),"L"),$R$63:$T$91,3,FALSE),0)+IF(AND($Q44="O3/CP",$Q$14=B$18),VLOOKUP("O3",$R$63:$T$91,3,FALSE)+VLOOKUP("CP",$R$63:$T$91,3,FALSE),0)+IF(AND($R44&lt;&gt;"",$R44&lt;&gt;"--",$R44&lt;&gt;"O3/CP",$R$14=B$18),IF(LEFT($R44,1)="P",VLOOKUP(CONCATENATE(LEFT($R44,2),"H"),$R$63:$T$91,3,FALSE),VLOOKUP($R44,$R$63:$T$91,3,FALSE)))+IF(AND($R44&lt;&gt;"",$R44&lt;&gt;"O3/CP",$R$15=B$18,MID($R44,4,1)="2",$R$15&lt;&gt;$R$14),VLOOKUP(CONCATENATE(LEFT($R44,2),"L"),$R$63:$T$91,3,FALSE),0)+IF(AND($R44="O3/CP",$R$14=B$18),VLOOKUP("O3",$R$63:$T$91,3,FALSE)+VLOOKUP("CP",$R$63:$T$91,3,FALSE),0)+IF(AND($S44&lt;&gt;"",$S44&lt;&gt;"--",$S44&lt;&gt;"O3/CP",$S$14=B$18),IF(LEFT($S44,1)="P",VLOOKUP(CONCATENATE(LEFT($S44,2),"H"),$R$63:$T$91,3,FALSE),VLOOKUP($S44,$R$63:$T$91,3,FALSE)))+IF(AND($S44&lt;&gt;"",$S44&lt;&gt;"O3/CP",$S$15=B$18,MID($S44,4,1)="2",$S$15&lt;&gt;$S$14),VLOOKUP(CONCATENATE(LEFT($S44,2),"L"),$R$63:$T$91,3,FALSE),0)+IF(AND($S44="O3/CP",$S$14=B$18),VLOOKUP("O3",$R$63:$T$91,3,FALSE)+VLOOKUP("CP",$R$63:$T$91,3,FALSE),0)+IF(AND($T44&lt;&gt;"",$T44&lt;&gt;"--",$T44&lt;&gt;"O3/CP",$T$14=B$18),IF(LEFT($T44,1)="P",VLOOKUP(CONCATENATE(LEFT($T44,2),"H"),$R$63:$T$91,3,FALSE),VLOOKUP($T44,$R$63:$T$91,3,FALSE)))+IF(AND($T44&lt;&gt;"",$T44&lt;&gt;"O3/CP",$T$15=B$18,MID($T44,4,1)="2",$T$15&lt;&gt;$T$14),VLOOKUP(CONCATENATE(LEFT($T44,2),"L"),$R$63:$T$91,3,FALSE),0)+IF(AND($T44="O3/CP",$T$14=B$18),VLOOKUP("O3",$R$63:$T$91,3,FALSE)+VLOOKUP("CP",$R$63:$T$91,3,FALSE),0)+IF(AND($U44&lt;&gt;"",$U44&lt;&gt;"--",$U44&lt;&gt;"O3/CP",$U$14=B$18),IF(LEFT($U44,1)="P",VLOOKUP(CONCATENATE(LEFT($U44,2),"H"),$R$63:$T$91,3,FALSE),VLOOKUP($U44,$R$63:$T$91,3,FALSE)))+IF(AND($U44&lt;&gt;"",$U44&lt;&gt;"O3/CP",$U$15=B$18,MID($U44,4,1)="2",$U$15&lt;&gt;$U$14),VLOOKUP(CONCATENATE(LEFT($U44,2),"L"),$R$63:$T$91,3,FALSE),0)+IF(AND($U44="O3/CP",$T$14=B$18),VLOOKUP("O3",$R$63:$T$91,3,FALSE)+VLOOKUP("CP",$R$63:$T$91,3,FALSE),0)+IF(AND($V44&lt;&gt;"",$V44&lt;&gt;"--",$V44&lt;&gt;"O3/CP",$V$14=B$18),IF(LEFT($V44,1)="P",VLOOKUP(CONCATENATE(LEFT($V44,2),"H"),$R$63:$T$91,3,FALSE),VLOOKUP($V44,$R$63:$T$91,3,FALSE)))+IF(AND($V44&lt;&gt;"",$V44&lt;&gt;"O3/CP",$V$15=B$18,MID($V44,4,1)="2",$V$15&lt;&gt;$V$14),VLOOKUP(CONCATENATE(LEFT($V44,2),"L"),$R$63:$T$91,3,FALSE),0)+IF(AND($V44="O3/CP",$V$14=B$18),VLOOKUP("O3",$R$63:$T$91,3,FALSE)+VLOOKUP("CP",$R$63:$T$91,3,FALSE),0)+IF(AND($W44&lt;&gt;"",$W44&lt;&gt;"--",$W44&lt;&gt;"O3/CP",$W$14=B$18),IF(LEFT($W44,1)="P",VLOOKUP(CONCATENATE(LEFT($W44,2),"H"),$R$63:$T$91,3,FALSE),VLOOKUP($W44,$R$63:$T$91,3,FALSE)))+IF(AND($W44&lt;&gt;"",$W44&lt;&gt;"O3/CP",$W$15=B$18,MID($W44,4,1)="2",$W$15&lt;&gt;$W$14),VLOOKUP(CONCATENATE(LEFT($W44,2),"L"),$R$63:$T$91,3,FALSE),0)+IF(AND($W44="O3/CP",$W$14=B$18),VLOOKUP("O3",$R$63:$T$91,3,FALSE)+VLOOKUP("CP",$R$63:$T$91,3,FALSE),0)+IF(AND($X44&lt;&gt;"",$X44&lt;&gt;"--",$X44&lt;&gt;"O3/CP",$X$14=B$18),IF(LEFT($X44,1)="P",VLOOKUP(CONCATENATE(LEFT($X44,2),"H"),$R$63:$T$91,3,FALSE),VLOOKUP($X44,$R$63:$T$91,3,FALSE)))+IF(AND($X44&lt;&gt;"",$X44&lt;&gt;"O3/CP",$X$15=B$18,MID($X44,4,1)="2",$X$15&lt;&gt;$X$14),VLOOKUP(CONCATENATE(LEFT($X44,2),"L"),$R$63:$T$91,3,FALSE),0)+IF(AND($X44="O3/CP",$X$14=B$18),VLOOKUP("O3",$R$63:$T$91,3,FALSE)+VLOOKUP("CP",$R$63:$T$91,3,FALSE),0)+IF(AND($Y44&lt;&gt;"",$Y44&lt;&gt;"--",$Y44&lt;&gt;"O3/CP",$Y$14=B$18),IF(LEFT($Y44,1)="P",VLOOKUP(CONCATENATE(LEFT($Y44,2),"H"),$R$63:$T$91,3,FALSE),VLOOKUP($Y44,$R$63:$T$91,3,FALSE)))+IF(AND($Y44&lt;&gt;"",$Y44&lt;&gt;"O3/CP",$Y$15=B$18,MID($Y44,4,1)="2",$Y$15&lt;&gt;$Y$14),VLOOKUP(CONCATENATE(LEFT($Y44,2),"L"),$R$63:$T$91,3,FALSE),0)+IF(AND($Y44="O3/CP",$Y$14=B$18),VLOOKUP("O3",$R$63:$T$91,3,FALSE)+VLOOKUP("CP",$R$63:$T$91,3,FALSE),0)+IF(AND($K$6="CE",'[3]Supply Attribution'!$G$20=B$18),LEFT($S$90,2),0)+IF(AND($X$86&lt;&gt;"Not Set",$X$87=B$18),$X$86,0)</f>
        <v>0</v>
      </c>
      <c r="C44" s="269">
        <f>IF(AND($K44&lt;&gt;"",$K44&lt;&gt;"--",$K44&lt;&gt;"O3/CP",$K$14=C$18),IF(LEFT($K44,1)="P",VLOOKUP(CONCATENATE(LEFT($K44,2),"H"),$R$63:$T$91,3,FALSE),VLOOKUP($K44,$R$63:$T$91,3,FALSE)))+IF(AND($K44&lt;&gt;"",$K44&lt;&gt;"O3/CP",$K$15=C$18,MID($K44,4,1)="2",$K$15&lt;&gt;$K$14),VLOOKUP(CONCATENATE(LEFT($K44,2),"L"),$R$63:$T$91,3,FALSE),0)+IF(AND($K44="O3/CP",$K$14=C$18),VLOOKUP("O3",$R$63:$T$91,3,FALSE)+VLOOKUP("CP",$R$63:$T$91,3,FALSE),0)+IF(AND($L44&lt;&gt;"",$L44&lt;&gt;"--",$L44&lt;&gt;"O3/CP",$L$14=C$18),IF(LEFT($L44,1)="P",VLOOKUP(CONCATENATE(LEFT($L44,2),"H"),$R$63:$T$91,3,FALSE),VLOOKUP($L44,$R$63:$T$91,3,FALSE)))+IF(AND($L44&lt;&gt;"",$L44&lt;&gt;"O3/CP",$L$15=C$18,MID($L44,4,1)="2",$L$15&lt;&gt;$L$14),VLOOKUP(CONCATENATE(LEFT($L44,2),"L"),$R$63:$T$91,3,FALSE),0)+IF(AND($L44="O3/CP",$L$14=C$18),VLOOKUP("O3",$R$63:$T$91,3,FALSE)+VLOOKUP("CP",$R$63:$T$91,3,FALSE),0)+IF(AND($M44&lt;&gt;"",$M44&lt;&gt;"--",$M44&lt;&gt;"O3/CP",$M$14=C$18),IF(LEFT($M44,1)="P",VLOOKUP(CONCATENATE(LEFT($M44,2),"H"),$R$63:$T$91,3,FALSE),VLOOKUP($M44,$R$63:$T$91,3,FALSE)))+IF(AND($M44&lt;&gt;"",$M44&lt;&gt;"O3/CP",$M$15=C$18,MID($M44,4,1)="2",$M$15&lt;&gt;$M$14),VLOOKUP(CONCATENATE(LEFT($M44,2),"L"),$R$63:$T$91,3,FALSE),0)+IF(AND($M44="O3/CP",$M$14=C$18),VLOOKUP("O3",$R$63:$T$91,3,FALSE)+VLOOKUP("CP",$R$63:$T$91,3,FALSE),0)+IF(AND($N44&lt;&gt;"",$N44&lt;&gt;"--",$N44&lt;&gt;"O3/CP",$N$14=C$18),IF(LEFT($N44,1)="P",VLOOKUP(CONCATENATE(LEFT($N44,2),"H"),$R$63:$T$91,3,FALSE),VLOOKUP($N44,$R$63:$T$91,3,FALSE)))+IF(AND($N44&lt;&gt;"",$N44&lt;&gt;"O3/CP",$N$15=C$18,MID($N44,4,1)="2",$N$15&lt;&gt;$N$14),VLOOKUP(CONCATENATE(LEFT($N44,2),"L"),$R$63:$T$91,3,FALSE),0)+IF(AND($N44="O3/CP",$N$14=C$18),VLOOKUP("O3",$R$63:$T$91,3,FALSE)+VLOOKUP("CP",$R$63:$T$91,3,FALSE),0)+IF(AND($O44&lt;&gt;"",$O44&lt;&gt;"--",$O44&lt;&gt;"O3/CP",$O$14=C$18),IF(LEFT($O44,1)="P",VLOOKUP(CONCATENATE(LEFT($O44,2),"H"),$R$63:$T$91,3,FALSE),VLOOKUP($O44,$R$63:$T$91,3,FALSE)))+IF(AND($O44&lt;&gt;"",$O44&lt;&gt;"O3/CP",$O$15=C$18,MID($O44,4,1)="2",$O$15&lt;&gt;$O$14),VLOOKUP(CONCATENATE(LEFT($O44,2),"L"),$R$63:$T$91,3,FALSE),0)+IF(AND($O44="O3/CP",$O$14=C$18),VLOOKUP("O3",$R$63:$T$91,3,FALSE)+VLOOKUP("CP",$R$63:$T$91,3,FALSE),0)+IF(AND($P44&lt;&gt;"",$P44&lt;&gt;"--",$P44&lt;&gt;"O3/CP",$P$14=C$18),IF(LEFT($P44,1)="P",VLOOKUP(CONCATENATE(LEFT($P44,2),"H"),$R$63:$T$91,3,FALSE),VLOOKUP($P44,$R$63:$T$91,3,FALSE)))+IF(AND($P44&lt;&gt;"",$P44&lt;&gt;"O3/CP",$P$15=C$18,MID($P44,4,1)="2",$P$15&lt;&gt;$P$14),VLOOKUP(CONCATENATE(LEFT($P44,2),"L"),$R$63:$T$91,3,FALSE),0)+IF(AND($P44="O3/CP",$P$14=C$18),VLOOKUP("O3",$R$63:$T$91,3,FALSE)+VLOOKUP("CP",$R$63:$T$91,3,FALSE),0)+IF(AND($Q44&lt;&gt;"",$Q44&lt;&gt;"--",$Q44&lt;&gt;"O3/CP",$Q$14=C$18),IF(LEFT($Q44,1)="P",VLOOKUP(CONCATENATE(LEFT($Q44,2),"H"),$R$63:$T$91,3,FALSE),VLOOKUP($Q44,$R$63:$T$91,3,FALSE)))+IF(AND($Q44&lt;&gt;"",$Q44&lt;&gt;"O3/CP",$Q$15=C$18,MID($Q44,4,1)="2",$Q$15&lt;&gt;$Q$14),VLOOKUP(CONCATENATE(LEFT($Q44,2),"L"),$R$63:$T$91,3,FALSE),0)+IF(AND($Q44="O3/CP",$Q$14=C$18),VLOOKUP("O3",$R$63:$T$91,3,FALSE)+VLOOKUP("CP",$R$63:$T$91,3,FALSE),0)+IF(AND($R44&lt;&gt;"",$R44&lt;&gt;"--",$R44&lt;&gt;"O3/CP",$R$14=C$18),IF(LEFT($R44,1)="P",VLOOKUP(CONCATENATE(LEFT($R44,2),"H"),$R$63:$T$91,3,FALSE),VLOOKUP($R44,$R$63:$T$91,3,FALSE)))+IF(AND($R44&lt;&gt;"",$R44&lt;&gt;"O3/CP",$R$15=C$18,MID($R44,4,1)="2",$R$15&lt;&gt;$R$14),VLOOKUP(CONCATENATE(LEFT($R44,2),"L"),$R$63:$T$91,3,FALSE),0)+IF(AND($R44="O3/CP",$R$14=C$18),VLOOKUP("O3",$R$63:$T$91,3,FALSE)+VLOOKUP("CP",$R$63:$T$91,3,FALSE),0)+IF(AND($S44&lt;&gt;"",$S44&lt;&gt;"--",$S44&lt;&gt;"O3/CP",$S$14=C$18),IF(LEFT($S44,1)="P",VLOOKUP(CONCATENATE(LEFT($S44,2),"H"),$R$63:$T$91,3,FALSE),VLOOKUP($S44,$R$63:$T$91,3,FALSE)))+IF(AND($S44&lt;&gt;"",$S44&lt;&gt;"O3/CP",$S$15=C$18,MID($S44,4,1)="2",$S$15&lt;&gt;$S$14),VLOOKUP(CONCATENATE(LEFT($S44,2),"L"),$R$63:$T$91,3,FALSE),0)+IF(AND($S44="O3/CP",$S$14=C$18),VLOOKUP("O3",$R$63:$T$91,3,FALSE)+VLOOKUP("CP",$R$63:$T$91,3,FALSE),0)+IF(AND($T44&lt;&gt;"",$T44&lt;&gt;"--",$T44&lt;&gt;"O3/CP",$T$14=C$18),IF(LEFT($T44,1)="P",VLOOKUP(CONCATENATE(LEFT($T44,2),"H"),$R$63:$T$91,3,FALSE),VLOOKUP($T44,$R$63:$T$91,3,FALSE)))+IF(AND($T44&lt;&gt;"",$T44&lt;&gt;"O3/CP",$T$15=C$18,MID($T44,4,1)="2",$T$15&lt;&gt;$T$14),VLOOKUP(CONCATENATE(LEFT($T44,2),"L"),$R$63:$T$91,3,FALSE),0)+IF(AND($T44="O3/CP",$T$14=C$18),VLOOKUP("O3",$R$63:$T$91,3,FALSE)+VLOOKUP("CP",$R$63:$T$91,3,FALSE),0)+IF(AND($U44&lt;&gt;"",$U44&lt;&gt;"--",$U44&lt;&gt;"O3/CP",$U$14=C$18),IF(LEFT($U44,1)="P",VLOOKUP(CONCATENATE(LEFT($U44,2),"H"),$R$63:$T$91,3,FALSE),VLOOKUP($U44,$R$63:$T$91,3,FALSE)))+IF(AND($U44&lt;&gt;"",$U44&lt;&gt;"O3/CP",$U$15=C$18,MID($U44,4,1)="2",$U$15&lt;&gt;$U$14),VLOOKUP(CONCATENATE(LEFT($U44,2),"L"),$R$63:$T$91,3,FALSE),0)+IF(AND($U44="O3/CP",$T$14=C$18),VLOOKUP("O3",$R$63:$T$91,3,FALSE)+VLOOKUP("CP",$R$63:$T$91,3,FALSE),0)+IF(AND($V44&lt;&gt;"",$V44&lt;&gt;"--",$V44&lt;&gt;"O3/CP",$V$14=C$18),IF(LEFT($V44,1)="P",VLOOKUP(CONCATENATE(LEFT($V44,2),"H"),$R$63:$T$91,3,FALSE),VLOOKUP($V44,$R$63:$T$91,3,FALSE)))+IF(AND($V44&lt;&gt;"",$V44&lt;&gt;"O3/CP",$V$15=C$18,MID($V44,4,1)="2",$V$15&lt;&gt;$V$14),VLOOKUP(CONCATENATE(LEFT($V44,2),"L"),$R$63:$T$91,3,FALSE),0)+IF(AND($V44="O3/CP",$V$14=C$18),VLOOKUP("O3",$R$63:$T$91,3,FALSE)+VLOOKUP("CP",$R$63:$T$91,3,FALSE),0)+IF(AND($W44&lt;&gt;"",$W44&lt;&gt;"--",$W44&lt;&gt;"O3/CP",$W$14=C$18),IF(LEFT($W44,1)="P",VLOOKUP(CONCATENATE(LEFT($W44,2),"H"),$R$63:$T$91,3,FALSE),VLOOKUP($W44,$R$63:$T$91,3,FALSE)))+IF(AND($W44&lt;&gt;"",$W44&lt;&gt;"O3/CP",$W$15=C$18,MID($W44,4,1)="2",$W$15&lt;&gt;$W$14),VLOOKUP(CONCATENATE(LEFT($W44,2),"L"),$R$63:$T$91,3,FALSE),0)+IF(AND($W44="O3/CP",$W$14=C$18),VLOOKUP("O3",$R$63:$T$91,3,FALSE)+VLOOKUP("CP",$R$63:$T$91,3,FALSE),0)+IF(AND($X44&lt;&gt;"",$X44&lt;&gt;"--",$X44&lt;&gt;"O3/CP",$X$14=C$18),IF(LEFT($X44,1)="P",VLOOKUP(CONCATENATE(LEFT($X44,2),"H"),$R$63:$T$91,3,FALSE),VLOOKUP($X44,$R$63:$T$91,3,FALSE)))+IF(AND($X44&lt;&gt;"",$X44&lt;&gt;"O3/CP",$X$15=C$18,MID($X44,4,1)="2",$X$15&lt;&gt;$X$14),VLOOKUP(CONCATENATE(LEFT($X44,2),"L"),$R$63:$T$91,3,FALSE),0)+IF(AND($X44="O3/CP",$X$14=C$18),VLOOKUP("O3",$R$63:$T$91,3,FALSE)+VLOOKUP("CP",$R$63:$T$91,3,FALSE),0)+IF(AND($Y44&lt;&gt;"",$Y44&lt;&gt;"--",$Y44&lt;&gt;"O3/CP",$Y$14=C$18),IF(LEFT($Y44,1)="P",VLOOKUP(CONCATENATE(LEFT($Y44,2),"H"),$R$63:$T$91,3,FALSE),VLOOKUP($Y44,$R$63:$T$91,3,FALSE)))+IF(AND($Y44&lt;&gt;"",$Y44&lt;&gt;"O3/CP",$Y$15=C$18,MID($Y44,4,1)="2",$Y$15&lt;&gt;$Y$14),VLOOKUP(CONCATENATE(LEFT($Y44,2),"L"),$R$63:$T$91,3,FALSE),0)+IF(AND($Y44="O3/CP",$Y$14=C$18),VLOOKUP("O3",$R$63:$T$91,3,FALSE)+VLOOKUP("CP",$R$63:$T$91,3,FALSE),0)+IF(AND($K$6="CE",'[3]Supply Attribution'!$G$20=C$18),LEFT($S$90,2),0)+IF(AND($X$86&lt;&gt;"Not Set",$X$87=C$18),$X$86,0)</f>
        <v>0</v>
      </c>
      <c r="D44" s="269">
        <f>IF(AND($K44&lt;&gt;"",$K44&lt;&gt;"--",$K44&lt;&gt;"O3/CP",$K$14=D$18),IF(LEFT($K44,1)="P",VLOOKUP(CONCATENATE(LEFT($K44,2),"H"),$R$63:$T$91,3,FALSE),VLOOKUP($K44,$R$63:$T$91,3,FALSE)))+IF(AND($K44&lt;&gt;"",$K44&lt;&gt;"O3/CP",$K$15=D$18,MID($K44,4,1)="2",$K$15&lt;&gt;$K$14),VLOOKUP(CONCATENATE(LEFT($K44,2),"L"),$R$63:$T$91,3,FALSE),0)+IF(AND($K44="O3/CP",$K$14=D$18),VLOOKUP("O3",$R$63:$T$91,3,FALSE)+VLOOKUP("CP",$R$63:$T$91,3,FALSE),0)+IF(AND($L44&lt;&gt;"",$L44&lt;&gt;"--",$L44&lt;&gt;"O3/CP",$L$14=D$18),IF(LEFT($L44,1)="P",VLOOKUP(CONCATENATE(LEFT($L44,2),"H"),$R$63:$T$91,3,FALSE),VLOOKUP($L44,$R$63:$T$91,3,FALSE)))+IF(AND($L44&lt;&gt;"",$L44&lt;&gt;"O3/CP",$L$15=D$18,MID($L44,4,1)="2",$L$15&lt;&gt;$L$14),VLOOKUP(CONCATENATE(LEFT($L44,2),"L"),$R$63:$T$91,3,FALSE),0)+IF(AND($L44="O3/CP",$L$14=D$18),VLOOKUP("O3",$R$63:$T$91,3,FALSE)+VLOOKUP("CP",$R$63:$T$91,3,FALSE),0)+IF(AND($M44&lt;&gt;"",$M44&lt;&gt;"--",$M44&lt;&gt;"O3/CP",$M$14=D$18),IF(LEFT($M44,1)="P",VLOOKUP(CONCATENATE(LEFT($M44,2),"H"),$R$63:$T$91,3,FALSE),VLOOKUP($M44,$R$63:$T$91,3,FALSE)))+IF(AND($M44&lt;&gt;"",$M44&lt;&gt;"O3/CP",$M$15=D$18,MID($M44,4,1)="2",$M$15&lt;&gt;$M$14),VLOOKUP(CONCATENATE(LEFT($M44,2),"L"),$R$63:$T$91,3,FALSE),0)+IF(AND($M44="O3/CP",$M$14=D$18),VLOOKUP("O3",$R$63:$T$91,3,FALSE)+VLOOKUP("CP",$R$63:$T$91,3,FALSE),0)+IF(AND($N44&lt;&gt;"",$N44&lt;&gt;"--",$N44&lt;&gt;"O3/CP",$N$14=D$18),IF(LEFT($N44,1)="P",VLOOKUP(CONCATENATE(LEFT($N44,2),"H"),$R$63:$T$91,3,FALSE),VLOOKUP($N44,$R$63:$T$91,3,FALSE)))+IF(AND($N44&lt;&gt;"",$N44&lt;&gt;"O3/CP",$N$15=D$18,MID($N44,4,1)="2",$N$15&lt;&gt;$N$14),VLOOKUP(CONCATENATE(LEFT($N44,2),"L"),$R$63:$T$91,3,FALSE),0)+IF(AND($N44="O3/CP",$N$14=D$18),VLOOKUP("O3",$R$63:$T$91,3,FALSE)+VLOOKUP("CP",$R$63:$T$91,3,FALSE),0)+IF(AND($O44&lt;&gt;"",$O44&lt;&gt;"--",$O44&lt;&gt;"O3/CP",$O$14=D$18),IF(LEFT($O44,1)="P",VLOOKUP(CONCATENATE(LEFT($O44,2),"H"),$R$63:$T$91,3,FALSE),VLOOKUP($O44,$R$63:$T$91,3,FALSE)))+IF(AND($O44&lt;&gt;"",$O44&lt;&gt;"O3/CP",$O$15=D$18,MID($O44,4,1)="2",$O$15&lt;&gt;$O$14),VLOOKUP(CONCATENATE(LEFT($O44,2),"L"),$R$63:$T$91,3,FALSE),0)+IF(AND($O44="O3/CP",$O$14=D$18),VLOOKUP("O3",$R$63:$T$91,3,FALSE)+VLOOKUP("CP",$R$63:$T$91,3,FALSE),0)+IF(AND($P44&lt;&gt;"",$P44&lt;&gt;"--",$P44&lt;&gt;"O3/CP",$P$14=D$18),IF(LEFT($P44,1)="P",VLOOKUP(CONCATENATE(LEFT($P44,2),"H"),$R$63:$T$91,3,FALSE),VLOOKUP($P44,$R$63:$T$91,3,FALSE)))+IF(AND($P44&lt;&gt;"",$P44&lt;&gt;"O3/CP",$P$15=D$18,MID($P44,4,1)="2",$P$15&lt;&gt;$P$14),VLOOKUP(CONCATENATE(LEFT($P44,2),"L"),$R$63:$T$91,3,FALSE),0)+IF(AND($P44="O3/CP",$P$14=D$18),VLOOKUP("O3",$R$63:$T$91,3,FALSE)+VLOOKUP("CP",$R$63:$T$91,3,FALSE),0)+IF(AND($Q44&lt;&gt;"",$Q44&lt;&gt;"--",$Q44&lt;&gt;"O3/CP",$Q$14=D$18),IF(LEFT($Q44,1)="P",VLOOKUP(CONCATENATE(LEFT($Q44,2),"H"),$R$63:$T$91,3,FALSE),VLOOKUP($Q44,$R$63:$T$91,3,FALSE)))+IF(AND($Q44&lt;&gt;"",$Q44&lt;&gt;"O3/CP",$Q$15=D$18,MID($Q44,4,1)="2",$Q$15&lt;&gt;$Q$14),VLOOKUP(CONCATENATE(LEFT($Q44,2),"L"),$R$63:$T$91,3,FALSE),0)+IF(AND($Q44="O3/CP",$Q$14=D$18),VLOOKUP("O3",$R$63:$T$91,3,FALSE)+VLOOKUP("CP",$R$63:$T$91,3,FALSE),0)+IF(AND($R44&lt;&gt;"",$R44&lt;&gt;"--",$R44&lt;&gt;"O3/CP",$R$14=D$18),IF(LEFT($R44,1)="P",VLOOKUP(CONCATENATE(LEFT($R44,2),"H"),$R$63:$T$91,3,FALSE),VLOOKUP($R44,$R$63:$T$91,3,FALSE)))+IF(AND($R44&lt;&gt;"",$R44&lt;&gt;"O3/CP",$R$15=D$18,MID($R44,4,1)="2",$R$15&lt;&gt;$R$14),VLOOKUP(CONCATENATE(LEFT($R44,2),"L"),$R$63:$T$91,3,FALSE),0)+IF(AND($R44="O3/CP",$R$14=D$18),VLOOKUP("O3",$R$63:$T$91,3,FALSE)+VLOOKUP("CP",$R$63:$T$91,3,FALSE),0)+IF(AND($S44&lt;&gt;"",$S44&lt;&gt;"--",$S44&lt;&gt;"O3/CP",$S$14=D$18),IF(LEFT($S44,1)="P",VLOOKUP(CONCATENATE(LEFT($S44,2),"H"),$R$63:$T$91,3,FALSE),VLOOKUP($S44,$R$63:$T$91,3,FALSE)))+IF(AND($S44&lt;&gt;"",$S44&lt;&gt;"O3/CP",$S$15=D$18,MID($S44,4,1)="2",$S$15&lt;&gt;$S$14),VLOOKUP(CONCATENATE(LEFT($S44,2),"L"),$R$63:$T$91,3,FALSE),0)+IF(AND($S44="O3/CP",$S$14=D$18),VLOOKUP("O3",$R$63:$T$91,3,FALSE)+VLOOKUP("CP",$R$63:$T$91,3,FALSE),0)+IF(AND($T44&lt;&gt;"",$T44&lt;&gt;"--",$T44&lt;&gt;"O3/CP",$T$14=D$18),IF(LEFT($T44,1)="P",VLOOKUP(CONCATENATE(LEFT($T44,2),"H"),$R$63:$T$91,3,FALSE),VLOOKUP($T44,$R$63:$T$91,3,FALSE)))+IF(AND($T44&lt;&gt;"",$T44&lt;&gt;"O3/CP",$T$15=D$18,MID($T44,4,1)="2",$T$15&lt;&gt;$T$14),VLOOKUP(CONCATENATE(LEFT($T44,2),"L"),$R$63:$T$91,3,FALSE),0)+IF(AND($T44="O3/CP",$T$14=D$18),VLOOKUP("O3",$R$63:$T$91,3,FALSE)+VLOOKUP("CP",$R$63:$T$91,3,FALSE),0)+IF(AND($U44&lt;&gt;"",$U44&lt;&gt;"--",$U44&lt;&gt;"O3/CP",$U$14=D$18),IF(LEFT($U44,1)="P",VLOOKUP(CONCATENATE(LEFT($U44,2),"H"),$R$63:$T$91,3,FALSE),VLOOKUP($U44,$R$63:$T$91,3,FALSE)))+IF(AND($U44&lt;&gt;"",$U44&lt;&gt;"O3/CP",$U$15=D$18,MID($U44,4,1)="2",$U$15&lt;&gt;$U$14),VLOOKUP(CONCATENATE(LEFT($U44,2),"L"),$R$63:$T$91,3,FALSE),0)+IF(AND($U44="O3/CP",$T$14=D$18),VLOOKUP("O3",$R$63:$T$91,3,FALSE)+VLOOKUP("CP",$R$63:$T$91,3,FALSE),0)+IF(AND($V44&lt;&gt;"",$V44&lt;&gt;"--",$V44&lt;&gt;"O3/CP",$V$14=D$18),IF(LEFT($V44,1)="P",VLOOKUP(CONCATENATE(LEFT($V44,2),"H"),$R$63:$T$91,3,FALSE),VLOOKUP($V44,$R$63:$T$91,3,FALSE)))+IF(AND($V44&lt;&gt;"",$V44&lt;&gt;"O3/CP",$V$15=D$18,MID($V44,4,1)="2",$V$15&lt;&gt;$V$14),VLOOKUP(CONCATENATE(LEFT($V44,2),"L"),$R$63:$T$91,3,FALSE),0)+IF(AND($V44="O3/CP",$V$14=D$18),VLOOKUP("O3",$R$63:$T$91,3,FALSE)+VLOOKUP("CP",$R$63:$T$91,3,FALSE),0)+IF(AND($W44&lt;&gt;"",$W44&lt;&gt;"--",$W44&lt;&gt;"O3/CP",$W$14=D$18),IF(LEFT($W44,1)="P",VLOOKUP(CONCATENATE(LEFT($W44,2),"H"),$R$63:$T$91,3,FALSE),VLOOKUP($W44,$R$63:$T$91,3,FALSE)))+IF(AND($W44&lt;&gt;"",$W44&lt;&gt;"O3/CP",$W$15=D$18,MID($W44,4,1)="2",$W$15&lt;&gt;$W$14),VLOOKUP(CONCATENATE(LEFT($W44,2),"L"),$R$63:$T$91,3,FALSE),0)+IF(AND($W44="O3/CP",$W$14=D$18),VLOOKUP("O3",$R$63:$T$91,3,FALSE)+VLOOKUP("CP",$R$63:$T$91,3,FALSE),0)+IF(AND($X44&lt;&gt;"",$X44&lt;&gt;"--",$X44&lt;&gt;"O3/CP",$X$14=D$18),IF(LEFT($X44,1)="P",VLOOKUP(CONCATENATE(LEFT($X44,2),"H"),$R$63:$T$91,3,FALSE),VLOOKUP($X44,$R$63:$T$91,3,FALSE)))+IF(AND($X44&lt;&gt;"",$X44&lt;&gt;"O3/CP",$X$15=D$18,MID($X44,4,1)="2",$X$15&lt;&gt;$X$14),VLOOKUP(CONCATENATE(LEFT($X44,2),"L"),$R$63:$T$91,3,FALSE),0)+IF(AND($X44="O3/CP",$X$14=D$18),VLOOKUP("O3",$R$63:$T$91,3,FALSE)+VLOOKUP("CP",$R$63:$T$91,3,FALSE),0)+IF(AND($Y44&lt;&gt;"",$Y44&lt;&gt;"--",$Y44&lt;&gt;"O3/CP",$Y$14=D$18),IF(LEFT($Y44,1)="P",VLOOKUP(CONCATENATE(LEFT($Y44,2),"H"),$R$63:$T$91,3,FALSE),VLOOKUP($Y44,$R$63:$T$91,3,FALSE)))+IF(AND($Y44&lt;&gt;"",$Y44&lt;&gt;"O3/CP",$Y$15=D$18,MID($Y44,4,1)="2",$Y$15&lt;&gt;$Y$14),VLOOKUP(CONCATENATE(LEFT($Y44,2),"L"),$R$63:$T$91,3,FALSE),0)+IF(AND($Y44="O3/CP",$Y$14=D$18),VLOOKUP("O3",$R$63:$T$91,3,FALSE)+VLOOKUP("CP",$R$63:$T$91,3,FALSE),0)+IF(AND($K$6="CE",'[3]Supply Attribution'!$G$20=D$18),LEFT($S$90,2),0)+IF(AND($X$86&lt;&gt;"Not Set",$X$87=D$18),$X$86,0)</f>
        <v>0</v>
      </c>
      <c r="E44" s="269">
        <f>IF(AND($K44&lt;&gt;"",$K44&lt;&gt;"--",$K44&lt;&gt;"O3/CP",$K$14=E$18),IF(LEFT($K44,1)="P",VLOOKUP(CONCATENATE(LEFT($K44,2),"H"),$R$63:$T$91,3,FALSE),VLOOKUP($K44,$R$63:$T$91,3,FALSE)))+IF(AND($K44&lt;&gt;"",$K44&lt;&gt;"O3/CP",$K$15=E$18,MID($K44,4,1)="2",$K$15&lt;&gt;$K$14),VLOOKUP(CONCATENATE(LEFT($K44,2),"L"),$R$63:$T$91,3,FALSE),0)+IF(AND($K44="O3/CP",$K$14=E$18),VLOOKUP("O3",$R$63:$T$91,3,FALSE)+VLOOKUP("CP",$R$63:$T$91,3,FALSE),0)+IF(AND($L44&lt;&gt;"",$L44&lt;&gt;"--",$L44&lt;&gt;"O3/CP",$L$14=E$18),IF(LEFT($L44,1)="P",VLOOKUP(CONCATENATE(LEFT($L44,2),"H"),$R$63:$T$91,3,FALSE),VLOOKUP($L44,$R$63:$T$91,3,FALSE)))+IF(AND($L44&lt;&gt;"",$L44&lt;&gt;"O3/CP",$L$15=E$18,MID($L44,4,1)="2",$L$15&lt;&gt;$L$14),VLOOKUP(CONCATENATE(LEFT($L44,2),"L"),$R$63:$T$91,3,FALSE),0)+IF(AND($L44="O3/CP",$L$14=E$18),VLOOKUP("O3",$R$63:$T$91,3,FALSE)+VLOOKUP("CP",$R$63:$T$91,3,FALSE),0)+IF(AND($M44&lt;&gt;"",$M44&lt;&gt;"--",$M44&lt;&gt;"O3/CP",$M$14=E$18),IF(LEFT($M44,1)="P",VLOOKUP(CONCATENATE(LEFT($M44,2),"H"),$R$63:$T$91,3,FALSE),VLOOKUP($M44,$R$63:$T$91,3,FALSE)))+IF(AND($M44&lt;&gt;"",$M44&lt;&gt;"O3/CP",$M$15=E$18,MID($M44,4,1)="2",$M$15&lt;&gt;$M$14),VLOOKUP(CONCATENATE(LEFT($M44,2),"L"),$R$63:$T$91,3,FALSE),0)+IF(AND($M44="O3/CP",$M$14=E$18),VLOOKUP("O3",$R$63:$T$91,3,FALSE)+VLOOKUP("CP",$R$63:$T$91,3,FALSE),0)+IF(AND($N44&lt;&gt;"",$N44&lt;&gt;"--",$N44&lt;&gt;"O3/CP",$N$14=E$18),IF(LEFT($N44,1)="P",VLOOKUP(CONCATENATE(LEFT($N44,2),"H"),$R$63:$T$91,3,FALSE),VLOOKUP($N44,$R$63:$T$91,3,FALSE)))+IF(AND($N44&lt;&gt;"",$N44&lt;&gt;"O3/CP",$N$15=E$18,MID($N44,4,1)="2",$N$15&lt;&gt;$N$14),VLOOKUP(CONCATENATE(LEFT($N44,2),"L"),$R$63:$T$91,3,FALSE),0)+IF(AND($N44="O3/CP",$N$14=E$18),VLOOKUP("O3",$R$63:$T$91,3,FALSE)+VLOOKUP("CP",$R$63:$T$91,3,FALSE),0)+IF(AND($O44&lt;&gt;"",$O44&lt;&gt;"--",$O44&lt;&gt;"O3/CP",$O$14=E$18),IF(LEFT($O44,1)="P",VLOOKUP(CONCATENATE(LEFT($O44,2),"H"),$R$63:$T$91,3,FALSE),VLOOKUP($O44,$R$63:$T$91,3,FALSE)))+IF(AND($O44&lt;&gt;"",$O44&lt;&gt;"O3/CP",$O$15=E$18,MID($O44,4,1)="2",$O$15&lt;&gt;$O$14),VLOOKUP(CONCATENATE(LEFT($O44,2),"L"),$R$63:$T$91,3,FALSE),0)+IF(AND($O44="O3/CP",$O$14=E$18),VLOOKUP("O3",$R$63:$T$91,3,FALSE)+VLOOKUP("CP",$R$63:$T$91,3,FALSE),0)+IF(AND($P44&lt;&gt;"",$P44&lt;&gt;"--",$P44&lt;&gt;"O3/CP",$P$14=E$18),IF(LEFT($P44,1)="P",VLOOKUP(CONCATENATE(LEFT($P44,2),"H"),$R$63:$T$91,3,FALSE),VLOOKUP($P44,$R$63:$T$91,3,FALSE)))+IF(AND($P44&lt;&gt;"",$P44&lt;&gt;"O3/CP",$P$15=E$18,MID($P44,4,1)="2",$P$15&lt;&gt;$P$14),VLOOKUP(CONCATENATE(LEFT($P44,2),"L"),$R$63:$T$91,3,FALSE),0)+IF(AND($P44="O3/CP",$P$14=E$18),VLOOKUP("O3",$R$63:$T$91,3,FALSE)+VLOOKUP("CP",$R$63:$T$91,3,FALSE),0)+IF(AND($Q44&lt;&gt;"",$Q44&lt;&gt;"--",$Q44&lt;&gt;"O3/CP",$Q$14=E$18),IF(LEFT($Q44,1)="P",VLOOKUP(CONCATENATE(LEFT($Q44,2),"H"),$R$63:$T$91,3,FALSE),VLOOKUP($Q44,$R$63:$T$91,3,FALSE)))+IF(AND($Q44&lt;&gt;"",$Q44&lt;&gt;"O3/CP",$Q$15=E$18,MID($Q44,4,1)="2",$Q$15&lt;&gt;$Q$14),VLOOKUP(CONCATENATE(LEFT($Q44,2),"L"),$R$63:$T$91,3,FALSE),0)+IF(AND($Q44="O3/CP",$Q$14=E$18),VLOOKUP("O3",$R$63:$T$91,3,FALSE)+VLOOKUP("CP",$R$63:$T$91,3,FALSE),0)+IF(AND($R44&lt;&gt;"",$R44&lt;&gt;"--",$R44&lt;&gt;"O3/CP",$R$14=E$18),IF(LEFT($R44,1)="P",VLOOKUP(CONCATENATE(LEFT($R44,2),"H"),$R$63:$T$91,3,FALSE),VLOOKUP($R44,$R$63:$T$91,3,FALSE)))+IF(AND($R44&lt;&gt;"",$R44&lt;&gt;"O3/CP",$R$15=E$18,MID($R44,4,1)="2",$R$15&lt;&gt;$R$14),VLOOKUP(CONCATENATE(LEFT($R44,2),"L"),$R$63:$T$91,3,FALSE),0)+IF(AND($R44="O3/CP",$R$14=E$18),VLOOKUP("O3",$R$63:$T$91,3,FALSE)+VLOOKUP("CP",$R$63:$T$91,3,FALSE),0)+IF(AND($S44&lt;&gt;"",$S44&lt;&gt;"--",$S44&lt;&gt;"O3/CP",$S$14=E$18),IF(LEFT($S44,1)="P",VLOOKUP(CONCATENATE(LEFT($S44,2),"H"),$R$63:$T$91,3,FALSE),VLOOKUP($S44,$R$63:$T$91,3,FALSE)))+IF(AND($S44&lt;&gt;"",$S44&lt;&gt;"O3/CP",$S$15=E$18,MID($S44,4,1)="2",$S$15&lt;&gt;$S$14),VLOOKUP(CONCATENATE(LEFT($S44,2),"L"),$R$63:$T$91,3,FALSE),0)+IF(AND($S44="O3/CP",$S$14=E$18),VLOOKUP("O3",$R$63:$T$91,3,FALSE)+VLOOKUP("CP",$R$63:$T$91,3,FALSE),0)+IF(AND($T44&lt;&gt;"",$T44&lt;&gt;"--",$T44&lt;&gt;"O3/CP",$T$14=E$18),IF(LEFT($T44,1)="P",VLOOKUP(CONCATENATE(LEFT($T44,2),"H"),$R$63:$T$91,3,FALSE),VLOOKUP($T44,$R$63:$T$91,3,FALSE)))+IF(AND($T44&lt;&gt;"",$T44&lt;&gt;"O3/CP",$T$15=E$18,MID($T44,4,1)="2",$T$15&lt;&gt;$T$14),VLOOKUP(CONCATENATE(LEFT($T44,2),"L"),$R$63:$T$91,3,FALSE),0)+IF(AND($T44="O3/CP",$T$14=E$18),VLOOKUP("O3",$R$63:$T$91,3,FALSE)+VLOOKUP("CP",$R$63:$T$91,3,FALSE),0)+IF(AND($U44&lt;&gt;"",$U44&lt;&gt;"--",$U44&lt;&gt;"O3/CP",$U$14=E$18),IF(LEFT($U44,1)="P",VLOOKUP(CONCATENATE(LEFT($U44,2),"H"),$R$63:$T$91,3,FALSE),VLOOKUP($U44,$R$63:$T$91,3,FALSE)))+IF(AND($U44&lt;&gt;"",$U44&lt;&gt;"O3/CP",$U$15=E$18,MID($U44,4,1)="2",$U$15&lt;&gt;$U$14),VLOOKUP(CONCATENATE(LEFT($U44,2),"L"),$R$63:$T$91,3,FALSE),0)+IF(AND($U44="O3/CP",$T$14=E$18),VLOOKUP("O3",$R$63:$T$91,3,FALSE)+VLOOKUP("CP",$R$63:$T$91,3,FALSE),0)+IF(AND($V44&lt;&gt;"",$V44&lt;&gt;"--",$V44&lt;&gt;"O3/CP",$V$14=E$18),IF(LEFT($V44,1)="P",VLOOKUP(CONCATENATE(LEFT($V44,2),"H"),$R$63:$T$91,3,FALSE),VLOOKUP($V44,$R$63:$T$91,3,FALSE)))+IF(AND($V44&lt;&gt;"",$V44&lt;&gt;"O3/CP",$V$15=E$18,MID($V44,4,1)="2",$V$15&lt;&gt;$V$14),VLOOKUP(CONCATENATE(LEFT($V44,2),"L"),$R$63:$T$91,3,FALSE),0)+IF(AND($V44="O3/CP",$V$14=E$18),VLOOKUP("O3",$R$63:$T$91,3,FALSE)+VLOOKUP("CP",$R$63:$T$91,3,FALSE),0)+IF(AND($W44&lt;&gt;"",$W44&lt;&gt;"--",$W44&lt;&gt;"O3/CP",$W$14=E$18),IF(LEFT($W44,1)="P",VLOOKUP(CONCATENATE(LEFT($W44,2),"H"),$R$63:$T$91,3,FALSE),VLOOKUP($W44,$R$63:$T$91,3,FALSE)))+IF(AND($W44&lt;&gt;"",$W44&lt;&gt;"O3/CP",$W$15=E$18,MID($W44,4,1)="2",$W$15&lt;&gt;$W$14),VLOOKUP(CONCATENATE(LEFT($W44,2),"L"),$R$63:$T$91,3,FALSE),0)+IF(AND($W44="O3/CP",$W$14=E$18),VLOOKUP("O3",$R$63:$T$91,3,FALSE)+VLOOKUP("CP",$R$63:$T$91,3,FALSE),0)+IF(AND($X44&lt;&gt;"",$X44&lt;&gt;"--",$X44&lt;&gt;"O3/CP",$X$14=E$18),IF(LEFT($X44,1)="P",VLOOKUP(CONCATENATE(LEFT($X44,2),"H"),$R$63:$T$91,3,FALSE),VLOOKUP($X44,$R$63:$T$91,3,FALSE)))+IF(AND($X44&lt;&gt;"",$X44&lt;&gt;"O3/CP",$X$15=E$18,MID($X44,4,1)="2",$X$15&lt;&gt;$X$14),VLOOKUP(CONCATENATE(LEFT($X44,2),"L"),$R$63:$T$91,3,FALSE),0)+IF(AND($X44="O3/CP",$X$14=E$18),VLOOKUP("O3",$R$63:$T$91,3,FALSE)+VLOOKUP("CP",$R$63:$T$91,3,FALSE),0)+IF(AND($Y44&lt;&gt;"",$Y44&lt;&gt;"--",$Y44&lt;&gt;"O3/CP",$Y$14=E$18),IF(LEFT($Y44,1)="P",VLOOKUP(CONCATENATE(LEFT($Y44,2),"H"),$R$63:$T$91,3,FALSE),VLOOKUP($Y44,$R$63:$T$91,3,FALSE)))+IF(AND($Y44&lt;&gt;"",$Y44&lt;&gt;"O3/CP",$Y$15=E$18,MID($Y44,4,1)="2",$Y$15&lt;&gt;$Y$14),VLOOKUP(CONCATENATE(LEFT($Y44,2),"L"),$R$63:$T$91,3,FALSE),0)+IF(AND($Y44="O3/CP",$Y$14=E$18),VLOOKUP("O3",$R$63:$T$91,3,FALSE)+VLOOKUP("CP",$R$63:$T$91,3,FALSE),0)+IF(AND($K$6="CE",'[3]Supply Attribution'!$G$20=E$18),LEFT($S$90,2),0)+IF(AND($X$86&lt;&gt;"Not Set",$X$87=E$18),$X$86,0)</f>
        <v>0</v>
      </c>
      <c r="F44" s="268">
        <f>IF(AND($K44&lt;&gt;"",$K44&lt;&gt;"--",$K44&lt;&gt;"O3/CP",$K$14=F$18),IF(LEFT($K44,1)="P",VLOOKUP(CONCATENATE(LEFT($K44,2),"H"),$R$63:$T$91,3,FALSE),VLOOKUP($K44,$R$63:$T$91,3,FALSE)))+IF(AND($K44&lt;&gt;"",$K44&lt;&gt;"O3/CP",$K$15=F$18,MID($K44,4,1)="2",$K$15&lt;&gt;$K$14),VLOOKUP(CONCATENATE(LEFT($K44,2),"L"),$R$63:$T$91,3,FALSE),0)+IF(AND($K44="O3/CP",$K$14=F$18),VLOOKUP("O3",$R$63:$T$91,3,FALSE)+VLOOKUP("CP",$R$63:$T$91,3,FALSE),0)+IF(AND($L44&lt;&gt;"",$L44&lt;&gt;"--",$L44&lt;&gt;"O3/CP",$L$14=F$18),IF(LEFT($L44,1)="P",VLOOKUP(CONCATENATE(LEFT($L44,2),"H"),$R$63:$T$91,3,FALSE),VLOOKUP($L44,$R$63:$T$91,3,FALSE)))+IF(AND($L44&lt;&gt;"",$L44&lt;&gt;"O3/CP",$L$15=F$18,MID($L44,4,1)="2",$L$15&lt;&gt;$L$14),VLOOKUP(CONCATENATE(LEFT($L44,2),"L"),$R$63:$T$91,3,FALSE),0)+IF(AND($L44="O3/CP",$L$14=F$18),VLOOKUP("O3",$R$63:$T$91,3,FALSE)+VLOOKUP("CP",$R$63:$T$91,3,FALSE),0)+IF(AND($M44&lt;&gt;"",$M44&lt;&gt;"--",$M44&lt;&gt;"O3/CP",$M$14=F$18),IF(LEFT($M44,1)="P",VLOOKUP(CONCATENATE(LEFT($M44,2),"H"),$R$63:$T$91,3,FALSE),VLOOKUP($M44,$R$63:$T$91,3,FALSE)))+IF(AND($M44&lt;&gt;"",$M44&lt;&gt;"O3/CP",$M$15=F$18,MID($M44,4,1)="2",$M$15&lt;&gt;$M$14),VLOOKUP(CONCATENATE(LEFT($M44,2),"L"),$R$63:$T$91,3,FALSE),0)+IF(AND($M44="O3/CP",$M$14=F$18),VLOOKUP("O3",$R$63:$T$91,3,FALSE)+VLOOKUP("CP",$R$63:$T$91,3,FALSE),0)+IF(AND($N44&lt;&gt;"",$N44&lt;&gt;"--",$N44&lt;&gt;"O3/CP",$N$14=F$18),IF(LEFT($N44,1)="P",VLOOKUP(CONCATENATE(LEFT($N44,2),"H"),$R$63:$T$91,3,FALSE),VLOOKUP($N44,$R$63:$T$91,3,FALSE)))+IF(AND($N44&lt;&gt;"",$N44&lt;&gt;"O3/CP",$N$15=F$18,MID($N44,4,1)="2",$N$15&lt;&gt;$N$14),VLOOKUP(CONCATENATE(LEFT($N44,2),"L"),$R$63:$T$91,3,FALSE),0)+IF(AND($N44="O3/CP",$N$14=F$18),VLOOKUP("O3",$R$63:$T$91,3,FALSE)+VLOOKUP("CP",$R$63:$T$91,3,FALSE),0)+IF(AND($O44&lt;&gt;"",$O44&lt;&gt;"--",$O44&lt;&gt;"O3/CP",$O$14=F$18),IF(LEFT($O44,1)="P",VLOOKUP(CONCATENATE(LEFT($O44,2),"H"),$R$63:$T$91,3,FALSE),VLOOKUP($O44,$R$63:$T$91,3,FALSE)))+IF(AND($O44&lt;&gt;"",$O44&lt;&gt;"O3/CP",$O$15=F$18,MID($O44,4,1)="2",$O$15&lt;&gt;$O$14),VLOOKUP(CONCATENATE(LEFT($O44,2),"L"),$R$63:$T$91,3,FALSE),0)+IF(AND($O44="O3/CP",$O$14=F$18),VLOOKUP("O3",$R$63:$T$91,3,FALSE)+VLOOKUP("CP",$R$63:$T$91,3,FALSE),0)+IF(AND($P44&lt;&gt;"",$P44&lt;&gt;"--",$P44&lt;&gt;"O3/CP",$P$14=F$18),IF(LEFT($P44,1)="P",VLOOKUP(CONCATENATE(LEFT($P44,2),"H"),$R$63:$T$91,3,FALSE),VLOOKUP($P44,$R$63:$T$91,3,FALSE)))+IF(AND($P44&lt;&gt;"",$P44&lt;&gt;"O3/CP",$P$15=F$18,MID($P44,4,1)="2",$P$15&lt;&gt;$P$14),VLOOKUP(CONCATENATE(LEFT($P44,2),"L"),$R$63:$T$91,3,FALSE),0)+IF(AND($P44="O3/CP",$P$14=F$18),VLOOKUP("O3",$R$63:$T$91,3,FALSE)+VLOOKUP("CP",$R$63:$T$91,3,FALSE),0)+IF(AND($Q44&lt;&gt;"",$Q44&lt;&gt;"--",$Q44&lt;&gt;"O3/CP",$Q$14=F$18),IF(LEFT($Q44,1)="P",VLOOKUP(CONCATENATE(LEFT($Q44,2),"H"),$R$63:$T$91,3,FALSE),VLOOKUP($Q44,$R$63:$T$91,3,FALSE)))+IF(AND($Q44&lt;&gt;"",$Q44&lt;&gt;"O3/CP",$Q$15=F$18,MID($Q44,4,1)="2",$Q$15&lt;&gt;$Q$14),VLOOKUP(CONCATENATE(LEFT($Q44,2),"L"),$R$63:$T$91,3,FALSE),0)+IF(AND($Q44="O3/CP",$Q$14=F$18),VLOOKUP("O3",$R$63:$T$91,3,FALSE)+VLOOKUP("CP",$R$63:$T$91,3,FALSE),0)+IF(AND($R44&lt;&gt;"",$R44&lt;&gt;"--",$R44&lt;&gt;"O3/CP",$R$14=F$18),IF(LEFT($R44,1)="P",VLOOKUP(CONCATENATE(LEFT($R44,2),"H"),$R$63:$T$91,3,FALSE),VLOOKUP($R44,$R$63:$T$91,3,FALSE)))+IF(AND($R44&lt;&gt;"",$R44&lt;&gt;"O3/CP",$R$15=F$18,MID($R44,4,1)="2",$R$15&lt;&gt;$R$14),VLOOKUP(CONCATENATE(LEFT($R44,2),"L"),$R$63:$T$91,3,FALSE),0)+IF(AND($R44="O3/CP",$R$14=F$18),VLOOKUP("O3",$R$63:$T$91,3,FALSE)+VLOOKUP("CP",$R$63:$T$91,3,FALSE),0)+IF(AND($S44&lt;&gt;"",$S44&lt;&gt;"--",$S44&lt;&gt;"O3/CP",$S$14=F$18),IF(LEFT($S44,1)="P",VLOOKUP(CONCATENATE(LEFT($S44,2),"H"),$R$63:$T$91,3,FALSE),VLOOKUP($S44,$R$63:$T$91,3,FALSE)))+IF(AND($S44&lt;&gt;"",$S44&lt;&gt;"O3/CP",$S$15=F$18,MID($S44,4,1)="2",$S$15&lt;&gt;$S$14),VLOOKUP(CONCATENATE(LEFT($S44,2),"L"),$R$63:$T$91,3,FALSE),0)+IF(AND($S44="O3/CP",$S$14=F$18),VLOOKUP("O3",$R$63:$T$91,3,FALSE)+VLOOKUP("CP",$R$63:$T$91,3,FALSE),0)+IF(AND($T44&lt;&gt;"",$T44&lt;&gt;"--",$T44&lt;&gt;"O3/CP",$T$14=F$18),IF(LEFT($T44,1)="P",VLOOKUP(CONCATENATE(LEFT($T44,2),"H"),$R$63:$T$91,3,FALSE),VLOOKUP($T44,$R$63:$T$91,3,FALSE)))+IF(AND($T44&lt;&gt;"",$T44&lt;&gt;"O3/CP",$T$15=F$18,MID($T44,4,1)="2",$T$15&lt;&gt;$T$14),VLOOKUP(CONCATENATE(LEFT($T44,2),"L"),$R$63:$T$91,3,FALSE),0)+IF(AND($T44="O3/CP",$T$14=F$18),VLOOKUP("O3",$R$63:$T$91,3,FALSE)+VLOOKUP("CP",$R$63:$T$91,3,FALSE),0)+IF(AND($U44&lt;&gt;"",$U44&lt;&gt;"--",$U44&lt;&gt;"O3/CP",$U$14=F$18),IF(LEFT($U44,1)="P",VLOOKUP(CONCATENATE(LEFT($U44,2),"H"),$R$63:$T$91,3,FALSE),VLOOKUP($U44,$R$63:$T$91,3,FALSE)))+IF(AND($U44&lt;&gt;"",$U44&lt;&gt;"O3/CP",$U$15=F$18,MID($U44,4,1)="2",$U$15&lt;&gt;$U$14),VLOOKUP(CONCATENATE(LEFT($U44,2),"L"),$R$63:$T$91,3,FALSE),0)+IF(AND($U44="O3/CP",$T$14=F$18),VLOOKUP("O3",$R$63:$T$91,3,FALSE)+VLOOKUP("CP",$R$63:$T$91,3,FALSE),0)+IF(AND($V44&lt;&gt;"",$V44&lt;&gt;"--",$V44&lt;&gt;"O3/CP",$V$14=F$18),IF(LEFT($V44,1)="P",VLOOKUP(CONCATENATE(LEFT($V44,2),"H"),$R$63:$T$91,3,FALSE),VLOOKUP($V44,$R$63:$T$91,3,FALSE)))+IF(AND($V44&lt;&gt;"",$V44&lt;&gt;"O3/CP",$V$15=F$18,MID($V44,4,1)="2",$V$15&lt;&gt;$V$14),VLOOKUP(CONCATENATE(LEFT($V44,2),"L"),$R$63:$T$91,3,FALSE),0)+IF(AND($V44="O3/CP",$V$14=F$18),VLOOKUP("O3",$R$63:$T$91,3,FALSE)+VLOOKUP("CP",$R$63:$T$91,3,FALSE),0)+IF(AND($W44&lt;&gt;"",$W44&lt;&gt;"--",$W44&lt;&gt;"O3/CP",$W$14=F$18),IF(LEFT($W44,1)="P",VLOOKUP(CONCATENATE(LEFT($W44,2),"H"),$R$63:$T$91,3,FALSE),VLOOKUP($W44,$R$63:$T$91,3,FALSE)))+IF(AND($W44&lt;&gt;"",$W44&lt;&gt;"O3/CP",$W$15=F$18,MID($W44,4,1)="2",$W$15&lt;&gt;$W$14),VLOOKUP(CONCATENATE(LEFT($W44,2),"L"),$R$63:$T$91,3,FALSE),0)+IF(AND($W44="O3/CP",$W$14=F$18),VLOOKUP("O3",$R$63:$T$91,3,FALSE)+VLOOKUP("CP",$R$63:$T$91,3,FALSE),0)+IF(AND($X44&lt;&gt;"",$X44&lt;&gt;"--",$X44&lt;&gt;"O3/CP",$X$14=F$18),IF(LEFT($X44,1)="P",VLOOKUP(CONCATENATE(LEFT($X44,2),"H"),$R$63:$T$91,3,FALSE),VLOOKUP($X44,$R$63:$T$91,3,FALSE)))+IF(AND($X44&lt;&gt;"",$X44&lt;&gt;"O3/CP",$X$15=F$18,MID($X44,4,1)="2",$X$15&lt;&gt;$X$14),VLOOKUP(CONCATENATE(LEFT($X44,2),"L"),$R$63:$T$91,3,FALSE),0)+IF(AND($X44="O3/CP",$X$14=F$18),VLOOKUP("O3",$R$63:$T$91,3,FALSE)+VLOOKUP("CP",$R$63:$T$91,3,FALSE),0)+IF(AND($Y44&lt;&gt;"",$Y44&lt;&gt;"--",$Y44&lt;&gt;"O3/CP",$Y$14=F$18),IF(LEFT($Y44,1)="P",VLOOKUP(CONCATENATE(LEFT($Y44,2),"H"),$R$63:$T$91,3,FALSE),VLOOKUP($Y44,$R$63:$T$91,3,FALSE)))+IF(AND($Y44&lt;&gt;"",$Y44&lt;&gt;"O3/CP",$Y$15=F$18,MID($Y44,4,1)="2",$Y$15&lt;&gt;$Y$14),VLOOKUP(CONCATENATE(LEFT($Y44,2),"L"),$R$63:$T$91,3,FALSE),0)+IF(AND($Y44="O3/CP",$Y$14=F$18),VLOOKUP("O3",$R$63:$T$91,3,FALSE)+VLOOKUP("CP",$R$63:$T$91,3,FALSE),0)+IF(AND($K$6="CE",'[3]Supply Attribution'!$G$20=F$18),LEFT($S$90,2),0)+IF(AND($X$86&lt;&gt;"Not Set",$X$87=F$18),$X$86,0)</f>
        <v>0</v>
      </c>
      <c r="G44" s="269">
        <f>IF(AND($K$6="CE",$T$59="1 Phase"),SUM(A44:F44)-IF(AND($K$14&lt;&gt;$K$15,RIGHT($K44,3)="2SP"),VLOOKUP(CONCATENATE(LEFT($K44,2),"L"),$R$63:$T$90,3,FALSE),0)-IF(AND($L$14&lt;&gt;$L$15,RIGHT($L44,3)="2SP"),VLOOKUP(CONCATENATE(LEFT($L44,2),"L"),$R$63:$T$90,3,FALSE),0)-IF(AND($M$14&lt;&gt;$M$15,RIGHT($M44,3)="2SP"),VLOOKUP(CONCATENATE(LEFT($M44,2),"L"),$R$63:$T$90,3,FALSE),0)-IF(AND($N$14&lt;&gt;$N$15,RIGHT($N44,3)="2SP"),VLOOKUP(CONCATENATE(LEFT($N44,2),"L"),$R$63:$T$90,3,FALSE),0)-IF(AND($O$14&lt;&gt;$O$15,RIGHT($O44,3)="2SP"),VLOOKUP(CONCATENATE(LEFT($O44,2),"L"),$R$63:$T$90,3,FALSE),0)-IF(AND($P$14&lt;&gt;$P$15,RIGHT($P44,3)="2SP"),VLOOKUP(CONCATENATE(LEFT($P44,2),"L"),$R$63:$T$90,3,FALSE),0)-IF(AND($Q$14&lt;&gt;$Q$15,RIGHT($Q44,3)="2SP"),VLOOKUP(CONCATENATE(LEFT($Q44,2),"L"),$R$63:$T$90,3,FALSE),0)-IF(AND($R$14&lt;&gt;$R$15,RIGHT($T44,3)="2SP"),VLOOKUP(CONCATENATE(LEFT($R44,2),"L"),$R$63:$T$90,3,FALSE),0)-IF(AND($S$14&lt;&gt;$S$15,RIGHT($T44,3)="2SP"),VLOOKUP(CONCATENATE(LEFT($S44,2),"L"),$R$63:$T$90,3,FALSE),0)-IF(AND($T$14&lt;&gt;$T$15,RIGHT($T44,3)="2SP"),VLOOKUP(CONCATENATE(LEFT($T44,2),"L"),$R$63:$T$90,3,FALSE),0)-IF(AND($U$14&lt;&gt;$U$15,RIGHT($U44,3)="2SP"),VLOOKUP(CONCATENATE(LEFT($U44,2),"L"),$R$63:$T$90,3,FALSE),0)-IF(AND($V$14&lt;&gt;$V$15,RIGHT($V44,3)="2SP"),VLOOKUP(CONCATENATE(LEFT($V44,2),"L"),$R$63:$T$90,3,FALSE),0)-IF(AND($W$14&lt;&gt;$W$15,RIGHT($W44,3)="2SP"),VLOOKUP(CONCATENATE(LEFT($W44,2),"L"),$R$63:$T$90,3,FALSE),0)-IF(AND($X$14&lt;&gt;$X$15,RIGHT($X44,3)="2SP"),VLOOKUP(CONCATENATE(LEFT($X44,2),"L"),$R$63:$T$90,3,FALSE),0)-IF(AND($Y$14&lt;&gt;$Y$15,RIGHT($Y44,3)="2SP"),VLOOKUP(CONCATENATE(LEFT($Y44,2),"L"),$R$63:$T$90,3,FALSE),0),IF(VLOOKUP(CONCATENATE($A$18,"Line"),'[3]Supply Attribution'!$F$31:$G$37,2,FALSE)=G$18,$A44,0)+IF(VLOOKUP(CONCATENATE($B$18,"Line"),'[3]Supply Attribution'!$F$31:$G$37,2,FALSE)=G$18,$B44,0)+IF(VLOOKUP(CONCATENATE($C$18,"Line"),'[3]Supply Attribution'!$F$31:$G$37,2,FALSE)=G$18,$C44,0)+IF(VLOOKUP(CONCATENATE($D$18,"Line"),'[3]Supply Attribution'!$F$31:$G$37,2,FALSE)=G$18,$D44,0)+IF(VLOOKUP(CONCATENATE($E$18,"Line"),'[3]Supply Attribution'!$F$31:$G$37,2,FALSE)=G$18,$E44,0)+IF(VLOOKUP(CONCATENATE($F$18,"Line"),'[3]Supply Attribution'!$F$31:$G$37,2,FALSE)=G$18,$F44,0)+IF($K$6="UL",LEFT($S$90,2),0)-IF(AND($K$16=G$18,$K$14&lt;&gt;$K$15,$K$16=$K$17,RIGHT($K44,3)="2SP"),VLOOKUP(CONCATENATE(LEFT($K44,2),"L"),$R$63:$T$90,3,FALSE),0)-IF(AND($L$16=G$18,$L$14&lt;&gt;$L$15,$L$16=$L$17,RIGHT($L44,3)="2SP"),VLOOKUP(CONCATENATE(LEFT($L44,2),"L"),$R$63:$T$90,3,FALSE),0)-IF(AND($M$16=G$18,$M$14&lt;&gt;$M$15,$M$16=$M$17,RIGHT($M44,3)="2SP"),VLOOKUP(CONCATENATE(LEFT($M44,2),"L"),$R$63:$T$90,3,FALSE),0)-IF(AND($N$16=G$18,$N$14&lt;&gt;$N$15,$N$16=$N$17,RIGHT($N44,3)="2SP"),VLOOKUP(CONCATENATE(LEFT($N44,2),"L"),$R$63:$T$90,3,FALSE),0)-IF(AND($O$16=G$18,$O$14&lt;&gt;$O$15,$O$16=$O$17,RIGHT($O44,3)="2SP"),VLOOKUP(CONCATENATE(LEFT($O44,2),"L"),$R$63:$T$90,3,FALSE),0)-IF(AND($P$16=G$18,$P$14&lt;&gt;$P$15,$P$16=$P$17,RIGHT($P44,3)="2SP"),VLOOKUP(CONCATENATE(LEFT($P44,2),"L"),$R$63:$T$90,3,FALSE),0)-IF(AND($Q$16=G$18,$Q$14&lt;&gt;$Q$15,$Q$16=$Q$17,RIGHT($Q44,3)="2SP"),VLOOKUP(CONCATENATE(LEFT($Q44,2),"L"),$R$63:$T$90,3,FALSE),0)-IF(AND($R$16=G$18,$R$14&lt;&gt;$R$15,$R$16=$R$17,RIGHT($R44,3)="2SP"),VLOOKUP(CONCATENATE(LEFT($R44,2),"L"),$R$63:$T$90,3,FALSE),0)-IF(AND($S$16=G$18,$S$14&lt;&gt;$S$15,$S$16=$S$17,RIGHT($S44,3)="2SP"),VLOOKUP(CONCATENATE(LEFT($S44,2),"L"),$R$63:$T$90,3,FALSE),0)-IF(AND($T$16=G$18,$T$14&lt;&gt;$T$15,$T$16=$T$17,RIGHT($T44,3)="2SP"),VLOOKUP(CONCATENATE(LEFT($T44,2),"L"),$R$63:$T$90,3,FALSE),0)-IF(AND($U$16=G$18,$U$14&lt;&gt;$U$15,$U$16=$U$17,RIGHT($U44,3)="2SP"),VLOOKUP(CONCATENATE(LEFT($U44,2),"L"),$R$63:$T$90,3,FALSE),0)-IF(AND($V$16=G$18,$V$14&lt;&gt;$V$15,$V$16=$V$17,RIGHT($V44,3)="2SP"),VLOOKUP(CONCATENATE(LEFT($V44,2),"L"),$R$63:$T$90,3,FALSE),0)-IF(AND($W$16=G$18,$W$14&lt;&gt;$W$15,$W$16=$W$17,RIGHT($W44,3)="2SP"),VLOOKUP(CONCATENATE(LEFT($W44,2),"L"),$R$63:$T$90,3,FALSE),0)-IF(AND($X$16=G$18,$X$14&lt;&gt;$X$15,$X$16=$X$17,RIGHT($X44,3)="2SP"),VLOOKUP(CONCATENATE(LEFT($X44,2),"L"),$R$63:$T$90,3,FALSE),0)-IF(AND($Y$16=G$18,$Y$14&lt;&gt;$Y$15,$Y$16=$Y$17,RIGHT($Y44,3)="2SP"),VLOOKUP(CONCATENATE(LEFT($Y44,2),"L"),$R$63:$T$90,3,FALSE),0))</f>
        <v>17</v>
      </c>
      <c r="H44" s="269" t="str">
        <f>IF(H$18&lt;&gt;"",IF(VLOOKUP(CONCATENATE($A$18,"Line"),'Supply Attribution'!$F$31:$G$37,2,FALSE)=H$18,$A44,0)+IF(VLOOKUP(CONCATENATE($B$18,"Line"),'Supply Attribution'!$F$31:$G$37,2,FALSE)=H$18,$B44,0)+IF(VLOOKUP(CONCATENATE($C$18,"Line"),'Supply Attribution'!$F$31:$G$37,2,FALSE)=H$18,$C44,0)+IF(VLOOKUP(CONCATENATE($D$18,"Line"),'Supply Attribution'!$F$31:$G$37,2,FALSE)=H$18,$D44,0)+IF(VLOOKUP(CONCATENATE($E$18,"Line"),'Supply Attribution'!$F$31:$G$37,2,FALSE)=H$18,$E44,0)+IF(VLOOKUP(CONCATENATE($F$18,"Line"),'Supply Attribution'!$F$31:$G$37,2,FALSE)=H$18,$F44,0)+IF($K$6="UL",LEFT($S$90,2),0)-IF(AND($K$16=H$18,$K$14&lt;&gt;$K$15,$K$16=$K$17,RIGHT($K44,3)="2SP"),VLOOKUP(CONCATENATE(LEFT($K44,2),"L"),$R$63:$T$90,3,FALSE),0)-IF(AND($L$16=H$18,$L$14&lt;&gt;$L$15,$L$16=$L$17,RIGHT($L44,3)="2SP"),VLOOKUP(CONCATENATE(LEFT($L44,2),"L"),$R$63:$T$90,3,FALSE),0)-IF(AND($M$16=H$18,$M$14&lt;&gt;$M$15,$M$16=$M$17,RIGHT($M44,3)="2SP"),VLOOKUP(CONCATENATE(LEFT($M44,2),"L"),$R$63:$T$90,3,FALSE),0)-IF(AND($N$16=H$18,$N$14&lt;&gt;$N$15,$N$16=$N$17,RIGHT($N44,3)="2SP"),VLOOKUP(CONCATENATE(LEFT($N44,2),"L"),$R$63:$T$90,3,FALSE),0)-IF(AND($O$16=H$18,$O$14&lt;&gt;$O$15,$O$16=$O$17,RIGHT($O44,3)="2SP"),VLOOKUP(CONCATENATE(LEFT($O44,2),"L"),$R$63:$T$90,3,FALSE),0)-IF(AND($P$16=H$18,$P$14&lt;&gt;$P$15,$P$16=$P$17,RIGHT($P44,3)="2SP"),VLOOKUP(CONCATENATE(LEFT($P44,2),"L"),$R$63:$T$90,3,FALSE),0)-IF(AND($Q$16=H$18,$Q$14&lt;&gt;$Q$15,$Q$16=$Q$17,RIGHT($Q44,3)="2SP"),VLOOKUP(CONCATENATE(LEFT($Q44,2),"L"),$R$63:$T$90,3,FALSE),0)-IF(AND($T$16=H$18,$T$14&lt;&gt;$T$15,$T$16=$T$17,RIGHT($T44,3)="2SP"),VLOOKUP(CONCATENATE(LEFT($T44,2),"L"),$R$63:$T$90,3,FALSE),0)-IF(AND($U$16=H$18,$U$14&lt;&gt;$U$15,$U$16=$U$17,RIGHT($U44,3)="2SP"),VLOOKUP(CONCATENATE(LEFT($U44,2),"L"),$R$63:$T$90,3,FALSE),0)-IF(AND($V$16=H$18,$V$14&lt;&gt;$V$15,$V$16=$V$17,RIGHT($V44,3)="2SP"),VLOOKUP(CONCATENATE(LEFT($V44,2),"L"),$R$63:$T$90,3,FALSE),0)-IF(AND($W$16=H$18,$W$14&lt;&gt;$W$15,$W$16=$W$17,RIGHT($W44,3)="2SP"),VLOOKUP(CONCATENATE(LEFT($W44,2),"L"),$R$63:$T$90,3,FALSE),0)-IF(AND($X$16=H$18,$X$14&lt;&gt;$X$15,$X$16=$X$17,RIGHT($X44,3)="2SP"),VLOOKUP(CONCATENATE(LEFT($X44,2),"L"),$R$63:$T$90,3,FALSE),0)-IF(AND($Y$16=H$18,$Y$14&lt;&gt;$Y$15,$Y$16=$Y$17,RIGHT($Y44,3)="2SP"),VLOOKUP(CONCATENATE(LEFT($Y44,2),"L"),$R$63:$T$90,3,FALSE),0)+IF(AND($K$6="CE",$T$59="2 Phases",H$18&lt;&gt;""),IF(VLOOKUP(CONCATENATE($A$18,"Line"),'Supply Attribution'!$F$31:$G$37,2,FALSE)="Line3",$A44,0)+IF(VLOOKUP(CONCATENATE($B$18,"Line"),'Supply Attribution'!$F$31:$G$37,2,FALSE)="Line3",$B44,0)+IF(VLOOKUP(CONCATENATE($C$18,"Line"),'Supply Attribution'!$F$31:$G$37,2,FALSE)="Line3",$C44,0)+IF(VLOOKUP(CONCATENATE($D$18,"Line"),'Supply Attribution'!$F$31:$G$37,2,FALSE)="Line3",$D44,0)+IF(VLOOKUP(CONCATENATE($E$18,"Line"),'Supply Attribution'!$F$31:$G$37,2,FALSE)="Line3",$E44,0)+IF(VLOOKUP(CONCATENATE($F$18,"Line"),'Supply Attribution'!$F$31:$G$37,2,FALSE)="Line3",$F44,0)-IF(AND($K$16=I$18,$K$14&lt;&gt;$K$15,$K$16=$K$17,RIGHT($K44,3)="2SP"),VLOOKUP(CONCATENATE(LEFT($K44,2),"L"),$R$63:$T$90,3,FALSE),0)-IF(AND($L$16=I$18,$L$14&lt;&gt;$L$15,$L$16=$L$17,RIGHT($L44,3)="2SP"),VLOOKUP(CONCATENATE(LEFT($L44,2),"L"),$R$63:$T$90,3,FALSE),0)-IF(AND($M$16=I$18,$M$14&lt;&gt;$M$15,$M$16=$M$17,RIGHT($M44,3)="2SP"),VLOOKUP(CONCATENATE(LEFT($M44,2),"L"),$R$63:$T$90,3,FALSE),0)-IF(AND($N$16=I$18,$N$14&lt;&gt;$N$15,$N$16=$N$17,RIGHT($N44,3)="2SP"),VLOOKUP(CONCATENATE(LEFT($N44,2),"L"),$R$63:$T$90,3,FALSE),0)-IF(AND($O$16=I$18,$O$14&lt;&gt;$O$15,$O$16=$O$17,RIGHT($O44,3)="2SP"),VLOOKUP(CONCATENATE(LEFT($O44,2),"L"),$R$63:$T$90,3,FALSE),0)-IF(AND($P$16=I$18,$P$14&lt;&gt;$P$15,$P$16=$P$17,RIGHT($P44,3)="2SP"),VLOOKUP(CONCATENATE(LEFT($P44,2),"L"),$R$63:$T$90,3,FALSE),0)-IF(AND($Q$16=I$18,$Q$14&lt;&gt;$Q$15,$Q$16=$Q$17,RIGHT($Q44,3)="2SP"),VLOOKUP(CONCATENATE(LEFT($Q44,2),"L"),$R$63:$T$90,3,FALSE),0)-IF(AND($T$16=I$18,$T$14&lt;&gt;$T$15,$T$16=$T$17,RIGHT($T44,3)="2SP"),VLOOKUP(CONCATENATE(LEFT($T44,2),"L"),$R$63:$T$90,3,FALSE),0)-IF(AND($U$16=I$18,$U$14&lt;&gt;$U$15,$U$16=$U$17,RIGHT($U44,3)="2SP"),VLOOKUP(CONCATENATE(LEFT($U44,2),"L"),$R$63:$T$90,3,FALSE),0)-IF(AND($V$16=I$18,$V$14&lt;&gt;$V$15,$V$16=$V$17,RIGHT($V44,3)="2SP"),VLOOKUP(CONCATENATE(LEFT($V44,2),"L"),$R$63:$T$90,3,FALSE),0)-IF(AND($W$16=I$18,$W$14&lt;&gt;$W$15,$W$16=$W$17,RIGHT($W44,3)="2SP"),VLOOKUP(CONCATENATE(LEFT($W44,2),"L"),$R$63:$T$90,3,FALSE),0)-IF(AND($X$16=I$18,$X$14&lt;&gt;$X$15,$X$16=$X$17,RIGHT($X44,3)="2SP"),VLOOKUP(CONCATENATE(LEFT($X44,2),"L"),$R$63:$T$90,3,FALSE),0)-IF(AND($Y$16=I$18,$Y$14&lt;&gt;$Y$15,$Y$16=$Y$17,RIGHT($Y44,3)="2SP"),VLOOKUP(CONCATENATE(LEFT($Y44,2),"L"),$R$63:$T$90,3,FALSE),0),0),"")</f>
        <v/>
      </c>
      <c r="I44" s="269" t="str">
        <f>IF(I$18&lt;&gt;"",IF(VLOOKUP(CONCATENATE($A$18,"Line"),'Supply Attribution'!$F$31:$G$37,2,FALSE)=I$18,$A44,0)+IF(VLOOKUP(CONCATENATE($B$18,"Line"),'Supply Attribution'!$F$31:$G$37,2,FALSE)=I$18,$B44,0)+IF(VLOOKUP(CONCATENATE($C$18,"Line"),'Supply Attribution'!$F$31:$G$37,2,FALSE)=I$18,$C44,0)+IF(VLOOKUP(CONCATENATE($D$18,"Line"),'Supply Attribution'!$F$31:$G$37,2,FALSE)=I$18,$D44,0)+IF(VLOOKUP(CONCATENATE($E$18,"Line"),'Supply Attribution'!$F$31:$G$37,2,FALSE)=I$18,$E44,0)+IF(VLOOKUP(CONCATENATE($F$18,"Line"),'Supply Attribution'!$F$31:$G$37,2,FALSE)=I$18,$F44,0)+IF($K$6="UL",LEFT($S$90,2),0)-IF(AND($K$16=I$18,$K$14&lt;&gt;$K$15,$K$16=$K$17,RIGHT($K44,3)="2SP"),VLOOKUP(CONCATENATE(LEFT($K44,2),"L"),$R$63:$T$90,3,FALSE),0)-IF(AND($L$16=I$18,$L$14&lt;&gt;$L$15,$L$16=$L$17,RIGHT($L44,3)="2SP"),VLOOKUP(CONCATENATE(LEFT($L44,2),"L"),$R$63:$T$90,3,FALSE),0)-IF(AND($M$16=I$18,$M$14&lt;&gt;$M$15,$M$16=$M$17,RIGHT($M44,3)="2SP"),VLOOKUP(CONCATENATE(LEFT($M44,2),"L"),$R$63:$T$90,3,FALSE),0)-IF(AND($N$16=I$18,$N$14&lt;&gt;$N$15,$N$16=$N$17,RIGHT($N44,3)="2SP"),VLOOKUP(CONCATENATE(LEFT($N44,2),"L"),$R$63:$T$90,3,FALSE),0)-IF(AND($O$16=I$18,$O$14&lt;&gt;$O$15,$O$16=$O$17,RIGHT($O44,3)="2SP"),VLOOKUP(CONCATENATE(LEFT($O44,2),"L"),$R$63:$T$90,3,FALSE),0)-IF(AND($P$16=I$18,$P$14&lt;&gt;$P$15,$P$16=$P$17,RIGHT($P44,3)="2SP"),VLOOKUP(CONCATENATE(LEFT($P44,2),"L"),$R$63:$T$90,3,FALSE),0)-IF(AND($Q$16=I$18,$Q$14&lt;&gt;$Q$15,$Q$16=$Q$17,RIGHT($Q44,3)="2SP"),VLOOKUP(CONCATENATE(LEFT($Q44,2),"L"),$R$63:$T$90,3,FALSE),0)-IF(AND($T$16=I$18,$T$14&lt;&gt;$T$15,$T$16=$T$17,RIGHT($T44,3)="2SP"),VLOOKUP(CONCATENATE(LEFT($T44,2),"L"),$R$63:$T$90,3,FALSE),0)-IF(AND($U$16=I$18,$U$14&lt;&gt;$U$15,$U$16=$U$17,RIGHT($U44,3)="2SP"),VLOOKUP(CONCATENATE(LEFT($U44,2),"L"),$R$63:$T$90,3,FALSE),0)-IF(AND($V$16=I$18,$V$14&lt;&gt;$V$15,$V$16=$V$17,RIGHT($V44,3)="2SP"),VLOOKUP(CONCATENATE(LEFT($V44,2),"L"),$R$63:$T$90,3,FALSE),0)-IF(AND($W$16=I$18,$W$14&lt;&gt;$W$15,$W$16=$W$17,RIGHT($W44,3)="2SP"),VLOOKUP(CONCATENATE(LEFT($W44,2),"L"),$R$63:$T$90,3,FALSE),0)-IF(AND($X$16=I$18,$X$14&lt;&gt;$X$15,$X$16=$X$17,RIGHT($X44,3)="2SP"),VLOOKUP(CONCATENATE(LEFT($X44,2),"L"),$R$63:$T$90,3,FALSE),0)-IF(AND($Y$16=I$18,$Y$14&lt;&gt;$Y$15,$Y$16=$Y$17,RIGHT($Y44,3)="2SP"),VLOOKUP(CONCATENATE(LEFT($Y44,2),"L"),$R$63:$T$90,3,FALSE),0),"")</f>
        <v/>
      </c>
      <c r="J44" s="134"/>
      <c r="K44" s="135"/>
      <c r="L44" s="135"/>
      <c r="M44" s="135"/>
      <c r="N44" s="135"/>
      <c r="O44" s="135"/>
      <c r="P44" s="135"/>
      <c r="Q44" s="135"/>
      <c r="R44" s="135"/>
      <c r="S44" s="135"/>
      <c r="T44" s="135"/>
      <c r="U44" s="135"/>
      <c r="V44" s="135"/>
      <c r="W44" s="135"/>
      <c r="X44" s="135"/>
      <c r="Y44" s="135"/>
      <c r="Z44" s="136"/>
      <c r="AA44" s="136"/>
      <c r="AB44" s="137"/>
      <c r="AC44" s="137"/>
      <c r="AD44" s="137"/>
      <c r="AE44" s="138">
        <f t="shared" si="0"/>
        <v>0</v>
      </c>
      <c r="AF44" s="78"/>
    </row>
    <row r="45" spans="1:32" ht="13.15" customHeight="1">
      <c r="A45" s="264">
        <f>IF(AND($K45&lt;&gt;"",$K45&lt;&gt;"--",$K45&lt;&gt;"O3/CP",$K$14=A$18),IF(LEFT($K45,1)="P",VLOOKUP(CONCATENATE(LEFT($K45,2),"H"),$R$63:$T$91,3,FALSE),VLOOKUP($K45,$R$63:$T$91,3,FALSE)))+IF(AND($K45&lt;&gt;"",$K45&lt;&gt;"O3/CP",$K$15=A$18,MID($K45,4,1)="2",$K$15&lt;&gt;$K$14),VLOOKUP(CONCATENATE(LEFT($K45,2),"L"),$R$63:$T$91,3,FALSE),0)+IF(AND($K45="O3/CP",$K$14=A$18),VLOOKUP("O3",$R$63:$T$91,3,FALSE)+VLOOKUP("CP",$R$63:$T$91,3,FALSE),0)+IF(AND($L45&lt;&gt;"",$L45&lt;&gt;"--",$L45&lt;&gt;"O3/CP",$L$14=A$18),IF(LEFT($L45,1)="P",VLOOKUP(CONCATENATE(LEFT($L45,2),"H"),$R$63:$T$91,3,FALSE),VLOOKUP($L45,$R$63:$T$91,3,FALSE)))+IF(AND($L45&lt;&gt;"",$L45&lt;&gt;"O3/CP",$L$15=A$18,MID($L45,4,1)="2",$L$15&lt;&gt;$L$14),VLOOKUP(CONCATENATE(LEFT($L45,2),"L"),$R$63:$T$91,3,FALSE),0)+IF(AND($L45="O3/CP",$L$14=A$18),VLOOKUP("O3",$R$63:$T$91,3,FALSE)+VLOOKUP("CP",$R$63:$T$91,3,FALSE),0)+IF(AND($M45&lt;&gt;"",$M45&lt;&gt;"--",$M45&lt;&gt;"O3/CP",$M$14=A$18),IF(LEFT($M45,1)="P",VLOOKUP(CONCATENATE(LEFT($M45,2),"H"),$R$63:$T$91,3,FALSE),VLOOKUP($M45,$R$63:$T$91,3,FALSE)))+IF(AND($M45&lt;&gt;"",$M45&lt;&gt;"O3/CP",$M$15=A$18,MID($M45,4,1)="2",$M$15&lt;&gt;$M$14),VLOOKUP(CONCATENATE(LEFT($M45,2),"L"),$R$63:$T$91,3,FALSE),0)+IF(AND($M45="O3/CP",$M$14=A$18),VLOOKUP("O3",$R$63:$T$91,3,FALSE)+VLOOKUP("CP",$R$63:$T$91,3,FALSE),0)+IF(AND($N45&lt;&gt;"",$N45&lt;&gt;"--",$N45&lt;&gt;"O3/CP",$N$14=A$18),IF(LEFT($N45,1)="P",VLOOKUP(CONCATENATE(LEFT($N45,2),"H"),$R$63:$T$91,3,FALSE),VLOOKUP($N45,$R$63:$T$91,3,FALSE)))+IF(AND($N45&lt;&gt;"",$N45&lt;&gt;"O3/CP",$N$15=A$18,MID($N45,4,1)="2",$N$15&lt;&gt;$N$14),VLOOKUP(CONCATENATE(LEFT($N45,2),"L"),$R$63:$T$91,3,FALSE),0)+IF(AND($N45="O3/CP",$N$14=A$18),VLOOKUP("O3",$R$63:$T$91,3,FALSE)+VLOOKUP("CP",$R$63:$T$91,3,FALSE),0)+IF(AND($O45&lt;&gt;"",$O45&lt;&gt;"--",$O45&lt;&gt;"O3/CP",$O$14=A$18),IF(LEFT($O45,1)="P",VLOOKUP(CONCATENATE(LEFT($O45,2),"H"),$R$63:$T$91,3,FALSE),VLOOKUP($O45,$R$63:$T$91,3,FALSE)))+IF(AND($O45&lt;&gt;"",$O45&lt;&gt;"O3/CP",$O$15=A$18,MID($O45,4,1)="2",$O$15&lt;&gt;$O$14),VLOOKUP(CONCATENATE(LEFT($O45,2),"L"),$R$63:$T$91,3,FALSE),0)+IF(AND($O45="O3/CP",$O$14=A$18),VLOOKUP("O3",$R$63:$T$91,3,FALSE)+VLOOKUP("CP",$R$63:$T$91,3,FALSE),0)+IF(AND($P45&lt;&gt;"",$P45&lt;&gt;"--",$P45&lt;&gt;"O3/CP",$P$14=A$18),IF(LEFT($P45,1)="P",VLOOKUP(CONCATENATE(LEFT($P45,2),"H"),$R$63:$T$91,3,FALSE),VLOOKUP($P45,$R$63:$T$91,3,FALSE)))+IF(AND($P45&lt;&gt;"",$P45&lt;&gt;"O3/CP",$P$15=A$18,MID($P45,4,1)="2",$P$15&lt;&gt;$P$14),VLOOKUP(CONCATENATE(LEFT($P45,2),"L"),$R$63:$T$91,3,FALSE),0)+IF(AND($P45="O3/CP",$P$14=A$18),VLOOKUP("O3",$R$63:$T$91,3,FALSE)+VLOOKUP("CP",$R$63:$T$91,3,FALSE),0)+IF(AND($Q45&lt;&gt;"",$Q45&lt;&gt;"--",$Q45&lt;&gt;"O3/CP",$Q$14=A$18),IF(LEFT($Q45,1)="P",VLOOKUP(CONCATENATE(LEFT($Q45,2),"H"),$R$63:$T$91,3,FALSE),VLOOKUP($Q45,$R$63:$T$91,3,FALSE)))+IF(AND($Q45&lt;&gt;"",$Q45&lt;&gt;"O3/CP",$Q$15=A$18,MID($Q45,4,1)="2",$Q$15&lt;&gt;$Q$14),VLOOKUP(CONCATENATE(LEFT($Q45,2),"L"),$R$63:$T$91,3,FALSE),0)+IF(AND($Q45="O3/CP",$Q$14=A$18),VLOOKUP("O3",$R$63:$T$91,3,FALSE)+VLOOKUP("CP",$R$63:$T$91,3,FALSE),0)+IF(AND($R45&lt;&gt;"",$R45&lt;&gt;"--",$R45&lt;&gt;"O3/CP",$R$14=A$18),IF(LEFT($R45,1)="P",VLOOKUP(CONCATENATE(LEFT($R45,2),"H"),$R$63:$T$91,3,FALSE),VLOOKUP($R45,$R$63:$T$91,3,FALSE)))+IF(AND($R45&lt;&gt;"",$R45&lt;&gt;"O3/CP",$R$15=A$18,MID($R45,4,1)="2",$R$15&lt;&gt;$R$14),VLOOKUP(CONCATENATE(LEFT($R45,2),"L"),$R$63:$T$91,3,FALSE),0)+IF(AND($R45="O3/CP",$R$14=A$18),VLOOKUP("O3",$R$63:$T$91,3,FALSE)+VLOOKUP("CP",$R$63:$T$91,3,FALSE),0)+IF(AND($S45&lt;&gt;"",$S45&lt;&gt;"--",$S45&lt;&gt;"O3/CP",$S$14=A$18),IF(LEFT($S45,1)="P",VLOOKUP(CONCATENATE(LEFT($S45,2),"H"),$R$63:$T$91,3,FALSE),VLOOKUP($S45,$R$63:$T$91,3,FALSE)))+IF(AND($S45&lt;&gt;"",$S45&lt;&gt;"O3/CP",$S$15=A$18,MID($S45,4,1)="2",$S$15&lt;&gt;$S$14),VLOOKUP(CONCATENATE(LEFT($S45,2),"L"),$R$63:$T$91,3,FALSE),0)+IF(AND($S45="O3/CP",$S$14=A$18),VLOOKUP("O3",$R$63:$T$91,3,FALSE)+VLOOKUP("CP",$R$63:$T$91,3,FALSE),0)+IF(AND($T45&lt;&gt;"",$T45&lt;&gt;"--",$T45&lt;&gt;"O3/CP",$T$14=A$18),IF(LEFT($T45,1)="P",VLOOKUP(CONCATENATE(LEFT($T45,2),"H"),$R$63:$T$91,3,FALSE),VLOOKUP($T45,$R$63:$T$91,3,FALSE)))+IF(AND($T45&lt;&gt;"",$T45&lt;&gt;"O3/CP",$T$15=A$18,MID($T45,4,1)="2",$T$15&lt;&gt;$T$14),VLOOKUP(CONCATENATE(LEFT($T45,2),"L"),$R$63:$T$91,3,FALSE),0)+IF(AND($T45="O3/CP",$T$14=A$18),VLOOKUP("O3",$R$63:$T$91,3,FALSE)+VLOOKUP("CP",$R$63:$T$91,3,FALSE),0)+IF(AND($U45&lt;&gt;"",$U45&lt;&gt;"--",$U45&lt;&gt;"O3/CP",$U$14=A$18),IF(LEFT($U45,1)="P",VLOOKUP(CONCATENATE(LEFT($U45,2),"H"),$R$63:$T$91,3,FALSE),VLOOKUP($U45,$R$63:$T$91,3,FALSE)))+IF(AND($U45&lt;&gt;"",$U45&lt;&gt;"O3/CP",$U$15=A$18,MID($U45,4,1)="2",$U$15&lt;&gt;$U$14),VLOOKUP(CONCATENATE(LEFT($U45,2),"L"),$R$63:$T$91,3,FALSE),0)+IF(AND($U45="O3/CP",$T$14=A$18),VLOOKUP("O3",$R$63:$T$91,3,FALSE)+VLOOKUP("CP",$R$63:$T$91,3,FALSE),0)+IF(AND($V45&lt;&gt;"",$V45&lt;&gt;"--",$V45&lt;&gt;"O3/CP",$V$14=A$18),IF(LEFT($V45,1)="P",VLOOKUP(CONCATENATE(LEFT($V45,2),"H"),$R$63:$T$91,3,FALSE),VLOOKUP($V45,$R$63:$T$91,3,FALSE)))+IF(AND($V45&lt;&gt;"",$V45&lt;&gt;"O3/CP",$V$15=A$18,MID($V45,4,1)="2",$V$15&lt;&gt;$V$14),VLOOKUP(CONCATENATE(LEFT($V45,2),"L"),$R$63:$T$91,3,FALSE),0)+IF(AND($V45="O3/CP",$V$14=A$18),VLOOKUP("O3",$R$63:$T$91,3,FALSE)+VLOOKUP("CP",$R$63:$T$91,3,FALSE),0)+IF(AND($W45&lt;&gt;"",$W45&lt;&gt;"--",$W45&lt;&gt;"O3/CP",$W$14=A$18),IF(LEFT($W45,1)="P",VLOOKUP(CONCATENATE(LEFT($W45,2),"H"),$R$63:$T$91,3,FALSE),VLOOKUP($W45,$R$63:$T$91,3,FALSE)))+IF(AND($W45&lt;&gt;"",$W45&lt;&gt;"O3/CP",$W$15=A$18,MID($W45,4,1)="2",$W$15&lt;&gt;$W$14),VLOOKUP(CONCATENATE(LEFT($W45,2),"L"),$R$63:$T$91,3,FALSE),0)+IF(AND($W45="O3/CP",$W$14=A$18),VLOOKUP("O3",$R$63:$T$91,3,FALSE)+VLOOKUP("CP",$R$63:$T$91,3,FALSE),0)+IF(AND($X45&lt;&gt;"",$X45&lt;&gt;"--",$X45&lt;&gt;"O3/CP",$X$14=A$18),IF(LEFT($X45,1)="P",VLOOKUP(CONCATENATE(LEFT($X45,2),"H"),$R$63:$T$91,3,FALSE),VLOOKUP($X45,$R$63:$T$91,3,FALSE)))+IF(AND($X45&lt;&gt;"",$X45&lt;&gt;"O3/CP",$X$15=A$18,MID($X45,4,1)="2",$X$15&lt;&gt;$X$14),VLOOKUP(CONCATENATE(LEFT($X45,2),"L"),$R$63:$T$91,3,FALSE),0)+IF(AND($X45="O3/CP",$X$14=A$18),VLOOKUP("O3",$R$63:$T$91,3,FALSE)+VLOOKUP("CP",$R$63:$T$91,3,FALSE),0)+IF(AND($Y45&lt;&gt;"",$Y45&lt;&gt;"--",$Y45&lt;&gt;"O3/CP",$Y$14=A$18),IF(LEFT($Y45,1)="P",VLOOKUP(CONCATENATE(LEFT($Y45,2),"H"),$R$63:$T$91,3,FALSE),VLOOKUP($Y45,$R$63:$T$91,3,FALSE)))+IF(AND($Y45&lt;&gt;"",$Y45&lt;&gt;"O3/CP",$Y$15=A$18,MID($Y45,4,1)="2",$Y$15&lt;&gt;$Y$14),VLOOKUP(CONCATENATE(LEFT($Y45,2),"L"),$R$63:$T$91,3,FALSE),0)+IF(AND($Y45="O3/CP",$Y$14=A$18),VLOOKUP("O3",$R$63:$T$91,3,FALSE)+VLOOKUP("CP",$R$63:$T$91,3,FALSE),0)+IF(AND($K$6="CE",'[3]Supply Attribution'!$G$20=A$18),LEFT($S$90,2),0)+IF(AND($X$86&lt;&gt;"Not Set",$X$87=A$18),$X$86,0)</f>
        <v>0</v>
      </c>
      <c r="B45" s="271">
        <f>IF(AND($K45&lt;&gt;"",$K45&lt;&gt;"--",$K45&lt;&gt;"O3/CP",$K$14=B$18),IF(LEFT($K45,1)="P",VLOOKUP(CONCATENATE(LEFT($K45,2),"H"),$R$63:$T$91,3,FALSE),VLOOKUP($K45,$R$63:$T$91,3,FALSE)))+IF(AND($K45&lt;&gt;"",$K45&lt;&gt;"O3/CP",$K$15=B$18,MID($K45,4,1)="2",$K$15&lt;&gt;$K$14),VLOOKUP(CONCATENATE(LEFT($K45,2),"L"),$R$63:$T$91,3,FALSE),0)+IF(AND($K45="O3/CP",$K$14=B$18),VLOOKUP("O3",$R$63:$T$91,3,FALSE)+VLOOKUP("CP",$R$63:$T$91,3,FALSE),0)+IF(AND($L45&lt;&gt;"",$L45&lt;&gt;"--",$L45&lt;&gt;"O3/CP",$L$14=B$18),IF(LEFT($L45,1)="P",VLOOKUP(CONCATENATE(LEFT($L45,2),"H"),$R$63:$T$91,3,FALSE),VLOOKUP($L45,$R$63:$T$91,3,FALSE)))+IF(AND($L45&lt;&gt;"",$L45&lt;&gt;"O3/CP",$L$15=B$18,MID($L45,4,1)="2",$L$15&lt;&gt;$L$14),VLOOKUP(CONCATENATE(LEFT($L45,2),"L"),$R$63:$T$91,3,FALSE),0)+IF(AND($L45="O3/CP",$L$14=B$18),VLOOKUP("O3",$R$63:$T$91,3,FALSE)+VLOOKUP("CP",$R$63:$T$91,3,FALSE),0)+IF(AND($M45&lt;&gt;"",$M45&lt;&gt;"--",$M45&lt;&gt;"O3/CP",$M$14=B$18),IF(LEFT($M45,1)="P",VLOOKUP(CONCATENATE(LEFT($M45,2),"H"),$R$63:$T$91,3,FALSE),VLOOKUP($M45,$R$63:$T$91,3,FALSE)))+IF(AND($M45&lt;&gt;"",$M45&lt;&gt;"O3/CP",$M$15=B$18,MID($M45,4,1)="2",$M$15&lt;&gt;$M$14),VLOOKUP(CONCATENATE(LEFT($M45,2),"L"),$R$63:$T$91,3,FALSE),0)+IF(AND($M45="O3/CP",$M$14=B$18),VLOOKUP("O3",$R$63:$T$91,3,FALSE)+VLOOKUP("CP",$R$63:$T$91,3,FALSE),0)+IF(AND($N45&lt;&gt;"",$N45&lt;&gt;"--",$N45&lt;&gt;"O3/CP",$N$14=B$18),IF(LEFT($N45,1)="P",VLOOKUP(CONCATENATE(LEFT($N45,2),"H"),$R$63:$T$91,3,FALSE),VLOOKUP($N45,$R$63:$T$91,3,FALSE)))+IF(AND($N45&lt;&gt;"",$N45&lt;&gt;"O3/CP",$N$15=B$18,MID($N45,4,1)="2",$N$15&lt;&gt;$N$14),VLOOKUP(CONCATENATE(LEFT($N45,2),"L"),$R$63:$T$91,3,FALSE),0)+IF(AND($N45="O3/CP",$N$14=B$18),VLOOKUP("O3",$R$63:$T$91,3,FALSE)+VLOOKUP("CP",$R$63:$T$91,3,FALSE),0)+IF(AND($O45&lt;&gt;"",$O45&lt;&gt;"--",$O45&lt;&gt;"O3/CP",$O$14=B$18),IF(LEFT($O45,1)="P",VLOOKUP(CONCATENATE(LEFT($O45,2),"H"),$R$63:$T$91,3,FALSE),VLOOKUP($O45,$R$63:$T$91,3,FALSE)))+IF(AND($O45&lt;&gt;"",$O45&lt;&gt;"O3/CP",$O$15=B$18,MID($O45,4,1)="2",$O$15&lt;&gt;$O$14),VLOOKUP(CONCATENATE(LEFT($O45,2),"L"),$R$63:$T$91,3,FALSE),0)+IF(AND($O45="O3/CP",$O$14=B$18),VLOOKUP("O3",$R$63:$T$91,3,FALSE)+VLOOKUP("CP",$R$63:$T$91,3,FALSE),0)+IF(AND($P45&lt;&gt;"",$P45&lt;&gt;"--",$P45&lt;&gt;"O3/CP",$P$14=B$18),IF(LEFT($P45,1)="P",VLOOKUP(CONCATENATE(LEFT($P45,2),"H"),$R$63:$T$91,3,FALSE),VLOOKUP($P45,$R$63:$T$91,3,FALSE)))+IF(AND($P45&lt;&gt;"",$P45&lt;&gt;"O3/CP",$P$15=B$18,MID($P45,4,1)="2",$P$15&lt;&gt;$P$14),VLOOKUP(CONCATENATE(LEFT($P45,2),"L"),$R$63:$T$91,3,FALSE),0)+IF(AND($P45="O3/CP",$P$14=B$18),VLOOKUP("O3",$R$63:$T$91,3,FALSE)+VLOOKUP("CP",$R$63:$T$91,3,FALSE),0)+IF(AND($Q45&lt;&gt;"",$Q45&lt;&gt;"--",$Q45&lt;&gt;"O3/CP",$Q$14=B$18),IF(LEFT($Q45,1)="P",VLOOKUP(CONCATENATE(LEFT($Q45,2),"H"),$R$63:$T$91,3,FALSE),VLOOKUP($Q45,$R$63:$T$91,3,FALSE)))+IF(AND($Q45&lt;&gt;"",$Q45&lt;&gt;"O3/CP",$Q$15=B$18,MID($Q45,4,1)="2",$Q$15&lt;&gt;$Q$14),VLOOKUP(CONCATENATE(LEFT($Q45,2),"L"),$R$63:$T$91,3,FALSE),0)+IF(AND($Q45="O3/CP",$Q$14=B$18),VLOOKUP("O3",$R$63:$T$91,3,FALSE)+VLOOKUP("CP",$R$63:$T$91,3,FALSE),0)+IF(AND($R45&lt;&gt;"",$R45&lt;&gt;"--",$R45&lt;&gt;"O3/CP",$R$14=B$18),IF(LEFT($R45,1)="P",VLOOKUP(CONCATENATE(LEFT($R45,2),"H"),$R$63:$T$91,3,FALSE),VLOOKUP($R45,$R$63:$T$91,3,FALSE)))+IF(AND($R45&lt;&gt;"",$R45&lt;&gt;"O3/CP",$R$15=B$18,MID($R45,4,1)="2",$R$15&lt;&gt;$R$14),VLOOKUP(CONCATENATE(LEFT($R45,2),"L"),$R$63:$T$91,3,FALSE),0)+IF(AND($R45="O3/CP",$R$14=B$18),VLOOKUP("O3",$R$63:$T$91,3,FALSE)+VLOOKUP("CP",$R$63:$T$91,3,FALSE),0)+IF(AND($S45&lt;&gt;"",$S45&lt;&gt;"--",$S45&lt;&gt;"O3/CP",$S$14=B$18),IF(LEFT($S45,1)="P",VLOOKUP(CONCATENATE(LEFT($S45,2),"H"),$R$63:$T$91,3,FALSE),VLOOKUP($S45,$R$63:$T$91,3,FALSE)))+IF(AND($S45&lt;&gt;"",$S45&lt;&gt;"O3/CP",$S$15=B$18,MID($S45,4,1)="2",$S$15&lt;&gt;$S$14),VLOOKUP(CONCATENATE(LEFT($S45,2),"L"),$R$63:$T$91,3,FALSE),0)+IF(AND($S45="O3/CP",$S$14=B$18),VLOOKUP("O3",$R$63:$T$91,3,FALSE)+VLOOKUP("CP",$R$63:$T$91,3,FALSE),0)+IF(AND($T45&lt;&gt;"",$T45&lt;&gt;"--",$T45&lt;&gt;"O3/CP",$T$14=B$18),IF(LEFT($T45,1)="P",VLOOKUP(CONCATENATE(LEFT($T45,2),"H"),$R$63:$T$91,3,FALSE),VLOOKUP($T45,$R$63:$T$91,3,FALSE)))+IF(AND($T45&lt;&gt;"",$T45&lt;&gt;"O3/CP",$T$15=B$18,MID($T45,4,1)="2",$T$15&lt;&gt;$T$14),VLOOKUP(CONCATENATE(LEFT($T45,2),"L"),$R$63:$T$91,3,FALSE),0)+IF(AND($T45="O3/CP",$T$14=B$18),VLOOKUP("O3",$R$63:$T$91,3,FALSE)+VLOOKUP("CP",$R$63:$T$91,3,FALSE),0)+IF(AND($U45&lt;&gt;"",$U45&lt;&gt;"--",$U45&lt;&gt;"O3/CP",$U$14=B$18),IF(LEFT($U45,1)="P",VLOOKUP(CONCATENATE(LEFT($U45,2),"H"),$R$63:$T$91,3,FALSE),VLOOKUP($U45,$R$63:$T$91,3,FALSE)))+IF(AND($U45&lt;&gt;"",$U45&lt;&gt;"O3/CP",$U$15=B$18,MID($U45,4,1)="2",$U$15&lt;&gt;$U$14),VLOOKUP(CONCATENATE(LEFT($U45,2),"L"),$R$63:$T$91,3,FALSE),0)+IF(AND($U45="O3/CP",$T$14=B$18),VLOOKUP("O3",$R$63:$T$91,3,FALSE)+VLOOKUP("CP",$R$63:$T$91,3,FALSE),0)+IF(AND($V45&lt;&gt;"",$V45&lt;&gt;"--",$V45&lt;&gt;"O3/CP",$V$14=B$18),IF(LEFT($V45,1)="P",VLOOKUP(CONCATENATE(LEFT($V45,2),"H"),$R$63:$T$91,3,FALSE),VLOOKUP($V45,$R$63:$T$91,3,FALSE)))+IF(AND($V45&lt;&gt;"",$V45&lt;&gt;"O3/CP",$V$15=B$18,MID($V45,4,1)="2",$V$15&lt;&gt;$V$14),VLOOKUP(CONCATENATE(LEFT($V45,2),"L"),$R$63:$T$91,3,FALSE),0)+IF(AND($V45="O3/CP",$V$14=B$18),VLOOKUP("O3",$R$63:$T$91,3,FALSE)+VLOOKUP("CP",$R$63:$T$91,3,FALSE),0)+IF(AND($W45&lt;&gt;"",$W45&lt;&gt;"--",$W45&lt;&gt;"O3/CP",$W$14=B$18),IF(LEFT($W45,1)="P",VLOOKUP(CONCATENATE(LEFT($W45,2),"H"),$R$63:$T$91,3,FALSE),VLOOKUP($W45,$R$63:$T$91,3,FALSE)))+IF(AND($W45&lt;&gt;"",$W45&lt;&gt;"O3/CP",$W$15=B$18,MID($W45,4,1)="2",$W$15&lt;&gt;$W$14),VLOOKUP(CONCATENATE(LEFT($W45,2),"L"),$R$63:$T$91,3,FALSE),0)+IF(AND($W45="O3/CP",$W$14=B$18),VLOOKUP("O3",$R$63:$T$91,3,FALSE)+VLOOKUP("CP",$R$63:$T$91,3,FALSE),0)+IF(AND($X45&lt;&gt;"",$X45&lt;&gt;"--",$X45&lt;&gt;"O3/CP",$X$14=B$18),IF(LEFT($X45,1)="P",VLOOKUP(CONCATENATE(LEFT($X45,2),"H"),$R$63:$T$91,3,FALSE),VLOOKUP($X45,$R$63:$T$91,3,FALSE)))+IF(AND($X45&lt;&gt;"",$X45&lt;&gt;"O3/CP",$X$15=B$18,MID($X45,4,1)="2",$X$15&lt;&gt;$X$14),VLOOKUP(CONCATENATE(LEFT($X45,2),"L"),$R$63:$T$91,3,FALSE),0)+IF(AND($X45="O3/CP",$X$14=B$18),VLOOKUP("O3",$R$63:$T$91,3,FALSE)+VLOOKUP("CP",$R$63:$T$91,3,FALSE),0)+IF(AND($Y45&lt;&gt;"",$Y45&lt;&gt;"--",$Y45&lt;&gt;"O3/CP",$Y$14=B$18),IF(LEFT($Y45,1)="P",VLOOKUP(CONCATENATE(LEFT($Y45,2),"H"),$R$63:$T$91,3,FALSE),VLOOKUP($Y45,$R$63:$T$91,3,FALSE)))+IF(AND($Y45&lt;&gt;"",$Y45&lt;&gt;"O3/CP",$Y$15=B$18,MID($Y45,4,1)="2",$Y$15&lt;&gt;$Y$14),VLOOKUP(CONCATENATE(LEFT($Y45,2),"L"),$R$63:$T$91,3,FALSE),0)+IF(AND($Y45="O3/CP",$Y$14=B$18),VLOOKUP("O3",$R$63:$T$91,3,FALSE)+VLOOKUP("CP",$R$63:$T$91,3,FALSE),0)+IF(AND($K$6="CE",'[3]Supply Attribution'!$G$20=B$18),LEFT($S$90,2),0)+IF(AND($X$86&lt;&gt;"Not Set",$X$87=B$18),$X$86,0)</f>
        <v>0</v>
      </c>
      <c r="C45" s="271">
        <f>IF(AND($K45&lt;&gt;"",$K45&lt;&gt;"--",$K45&lt;&gt;"O3/CP",$K$14=C$18),IF(LEFT($K45,1)="P",VLOOKUP(CONCATENATE(LEFT($K45,2),"H"),$R$63:$T$91,3,FALSE),VLOOKUP($K45,$R$63:$T$91,3,FALSE)))+IF(AND($K45&lt;&gt;"",$K45&lt;&gt;"O3/CP",$K$15=C$18,MID($K45,4,1)="2",$K$15&lt;&gt;$K$14),VLOOKUP(CONCATENATE(LEFT($K45,2),"L"),$R$63:$T$91,3,FALSE),0)+IF(AND($K45="O3/CP",$K$14=C$18),VLOOKUP("O3",$R$63:$T$91,3,FALSE)+VLOOKUP("CP",$R$63:$T$91,3,FALSE),0)+IF(AND($L45&lt;&gt;"",$L45&lt;&gt;"--",$L45&lt;&gt;"O3/CP",$L$14=C$18),IF(LEFT($L45,1)="P",VLOOKUP(CONCATENATE(LEFT($L45,2),"H"),$R$63:$T$91,3,FALSE),VLOOKUP($L45,$R$63:$T$91,3,FALSE)))+IF(AND($L45&lt;&gt;"",$L45&lt;&gt;"O3/CP",$L$15=C$18,MID($L45,4,1)="2",$L$15&lt;&gt;$L$14),VLOOKUP(CONCATENATE(LEFT($L45,2),"L"),$R$63:$T$91,3,FALSE),0)+IF(AND($L45="O3/CP",$L$14=C$18),VLOOKUP("O3",$R$63:$T$91,3,FALSE)+VLOOKUP("CP",$R$63:$T$91,3,FALSE),0)+IF(AND($M45&lt;&gt;"",$M45&lt;&gt;"--",$M45&lt;&gt;"O3/CP",$M$14=C$18),IF(LEFT($M45,1)="P",VLOOKUP(CONCATENATE(LEFT($M45,2),"H"),$R$63:$T$91,3,FALSE),VLOOKUP($M45,$R$63:$T$91,3,FALSE)))+IF(AND($M45&lt;&gt;"",$M45&lt;&gt;"O3/CP",$M$15=C$18,MID($M45,4,1)="2",$M$15&lt;&gt;$M$14),VLOOKUP(CONCATENATE(LEFT($M45,2),"L"),$R$63:$T$91,3,FALSE),0)+IF(AND($M45="O3/CP",$M$14=C$18),VLOOKUP("O3",$R$63:$T$91,3,FALSE)+VLOOKUP("CP",$R$63:$T$91,3,FALSE),0)+IF(AND($N45&lt;&gt;"",$N45&lt;&gt;"--",$N45&lt;&gt;"O3/CP",$N$14=C$18),IF(LEFT($N45,1)="P",VLOOKUP(CONCATENATE(LEFT($N45,2),"H"),$R$63:$T$91,3,FALSE),VLOOKUP($N45,$R$63:$T$91,3,FALSE)))+IF(AND($N45&lt;&gt;"",$N45&lt;&gt;"O3/CP",$N$15=C$18,MID($N45,4,1)="2",$N$15&lt;&gt;$N$14),VLOOKUP(CONCATENATE(LEFT($N45,2),"L"),$R$63:$T$91,3,FALSE),0)+IF(AND($N45="O3/CP",$N$14=C$18),VLOOKUP("O3",$R$63:$T$91,3,FALSE)+VLOOKUP("CP",$R$63:$T$91,3,FALSE),0)+IF(AND($O45&lt;&gt;"",$O45&lt;&gt;"--",$O45&lt;&gt;"O3/CP",$O$14=C$18),IF(LEFT($O45,1)="P",VLOOKUP(CONCATENATE(LEFT($O45,2),"H"),$R$63:$T$91,3,FALSE),VLOOKUP($O45,$R$63:$T$91,3,FALSE)))+IF(AND($O45&lt;&gt;"",$O45&lt;&gt;"O3/CP",$O$15=C$18,MID($O45,4,1)="2",$O$15&lt;&gt;$O$14),VLOOKUP(CONCATENATE(LEFT($O45,2),"L"),$R$63:$T$91,3,FALSE),0)+IF(AND($O45="O3/CP",$O$14=C$18),VLOOKUP("O3",$R$63:$T$91,3,FALSE)+VLOOKUP("CP",$R$63:$T$91,3,FALSE),0)+IF(AND($P45&lt;&gt;"",$P45&lt;&gt;"--",$P45&lt;&gt;"O3/CP",$P$14=C$18),IF(LEFT($P45,1)="P",VLOOKUP(CONCATENATE(LEFT($P45,2),"H"),$R$63:$T$91,3,FALSE),VLOOKUP($P45,$R$63:$T$91,3,FALSE)))+IF(AND($P45&lt;&gt;"",$P45&lt;&gt;"O3/CP",$P$15=C$18,MID($P45,4,1)="2",$P$15&lt;&gt;$P$14),VLOOKUP(CONCATENATE(LEFT($P45,2),"L"),$R$63:$T$91,3,FALSE),0)+IF(AND($P45="O3/CP",$P$14=C$18),VLOOKUP("O3",$R$63:$T$91,3,FALSE)+VLOOKUP("CP",$R$63:$T$91,3,FALSE),0)+IF(AND($Q45&lt;&gt;"",$Q45&lt;&gt;"--",$Q45&lt;&gt;"O3/CP",$Q$14=C$18),IF(LEFT($Q45,1)="P",VLOOKUP(CONCATENATE(LEFT($Q45,2),"H"),$R$63:$T$91,3,FALSE),VLOOKUP($Q45,$R$63:$T$91,3,FALSE)))+IF(AND($Q45&lt;&gt;"",$Q45&lt;&gt;"O3/CP",$Q$15=C$18,MID($Q45,4,1)="2",$Q$15&lt;&gt;$Q$14),VLOOKUP(CONCATENATE(LEFT($Q45,2),"L"),$R$63:$T$91,3,FALSE),0)+IF(AND($Q45="O3/CP",$Q$14=C$18),VLOOKUP("O3",$R$63:$T$91,3,FALSE)+VLOOKUP("CP",$R$63:$T$91,3,FALSE),0)+IF(AND($R45&lt;&gt;"",$R45&lt;&gt;"--",$R45&lt;&gt;"O3/CP",$R$14=C$18),IF(LEFT($R45,1)="P",VLOOKUP(CONCATENATE(LEFT($R45,2),"H"),$R$63:$T$91,3,FALSE),VLOOKUP($R45,$R$63:$T$91,3,FALSE)))+IF(AND($R45&lt;&gt;"",$R45&lt;&gt;"O3/CP",$R$15=C$18,MID($R45,4,1)="2",$R$15&lt;&gt;$R$14),VLOOKUP(CONCATENATE(LEFT($R45,2),"L"),$R$63:$T$91,3,FALSE),0)+IF(AND($R45="O3/CP",$R$14=C$18),VLOOKUP("O3",$R$63:$T$91,3,FALSE)+VLOOKUP("CP",$R$63:$T$91,3,FALSE),0)+IF(AND($S45&lt;&gt;"",$S45&lt;&gt;"--",$S45&lt;&gt;"O3/CP",$S$14=C$18),IF(LEFT($S45,1)="P",VLOOKUP(CONCATENATE(LEFT($S45,2),"H"),$R$63:$T$91,3,FALSE),VLOOKUP($S45,$R$63:$T$91,3,FALSE)))+IF(AND($S45&lt;&gt;"",$S45&lt;&gt;"O3/CP",$S$15=C$18,MID($S45,4,1)="2",$S$15&lt;&gt;$S$14),VLOOKUP(CONCATENATE(LEFT($S45,2),"L"),$R$63:$T$91,3,FALSE),0)+IF(AND($S45="O3/CP",$S$14=C$18),VLOOKUP("O3",$R$63:$T$91,3,FALSE)+VLOOKUP("CP",$R$63:$T$91,3,FALSE),0)+IF(AND($T45&lt;&gt;"",$T45&lt;&gt;"--",$T45&lt;&gt;"O3/CP",$T$14=C$18),IF(LEFT($T45,1)="P",VLOOKUP(CONCATENATE(LEFT($T45,2),"H"),$R$63:$T$91,3,FALSE),VLOOKUP($T45,$R$63:$T$91,3,FALSE)))+IF(AND($T45&lt;&gt;"",$T45&lt;&gt;"O3/CP",$T$15=C$18,MID($T45,4,1)="2",$T$15&lt;&gt;$T$14),VLOOKUP(CONCATENATE(LEFT($T45,2),"L"),$R$63:$T$91,3,FALSE),0)+IF(AND($T45="O3/CP",$T$14=C$18),VLOOKUP("O3",$R$63:$T$91,3,FALSE)+VLOOKUP("CP",$R$63:$T$91,3,FALSE),0)+IF(AND($U45&lt;&gt;"",$U45&lt;&gt;"--",$U45&lt;&gt;"O3/CP",$U$14=C$18),IF(LEFT($U45,1)="P",VLOOKUP(CONCATENATE(LEFT($U45,2),"H"),$R$63:$T$91,3,FALSE),VLOOKUP($U45,$R$63:$T$91,3,FALSE)))+IF(AND($U45&lt;&gt;"",$U45&lt;&gt;"O3/CP",$U$15=C$18,MID($U45,4,1)="2",$U$15&lt;&gt;$U$14),VLOOKUP(CONCATENATE(LEFT($U45,2),"L"),$R$63:$T$91,3,FALSE),0)+IF(AND($U45="O3/CP",$T$14=C$18),VLOOKUP("O3",$R$63:$T$91,3,FALSE)+VLOOKUP("CP",$R$63:$T$91,3,FALSE),0)+IF(AND($V45&lt;&gt;"",$V45&lt;&gt;"--",$V45&lt;&gt;"O3/CP",$V$14=C$18),IF(LEFT($V45,1)="P",VLOOKUP(CONCATENATE(LEFT($V45,2),"H"),$R$63:$T$91,3,FALSE),VLOOKUP($V45,$R$63:$T$91,3,FALSE)))+IF(AND($V45&lt;&gt;"",$V45&lt;&gt;"O3/CP",$V$15=C$18,MID($V45,4,1)="2",$V$15&lt;&gt;$V$14),VLOOKUP(CONCATENATE(LEFT($V45,2),"L"),$R$63:$T$91,3,FALSE),0)+IF(AND($V45="O3/CP",$V$14=C$18),VLOOKUP("O3",$R$63:$T$91,3,FALSE)+VLOOKUP("CP",$R$63:$T$91,3,FALSE),0)+IF(AND($W45&lt;&gt;"",$W45&lt;&gt;"--",$W45&lt;&gt;"O3/CP",$W$14=C$18),IF(LEFT($W45,1)="P",VLOOKUP(CONCATENATE(LEFT($W45,2),"H"),$R$63:$T$91,3,FALSE),VLOOKUP($W45,$R$63:$T$91,3,FALSE)))+IF(AND($W45&lt;&gt;"",$W45&lt;&gt;"O3/CP",$W$15=C$18,MID($W45,4,1)="2",$W$15&lt;&gt;$W$14),VLOOKUP(CONCATENATE(LEFT($W45,2),"L"),$R$63:$T$91,3,FALSE),0)+IF(AND($W45="O3/CP",$W$14=C$18),VLOOKUP("O3",$R$63:$T$91,3,FALSE)+VLOOKUP("CP",$R$63:$T$91,3,FALSE),0)+IF(AND($X45&lt;&gt;"",$X45&lt;&gt;"--",$X45&lt;&gt;"O3/CP",$X$14=C$18),IF(LEFT($X45,1)="P",VLOOKUP(CONCATENATE(LEFT($X45,2),"H"),$R$63:$T$91,3,FALSE),VLOOKUP($X45,$R$63:$T$91,3,FALSE)))+IF(AND($X45&lt;&gt;"",$X45&lt;&gt;"O3/CP",$X$15=C$18,MID($X45,4,1)="2",$X$15&lt;&gt;$X$14),VLOOKUP(CONCATENATE(LEFT($X45,2),"L"),$R$63:$T$91,3,FALSE),0)+IF(AND($X45="O3/CP",$X$14=C$18),VLOOKUP("O3",$R$63:$T$91,3,FALSE)+VLOOKUP("CP",$R$63:$T$91,3,FALSE),0)+IF(AND($Y45&lt;&gt;"",$Y45&lt;&gt;"--",$Y45&lt;&gt;"O3/CP",$Y$14=C$18),IF(LEFT($Y45,1)="P",VLOOKUP(CONCATENATE(LEFT($Y45,2),"H"),$R$63:$T$91,3,FALSE),VLOOKUP($Y45,$R$63:$T$91,3,FALSE)))+IF(AND($Y45&lt;&gt;"",$Y45&lt;&gt;"O3/CP",$Y$15=C$18,MID($Y45,4,1)="2",$Y$15&lt;&gt;$Y$14),VLOOKUP(CONCATENATE(LEFT($Y45,2),"L"),$R$63:$T$91,3,FALSE),0)+IF(AND($Y45="O3/CP",$Y$14=C$18),VLOOKUP("O3",$R$63:$T$91,3,FALSE)+VLOOKUP("CP",$R$63:$T$91,3,FALSE),0)+IF(AND($K$6="CE",'[3]Supply Attribution'!$G$20=C$18),LEFT($S$90,2),0)+IF(AND($X$86&lt;&gt;"Not Set",$X$87=C$18),$X$86,0)</f>
        <v>0</v>
      </c>
      <c r="D45" s="271">
        <f>IF(AND($K45&lt;&gt;"",$K45&lt;&gt;"--",$K45&lt;&gt;"O3/CP",$K$14=D$18),IF(LEFT($K45,1)="P",VLOOKUP(CONCATENATE(LEFT($K45,2),"H"),$R$63:$T$91,3,FALSE),VLOOKUP($K45,$R$63:$T$91,3,FALSE)))+IF(AND($K45&lt;&gt;"",$K45&lt;&gt;"O3/CP",$K$15=D$18,MID($K45,4,1)="2",$K$15&lt;&gt;$K$14),VLOOKUP(CONCATENATE(LEFT($K45,2),"L"),$R$63:$T$91,3,FALSE),0)+IF(AND($K45="O3/CP",$K$14=D$18),VLOOKUP("O3",$R$63:$T$91,3,FALSE)+VLOOKUP("CP",$R$63:$T$91,3,FALSE),0)+IF(AND($L45&lt;&gt;"",$L45&lt;&gt;"--",$L45&lt;&gt;"O3/CP",$L$14=D$18),IF(LEFT($L45,1)="P",VLOOKUP(CONCATENATE(LEFT($L45,2),"H"),$R$63:$T$91,3,FALSE),VLOOKUP($L45,$R$63:$T$91,3,FALSE)))+IF(AND($L45&lt;&gt;"",$L45&lt;&gt;"O3/CP",$L$15=D$18,MID($L45,4,1)="2",$L$15&lt;&gt;$L$14),VLOOKUP(CONCATENATE(LEFT($L45,2),"L"),$R$63:$T$91,3,FALSE),0)+IF(AND($L45="O3/CP",$L$14=D$18),VLOOKUP("O3",$R$63:$T$91,3,FALSE)+VLOOKUP("CP",$R$63:$T$91,3,FALSE),0)+IF(AND($M45&lt;&gt;"",$M45&lt;&gt;"--",$M45&lt;&gt;"O3/CP",$M$14=D$18),IF(LEFT($M45,1)="P",VLOOKUP(CONCATENATE(LEFT($M45,2),"H"),$R$63:$T$91,3,FALSE),VLOOKUP($M45,$R$63:$T$91,3,FALSE)))+IF(AND($M45&lt;&gt;"",$M45&lt;&gt;"O3/CP",$M$15=D$18,MID($M45,4,1)="2",$M$15&lt;&gt;$M$14),VLOOKUP(CONCATENATE(LEFT($M45,2),"L"),$R$63:$T$91,3,FALSE),0)+IF(AND($M45="O3/CP",$M$14=D$18),VLOOKUP("O3",$R$63:$T$91,3,FALSE)+VLOOKUP("CP",$R$63:$T$91,3,FALSE),0)+IF(AND($N45&lt;&gt;"",$N45&lt;&gt;"--",$N45&lt;&gt;"O3/CP",$N$14=D$18),IF(LEFT($N45,1)="P",VLOOKUP(CONCATENATE(LEFT($N45,2),"H"),$R$63:$T$91,3,FALSE),VLOOKUP($N45,$R$63:$T$91,3,FALSE)))+IF(AND($N45&lt;&gt;"",$N45&lt;&gt;"O3/CP",$N$15=D$18,MID($N45,4,1)="2",$N$15&lt;&gt;$N$14),VLOOKUP(CONCATENATE(LEFT($N45,2),"L"),$R$63:$T$91,3,FALSE),0)+IF(AND($N45="O3/CP",$N$14=D$18),VLOOKUP("O3",$R$63:$T$91,3,FALSE)+VLOOKUP("CP",$R$63:$T$91,3,FALSE),0)+IF(AND($O45&lt;&gt;"",$O45&lt;&gt;"--",$O45&lt;&gt;"O3/CP",$O$14=D$18),IF(LEFT($O45,1)="P",VLOOKUP(CONCATENATE(LEFT($O45,2),"H"),$R$63:$T$91,3,FALSE),VLOOKUP($O45,$R$63:$T$91,3,FALSE)))+IF(AND($O45&lt;&gt;"",$O45&lt;&gt;"O3/CP",$O$15=D$18,MID($O45,4,1)="2",$O$15&lt;&gt;$O$14),VLOOKUP(CONCATENATE(LEFT($O45,2),"L"),$R$63:$T$91,3,FALSE),0)+IF(AND($O45="O3/CP",$O$14=D$18),VLOOKUP("O3",$R$63:$T$91,3,FALSE)+VLOOKUP("CP",$R$63:$T$91,3,FALSE),0)+IF(AND($P45&lt;&gt;"",$P45&lt;&gt;"--",$P45&lt;&gt;"O3/CP",$P$14=D$18),IF(LEFT($P45,1)="P",VLOOKUP(CONCATENATE(LEFT($P45,2),"H"),$R$63:$T$91,3,FALSE),VLOOKUP($P45,$R$63:$T$91,3,FALSE)))+IF(AND($P45&lt;&gt;"",$P45&lt;&gt;"O3/CP",$P$15=D$18,MID($P45,4,1)="2",$P$15&lt;&gt;$P$14),VLOOKUP(CONCATENATE(LEFT($P45,2),"L"),$R$63:$T$91,3,FALSE),0)+IF(AND($P45="O3/CP",$P$14=D$18),VLOOKUP("O3",$R$63:$T$91,3,FALSE)+VLOOKUP("CP",$R$63:$T$91,3,FALSE),0)+IF(AND($Q45&lt;&gt;"",$Q45&lt;&gt;"--",$Q45&lt;&gt;"O3/CP",$Q$14=D$18),IF(LEFT($Q45,1)="P",VLOOKUP(CONCATENATE(LEFT($Q45,2),"H"),$R$63:$T$91,3,FALSE),VLOOKUP($Q45,$R$63:$T$91,3,FALSE)))+IF(AND($Q45&lt;&gt;"",$Q45&lt;&gt;"O3/CP",$Q$15=D$18,MID($Q45,4,1)="2",$Q$15&lt;&gt;$Q$14),VLOOKUP(CONCATENATE(LEFT($Q45,2),"L"),$R$63:$T$91,3,FALSE),0)+IF(AND($Q45="O3/CP",$Q$14=D$18),VLOOKUP("O3",$R$63:$T$91,3,FALSE)+VLOOKUP("CP",$R$63:$T$91,3,FALSE),0)+IF(AND($R45&lt;&gt;"",$R45&lt;&gt;"--",$R45&lt;&gt;"O3/CP",$R$14=D$18),IF(LEFT($R45,1)="P",VLOOKUP(CONCATENATE(LEFT($R45,2),"H"),$R$63:$T$91,3,FALSE),VLOOKUP($R45,$R$63:$T$91,3,FALSE)))+IF(AND($R45&lt;&gt;"",$R45&lt;&gt;"O3/CP",$R$15=D$18,MID($R45,4,1)="2",$R$15&lt;&gt;$R$14),VLOOKUP(CONCATENATE(LEFT($R45,2),"L"),$R$63:$T$91,3,FALSE),0)+IF(AND($R45="O3/CP",$R$14=D$18),VLOOKUP("O3",$R$63:$T$91,3,FALSE)+VLOOKUP("CP",$R$63:$T$91,3,FALSE),0)+IF(AND($S45&lt;&gt;"",$S45&lt;&gt;"--",$S45&lt;&gt;"O3/CP",$S$14=D$18),IF(LEFT($S45,1)="P",VLOOKUP(CONCATENATE(LEFT($S45,2),"H"),$R$63:$T$91,3,FALSE),VLOOKUP($S45,$R$63:$T$91,3,FALSE)))+IF(AND($S45&lt;&gt;"",$S45&lt;&gt;"O3/CP",$S$15=D$18,MID($S45,4,1)="2",$S$15&lt;&gt;$S$14),VLOOKUP(CONCATENATE(LEFT($S45,2),"L"),$R$63:$T$91,3,FALSE),0)+IF(AND($S45="O3/CP",$S$14=D$18),VLOOKUP("O3",$R$63:$T$91,3,FALSE)+VLOOKUP("CP",$R$63:$T$91,3,FALSE),0)+IF(AND($T45&lt;&gt;"",$T45&lt;&gt;"--",$T45&lt;&gt;"O3/CP",$T$14=D$18),IF(LEFT($T45,1)="P",VLOOKUP(CONCATENATE(LEFT($T45,2),"H"),$R$63:$T$91,3,FALSE),VLOOKUP($T45,$R$63:$T$91,3,FALSE)))+IF(AND($T45&lt;&gt;"",$T45&lt;&gt;"O3/CP",$T$15=D$18,MID($T45,4,1)="2",$T$15&lt;&gt;$T$14),VLOOKUP(CONCATENATE(LEFT($T45,2),"L"),$R$63:$T$91,3,FALSE),0)+IF(AND($T45="O3/CP",$T$14=D$18),VLOOKUP("O3",$R$63:$T$91,3,FALSE)+VLOOKUP("CP",$R$63:$T$91,3,FALSE),0)+IF(AND($U45&lt;&gt;"",$U45&lt;&gt;"--",$U45&lt;&gt;"O3/CP",$U$14=D$18),IF(LEFT($U45,1)="P",VLOOKUP(CONCATENATE(LEFT($U45,2),"H"),$R$63:$T$91,3,FALSE),VLOOKUP($U45,$R$63:$T$91,3,FALSE)))+IF(AND($U45&lt;&gt;"",$U45&lt;&gt;"O3/CP",$U$15=D$18,MID($U45,4,1)="2",$U$15&lt;&gt;$U$14),VLOOKUP(CONCATENATE(LEFT($U45,2),"L"),$R$63:$T$91,3,FALSE),0)+IF(AND($U45="O3/CP",$T$14=D$18),VLOOKUP("O3",$R$63:$T$91,3,FALSE)+VLOOKUP("CP",$R$63:$T$91,3,FALSE),0)+IF(AND($V45&lt;&gt;"",$V45&lt;&gt;"--",$V45&lt;&gt;"O3/CP",$V$14=D$18),IF(LEFT($V45,1)="P",VLOOKUP(CONCATENATE(LEFT($V45,2),"H"),$R$63:$T$91,3,FALSE),VLOOKUP($V45,$R$63:$T$91,3,FALSE)))+IF(AND($V45&lt;&gt;"",$V45&lt;&gt;"O3/CP",$V$15=D$18,MID($V45,4,1)="2",$V$15&lt;&gt;$V$14),VLOOKUP(CONCATENATE(LEFT($V45,2),"L"),$R$63:$T$91,3,FALSE),0)+IF(AND($V45="O3/CP",$V$14=D$18),VLOOKUP("O3",$R$63:$T$91,3,FALSE)+VLOOKUP("CP",$R$63:$T$91,3,FALSE),0)+IF(AND($W45&lt;&gt;"",$W45&lt;&gt;"--",$W45&lt;&gt;"O3/CP",$W$14=D$18),IF(LEFT($W45,1)="P",VLOOKUP(CONCATENATE(LEFT($W45,2),"H"),$R$63:$T$91,3,FALSE),VLOOKUP($W45,$R$63:$T$91,3,FALSE)))+IF(AND($W45&lt;&gt;"",$W45&lt;&gt;"O3/CP",$W$15=D$18,MID($W45,4,1)="2",$W$15&lt;&gt;$W$14),VLOOKUP(CONCATENATE(LEFT($W45,2),"L"),$R$63:$T$91,3,FALSE),0)+IF(AND($W45="O3/CP",$W$14=D$18),VLOOKUP("O3",$R$63:$T$91,3,FALSE)+VLOOKUP("CP",$R$63:$T$91,3,FALSE),0)+IF(AND($X45&lt;&gt;"",$X45&lt;&gt;"--",$X45&lt;&gt;"O3/CP",$X$14=D$18),IF(LEFT($X45,1)="P",VLOOKUP(CONCATENATE(LEFT($X45,2),"H"),$R$63:$T$91,3,FALSE),VLOOKUP($X45,$R$63:$T$91,3,FALSE)))+IF(AND($X45&lt;&gt;"",$X45&lt;&gt;"O3/CP",$X$15=D$18,MID($X45,4,1)="2",$X$15&lt;&gt;$X$14),VLOOKUP(CONCATENATE(LEFT($X45,2),"L"),$R$63:$T$91,3,FALSE),0)+IF(AND($X45="O3/CP",$X$14=D$18),VLOOKUP("O3",$R$63:$T$91,3,FALSE)+VLOOKUP("CP",$R$63:$T$91,3,FALSE),0)+IF(AND($Y45&lt;&gt;"",$Y45&lt;&gt;"--",$Y45&lt;&gt;"O3/CP",$Y$14=D$18),IF(LEFT($Y45,1)="P",VLOOKUP(CONCATENATE(LEFT($Y45,2),"H"),$R$63:$T$91,3,FALSE),VLOOKUP($Y45,$R$63:$T$91,3,FALSE)))+IF(AND($Y45&lt;&gt;"",$Y45&lt;&gt;"O3/CP",$Y$15=D$18,MID($Y45,4,1)="2",$Y$15&lt;&gt;$Y$14),VLOOKUP(CONCATENATE(LEFT($Y45,2),"L"),$R$63:$T$91,3,FALSE),0)+IF(AND($Y45="O3/CP",$Y$14=D$18),VLOOKUP("O3",$R$63:$T$91,3,FALSE)+VLOOKUP("CP",$R$63:$T$91,3,FALSE),0)+IF(AND($K$6="CE",'[3]Supply Attribution'!$G$20=D$18),LEFT($S$90,2),0)+IF(AND($X$86&lt;&gt;"Not Set",$X$87=D$18),$X$86,0)</f>
        <v>0</v>
      </c>
      <c r="E45" s="271">
        <f>IF(AND($K45&lt;&gt;"",$K45&lt;&gt;"--",$K45&lt;&gt;"O3/CP",$K$14=E$18),IF(LEFT($K45,1)="P",VLOOKUP(CONCATENATE(LEFT($K45,2),"H"),$R$63:$T$91,3,FALSE),VLOOKUP($K45,$R$63:$T$91,3,FALSE)))+IF(AND($K45&lt;&gt;"",$K45&lt;&gt;"O3/CP",$K$15=E$18,MID($K45,4,1)="2",$K$15&lt;&gt;$K$14),VLOOKUP(CONCATENATE(LEFT($K45,2),"L"),$R$63:$T$91,3,FALSE),0)+IF(AND($K45="O3/CP",$K$14=E$18),VLOOKUP("O3",$R$63:$T$91,3,FALSE)+VLOOKUP("CP",$R$63:$T$91,3,FALSE),0)+IF(AND($L45&lt;&gt;"",$L45&lt;&gt;"--",$L45&lt;&gt;"O3/CP",$L$14=E$18),IF(LEFT($L45,1)="P",VLOOKUP(CONCATENATE(LEFT($L45,2),"H"),$R$63:$T$91,3,FALSE),VLOOKUP($L45,$R$63:$T$91,3,FALSE)))+IF(AND($L45&lt;&gt;"",$L45&lt;&gt;"O3/CP",$L$15=E$18,MID($L45,4,1)="2",$L$15&lt;&gt;$L$14),VLOOKUP(CONCATENATE(LEFT($L45,2),"L"),$R$63:$T$91,3,FALSE),0)+IF(AND($L45="O3/CP",$L$14=E$18),VLOOKUP("O3",$R$63:$T$91,3,FALSE)+VLOOKUP("CP",$R$63:$T$91,3,FALSE),0)+IF(AND($M45&lt;&gt;"",$M45&lt;&gt;"--",$M45&lt;&gt;"O3/CP",$M$14=E$18),IF(LEFT($M45,1)="P",VLOOKUP(CONCATENATE(LEFT($M45,2),"H"),$R$63:$T$91,3,FALSE),VLOOKUP($M45,$R$63:$T$91,3,FALSE)))+IF(AND($M45&lt;&gt;"",$M45&lt;&gt;"O3/CP",$M$15=E$18,MID($M45,4,1)="2",$M$15&lt;&gt;$M$14),VLOOKUP(CONCATENATE(LEFT($M45,2),"L"),$R$63:$T$91,3,FALSE),0)+IF(AND($M45="O3/CP",$M$14=E$18),VLOOKUP("O3",$R$63:$T$91,3,FALSE)+VLOOKUP("CP",$R$63:$T$91,3,FALSE),0)+IF(AND($N45&lt;&gt;"",$N45&lt;&gt;"--",$N45&lt;&gt;"O3/CP",$N$14=E$18),IF(LEFT($N45,1)="P",VLOOKUP(CONCATENATE(LEFT($N45,2),"H"),$R$63:$T$91,3,FALSE),VLOOKUP($N45,$R$63:$T$91,3,FALSE)))+IF(AND($N45&lt;&gt;"",$N45&lt;&gt;"O3/CP",$N$15=E$18,MID($N45,4,1)="2",$N$15&lt;&gt;$N$14),VLOOKUP(CONCATENATE(LEFT($N45,2),"L"),$R$63:$T$91,3,FALSE),0)+IF(AND($N45="O3/CP",$N$14=E$18),VLOOKUP("O3",$R$63:$T$91,3,FALSE)+VLOOKUP("CP",$R$63:$T$91,3,FALSE),0)+IF(AND($O45&lt;&gt;"",$O45&lt;&gt;"--",$O45&lt;&gt;"O3/CP",$O$14=E$18),IF(LEFT($O45,1)="P",VLOOKUP(CONCATENATE(LEFT($O45,2),"H"),$R$63:$T$91,3,FALSE),VLOOKUP($O45,$R$63:$T$91,3,FALSE)))+IF(AND($O45&lt;&gt;"",$O45&lt;&gt;"O3/CP",$O$15=E$18,MID($O45,4,1)="2",$O$15&lt;&gt;$O$14),VLOOKUP(CONCATENATE(LEFT($O45,2),"L"),$R$63:$T$91,3,FALSE),0)+IF(AND($O45="O3/CP",$O$14=E$18),VLOOKUP("O3",$R$63:$T$91,3,FALSE)+VLOOKUP("CP",$R$63:$T$91,3,FALSE),0)+IF(AND($P45&lt;&gt;"",$P45&lt;&gt;"--",$P45&lt;&gt;"O3/CP",$P$14=E$18),IF(LEFT($P45,1)="P",VLOOKUP(CONCATENATE(LEFT($P45,2),"H"),$R$63:$T$91,3,FALSE),VLOOKUP($P45,$R$63:$T$91,3,FALSE)))+IF(AND($P45&lt;&gt;"",$P45&lt;&gt;"O3/CP",$P$15=E$18,MID($P45,4,1)="2",$P$15&lt;&gt;$P$14),VLOOKUP(CONCATENATE(LEFT($P45,2),"L"),$R$63:$T$91,3,FALSE),0)+IF(AND($P45="O3/CP",$P$14=E$18),VLOOKUP("O3",$R$63:$T$91,3,FALSE)+VLOOKUP("CP",$R$63:$T$91,3,FALSE),0)+IF(AND($Q45&lt;&gt;"",$Q45&lt;&gt;"--",$Q45&lt;&gt;"O3/CP",$Q$14=E$18),IF(LEFT($Q45,1)="P",VLOOKUP(CONCATENATE(LEFT($Q45,2),"H"),$R$63:$T$91,3,FALSE),VLOOKUP($Q45,$R$63:$T$91,3,FALSE)))+IF(AND($Q45&lt;&gt;"",$Q45&lt;&gt;"O3/CP",$Q$15=E$18,MID($Q45,4,1)="2",$Q$15&lt;&gt;$Q$14),VLOOKUP(CONCATENATE(LEFT($Q45,2),"L"),$R$63:$T$91,3,FALSE),0)+IF(AND($Q45="O3/CP",$Q$14=E$18),VLOOKUP("O3",$R$63:$T$91,3,FALSE)+VLOOKUP("CP",$R$63:$T$91,3,FALSE),0)+IF(AND($R45&lt;&gt;"",$R45&lt;&gt;"--",$R45&lt;&gt;"O3/CP",$R$14=E$18),IF(LEFT($R45,1)="P",VLOOKUP(CONCATENATE(LEFT($R45,2),"H"),$R$63:$T$91,3,FALSE),VLOOKUP($R45,$R$63:$T$91,3,FALSE)))+IF(AND($R45&lt;&gt;"",$R45&lt;&gt;"O3/CP",$R$15=E$18,MID($R45,4,1)="2",$R$15&lt;&gt;$R$14),VLOOKUP(CONCATENATE(LEFT($R45,2),"L"),$R$63:$T$91,3,FALSE),0)+IF(AND($R45="O3/CP",$R$14=E$18),VLOOKUP("O3",$R$63:$T$91,3,FALSE)+VLOOKUP("CP",$R$63:$T$91,3,FALSE),0)+IF(AND($S45&lt;&gt;"",$S45&lt;&gt;"--",$S45&lt;&gt;"O3/CP",$S$14=E$18),IF(LEFT($S45,1)="P",VLOOKUP(CONCATENATE(LEFT($S45,2),"H"),$R$63:$T$91,3,FALSE),VLOOKUP($S45,$R$63:$T$91,3,FALSE)))+IF(AND($S45&lt;&gt;"",$S45&lt;&gt;"O3/CP",$S$15=E$18,MID($S45,4,1)="2",$S$15&lt;&gt;$S$14),VLOOKUP(CONCATENATE(LEFT($S45,2),"L"),$R$63:$T$91,3,FALSE),0)+IF(AND($S45="O3/CP",$S$14=E$18),VLOOKUP("O3",$R$63:$T$91,3,FALSE)+VLOOKUP("CP",$R$63:$T$91,3,FALSE),0)+IF(AND($T45&lt;&gt;"",$T45&lt;&gt;"--",$T45&lt;&gt;"O3/CP",$T$14=E$18),IF(LEFT($T45,1)="P",VLOOKUP(CONCATENATE(LEFT($T45,2),"H"),$R$63:$T$91,3,FALSE),VLOOKUP($T45,$R$63:$T$91,3,FALSE)))+IF(AND($T45&lt;&gt;"",$T45&lt;&gt;"O3/CP",$T$15=E$18,MID($T45,4,1)="2",$T$15&lt;&gt;$T$14),VLOOKUP(CONCATENATE(LEFT($T45,2),"L"),$R$63:$T$91,3,FALSE),0)+IF(AND($T45="O3/CP",$T$14=E$18),VLOOKUP("O3",$R$63:$T$91,3,FALSE)+VLOOKUP("CP",$R$63:$T$91,3,FALSE),0)+IF(AND($U45&lt;&gt;"",$U45&lt;&gt;"--",$U45&lt;&gt;"O3/CP",$U$14=E$18),IF(LEFT($U45,1)="P",VLOOKUP(CONCATENATE(LEFT($U45,2),"H"),$R$63:$T$91,3,FALSE),VLOOKUP($U45,$R$63:$T$91,3,FALSE)))+IF(AND($U45&lt;&gt;"",$U45&lt;&gt;"O3/CP",$U$15=E$18,MID($U45,4,1)="2",$U$15&lt;&gt;$U$14),VLOOKUP(CONCATENATE(LEFT($U45,2),"L"),$R$63:$T$91,3,FALSE),0)+IF(AND($U45="O3/CP",$T$14=E$18),VLOOKUP("O3",$R$63:$T$91,3,FALSE)+VLOOKUP("CP",$R$63:$T$91,3,FALSE),0)+IF(AND($V45&lt;&gt;"",$V45&lt;&gt;"--",$V45&lt;&gt;"O3/CP",$V$14=E$18),IF(LEFT($V45,1)="P",VLOOKUP(CONCATENATE(LEFT($V45,2),"H"),$R$63:$T$91,3,FALSE),VLOOKUP($V45,$R$63:$T$91,3,FALSE)))+IF(AND($V45&lt;&gt;"",$V45&lt;&gt;"O3/CP",$V$15=E$18,MID($V45,4,1)="2",$V$15&lt;&gt;$V$14),VLOOKUP(CONCATENATE(LEFT($V45,2),"L"),$R$63:$T$91,3,FALSE),0)+IF(AND($V45="O3/CP",$V$14=E$18),VLOOKUP("O3",$R$63:$T$91,3,FALSE)+VLOOKUP("CP",$R$63:$T$91,3,FALSE),0)+IF(AND($W45&lt;&gt;"",$W45&lt;&gt;"--",$W45&lt;&gt;"O3/CP",$W$14=E$18),IF(LEFT($W45,1)="P",VLOOKUP(CONCATENATE(LEFT($W45,2),"H"),$R$63:$T$91,3,FALSE),VLOOKUP($W45,$R$63:$T$91,3,FALSE)))+IF(AND($W45&lt;&gt;"",$W45&lt;&gt;"O3/CP",$W$15=E$18,MID($W45,4,1)="2",$W$15&lt;&gt;$W$14),VLOOKUP(CONCATENATE(LEFT($W45,2),"L"),$R$63:$T$91,3,FALSE),0)+IF(AND($W45="O3/CP",$W$14=E$18),VLOOKUP("O3",$R$63:$T$91,3,FALSE)+VLOOKUP("CP",$R$63:$T$91,3,FALSE),0)+IF(AND($X45&lt;&gt;"",$X45&lt;&gt;"--",$X45&lt;&gt;"O3/CP",$X$14=E$18),IF(LEFT($X45,1)="P",VLOOKUP(CONCATENATE(LEFT($X45,2),"H"),$R$63:$T$91,3,FALSE),VLOOKUP($X45,$R$63:$T$91,3,FALSE)))+IF(AND($X45&lt;&gt;"",$X45&lt;&gt;"O3/CP",$X$15=E$18,MID($X45,4,1)="2",$X$15&lt;&gt;$X$14),VLOOKUP(CONCATENATE(LEFT($X45,2),"L"),$R$63:$T$91,3,FALSE),0)+IF(AND($X45="O3/CP",$X$14=E$18),VLOOKUP("O3",$R$63:$T$91,3,FALSE)+VLOOKUP("CP",$R$63:$T$91,3,FALSE),0)+IF(AND($Y45&lt;&gt;"",$Y45&lt;&gt;"--",$Y45&lt;&gt;"O3/CP",$Y$14=E$18),IF(LEFT($Y45,1)="P",VLOOKUP(CONCATENATE(LEFT($Y45,2),"H"),$R$63:$T$91,3,FALSE),VLOOKUP($Y45,$R$63:$T$91,3,FALSE)))+IF(AND($Y45&lt;&gt;"",$Y45&lt;&gt;"O3/CP",$Y$15=E$18,MID($Y45,4,1)="2",$Y$15&lt;&gt;$Y$14),VLOOKUP(CONCATENATE(LEFT($Y45,2),"L"),$R$63:$T$91,3,FALSE),0)+IF(AND($Y45="O3/CP",$Y$14=E$18),VLOOKUP("O3",$R$63:$T$91,3,FALSE)+VLOOKUP("CP",$R$63:$T$91,3,FALSE),0)+IF(AND($K$6="CE",'[3]Supply Attribution'!$G$20=E$18),LEFT($S$90,2),0)+IF(AND($X$86&lt;&gt;"Not Set",$X$87=E$18),$X$86,0)</f>
        <v>0</v>
      </c>
      <c r="F45" s="272">
        <f>IF(AND($K45&lt;&gt;"",$K45&lt;&gt;"--",$K45&lt;&gt;"O3/CP",$K$14=F$18),IF(LEFT($K45,1)="P",VLOOKUP(CONCATENATE(LEFT($K45,2),"H"),$R$63:$T$91,3,FALSE),VLOOKUP($K45,$R$63:$T$91,3,FALSE)))+IF(AND($K45&lt;&gt;"",$K45&lt;&gt;"O3/CP",$K$15=F$18,MID($K45,4,1)="2",$K$15&lt;&gt;$K$14),VLOOKUP(CONCATENATE(LEFT($K45,2),"L"),$R$63:$T$91,3,FALSE),0)+IF(AND($K45="O3/CP",$K$14=F$18),VLOOKUP("O3",$R$63:$T$91,3,FALSE)+VLOOKUP("CP",$R$63:$T$91,3,FALSE),0)+IF(AND($L45&lt;&gt;"",$L45&lt;&gt;"--",$L45&lt;&gt;"O3/CP",$L$14=F$18),IF(LEFT($L45,1)="P",VLOOKUP(CONCATENATE(LEFT($L45,2),"H"),$R$63:$T$91,3,FALSE),VLOOKUP($L45,$R$63:$T$91,3,FALSE)))+IF(AND($L45&lt;&gt;"",$L45&lt;&gt;"O3/CP",$L$15=F$18,MID($L45,4,1)="2",$L$15&lt;&gt;$L$14),VLOOKUP(CONCATENATE(LEFT($L45,2),"L"),$R$63:$T$91,3,FALSE),0)+IF(AND($L45="O3/CP",$L$14=F$18),VLOOKUP("O3",$R$63:$T$91,3,FALSE)+VLOOKUP("CP",$R$63:$T$91,3,FALSE),0)+IF(AND($M45&lt;&gt;"",$M45&lt;&gt;"--",$M45&lt;&gt;"O3/CP",$M$14=F$18),IF(LEFT($M45,1)="P",VLOOKUP(CONCATENATE(LEFT($M45,2),"H"),$R$63:$T$91,3,FALSE),VLOOKUP($M45,$R$63:$T$91,3,FALSE)))+IF(AND($M45&lt;&gt;"",$M45&lt;&gt;"O3/CP",$M$15=F$18,MID($M45,4,1)="2",$M$15&lt;&gt;$M$14),VLOOKUP(CONCATENATE(LEFT($M45,2),"L"),$R$63:$T$91,3,FALSE),0)+IF(AND($M45="O3/CP",$M$14=F$18),VLOOKUP("O3",$R$63:$T$91,3,FALSE)+VLOOKUP("CP",$R$63:$T$91,3,FALSE),0)+IF(AND($N45&lt;&gt;"",$N45&lt;&gt;"--",$N45&lt;&gt;"O3/CP",$N$14=F$18),IF(LEFT($N45,1)="P",VLOOKUP(CONCATENATE(LEFT($N45,2),"H"),$R$63:$T$91,3,FALSE),VLOOKUP($N45,$R$63:$T$91,3,FALSE)))+IF(AND($N45&lt;&gt;"",$N45&lt;&gt;"O3/CP",$N$15=F$18,MID($N45,4,1)="2",$N$15&lt;&gt;$N$14),VLOOKUP(CONCATENATE(LEFT($N45,2),"L"),$R$63:$T$91,3,FALSE),0)+IF(AND($N45="O3/CP",$N$14=F$18),VLOOKUP("O3",$R$63:$T$91,3,FALSE)+VLOOKUP("CP",$R$63:$T$91,3,FALSE),0)+IF(AND($O45&lt;&gt;"",$O45&lt;&gt;"--",$O45&lt;&gt;"O3/CP",$O$14=F$18),IF(LEFT($O45,1)="P",VLOOKUP(CONCATENATE(LEFT($O45,2),"H"),$R$63:$T$91,3,FALSE),VLOOKUP($O45,$R$63:$T$91,3,FALSE)))+IF(AND($O45&lt;&gt;"",$O45&lt;&gt;"O3/CP",$O$15=F$18,MID($O45,4,1)="2",$O$15&lt;&gt;$O$14),VLOOKUP(CONCATENATE(LEFT($O45,2),"L"),$R$63:$T$91,3,FALSE),0)+IF(AND($O45="O3/CP",$O$14=F$18),VLOOKUP("O3",$R$63:$T$91,3,FALSE)+VLOOKUP("CP",$R$63:$T$91,3,FALSE),0)+IF(AND($P45&lt;&gt;"",$P45&lt;&gt;"--",$P45&lt;&gt;"O3/CP",$P$14=F$18),IF(LEFT($P45,1)="P",VLOOKUP(CONCATENATE(LEFT($P45,2),"H"),$R$63:$T$91,3,FALSE),VLOOKUP($P45,$R$63:$T$91,3,FALSE)))+IF(AND($P45&lt;&gt;"",$P45&lt;&gt;"O3/CP",$P$15=F$18,MID($P45,4,1)="2",$P$15&lt;&gt;$P$14),VLOOKUP(CONCATENATE(LEFT($P45,2),"L"),$R$63:$T$91,3,FALSE),0)+IF(AND($P45="O3/CP",$P$14=F$18),VLOOKUP("O3",$R$63:$T$91,3,FALSE)+VLOOKUP("CP",$R$63:$T$91,3,FALSE),0)+IF(AND($Q45&lt;&gt;"",$Q45&lt;&gt;"--",$Q45&lt;&gt;"O3/CP",$Q$14=F$18),IF(LEFT($Q45,1)="P",VLOOKUP(CONCATENATE(LEFT($Q45,2),"H"),$R$63:$T$91,3,FALSE),VLOOKUP($Q45,$R$63:$T$91,3,FALSE)))+IF(AND($Q45&lt;&gt;"",$Q45&lt;&gt;"O3/CP",$Q$15=F$18,MID($Q45,4,1)="2",$Q$15&lt;&gt;$Q$14),VLOOKUP(CONCATENATE(LEFT($Q45,2),"L"),$R$63:$T$91,3,FALSE),0)+IF(AND($Q45="O3/CP",$Q$14=F$18),VLOOKUP("O3",$R$63:$T$91,3,FALSE)+VLOOKUP("CP",$R$63:$T$91,3,FALSE),0)+IF(AND($R45&lt;&gt;"",$R45&lt;&gt;"--",$R45&lt;&gt;"O3/CP",$R$14=F$18),IF(LEFT($R45,1)="P",VLOOKUP(CONCATENATE(LEFT($R45,2),"H"),$R$63:$T$91,3,FALSE),VLOOKUP($R45,$R$63:$T$91,3,FALSE)))+IF(AND($R45&lt;&gt;"",$R45&lt;&gt;"O3/CP",$R$15=F$18,MID($R45,4,1)="2",$R$15&lt;&gt;$R$14),VLOOKUP(CONCATENATE(LEFT($R45,2),"L"),$R$63:$T$91,3,FALSE),0)+IF(AND($R45="O3/CP",$R$14=F$18),VLOOKUP("O3",$R$63:$T$91,3,FALSE)+VLOOKUP("CP",$R$63:$T$91,3,FALSE),0)+IF(AND($S45&lt;&gt;"",$S45&lt;&gt;"--",$S45&lt;&gt;"O3/CP",$S$14=F$18),IF(LEFT($S45,1)="P",VLOOKUP(CONCATENATE(LEFT($S45,2),"H"),$R$63:$T$91,3,FALSE),VLOOKUP($S45,$R$63:$T$91,3,FALSE)))+IF(AND($S45&lt;&gt;"",$S45&lt;&gt;"O3/CP",$S$15=F$18,MID($S45,4,1)="2",$S$15&lt;&gt;$S$14),VLOOKUP(CONCATENATE(LEFT($S45,2),"L"),$R$63:$T$91,3,FALSE),0)+IF(AND($S45="O3/CP",$S$14=F$18),VLOOKUP("O3",$R$63:$T$91,3,FALSE)+VLOOKUP("CP",$R$63:$T$91,3,FALSE),0)+IF(AND($T45&lt;&gt;"",$T45&lt;&gt;"--",$T45&lt;&gt;"O3/CP",$T$14=F$18),IF(LEFT($T45,1)="P",VLOOKUP(CONCATENATE(LEFT($T45,2),"H"),$R$63:$T$91,3,FALSE),VLOOKUP($T45,$R$63:$T$91,3,FALSE)))+IF(AND($T45&lt;&gt;"",$T45&lt;&gt;"O3/CP",$T$15=F$18,MID($T45,4,1)="2",$T$15&lt;&gt;$T$14),VLOOKUP(CONCATENATE(LEFT($T45,2),"L"),$R$63:$T$91,3,FALSE),0)+IF(AND($T45="O3/CP",$T$14=F$18),VLOOKUP("O3",$R$63:$T$91,3,FALSE)+VLOOKUP("CP",$R$63:$T$91,3,FALSE),0)+IF(AND($U45&lt;&gt;"",$U45&lt;&gt;"--",$U45&lt;&gt;"O3/CP",$U$14=F$18),IF(LEFT($U45,1)="P",VLOOKUP(CONCATENATE(LEFT($U45,2),"H"),$R$63:$T$91,3,FALSE),VLOOKUP($U45,$R$63:$T$91,3,FALSE)))+IF(AND($U45&lt;&gt;"",$U45&lt;&gt;"O3/CP",$U$15=F$18,MID($U45,4,1)="2",$U$15&lt;&gt;$U$14),VLOOKUP(CONCATENATE(LEFT($U45,2),"L"),$R$63:$T$91,3,FALSE),0)+IF(AND($U45="O3/CP",$T$14=F$18),VLOOKUP("O3",$R$63:$T$91,3,FALSE)+VLOOKUP("CP",$R$63:$T$91,3,FALSE),0)+IF(AND($V45&lt;&gt;"",$V45&lt;&gt;"--",$V45&lt;&gt;"O3/CP",$V$14=F$18),IF(LEFT($V45,1)="P",VLOOKUP(CONCATENATE(LEFT($V45,2),"H"),$R$63:$T$91,3,FALSE),VLOOKUP($V45,$R$63:$T$91,3,FALSE)))+IF(AND($V45&lt;&gt;"",$V45&lt;&gt;"O3/CP",$V$15=F$18,MID($V45,4,1)="2",$V$15&lt;&gt;$V$14),VLOOKUP(CONCATENATE(LEFT($V45,2),"L"),$R$63:$T$91,3,FALSE),0)+IF(AND($V45="O3/CP",$V$14=F$18),VLOOKUP("O3",$R$63:$T$91,3,FALSE)+VLOOKUP("CP",$R$63:$T$91,3,FALSE),0)+IF(AND($W45&lt;&gt;"",$W45&lt;&gt;"--",$W45&lt;&gt;"O3/CP",$W$14=F$18),IF(LEFT($W45,1)="P",VLOOKUP(CONCATENATE(LEFT($W45,2),"H"),$R$63:$T$91,3,FALSE),VLOOKUP($W45,$R$63:$T$91,3,FALSE)))+IF(AND($W45&lt;&gt;"",$W45&lt;&gt;"O3/CP",$W$15=F$18,MID($W45,4,1)="2",$W$15&lt;&gt;$W$14),VLOOKUP(CONCATENATE(LEFT($W45,2),"L"),$R$63:$T$91,3,FALSE),0)+IF(AND($W45="O3/CP",$W$14=F$18),VLOOKUP("O3",$R$63:$T$91,3,FALSE)+VLOOKUP("CP",$R$63:$T$91,3,FALSE),0)+IF(AND($X45&lt;&gt;"",$X45&lt;&gt;"--",$X45&lt;&gt;"O3/CP",$X$14=F$18),IF(LEFT($X45,1)="P",VLOOKUP(CONCATENATE(LEFT($X45,2),"H"),$R$63:$T$91,3,FALSE),VLOOKUP($X45,$R$63:$T$91,3,FALSE)))+IF(AND($X45&lt;&gt;"",$X45&lt;&gt;"O3/CP",$X$15=F$18,MID($X45,4,1)="2",$X$15&lt;&gt;$X$14),VLOOKUP(CONCATENATE(LEFT($X45,2),"L"),$R$63:$T$91,3,FALSE),0)+IF(AND($X45="O3/CP",$X$14=F$18),VLOOKUP("O3",$R$63:$T$91,3,FALSE)+VLOOKUP("CP",$R$63:$T$91,3,FALSE),0)+IF(AND($Y45&lt;&gt;"",$Y45&lt;&gt;"--",$Y45&lt;&gt;"O3/CP",$Y$14=F$18),IF(LEFT($Y45,1)="P",VLOOKUP(CONCATENATE(LEFT($Y45,2),"H"),$R$63:$T$91,3,FALSE),VLOOKUP($Y45,$R$63:$T$91,3,FALSE)))+IF(AND($Y45&lt;&gt;"",$Y45&lt;&gt;"O3/CP",$Y$15=F$18,MID($Y45,4,1)="2",$Y$15&lt;&gt;$Y$14),VLOOKUP(CONCATENATE(LEFT($Y45,2),"L"),$R$63:$T$91,3,FALSE),0)+IF(AND($Y45="O3/CP",$Y$14=F$18),VLOOKUP("O3",$R$63:$T$91,3,FALSE)+VLOOKUP("CP",$R$63:$T$91,3,FALSE),0)+IF(AND($K$6="CE",'[3]Supply Attribution'!$G$20=F$18),LEFT($S$90,2),0)+IF(AND($X$86&lt;&gt;"Not Set",$X$87=F$18),$X$86,0)</f>
        <v>0</v>
      </c>
      <c r="G45" s="271">
        <f>IF(AND($K$6="CE",$T$59="1 Phase"),SUM(A45:F45)-IF(AND($K$14&lt;&gt;$K$15,RIGHT($K45,3)="2SP"),VLOOKUP(CONCATENATE(LEFT($K45,2),"L"),$R$63:$T$90,3,FALSE),0)-IF(AND($L$14&lt;&gt;$L$15,RIGHT($L45,3)="2SP"),VLOOKUP(CONCATENATE(LEFT($L45,2),"L"),$R$63:$T$90,3,FALSE),0)-IF(AND($M$14&lt;&gt;$M$15,RIGHT($M45,3)="2SP"),VLOOKUP(CONCATENATE(LEFT($M45,2),"L"),$R$63:$T$90,3,FALSE),0)-IF(AND($N$14&lt;&gt;$N$15,RIGHT($N45,3)="2SP"),VLOOKUP(CONCATENATE(LEFT($N45,2),"L"),$R$63:$T$90,3,FALSE),0)-IF(AND($O$14&lt;&gt;$O$15,RIGHT($O45,3)="2SP"),VLOOKUP(CONCATENATE(LEFT($O45,2),"L"),$R$63:$T$90,3,FALSE),0)-IF(AND($P$14&lt;&gt;$P$15,RIGHT($P45,3)="2SP"),VLOOKUP(CONCATENATE(LEFT($P45,2),"L"),$R$63:$T$90,3,FALSE),0)-IF(AND($Q$14&lt;&gt;$Q$15,RIGHT($Q45,3)="2SP"),VLOOKUP(CONCATENATE(LEFT($Q45,2),"L"),$R$63:$T$90,3,FALSE),0)-IF(AND($R$14&lt;&gt;$R$15,RIGHT($T45,3)="2SP"),VLOOKUP(CONCATENATE(LEFT($R45,2),"L"),$R$63:$T$90,3,FALSE),0)-IF(AND($S$14&lt;&gt;$S$15,RIGHT($T45,3)="2SP"),VLOOKUP(CONCATENATE(LEFT($S45,2),"L"),$R$63:$T$90,3,FALSE),0)-IF(AND($T$14&lt;&gt;$T$15,RIGHT($T45,3)="2SP"),VLOOKUP(CONCATENATE(LEFT($T45,2),"L"),$R$63:$T$90,3,FALSE),0)-IF(AND($U$14&lt;&gt;$U$15,RIGHT($U45,3)="2SP"),VLOOKUP(CONCATENATE(LEFT($U45,2),"L"),$R$63:$T$90,3,FALSE),0)-IF(AND($V$14&lt;&gt;$V$15,RIGHT($V45,3)="2SP"),VLOOKUP(CONCATENATE(LEFT($V45,2),"L"),$R$63:$T$90,3,FALSE),0)-IF(AND($W$14&lt;&gt;$W$15,RIGHT($W45,3)="2SP"),VLOOKUP(CONCATENATE(LEFT($W45,2),"L"),$R$63:$T$90,3,FALSE),0)-IF(AND($X$14&lt;&gt;$X$15,RIGHT($X45,3)="2SP"),VLOOKUP(CONCATENATE(LEFT($X45,2),"L"),$R$63:$T$90,3,FALSE),0)-IF(AND($Y$14&lt;&gt;$Y$15,RIGHT($Y45,3)="2SP"),VLOOKUP(CONCATENATE(LEFT($Y45,2),"L"),$R$63:$T$90,3,FALSE),0),IF(VLOOKUP(CONCATENATE($A$18,"Line"),'[3]Supply Attribution'!$F$31:$G$37,2,FALSE)=G$18,$A45,0)+IF(VLOOKUP(CONCATENATE($B$18,"Line"),'[3]Supply Attribution'!$F$31:$G$37,2,FALSE)=G$18,$B45,0)+IF(VLOOKUP(CONCATENATE($C$18,"Line"),'[3]Supply Attribution'!$F$31:$G$37,2,FALSE)=G$18,$C45,0)+IF(VLOOKUP(CONCATENATE($D$18,"Line"),'[3]Supply Attribution'!$F$31:$G$37,2,FALSE)=G$18,$D45,0)+IF(VLOOKUP(CONCATENATE($E$18,"Line"),'[3]Supply Attribution'!$F$31:$G$37,2,FALSE)=G$18,$E45,0)+IF(VLOOKUP(CONCATENATE($F$18,"Line"),'[3]Supply Attribution'!$F$31:$G$37,2,FALSE)=G$18,$F45,0)+IF($K$6="UL",LEFT($S$90,2),0)-IF(AND($K$16=G$18,$K$14&lt;&gt;$K$15,$K$16=$K$17,RIGHT($K45,3)="2SP"),VLOOKUP(CONCATENATE(LEFT($K45,2),"L"),$R$63:$T$90,3,FALSE),0)-IF(AND($L$16=G$18,$L$14&lt;&gt;$L$15,$L$16=$L$17,RIGHT($L45,3)="2SP"),VLOOKUP(CONCATENATE(LEFT($L45,2),"L"),$R$63:$T$90,3,FALSE),0)-IF(AND($M$16=G$18,$M$14&lt;&gt;$M$15,$M$16=$M$17,RIGHT($M45,3)="2SP"),VLOOKUP(CONCATENATE(LEFT($M45,2),"L"),$R$63:$T$90,3,FALSE),0)-IF(AND($N$16=G$18,$N$14&lt;&gt;$N$15,$N$16=$N$17,RIGHT($N45,3)="2SP"),VLOOKUP(CONCATENATE(LEFT($N45,2),"L"),$R$63:$T$90,3,FALSE),0)-IF(AND($O$16=G$18,$O$14&lt;&gt;$O$15,$O$16=$O$17,RIGHT($O45,3)="2SP"),VLOOKUP(CONCATENATE(LEFT($O45,2),"L"),$R$63:$T$90,3,FALSE),0)-IF(AND($P$16=G$18,$P$14&lt;&gt;$P$15,$P$16=$P$17,RIGHT($P45,3)="2SP"),VLOOKUP(CONCATENATE(LEFT($P45,2),"L"),$R$63:$T$90,3,FALSE),0)-IF(AND($Q$16=G$18,$Q$14&lt;&gt;$Q$15,$Q$16=$Q$17,RIGHT($Q45,3)="2SP"),VLOOKUP(CONCATENATE(LEFT($Q45,2),"L"),$R$63:$T$90,3,FALSE),0)-IF(AND($R$16=G$18,$R$14&lt;&gt;$R$15,$R$16=$R$17,RIGHT($R45,3)="2SP"),VLOOKUP(CONCATENATE(LEFT($R45,2),"L"),$R$63:$T$90,3,FALSE),0)-IF(AND($S$16=G$18,$S$14&lt;&gt;$S$15,$S$16=$S$17,RIGHT($S45,3)="2SP"),VLOOKUP(CONCATENATE(LEFT($S45,2),"L"),$R$63:$T$90,3,FALSE),0)-IF(AND($T$16=G$18,$T$14&lt;&gt;$T$15,$T$16=$T$17,RIGHT($T45,3)="2SP"),VLOOKUP(CONCATENATE(LEFT($T45,2),"L"),$R$63:$T$90,3,FALSE),0)-IF(AND($U$16=G$18,$U$14&lt;&gt;$U$15,$U$16=$U$17,RIGHT($U45,3)="2SP"),VLOOKUP(CONCATENATE(LEFT($U45,2),"L"),$R$63:$T$90,3,FALSE),0)-IF(AND($V$16=G$18,$V$14&lt;&gt;$V$15,$V$16=$V$17,RIGHT($V45,3)="2SP"),VLOOKUP(CONCATENATE(LEFT($V45,2),"L"),$R$63:$T$90,3,FALSE),0)-IF(AND($W$16=G$18,$W$14&lt;&gt;$W$15,$W$16=$W$17,RIGHT($W45,3)="2SP"),VLOOKUP(CONCATENATE(LEFT($W45,2),"L"),$R$63:$T$90,3,FALSE),0)-IF(AND($X$16=G$18,$X$14&lt;&gt;$X$15,$X$16=$X$17,RIGHT($X45,3)="2SP"),VLOOKUP(CONCATENATE(LEFT($X45,2),"L"),$R$63:$T$90,3,FALSE),0)-IF(AND($Y$16=G$18,$Y$14&lt;&gt;$Y$15,$Y$16=$Y$17,RIGHT($Y45,3)="2SP"),VLOOKUP(CONCATENATE(LEFT($Y45,2),"L"),$R$63:$T$90,3,FALSE),0))</f>
        <v>17</v>
      </c>
      <c r="H45" s="271" t="str">
        <f>IF(H$18&lt;&gt;"",IF(VLOOKUP(CONCATENATE($A$18,"Line"),'Supply Attribution'!$F$31:$G$37,2,FALSE)=H$18,$A45,0)+IF(VLOOKUP(CONCATENATE($B$18,"Line"),'Supply Attribution'!$F$31:$G$37,2,FALSE)=H$18,$B45,0)+IF(VLOOKUP(CONCATENATE($C$18,"Line"),'Supply Attribution'!$F$31:$G$37,2,FALSE)=H$18,$C45,0)+IF(VLOOKUP(CONCATENATE($D$18,"Line"),'Supply Attribution'!$F$31:$G$37,2,FALSE)=H$18,$D45,0)+IF(VLOOKUP(CONCATENATE($E$18,"Line"),'Supply Attribution'!$F$31:$G$37,2,FALSE)=H$18,$E45,0)+IF(VLOOKUP(CONCATENATE($F$18,"Line"),'Supply Attribution'!$F$31:$G$37,2,FALSE)=H$18,$F45,0)+IF($K$6="UL",LEFT($S$90,2),0)-IF(AND($K$16=H$18,$K$14&lt;&gt;$K$15,$K$16=$K$17,RIGHT($K45,3)="2SP"),VLOOKUP(CONCATENATE(LEFT($K45,2),"L"),$R$63:$T$90,3,FALSE),0)-IF(AND($L$16=H$18,$L$14&lt;&gt;$L$15,$L$16=$L$17,RIGHT($L45,3)="2SP"),VLOOKUP(CONCATENATE(LEFT($L45,2),"L"),$R$63:$T$90,3,FALSE),0)-IF(AND($M$16=H$18,$M$14&lt;&gt;$M$15,$M$16=$M$17,RIGHT($M45,3)="2SP"),VLOOKUP(CONCATENATE(LEFT($M45,2),"L"),$R$63:$T$90,3,FALSE),0)-IF(AND($N$16=H$18,$N$14&lt;&gt;$N$15,$N$16=$N$17,RIGHT($N45,3)="2SP"),VLOOKUP(CONCATENATE(LEFT($N45,2),"L"),$R$63:$T$90,3,FALSE),0)-IF(AND($O$16=H$18,$O$14&lt;&gt;$O$15,$O$16=$O$17,RIGHT($O45,3)="2SP"),VLOOKUP(CONCATENATE(LEFT($O45,2),"L"),$R$63:$T$90,3,FALSE),0)-IF(AND($P$16=H$18,$P$14&lt;&gt;$P$15,$P$16=$P$17,RIGHT($P45,3)="2SP"),VLOOKUP(CONCATENATE(LEFT($P45,2),"L"),$R$63:$T$90,3,FALSE),0)-IF(AND($Q$16=H$18,$Q$14&lt;&gt;$Q$15,$Q$16=$Q$17,RIGHT($Q45,3)="2SP"),VLOOKUP(CONCATENATE(LEFT($Q45,2),"L"),$R$63:$T$90,3,FALSE),0)-IF(AND($T$16=H$18,$T$14&lt;&gt;$T$15,$T$16=$T$17,RIGHT($T45,3)="2SP"),VLOOKUP(CONCATENATE(LEFT($T45,2),"L"),$R$63:$T$90,3,FALSE),0)-IF(AND($U$16=H$18,$U$14&lt;&gt;$U$15,$U$16=$U$17,RIGHT($U45,3)="2SP"),VLOOKUP(CONCATENATE(LEFT($U45,2),"L"),$R$63:$T$90,3,FALSE),0)-IF(AND($V$16=H$18,$V$14&lt;&gt;$V$15,$V$16=$V$17,RIGHT($V45,3)="2SP"),VLOOKUP(CONCATENATE(LEFT($V45,2),"L"),$R$63:$T$90,3,FALSE),0)-IF(AND($W$16=H$18,$W$14&lt;&gt;$W$15,$W$16=$W$17,RIGHT($W45,3)="2SP"),VLOOKUP(CONCATENATE(LEFT($W45,2),"L"),$R$63:$T$90,3,FALSE),0)-IF(AND($X$16=H$18,$X$14&lt;&gt;$X$15,$X$16=$X$17,RIGHT($X45,3)="2SP"),VLOOKUP(CONCATENATE(LEFT($X45,2),"L"),$R$63:$T$90,3,FALSE),0)-IF(AND($Y$16=H$18,$Y$14&lt;&gt;$Y$15,$Y$16=$Y$17,RIGHT($Y45,3)="2SP"),VLOOKUP(CONCATENATE(LEFT($Y45,2),"L"),$R$63:$T$90,3,FALSE),0)+IF(AND($K$6="CE",$T$59="2 Phases",H$18&lt;&gt;""),IF(VLOOKUP(CONCATENATE($A$18,"Line"),'Supply Attribution'!$F$31:$G$37,2,FALSE)="Line3",$A45,0)+IF(VLOOKUP(CONCATENATE($B$18,"Line"),'Supply Attribution'!$F$31:$G$37,2,FALSE)="Line3",$B45,0)+IF(VLOOKUP(CONCATENATE($C$18,"Line"),'Supply Attribution'!$F$31:$G$37,2,FALSE)="Line3",$C45,0)+IF(VLOOKUP(CONCATENATE($D$18,"Line"),'Supply Attribution'!$F$31:$G$37,2,FALSE)="Line3",$D45,0)+IF(VLOOKUP(CONCATENATE($E$18,"Line"),'Supply Attribution'!$F$31:$G$37,2,FALSE)="Line3",$E45,0)+IF(VLOOKUP(CONCATENATE($F$18,"Line"),'Supply Attribution'!$F$31:$G$37,2,FALSE)="Line3",$F45,0)-IF(AND($K$16=I$18,$K$14&lt;&gt;$K$15,$K$16=$K$17,RIGHT($K45,3)="2SP"),VLOOKUP(CONCATENATE(LEFT($K45,2),"L"),$R$63:$T$90,3,FALSE),0)-IF(AND($L$16=I$18,$L$14&lt;&gt;$L$15,$L$16=$L$17,RIGHT($L45,3)="2SP"),VLOOKUP(CONCATENATE(LEFT($L45,2),"L"),$R$63:$T$90,3,FALSE),0)-IF(AND($M$16=I$18,$M$14&lt;&gt;$M$15,$M$16=$M$17,RIGHT($M45,3)="2SP"),VLOOKUP(CONCATENATE(LEFT($M45,2),"L"),$R$63:$T$90,3,FALSE),0)-IF(AND($N$16=I$18,$N$14&lt;&gt;$N$15,$N$16=$N$17,RIGHT($N45,3)="2SP"),VLOOKUP(CONCATENATE(LEFT($N45,2),"L"),$R$63:$T$90,3,FALSE),0)-IF(AND($O$16=I$18,$O$14&lt;&gt;$O$15,$O$16=$O$17,RIGHT($O45,3)="2SP"),VLOOKUP(CONCATENATE(LEFT($O45,2),"L"),$R$63:$T$90,3,FALSE),0)-IF(AND($P$16=I$18,$P$14&lt;&gt;$P$15,$P$16=$P$17,RIGHT($P45,3)="2SP"),VLOOKUP(CONCATENATE(LEFT($P45,2),"L"),$R$63:$T$90,3,FALSE),0)-IF(AND($Q$16=I$18,$Q$14&lt;&gt;$Q$15,$Q$16=$Q$17,RIGHT($Q45,3)="2SP"),VLOOKUP(CONCATENATE(LEFT($Q45,2),"L"),$R$63:$T$90,3,FALSE),0)-IF(AND($T$16=I$18,$T$14&lt;&gt;$T$15,$T$16=$T$17,RIGHT($T45,3)="2SP"),VLOOKUP(CONCATENATE(LEFT($T45,2),"L"),$R$63:$T$90,3,FALSE),0)-IF(AND($U$16=I$18,$U$14&lt;&gt;$U$15,$U$16=$U$17,RIGHT($U45,3)="2SP"),VLOOKUP(CONCATENATE(LEFT($U45,2),"L"),$R$63:$T$90,3,FALSE),0)-IF(AND($V$16=I$18,$V$14&lt;&gt;$V$15,$V$16=$V$17,RIGHT($V45,3)="2SP"),VLOOKUP(CONCATENATE(LEFT($V45,2),"L"),$R$63:$T$90,3,FALSE),0)-IF(AND($W$16=I$18,$W$14&lt;&gt;$W$15,$W$16=$W$17,RIGHT($W45,3)="2SP"),VLOOKUP(CONCATENATE(LEFT($W45,2),"L"),$R$63:$T$90,3,FALSE),0)-IF(AND($X$16=I$18,$X$14&lt;&gt;$X$15,$X$16=$X$17,RIGHT($X45,3)="2SP"),VLOOKUP(CONCATENATE(LEFT($X45,2),"L"),$R$63:$T$90,3,FALSE),0)-IF(AND($Y$16=I$18,$Y$14&lt;&gt;$Y$15,$Y$16=$Y$17,RIGHT($Y45,3)="2SP"),VLOOKUP(CONCATENATE(LEFT($Y45,2),"L"),$R$63:$T$90,3,FALSE),0),0),"")</f>
        <v/>
      </c>
      <c r="I45" s="271" t="str">
        <f>IF(I$18&lt;&gt;"",IF(VLOOKUP(CONCATENATE($A$18,"Line"),'Supply Attribution'!$F$31:$G$37,2,FALSE)=I$18,$A45,0)+IF(VLOOKUP(CONCATENATE($B$18,"Line"),'Supply Attribution'!$F$31:$G$37,2,FALSE)=I$18,$B45,0)+IF(VLOOKUP(CONCATENATE($C$18,"Line"),'Supply Attribution'!$F$31:$G$37,2,FALSE)=I$18,$C45,0)+IF(VLOOKUP(CONCATENATE($D$18,"Line"),'Supply Attribution'!$F$31:$G$37,2,FALSE)=I$18,$D45,0)+IF(VLOOKUP(CONCATENATE($E$18,"Line"),'Supply Attribution'!$F$31:$G$37,2,FALSE)=I$18,$E45,0)+IF(VLOOKUP(CONCATENATE($F$18,"Line"),'Supply Attribution'!$F$31:$G$37,2,FALSE)=I$18,$F45,0)+IF($K$6="UL",LEFT($S$90,2),0)-IF(AND($K$16=I$18,$K$14&lt;&gt;$K$15,$K$16=$K$17,RIGHT($K45,3)="2SP"),VLOOKUP(CONCATENATE(LEFT($K45,2),"L"),$R$63:$T$90,3,FALSE),0)-IF(AND($L$16=I$18,$L$14&lt;&gt;$L$15,$L$16=$L$17,RIGHT($L45,3)="2SP"),VLOOKUP(CONCATENATE(LEFT($L45,2),"L"),$R$63:$T$90,3,FALSE),0)-IF(AND($M$16=I$18,$M$14&lt;&gt;$M$15,$M$16=$M$17,RIGHT($M45,3)="2SP"),VLOOKUP(CONCATENATE(LEFT($M45,2),"L"),$R$63:$T$90,3,FALSE),0)-IF(AND($N$16=I$18,$N$14&lt;&gt;$N$15,$N$16=$N$17,RIGHT($N45,3)="2SP"),VLOOKUP(CONCATENATE(LEFT($N45,2),"L"),$R$63:$T$90,3,FALSE),0)-IF(AND($O$16=I$18,$O$14&lt;&gt;$O$15,$O$16=$O$17,RIGHT($O45,3)="2SP"),VLOOKUP(CONCATENATE(LEFT($O45,2),"L"),$R$63:$T$90,3,FALSE),0)-IF(AND($P$16=I$18,$P$14&lt;&gt;$P$15,$P$16=$P$17,RIGHT($P45,3)="2SP"),VLOOKUP(CONCATENATE(LEFT($P45,2),"L"),$R$63:$T$90,3,FALSE),0)-IF(AND($Q$16=I$18,$Q$14&lt;&gt;$Q$15,$Q$16=$Q$17,RIGHT($Q45,3)="2SP"),VLOOKUP(CONCATENATE(LEFT($Q45,2),"L"),$R$63:$T$90,3,FALSE),0)-IF(AND($T$16=I$18,$T$14&lt;&gt;$T$15,$T$16=$T$17,RIGHT($T45,3)="2SP"),VLOOKUP(CONCATENATE(LEFT($T45,2),"L"),$R$63:$T$90,3,FALSE),0)-IF(AND($U$16=I$18,$U$14&lt;&gt;$U$15,$U$16=$U$17,RIGHT($U45,3)="2SP"),VLOOKUP(CONCATENATE(LEFT($U45,2),"L"),$R$63:$T$90,3,FALSE),0)-IF(AND($V$16=I$18,$V$14&lt;&gt;$V$15,$V$16=$V$17,RIGHT($V45,3)="2SP"),VLOOKUP(CONCATENATE(LEFT($V45,2),"L"),$R$63:$T$90,3,FALSE),0)-IF(AND($W$16=I$18,$W$14&lt;&gt;$W$15,$W$16=$W$17,RIGHT($W45,3)="2SP"),VLOOKUP(CONCATENATE(LEFT($W45,2),"L"),$R$63:$T$90,3,FALSE),0)-IF(AND($X$16=I$18,$X$14&lt;&gt;$X$15,$X$16=$X$17,RIGHT($X45,3)="2SP"),VLOOKUP(CONCATENATE(LEFT($X45,2),"L"),$R$63:$T$90,3,FALSE),0)-IF(AND($Y$16=I$18,$Y$14&lt;&gt;$Y$15,$Y$16=$Y$17,RIGHT($Y45,3)="2SP"),VLOOKUP(CONCATENATE(LEFT($Y45,2),"L"),$R$63:$T$90,3,FALSE),0),"")</f>
        <v/>
      </c>
      <c r="J45" s="129"/>
      <c r="K45" s="130"/>
      <c r="L45" s="130"/>
      <c r="M45" s="130"/>
      <c r="N45" s="130"/>
      <c r="O45" s="130"/>
      <c r="P45" s="130"/>
      <c r="Q45" s="130"/>
      <c r="R45" s="130"/>
      <c r="S45" s="130"/>
      <c r="T45" s="130"/>
      <c r="U45" s="130"/>
      <c r="V45" s="130"/>
      <c r="W45" s="130"/>
      <c r="X45" s="130"/>
      <c r="Y45" s="130"/>
      <c r="Z45" s="131"/>
      <c r="AA45" s="131"/>
      <c r="AB45" s="132"/>
      <c r="AC45" s="132"/>
      <c r="AD45" s="132"/>
      <c r="AE45" s="133">
        <f t="shared" si="0"/>
        <v>0</v>
      </c>
      <c r="AF45" s="78"/>
    </row>
    <row r="46" spans="1:32" ht="12.95" customHeight="1">
      <c r="A46" s="270">
        <f>IF(AND($K46&lt;&gt;"",$K46&lt;&gt;"--",$K46&lt;&gt;"O3/CP",$K$14=A$18),IF(LEFT($K46,1)="P",VLOOKUP(CONCATENATE(LEFT($K46,2),"H"),$R$63:$T$91,3,FALSE),VLOOKUP($K46,$R$63:$T$91,3,FALSE)))+IF(AND($K46&lt;&gt;"",$K46&lt;&gt;"O3/CP",$K$15=A$18,MID($K46,4,1)="2",$K$15&lt;&gt;$K$14),VLOOKUP(CONCATENATE(LEFT($K46,2),"L"),$R$63:$T$91,3,FALSE),0)+IF(AND($K46="O3/CP",$K$14=A$18),VLOOKUP("O3",$R$63:$T$91,3,FALSE)+VLOOKUP("CP",$R$63:$T$91,3,FALSE),0)+IF(AND($L46&lt;&gt;"",$L46&lt;&gt;"--",$L46&lt;&gt;"O3/CP",$L$14=A$18),IF(LEFT($L46,1)="P",VLOOKUP(CONCATENATE(LEFT($L46,2),"H"),$R$63:$T$91,3,FALSE),VLOOKUP($L46,$R$63:$T$91,3,FALSE)))+IF(AND($L46&lt;&gt;"",$L46&lt;&gt;"O3/CP",$L$15=A$18,MID($L46,4,1)="2",$L$15&lt;&gt;$L$14),VLOOKUP(CONCATENATE(LEFT($L46,2),"L"),$R$63:$T$91,3,FALSE),0)+IF(AND($L46="O3/CP",$L$14=A$18),VLOOKUP("O3",$R$63:$T$91,3,FALSE)+VLOOKUP("CP",$R$63:$T$91,3,FALSE),0)+IF(AND($M46&lt;&gt;"",$M46&lt;&gt;"--",$M46&lt;&gt;"O3/CP",$M$14=A$18),IF(LEFT($M46,1)="P",VLOOKUP(CONCATENATE(LEFT($M46,2),"H"),$R$63:$T$91,3,FALSE),VLOOKUP($M46,$R$63:$T$91,3,FALSE)))+IF(AND($M46&lt;&gt;"",$M46&lt;&gt;"O3/CP",$M$15=A$18,MID($M46,4,1)="2",$M$15&lt;&gt;$M$14),VLOOKUP(CONCATENATE(LEFT($M46,2),"L"),$R$63:$T$91,3,FALSE),0)+IF(AND($M46="O3/CP",$M$14=A$18),VLOOKUP("O3",$R$63:$T$91,3,FALSE)+VLOOKUP("CP",$R$63:$T$91,3,FALSE),0)+IF(AND($N46&lt;&gt;"",$N46&lt;&gt;"--",$N46&lt;&gt;"O3/CP",$N$14=A$18),IF(LEFT($N46,1)="P",VLOOKUP(CONCATENATE(LEFT($N46,2),"H"),$R$63:$T$91,3,FALSE),VLOOKUP($N46,$R$63:$T$91,3,FALSE)))+IF(AND($N46&lt;&gt;"",$N46&lt;&gt;"O3/CP",$N$15=A$18,MID($N46,4,1)="2",$N$15&lt;&gt;$N$14),VLOOKUP(CONCATENATE(LEFT($N46,2),"L"),$R$63:$T$91,3,FALSE),0)+IF(AND($N46="O3/CP",$N$14=A$18),VLOOKUP("O3",$R$63:$T$91,3,FALSE)+VLOOKUP("CP",$R$63:$T$91,3,FALSE),0)+IF(AND($O46&lt;&gt;"",$O46&lt;&gt;"--",$O46&lt;&gt;"O3/CP",$O$14=A$18),IF(LEFT($O46,1)="P",VLOOKUP(CONCATENATE(LEFT($O46,2),"H"),$R$63:$T$91,3,FALSE),VLOOKUP($O46,$R$63:$T$91,3,FALSE)))+IF(AND($O46&lt;&gt;"",$O46&lt;&gt;"O3/CP",$O$15=A$18,MID($O46,4,1)="2",$O$15&lt;&gt;$O$14),VLOOKUP(CONCATENATE(LEFT($O46,2),"L"),$R$63:$T$91,3,FALSE),0)+IF(AND($O46="O3/CP",$O$14=A$18),VLOOKUP("O3",$R$63:$T$91,3,FALSE)+VLOOKUP("CP",$R$63:$T$91,3,FALSE),0)+IF(AND($P46&lt;&gt;"",$P46&lt;&gt;"--",$P46&lt;&gt;"O3/CP",$P$14=A$18),IF(LEFT($P46,1)="P",VLOOKUP(CONCATENATE(LEFT($P46,2),"H"),$R$63:$T$91,3,FALSE),VLOOKUP($P46,$R$63:$T$91,3,FALSE)))+IF(AND($P46&lt;&gt;"",$P46&lt;&gt;"O3/CP",$P$15=A$18,MID($P46,4,1)="2",$P$15&lt;&gt;$P$14),VLOOKUP(CONCATENATE(LEFT($P46,2),"L"),$R$63:$T$91,3,FALSE),0)+IF(AND($P46="O3/CP",$P$14=A$18),VLOOKUP("O3",$R$63:$T$91,3,FALSE)+VLOOKUP("CP",$R$63:$T$91,3,FALSE),0)+IF(AND($Q46&lt;&gt;"",$Q46&lt;&gt;"--",$Q46&lt;&gt;"O3/CP",$Q$14=A$18),IF(LEFT($Q46,1)="P",VLOOKUP(CONCATENATE(LEFT($Q46,2),"H"),$R$63:$T$91,3,FALSE),VLOOKUP($Q46,$R$63:$T$91,3,FALSE)))+IF(AND($Q46&lt;&gt;"",$Q46&lt;&gt;"O3/CP",$Q$15=A$18,MID($Q46,4,1)="2",$Q$15&lt;&gt;$Q$14),VLOOKUP(CONCATENATE(LEFT($Q46,2),"L"),$R$63:$T$91,3,FALSE),0)+IF(AND($Q46="O3/CP",$Q$14=A$18),VLOOKUP("O3",$R$63:$T$91,3,FALSE)+VLOOKUP("CP",$R$63:$T$91,3,FALSE),0)+IF(AND($R46&lt;&gt;"",$R46&lt;&gt;"--",$R46&lt;&gt;"O3/CP",$R$14=A$18),IF(LEFT($R46,1)="P",VLOOKUP(CONCATENATE(LEFT($R46,2),"H"),$R$63:$T$91,3,FALSE),VLOOKUP($R46,$R$63:$T$91,3,FALSE)))+IF(AND($R46&lt;&gt;"",$R46&lt;&gt;"O3/CP",$R$15=A$18,MID($R46,4,1)="2",$R$15&lt;&gt;$R$14),VLOOKUP(CONCATENATE(LEFT($R46,2),"L"),$R$63:$T$91,3,FALSE),0)+IF(AND($R46="O3/CP",$R$14=A$18),VLOOKUP("O3",$R$63:$T$91,3,FALSE)+VLOOKUP("CP",$R$63:$T$91,3,FALSE),0)+IF(AND($S46&lt;&gt;"",$S46&lt;&gt;"--",$S46&lt;&gt;"O3/CP",$S$14=A$18),IF(LEFT($S46,1)="P",VLOOKUP(CONCATENATE(LEFT($S46,2),"H"),$R$63:$T$91,3,FALSE),VLOOKUP($S46,$R$63:$T$91,3,FALSE)))+IF(AND($S46&lt;&gt;"",$S46&lt;&gt;"O3/CP",$S$15=A$18,MID($S46,4,1)="2",$S$15&lt;&gt;$S$14),VLOOKUP(CONCATENATE(LEFT($S46,2),"L"),$R$63:$T$91,3,FALSE),0)+IF(AND($S46="O3/CP",$S$14=A$18),VLOOKUP("O3",$R$63:$T$91,3,FALSE)+VLOOKUP("CP",$R$63:$T$91,3,FALSE),0)+IF(AND($T46&lt;&gt;"",$T46&lt;&gt;"--",$T46&lt;&gt;"O3/CP",$T$14=A$18),IF(LEFT($T46,1)="P",VLOOKUP(CONCATENATE(LEFT($T46,2),"H"),$R$63:$T$91,3,FALSE),VLOOKUP($T46,$R$63:$T$91,3,FALSE)))+IF(AND($T46&lt;&gt;"",$T46&lt;&gt;"O3/CP",$T$15=A$18,MID($T46,4,1)="2",$T$15&lt;&gt;$T$14),VLOOKUP(CONCATENATE(LEFT($T46,2),"L"),$R$63:$T$91,3,FALSE),0)+IF(AND($T46="O3/CP",$T$14=A$18),VLOOKUP("O3",$R$63:$T$91,3,FALSE)+VLOOKUP("CP",$R$63:$T$91,3,FALSE),0)+IF(AND($U46&lt;&gt;"",$U46&lt;&gt;"--",$U46&lt;&gt;"O3/CP",$U$14=A$18),IF(LEFT($U46,1)="P",VLOOKUP(CONCATENATE(LEFT($U46,2),"H"),$R$63:$T$91,3,FALSE),VLOOKUP($U46,$R$63:$T$91,3,FALSE)))+IF(AND($U46&lt;&gt;"",$U46&lt;&gt;"O3/CP",$U$15=A$18,MID($U46,4,1)="2",$U$15&lt;&gt;$U$14),VLOOKUP(CONCATENATE(LEFT($U46,2),"L"),$R$63:$T$91,3,FALSE),0)+IF(AND($U46="O3/CP",$T$14=A$18),VLOOKUP("O3",$R$63:$T$91,3,FALSE)+VLOOKUP("CP",$R$63:$T$91,3,FALSE),0)+IF(AND($V46&lt;&gt;"",$V46&lt;&gt;"--",$V46&lt;&gt;"O3/CP",$V$14=A$18),IF(LEFT($V46,1)="P",VLOOKUP(CONCATENATE(LEFT($V46,2),"H"),$R$63:$T$91,3,FALSE),VLOOKUP($V46,$R$63:$T$91,3,FALSE)))+IF(AND($V46&lt;&gt;"",$V46&lt;&gt;"O3/CP",$V$15=A$18,MID($V46,4,1)="2",$V$15&lt;&gt;$V$14),VLOOKUP(CONCATENATE(LEFT($V46,2),"L"),$R$63:$T$91,3,FALSE),0)+IF(AND($V46="O3/CP",$V$14=A$18),VLOOKUP("O3",$R$63:$T$91,3,FALSE)+VLOOKUP("CP",$R$63:$T$91,3,FALSE),0)+IF(AND($W46&lt;&gt;"",$W46&lt;&gt;"--",$W46&lt;&gt;"O3/CP",$W$14=A$18),IF(LEFT($W46,1)="P",VLOOKUP(CONCATENATE(LEFT($W46,2),"H"),$R$63:$T$91,3,FALSE),VLOOKUP($W46,$R$63:$T$91,3,FALSE)))+IF(AND($W46&lt;&gt;"",$W46&lt;&gt;"O3/CP",$W$15=A$18,MID($W46,4,1)="2",$W$15&lt;&gt;$W$14),VLOOKUP(CONCATENATE(LEFT($W46,2),"L"),$R$63:$T$91,3,FALSE),0)+IF(AND($W46="O3/CP",$W$14=A$18),VLOOKUP("O3",$R$63:$T$91,3,FALSE)+VLOOKUP("CP",$R$63:$T$91,3,FALSE),0)+IF(AND($X46&lt;&gt;"",$X46&lt;&gt;"--",$X46&lt;&gt;"O3/CP",$X$14=A$18),IF(LEFT($X46,1)="P",VLOOKUP(CONCATENATE(LEFT($X46,2),"H"),$R$63:$T$91,3,FALSE),VLOOKUP($X46,$R$63:$T$91,3,FALSE)))+IF(AND($X46&lt;&gt;"",$X46&lt;&gt;"O3/CP",$X$15=A$18,MID($X46,4,1)="2",$X$15&lt;&gt;$X$14),VLOOKUP(CONCATENATE(LEFT($X46,2),"L"),$R$63:$T$91,3,FALSE),0)+IF(AND($X46="O3/CP",$X$14=A$18),VLOOKUP("O3",$R$63:$T$91,3,FALSE)+VLOOKUP("CP",$R$63:$T$91,3,FALSE),0)+IF(AND($Y46&lt;&gt;"",$Y46&lt;&gt;"--",$Y46&lt;&gt;"O3/CP",$Y$14=A$18),IF(LEFT($Y46,1)="P",VLOOKUP(CONCATENATE(LEFT($Y46,2),"H"),$R$63:$T$91,3,FALSE),VLOOKUP($Y46,$R$63:$T$91,3,FALSE)))+IF(AND($Y46&lt;&gt;"",$Y46&lt;&gt;"O3/CP",$Y$15=A$18,MID($Y46,4,1)="2",$Y$15&lt;&gt;$Y$14),VLOOKUP(CONCATENATE(LEFT($Y46,2),"L"),$R$63:$T$91,3,FALSE),0)+IF(AND($Y46="O3/CP",$Y$14=A$18),VLOOKUP("O3",$R$63:$T$91,3,FALSE)+VLOOKUP("CP",$R$63:$T$91,3,FALSE),0)+IF(AND($K$6="CE",'[3]Supply Attribution'!$G$20=A$18),LEFT($S$90,2),0)+IF(AND($X$86&lt;&gt;"Not Set",$X$87=A$18),$X$86,0)</f>
        <v>0</v>
      </c>
      <c r="B46" s="269">
        <f>IF(AND($K46&lt;&gt;"",$K46&lt;&gt;"--",$K46&lt;&gt;"O3/CP",$K$14=B$18),IF(LEFT($K46,1)="P",VLOOKUP(CONCATENATE(LEFT($K46,2),"H"),$R$63:$T$91,3,FALSE),VLOOKUP($K46,$R$63:$T$91,3,FALSE)))+IF(AND($K46&lt;&gt;"",$K46&lt;&gt;"O3/CP",$K$15=B$18,MID($K46,4,1)="2",$K$15&lt;&gt;$K$14),VLOOKUP(CONCATENATE(LEFT($K46,2),"L"),$R$63:$T$91,3,FALSE),0)+IF(AND($K46="O3/CP",$K$14=B$18),VLOOKUP("O3",$R$63:$T$91,3,FALSE)+VLOOKUP("CP",$R$63:$T$91,3,FALSE),0)+IF(AND($L46&lt;&gt;"",$L46&lt;&gt;"--",$L46&lt;&gt;"O3/CP",$L$14=B$18),IF(LEFT($L46,1)="P",VLOOKUP(CONCATENATE(LEFT($L46,2),"H"),$R$63:$T$91,3,FALSE),VLOOKUP($L46,$R$63:$T$91,3,FALSE)))+IF(AND($L46&lt;&gt;"",$L46&lt;&gt;"O3/CP",$L$15=B$18,MID($L46,4,1)="2",$L$15&lt;&gt;$L$14),VLOOKUP(CONCATENATE(LEFT($L46,2),"L"),$R$63:$T$91,3,FALSE),0)+IF(AND($L46="O3/CP",$L$14=B$18),VLOOKUP("O3",$R$63:$T$91,3,FALSE)+VLOOKUP("CP",$R$63:$T$91,3,FALSE),0)+IF(AND($M46&lt;&gt;"",$M46&lt;&gt;"--",$M46&lt;&gt;"O3/CP",$M$14=B$18),IF(LEFT($M46,1)="P",VLOOKUP(CONCATENATE(LEFT($M46,2),"H"),$R$63:$T$91,3,FALSE),VLOOKUP($M46,$R$63:$T$91,3,FALSE)))+IF(AND($M46&lt;&gt;"",$M46&lt;&gt;"O3/CP",$M$15=B$18,MID($M46,4,1)="2",$M$15&lt;&gt;$M$14),VLOOKUP(CONCATENATE(LEFT($M46,2),"L"),$R$63:$T$91,3,FALSE),0)+IF(AND($M46="O3/CP",$M$14=B$18),VLOOKUP("O3",$R$63:$T$91,3,FALSE)+VLOOKUP("CP",$R$63:$T$91,3,FALSE),0)+IF(AND($N46&lt;&gt;"",$N46&lt;&gt;"--",$N46&lt;&gt;"O3/CP",$N$14=B$18),IF(LEFT($N46,1)="P",VLOOKUP(CONCATENATE(LEFT($N46,2),"H"),$R$63:$T$91,3,FALSE),VLOOKUP($N46,$R$63:$T$91,3,FALSE)))+IF(AND($N46&lt;&gt;"",$N46&lt;&gt;"O3/CP",$N$15=B$18,MID($N46,4,1)="2",$N$15&lt;&gt;$N$14),VLOOKUP(CONCATENATE(LEFT($N46,2),"L"),$R$63:$T$91,3,FALSE),0)+IF(AND($N46="O3/CP",$N$14=B$18),VLOOKUP("O3",$R$63:$T$91,3,FALSE)+VLOOKUP("CP",$R$63:$T$91,3,FALSE),0)+IF(AND($O46&lt;&gt;"",$O46&lt;&gt;"--",$O46&lt;&gt;"O3/CP",$O$14=B$18),IF(LEFT($O46,1)="P",VLOOKUP(CONCATENATE(LEFT($O46,2),"H"),$R$63:$T$91,3,FALSE),VLOOKUP($O46,$R$63:$T$91,3,FALSE)))+IF(AND($O46&lt;&gt;"",$O46&lt;&gt;"O3/CP",$O$15=B$18,MID($O46,4,1)="2",$O$15&lt;&gt;$O$14),VLOOKUP(CONCATENATE(LEFT($O46,2),"L"),$R$63:$T$91,3,FALSE),0)+IF(AND($O46="O3/CP",$O$14=B$18),VLOOKUP("O3",$R$63:$T$91,3,FALSE)+VLOOKUP("CP",$R$63:$T$91,3,FALSE),0)+IF(AND($P46&lt;&gt;"",$P46&lt;&gt;"--",$P46&lt;&gt;"O3/CP",$P$14=B$18),IF(LEFT($P46,1)="P",VLOOKUP(CONCATENATE(LEFT($P46,2),"H"),$R$63:$T$91,3,FALSE),VLOOKUP($P46,$R$63:$T$91,3,FALSE)))+IF(AND($P46&lt;&gt;"",$P46&lt;&gt;"O3/CP",$P$15=B$18,MID($P46,4,1)="2",$P$15&lt;&gt;$P$14),VLOOKUP(CONCATENATE(LEFT($P46,2),"L"),$R$63:$T$91,3,FALSE),0)+IF(AND($P46="O3/CP",$P$14=B$18),VLOOKUP("O3",$R$63:$T$91,3,FALSE)+VLOOKUP("CP",$R$63:$T$91,3,FALSE),0)+IF(AND($Q46&lt;&gt;"",$Q46&lt;&gt;"--",$Q46&lt;&gt;"O3/CP",$Q$14=B$18),IF(LEFT($Q46,1)="P",VLOOKUP(CONCATENATE(LEFT($Q46,2),"H"),$R$63:$T$91,3,FALSE),VLOOKUP($Q46,$R$63:$T$91,3,FALSE)))+IF(AND($Q46&lt;&gt;"",$Q46&lt;&gt;"O3/CP",$Q$15=B$18,MID($Q46,4,1)="2",$Q$15&lt;&gt;$Q$14),VLOOKUP(CONCATENATE(LEFT($Q46,2),"L"),$R$63:$T$91,3,FALSE),0)+IF(AND($Q46="O3/CP",$Q$14=B$18),VLOOKUP("O3",$R$63:$T$91,3,FALSE)+VLOOKUP("CP",$R$63:$T$91,3,FALSE),0)+IF(AND($R46&lt;&gt;"",$R46&lt;&gt;"--",$R46&lt;&gt;"O3/CP",$R$14=B$18),IF(LEFT($R46,1)="P",VLOOKUP(CONCATENATE(LEFT($R46,2),"H"),$R$63:$T$91,3,FALSE),VLOOKUP($R46,$R$63:$T$91,3,FALSE)))+IF(AND($R46&lt;&gt;"",$R46&lt;&gt;"O3/CP",$R$15=B$18,MID($R46,4,1)="2",$R$15&lt;&gt;$R$14),VLOOKUP(CONCATENATE(LEFT($R46,2),"L"),$R$63:$T$91,3,FALSE),0)+IF(AND($R46="O3/CP",$R$14=B$18),VLOOKUP("O3",$R$63:$T$91,3,FALSE)+VLOOKUP("CP",$R$63:$T$91,3,FALSE),0)+IF(AND($S46&lt;&gt;"",$S46&lt;&gt;"--",$S46&lt;&gt;"O3/CP",$S$14=B$18),IF(LEFT($S46,1)="P",VLOOKUP(CONCATENATE(LEFT($S46,2),"H"),$R$63:$T$91,3,FALSE),VLOOKUP($S46,$R$63:$T$91,3,FALSE)))+IF(AND($S46&lt;&gt;"",$S46&lt;&gt;"O3/CP",$S$15=B$18,MID($S46,4,1)="2",$S$15&lt;&gt;$S$14),VLOOKUP(CONCATENATE(LEFT($S46,2),"L"),$R$63:$T$91,3,FALSE),0)+IF(AND($S46="O3/CP",$S$14=B$18),VLOOKUP("O3",$R$63:$T$91,3,FALSE)+VLOOKUP("CP",$R$63:$T$91,3,FALSE),0)+IF(AND($T46&lt;&gt;"",$T46&lt;&gt;"--",$T46&lt;&gt;"O3/CP",$T$14=B$18),IF(LEFT($T46,1)="P",VLOOKUP(CONCATENATE(LEFT($T46,2),"H"),$R$63:$T$91,3,FALSE),VLOOKUP($T46,$R$63:$T$91,3,FALSE)))+IF(AND($T46&lt;&gt;"",$T46&lt;&gt;"O3/CP",$T$15=B$18,MID($T46,4,1)="2",$T$15&lt;&gt;$T$14),VLOOKUP(CONCATENATE(LEFT($T46,2),"L"),$R$63:$T$91,3,FALSE),0)+IF(AND($T46="O3/CP",$T$14=B$18),VLOOKUP("O3",$R$63:$T$91,3,FALSE)+VLOOKUP("CP",$R$63:$T$91,3,FALSE),0)+IF(AND($U46&lt;&gt;"",$U46&lt;&gt;"--",$U46&lt;&gt;"O3/CP",$U$14=B$18),IF(LEFT($U46,1)="P",VLOOKUP(CONCATENATE(LEFT($U46,2),"H"),$R$63:$T$91,3,FALSE),VLOOKUP($U46,$R$63:$T$91,3,FALSE)))+IF(AND($U46&lt;&gt;"",$U46&lt;&gt;"O3/CP",$U$15=B$18,MID($U46,4,1)="2",$U$15&lt;&gt;$U$14),VLOOKUP(CONCATENATE(LEFT($U46,2),"L"),$R$63:$T$91,3,FALSE),0)+IF(AND($U46="O3/CP",$T$14=B$18),VLOOKUP("O3",$R$63:$T$91,3,FALSE)+VLOOKUP("CP",$R$63:$T$91,3,FALSE),0)+IF(AND($V46&lt;&gt;"",$V46&lt;&gt;"--",$V46&lt;&gt;"O3/CP",$V$14=B$18),IF(LEFT($V46,1)="P",VLOOKUP(CONCATENATE(LEFT($V46,2),"H"),$R$63:$T$91,3,FALSE),VLOOKUP($V46,$R$63:$T$91,3,FALSE)))+IF(AND($V46&lt;&gt;"",$V46&lt;&gt;"O3/CP",$V$15=B$18,MID($V46,4,1)="2",$V$15&lt;&gt;$V$14),VLOOKUP(CONCATENATE(LEFT($V46,2),"L"),$R$63:$T$91,3,FALSE),0)+IF(AND($V46="O3/CP",$V$14=B$18),VLOOKUP("O3",$R$63:$T$91,3,FALSE)+VLOOKUP("CP",$R$63:$T$91,3,FALSE),0)+IF(AND($W46&lt;&gt;"",$W46&lt;&gt;"--",$W46&lt;&gt;"O3/CP",$W$14=B$18),IF(LEFT($W46,1)="P",VLOOKUP(CONCATENATE(LEFT($W46,2),"H"),$R$63:$T$91,3,FALSE),VLOOKUP($W46,$R$63:$T$91,3,FALSE)))+IF(AND($W46&lt;&gt;"",$W46&lt;&gt;"O3/CP",$W$15=B$18,MID($W46,4,1)="2",$W$15&lt;&gt;$W$14),VLOOKUP(CONCATENATE(LEFT($W46,2),"L"),$R$63:$T$91,3,FALSE),0)+IF(AND($W46="O3/CP",$W$14=B$18),VLOOKUP("O3",$R$63:$T$91,3,FALSE)+VLOOKUP("CP",$R$63:$T$91,3,FALSE),0)+IF(AND($X46&lt;&gt;"",$X46&lt;&gt;"--",$X46&lt;&gt;"O3/CP",$X$14=B$18),IF(LEFT($X46,1)="P",VLOOKUP(CONCATENATE(LEFT($X46,2),"H"),$R$63:$T$91,3,FALSE),VLOOKUP($X46,$R$63:$T$91,3,FALSE)))+IF(AND($X46&lt;&gt;"",$X46&lt;&gt;"O3/CP",$X$15=B$18,MID($X46,4,1)="2",$X$15&lt;&gt;$X$14),VLOOKUP(CONCATENATE(LEFT($X46,2),"L"),$R$63:$T$91,3,FALSE),0)+IF(AND($X46="O3/CP",$X$14=B$18),VLOOKUP("O3",$R$63:$T$91,3,FALSE)+VLOOKUP("CP",$R$63:$T$91,3,FALSE),0)+IF(AND($Y46&lt;&gt;"",$Y46&lt;&gt;"--",$Y46&lt;&gt;"O3/CP",$Y$14=B$18),IF(LEFT($Y46,1)="P",VLOOKUP(CONCATENATE(LEFT($Y46,2),"H"),$R$63:$T$91,3,FALSE),VLOOKUP($Y46,$R$63:$T$91,3,FALSE)))+IF(AND($Y46&lt;&gt;"",$Y46&lt;&gt;"O3/CP",$Y$15=B$18,MID($Y46,4,1)="2",$Y$15&lt;&gt;$Y$14),VLOOKUP(CONCATENATE(LEFT($Y46,2),"L"),$R$63:$T$91,3,FALSE),0)+IF(AND($Y46="O3/CP",$Y$14=B$18),VLOOKUP("O3",$R$63:$T$91,3,FALSE)+VLOOKUP("CP",$R$63:$T$91,3,FALSE),0)+IF(AND($K$6="CE",'[3]Supply Attribution'!$G$20=B$18),LEFT($S$90,2),0)+IF(AND($X$86&lt;&gt;"Not Set",$X$87=B$18),$X$86,0)</f>
        <v>0</v>
      </c>
      <c r="C46" s="269">
        <f>IF(AND($K46&lt;&gt;"",$K46&lt;&gt;"--",$K46&lt;&gt;"O3/CP",$K$14=C$18),IF(LEFT($K46,1)="P",VLOOKUP(CONCATENATE(LEFT($K46,2),"H"),$R$63:$T$91,3,FALSE),VLOOKUP($K46,$R$63:$T$91,3,FALSE)))+IF(AND($K46&lt;&gt;"",$K46&lt;&gt;"O3/CP",$K$15=C$18,MID($K46,4,1)="2",$K$15&lt;&gt;$K$14),VLOOKUP(CONCATENATE(LEFT($K46,2),"L"),$R$63:$T$91,3,FALSE),0)+IF(AND($K46="O3/CP",$K$14=C$18),VLOOKUP("O3",$R$63:$T$91,3,FALSE)+VLOOKUP("CP",$R$63:$T$91,3,FALSE),0)+IF(AND($L46&lt;&gt;"",$L46&lt;&gt;"--",$L46&lt;&gt;"O3/CP",$L$14=C$18),IF(LEFT($L46,1)="P",VLOOKUP(CONCATENATE(LEFT($L46,2),"H"),$R$63:$T$91,3,FALSE),VLOOKUP($L46,$R$63:$T$91,3,FALSE)))+IF(AND($L46&lt;&gt;"",$L46&lt;&gt;"O3/CP",$L$15=C$18,MID($L46,4,1)="2",$L$15&lt;&gt;$L$14),VLOOKUP(CONCATENATE(LEFT($L46,2),"L"),$R$63:$T$91,3,FALSE),0)+IF(AND($L46="O3/CP",$L$14=C$18),VLOOKUP("O3",$R$63:$T$91,3,FALSE)+VLOOKUP("CP",$R$63:$T$91,3,FALSE),0)+IF(AND($M46&lt;&gt;"",$M46&lt;&gt;"--",$M46&lt;&gt;"O3/CP",$M$14=C$18),IF(LEFT($M46,1)="P",VLOOKUP(CONCATENATE(LEFT($M46,2),"H"),$R$63:$T$91,3,FALSE),VLOOKUP($M46,$R$63:$T$91,3,FALSE)))+IF(AND($M46&lt;&gt;"",$M46&lt;&gt;"O3/CP",$M$15=C$18,MID($M46,4,1)="2",$M$15&lt;&gt;$M$14),VLOOKUP(CONCATENATE(LEFT($M46,2),"L"),$R$63:$T$91,3,FALSE),0)+IF(AND($M46="O3/CP",$M$14=C$18),VLOOKUP("O3",$R$63:$T$91,3,FALSE)+VLOOKUP("CP",$R$63:$T$91,3,FALSE),0)+IF(AND($N46&lt;&gt;"",$N46&lt;&gt;"--",$N46&lt;&gt;"O3/CP",$N$14=C$18),IF(LEFT($N46,1)="P",VLOOKUP(CONCATENATE(LEFT($N46,2),"H"),$R$63:$T$91,3,FALSE),VLOOKUP($N46,$R$63:$T$91,3,FALSE)))+IF(AND($N46&lt;&gt;"",$N46&lt;&gt;"O3/CP",$N$15=C$18,MID($N46,4,1)="2",$N$15&lt;&gt;$N$14),VLOOKUP(CONCATENATE(LEFT($N46,2),"L"),$R$63:$T$91,3,FALSE),0)+IF(AND($N46="O3/CP",$N$14=C$18),VLOOKUP("O3",$R$63:$T$91,3,FALSE)+VLOOKUP("CP",$R$63:$T$91,3,FALSE),0)+IF(AND($O46&lt;&gt;"",$O46&lt;&gt;"--",$O46&lt;&gt;"O3/CP",$O$14=C$18),IF(LEFT($O46,1)="P",VLOOKUP(CONCATENATE(LEFT($O46,2),"H"),$R$63:$T$91,3,FALSE),VLOOKUP($O46,$R$63:$T$91,3,FALSE)))+IF(AND($O46&lt;&gt;"",$O46&lt;&gt;"O3/CP",$O$15=C$18,MID($O46,4,1)="2",$O$15&lt;&gt;$O$14),VLOOKUP(CONCATENATE(LEFT($O46,2),"L"),$R$63:$T$91,3,FALSE),0)+IF(AND($O46="O3/CP",$O$14=C$18),VLOOKUP("O3",$R$63:$T$91,3,FALSE)+VLOOKUP("CP",$R$63:$T$91,3,FALSE),0)+IF(AND($P46&lt;&gt;"",$P46&lt;&gt;"--",$P46&lt;&gt;"O3/CP",$P$14=C$18),IF(LEFT($P46,1)="P",VLOOKUP(CONCATENATE(LEFT($P46,2),"H"),$R$63:$T$91,3,FALSE),VLOOKUP($P46,$R$63:$T$91,3,FALSE)))+IF(AND($P46&lt;&gt;"",$P46&lt;&gt;"O3/CP",$P$15=C$18,MID($P46,4,1)="2",$P$15&lt;&gt;$P$14),VLOOKUP(CONCATENATE(LEFT($P46,2),"L"),$R$63:$T$91,3,FALSE),0)+IF(AND($P46="O3/CP",$P$14=C$18),VLOOKUP("O3",$R$63:$T$91,3,FALSE)+VLOOKUP("CP",$R$63:$T$91,3,FALSE),0)+IF(AND($Q46&lt;&gt;"",$Q46&lt;&gt;"--",$Q46&lt;&gt;"O3/CP",$Q$14=C$18),IF(LEFT($Q46,1)="P",VLOOKUP(CONCATENATE(LEFT($Q46,2),"H"),$R$63:$T$91,3,FALSE),VLOOKUP($Q46,$R$63:$T$91,3,FALSE)))+IF(AND($Q46&lt;&gt;"",$Q46&lt;&gt;"O3/CP",$Q$15=C$18,MID($Q46,4,1)="2",$Q$15&lt;&gt;$Q$14),VLOOKUP(CONCATENATE(LEFT($Q46,2),"L"),$R$63:$T$91,3,FALSE),0)+IF(AND($Q46="O3/CP",$Q$14=C$18),VLOOKUP("O3",$R$63:$T$91,3,FALSE)+VLOOKUP("CP",$R$63:$T$91,3,FALSE),0)+IF(AND($R46&lt;&gt;"",$R46&lt;&gt;"--",$R46&lt;&gt;"O3/CP",$R$14=C$18),IF(LEFT($R46,1)="P",VLOOKUP(CONCATENATE(LEFT($R46,2),"H"),$R$63:$T$91,3,FALSE),VLOOKUP($R46,$R$63:$T$91,3,FALSE)))+IF(AND($R46&lt;&gt;"",$R46&lt;&gt;"O3/CP",$R$15=C$18,MID($R46,4,1)="2",$R$15&lt;&gt;$R$14),VLOOKUP(CONCATENATE(LEFT($R46,2),"L"),$R$63:$T$91,3,FALSE),0)+IF(AND($R46="O3/CP",$R$14=C$18),VLOOKUP("O3",$R$63:$T$91,3,FALSE)+VLOOKUP("CP",$R$63:$T$91,3,FALSE),0)+IF(AND($S46&lt;&gt;"",$S46&lt;&gt;"--",$S46&lt;&gt;"O3/CP",$S$14=C$18),IF(LEFT($S46,1)="P",VLOOKUP(CONCATENATE(LEFT($S46,2),"H"),$R$63:$T$91,3,FALSE),VLOOKUP($S46,$R$63:$T$91,3,FALSE)))+IF(AND($S46&lt;&gt;"",$S46&lt;&gt;"O3/CP",$S$15=C$18,MID($S46,4,1)="2",$S$15&lt;&gt;$S$14),VLOOKUP(CONCATENATE(LEFT($S46,2),"L"),$R$63:$T$91,3,FALSE),0)+IF(AND($S46="O3/CP",$S$14=C$18),VLOOKUP("O3",$R$63:$T$91,3,FALSE)+VLOOKUP("CP",$R$63:$T$91,3,FALSE),0)+IF(AND($T46&lt;&gt;"",$T46&lt;&gt;"--",$T46&lt;&gt;"O3/CP",$T$14=C$18),IF(LEFT($T46,1)="P",VLOOKUP(CONCATENATE(LEFT($T46,2),"H"),$R$63:$T$91,3,FALSE),VLOOKUP($T46,$R$63:$T$91,3,FALSE)))+IF(AND($T46&lt;&gt;"",$T46&lt;&gt;"O3/CP",$T$15=C$18,MID($T46,4,1)="2",$T$15&lt;&gt;$T$14),VLOOKUP(CONCATENATE(LEFT($T46,2),"L"),$R$63:$T$91,3,FALSE),0)+IF(AND($T46="O3/CP",$T$14=C$18),VLOOKUP("O3",$R$63:$T$91,3,FALSE)+VLOOKUP("CP",$R$63:$T$91,3,FALSE),0)+IF(AND($U46&lt;&gt;"",$U46&lt;&gt;"--",$U46&lt;&gt;"O3/CP",$U$14=C$18),IF(LEFT($U46,1)="P",VLOOKUP(CONCATENATE(LEFT($U46,2),"H"),$R$63:$T$91,3,FALSE),VLOOKUP($U46,$R$63:$T$91,3,FALSE)))+IF(AND($U46&lt;&gt;"",$U46&lt;&gt;"O3/CP",$U$15=C$18,MID($U46,4,1)="2",$U$15&lt;&gt;$U$14),VLOOKUP(CONCATENATE(LEFT($U46,2),"L"),$R$63:$T$91,3,FALSE),0)+IF(AND($U46="O3/CP",$T$14=C$18),VLOOKUP("O3",$R$63:$T$91,3,FALSE)+VLOOKUP("CP",$R$63:$T$91,3,FALSE),0)+IF(AND($V46&lt;&gt;"",$V46&lt;&gt;"--",$V46&lt;&gt;"O3/CP",$V$14=C$18),IF(LEFT($V46,1)="P",VLOOKUP(CONCATENATE(LEFT($V46,2),"H"),$R$63:$T$91,3,FALSE),VLOOKUP($V46,$R$63:$T$91,3,FALSE)))+IF(AND($V46&lt;&gt;"",$V46&lt;&gt;"O3/CP",$V$15=C$18,MID($V46,4,1)="2",$V$15&lt;&gt;$V$14),VLOOKUP(CONCATENATE(LEFT($V46,2),"L"),$R$63:$T$91,3,FALSE),0)+IF(AND($V46="O3/CP",$V$14=C$18),VLOOKUP("O3",$R$63:$T$91,3,FALSE)+VLOOKUP("CP",$R$63:$T$91,3,FALSE),0)+IF(AND($W46&lt;&gt;"",$W46&lt;&gt;"--",$W46&lt;&gt;"O3/CP",$W$14=C$18),IF(LEFT($W46,1)="P",VLOOKUP(CONCATENATE(LEFT($W46,2),"H"),$R$63:$T$91,3,FALSE),VLOOKUP($W46,$R$63:$T$91,3,FALSE)))+IF(AND($W46&lt;&gt;"",$W46&lt;&gt;"O3/CP",$W$15=C$18,MID($W46,4,1)="2",$W$15&lt;&gt;$W$14),VLOOKUP(CONCATENATE(LEFT($W46,2),"L"),$R$63:$T$91,3,FALSE),0)+IF(AND($W46="O3/CP",$W$14=C$18),VLOOKUP("O3",$R$63:$T$91,3,FALSE)+VLOOKUP("CP",$R$63:$T$91,3,FALSE),0)+IF(AND($X46&lt;&gt;"",$X46&lt;&gt;"--",$X46&lt;&gt;"O3/CP",$X$14=C$18),IF(LEFT($X46,1)="P",VLOOKUP(CONCATENATE(LEFT($X46,2),"H"),$R$63:$T$91,3,FALSE),VLOOKUP($X46,$R$63:$T$91,3,FALSE)))+IF(AND($X46&lt;&gt;"",$X46&lt;&gt;"O3/CP",$X$15=C$18,MID($X46,4,1)="2",$X$15&lt;&gt;$X$14),VLOOKUP(CONCATENATE(LEFT($X46,2),"L"),$R$63:$T$91,3,FALSE),0)+IF(AND($X46="O3/CP",$X$14=C$18),VLOOKUP("O3",$R$63:$T$91,3,FALSE)+VLOOKUP("CP",$R$63:$T$91,3,FALSE),0)+IF(AND($Y46&lt;&gt;"",$Y46&lt;&gt;"--",$Y46&lt;&gt;"O3/CP",$Y$14=C$18),IF(LEFT($Y46,1)="P",VLOOKUP(CONCATENATE(LEFT($Y46,2),"H"),$R$63:$T$91,3,FALSE),VLOOKUP($Y46,$R$63:$T$91,3,FALSE)))+IF(AND($Y46&lt;&gt;"",$Y46&lt;&gt;"O3/CP",$Y$15=C$18,MID($Y46,4,1)="2",$Y$15&lt;&gt;$Y$14),VLOOKUP(CONCATENATE(LEFT($Y46,2),"L"),$R$63:$T$91,3,FALSE),0)+IF(AND($Y46="O3/CP",$Y$14=C$18),VLOOKUP("O3",$R$63:$T$91,3,FALSE)+VLOOKUP("CP",$R$63:$T$91,3,FALSE),0)+IF(AND($K$6="CE",'[3]Supply Attribution'!$G$20=C$18),LEFT($S$90,2),0)+IF(AND($X$86&lt;&gt;"Not Set",$X$87=C$18),$X$86,0)</f>
        <v>0</v>
      </c>
      <c r="D46" s="269">
        <f>IF(AND($K46&lt;&gt;"",$K46&lt;&gt;"--",$K46&lt;&gt;"O3/CP",$K$14=D$18),IF(LEFT($K46,1)="P",VLOOKUP(CONCATENATE(LEFT($K46,2),"H"),$R$63:$T$91,3,FALSE),VLOOKUP($K46,$R$63:$T$91,3,FALSE)))+IF(AND($K46&lt;&gt;"",$K46&lt;&gt;"O3/CP",$K$15=D$18,MID($K46,4,1)="2",$K$15&lt;&gt;$K$14),VLOOKUP(CONCATENATE(LEFT($K46,2),"L"),$R$63:$T$91,3,FALSE),0)+IF(AND($K46="O3/CP",$K$14=D$18),VLOOKUP("O3",$R$63:$T$91,3,FALSE)+VLOOKUP("CP",$R$63:$T$91,3,FALSE),0)+IF(AND($L46&lt;&gt;"",$L46&lt;&gt;"--",$L46&lt;&gt;"O3/CP",$L$14=D$18),IF(LEFT($L46,1)="P",VLOOKUP(CONCATENATE(LEFT($L46,2),"H"),$R$63:$T$91,3,FALSE),VLOOKUP($L46,$R$63:$T$91,3,FALSE)))+IF(AND($L46&lt;&gt;"",$L46&lt;&gt;"O3/CP",$L$15=D$18,MID($L46,4,1)="2",$L$15&lt;&gt;$L$14),VLOOKUP(CONCATENATE(LEFT($L46,2),"L"),$R$63:$T$91,3,FALSE),0)+IF(AND($L46="O3/CP",$L$14=D$18),VLOOKUP("O3",$R$63:$T$91,3,FALSE)+VLOOKUP("CP",$R$63:$T$91,3,FALSE),0)+IF(AND($M46&lt;&gt;"",$M46&lt;&gt;"--",$M46&lt;&gt;"O3/CP",$M$14=D$18),IF(LEFT($M46,1)="P",VLOOKUP(CONCATENATE(LEFT($M46,2),"H"),$R$63:$T$91,3,FALSE),VLOOKUP($M46,$R$63:$T$91,3,FALSE)))+IF(AND($M46&lt;&gt;"",$M46&lt;&gt;"O3/CP",$M$15=D$18,MID($M46,4,1)="2",$M$15&lt;&gt;$M$14),VLOOKUP(CONCATENATE(LEFT($M46,2),"L"),$R$63:$T$91,3,FALSE),0)+IF(AND($M46="O3/CP",$M$14=D$18),VLOOKUP("O3",$R$63:$T$91,3,FALSE)+VLOOKUP("CP",$R$63:$T$91,3,FALSE),0)+IF(AND($N46&lt;&gt;"",$N46&lt;&gt;"--",$N46&lt;&gt;"O3/CP",$N$14=D$18),IF(LEFT($N46,1)="P",VLOOKUP(CONCATENATE(LEFT($N46,2),"H"),$R$63:$T$91,3,FALSE),VLOOKUP($N46,$R$63:$T$91,3,FALSE)))+IF(AND($N46&lt;&gt;"",$N46&lt;&gt;"O3/CP",$N$15=D$18,MID($N46,4,1)="2",$N$15&lt;&gt;$N$14),VLOOKUP(CONCATENATE(LEFT($N46,2),"L"),$R$63:$T$91,3,FALSE),0)+IF(AND($N46="O3/CP",$N$14=D$18),VLOOKUP("O3",$R$63:$T$91,3,FALSE)+VLOOKUP("CP",$R$63:$T$91,3,FALSE),0)+IF(AND($O46&lt;&gt;"",$O46&lt;&gt;"--",$O46&lt;&gt;"O3/CP",$O$14=D$18),IF(LEFT($O46,1)="P",VLOOKUP(CONCATENATE(LEFT($O46,2),"H"),$R$63:$T$91,3,FALSE),VLOOKUP($O46,$R$63:$T$91,3,FALSE)))+IF(AND($O46&lt;&gt;"",$O46&lt;&gt;"O3/CP",$O$15=D$18,MID($O46,4,1)="2",$O$15&lt;&gt;$O$14),VLOOKUP(CONCATENATE(LEFT($O46,2),"L"),$R$63:$T$91,3,FALSE),0)+IF(AND($O46="O3/CP",$O$14=D$18),VLOOKUP("O3",$R$63:$T$91,3,FALSE)+VLOOKUP("CP",$R$63:$T$91,3,FALSE),0)+IF(AND($P46&lt;&gt;"",$P46&lt;&gt;"--",$P46&lt;&gt;"O3/CP",$P$14=D$18),IF(LEFT($P46,1)="P",VLOOKUP(CONCATENATE(LEFT($P46,2),"H"),$R$63:$T$91,3,FALSE),VLOOKUP($P46,$R$63:$T$91,3,FALSE)))+IF(AND($P46&lt;&gt;"",$P46&lt;&gt;"O3/CP",$P$15=D$18,MID($P46,4,1)="2",$P$15&lt;&gt;$P$14),VLOOKUP(CONCATENATE(LEFT($P46,2),"L"),$R$63:$T$91,3,FALSE),0)+IF(AND($P46="O3/CP",$P$14=D$18),VLOOKUP("O3",$R$63:$T$91,3,FALSE)+VLOOKUP("CP",$R$63:$T$91,3,FALSE),0)+IF(AND($Q46&lt;&gt;"",$Q46&lt;&gt;"--",$Q46&lt;&gt;"O3/CP",$Q$14=D$18),IF(LEFT($Q46,1)="P",VLOOKUP(CONCATENATE(LEFT($Q46,2),"H"),$R$63:$T$91,3,FALSE),VLOOKUP($Q46,$R$63:$T$91,3,FALSE)))+IF(AND($Q46&lt;&gt;"",$Q46&lt;&gt;"O3/CP",$Q$15=D$18,MID($Q46,4,1)="2",$Q$15&lt;&gt;$Q$14),VLOOKUP(CONCATENATE(LEFT($Q46,2),"L"),$R$63:$T$91,3,FALSE),0)+IF(AND($Q46="O3/CP",$Q$14=D$18),VLOOKUP("O3",$R$63:$T$91,3,FALSE)+VLOOKUP("CP",$R$63:$T$91,3,FALSE),0)+IF(AND($R46&lt;&gt;"",$R46&lt;&gt;"--",$R46&lt;&gt;"O3/CP",$R$14=D$18),IF(LEFT($R46,1)="P",VLOOKUP(CONCATENATE(LEFT($R46,2),"H"),$R$63:$T$91,3,FALSE),VLOOKUP($R46,$R$63:$T$91,3,FALSE)))+IF(AND($R46&lt;&gt;"",$R46&lt;&gt;"O3/CP",$R$15=D$18,MID($R46,4,1)="2",$R$15&lt;&gt;$R$14),VLOOKUP(CONCATENATE(LEFT($R46,2),"L"),$R$63:$T$91,3,FALSE),0)+IF(AND($R46="O3/CP",$R$14=D$18),VLOOKUP("O3",$R$63:$T$91,3,FALSE)+VLOOKUP("CP",$R$63:$T$91,3,FALSE),0)+IF(AND($S46&lt;&gt;"",$S46&lt;&gt;"--",$S46&lt;&gt;"O3/CP",$S$14=D$18),IF(LEFT($S46,1)="P",VLOOKUP(CONCATENATE(LEFT($S46,2),"H"),$R$63:$T$91,3,FALSE),VLOOKUP($S46,$R$63:$T$91,3,FALSE)))+IF(AND($S46&lt;&gt;"",$S46&lt;&gt;"O3/CP",$S$15=D$18,MID($S46,4,1)="2",$S$15&lt;&gt;$S$14),VLOOKUP(CONCATENATE(LEFT($S46,2),"L"),$R$63:$T$91,3,FALSE),0)+IF(AND($S46="O3/CP",$S$14=D$18),VLOOKUP("O3",$R$63:$T$91,3,FALSE)+VLOOKUP("CP",$R$63:$T$91,3,FALSE),0)+IF(AND($T46&lt;&gt;"",$T46&lt;&gt;"--",$T46&lt;&gt;"O3/CP",$T$14=D$18),IF(LEFT($T46,1)="P",VLOOKUP(CONCATENATE(LEFT($T46,2),"H"),$R$63:$T$91,3,FALSE),VLOOKUP($T46,$R$63:$T$91,3,FALSE)))+IF(AND($T46&lt;&gt;"",$T46&lt;&gt;"O3/CP",$T$15=D$18,MID($T46,4,1)="2",$T$15&lt;&gt;$T$14),VLOOKUP(CONCATENATE(LEFT($T46,2),"L"),$R$63:$T$91,3,FALSE),0)+IF(AND($T46="O3/CP",$T$14=D$18),VLOOKUP("O3",$R$63:$T$91,3,FALSE)+VLOOKUP("CP",$R$63:$T$91,3,FALSE),0)+IF(AND($U46&lt;&gt;"",$U46&lt;&gt;"--",$U46&lt;&gt;"O3/CP",$U$14=D$18),IF(LEFT($U46,1)="P",VLOOKUP(CONCATENATE(LEFT($U46,2),"H"),$R$63:$T$91,3,FALSE),VLOOKUP($U46,$R$63:$T$91,3,FALSE)))+IF(AND($U46&lt;&gt;"",$U46&lt;&gt;"O3/CP",$U$15=D$18,MID($U46,4,1)="2",$U$15&lt;&gt;$U$14),VLOOKUP(CONCATENATE(LEFT($U46,2),"L"),$R$63:$T$91,3,FALSE),0)+IF(AND($U46="O3/CP",$T$14=D$18),VLOOKUP("O3",$R$63:$T$91,3,FALSE)+VLOOKUP("CP",$R$63:$T$91,3,FALSE),0)+IF(AND($V46&lt;&gt;"",$V46&lt;&gt;"--",$V46&lt;&gt;"O3/CP",$V$14=D$18),IF(LEFT($V46,1)="P",VLOOKUP(CONCATENATE(LEFT($V46,2),"H"),$R$63:$T$91,3,FALSE),VLOOKUP($V46,$R$63:$T$91,3,FALSE)))+IF(AND($V46&lt;&gt;"",$V46&lt;&gt;"O3/CP",$V$15=D$18,MID($V46,4,1)="2",$V$15&lt;&gt;$V$14),VLOOKUP(CONCATENATE(LEFT($V46,2),"L"),$R$63:$T$91,3,FALSE),0)+IF(AND($V46="O3/CP",$V$14=D$18),VLOOKUP("O3",$R$63:$T$91,3,FALSE)+VLOOKUP("CP",$R$63:$T$91,3,FALSE),0)+IF(AND($W46&lt;&gt;"",$W46&lt;&gt;"--",$W46&lt;&gt;"O3/CP",$W$14=D$18),IF(LEFT($W46,1)="P",VLOOKUP(CONCATENATE(LEFT($W46,2),"H"),$R$63:$T$91,3,FALSE),VLOOKUP($W46,$R$63:$T$91,3,FALSE)))+IF(AND($W46&lt;&gt;"",$W46&lt;&gt;"O3/CP",$W$15=D$18,MID($W46,4,1)="2",$W$15&lt;&gt;$W$14),VLOOKUP(CONCATENATE(LEFT($W46,2),"L"),$R$63:$T$91,3,FALSE),0)+IF(AND($W46="O3/CP",$W$14=D$18),VLOOKUP("O3",$R$63:$T$91,3,FALSE)+VLOOKUP("CP",$R$63:$T$91,3,FALSE),0)+IF(AND($X46&lt;&gt;"",$X46&lt;&gt;"--",$X46&lt;&gt;"O3/CP",$X$14=D$18),IF(LEFT($X46,1)="P",VLOOKUP(CONCATENATE(LEFT($X46,2),"H"),$R$63:$T$91,3,FALSE),VLOOKUP($X46,$R$63:$T$91,3,FALSE)))+IF(AND($X46&lt;&gt;"",$X46&lt;&gt;"O3/CP",$X$15=D$18,MID($X46,4,1)="2",$X$15&lt;&gt;$X$14),VLOOKUP(CONCATENATE(LEFT($X46,2),"L"),$R$63:$T$91,3,FALSE),0)+IF(AND($X46="O3/CP",$X$14=D$18),VLOOKUP("O3",$R$63:$T$91,3,FALSE)+VLOOKUP("CP",$R$63:$T$91,3,FALSE),0)+IF(AND($Y46&lt;&gt;"",$Y46&lt;&gt;"--",$Y46&lt;&gt;"O3/CP",$Y$14=D$18),IF(LEFT($Y46,1)="P",VLOOKUP(CONCATENATE(LEFT($Y46,2),"H"),$R$63:$T$91,3,FALSE),VLOOKUP($Y46,$R$63:$T$91,3,FALSE)))+IF(AND($Y46&lt;&gt;"",$Y46&lt;&gt;"O3/CP",$Y$15=D$18,MID($Y46,4,1)="2",$Y$15&lt;&gt;$Y$14),VLOOKUP(CONCATENATE(LEFT($Y46,2),"L"),$R$63:$T$91,3,FALSE),0)+IF(AND($Y46="O3/CP",$Y$14=D$18),VLOOKUP("O3",$R$63:$T$91,3,FALSE)+VLOOKUP("CP",$R$63:$T$91,3,FALSE),0)+IF(AND($K$6="CE",'[3]Supply Attribution'!$G$20=D$18),LEFT($S$90,2),0)+IF(AND($X$86&lt;&gt;"Not Set",$X$87=D$18),$X$86,0)</f>
        <v>0</v>
      </c>
      <c r="E46" s="269">
        <f>IF(AND($K46&lt;&gt;"",$K46&lt;&gt;"--",$K46&lt;&gt;"O3/CP",$K$14=E$18),IF(LEFT($K46,1)="P",VLOOKUP(CONCATENATE(LEFT($K46,2),"H"),$R$63:$T$91,3,FALSE),VLOOKUP($K46,$R$63:$T$91,3,FALSE)))+IF(AND($K46&lt;&gt;"",$K46&lt;&gt;"O3/CP",$K$15=E$18,MID($K46,4,1)="2",$K$15&lt;&gt;$K$14),VLOOKUP(CONCATENATE(LEFT($K46,2),"L"),$R$63:$T$91,3,FALSE),0)+IF(AND($K46="O3/CP",$K$14=E$18),VLOOKUP("O3",$R$63:$T$91,3,FALSE)+VLOOKUP("CP",$R$63:$T$91,3,FALSE),0)+IF(AND($L46&lt;&gt;"",$L46&lt;&gt;"--",$L46&lt;&gt;"O3/CP",$L$14=E$18),IF(LEFT($L46,1)="P",VLOOKUP(CONCATENATE(LEFT($L46,2),"H"),$R$63:$T$91,3,FALSE),VLOOKUP($L46,$R$63:$T$91,3,FALSE)))+IF(AND($L46&lt;&gt;"",$L46&lt;&gt;"O3/CP",$L$15=E$18,MID($L46,4,1)="2",$L$15&lt;&gt;$L$14),VLOOKUP(CONCATENATE(LEFT($L46,2),"L"),$R$63:$T$91,3,FALSE),0)+IF(AND($L46="O3/CP",$L$14=E$18),VLOOKUP("O3",$R$63:$T$91,3,FALSE)+VLOOKUP("CP",$R$63:$T$91,3,FALSE),0)+IF(AND($M46&lt;&gt;"",$M46&lt;&gt;"--",$M46&lt;&gt;"O3/CP",$M$14=E$18),IF(LEFT($M46,1)="P",VLOOKUP(CONCATENATE(LEFT($M46,2),"H"),$R$63:$T$91,3,FALSE),VLOOKUP($M46,$R$63:$T$91,3,FALSE)))+IF(AND($M46&lt;&gt;"",$M46&lt;&gt;"O3/CP",$M$15=E$18,MID($M46,4,1)="2",$M$15&lt;&gt;$M$14),VLOOKUP(CONCATENATE(LEFT($M46,2),"L"),$R$63:$T$91,3,FALSE),0)+IF(AND($M46="O3/CP",$M$14=E$18),VLOOKUP("O3",$R$63:$T$91,3,FALSE)+VLOOKUP("CP",$R$63:$T$91,3,FALSE),0)+IF(AND($N46&lt;&gt;"",$N46&lt;&gt;"--",$N46&lt;&gt;"O3/CP",$N$14=E$18),IF(LEFT($N46,1)="P",VLOOKUP(CONCATENATE(LEFT($N46,2),"H"),$R$63:$T$91,3,FALSE),VLOOKUP($N46,$R$63:$T$91,3,FALSE)))+IF(AND($N46&lt;&gt;"",$N46&lt;&gt;"O3/CP",$N$15=E$18,MID($N46,4,1)="2",$N$15&lt;&gt;$N$14),VLOOKUP(CONCATENATE(LEFT($N46,2),"L"),$R$63:$T$91,3,FALSE),0)+IF(AND($N46="O3/CP",$N$14=E$18),VLOOKUP("O3",$R$63:$T$91,3,FALSE)+VLOOKUP("CP",$R$63:$T$91,3,FALSE),0)+IF(AND($O46&lt;&gt;"",$O46&lt;&gt;"--",$O46&lt;&gt;"O3/CP",$O$14=E$18),IF(LEFT($O46,1)="P",VLOOKUP(CONCATENATE(LEFT($O46,2),"H"),$R$63:$T$91,3,FALSE),VLOOKUP($O46,$R$63:$T$91,3,FALSE)))+IF(AND($O46&lt;&gt;"",$O46&lt;&gt;"O3/CP",$O$15=E$18,MID($O46,4,1)="2",$O$15&lt;&gt;$O$14),VLOOKUP(CONCATENATE(LEFT($O46,2),"L"),$R$63:$T$91,3,FALSE),0)+IF(AND($O46="O3/CP",$O$14=E$18),VLOOKUP("O3",$R$63:$T$91,3,FALSE)+VLOOKUP("CP",$R$63:$T$91,3,FALSE),0)+IF(AND($P46&lt;&gt;"",$P46&lt;&gt;"--",$P46&lt;&gt;"O3/CP",$P$14=E$18),IF(LEFT($P46,1)="P",VLOOKUP(CONCATENATE(LEFT($P46,2),"H"),$R$63:$T$91,3,FALSE),VLOOKUP($P46,$R$63:$T$91,3,FALSE)))+IF(AND($P46&lt;&gt;"",$P46&lt;&gt;"O3/CP",$P$15=E$18,MID($P46,4,1)="2",$P$15&lt;&gt;$P$14),VLOOKUP(CONCATENATE(LEFT($P46,2),"L"),$R$63:$T$91,3,FALSE),0)+IF(AND($P46="O3/CP",$P$14=E$18),VLOOKUP("O3",$R$63:$T$91,3,FALSE)+VLOOKUP("CP",$R$63:$T$91,3,FALSE),0)+IF(AND($Q46&lt;&gt;"",$Q46&lt;&gt;"--",$Q46&lt;&gt;"O3/CP",$Q$14=E$18),IF(LEFT($Q46,1)="P",VLOOKUP(CONCATENATE(LEFT($Q46,2),"H"),$R$63:$T$91,3,FALSE),VLOOKUP($Q46,$R$63:$T$91,3,FALSE)))+IF(AND($Q46&lt;&gt;"",$Q46&lt;&gt;"O3/CP",$Q$15=E$18,MID($Q46,4,1)="2",$Q$15&lt;&gt;$Q$14),VLOOKUP(CONCATENATE(LEFT($Q46,2),"L"),$R$63:$T$91,3,FALSE),0)+IF(AND($Q46="O3/CP",$Q$14=E$18),VLOOKUP("O3",$R$63:$T$91,3,FALSE)+VLOOKUP("CP",$R$63:$T$91,3,FALSE),0)+IF(AND($R46&lt;&gt;"",$R46&lt;&gt;"--",$R46&lt;&gt;"O3/CP",$R$14=E$18),IF(LEFT($R46,1)="P",VLOOKUP(CONCATENATE(LEFT($R46,2),"H"),$R$63:$T$91,3,FALSE),VLOOKUP($R46,$R$63:$T$91,3,FALSE)))+IF(AND($R46&lt;&gt;"",$R46&lt;&gt;"O3/CP",$R$15=E$18,MID($R46,4,1)="2",$R$15&lt;&gt;$R$14),VLOOKUP(CONCATENATE(LEFT($R46,2),"L"),$R$63:$T$91,3,FALSE),0)+IF(AND($R46="O3/CP",$R$14=E$18),VLOOKUP("O3",$R$63:$T$91,3,FALSE)+VLOOKUP("CP",$R$63:$T$91,3,FALSE),0)+IF(AND($S46&lt;&gt;"",$S46&lt;&gt;"--",$S46&lt;&gt;"O3/CP",$S$14=E$18),IF(LEFT($S46,1)="P",VLOOKUP(CONCATENATE(LEFT($S46,2),"H"),$R$63:$T$91,3,FALSE),VLOOKUP($S46,$R$63:$T$91,3,FALSE)))+IF(AND($S46&lt;&gt;"",$S46&lt;&gt;"O3/CP",$S$15=E$18,MID($S46,4,1)="2",$S$15&lt;&gt;$S$14),VLOOKUP(CONCATENATE(LEFT($S46,2),"L"),$R$63:$T$91,3,FALSE),0)+IF(AND($S46="O3/CP",$S$14=E$18),VLOOKUP("O3",$R$63:$T$91,3,FALSE)+VLOOKUP("CP",$R$63:$T$91,3,FALSE),0)+IF(AND($T46&lt;&gt;"",$T46&lt;&gt;"--",$T46&lt;&gt;"O3/CP",$T$14=E$18),IF(LEFT($T46,1)="P",VLOOKUP(CONCATENATE(LEFT($T46,2),"H"),$R$63:$T$91,3,FALSE),VLOOKUP($T46,$R$63:$T$91,3,FALSE)))+IF(AND($T46&lt;&gt;"",$T46&lt;&gt;"O3/CP",$T$15=E$18,MID($T46,4,1)="2",$T$15&lt;&gt;$T$14),VLOOKUP(CONCATENATE(LEFT($T46,2),"L"),$R$63:$T$91,3,FALSE),0)+IF(AND($T46="O3/CP",$T$14=E$18),VLOOKUP("O3",$R$63:$T$91,3,FALSE)+VLOOKUP("CP",$R$63:$T$91,3,FALSE),0)+IF(AND($U46&lt;&gt;"",$U46&lt;&gt;"--",$U46&lt;&gt;"O3/CP",$U$14=E$18),IF(LEFT($U46,1)="P",VLOOKUP(CONCATENATE(LEFT($U46,2),"H"),$R$63:$T$91,3,FALSE),VLOOKUP($U46,$R$63:$T$91,3,FALSE)))+IF(AND($U46&lt;&gt;"",$U46&lt;&gt;"O3/CP",$U$15=E$18,MID($U46,4,1)="2",$U$15&lt;&gt;$U$14),VLOOKUP(CONCATENATE(LEFT($U46,2),"L"),$R$63:$T$91,3,FALSE),0)+IF(AND($U46="O3/CP",$T$14=E$18),VLOOKUP("O3",$R$63:$T$91,3,FALSE)+VLOOKUP("CP",$R$63:$T$91,3,FALSE),0)+IF(AND($V46&lt;&gt;"",$V46&lt;&gt;"--",$V46&lt;&gt;"O3/CP",$V$14=E$18),IF(LEFT($V46,1)="P",VLOOKUP(CONCATENATE(LEFT($V46,2),"H"),$R$63:$T$91,3,FALSE),VLOOKUP($V46,$R$63:$T$91,3,FALSE)))+IF(AND($V46&lt;&gt;"",$V46&lt;&gt;"O3/CP",$V$15=E$18,MID($V46,4,1)="2",$V$15&lt;&gt;$V$14),VLOOKUP(CONCATENATE(LEFT($V46,2),"L"),$R$63:$T$91,3,FALSE),0)+IF(AND($V46="O3/CP",$V$14=E$18),VLOOKUP("O3",$R$63:$T$91,3,FALSE)+VLOOKUP("CP",$R$63:$T$91,3,FALSE),0)+IF(AND($W46&lt;&gt;"",$W46&lt;&gt;"--",$W46&lt;&gt;"O3/CP",$W$14=E$18),IF(LEFT($W46,1)="P",VLOOKUP(CONCATENATE(LEFT($W46,2),"H"),$R$63:$T$91,3,FALSE),VLOOKUP($W46,$R$63:$T$91,3,FALSE)))+IF(AND($W46&lt;&gt;"",$W46&lt;&gt;"O3/CP",$W$15=E$18,MID($W46,4,1)="2",$W$15&lt;&gt;$W$14),VLOOKUP(CONCATENATE(LEFT($W46,2),"L"),$R$63:$T$91,3,FALSE),0)+IF(AND($W46="O3/CP",$W$14=E$18),VLOOKUP("O3",$R$63:$T$91,3,FALSE)+VLOOKUP("CP",$R$63:$T$91,3,FALSE),0)+IF(AND($X46&lt;&gt;"",$X46&lt;&gt;"--",$X46&lt;&gt;"O3/CP",$X$14=E$18),IF(LEFT($X46,1)="P",VLOOKUP(CONCATENATE(LEFT($X46,2),"H"),$R$63:$T$91,3,FALSE),VLOOKUP($X46,$R$63:$T$91,3,FALSE)))+IF(AND($X46&lt;&gt;"",$X46&lt;&gt;"O3/CP",$X$15=E$18,MID($X46,4,1)="2",$X$15&lt;&gt;$X$14),VLOOKUP(CONCATENATE(LEFT($X46,2),"L"),$R$63:$T$91,3,FALSE),0)+IF(AND($X46="O3/CP",$X$14=E$18),VLOOKUP("O3",$R$63:$T$91,3,FALSE)+VLOOKUP("CP",$R$63:$T$91,3,FALSE),0)+IF(AND($Y46&lt;&gt;"",$Y46&lt;&gt;"--",$Y46&lt;&gt;"O3/CP",$Y$14=E$18),IF(LEFT($Y46,1)="P",VLOOKUP(CONCATENATE(LEFT($Y46,2),"H"),$R$63:$T$91,3,FALSE),VLOOKUP($Y46,$R$63:$T$91,3,FALSE)))+IF(AND($Y46&lt;&gt;"",$Y46&lt;&gt;"O3/CP",$Y$15=E$18,MID($Y46,4,1)="2",$Y$15&lt;&gt;$Y$14),VLOOKUP(CONCATENATE(LEFT($Y46,2),"L"),$R$63:$T$91,3,FALSE),0)+IF(AND($Y46="O3/CP",$Y$14=E$18),VLOOKUP("O3",$R$63:$T$91,3,FALSE)+VLOOKUP("CP",$R$63:$T$91,3,FALSE),0)+IF(AND($K$6="CE",'[3]Supply Attribution'!$G$20=E$18),LEFT($S$90,2),0)+IF(AND($X$86&lt;&gt;"Not Set",$X$87=E$18),$X$86,0)</f>
        <v>0</v>
      </c>
      <c r="F46" s="268">
        <f>IF(AND($K46&lt;&gt;"",$K46&lt;&gt;"--",$K46&lt;&gt;"O3/CP",$K$14=F$18),IF(LEFT($K46,1)="P",VLOOKUP(CONCATENATE(LEFT($K46,2),"H"),$R$63:$T$91,3,FALSE),VLOOKUP($K46,$R$63:$T$91,3,FALSE)))+IF(AND($K46&lt;&gt;"",$K46&lt;&gt;"O3/CP",$K$15=F$18,MID($K46,4,1)="2",$K$15&lt;&gt;$K$14),VLOOKUP(CONCATENATE(LEFT($K46,2),"L"),$R$63:$T$91,3,FALSE),0)+IF(AND($K46="O3/CP",$K$14=F$18),VLOOKUP("O3",$R$63:$T$91,3,FALSE)+VLOOKUP("CP",$R$63:$T$91,3,FALSE),0)+IF(AND($L46&lt;&gt;"",$L46&lt;&gt;"--",$L46&lt;&gt;"O3/CP",$L$14=F$18),IF(LEFT($L46,1)="P",VLOOKUP(CONCATENATE(LEFT($L46,2),"H"),$R$63:$T$91,3,FALSE),VLOOKUP($L46,$R$63:$T$91,3,FALSE)))+IF(AND($L46&lt;&gt;"",$L46&lt;&gt;"O3/CP",$L$15=F$18,MID($L46,4,1)="2",$L$15&lt;&gt;$L$14),VLOOKUP(CONCATENATE(LEFT($L46,2),"L"),$R$63:$T$91,3,FALSE),0)+IF(AND($L46="O3/CP",$L$14=F$18),VLOOKUP("O3",$R$63:$T$91,3,FALSE)+VLOOKUP("CP",$R$63:$T$91,3,FALSE),0)+IF(AND($M46&lt;&gt;"",$M46&lt;&gt;"--",$M46&lt;&gt;"O3/CP",$M$14=F$18),IF(LEFT($M46,1)="P",VLOOKUP(CONCATENATE(LEFT($M46,2),"H"),$R$63:$T$91,3,FALSE),VLOOKUP($M46,$R$63:$T$91,3,FALSE)))+IF(AND($M46&lt;&gt;"",$M46&lt;&gt;"O3/CP",$M$15=F$18,MID($M46,4,1)="2",$M$15&lt;&gt;$M$14),VLOOKUP(CONCATENATE(LEFT($M46,2),"L"),$R$63:$T$91,3,FALSE),0)+IF(AND($M46="O3/CP",$M$14=F$18),VLOOKUP("O3",$R$63:$T$91,3,FALSE)+VLOOKUP("CP",$R$63:$T$91,3,FALSE),0)+IF(AND($N46&lt;&gt;"",$N46&lt;&gt;"--",$N46&lt;&gt;"O3/CP",$N$14=F$18),IF(LEFT($N46,1)="P",VLOOKUP(CONCATENATE(LEFT($N46,2),"H"),$R$63:$T$91,3,FALSE),VLOOKUP($N46,$R$63:$T$91,3,FALSE)))+IF(AND($N46&lt;&gt;"",$N46&lt;&gt;"O3/CP",$N$15=F$18,MID($N46,4,1)="2",$N$15&lt;&gt;$N$14),VLOOKUP(CONCATENATE(LEFT($N46,2),"L"),$R$63:$T$91,3,FALSE),0)+IF(AND($N46="O3/CP",$N$14=F$18),VLOOKUP("O3",$R$63:$T$91,3,FALSE)+VLOOKUP("CP",$R$63:$T$91,3,FALSE),0)+IF(AND($O46&lt;&gt;"",$O46&lt;&gt;"--",$O46&lt;&gt;"O3/CP",$O$14=F$18),IF(LEFT($O46,1)="P",VLOOKUP(CONCATENATE(LEFT($O46,2),"H"),$R$63:$T$91,3,FALSE),VLOOKUP($O46,$R$63:$T$91,3,FALSE)))+IF(AND($O46&lt;&gt;"",$O46&lt;&gt;"O3/CP",$O$15=F$18,MID($O46,4,1)="2",$O$15&lt;&gt;$O$14),VLOOKUP(CONCATENATE(LEFT($O46,2),"L"),$R$63:$T$91,3,FALSE),0)+IF(AND($O46="O3/CP",$O$14=F$18),VLOOKUP("O3",$R$63:$T$91,3,FALSE)+VLOOKUP("CP",$R$63:$T$91,3,FALSE),0)+IF(AND($P46&lt;&gt;"",$P46&lt;&gt;"--",$P46&lt;&gt;"O3/CP",$P$14=F$18),IF(LEFT($P46,1)="P",VLOOKUP(CONCATENATE(LEFT($P46,2),"H"),$R$63:$T$91,3,FALSE),VLOOKUP($P46,$R$63:$T$91,3,FALSE)))+IF(AND($P46&lt;&gt;"",$P46&lt;&gt;"O3/CP",$P$15=F$18,MID($P46,4,1)="2",$P$15&lt;&gt;$P$14),VLOOKUP(CONCATENATE(LEFT($P46,2),"L"),$R$63:$T$91,3,FALSE),0)+IF(AND($P46="O3/CP",$P$14=F$18),VLOOKUP("O3",$R$63:$T$91,3,FALSE)+VLOOKUP("CP",$R$63:$T$91,3,FALSE),0)+IF(AND($Q46&lt;&gt;"",$Q46&lt;&gt;"--",$Q46&lt;&gt;"O3/CP",$Q$14=F$18),IF(LEFT($Q46,1)="P",VLOOKUP(CONCATENATE(LEFT($Q46,2),"H"),$R$63:$T$91,3,FALSE),VLOOKUP($Q46,$R$63:$T$91,3,FALSE)))+IF(AND($Q46&lt;&gt;"",$Q46&lt;&gt;"O3/CP",$Q$15=F$18,MID($Q46,4,1)="2",$Q$15&lt;&gt;$Q$14),VLOOKUP(CONCATENATE(LEFT($Q46,2),"L"),$R$63:$T$91,3,FALSE),0)+IF(AND($Q46="O3/CP",$Q$14=F$18),VLOOKUP("O3",$R$63:$T$91,3,FALSE)+VLOOKUP("CP",$R$63:$T$91,3,FALSE),0)+IF(AND($R46&lt;&gt;"",$R46&lt;&gt;"--",$R46&lt;&gt;"O3/CP",$R$14=F$18),IF(LEFT($R46,1)="P",VLOOKUP(CONCATENATE(LEFT($R46,2),"H"),$R$63:$T$91,3,FALSE),VLOOKUP($R46,$R$63:$T$91,3,FALSE)))+IF(AND($R46&lt;&gt;"",$R46&lt;&gt;"O3/CP",$R$15=F$18,MID($R46,4,1)="2",$R$15&lt;&gt;$R$14),VLOOKUP(CONCATENATE(LEFT($R46,2),"L"),$R$63:$T$91,3,FALSE),0)+IF(AND($R46="O3/CP",$R$14=F$18),VLOOKUP("O3",$R$63:$T$91,3,FALSE)+VLOOKUP("CP",$R$63:$T$91,3,FALSE),0)+IF(AND($S46&lt;&gt;"",$S46&lt;&gt;"--",$S46&lt;&gt;"O3/CP",$S$14=F$18),IF(LEFT($S46,1)="P",VLOOKUP(CONCATENATE(LEFT($S46,2),"H"),$R$63:$T$91,3,FALSE),VLOOKUP($S46,$R$63:$T$91,3,FALSE)))+IF(AND($S46&lt;&gt;"",$S46&lt;&gt;"O3/CP",$S$15=F$18,MID($S46,4,1)="2",$S$15&lt;&gt;$S$14),VLOOKUP(CONCATENATE(LEFT($S46,2),"L"),$R$63:$T$91,3,FALSE),0)+IF(AND($S46="O3/CP",$S$14=F$18),VLOOKUP("O3",$R$63:$T$91,3,FALSE)+VLOOKUP("CP",$R$63:$T$91,3,FALSE),0)+IF(AND($T46&lt;&gt;"",$T46&lt;&gt;"--",$T46&lt;&gt;"O3/CP",$T$14=F$18),IF(LEFT($T46,1)="P",VLOOKUP(CONCATENATE(LEFT($T46,2),"H"),$R$63:$T$91,3,FALSE),VLOOKUP($T46,$R$63:$T$91,3,FALSE)))+IF(AND($T46&lt;&gt;"",$T46&lt;&gt;"O3/CP",$T$15=F$18,MID($T46,4,1)="2",$T$15&lt;&gt;$T$14),VLOOKUP(CONCATENATE(LEFT($T46,2),"L"),$R$63:$T$91,3,FALSE),0)+IF(AND($T46="O3/CP",$T$14=F$18),VLOOKUP("O3",$R$63:$T$91,3,FALSE)+VLOOKUP("CP",$R$63:$T$91,3,FALSE),0)+IF(AND($U46&lt;&gt;"",$U46&lt;&gt;"--",$U46&lt;&gt;"O3/CP",$U$14=F$18),IF(LEFT($U46,1)="P",VLOOKUP(CONCATENATE(LEFT($U46,2),"H"),$R$63:$T$91,3,FALSE),VLOOKUP($U46,$R$63:$T$91,3,FALSE)))+IF(AND($U46&lt;&gt;"",$U46&lt;&gt;"O3/CP",$U$15=F$18,MID($U46,4,1)="2",$U$15&lt;&gt;$U$14),VLOOKUP(CONCATENATE(LEFT($U46,2),"L"),$R$63:$T$91,3,FALSE),0)+IF(AND($U46="O3/CP",$T$14=F$18),VLOOKUP("O3",$R$63:$T$91,3,FALSE)+VLOOKUP("CP",$R$63:$T$91,3,FALSE),0)+IF(AND($V46&lt;&gt;"",$V46&lt;&gt;"--",$V46&lt;&gt;"O3/CP",$V$14=F$18),IF(LEFT($V46,1)="P",VLOOKUP(CONCATENATE(LEFT($V46,2),"H"),$R$63:$T$91,3,FALSE),VLOOKUP($V46,$R$63:$T$91,3,FALSE)))+IF(AND($V46&lt;&gt;"",$V46&lt;&gt;"O3/CP",$V$15=F$18,MID($V46,4,1)="2",$V$15&lt;&gt;$V$14),VLOOKUP(CONCATENATE(LEFT($V46,2),"L"),$R$63:$T$91,3,FALSE),0)+IF(AND($V46="O3/CP",$V$14=F$18),VLOOKUP("O3",$R$63:$T$91,3,FALSE)+VLOOKUP("CP",$R$63:$T$91,3,FALSE),0)+IF(AND($W46&lt;&gt;"",$W46&lt;&gt;"--",$W46&lt;&gt;"O3/CP",$W$14=F$18),IF(LEFT($W46,1)="P",VLOOKUP(CONCATENATE(LEFT($W46,2),"H"),$R$63:$T$91,3,FALSE),VLOOKUP($W46,$R$63:$T$91,3,FALSE)))+IF(AND($W46&lt;&gt;"",$W46&lt;&gt;"O3/CP",$W$15=F$18,MID($W46,4,1)="2",$W$15&lt;&gt;$W$14),VLOOKUP(CONCATENATE(LEFT($W46,2),"L"),$R$63:$T$91,3,FALSE),0)+IF(AND($W46="O3/CP",$W$14=F$18),VLOOKUP("O3",$R$63:$T$91,3,FALSE)+VLOOKUP("CP",$R$63:$T$91,3,FALSE),0)+IF(AND($X46&lt;&gt;"",$X46&lt;&gt;"--",$X46&lt;&gt;"O3/CP",$X$14=F$18),IF(LEFT($X46,1)="P",VLOOKUP(CONCATENATE(LEFT($X46,2),"H"),$R$63:$T$91,3,FALSE),VLOOKUP($X46,$R$63:$T$91,3,FALSE)))+IF(AND($X46&lt;&gt;"",$X46&lt;&gt;"O3/CP",$X$15=F$18,MID($X46,4,1)="2",$X$15&lt;&gt;$X$14),VLOOKUP(CONCATENATE(LEFT($X46,2),"L"),$R$63:$T$91,3,FALSE),0)+IF(AND($X46="O3/CP",$X$14=F$18),VLOOKUP("O3",$R$63:$T$91,3,FALSE)+VLOOKUP("CP",$R$63:$T$91,3,FALSE),0)+IF(AND($Y46&lt;&gt;"",$Y46&lt;&gt;"--",$Y46&lt;&gt;"O3/CP",$Y$14=F$18),IF(LEFT($Y46,1)="P",VLOOKUP(CONCATENATE(LEFT($Y46,2),"H"),$R$63:$T$91,3,FALSE),VLOOKUP($Y46,$R$63:$T$91,3,FALSE)))+IF(AND($Y46&lt;&gt;"",$Y46&lt;&gt;"O3/CP",$Y$15=F$18,MID($Y46,4,1)="2",$Y$15&lt;&gt;$Y$14),VLOOKUP(CONCATENATE(LEFT($Y46,2),"L"),$R$63:$T$91,3,FALSE),0)+IF(AND($Y46="O3/CP",$Y$14=F$18),VLOOKUP("O3",$R$63:$T$91,3,FALSE)+VLOOKUP("CP",$R$63:$T$91,3,FALSE),0)+IF(AND($K$6="CE",'[3]Supply Attribution'!$G$20=F$18),LEFT($S$90,2),0)+IF(AND($X$86&lt;&gt;"Not Set",$X$87=F$18),$X$86,0)</f>
        <v>0</v>
      </c>
      <c r="G46" s="269">
        <f>IF(AND($K$6="CE",$T$59="1 Phase"),SUM(A46:F46)-IF(AND($K$14&lt;&gt;$K$15,RIGHT($K46,3)="2SP"),VLOOKUP(CONCATENATE(LEFT($K46,2),"L"),$R$63:$T$90,3,FALSE),0)-IF(AND($L$14&lt;&gt;$L$15,RIGHT($L46,3)="2SP"),VLOOKUP(CONCATENATE(LEFT($L46,2),"L"),$R$63:$T$90,3,FALSE),0)-IF(AND($M$14&lt;&gt;$M$15,RIGHT($M46,3)="2SP"),VLOOKUP(CONCATENATE(LEFT($M46,2),"L"),$R$63:$T$90,3,FALSE),0)-IF(AND($N$14&lt;&gt;$N$15,RIGHT($N46,3)="2SP"),VLOOKUP(CONCATENATE(LEFT($N46,2),"L"),$R$63:$T$90,3,FALSE),0)-IF(AND($O$14&lt;&gt;$O$15,RIGHT($O46,3)="2SP"),VLOOKUP(CONCATENATE(LEFT($O46,2),"L"),$R$63:$T$90,3,FALSE),0)-IF(AND($P$14&lt;&gt;$P$15,RIGHT($P46,3)="2SP"),VLOOKUP(CONCATENATE(LEFT($P46,2),"L"),$R$63:$T$90,3,FALSE),0)-IF(AND($Q$14&lt;&gt;$Q$15,RIGHT($Q46,3)="2SP"),VLOOKUP(CONCATENATE(LEFT($Q46,2),"L"),$R$63:$T$90,3,FALSE),0)-IF(AND($R$14&lt;&gt;$R$15,RIGHT($T46,3)="2SP"),VLOOKUP(CONCATENATE(LEFT($R46,2),"L"),$R$63:$T$90,3,FALSE),0)-IF(AND($S$14&lt;&gt;$S$15,RIGHT($T46,3)="2SP"),VLOOKUP(CONCATENATE(LEFT($S46,2),"L"),$R$63:$T$90,3,FALSE),0)-IF(AND($T$14&lt;&gt;$T$15,RIGHT($T46,3)="2SP"),VLOOKUP(CONCATENATE(LEFT($T46,2),"L"),$R$63:$T$90,3,FALSE),0)-IF(AND($U$14&lt;&gt;$U$15,RIGHT($U46,3)="2SP"),VLOOKUP(CONCATENATE(LEFT($U46,2),"L"),$R$63:$T$90,3,FALSE),0)-IF(AND($V$14&lt;&gt;$V$15,RIGHT($V46,3)="2SP"),VLOOKUP(CONCATENATE(LEFT($V46,2),"L"),$R$63:$T$90,3,FALSE),0)-IF(AND($W$14&lt;&gt;$W$15,RIGHT($W46,3)="2SP"),VLOOKUP(CONCATENATE(LEFT($W46,2),"L"),$R$63:$T$90,3,FALSE),0)-IF(AND($X$14&lt;&gt;$X$15,RIGHT($X46,3)="2SP"),VLOOKUP(CONCATENATE(LEFT($X46,2),"L"),$R$63:$T$90,3,FALSE),0)-IF(AND($Y$14&lt;&gt;$Y$15,RIGHT($Y46,3)="2SP"),VLOOKUP(CONCATENATE(LEFT($Y46,2),"L"),$R$63:$T$90,3,FALSE),0),IF(VLOOKUP(CONCATENATE($A$18,"Line"),'[3]Supply Attribution'!$F$31:$G$37,2,FALSE)=G$18,$A46,0)+IF(VLOOKUP(CONCATENATE($B$18,"Line"),'[3]Supply Attribution'!$F$31:$G$37,2,FALSE)=G$18,$B46,0)+IF(VLOOKUP(CONCATENATE($C$18,"Line"),'[3]Supply Attribution'!$F$31:$G$37,2,FALSE)=G$18,$C46,0)+IF(VLOOKUP(CONCATENATE($D$18,"Line"),'[3]Supply Attribution'!$F$31:$G$37,2,FALSE)=G$18,$D46,0)+IF(VLOOKUP(CONCATENATE($E$18,"Line"),'[3]Supply Attribution'!$F$31:$G$37,2,FALSE)=G$18,$E46,0)+IF(VLOOKUP(CONCATENATE($F$18,"Line"),'[3]Supply Attribution'!$F$31:$G$37,2,FALSE)=G$18,$F46,0)+IF($K$6="UL",LEFT($S$90,2),0)-IF(AND($K$16=G$18,$K$14&lt;&gt;$K$15,$K$16=$K$17,RIGHT($K46,3)="2SP"),VLOOKUP(CONCATENATE(LEFT($K46,2),"L"),$R$63:$T$90,3,FALSE),0)-IF(AND($L$16=G$18,$L$14&lt;&gt;$L$15,$L$16=$L$17,RIGHT($L46,3)="2SP"),VLOOKUP(CONCATENATE(LEFT($L46,2),"L"),$R$63:$T$90,3,FALSE),0)-IF(AND($M$16=G$18,$M$14&lt;&gt;$M$15,$M$16=$M$17,RIGHT($M46,3)="2SP"),VLOOKUP(CONCATENATE(LEFT($M46,2),"L"),$R$63:$T$90,3,FALSE),0)-IF(AND($N$16=G$18,$N$14&lt;&gt;$N$15,$N$16=$N$17,RIGHT($N46,3)="2SP"),VLOOKUP(CONCATENATE(LEFT($N46,2),"L"),$R$63:$T$90,3,FALSE),0)-IF(AND($O$16=G$18,$O$14&lt;&gt;$O$15,$O$16=$O$17,RIGHT($O46,3)="2SP"),VLOOKUP(CONCATENATE(LEFT($O46,2),"L"),$R$63:$T$90,3,FALSE),0)-IF(AND($P$16=G$18,$P$14&lt;&gt;$P$15,$P$16=$P$17,RIGHT($P46,3)="2SP"),VLOOKUP(CONCATENATE(LEFT($P46,2),"L"),$R$63:$T$90,3,FALSE),0)-IF(AND($Q$16=G$18,$Q$14&lt;&gt;$Q$15,$Q$16=$Q$17,RIGHT($Q46,3)="2SP"),VLOOKUP(CONCATENATE(LEFT($Q46,2),"L"),$R$63:$T$90,3,FALSE),0)-IF(AND($R$16=G$18,$R$14&lt;&gt;$R$15,$R$16=$R$17,RIGHT($R46,3)="2SP"),VLOOKUP(CONCATENATE(LEFT($R46,2),"L"),$R$63:$T$90,3,FALSE),0)-IF(AND($S$16=G$18,$S$14&lt;&gt;$S$15,$S$16=$S$17,RIGHT($S46,3)="2SP"),VLOOKUP(CONCATENATE(LEFT($S46,2),"L"),$R$63:$T$90,3,FALSE),0)-IF(AND($T$16=G$18,$T$14&lt;&gt;$T$15,$T$16=$T$17,RIGHT($T46,3)="2SP"),VLOOKUP(CONCATENATE(LEFT($T46,2),"L"),$R$63:$T$90,3,FALSE),0)-IF(AND($U$16=G$18,$U$14&lt;&gt;$U$15,$U$16=$U$17,RIGHT($U46,3)="2SP"),VLOOKUP(CONCATENATE(LEFT($U46,2),"L"),$R$63:$T$90,3,FALSE),0)-IF(AND($V$16=G$18,$V$14&lt;&gt;$V$15,$V$16=$V$17,RIGHT($V46,3)="2SP"),VLOOKUP(CONCATENATE(LEFT($V46,2),"L"),$R$63:$T$90,3,FALSE),0)-IF(AND($W$16=G$18,$W$14&lt;&gt;$W$15,$W$16=$W$17,RIGHT($W46,3)="2SP"),VLOOKUP(CONCATENATE(LEFT($W46,2),"L"),$R$63:$T$90,3,FALSE),0)-IF(AND($X$16=G$18,$X$14&lt;&gt;$X$15,$X$16=$X$17,RIGHT($X46,3)="2SP"),VLOOKUP(CONCATENATE(LEFT($X46,2),"L"),$R$63:$T$90,3,FALSE),0)-IF(AND($Y$16=G$18,$Y$14&lt;&gt;$Y$15,$Y$16=$Y$17,RIGHT($Y46,3)="2SP"),VLOOKUP(CONCATENATE(LEFT($Y46,2),"L"),$R$63:$T$90,3,FALSE),0))</f>
        <v>17</v>
      </c>
      <c r="H46" s="269" t="str">
        <f>IF(H$18&lt;&gt;"",IF(VLOOKUP(CONCATENATE($A$18,"Line"),'Supply Attribution'!$F$31:$G$37,2,FALSE)=H$18,$A46,0)+IF(VLOOKUP(CONCATENATE($B$18,"Line"),'Supply Attribution'!$F$31:$G$37,2,FALSE)=H$18,$B46,0)+IF(VLOOKUP(CONCATENATE($C$18,"Line"),'Supply Attribution'!$F$31:$G$37,2,FALSE)=H$18,$C46,0)+IF(VLOOKUP(CONCATENATE($D$18,"Line"),'Supply Attribution'!$F$31:$G$37,2,FALSE)=H$18,$D46,0)+IF(VLOOKUP(CONCATENATE($E$18,"Line"),'Supply Attribution'!$F$31:$G$37,2,FALSE)=H$18,$E46,0)+IF(VLOOKUP(CONCATENATE($F$18,"Line"),'Supply Attribution'!$F$31:$G$37,2,FALSE)=H$18,$F46,0)+IF($K$6="UL",LEFT($S$90,2),0)-IF(AND($K$16=H$18,$K$14&lt;&gt;$K$15,$K$16=$K$17,RIGHT($K46,3)="2SP"),VLOOKUP(CONCATENATE(LEFT($K46,2),"L"),$R$63:$T$90,3,FALSE),0)-IF(AND($L$16=H$18,$L$14&lt;&gt;$L$15,$L$16=$L$17,RIGHT($L46,3)="2SP"),VLOOKUP(CONCATENATE(LEFT($L46,2),"L"),$R$63:$T$90,3,FALSE),0)-IF(AND($M$16=H$18,$M$14&lt;&gt;$M$15,$M$16=$M$17,RIGHT($M46,3)="2SP"),VLOOKUP(CONCATENATE(LEFT($M46,2),"L"),$R$63:$T$90,3,FALSE),0)-IF(AND($N$16=H$18,$N$14&lt;&gt;$N$15,$N$16=$N$17,RIGHT($N46,3)="2SP"),VLOOKUP(CONCATENATE(LEFT($N46,2),"L"),$R$63:$T$90,3,FALSE),0)-IF(AND($O$16=H$18,$O$14&lt;&gt;$O$15,$O$16=$O$17,RIGHT($O46,3)="2SP"),VLOOKUP(CONCATENATE(LEFT($O46,2),"L"),$R$63:$T$90,3,FALSE),0)-IF(AND($P$16=H$18,$P$14&lt;&gt;$P$15,$P$16=$P$17,RIGHT($P46,3)="2SP"),VLOOKUP(CONCATENATE(LEFT($P46,2),"L"),$R$63:$T$90,3,FALSE),0)-IF(AND($Q$16=H$18,$Q$14&lt;&gt;$Q$15,$Q$16=$Q$17,RIGHT($Q46,3)="2SP"),VLOOKUP(CONCATENATE(LEFT($Q46,2),"L"),$R$63:$T$90,3,FALSE),0)-IF(AND($T$16=H$18,$T$14&lt;&gt;$T$15,$T$16=$T$17,RIGHT($T46,3)="2SP"),VLOOKUP(CONCATENATE(LEFT($T46,2),"L"),$R$63:$T$90,3,FALSE),0)-IF(AND($U$16=H$18,$U$14&lt;&gt;$U$15,$U$16=$U$17,RIGHT($U46,3)="2SP"),VLOOKUP(CONCATENATE(LEFT($U46,2),"L"),$R$63:$T$90,3,FALSE),0)-IF(AND($V$16=H$18,$V$14&lt;&gt;$V$15,$V$16=$V$17,RIGHT($V46,3)="2SP"),VLOOKUP(CONCATENATE(LEFT($V46,2),"L"),$R$63:$T$90,3,FALSE),0)-IF(AND($W$16=H$18,$W$14&lt;&gt;$W$15,$W$16=$W$17,RIGHT($W46,3)="2SP"),VLOOKUP(CONCATENATE(LEFT($W46,2),"L"),$R$63:$T$90,3,FALSE),0)-IF(AND($X$16=H$18,$X$14&lt;&gt;$X$15,$X$16=$X$17,RIGHT($X46,3)="2SP"),VLOOKUP(CONCATENATE(LEFT($X46,2),"L"),$R$63:$T$90,3,FALSE),0)-IF(AND($Y$16=H$18,$Y$14&lt;&gt;$Y$15,$Y$16=$Y$17,RIGHT($Y46,3)="2SP"),VLOOKUP(CONCATENATE(LEFT($Y46,2),"L"),$R$63:$T$90,3,FALSE),0)+IF(AND($K$6="CE",$T$59="2 Phases",H$18&lt;&gt;""),IF(VLOOKUP(CONCATENATE($A$18,"Line"),'Supply Attribution'!$F$31:$G$37,2,FALSE)="Line3",$A46,0)+IF(VLOOKUP(CONCATENATE($B$18,"Line"),'Supply Attribution'!$F$31:$G$37,2,FALSE)="Line3",$B46,0)+IF(VLOOKUP(CONCATENATE($C$18,"Line"),'Supply Attribution'!$F$31:$G$37,2,FALSE)="Line3",$C46,0)+IF(VLOOKUP(CONCATENATE($D$18,"Line"),'Supply Attribution'!$F$31:$G$37,2,FALSE)="Line3",$D46,0)+IF(VLOOKUP(CONCATENATE($E$18,"Line"),'Supply Attribution'!$F$31:$G$37,2,FALSE)="Line3",$E46,0)+IF(VLOOKUP(CONCATENATE($F$18,"Line"),'Supply Attribution'!$F$31:$G$37,2,FALSE)="Line3",$F46,0)-IF(AND($K$16=I$18,$K$14&lt;&gt;$K$15,$K$16=$K$17,RIGHT($K46,3)="2SP"),VLOOKUP(CONCATENATE(LEFT($K46,2),"L"),$R$63:$T$90,3,FALSE),0)-IF(AND($L$16=I$18,$L$14&lt;&gt;$L$15,$L$16=$L$17,RIGHT($L46,3)="2SP"),VLOOKUP(CONCATENATE(LEFT($L46,2),"L"),$R$63:$T$90,3,FALSE),0)-IF(AND($M$16=I$18,$M$14&lt;&gt;$M$15,$M$16=$M$17,RIGHT($M46,3)="2SP"),VLOOKUP(CONCATENATE(LEFT($M46,2),"L"),$R$63:$T$90,3,FALSE),0)-IF(AND($N$16=I$18,$N$14&lt;&gt;$N$15,$N$16=$N$17,RIGHT($N46,3)="2SP"),VLOOKUP(CONCATENATE(LEFT($N46,2),"L"),$R$63:$T$90,3,FALSE),0)-IF(AND($O$16=I$18,$O$14&lt;&gt;$O$15,$O$16=$O$17,RIGHT($O46,3)="2SP"),VLOOKUP(CONCATENATE(LEFT($O46,2),"L"),$R$63:$T$90,3,FALSE),0)-IF(AND($P$16=I$18,$P$14&lt;&gt;$P$15,$P$16=$P$17,RIGHT($P46,3)="2SP"),VLOOKUP(CONCATENATE(LEFT($P46,2),"L"),$R$63:$T$90,3,FALSE),0)-IF(AND($Q$16=I$18,$Q$14&lt;&gt;$Q$15,$Q$16=$Q$17,RIGHT($Q46,3)="2SP"),VLOOKUP(CONCATENATE(LEFT($Q46,2),"L"),$R$63:$T$90,3,FALSE),0)-IF(AND($T$16=I$18,$T$14&lt;&gt;$T$15,$T$16=$T$17,RIGHT($T46,3)="2SP"),VLOOKUP(CONCATENATE(LEFT($T46,2),"L"),$R$63:$T$90,3,FALSE),0)-IF(AND($U$16=I$18,$U$14&lt;&gt;$U$15,$U$16=$U$17,RIGHT($U46,3)="2SP"),VLOOKUP(CONCATENATE(LEFT($U46,2),"L"),$R$63:$T$90,3,FALSE),0)-IF(AND($V$16=I$18,$V$14&lt;&gt;$V$15,$V$16=$V$17,RIGHT($V46,3)="2SP"),VLOOKUP(CONCATENATE(LEFT($V46,2),"L"),$R$63:$T$90,3,FALSE),0)-IF(AND($W$16=I$18,$W$14&lt;&gt;$W$15,$W$16=$W$17,RIGHT($W46,3)="2SP"),VLOOKUP(CONCATENATE(LEFT($W46,2),"L"),$R$63:$T$90,3,FALSE),0)-IF(AND($X$16=I$18,$X$14&lt;&gt;$X$15,$X$16=$X$17,RIGHT($X46,3)="2SP"),VLOOKUP(CONCATENATE(LEFT($X46,2),"L"),$R$63:$T$90,3,FALSE),0)-IF(AND($Y$16=I$18,$Y$14&lt;&gt;$Y$15,$Y$16=$Y$17,RIGHT($Y46,3)="2SP"),VLOOKUP(CONCATENATE(LEFT($Y46,2),"L"),$R$63:$T$90,3,FALSE),0),0),"")</f>
        <v/>
      </c>
      <c r="I46" s="269" t="str">
        <f>IF(I$18&lt;&gt;"",IF(VLOOKUP(CONCATENATE($A$18,"Line"),'Supply Attribution'!$F$31:$G$37,2,FALSE)=I$18,$A46,0)+IF(VLOOKUP(CONCATENATE($B$18,"Line"),'Supply Attribution'!$F$31:$G$37,2,FALSE)=I$18,$B46,0)+IF(VLOOKUP(CONCATENATE($C$18,"Line"),'Supply Attribution'!$F$31:$G$37,2,FALSE)=I$18,$C46,0)+IF(VLOOKUP(CONCATENATE($D$18,"Line"),'Supply Attribution'!$F$31:$G$37,2,FALSE)=I$18,$D46,0)+IF(VLOOKUP(CONCATENATE($E$18,"Line"),'Supply Attribution'!$F$31:$G$37,2,FALSE)=I$18,$E46,0)+IF(VLOOKUP(CONCATENATE($F$18,"Line"),'Supply Attribution'!$F$31:$G$37,2,FALSE)=I$18,$F46,0)+IF($K$6="UL",LEFT($S$90,2),0)-IF(AND($K$16=I$18,$K$14&lt;&gt;$K$15,$K$16=$K$17,RIGHT($K46,3)="2SP"),VLOOKUP(CONCATENATE(LEFT($K46,2),"L"),$R$63:$T$90,3,FALSE),0)-IF(AND($L$16=I$18,$L$14&lt;&gt;$L$15,$L$16=$L$17,RIGHT($L46,3)="2SP"),VLOOKUP(CONCATENATE(LEFT($L46,2),"L"),$R$63:$T$90,3,FALSE),0)-IF(AND($M$16=I$18,$M$14&lt;&gt;$M$15,$M$16=$M$17,RIGHT($M46,3)="2SP"),VLOOKUP(CONCATENATE(LEFT($M46,2),"L"),$R$63:$T$90,3,FALSE),0)-IF(AND($N$16=I$18,$N$14&lt;&gt;$N$15,$N$16=$N$17,RIGHT($N46,3)="2SP"),VLOOKUP(CONCATENATE(LEFT($N46,2),"L"),$R$63:$T$90,3,FALSE),0)-IF(AND($O$16=I$18,$O$14&lt;&gt;$O$15,$O$16=$O$17,RIGHT($O46,3)="2SP"),VLOOKUP(CONCATENATE(LEFT($O46,2),"L"),$R$63:$T$90,3,FALSE),0)-IF(AND($P$16=I$18,$P$14&lt;&gt;$P$15,$P$16=$P$17,RIGHT($P46,3)="2SP"),VLOOKUP(CONCATENATE(LEFT($P46,2),"L"),$R$63:$T$90,3,FALSE),0)-IF(AND($Q$16=I$18,$Q$14&lt;&gt;$Q$15,$Q$16=$Q$17,RIGHT($Q46,3)="2SP"),VLOOKUP(CONCATENATE(LEFT($Q46,2),"L"),$R$63:$T$90,3,FALSE),0)-IF(AND($T$16=I$18,$T$14&lt;&gt;$T$15,$T$16=$T$17,RIGHT($T46,3)="2SP"),VLOOKUP(CONCATENATE(LEFT($T46,2),"L"),$R$63:$T$90,3,FALSE),0)-IF(AND($U$16=I$18,$U$14&lt;&gt;$U$15,$U$16=$U$17,RIGHT($U46,3)="2SP"),VLOOKUP(CONCATENATE(LEFT($U46,2),"L"),$R$63:$T$90,3,FALSE),0)-IF(AND($V$16=I$18,$V$14&lt;&gt;$V$15,$V$16=$V$17,RIGHT($V46,3)="2SP"),VLOOKUP(CONCATENATE(LEFT($V46,2),"L"),$R$63:$T$90,3,FALSE),0)-IF(AND($W$16=I$18,$W$14&lt;&gt;$W$15,$W$16=$W$17,RIGHT($W46,3)="2SP"),VLOOKUP(CONCATENATE(LEFT($W46,2),"L"),$R$63:$T$90,3,FALSE),0)-IF(AND($X$16=I$18,$X$14&lt;&gt;$X$15,$X$16=$X$17,RIGHT($X46,3)="2SP"),VLOOKUP(CONCATENATE(LEFT($X46,2),"L"),$R$63:$T$90,3,FALSE),0)-IF(AND($Y$16=I$18,$Y$14&lt;&gt;$Y$15,$Y$16=$Y$17,RIGHT($Y46,3)="2SP"),VLOOKUP(CONCATENATE(LEFT($Y46,2),"L"),$R$63:$T$90,3,FALSE),0),"")</f>
        <v/>
      </c>
      <c r="J46" s="134"/>
      <c r="K46" s="135"/>
      <c r="L46" s="135"/>
      <c r="M46" s="135"/>
      <c r="N46" s="135"/>
      <c r="O46" s="135"/>
      <c r="P46" s="135"/>
      <c r="Q46" s="135"/>
      <c r="R46" s="135"/>
      <c r="S46" s="135"/>
      <c r="T46" s="135"/>
      <c r="U46" s="135"/>
      <c r="V46" s="135"/>
      <c r="W46" s="135"/>
      <c r="X46" s="135"/>
      <c r="Y46" s="135"/>
      <c r="Z46" s="136"/>
      <c r="AA46" s="136"/>
      <c r="AB46" s="137"/>
      <c r="AC46" s="137"/>
      <c r="AD46" s="137"/>
      <c r="AE46" s="138">
        <f t="shared" si="0"/>
        <v>0</v>
      </c>
      <c r="AF46" s="78"/>
    </row>
    <row r="47" spans="1:32" ht="13.15" customHeight="1">
      <c r="A47" s="264">
        <f>IF(AND($K47&lt;&gt;"",$K47&lt;&gt;"--",$K47&lt;&gt;"O3/CP",$K$14=A$18),IF(LEFT($K47,1)="P",VLOOKUP(CONCATENATE(LEFT($K47,2),"H"),$R$63:$T$91,3,FALSE),VLOOKUP($K47,$R$63:$T$91,3,FALSE)))+IF(AND($K47&lt;&gt;"",$K47&lt;&gt;"O3/CP",$K$15=A$18,MID($K47,4,1)="2",$K$15&lt;&gt;$K$14),VLOOKUP(CONCATENATE(LEFT($K47,2),"L"),$R$63:$T$91,3,FALSE),0)+IF(AND($K47="O3/CP",$K$14=A$18),VLOOKUP("O3",$R$63:$T$91,3,FALSE)+VLOOKUP("CP",$R$63:$T$91,3,FALSE),0)+IF(AND($L47&lt;&gt;"",$L47&lt;&gt;"--",$L47&lt;&gt;"O3/CP",$L$14=A$18),IF(LEFT($L47,1)="P",VLOOKUP(CONCATENATE(LEFT($L47,2),"H"),$R$63:$T$91,3,FALSE),VLOOKUP($L47,$R$63:$T$91,3,FALSE)))+IF(AND($L47&lt;&gt;"",$L47&lt;&gt;"O3/CP",$L$15=A$18,MID($L47,4,1)="2",$L$15&lt;&gt;$L$14),VLOOKUP(CONCATENATE(LEFT($L47,2),"L"),$R$63:$T$91,3,FALSE),0)+IF(AND($L47="O3/CP",$L$14=A$18),VLOOKUP("O3",$R$63:$T$91,3,FALSE)+VLOOKUP("CP",$R$63:$T$91,3,FALSE),0)+IF(AND($M47&lt;&gt;"",$M47&lt;&gt;"--",$M47&lt;&gt;"O3/CP",$M$14=A$18),IF(LEFT($M47,1)="P",VLOOKUP(CONCATENATE(LEFT($M47,2),"H"),$R$63:$T$91,3,FALSE),VLOOKUP($M47,$R$63:$T$91,3,FALSE)))+IF(AND($M47&lt;&gt;"",$M47&lt;&gt;"O3/CP",$M$15=A$18,MID($M47,4,1)="2",$M$15&lt;&gt;$M$14),VLOOKUP(CONCATENATE(LEFT($M47,2),"L"),$R$63:$T$91,3,FALSE),0)+IF(AND($M47="O3/CP",$M$14=A$18),VLOOKUP("O3",$R$63:$T$91,3,FALSE)+VLOOKUP("CP",$R$63:$T$91,3,FALSE),0)+IF(AND($N47&lt;&gt;"",$N47&lt;&gt;"--",$N47&lt;&gt;"O3/CP",$N$14=A$18),IF(LEFT($N47,1)="P",VLOOKUP(CONCATENATE(LEFT($N47,2),"H"),$R$63:$T$91,3,FALSE),VLOOKUP($N47,$R$63:$T$91,3,FALSE)))+IF(AND($N47&lt;&gt;"",$N47&lt;&gt;"O3/CP",$N$15=A$18,MID($N47,4,1)="2",$N$15&lt;&gt;$N$14),VLOOKUP(CONCATENATE(LEFT($N47,2),"L"),$R$63:$T$91,3,FALSE),0)+IF(AND($N47="O3/CP",$N$14=A$18),VLOOKUP("O3",$R$63:$T$91,3,FALSE)+VLOOKUP("CP",$R$63:$T$91,3,FALSE),0)+IF(AND($O47&lt;&gt;"",$O47&lt;&gt;"--",$O47&lt;&gt;"O3/CP",$O$14=A$18),IF(LEFT($O47,1)="P",VLOOKUP(CONCATENATE(LEFT($O47,2),"H"),$R$63:$T$91,3,FALSE),VLOOKUP($O47,$R$63:$T$91,3,FALSE)))+IF(AND($O47&lt;&gt;"",$O47&lt;&gt;"O3/CP",$O$15=A$18,MID($O47,4,1)="2",$O$15&lt;&gt;$O$14),VLOOKUP(CONCATENATE(LEFT($O47,2),"L"),$R$63:$T$91,3,FALSE),0)+IF(AND($O47="O3/CP",$O$14=A$18),VLOOKUP("O3",$R$63:$T$91,3,FALSE)+VLOOKUP("CP",$R$63:$T$91,3,FALSE),0)+IF(AND($P47&lt;&gt;"",$P47&lt;&gt;"--",$P47&lt;&gt;"O3/CP",$P$14=A$18),IF(LEFT($P47,1)="P",VLOOKUP(CONCATENATE(LEFT($P47,2),"H"),$R$63:$T$91,3,FALSE),VLOOKUP($P47,$R$63:$T$91,3,FALSE)))+IF(AND($P47&lt;&gt;"",$P47&lt;&gt;"O3/CP",$P$15=A$18,MID($P47,4,1)="2",$P$15&lt;&gt;$P$14),VLOOKUP(CONCATENATE(LEFT($P47,2),"L"),$R$63:$T$91,3,FALSE),0)+IF(AND($P47="O3/CP",$P$14=A$18),VLOOKUP("O3",$R$63:$T$91,3,FALSE)+VLOOKUP("CP",$R$63:$T$91,3,FALSE),0)+IF(AND($Q47&lt;&gt;"",$Q47&lt;&gt;"--",$Q47&lt;&gt;"O3/CP",$Q$14=A$18),IF(LEFT($Q47,1)="P",VLOOKUP(CONCATENATE(LEFT($Q47,2),"H"),$R$63:$T$91,3,FALSE),VLOOKUP($Q47,$R$63:$T$91,3,FALSE)))+IF(AND($Q47&lt;&gt;"",$Q47&lt;&gt;"O3/CP",$Q$15=A$18,MID($Q47,4,1)="2",$Q$15&lt;&gt;$Q$14),VLOOKUP(CONCATENATE(LEFT($Q47,2),"L"),$R$63:$T$91,3,FALSE),0)+IF(AND($Q47="O3/CP",$Q$14=A$18),VLOOKUP("O3",$R$63:$T$91,3,FALSE)+VLOOKUP("CP",$R$63:$T$91,3,FALSE),0)+IF(AND($R47&lt;&gt;"",$R47&lt;&gt;"--",$R47&lt;&gt;"O3/CP",$R$14=A$18),IF(LEFT($R47,1)="P",VLOOKUP(CONCATENATE(LEFT($R47,2),"H"),$R$63:$T$91,3,FALSE),VLOOKUP($R47,$R$63:$T$91,3,FALSE)))+IF(AND($R47&lt;&gt;"",$R47&lt;&gt;"O3/CP",$R$15=A$18,MID($R47,4,1)="2",$R$15&lt;&gt;$R$14),VLOOKUP(CONCATENATE(LEFT($R47,2),"L"),$R$63:$T$91,3,FALSE),0)+IF(AND($R47="O3/CP",$R$14=A$18),VLOOKUP("O3",$R$63:$T$91,3,FALSE)+VLOOKUP("CP",$R$63:$T$91,3,FALSE),0)+IF(AND($S47&lt;&gt;"",$S47&lt;&gt;"--",$S47&lt;&gt;"O3/CP",$S$14=A$18),IF(LEFT($S47,1)="P",VLOOKUP(CONCATENATE(LEFT($S47,2),"H"),$R$63:$T$91,3,FALSE),VLOOKUP($S47,$R$63:$T$91,3,FALSE)))+IF(AND($S47&lt;&gt;"",$S47&lt;&gt;"O3/CP",$S$15=A$18,MID($S47,4,1)="2",$S$15&lt;&gt;$S$14),VLOOKUP(CONCATENATE(LEFT($S47,2),"L"),$R$63:$T$91,3,FALSE),0)+IF(AND($S47="O3/CP",$S$14=A$18),VLOOKUP("O3",$R$63:$T$91,3,FALSE)+VLOOKUP("CP",$R$63:$T$91,3,FALSE),0)+IF(AND($T47&lt;&gt;"",$T47&lt;&gt;"--",$T47&lt;&gt;"O3/CP",$T$14=A$18),IF(LEFT($T47,1)="P",VLOOKUP(CONCATENATE(LEFT($T47,2),"H"),$R$63:$T$91,3,FALSE),VLOOKUP($T47,$R$63:$T$91,3,FALSE)))+IF(AND($T47&lt;&gt;"",$T47&lt;&gt;"O3/CP",$T$15=A$18,MID($T47,4,1)="2",$T$15&lt;&gt;$T$14),VLOOKUP(CONCATENATE(LEFT($T47,2),"L"),$R$63:$T$91,3,FALSE),0)+IF(AND($T47="O3/CP",$T$14=A$18),VLOOKUP("O3",$R$63:$T$91,3,FALSE)+VLOOKUP("CP",$R$63:$T$91,3,FALSE),0)+IF(AND($U47&lt;&gt;"",$U47&lt;&gt;"--",$U47&lt;&gt;"O3/CP",$U$14=A$18),IF(LEFT($U47,1)="P",VLOOKUP(CONCATENATE(LEFT($U47,2),"H"),$R$63:$T$91,3,FALSE),VLOOKUP($U47,$R$63:$T$91,3,FALSE)))+IF(AND($U47&lt;&gt;"",$U47&lt;&gt;"O3/CP",$U$15=A$18,MID($U47,4,1)="2",$U$15&lt;&gt;$U$14),VLOOKUP(CONCATENATE(LEFT($U47,2),"L"),$R$63:$T$91,3,FALSE),0)+IF(AND($U47="O3/CP",$T$14=A$18),VLOOKUP("O3",$R$63:$T$91,3,FALSE)+VLOOKUP("CP",$R$63:$T$91,3,FALSE),0)+IF(AND($V47&lt;&gt;"",$V47&lt;&gt;"--",$V47&lt;&gt;"O3/CP",$V$14=A$18),IF(LEFT($V47,1)="P",VLOOKUP(CONCATENATE(LEFT($V47,2),"H"),$R$63:$T$91,3,FALSE),VLOOKUP($V47,$R$63:$T$91,3,FALSE)))+IF(AND($V47&lt;&gt;"",$V47&lt;&gt;"O3/CP",$V$15=A$18,MID($V47,4,1)="2",$V$15&lt;&gt;$V$14),VLOOKUP(CONCATENATE(LEFT($V47,2),"L"),$R$63:$T$91,3,FALSE),0)+IF(AND($V47="O3/CP",$V$14=A$18),VLOOKUP("O3",$R$63:$T$91,3,FALSE)+VLOOKUP("CP",$R$63:$T$91,3,FALSE),0)+IF(AND($W47&lt;&gt;"",$W47&lt;&gt;"--",$W47&lt;&gt;"O3/CP",$W$14=A$18),IF(LEFT($W47,1)="P",VLOOKUP(CONCATENATE(LEFT($W47,2),"H"),$R$63:$T$91,3,FALSE),VLOOKUP($W47,$R$63:$T$91,3,FALSE)))+IF(AND($W47&lt;&gt;"",$W47&lt;&gt;"O3/CP",$W$15=A$18,MID($W47,4,1)="2",$W$15&lt;&gt;$W$14),VLOOKUP(CONCATENATE(LEFT($W47,2),"L"),$R$63:$T$91,3,FALSE),0)+IF(AND($W47="O3/CP",$W$14=A$18),VLOOKUP("O3",$R$63:$T$91,3,FALSE)+VLOOKUP("CP",$R$63:$T$91,3,FALSE),0)+IF(AND($X47&lt;&gt;"",$X47&lt;&gt;"--",$X47&lt;&gt;"O3/CP",$X$14=A$18),IF(LEFT($X47,1)="P",VLOOKUP(CONCATENATE(LEFT($X47,2),"H"),$R$63:$T$91,3,FALSE),VLOOKUP($X47,$R$63:$T$91,3,FALSE)))+IF(AND($X47&lt;&gt;"",$X47&lt;&gt;"O3/CP",$X$15=A$18,MID($X47,4,1)="2",$X$15&lt;&gt;$X$14),VLOOKUP(CONCATENATE(LEFT($X47,2),"L"),$R$63:$T$91,3,FALSE),0)+IF(AND($X47="O3/CP",$X$14=A$18),VLOOKUP("O3",$R$63:$T$91,3,FALSE)+VLOOKUP("CP",$R$63:$T$91,3,FALSE),0)+IF(AND($Y47&lt;&gt;"",$Y47&lt;&gt;"--",$Y47&lt;&gt;"O3/CP",$Y$14=A$18),IF(LEFT($Y47,1)="P",VLOOKUP(CONCATENATE(LEFT($Y47,2),"H"),$R$63:$T$91,3,FALSE),VLOOKUP($Y47,$R$63:$T$91,3,FALSE)))+IF(AND($Y47&lt;&gt;"",$Y47&lt;&gt;"O3/CP",$Y$15=A$18,MID($Y47,4,1)="2",$Y$15&lt;&gt;$Y$14),VLOOKUP(CONCATENATE(LEFT($Y47,2),"L"),$R$63:$T$91,3,FALSE),0)+IF(AND($Y47="O3/CP",$Y$14=A$18),VLOOKUP("O3",$R$63:$T$91,3,FALSE)+VLOOKUP("CP",$R$63:$T$91,3,FALSE),0)+IF(AND($K$6="CE",'[3]Supply Attribution'!$G$20=A$18),LEFT($S$90,2),0)+IF(AND($X$86&lt;&gt;"Not Set",$X$87=A$18),$X$86,0)</f>
        <v>0</v>
      </c>
      <c r="B47" s="271">
        <f>IF(AND($K47&lt;&gt;"",$K47&lt;&gt;"--",$K47&lt;&gt;"O3/CP",$K$14=B$18),IF(LEFT($K47,1)="P",VLOOKUP(CONCATENATE(LEFT($K47,2),"H"),$R$63:$T$91,3,FALSE),VLOOKUP($K47,$R$63:$T$91,3,FALSE)))+IF(AND($K47&lt;&gt;"",$K47&lt;&gt;"O3/CP",$K$15=B$18,MID($K47,4,1)="2",$K$15&lt;&gt;$K$14),VLOOKUP(CONCATENATE(LEFT($K47,2),"L"),$R$63:$T$91,3,FALSE),0)+IF(AND($K47="O3/CP",$K$14=B$18),VLOOKUP("O3",$R$63:$T$91,3,FALSE)+VLOOKUP("CP",$R$63:$T$91,3,FALSE),0)+IF(AND($L47&lt;&gt;"",$L47&lt;&gt;"--",$L47&lt;&gt;"O3/CP",$L$14=B$18),IF(LEFT($L47,1)="P",VLOOKUP(CONCATENATE(LEFT($L47,2),"H"),$R$63:$T$91,3,FALSE),VLOOKUP($L47,$R$63:$T$91,3,FALSE)))+IF(AND($L47&lt;&gt;"",$L47&lt;&gt;"O3/CP",$L$15=B$18,MID($L47,4,1)="2",$L$15&lt;&gt;$L$14),VLOOKUP(CONCATENATE(LEFT($L47,2),"L"),$R$63:$T$91,3,FALSE),0)+IF(AND($L47="O3/CP",$L$14=B$18),VLOOKUP("O3",$R$63:$T$91,3,FALSE)+VLOOKUP("CP",$R$63:$T$91,3,FALSE),0)+IF(AND($M47&lt;&gt;"",$M47&lt;&gt;"--",$M47&lt;&gt;"O3/CP",$M$14=B$18),IF(LEFT($M47,1)="P",VLOOKUP(CONCATENATE(LEFT($M47,2),"H"),$R$63:$T$91,3,FALSE),VLOOKUP($M47,$R$63:$T$91,3,FALSE)))+IF(AND($M47&lt;&gt;"",$M47&lt;&gt;"O3/CP",$M$15=B$18,MID($M47,4,1)="2",$M$15&lt;&gt;$M$14),VLOOKUP(CONCATENATE(LEFT($M47,2),"L"),$R$63:$T$91,3,FALSE),0)+IF(AND($M47="O3/CP",$M$14=B$18),VLOOKUP("O3",$R$63:$T$91,3,FALSE)+VLOOKUP("CP",$R$63:$T$91,3,FALSE),0)+IF(AND($N47&lt;&gt;"",$N47&lt;&gt;"--",$N47&lt;&gt;"O3/CP",$N$14=B$18),IF(LEFT($N47,1)="P",VLOOKUP(CONCATENATE(LEFT($N47,2),"H"),$R$63:$T$91,3,FALSE),VLOOKUP($N47,$R$63:$T$91,3,FALSE)))+IF(AND($N47&lt;&gt;"",$N47&lt;&gt;"O3/CP",$N$15=B$18,MID($N47,4,1)="2",$N$15&lt;&gt;$N$14),VLOOKUP(CONCATENATE(LEFT($N47,2),"L"),$R$63:$T$91,3,FALSE),0)+IF(AND($N47="O3/CP",$N$14=B$18),VLOOKUP("O3",$R$63:$T$91,3,FALSE)+VLOOKUP("CP",$R$63:$T$91,3,FALSE),0)+IF(AND($O47&lt;&gt;"",$O47&lt;&gt;"--",$O47&lt;&gt;"O3/CP",$O$14=B$18),IF(LEFT($O47,1)="P",VLOOKUP(CONCATENATE(LEFT($O47,2),"H"),$R$63:$T$91,3,FALSE),VLOOKUP($O47,$R$63:$T$91,3,FALSE)))+IF(AND($O47&lt;&gt;"",$O47&lt;&gt;"O3/CP",$O$15=B$18,MID($O47,4,1)="2",$O$15&lt;&gt;$O$14),VLOOKUP(CONCATENATE(LEFT($O47,2),"L"),$R$63:$T$91,3,FALSE),0)+IF(AND($O47="O3/CP",$O$14=B$18),VLOOKUP("O3",$R$63:$T$91,3,FALSE)+VLOOKUP("CP",$R$63:$T$91,3,FALSE),0)+IF(AND($P47&lt;&gt;"",$P47&lt;&gt;"--",$P47&lt;&gt;"O3/CP",$P$14=B$18),IF(LEFT($P47,1)="P",VLOOKUP(CONCATENATE(LEFT($P47,2),"H"),$R$63:$T$91,3,FALSE),VLOOKUP($P47,$R$63:$T$91,3,FALSE)))+IF(AND($P47&lt;&gt;"",$P47&lt;&gt;"O3/CP",$P$15=B$18,MID($P47,4,1)="2",$P$15&lt;&gt;$P$14),VLOOKUP(CONCATENATE(LEFT($P47,2),"L"),$R$63:$T$91,3,FALSE),0)+IF(AND($P47="O3/CP",$P$14=B$18),VLOOKUP("O3",$R$63:$T$91,3,FALSE)+VLOOKUP("CP",$R$63:$T$91,3,FALSE),0)+IF(AND($Q47&lt;&gt;"",$Q47&lt;&gt;"--",$Q47&lt;&gt;"O3/CP",$Q$14=B$18),IF(LEFT($Q47,1)="P",VLOOKUP(CONCATENATE(LEFT($Q47,2),"H"),$R$63:$T$91,3,FALSE),VLOOKUP($Q47,$R$63:$T$91,3,FALSE)))+IF(AND($Q47&lt;&gt;"",$Q47&lt;&gt;"O3/CP",$Q$15=B$18,MID($Q47,4,1)="2",$Q$15&lt;&gt;$Q$14),VLOOKUP(CONCATENATE(LEFT($Q47,2),"L"),$R$63:$T$91,3,FALSE),0)+IF(AND($Q47="O3/CP",$Q$14=B$18),VLOOKUP("O3",$R$63:$T$91,3,FALSE)+VLOOKUP("CP",$R$63:$T$91,3,FALSE),0)+IF(AND($R47&lt;&gt;"",$R47&lt;&gt;"--",$R47&lt;&gt;"O3/CP",$R$14=B$18),IF(LEFT($R47,1)="P",VLOOKUP(CONCATENATE(LEFT($R47,2),"H"),$R$63:$T$91,3,FALSE),VLOOKUP($R47,$R$63:$T$91,3,FALSE)))+IF(AND($R47&lt;&gt;"",$R47&lt;&gt;"O3/CP",$R$15=B$18,MID($R47,4,1)="2",$R$15&lt;&gt;$R$14),VLOOKUP(CONCATENATE(LEFT($R47,2),"L"),$R$63:$T$91,3,FALSE),0)+IF(AND($R47="O3/CP",$R$14=B$18),VLOOKUP("O3",$R$63:$T$91,3,FALSE)+VLOOKUP("CP",$R$63:$T$91,3,FALSE),0)+IF(AND($S47&lt;&gt;"",$S47&lt;&gt;"--",$S47&lt;&gt;"O3/CP",$S$14=B$18),IF(LEFT($S47,1)="P",VLOOKUP(CONCATENATE(LEFT($S47,2),"H"),$R$63:$T$91,3,FALSE),VLOOKUP($S47,$R$63:$T$91,3,FALSE)))+IF(AND($S47&lt;&gt;"",$S47&lt;&gt;"O3/CP",$S$15=B$18,MID($S47,4,1)="2",$S$15&lt;&gt;$S$14),VLOOKUP(CONCATENATE(LEFT($S47,2),"L"),$R$63:$T$91,3,FALSE),0)+IF(AND($S47="O3/CP",$S$14=B$18),VLOOKUP("O3",$R$63:$T$91,3,FALSE)+VLOOKUP("CP",$R$63:$T$91,3,FALSE),0)+IF(AND($T47&lt;&gt;"",$T47&lt;&gt;"--",$T47&lt;&gt;"O3/CP",$T$14=B$18),IF(LEFT($T47,1)="P",VLOOKUP(CONCATENATE(LEFT($T47,2),"H"),$R$63:$T$91,3,FALSE),VLOOKUP($T47,$R$63:$T$91,3,FALSE)))+IF(AND($T47&lt;&gt;"",$T47&lt;&gt;"O3/CP",$T$15=B$18,MID($T47,4,1)="2",$T$15&lt;&gt;$T$14),VLOOKUP(CONCATENATE(LEFT($T47,2),"L"),$R$63:$T$91,3,FALSE),0)+IF(AND($T47="O3/CP",$T$14=B$18),VLOOKUP("O3",$R$63:$T$91,3,FALSE)+VLOOKUP("CP",$R$63:$T$91,3,FALSE),0)+IF(AND($U47&lt;&gt;"",$U47&lt;&gt;"--",$U47&lt;&gt;"O3/CP",$U$14=B$18),IF(LEFT($U47,1)="P",VLOOKUP(CONCATENATE(LEFT($U47,2),"H"),$R$63:$T$91,3,FALSE),VLOOKUP($U47,$R$63:$T$91,3,FALSE)))+IF(AND($U47&lt;&gt;"",$U47&lt;&gt;"O3/CP",$U$15=B$18,MID($U47,4,1)="2",$U$15&lt;&gt;$U$14),VLOOKUP(CONCATENATE(LEFT($U47,2),"L"),$R$63:$T$91,3,FALSE),0)+IF(AND($U47="O3/CP",$T$14=B$18),VLOOKUP("O3",$R$63:$T$91,3,FALSE)+VLOOKUP("CP",$R$63:$T$91,3,FALSE),0)+IF(AND($V47&lt;&gt;"",$V47&lt;&gt;"--",$V47&lt;&gt;"O3/CP",$V$14=B$18),IF(LEFT($V47,1)="P",VLOOKUP(CONCATENATE(LEFT($V47,2),"H"),$R$63:$T$91,3,FALSE),VLOOKUP($V47,$R$63:$T$91,3,FALSE)))+IF(AND($V47&lt;&gt;"",$V47&lt;&gt;"O3/CP",$V$15=B$18,MID($V47,4,1)="2",$V$15&lt;&gt;$V$14),VLOOKUP(CONCATENATE(LEFT($V47,2),"L"),$R$63:$T$91,3,FALSE),0)+IF(AND($V47="O3/CP",$V$14=B$18),VLOOKUP("O3",$R$63:$T$91,3,FALSE)+VLOOKUP("CP",$R$63:$T$91,3,FALSE),0)+IF(AND($W47&lt;&gt;"",$W47&lt;&gt;"--",$W47&lt;&gt;"O3/CP",$W$14=B$18),IF(LEFT($W47,1)="P",VLOOKUP(CONCATENATE(LEFT($W47,2),"H"),$R$63:$T$91,3,FALSE),VLOOKUP($W47,$R$63:$T$91,3,FALSE)))+IF(AND($W47&lt;&gt;"",$W47&lt;&gt;"O3/CP",$W$15=B$18,MID($W47,4,1)="2",$W$15&lt;&gt;$W$14),VLOOKUP(CONCATENATE(LEFT($W47,2),"L"),$R$63:$T$91,3,FALSE),0)+IF(AND($W47="O3/CP",$W$14=B$18),VLOOKUP("O3",$R$63:$T$91,3,FALSE)+VLOOKUP("CP",$R$63:$T$91,3,FALSE),0)+IF(AND($X47&lt;&gt;"",$X47&lt;&gt;"--",$X47&lt;&gt;"O3/CP",$X$14=B$18),IF(LEFT($X47,1)="P",VLOOKUP(CONCATENATE(LEFT($X47,2),"H"),$R$63:$T$91,3,FALSE),VLOOKUP($X47,$R$63:$T$91,3,FALSE)))+IF(AND($X47&lt;&gt;"",$X47&lt;&gt;"O3/CP",$X$15=B$18,MID($X47,4,1)="2",$X$15&lt;&gt;$X$14),VLOOKUP(CONCATENATE(LEFT($X47,2),"L"),$R$63:$T$91,3,FALSE),0)+IF(AND($X47="O3/CP",$X$14=B$18),VLOOKUP("O3",$R$63:$T$91,3,FALSE)+VLOOKUP("CP",$R$63:$T$91,3,FALSE),0)+IF(AND($Y47&lt;&gt;"",$Y47&lt;&gt;"--",$Y47&lt;&gt;"O3/CP",$Y$14=B$18),IF(LEFT($Y47,1)="P",VLOOKUP(CONCATENATE(LEFT($Y47,2),"H"),$R$63:$T$91,3,FALSE),VLOOKUP($Y47,$R$63:$T$91,3,FALSE)))+IF(AND($Y47&lt;&gt;"",$Y47&lt;&gt;"O3/CP",$Y$15=B$18,MID($Y47,4,1)="2",$Y$15&lt;&gt;$Y$14),VLOOKUP(CONCATENATE(LEFT($Y47,2),"L"),$R$63:$T$91,3,FALSE),0)+IF(AND($Y47="O3/CP",$Y$14=B$18),VLOOKUP("O3",$R$63:$T$91,3,FALSE)+VLOOKUP("CP",$R$63:$T$91,3,FALSE),0)+IF(AND($K$6="CE",'[3]Supply Attribution'!$G$20=B$18),LEFT($S$90,2),0)+IF(AND($X$86&lt;&gt;"Not Set",$X$87=B$18),$X$86,0)</f>
        <v>0</v>
      </c>
      <c r="C47" s="271">
        <f>IF(AND($K47&lt;&gt;"",$K47&lt;&gt;"--",$K47&lt;&gt;"O3/CP",$K$14=C$18),IF(LEFT($K47,1)="P",VLOOKUP(CONCATENATE(LEFT($K47,2),"H"),$R$63:$T$91,3,FALSE),VLOOKUP($K47,$R$63:$T$91,3,FALSE)))+IF(AND($K47&lt;&gt;"",$K47&lt;&gt;"O3/CP",$K$15=C$18,MID($K47,4,1)="2",$K$15&lt;&gt;$K$14),VLOOKUP(CONCATENATE(LEFT($K47,2),"L"),$R$63:$T$91,3,FALSE),0)+IF(AND($K47="O3/CP",$K$14=C$18),VLOOKUP("O3",$R$63:$T$91,3,FALSE)+VLOOKUP("CP",$R$63:$T$91,3,FALSE),0)+IF(AND($L47&lt;&gt;"",$L47&lt;&gt;"--",$L47&lt;&gt;"O3/CP",$L$14=C$18),IF(LEFT($L47,1)="P",VLOOKUP(CONCATENATE(LEFT($L47,2),"H"),$R$63:$T$91,3,FALSE),VLOOKUP($L47,$R$63:$T$91,3,FALSE)))+IF(AND($L47&lt;&gt;"",$L47&lt;&gt;"O3/CP",$L$15=C$18,MID($L47,4,1)="2",$L$15&lt;&gt;$L$14),VLOOKUP(CONCATENATE(LEFT($L47,2),"L"),$R$63:$T$91,3,FALSE),0)+IF(AND($L47="O3/CP",$L$14=C$18),VLOOKUP("O3",$R$63:$T$91,3,FALSE)+VLOOKUP("CP",$R$63:$T$91,3,FALSE),0)+IF(AND($M47&lt;&gt;"",$M47&lt;&gt;"--",$M47&lt;&gt;"O3/CP",$M$14=C$18),IF(LEFT($M47,1)="P",VLOOKUP(CONCATENATE(LEFT($M47,2),"H"),$R$63:$T$91,3,FALSE),VLOOKUP($M47,$R$63:$T$91,3,FALSE)))+IF(AND($M47&lt;&gt;"",$M47&lt;&gt;"O3/CP",$M$15=C$18,MID($M47,4,1)="2",$M$15&lt;&gt;$M$14),VLOOKUP(CONCATENATE(LEFT($M47,2),"L"),$R$63:$T$91,3,FALSE),0)+IF(AND($M47="O3/CP",$M$14=C$18),VLOOKUP("O3",$R$63:$T$91,3,FALSE)+VLOOKUP("CP",$R$63:$T$91,3,FALSE),0)+IF(AND($N47&lt;&gt;"",$N47&lt;&gt;"--",$N47&lt;&gt;"O3/CP",$N$14=C$18),IF(LEFT($N47,1)="P",VLOOKUP(CONCATENATE(LEFT($N47,2),"H"),$R$63:$T$91,3,FALSE),VLOOKUP($N47,$R$63:$T$91,3,FALSE)))+IF(AND($N47&lt;&gt;"",$N47&lt;&gt;"O3/CP",$N$15=C$18,MID($N47,4,1)="2",$N$15&lt;&gt;$N$14),VLOOKUP(CONCATENATE(LEFT($N47,2),"L"),$R$63:$T$91,3,FALSE),0)+IF(AND($N47="O3/CP",$N$14=C$18),VLOOKUP("O3",$R$63:$T$91,3,FALSE)+VLOOKUP("CP",$R$63:$T$91,3,FALSE),0)+IF(AND($O47&lt;&gt;"",$O47&lt;&gt;"--",$O47&lt;&gt;"O3/CP",$O$14=C$18),IF(LEFT($O47,1)="P",VLOOKUP(CONCATENATE(LEFT($O47,2),"H"),$R$63:$T$91,3,FALSE),VLOOKUP($O47,$R$63:$T$91,3,FALSE)))+IF(AND($O47&lt;&gt;"",$O47&lt;&gt;"O3/CP",$O$15=C$18,MID($O47,4,1)="2",$O$15&lt;&gt;$O$14),VLOOKUP(CONCATENATE(LEFT($O47,2),"L"),$R$63:$T$91,3,FALSE),0)+IF(AND($O47="O3/CP",$O$14=C$18),VLOOKUP("O3",$R$63:$T$91,3,FALSE)+VLOOKUP("CP",$R$63:$T$91,3,FALSE),0)+IF(AND($P47&lt;&gt;"",$P47&lt;&gt;"--",$P47&lt;&gt;"O3/CP",$P$14=C$18),IF(LEFT($P47,1)="P",VLOOKUP(CONCATENATE(LEFT($P47,2),"H"),$R$63:$T$91,3,FALSE),VLOOKUP($P47,$R$63:$T$91,3,FALSE)))+IF(AND($P47&lt;&gt;"",$P47&lt;&gt;"O3/CP",$P$15=C$18,MID($P47,4,1)="2",$P$15&lt;&gt;$P$14),VLOOKUP(CONCATENATE(LEFT($P47,2),"L"),$R$63:$T$91,3,FALSE),0)+IF(AND($P47="O3/CP",$P$14=C$18),VLOOKUP("O3",$R$63:$T$91,3,FALSE)+VLOOKUP("CP",$R$63:$T$91,3,FALSE),0)+IF(AND($Q47&lt;&gt;"",$Q47&lt;&gt;"--",$Q47&lt;&gt;"O3/CP",$Q$14=C$18),IF(LEFT($Q47,1)="P",VLOOKUP(CONCATENATE(LEFT($Q47,2),"H"),$R$63:$T$91,3,FALSE),VLOOKUP($Q47,$R$63:$T$91,3,FALSE)))+IF(AND($Q47&lt;&gt;"",$Q47&lt;&gt;"O3/CP",$Q$15=C$18,MID($Q47,4,1)="2",$Q$15&lt;&gt;$Q$14),VLOOKUP(CONCATENATE(LEFT($Q47,2),"L"),$R$63:$T$91,3,FALSE),0)+IF(AND($Q47="O3/CP",$Q$14=C$18),VLOOKUP("O3",$R$63:$T$91,3,FALSE)+VLOOKUP("CP",$R$63:$T$91,3,FALSE),0)+IF(AND($R47&lt;&gt;"",$R47&lt;&gt;"--",$R47&lt;&gt;"O3/CP",$R$14=C$18),IF(LEFT($R47,1)="P",VLOOKUP(CONCATENATE(LEFT($R47,2),"H"),$R$63:$T$91,3,FALSE),VLOOKUP($R47,$R$63:$T$91,3,FALSE)))+IF(AND($R47&lt;&gt;"",$R47&lt;&gt;"O3/CP",$R$15=C$18,MID($R47,4,1)="2",$R$15&lt;&gt;$R$14),VLOOKUP(CONCATENATE(LEFT($R47,2),"L"),$R$63:$T$91,3,FALSE),0)+IF(AND($R47="O3/CP",$R$14=C$18),VLOOKUP("O3",$R$63:$T$91,3,FALSE)+VLOOKUP("CP",$R$63:$T$91,3,FALSE),0)+IF(AND($S47&lt;&gt;"",$S47&lt;&gt;"--",$S47&lt;&gt;"O3/CP",$S$14=C$18),IF(LEFT($S47,1)="P",VLOOKUP(CONCATENATE(LEFT($S47,2),"H"),$R$63:$T$91,3,FALSE),VLOOKUP($S47,$R$63:$T$91,3,FALSE)))+IF(AND($S47&lt;&gt;"",$S47&lt;&gt;"O3/CP",$S$15=C$18,MID($S47,4,1)="2",$S$15&lt;&gt;$S$14),VLOOKUP(CONCATENATE(LEFT($S47,2),"L"),$R$63:$T$91,3,FALSE),0)+IF(AND($S47="O3/CP",$S$14=C$18),VLOOKUP("O3",$R$63:$T$91,3,FALSE)+VLOOKUP("CP",$R$63:$T$91,3,FALSE),0)+IF(AND($T47&lt;&gt;"",$T47&lt;&gt;"--",$T47&lt;&gt;"O3/CP",$T$14=C$18),IF(LEFT($T47,1)="P",VLOOKUP(CONCATENATE(LEFT($T47,2),"H"),$R$63:$T$91,3,FALSE),VLOOKUP($T47,$R$63:$T$91,3,FALSE)))+IF(AND($T47&lt;&gt;"",$T47&lt;&gt;"O3/CP",$T$15=C$18,MID($T47,4,1)="2",$T$15&lt;&gt;$T$14),VLOOKUP(CONCATENATE(LEFT($T47,2),"L"),$R$63:$T$91,3,FALSE),0)+IF(AND($T47="O3/CP",$T$14=C$18),VLOOKUP("O3",$R$63:$T$91,3,FALSE)+VLOOKUP("CP",$R$63:$T$91,3,FALSE),0)+IF(AND($U47&lt;&gt;"",$U47&lt;&gt;"--",$U47&lt;&gt;"O3/CP",$U$14=C$18),IF(LEFT($U47,1)="P",VLOOKUP(CONCATENATE(LEFT($U47,2),"H"),$R$63:$T$91,3,FALSE),VLOOKUP($U47,$R$63:$T$91,3,FALSE)))+IF(AND($U47&lt;&gt;"",$U47&lt;&gt;"O3/CP",$U$15=C$18,MID($U47,4,1)="2",$U$15&lt;&gt;$U$14),VLOOKUP(CONCATENATE(LEFT($U47,2),"L"),$R$63:$T$91,3,FALSE),0)+IF(AND($U47="O3/CP",$T$14=C$18),VLOOKUP("O3",$R$63:$T$91,3,FALSE)+VLOOKUP("CP",$R$63:$T$91,3,FALSE),0)+IF(AND($V47&lt;&gt;"",$V47&lt;&gt;"--",$V47&lt;&gt;"O3/CP",$V$14=C$18),IF(LEFT($V47,1)="P",VLOOKUP(CONCATENATE(LEFT($V47,2),"H"),$R$63:$T$91,3,FALSE),VLOOKUP($V47,$R$63:$T$91,3,FALSE)))+IF(AND($V47&lt;&gt;"",$V47&lt;&gt;"O3/CP",$V$15=C$18,MID($V47,4,1)="2",$V$15&lt;&gt;$V$14),VLOOKUP(CONCATENATE(LEFT($V47,2),"L"),$R$63:$T$91,3,FALSE),0)+IF(AND($V47="O3/CP",$V$14=C$18),VLOOKUP("O3",$R$63:$T$91,3,FALSE)+VLOOKUP("CP",$R$63:$T$91,3,FALSE),0)+IF(AND($W47&lt;&gt;"",$W47&lt;&gt;"--",$W47&lt;&gt;"O3/CP",$W$14=C$18),IF(LEFT($W47,1)="P",VLOOKUP(CONCATENATE(LEFT($W47,2),"H"),$R$63:$T$91,3,FALSE),VLOOKUP($W47,$R$63:$T$91,3,FALSE)))+IF(AND($W47&lt;&gt;"",$W47&lt;&gt;"O3/CP",$W$15=C$18,MID($W47,4,1)="2",$W$15&lt;&gt;$W$14),VLOOKUP(CONCATENATE(LEFT($W47,2),"L"),$R$63:$T$91,3,FALSE),0)+IF(AND($W47="O3/CP",$W$14=C$18),VLOOKUP("O3",$R$63:$T$91,3,FALSE)+VLOOKUP("CP",$R$63:$T$91,3,FALSE),0)+IF(AND($X47&lt;&gt;"",$X47&lt;&gt;"--",$X47&lt;&gt;"O3/CP",$X$14=C$18),IF(LEFT($X47,1)="P",VLOOKUP(CONCATENATE(LEFT($X47,2),"H"),$R$63:$T$91,3,FALSE),VLOOKUP($X47,$R$63:$T$91,3,FALSE)))+IF(AND($X47&lt;&gt;"",$X47&lt;&gt;"O3/CP",$X$15=C$18,MID($X47,4,1)="2",$X$15&lt;&gt;$X$14),VLOOKUP(CONCATENATE(LEFT($X47,2),"L"),$R$63:$T$91,3,FALSE),0)+IF(AND($X47="O3/CP",$X$14=C$18),VLOOKUP("O3",$R$63:$T$91,3,FALSE)+VLOOKUP("CP",$R$63:$T$91,3,FALSE),0)+IF(AND($Y47&lt;&gt;"",$Y47&lt;&gt;"--",$Y47&lt;&gt;"O3/CP",$Y$14=C$18),IF(LEFT($Y47,1)="P",VLOOKUP(CONCATENATE(LEFT($Y47,2),"H"),$R$63:$T$91,3,FALSE),VLOOKUP($Y47,$R$63:$T$91,3,FALSE)))+IF(AND($Y47&lt;&gt;"",$Y47&lt;&gt;"O3/CP",$Y$15=C$18,MID($Y47,4,1)="2",$Y$15&lt;&gt;$Y$14),VLOOKUP(CONCATENATE(LEFT($Y47,2),"L"),$R$63:$T$91,3,FALSE),0)+IF(AND($Y47="O3/CP",$Y$14=C$18),VLOOKUP("O3",$R$63:$T$91,3,FALSE)+VLOOKUP("CP",$R$63:$T$91,3,FALSE),0)+IF(AND($K$6="CE",'[3]Supply Attribution'!$G$20=C$18),LEFT($S$90,2),0)+IF(AND($X$86&lt;&gt;"Not Set",$X$87=C$18),$X$86,0)</f>
        <v>0</v>
      </c>
      <c r="D47" s="271">
        <f>IF(AND($K47&lt;&gt;"",$K47&lt;&gt;"--",$K47&lt;&gt;"O3/CP",$K$14=D$18),IF(LEFT($K47,1)="P",VLOOKUP(CONCATENATE(LEFT($K47,2),"H"),$R$63:$T$91,3,FALSE),VLOOKUP($K47,$R$63:$T$91,3,FALSE)))+IF(AND($K47&lt;&gt;"",$K47&lt;&gt;"O3/CP",$K$15=D$18,MID($K47,4,1)="2",$K$15&lt;&gt;$K$14),VLOOKUP(CONCATENATE(LEFT($K47,2),"L"),$R$63:$T$91,3,FALSE),0)+IF(AND($K47="O3/CP",$K$14=D$18),VLOOKUP("O3",$R$63:$T$91,3,FALSE)+VLOOKUP("CP",$R$63:$T$91,3,FALSE),0)+IF(AND($L47&lt;&gt;"",$L47&lt;&gt;"--",$L47&lt;&gt;"O3/CP",$L$14=D$18),IF(LEFT($L47,1)="P",VLOOKUP(CONCATENATE(LEFT($L47,2),"H"),$R$63:$T$91,3,FALSE),VLOOKUP($L47,$R$63:$T$91,3,FALSE)))+IF(AND($L47&lt;&gt;"",$L47&lt;&gt;"O3/CP",$L$15=D$18,MID($L47,4,1)="2",$L$15&lt;&gt;$L$14),VLOOKUP(CONCATENATE(LEFT($L47,2),"L"),$R$63:$T$91,3,FALSE),0)+IF(AND($L47="O3/CP",$L$14=D$18),VLOOKUP("O3",$R$63:$T$91,3,FALSE)+VLOOKUP("CP",$R$63:$T$91,3,FALSE),0)+IF(AND($M47&lt;&gt;"",$M47&lt;&gt;"--",$M47&lt;&gt;"O3/CP",$M$14=D$18),IF(LEFT($M47,1)="P",VLOOKUP(CONCATENATE(LEFT($M47,2),"H"),$R$63:$T$91,3,FALSE),VLOOKUP($M47,$R$63:$T$91,3,FALSE)))+IF(AND($M47&lt;&gt;"",$M47&lt;&gt;"O3/CP",$M$15=D$18,MID($M47,4,1)="2",$M$15&lt;&gt;$M$14),VLOOKUP(CONCATENATE(LEFT($M47,2),"L"),$R$63:$T$91,3,FALSE),0)+IF(AND($M47="O3/CP",$M$14=D$18),VLOOKUP("O3",$R$63:$T$91,3,FALSE)+VLOOKUP("CP",$R$63:$T$91,3,FALSE),0)+IF(AND($N47&lt;&gt;"",$N47&lt;&gt;"--",$N47&lt;&gt;"O3/CP",$N$14=D$18),IF(LEFT($N47,1)="P",VLOOKUP(CONCATENATE(LEFT($N47,2),"H"),$R$63:$T$91,3,FALSE),VLOOKUP($N47,$R$63:$T$91,3,FALSE)))+IF(AND($N47&lt;&gt;"",$N47&lt;&gt;"O3/CP",$N$15=D$18,MID($N47,4,1)="2",$N$15&lt;&gt;$N$14),VLOOKUP(CONCATENATE(LEFT($N47,2),"L"),$R$63:$T$91,3,FALSE),0)+IF(AND($N47="O3/CP",$N$14=D$18),VLOOKUP("O3",$R$63:$T$91,3,FALSE)+VLOOKUP("CP",$R$63:$T$91,3,FALSE),0)+IF(AND($O47&lt;&gt;"",$O47&lt;&gt;"--",$O47&lt;&gt;"O3/CP",$O$14=D$18),IF(LEFT($O47,1)="P",VLOOKUP(CONCATENATE(LEFT($O47,2),"H"),$R$63:$T$91,3,FALSE),VLOOKUP($O47,$R$63:$T$91,3,FALSE)))+IF(AND($O47&lt;&gt;"",$O47&lt;&gt;"O3/CP",$O$15=D$18,MID($O47,4,1)="2",$O$15&lt;&gt;$O$14),VLOOKUP(CONCATENATE(LEFT($O47,2),"L"),$R$63:$T$91,3,FALSE),0)+IF(AND($O47="O3/CP",$O$14=D$18),VLOOKUP("O3",$R$63:$T$91,3,FALSE)+VLOOKUP("CP",$R$63:$T$91,3,FALSE),0)+IF(AND($P47&lt;&gt;"",$P47&lt;&gt;"--",$P47&lt;&gt;"O3/CP",$P$14=D$18),IF(LEFT($P47,1)="P",VLOOKUP(CONCATENATE(LEFT($P47,2),"H"),$R$63:$T$91,3,FALSE),VLOOKUP($P47,$R$63:$T$91,3,FALSE)))+IF(AND($P47&lt;&gt;"",$P47&lt;&gt;"O3/CP",$P$15=D$18,MID($P47,4,1)="2",$P$15&lt;&gt;$P$14),VLOOKUP(CONCATENATE(LEFT($P47,2),"L"),$R$63:$T$91,3,FALSE),0)+IF(AND($P47="O3/CP",$P$14=D$18),VLOOKUP("O3",$R$63:$T$91,3,FALSE)+VLOOKUP("CP",$R$63:$T$91,3,FALSE),0)+IF(AND($Q47&lt;&gt;"",$Q47&lt;&gt;"--",$Q47&lt;&gt;"O3/CP",$Q$14=D$18),IF(LEFT($Q47,1)="P",VLOOKUP(CONCATENATE(LEFT($Q47,2),"H"),$R$63:$T$91,3,FALSE),VLOOKUP($Q47,$R$63:$T$91,3,FALSE)))+IF(AND($Q47&lt;&gt;"",$Q47&lt;&gt;"O3/CP",$Q$15=D$18,MID($Q47,4,1)="2",$Q$15&lt;&gt;$Q$14),VLOOKUP(CONCATENATE(LEFT($Q47,2),"L"),$R$63:$T$91,3,FALSE),0)+IF(AND($Q47="O3/CP",$Q$14=D$18),VLOOKUP("O3",$R$63:$T$91,3,FALSE)+VLOOKUP("CP",$R$63:$T$91,3,FALSE),0)+IF(AND($R47&lt;&gt;"",$R47&lt;&gt;"--",$R47&lt;&gt;"O3/CP",$R$14=D$18),IF(LEFT($R47,1)="P",VLOOKUP(CONCATENATE(LEFT($R47,2),"H"),$R$63:$T$91,3,FALSE),VLOOKUP($R47,$R$63:$T$91,3,FALSE)))+IF(AND($R47&lt;&gt;"",$R47&lt;&gt;"O3/CP",$R$15=D$18,MID($R47,4,1)="2",$R$15&lt;&gt;$R$14),VLOOKUP(CONCATENATE(LEFT($R47,2),"L"),$R$63:$T$91,3,FALSE),0)+IF(AND($R47="O3/CP",$R$14=D$18),VLOOKUP("O3",$R$63:$T$91,3,FALSE)+VLOOKUP("CP",$R$63:$T$91,3,FALSE),0)+IF(AND($S47&lt;&gt;"",$S47&lt;&gt;"--",$S47&lt;&gt;"O3/CP",$S$14=D$18),IF(LEFT($S47,1)="P",VLOOKUP(CONCATENATE(LEFT($S47,2),"H"),$R$63:$T$91,3,FALSE),VLOOKUP($S47,$R$63:$T$91,3,FALSE)))+IF(AND($S47&lt;&gt;"",$S47&lt;&gt;"O3/CP",$S$15=D$18,MID($S47,4,1)="2",$S$15&lt;&gt;$S$14),VLOOKUP(CONCATENATE(LEFT($S47,2),"L"),$R$63:$T$91,3,FALSE),0)+IF(AND($S47="O3/CP",$S$14=D$18),VLOOKUP("O3",$R$63:$T$91,3,FALSE)+VLOOKUP("CP",$R$63:$T$91,3,FALSE),0)+IF(AND($T47&lt;&gt;"",$T47&lt;&gt;"--",$T47&lt;&gt;"O3/CP",$T$14=D$18),IF(LEFT($T47,1)="P",VLOOKUP(CONCATENATE(LEFT($T47,2),"H"),$R$63:$T$91,3,FALSE),VLOOKUP($T47,$R$63:$T$91,3,FALSE)))+IF(AND($T47&lt;&gt;"",$T47&lt;&gt;"O3/CP",$T$15=D$18,MID($T47,4,1)="2",$T$15&lt;&gt;$T$14),VLOOKUP(CONCATENATE(LEFT($T47,2),"L"),$R$63:$T$91,3,FALSE),0)+IF(AND($T47="O3/CP",$T$14=D$18),VLOOKUP("O3",$R$63:$T$91,3,FALSE)+VLOOKUP("CP",$R$63:$T$91,3,FALSE),0)+IF(AND($U47&lt;&gt;"",$U47&lt;&gt;"--",$U47&lt;&gt;"O3/CP",$U$14=D$18),IF(LEFT($U47,1)="P",VLOOKUP(CONCATENATE(LEFT($U47,2),"H"),$R$63:$T$91,3,FALSE),VLOOKUP($U47,$R$63:$T$91,3,FALSE)))+IF(AND($U47&lt;&gt;"",$U47&lt;&gt;"O3/CP",$U$15=D$18,MID($U47,4,1)="2",$U$15&lt;&gt;$U$14),VLOOKUP(CONCATENATE(LEFT($U47,2),"L"),$R$63:$T$91,3,FALSE),0)+IF(AND($U47="O3/CP",$T$14=D$18),VLOOKUP("O3",$R$63:$T$91,3,FALSE)+VLOOKUP("CP",$R$63:$T$91,3,FALSE),0)+IF(AND($V47&lt;&gt;"",$V47&lt;&gt;"--",$V47&lt;&gt;"O3/CP",$V$14=D$18),IF(LEFT($V47,1)="P",VLOOKUP(CONCATENATE(LEFT($V47,2),"H"),$R$63:$T$91,3,FALSE),VLOOKUP($V47,$R$63:$T$91,3,FALSE)))+IF(AND($V47&lt;&gt;"",$V47&lt;&gt;"O3/CP",$V$15=D$18,MID($V47,4,1)="2",$V$15&lt;&gt;$V$14),VLOOKUP(CONCATENATE(LEFT($V47,2),"L"),$R$63:$T$91,3,FALSE),0)+IF(AND($V47="O3/CP",$V$14=D$18),VLOOKUP("O3",$R$63:$T$91,3,FALSE)+VLOOKUP("CP",$R$63:$T$91,3,FALSE),0)+IF(AND($W47&lt;&gt;"",$W47&lt;&gt;"--",$W47&lt;&gt;"O3/CP",$W$14=D$18),IF(LEFT($W47,1)="P",VLOOKUP(CONCATENATE(LEFT($W47,2),"H"),$R$63:$T$91,3,FALSE),VLOOKUP($W47,$R$63:$T$91,3,FALSE)))+IF(AND($W47&lt;&gt;"",$W47&lt;&gt;"O3/CP",$W$15=D$18,MID($W47,4,1)="2",$W$15&lt;&gt;$W$14),VLOOKUP(CONCATENATE(LEFT($W47,2),"L"),$R$63:$T$91,3,FALSE),0)+IF(AND($W47="O3/CP",$W$14=D$18),VLOOKUP("O3",$R$63:$T$91,3,FALSE)+VLOOKUP("CP",$R$63:$T$91,3,FALSE),0)+IF(AND($X47&lt;&gt;"",$X47&lt;&gt;"--",$X47&lt;&gt;"O3/CP",$X$14=D$18),IF(LEFT($X47,1)="P",VLOOKUP(CONCATENATE(LEFT($X47,2),"H"),$R$63:$T$91,3,FALSE),VLOOKUP($X47,$R$63:$T$91,3,FALSE)))+IF(AND($X47&lt;&gt;"",$X47&lt;&gt;"O3/CP",$X$15=D$18,MID($X47,4,1)="2",$X$15&lt;&gt;$X$14),VLOOKUP(CONCATENATE(LEFT($X47,2),"L"),$R$63:$T$91,3,FALSE),0)+IF(AND($X47="O3/CP",$X$14=D$18),VLOOKUP("O3",$R$63:$T$91,3,FALSE)+VLOOKUP("CP",$R$63:$T$91,3,FALSE),0)+IF(AND($Y47&lt;&gt;"",$Y47&lt;&gt;"--",$Y47&lt;&gt;"O3/CP",$Y$14=D$18),IF(LEFT($Y47,1)="P",VLOOKUP(CONCATENATE(LEFT($Y47,2),"H"),$R$63:$T$91,3,FALSE),VLOOKUP($Y47,$R$63:$T$91,3,FALSE)))+IF(AND($Y47&lt;&gt;"",$Y47&lt;&gt;"O3/CP",$Y$15=D$18,MID($Y47,4,1)="2",$Y$15&lt;&gt;$Y$14),VLOOKUP(CONCATENATE(LEFT($Y47,2),"L"),$R$63:$T$91,3,FALSE),0)+IF(AND($Y47="O3/CP",$Y$14=D$18),VLOOKUP("O3",$R$63:$T$91,3,FALSE)+VLOOKUP("CP",$R$63:$T$91,3,FALSE),0)+IF(AND($K$6="CE",'[3]Supply Attribution'!$G$20=D$18),LEFT($S$90,2),0)+IF(AND($X$86&lt;&gt;"Not Set",$X$87=D$18),$X$86,0)</f>
        <v>0</v>
      </c>
      <c r="E47" s="271">
        <f>IF(AND($K47&lt;&gt;"",$K47&lt;&gt;"--",$K47&lt;&gt;"O3/CP",$K$14=E$18),IF(LEFT($K47,1)="P",VLOOKUP(CONCATENATE(LEFT($K47,2),"H"),$R$63:$T$91,3,FALSE),VLOOKUP($K47,$R$63:$T$91,3,FALSE)))+IF(AND($K47&lt;&gt;"",$K47&lt;&gt;"O3/CP",$K$15=E$18,MID($K47,4,1)="2",$K$15&lt;&gt;$K$14),VLOOKUP(CONCATENATE(LEFT($K47,2),"L"),$R$63:$T$91,3,FALSE),0)+IF(AND($K47="O3/CP",$K$14=E$18),VLOOKUP("O3",$R$63:$T$91,3,FALSE)+VLOOKUP("CP",$R$63:$T$91,3,FALSE),0)+IF(AND($L47&lt;&gt;"",$L47&lt;&gt;"--",$L47&lt;&gt;"O3/CP",$L$14=E$18),IF(LEFT($L47,1)="P",VLOOKUP(CONCATENATE(LEFT($L47,2),"H"),$R$63:$T$91,3,FALSE),VLOOKUP($L47,$R$63:$T$91,3,FALSE)))+IF(AND($L47&lt;&gt;"",$L47&lt;&gt;"O3/CP",$L$15=E$18,MID($L47,4,1)="2",$L$15&lt;&gt;$L$14),VLOOKUP(CONCATENATE(LEFT($L47,2),"L"),$R$63:$T$91,3,FALSE),0)+IF(AND($L47="O3/CP",$L$14=E$18),VLOOKUP("O3",$R$63:$T$91,3,FALSE)+VLOOKUP("CP",$R$63:$T$91,3,FALSE),0)+IF(AND($M47&lt;&gt;"",$M47&lt;&gt;"--",$M47&lt;&gt;"O3/CP",$M$14=E$18),IF(LEFT($M47,1)="P",VLOOKUP(CONCATENATE(LEFT($M47,2),"H"),$R$63:$T$91,3,FALSE),VLOOKUP($M47,$R$63:$T$91,3,FALSE)))+IF(AND($M47&lt;&gt;"",$M47&lt;&gt;"O3/CP",$M$15=E$18,MID($M47,4,1)="2",$M$15&lt;&gt;$M$14),VLOOKUP(CONCATENATE(LEFT($M47,2),"L"),$R$63:$T$91,3,FALSE),0)+IF(AND($M47="O3/CP",$M$14=E$18),VLOOKUP("O3",$R$63:$T$91,3,FALSE)+VLOOKUP("CP",$R$63:$T$91,3,FALSE),0)+IF(AND($N47&lt;&gt;"",$N47&lt;&gt;"--",$N47&lt;&gt;"O3/CP",$N$14=E$18),IF(LEFT($N47,1)="P",VLOOKUP(CONCATENATE(LEFT($N47,2),"H"),$R$63:$T$91,3,FALSE),VLOOKUP($N47,$R$63:$T$91,3,FALSE)))+IF(AND($N47&lt;&gt;"",$N47&lt;&gt;"O3/CP",$N$15=E$18,MID($N47,4,1)="2",$N$15&lt;&gt;$N$14),VLOOKUP(CONCATENATE(LEFT($N47,2),"L"),$R$63:$T$91,3,FALSE),0)+IF(AND($N47="O3/CP",$N$14=E$18),VLOOKUP("O3",$R$63:$T$91,3,FALSE)+VLOOKUP("CP",$R$63:$T$91,3,FALSE),0)+IF(AND($O47&lt;&gt;"",$O47&lt;&gt;"--",$O47&lt;&gt;"O3/CP",$O$14=E$18),IF(LEFT($O47,1)="P",VLOOKUP(CONCATENATE(LEFT($O47,2),"H"),$R$63:$T$91,3,FALSE),VLOOKUP($O47,$R$63:$T$91,3,FALSE)))+IF(AND($O47&lt;&gt;"",$O47&lt;&gt;"O3/CP",$O$15=E$18,MID($O47,4,1)="2",$O$15&lt;&gt;$O$14),VLOOKUP(CONCATENATE(LEFT($O47,2),"L"),$R$63:$T$91,3,FALSE),0)+IF(AND($O47="O3/CP",$O$14=E$18),VLOOKUP("O3",$R$63:$T$91,3,FALSE)+VLOOKUP("CP",$R$63:$T$91,3,FALSE),0)+IF(AND($P47&lt;&gt;"",$P47&lt;&gt;"--",$P47&lt;&gt;"O3/CP",$P$14=E$18),IF(LEFT($P47,1)="P",VLOOKUP(CONCATENATE(LEFT($P47,2),"H"),$R$63:$T$91,3,FALSE),VLOOKUP($P47,$R$63:$T$91,3,FALSE)))+IF(AND($P47&lt;&gt;"",$P47&lt;&gt;"O3/CP",$P$15=E$18,MID($P47,4,1)="2",$P$15&lt;&gt;$P$14),VLOOKUP(CONCATENATE(LEFT($P47,2),"L"),$R$63:$T$91,3,FALSE),0)+IF(AND($P47="O3/CP",$P$14=E$18),VLOOKUP("O3",$R$63:$T$91,3,FALSE)+VLOOKUP("CP",$R$63:$T$91,3,FALSE),0)+IF(AND($Q47&lt;&gt;"",$Q47&lt;&gt;"--",$Q47&lt;&gt;"O3/CP",$Q$14=E$18),IF(LEFT($Q47,1)="P",VLOOKUP(CONCATENATE(LEFT($Q47,2),"H"),$R$63:$T$91,3,FALSE),VLOOKUP($Q47,$R$63:$T$91,3,FALSE)))+IF(AND($Q47&lt;&gt;"",$Q47&lt;&gt;"O3/CP",$Q$15=E$18,MID($Q47,4,1)="2",$Q$15&lt;&gt;$Q$14),VLOOKUP(CONCATENATE(LEFT($Q47,2),"L"),$R$63:$T$91,3,FALSE),0)+IF(AND($Q47="O3/CP",$Q$14=E$18),VLOOKUP("O3",$R$63:$T$91,3,FALSE)+VLOOKUP("CP",$R$63:$T$91,3,FALSE),0)+IF(AND($R47&lt;&gt;"",$R47&lt;&gt;"--",$R47&lt;&gt;"O3/CP",$R$14=E$18),IF(LEFT($R47,1)="P",VLOOKUP(CONCATENATE(LEFT($R47,2),"H"),$R$63:$T$91,3,FALSE),VLOOKUP($R47,$R$63:$T$91,3,FALSE)))+IF(AND($R47&lt;&gt;"",$R47&lt;&gt;"O3/CP",$R$15=E$18,MID($R47,4,1)="2",$R$15&lt;&gt;$R$14),VLOOKUP(CONCATENATE(LEFT($R47,2),"L"),$R$63:$T$91,3,FALSE),0)+IF(AND($R47="O3/CP",$R$14=E$18),VLOOKUP("O3",$R$63:$T$91,3,FALSE)+VLOOKUP("CP",$R$63:$T$91,3,FALSE),0)+IF(AND($S47&lt;&gt;"",$S47&lt;&gt;"--",$S47&lt;&gt;"O3/CP",$S$14=E$18),IF(LEFT($S47,1)="P",VLOOKUP(CONCATENATE(LEFT($S47,2),"H"),$R$63:$T$91,3,FALSE),VLOOKUP($S47,$R$63:$T$91,3,FALSE)))+IF(AND($S47&lt;&gt;"",$S47&lt;&gt;"O3/CP",$S$15=E$18,MID($S47,4,1)="2",$S$15&lt;&gt;$S$14),VLOOKUP(CONCATENATE(LEFT($S47,2),"L"),$R$63:$T$91,3,FALSE),0)+IF(AND($S47="O3/CP",$S$14=E$18),VLOOKUP("O3",$R$63:$T$91,3,FALSE)+VLOOKUP("CP",$R$63:$T$91,3,FALSE),0)+IF(AND($T47&lt;&gt;"",$T47&lt;&gt;"--",$T47&lt;&gt;"O3/CP",$T$14=E$18),IF(LEFT($T47,1)="P",VLOOKUP(CONCATENATE(LEFT($T47,2),"H"),$R$63:$T$91,3,FALSE),VLOOKUP($T47,$R$63:$T$91,3,FALSE)))+IF(AND($T47&lt;&gt;"",$T47&lt;&gt;"O3/CP",$T$15=E$18,MID($T47,4,1)="2",$T$15&lt;&gt;$T$14),VLOOKUP(CONCATENATE(LEFT($T47,2),"L"),$R$63:$T$91,3,FALSE),0)+IF(AND($T47="O3/CP",$T$14=E$18),VLOOKUP("O3",$R$63:$T$91,3,FALSE)+VLOOKUP("CP",$R$63:$T$91,3,FALSE),0)+IF(AND($U47&lt;&gt;"",$U47&lt;&gt;"--",$U47&lt;&gt;"O3/CP",$U$14=E$18),IF(LEFT($U47,1)="P",VLOOKUP(CONCATENATE(LEFT($U47,2),"H"),$R$63:$T$91,3,FALSE),VLOOKUP($U47,$R$63:$T$91,3,FALSE)))+IF(AND($U47&lt;&gt;"",$U47&lt;&gt;"O3/CP",$U$15=E$18,MID($U47,4,1)="2",$U$15&lt;&gt;$U$14),VLOOKUP(CONCATENATE(LEFT($U47,2),"L"),$R$63:$T$91,3,FALSE),0)+IF(AND($U47="O3/CP",$T$14=E$18),VLOOKUP("O3",$R$63:$T$91,3,FALSE)+VLOOKUP("CP",$R$63:$T$91,3,FALSE),0)+IF(AND($V47&lt;&gt;"",$V47&lt;&gt;"--",$V47&lt;&gt;"O3/CP",$V$14=E$18),IF(LEFT($V47,1)="P",VLOOKUP(CONCATENATE(LEFT($V47,2),"H"),$R$63:$T$91,3,FALSE),VLOOKUP($V47,$R$63:$T$91,3,FALSE)))+IF(AND($V47&lt;&gt;"",$V47&lt;&gt;"O3/CP",$V$15=E$18,MID($V47,4,1)="2",$V$15&lt;&gt;$V$14),VLOOKUP(CONCATENATE(LEFT($V47,2),"L"),$R$63:$T$91,3,FALSE),0)+IF(AND($V47="O3/CP",$V$14=E$18),VLOOKUP("O3",$R$63:$T$91,3,FALSE)+VLOOKUP("CP",$R$63:$T$91,3,FALSE),0)+IF(AND($W47&lt;&gt;"",$W47&lt;&gt;"--",$W47&lt;&gt;"O3/CP",$W$14=E$18),IF(LEFT($W47,1)="P",VLOOKUP(CONCATENATE(LEFT($W47,2),"H"),$R$63:$T$91,3,FALSE),VLOOKUP($W47,$R$63:$T$91,3,FALSE)))+IF(AND($W47&lt;&gt;"",$W47&lt;&gt;"O3/CP",$W$15=E$18,MID($W47,4,1)="2",$W$15&lt;&gt;$W$14),VLOOKUP(CONCATENATE(LEFT($W47,2),"L"),$R$63:$T$91,3,FALSE),0)+IF(AND($W47="O3/CP",$W$14=E$18),VLOOKUP("O3",$R$63:$T$91,3,FALSE)+VLOOKUP("CP",$R$63:$T$91,3,FALSE),0)+IF(AND($X47&lt;&gt;"",$X47&lt;&gt;"--",$X47&lt;&gt;"O3/CP",$X$14=E$18),IF(LEFT($X47,1)="P",VLOOKUP(CONCATENATE(LEFT($X47,2),"H"),$R$63:$T$91,3,FALSE),VLOOKUP($X47,$R$63:$T$91,3,FALSE)))+IF(AND($X47&lt;&gt;"",$X47&lt;&gt;"O3/CP",$X$15=E$18,MID($X47,4,1)="2",$X$15&lt;&gt;$X$14),VLOOKUP(CONCATENATE(LEFT($X47,2),"L"),$R$63:$T$91,3,FALSE),0)+IF(AND($X47="O3/CP",$X$14=E$18),VLOOKUP("O3",$R$63:$T$91,3,FALSE)+VLOOKUP("CP",$R$63:$T$91,3,FALSE),0)+IF(AND($Y47&lt;&gt;"",$Y47&lt;&gt;"--",$Y47&lt;&gt;"O3/CP",$Y$14=E$18),IF(LEFT($Y47,1)="P",VLOOKUP(CONCATENATE(LEFT($Y47,2),"H"),$R$63:$T$91,3,FALSE),VLOOKUP($Y47,$R$63:$T$91,3,FALSE)))+IF(AND($Y47&lt;&gt;"",$Y47&lt;&gt;"O3/CP",$Y$15=E$18,MID($Y47,4,1)="2",$Y$15&lt;&gt;$Y$14),VLOOKUP(CONCATENATE(LEFT($Y47,2),"L"),$R$63:$T$91,3,FALSE),0)+IF(AND($Y47="O3/CP",$Y$14=E$18),VLOOKUP("O3",$R$63:$T$91,3,FALSE)+VLOOKUP("CP",$R$63:$T$91,3,FALSE),0)+IF(AND($K$6="CE",'[3]Supply Attribution'!$G$20=E$18),LEFT($S$90,2),0)+IF(AND($X$86&lt;&gt;"Not Set",$X$87=E$18),$X$86,0)</f>
        <v>0</v>
      </c>
      <c r="F47" s="272">
        <f>IF(AND($K47&lt;&gt;"",$K47&lt;&gt;"--",$K47&lt;&gt;"O3/CP",$K$14=F$18),IF(LEFT($K47,1)="P",VLOOKUP(CONCATENATE(LEFT($K47,2),"H"),$R$63:$T$91,3,FALSE),VLOOKUP($K47,$R$63:$T$91,3,FALSE)))+IF(AND($K47&lt;&gt;"",$K47&lt;&gt;"O3/CP",$K$15=F$18,MID($K47,4,1)="2",$K$15&lt;&gt;$K$14),VLOOKUP(CONCATENATE(LEFT($K47,2),"L"),$R$63:$T$91,3,FALSE),0)+IF(AND($K47="O3/CP",$K$14=F$18),VLOOKUP("O3",$R$63:$T$91,3,FALSE)+VLOOKUP("CP",$R$63:$T$91,3,FALSE),0)+IF(AND($L47&lt;&gt;"",$L47&lt;&gt;"--",$L47&lt;&gt;"O3/CP",$L$14=F$18),IF(LEFT($L47,1)="P",VLOOKUP(CONCATENATE(LEFT($L47,2),"H"),$R$63:$T$91,3,FALSE),VLOOKUP($L47,$R$63:$T$91,3,FALSE)))+IF(AND($L47&lt;&gt;"",$L47&lt;&gt;"O3/CP",$L$15=F$18,MID($L47,4,1)="2",$L$15&lt;&gt;$L$14),VLOOKUP(CONCATENATE(LEFT($L47,2),"L"),$R$63:$T$91,3,FALSE),0)+IF(AND($L47="O3/CP",$L$14=F$18),VLOOKUP("O3",$R$63:$T$91,3,FALSE)+VLOOKUP("CP",$R$63:$T$91,3,FALSE),0)+IF(AND($M47&lt;&gt;"",$M47&lt;&gt;"--",$M47&lt;&gt;"O3/CP",$M$14=F$18),IF(LEFT($M47,1)="P",VLOOKUP(CONCATENATE(LEFT($M47,2),"H"),$R$63:$T$91,3,FALSE),VLOOKUP($M47,$R$63:$T$91,3,FALSE)))+IF(AND($M47&lt;&gt;"",$M47&lt;&gt;"O3/CP",$M$15=F$18,MID($M47,4,1)="2",$M$15&lt;&gt;$M$14),VLOOKUP(CONCATENATE(LEFT($M47,2),"L"),$R$63:$T$91,3,FALSE),0)+IF(AND($M47="O3/CP",$M$14=F$18),VLOOKUP("O3",$R$63:$T$91,3,FALSE)+VLOOKUP("CP",$R$63:$T$91,3,FALSE),0)+IF(AND($N47&lt;&gt;"",$N47&lt;&gt;"--",$N47&lt;&gt;"O3/CP",$N$14=F$18),IF(LEFT($N47,1)="P",VLOOKUP(CONCATENATE(LEFT($N47,2),"H"),$R$63:$T$91,3,FALSE),VLOOKUP($N47,$R$63:$T$91,3,FALSE)))+IF(AND($N47&lt;&gt;"",$N47&lt;&gt;"O3/CP",$N$15=F$18,MID($N47,4,1)="2",$N$15&lt;&gt;$N$14),VLOOKUP(CONCATENATE(LEFT($N47,2),"L"),$R$63:$T$91,3,FALSE),0)+IF(AND($N47="O3/CP",$N$14=F$18),VLOOKUP("O3",$R$63:$T$91,3,FALSE)+VLOOKUP("CP",$R$63:$T$91,3,FALSE),0)+IF(AND($O47&lt;&gt;"",$O47&lt;&gt;"--",$O47&lt;&gt;"O3/CP",$O$14=F$18),IF(LEFT($O47,1)="P",VLOOKUP(CONCATENATE(LEFT($O47,2),"H"),$R$63:$T$91,3,FALSE),VLOOKUP($O47,$R$63:$T$91,3,FALSE)))+IF(AND($O47&lt;&gt;"",$O47&lt;&gt;"O3/CP",$O$15=F$18,MID($O47,4,1)="2",$O$15&lt;&gt;$O$14),VLOOKUP(CONCATENATE(LEFT($O47,2),"L"),$R$63:$T$91,3,FALSE),0)+IF(AND($O47="O3/CP",$O$14=F$18),VLOOKUP("O3",$R$63:$T$91,3,FALSE)+VLOOKUP("CP",$R$63:$T$91,3,FALSE),0)+IF(AND($P47&lt;&gt;"",$P47&lt;&gt;"--",$P47&lt;&gt;"O3/CP",$P$14=F$18),IF(LEFT($P47,1)="P",VLOOKUP(CONCATENATE(LEFT($P47,2),"H"),$R$63:$T$91,3,FALSE),VLOOKUP($P47,$R$63:$T$91,3,FALSE)))+IF(AND($P47&lt;&gt;"",$P47&lt;&gt;"O3/CP",$P$15=F$18,MID($P47,4,1)="2",$P$15&lt;&gt;$P$14),VLOOKUP(CONCATENATE(LEFT($P47,2),"L"),$R$63:$T$91,3,FALSE),0)+IF(AND($P47="O3/CP",$P$14=F$18),VLOOKUP("O3",$R$63:$T$91,3,FALSE)+VLOOKUP("CP",$R$63:$T$91,3,FALSE),0)+IF(AND($Q47&lt;&gt;"",$Q47&lt;&gt;"--",$Q47&lt;&gt;"O3/CP",$Q$14=F$18),IF(LEFT($Q47,1)="P",VLOOKUP(CONCATENATE(LEFT($Q47,2),"H"),$R$63:$T$91,3,FALSE),VLOOKUP($Q47,$R$63:$T$91,3,FALSE)))+IF(AND($Q47&lt;&gt;"",$Q47&lt;&gt;"O3/CP",$Q$15=F$18,MID($Q47,4,1)="2",$Q$15&lt;&gt;$Q$14),VLOOKUP(CONCATENATE(LEFT($Q47,2),"L"),$R$63:$T$91,3,FALSE),0)+IF(AND($Q47="O3/CP",$Q$14=F$18),VLOOKUP("O3",$R$63:$T$91,3,FALSE)+VLOOKUP("CP",$R$63:$T$91,3,FALSE),0)+IF(AND($R47&lt;&gt;"",$R47&lt;&gt;"--",$R47&lt;&gt;"O3/CP",$R$14=F$18),IF(LEFT($R47,1)="P",VLOOKUP(CONCATENATE(LEFT($R47,2),"H"),$R$63:$T$91,3,FALSE),VLOOKUP($R47,$R$63:$T$91,3,FALSE)))+IF(AND($R47&lt;&gt;"",$R47&lt;&gt;"O3/CP",$R$15=F$18,MID($R47,4,1)="2",$R$15&lt;&gt;$R$14),VLOOKUP(CONCATENATE(LEFT($R47,2),"L"),$R$63:$T$91,3,FALSE),0)+IF(AND($R47="O3/CP",$R$14=F$18),VLOOKUP("O3",$R$63:$T$91,3,FALSE)+VLOOKUP("CP",$R$63:$T$91,3,FALSE),0)+IF(AND($S47&lt;&gt;"",$S47&lt;&gt;"--",$S47&lt;&gt;"O3/CP",$S$14=F$18),IF(LEFT($S47,1)="P",VLOOKUP(CONCATENATE(LEFT($S47,2),"H"),$R$63:$T$91,3,FALSE),VLOOKUP($S47,$R$63:$T$91,3,FALSE)))+IF(AND($S47&lt;&gt;"",$S47&lt;&gt;"O3/CP",$S$15=F$18,MID($S47,4,1)="2",$S$15&lt;&gt;$S$14),VLOOKUP(CONCATENATE(LEFT($S47,2),"L"),$R$63:$T$91,3,FALSE),0)+IF(AND($S47="O3/CP",$S$14=F$18),VLOOKUP("O3",$R$63:$T$91,3,FALSE)+VLOOKUP("CP",$R$63:$T$91,3,FALSE),0)+IF(AND($T47&lt;&gt;"",$T47&lt;&gt;"--",$T47&lt;&gt;"O3/CP",$T$14=F$18),IF(LEFT($T47,1)="P",VLOOKUP(CONCATENATE(LEFT($T47,2),"H"),$R$63:$T$91,3,FALSE),VLOOKUP($T47,$R$63:$T$91,3,FALSE)))+IF(AND($T47&lt;&gt;"",$T47&lt;&gt;"O3/CP",$T$15=F$18,MID($T47,4,1)="2",$T$15&lt;&gt;$T$14),VLOOKUP(CONCATENATE(LEFT($T47,2),"L"),$R$63:$T$91,3,FALSE),0)+IF(AND($T47="O3/CP",$T$14=F$18),VLOOKUP("O3",$R$63:$T$91,3,FALSE)+VLOOKUP("CP",$R$63:$T$91,3,FALSE),0)+IF(AND($U47&lt;&gt;"",$U47&lt;&gt;"--",$U47&lt;&gt;"O3/CP",$U$14=F$18),IF(LEFT($U47,1)="P",VLOOKUP(CONCATENATE(LEFT($U47,2),"H"),$R$63:$T$91,3,FALSE),VLOOKUP($U47,$R$63:$T$91,3,FALSE)))+IF(AND($U47&lt;&gt;"",$U47&lt;&gt;"O3/CP",$U$15=F$18,MID($U47,4,1)="2",$U$15&lt;&gt;$U$14),VLOOKUP(CONCATENATE(LEFT($U47,2),"L"),$R$63:$T$91,3,FALSE),0)+IF(AND($U47="O3/CP",$T$14=F$18),VLOOKUP("O3",$R$63:$T$91,3,FALSE)+VLOOKUP("CP",$R$63:$T$91,3,FALSE),0)+IF(AND($V47&lt;&gt;"",$V47&lt;&gt;"--",$V47&lt;&gt;"O3/CP",$V$14=F$18),IF(LEFT($V47,1)="P",VLOOKUP(CONCATENATE(LEFT($V47,2),"H"),$R$63:$T$91,3,FALSE),VLOOKUP($V47,$R$63:$T$91,3,FALSE)))+IF(AND($V47&lt;&gt;"",$V47&lt;&gt;"O3/CP",$V$15=F$18,MID($V47,4,1)="2",$V$15&lt;&gt;$V$14),VLOOKUP(CONCATENATE(LEFT($V47,2),"L"),$R$63:$T$91,3,FALSE),0)+IF(AND($V47="O3/CP",$V$14=F$18),VLOOKUP("O3",$R$63:$T$91,3,FALSE)+VLOOKUP("CP",$R$63:$T$91,3,FALSE),0)+IF(AND($W47&lt;&gt;"",$W47&lt;&gt;"--",$W47&lt;&gt;"O3/CP",$W$14=F$18),IF(LEFT($W47,1)="P",VLOOKUP(CONCATENATE(LEFT($W47,2),"H"),$R$63:$T$91,3,FALSE),VLOOKUP($W47,$R$63:$T$91,3,FALSE)))+IF(AND($W47&lt;&gt;"",$W47&lt;&gt;"O3/CP",$W$15=F$18,MID($W47,4,1)="2",$W$15&lt;&gt;$W$14),VLOOKUP(CONCATENATE(LEFT($W47,2),"L"),$R$63:$T$91,3,FALSE),0)+IF(AND($W47="O3/CP",$W$14=F$18),VLOOKUP("O3",$R$63:$T$91,3,FALSE)+VLOOKUP("CP",$R$63:$T$91,3,FALSE),0)+IF(AND($X47&lt;&gt;"",$X47&lt;&gt;"--",$X47&lt;&gt;"O3/CP",$X$14=F$18),IF(LEFT($X47,1)="P",VLOOKUP(CONCATENATE(LEFT($X47,2),"H"),$R$63:$T$91,3,FALSE),VLOOKUP($X47,$R$63:$T$91,3,FALSE)))+IF(AND($X47&lt;&gt;"",$X47&lt;&gt;"O3/CP",$X$15=F$18,MID($X47,4,1)="2",$X$15&lt;&gt;$X$14),VLOOKUP(CONCATENATE(LEFT($X47,2),"L"),$R$63:$T$91,3,FALSE),0)+IF(AND($X47="O3/CP",$X$14=F$18),VLOOKUP("O3",$R$63:$T$91,3,FALSE)+VLOOKUP("CP",$R$63:$T$91,3,FALSE),0)+IF(AND($Y47&lt;&gt;"",$Y47&lt;&gt;"--",$Y47&lt;&gt;"O3/CP",$Y$14=F$18),IF(LEFT($Y47,1)="P",VLOOKUP(CONCATENATE(LEFT($Y47,2),"H"),$R$63:$T$91,3,FALSE),VLOOKUP($Y47,$R$63:$T$91,3,FALSE)))+IF(AND($Y47&lt;&gt;"",$Y47&lt;&gt;"O3/CP",$Y$15=F$18,MID($Y47,4,1)="2",$Y$15&lt;&gt;$Y$14),VLOOKUP(CONCATENATE(LEFT($Y47,2),"L"),$R$63:$T$91,3,FALSE),0)+IF(AND($Y47="O3/CP",$Y$14=F$18),VLOOKUP("O3",$R$63:$T$91,3,FALSE)+VLOOKUP("CP",$R$63:$T$91,3,FALSE),0)+IF(AND($K$6="CE",'[3]Supply Attribution'!$G$20=F$18),LEFT($S$90,2),0)+IF(AND($X$86&lt;&gt;"Not Set",$X$87=F$18),$X$86,0)</f>
        <v>0</v>
      </c>
      <c r="G47" s="271">
        <f>IF(AND($K$6="CE",$T$59="1 Phase"),SUM(A47:F47)-IF(AND($K$14&lt;&gt;$K$15,RIGHT($K47,3)="2SP"),VLOOKUP(CONCATENATE(LEFT($K47,2),"L"),$R$63:$T$90,3,FALSE),0)-IF(AND($L$14&lt;&gt;$L$15,RIGHT($L47,3)="2SP"),VLOOKUP(CONCATENATE(LEFT($L47,2),"L"),$R$63:$T$90,3,FALSE),0)-IF(AND($M$14&lt;&gt;$M$15,RIGHT($M47,3)="2SP"),VLOOKUP(CONCATENATE(LEFT($M47,2),"L"),$R$63:$T$90,3,FALSE),0)-IF(AND($N$14&lt;&gt;$N$15,RIGHT($N47,3)="2SP"),VLOOKUP(CONCATENATE(LEFT($N47,2),"L"),$R$63:$T$90,3,FALSE),0)-IF(AND($O$14&lt;&gt;$O$15,RIGHT($O47,3)="2SP"),VLOOKUP(CONCATENATE(LEFT($O47,2),"L"),$R$63:$T$90,3,FALSE),0)-IF(AND($P$14&lt;&gt;$P$15,RIGHT($P47,3)="2SP"),VLOOKUP(CONCATENATE(LEFT($P47,2),"L"),$R$63:$T$90,3,FALSE),0)-IF(AND($Q$14&lt;&gt;$Q$15,RIGHT($Q47,3)="2SP"),VLOOKUP(CONCATENATE(LEFT($Q47,2),"L"),$R$63:$T$90,3,FALSE),0)-IF(AND($R$14&lt;&gt;$R$15,RIGHT($T47,3)="2SP"),VLOOKUP(CONCATENATE(LEFT($R47,2),"L"),$R$63:$T$90,3,FALSE),0)-IF(AND($S$14&lt;&gt;$S$15,RIGHT($T47,3)="2SP"),VLOOKUP(CONCATENATE(LEFT($S47,2),"L"),$R$63:$T$90,3,FALSE),0)-IF(AND($T$14&lt;&gt;$T$15,RIGHT($T47,3)="2SP"),VLOOKUP(CONCATENATE(LEFT($T47,2),"L"),$R$63:$T$90,3,FALSE),0)-IF(AND($U$14&lt;&gt;$U$15,RIGHT($U47,3)="2SP"),VLOOKUP(CONCATENATE(LEFT($U47,2),"L"),$R$63:$T$90,3,FALSE),0)-IF(AND($V$14&lt;&gt;$V$15,RIGHT($V47,3)="2SP"),VLOOKUP(CONCATENATE(LEFT($V47,2),"L"),$R$63:$T$90,3,FALSE),0)-IF(AND($W$14&lt;&gt;$W$15,RIGHT($W47,3)="2SP"),VLOOKUP(CONCATENATE(LEFT($W47,2),"L"),$R$63:$T$90,3,FALSE),0)-IF(AND($X$14&lt;&gt;$X$15,RIGHT($X47,3)="2SP"),VLOOKUP(CONCATENATE(LEFT($X47,2),"L"),$R$63:$T$90,3,FALSE),0)-IF(AND($Y$14&lt;&gt;$Y$15,RIGHT($Y47,3)="2SP"),VLOOKUP(CONCATENATE(LEFT($Y47,2),"L"),$R$63:$T$90,3,FALSE),0),IF(VLOOKUP(CONCATENATE($A$18,"Line"),'[3]Supply Attribution'!$F$31:$G$37,2,FALSE)=G$18,$A47,0)+IF(VLOOKUP(CONCATENATE($B$18,"Line"),'[3]Supply Attribution'!$F$31:$G$37,2,FALSE)=G$18,$B47,0)+IF(VLOOKUP(CONCATENATE($C$18,"Line"),'[3]Supply Attribution'!$F$31:$G$37,2,FALSE)=G$18,$C47,0)+IF(VLOOKUP(CONCATENATE($D$18,"Line"),'[3]Supply Attribution'!$F$31:$G$37,2,FALSE)=G$18,$D47,0)+IF(VLOOKUP(CONCATENATE($E$18,"Line"),'[3]Supply Attribution'!$F$31:$G$37,2,FALSE)=G$18,$E47,0)+IF(VLOOKUP(CONCATENATE($F$18,"Line"),'[3]Supply Attribution'!$F$31:$G$37,2,FALSE)=G$18,$F47,0)+IF($K$6="UL",LEFT($S$90,2),0)-IF(AND($K$16=G$18,$K$14&lt;&gt;$K$15,$K$16=$K$17,RIGHT($K47,3)="2SP"),VLOOKUP(CONCATENATE(LEFT($K47,2),"L"),$R$63:$T$90,3,FALSE),0)-IF(AND($L$16=G$18,$L$14&lt;&gt;$L$15,$L$16=$L$17,RIGHT($L47,3)="2SP"),VLOOKUP(CONCATENATE(LEFT($L47,2),"L"),$R$63:$T$90,3,FALSE),0)-IF(AND($M$16=G$18,$M$14&lt;&gt;$M$15,$M$16=$M$17,RIGHT($M47,3)="2SP"),VLOOKUP(CONCATENATE(LEFT($M47,2),"L"),$R$63:$T$90,3,FALSE),0)-IF(AND($N$16=G$18,$N$14&lt;&gt;$N$15,$N$16=$N$17,RIGHT($N47,3)="2SP"),VLOOKUP(CONCATENATE(LEFT($N47,2),"L"),$R$63:$T$90,3,FALSE),0)-IF(AND($O$16=G$18,$O$14&lt;&gt;$O$15,$O$16=$O$17,RIGHT($O47,3)="2SP"),VLOOKUP(CONCATENATE(LEFT($O47,2),"L"),$R$63:$T$90,3,FALSE),0)-IF(AND($P$16=G$18,$P$14&lt;&gt;$P$15,$P$16=$P$17,RIGHT($P47,3)="2SP"),VLOOKUP(CONCATENATE(LEFT($P47,2),"L"),$R$63:$T$90,3,FALSE),0)-IF(AND($Q$16=G$18,$Q$14&lt;&gt;$Q$15,$Q$16=$Q$17,RIGHT($Q47,3)="2SP"),VLOOKUP(CONCATENATE(LEFT($Q47,2),"L"),$R$63:$T$90,3,FALSE),0)-IF(AND($R$16=G$18,$R$14&lt;&gt;$R$15,$R$16=$R$17,RIGHT($R47,3)="2SP"),VLOOKUP(CONCATENATE(LEFT($R47,2),"L"),$R$63:$T$90,3,FALSE),0)-IF(AND($S$16=G$18,$S$14&lt;&gt;$S$15,$S$16=$S$17,RIGHT($S47,3)="2SP"),VLOOKUP(CONCATENATE(LEFT($S47,2),"L"),$R$63:$T$90,3,FALSE),0)-IF(AND($T$16=G$18,$T$14&lt;&gt;$T$15,$T$16=$T$17,RIGHT($T47,3)="2SP"),VLOOKUP(CONCATENATE(LEFT($T47,2),"L"),$R$63:$T$90,3,FALSE),0)-IF(AND($U$16=G$18,$U$14&lt;&gt;$U$15,$U$16=$U$17,RIGHT($U47,3)="2SP"),VLOOKUP(CONCATENATE(LEFT($U47,2),"L"),$R$63:$T$90,3,FALSE),0)-IF(AND($V$16=G$18,$V$14&lt;&gt;$V$15,$V$16=$V$17,RIGHT($V47,3)="2SP"),VLOOKUP(CONCATENATE(LEFT($V47,2),"L"),$R$63:$T$90,3,FALSE),0)-IF(AND($W$16=G$18,$W$14&lt;&gt;$W$15,$W$16=$W$17,RIGHT($W47,3)="2SP"),VLOOKUP(CONCATENATE(LEFT($W47,2),"L"),$R$63:$T$90,3,FALSE),0)-IF(AND($X$16=G$18,$X$14&lt;&gt;$X$15,$X$16=$X$17,RIGHT($X47,3)="2SP"),VLOOKUP(CONCATENATE(LEFT($X47,2),"L"),$R$63:$T$90,3,FALSE),0)-IF(AND($Y$16=G$18,$Y$14&lt;&gt;$Y$15,$Y$16=$Y$17,RIGHT($Y47,3)="2SP"),VLOOKUP(CONCATENATE(LEFT($Y47,2),"L"),$R$63:$T$90,3,FALSE),0))</f>
        <v>17</v>
      </c>
      <c r="H47" s="271" t="str">
        <f>IF(H$18&lt;&gt;"",IF(VLOOKUP(CONCATENATE($A$18,"Line"),'Supply Attribution'!$F$31:$G$37,2,FALSE)=H$18,$A47,0)+IF(VLOOKUP(CONCATENATE($B$18,"Line"),'Supply Attribution'!$F$31:$G$37,2,FALSE)=H$18,$B47,0)+IF(VLOOKUP(CONCATENATE($C$18,"Line"),'Supply Attribution'!$F$31:$G$37,2,FALSE)=H$18,$C47,0)+IF(VLOOKUP(CONCATENATE($D$18,"Line"),'Supply Attribution'!$F$31:$G$37,2,FALSE)=H$18,$D47,0)+IF(VLOOKUP(CONCATENATE($E$18,"Line"),'Supply Attribution'!$F$31:$G$37,2,FALSE)=H$18,$E47,0)+IF(VLOOKUP(CONCATENATE($F$18,"Line"),'Supply Attribution'!$F$31:$G$37,2,FALSE)=H$18,$F47,0)+IF($K$6="UL",LEFT($S$90,2),0)-IF(AND($K$16=H$18,$K$14&lt;&gt;$K$15,$K$16=$K$17,RIGHT($K47,3)="2SP"),VLOOKUP(CONCATENATE(LEFT($K47,2),"L"),$R$63:$T$90,3,FALSE),0)-IF(AND($L$16=H$18,$L$14&lt;&gt;$L$15,$L$16=$L$17,RIGHT($L47,3)="2SP"),VLOOKUP(CONCATENATE(LEFT($L47,2),"L"),$R$63:$T$90,3,FALSE),0)-IF(AND($M$16=H$18,$M$14&lt;&gt;$M$15,$M$16=$M$17,RIGHT($M47,3)="2SP"),VLOOKUP(CONCATENATE(LEFT($M47,2),"L"),$R$63:$T$90,3,FALSE),0)-IF(AND($N$16=H$18,$N$14&lt;&gt;$N$15,$N$16=$N$17,RIGHT($N47,3)="2SP"),VLOOKUP(CONCATENATE(LEFT($N47,2),"L"),$R$63:$T$90,3,FALSE),0)-IF(AND($O$16=H$18,$O$14&lt;&gt;$O$15,$O$16=$O$17,RIGHT($O47,3)="2SP"),VLOOKUP(CONCATENATE(LEFT($O47,2),"L"),$R$63:$T$90,3,FALSE),0)-IF(AND($P$16=H$18,$P$14&lt;&gt;$P$15,$P$16=$P$17,RIGHT($P47,3)="2SP"),VLOOKUP(CONCATENATE(LEFT($P47,2),"L"),$R$63:$T$90,3,FALSE),0)-IF(AND($Q$16=H$18,$Q$14&lt;&gt;$Q$15,$Q$16=$Q$17,RIGHT($Q47,3)="2SP"),VLOOKUP(CONCATENATE(LEFT($Q47,2),"L"),$R$63:$T$90,3,FALSE),0)-IF(AND($T$16=H$18,$T$14&lt;&gt;$T$15,$T$16=$T$17,RIGHT($T47,3)="2SP"),VLOOKUP(CONCATENATE(LEFT($T47,2),"L"),$R$63:$T$90,3,FALSE),0)-IF(AND($U$16=H$18,$U$14&lt;&gt;$U$15,$U$16=$U$17,RIGHT($U47,3)="2SP"),VLOOKUP(CONCATENATE(LEFT($U47,2),"L"),$R$63:$T$90,3,FALSE),0)-IF(AND($V$16=H$18,$V$14&lt;&gt;$V$15,$V$16=$V$17,RIGHT($V47,3)="2SP"),VLOOKUP(CONCATENATE(LEFT($V47,2),"L"),$R$63:$T$90,3,FALSE),0)-IF(AND($W$16=H$18,$W$14&lt;&gt;$W$15,$W$16=$W$17,RIGHT($W47,3)="2SP"),VLOOKUP(CONCATENATE(LEFT($W47,2),"L"),$R$63:$T$90,3,FALSE),0)-IF(AND($X$16=H$18,$X$14&lt;&gt;$X$15,$X$16=$X$17,RIGHT($X47,3)="2SP"),VLOOKUP(CONCATENATE(LEFT($X47,2),"L"),$R$63:$T$90,3,FALSE),0)-IF(AND($Y$16=H$18,$Y$14&lt;&gt;$Y$15,$Y$16=$Y$17,RIGHT($Y47,3)="2SP"),VLOOKUP(CONCATENATE(LEFT($Y47,2),"L"),$R$63:$T$90,3,FALSE),0)+IF(AND($K$6="CE",$T$59="2 Phases",H$18&lt;&gt;""),IF(VLOOKUP(CONCATENATE($A$18,"Line"),'Supply Attribution'!$F$31:$G$37,2,FALSE)="Line3",$A47,0)+IF(VLOOKUP(CONCATENATE($B$18,"Line"),'Supply Attribution'!$F$31:$G$37,2,FALSE)="Line3",$B47,0)+IF(VLOOKUP(CONCATENATE($C$18,"Line"),'Supply Attribution'!$F$31:$G$37,2,FALSE)="Line3",$C47,0)+IF(VLOOKUP(CONCATENATE($D$18,"Line"),'Supply Attribution'!$F$31:$G$37,2,FALSE)="Line3",$D47,0)+IF(VLOOKUP(CONCATENATE($E$18,"Line"),'Supply Attribution'!$F$31:$G$37,2,FALSE)="Line3",$E47,0)+IF(VLOOKUP(CONCATENATE($F$18,"Line"),'Supply Attribution'!$F$31:$G$37,2,FALSE)="Line3",$F47,0)-IF(AND($K$16=I$18,$K$14&lt;&gt;$K$15,$K$16=$K$17,RIGHT($K47,3)="2SP"),VLOOKUP(CONCATENATE(LEFT($K47,2),"L"),$R$63:$T$90,3,FALSE),0)-IF(AND($L$16=I$18,$L$14&lt;&gt;$L$15,$L$16=$L$17,RIGHT($L47,3)="2SP"),VLOOKUP(CONCATENATE(LEFT($L47,2),"L"),$R$63:$T$90,3,FALSE),0)-IF(AND($M$16=I$18,$M$14&lt;&gt;$M$15,$M$16=$M$17,RIGHT($M47,3)="2SP"),VLOOKUP(CONCATENATE(LEFT($M47,2),"L"),$R$63:$T$90,3,FALSE),0)-IF(AND($N$16=I$18,$N$14&lt;&gt;$N$15,$N$16=$N$17,RIGHT($N47,3)="2SP"),VLOOKUP(CONCATENATE(LEFT($N47,2),"L"),$R$63:$T$90,3,FALSE),0)-IF(AND($O$16=I$18,$O$14&lt;&gt;$O$15,$O$16=$O$17,RIGHT($O47,3)="2SP"),VLOOKUP(CONCATENATE(LEFT($O47,2),"L"),$R$63:$T$90,3,FALSE),0)-IF(AND($P$16=I$18,$P$14&lt;&gt;$P$15,$P$16=$P$17,RIGHT($P47,3)="2SP"),VLOOKUP(CONCATENATE(LEFT($P47,2),"L"),$R$63:$T$90,3,FALSE),0)-IF(AND($Q$16=I$18,$Q$14&lt;&gt;$Q$15,$Q$16=$Q$17,RIGHT($Q47,3)="2SP"),VLOOKUP(CONCATENATE(LEFT($Q47,2),"L"),$R$63:$T$90,3,FALSE),0)-IF(AND($T$16=I$18,$T$14&lt;&gt;$T$15,$T$16=$T$17,RIGHT($T47,3)="2SP"),VLOOKUP(CONCATENATE(LEFT($T47,2),"L"),$R$63:$T$90,3,FALSE),0)-IF(AND($U$16=I$18,$U$14&lt;&gt;$U$15,$U$16=$U$17,RIGHT($U47,3)="2SP"),VLOOKUP(CONCATENATE(LEFT($U47,2),"L"),$R$63:$T$90,3,FALSE),0)-IF(AND($V$16=I$18,$V$14&lt;&gt;$V$15,$V$16=$V$17,RIGHT($V47,3)="2SP"),VLOOKUP(CONCATENATE(LEFT($V47,2),"L"),$R$63:$T$90,3,FALSE),0)-IF(AND($W$16=I$18,$W$14&lt;&gt;$W$15,$W$16=$W$17,RIGHT($W47,3)="2SP"),VLOOKUP(CONCATENATE(LEFT($W47,2),"L"),$R$63:$T$90,3,FALSE),0)-IF(AND($X$16=I$18,$X$14&lt;&gt;$X$15,$X$16=$X$17,RIGHT($X47,3)="2SP"),VLOOKUP(CONCATENATE(LEFT($X47,2),"L"),$R$63:$T$90,3,FALSE),0)-IF(AND($Y$16=I$18,$Y$14&lt;&gt;$Y$15,$Y$16=$Y$17,RIGHT($Y47,3)="2SP"),VLOOKUP(CONCATENATE(LEFT($Y47,2),"L"),$R$63:$T$90,3,FALSE),0),0),"")</f>
        <v/>
      </c>
      <c r="I47" s="271" t="str">
        <f>IF(I$18&lt;&gt;"",IF(VLOOKUP(CONCATENATE($A$18,"Line"),'Supply Attribution'!$F$31:$G$37,2,FALSE)=I$18,$A47,0)+IF(VLOOKUP(CONCATENATE($B$18,"Line"),'Supply Attribution'!$F$31:$G$37,2,FALSE)=I$18,$B47,0)+IF(VLOOKUP(CONCATENATE($C$18,"Line"),'Supply Attribution'!$F$31:$G$37,2,FALSE)=I$18,$C47,0)+IF(VLOOKUP(CONCATENATE($D$18,"Line"),'Supply Attribution'!$F$31:$G$37,2,FALSE)=I$18,$D47,0)+IF(VLOOKUP(CONCATENATE($E$18,"Line"),'Supply Attribution'!$F$31:$G$37,2,FALSE)=I$18,$E47,0)+IF(VLOOKUP(CONCATENATE($F$18,"Line"),'Supply Attribution'!$F$31:$G$37,2,FALSE)=I$18,$F47,0)+IF($K$6="UL",LEFT($S$90,2),0)-IF(AND($K$16=I$18,$K$14&lt;&gt;$K$15,$K$16=$K$17,RIGHT($K47,3)="2SP"),VLOOKUP(CONCATENATE(LEFT($K47,2),"L"),$R$63:$T$90,3,FALSE),0)-IF(AND($L$16=I$18,$L$14&lt;&gt;$L$15,$L$16=$L$17,RIGHT($L47,3)="2SP"),VLOOKUP(CONCATENATE(LEFT($L47,2),"L"),$R$63:$T$90,3,FALSE),0)-IF(AND($M$16=I$18,$M$14&lt;&gt;$M$15,$M$16=$M$17,RIGHT($M47,3)="2SP"),VLOOKUP(CONCATENATE(LEFT($M47,2),"L"),$R$63:$T$90,3,FALSE),0)-IF(AND($N$16=I$18,$N$14&lt;&gt;$N$15,$N$16=$N$17,RIGHT($N47,3)="2SP"),VLOOKUP(CONCATENATE(LEFT($N47,2),"L"),$R$63:$T$90,3,FALSE),0)-IF(AND($O$16=I$18,$O$14&lt;&gt;$O$15,$O$16=$O$17,RIGHT($O47,3)="2SP"),VLOOKUP(CONCATENATE(LEFT($O47,2),"L"),$R$63:$T$90,3,FALSE),0)-IF(AND($P$16=I$18,$P$14&lt;&gt;$P$15,$P$16=$P$17,RIGHT($P47,3)="2SP"),VLOOKUP(CONCATENATE(LEFT($P47,2),"L"),$R$63:$T$90,3,FALSE),0)-IF(AND($Q$16=I$18,$Q$14&lt;&gt;$Q$15,$Q$16=$Q$17,RIGHT($Q47,3)="2SP"),VLOOKUP(CONCATENATE(LEFT($Q47,2),"L"),$R$63:$T$90,3,FALSE),0)-IF(AND($T$16=I$18,$T$14&lt;&gt;$T$15,$T$16=$T$17,RIGHT($T47,3)="2SP"),VLOOKUP(CONCATENATE(LEFT($T47,2),"L"),$R$63:$T$90,3,FALSE),0)-IF(AND($U$16=I$18,$U$14&lt;&gt;$U$15,$U$16=$U$17,RIGHT($U47,3)="2SP"),VLOOKUP(CONCATENATE(LEFT($U47,2),"L"),$R$63:$T$90,3,FALSE),0)-IF(AND($V$16=I$18,$V$14&lt;&gt;$V$15,$V$16=$V$17,RIGHT($V47,3)="2SP"),VLOOKUP(CONCATENATE(LEFT($V47,2),"L"),$R$63:$T$90,3,FALSE),0)-IF(AND($W$16=I$18,$W$14&lt;&gt;$W$15,$W$16=$W$17,RIGHT($W47,3)="2SP"),VLOOKUP(CONCATENATE(LEFT($W47,2),"L"),$R$63:$T$90,3,FALSE),0)-IF(AND($X$16=I$18,$X$14&lt;&gt;$X$15,$X$16=$X$17,RIGHT($X47,3)="2SP"),VLOOKUP(CONCATENATE(LEFT($X47,2),"L"),$R$63:$T$90,3,FALSE),0)-IF(AND($Y$16=I$18,$Y$14&lt;&gt;$Y$15,$Y$16=$Y$17,RIGHT($Y47,3)="2SP"),VLOOKUP(CONCATENATE(LEFT($Y47,2),"L"),$R$63:$T$90,3,FALSE),0),"")</f>
        <v/>
      </c>
      <c r="J47" s="129"/>
      <c r="K47" s="130"/>
      <c r="L47" s="130"/>
      <c r="M47" s="130"/>
      <c r="N47" s="130"/>
      <c r="O47" s="130"/>
      <c r="P47" s="130"/>
      <c r="Q47" s="130"/>
      <c r="R47" s="130"/>
      <c r="S47" s="130"/>
      <c r="T47" s="130"/>
      <c r="U47" s="130"/>
      <c r="V47" s="130"/>
      <c r="W47" s="130"/>
      <c r="X47" s="130"/>
      <c r="Y47" s="130"/>
      <c r="Z47" s="131"/>
      <c r="AA47" s="131"/>
      <c r="AB47" s="132"/>
      <c r="AC47" s="132"/>
      <c r="AD47" s="132"/>
      <c r="AE47" s="133">
        <f t="shared" si="0"/>
        <v>0</v>
      </c>
      <c r="AF47" s="78"/>
    </row>
    <row r="48" spans="1:32">
      <c r="A48" s="270">
        <f>IF(AND($K48&lt;&gt;"",$K48&lt;&gt;"--",$K48&lt;&gt;"O3/CP",$K$14=A$18),IF(LEFT($K48,1)="P",VLOOKUP(CONCATENATE(LEFT($K48,2),"H"),$R$63:$T$91,3,FALSE),VLOOKUP($K48,$R$63:$T$91,3,FALSE)))+IF(AND($K48&lt;&gt;"",$K48&lt;&gt;"O3/CP",$K$15=A$18,MID($K48,4,1)="2",$K$15&lt;&gt;$K$14),VLOOKUP(CONCATENATE(LEFT($K48,2),"L"),$R$63:$T$91,3,FALSE),0)+IF(AND($K48="O3/CP",$K$14=A$18),VLOOKUP("O3",$R$63:$T$91,3,FALSE)+VLOOKUP("CP",$R$63:$T$91,3,FALSE),0)+IF(AND($L48&lt;&gt;"",$L48&lt;&gt;"--",$L48&lt;&gt;"O3/CP",$L$14=A$18),IF(LEFT($L48,1)="P",VLOOKUP(CONCATENATE(LEFT($L48,2),"H"),$R$63:$T$91,3,FALSE),VLOOKUP($L48,$R$63:$T$91,3,FALSE)))+IF(AND($L48&lt;&gt;"",$L48&lt;&gt;"O3/CP",$L$15=A$18,MID($L48,4,1)="2",$L$15&lt;&gt;$L$14),VLOOKUP(CONCATENATE(LEFT($L48,2),"L"),$R$63:$T$91,3,FALSE),0)+IF(AND($L48="O3/CP",$L$14=A$18),VLOOKUP("O3",$R$63:$T$91,3,FALSE)+VLOOKUP("CP",$R$63:$T$91,3,FALSE),0)+IF(AND($M48&lt;&gt;"",$M48&lt;&gt;"--",$M48&lt;&gt;"O3/CP",$M$14=A$18),IF(LEFT($M48,1)="P",VLOOKUP(CONCATENATE(LEFT($M48,2),"H"),$R$63:$T$91,3,FALSE),VLOOKUP($M48,$R$63:$T$91,3,FALSE)))+IF(AND($M48&lt;&gt;"",$M48&lt;&gt;"O3/CP",$M$15=A$18,MID($M48,4,1)="2",$M$15&lt;&gt;$M$14),VLOOKUP(CONCATENATE(LEFT($M48,2),"L"),$R$63:$T$91,3,FALSE),0)+IF(AND($M48="O3/CP",$M$14=A$18),VLOOKUP("O3",$R$63:$T$91,3,FALSE)+VLOOKUP("CP",$R$63:$T$91,3,FALSE),0)+IF(AND($N48&lt;&gt;"",$N48&lt;&gt;"--",$N48&lt;&gt;"O3/CP",$N$14=A$18),IF(LEFT($N48,1)="P",VLOOKUP(CONCATENATE(LEFT($N48,2),"H"),$R$63:$T$91,3,FALSE),VLOOKUP($N48,$R$63:$T$91,3,FALSE)))+IF(AND($N48&lt;&gt;"",$N48&lt;&gt;"O3/CP",$N$15=A$18,MID($N48,4,1)="2",$N$15&lt;&gt;$N$14),VLOOKUP(CONCATENATE(LEFT($N48,2),"L"),$R$63:$T$91,3,FALSE),0)+IF(AND($N48="O3/CP",$N$14=A$18),VLOOKUP("O3",$R$63:$T$91,3,FALSE)+VLOOKUP("CP",$R$63:$T$91,3,FALSE),0)+IF(AND($O48&lt;&gt;"",$O48&lt;&gt;"--",$O48&lt;&gt;"O3/CP",$O$14=A$18),IF(LEFT($O48,1)="P",VLOOKUP(CONCATENATE(LEFT($O48,2),"H"),$R$63:$T$91,3,FALSE),VLOOKUP($O48,$R$63:$T$91,3,FALSE)))+IF(AND($O48&lt;&gt;"",$O48&lt;&gt;"O3/CP",$O$15=A$18,MID($O48,4,1)="2",$O$15&lt;&gt;$O$14),VLOOKUP(CONCATENATE(LEFT($O48,2),"L"),$R$63:$T$91,3,FALSE),0)+IF(AND($O48="O3/CP",$O$14=A$18),VLOOKUP("O3",$R$63:$T$91,3,FALSE)+VLOOKUP("CP",$R$63:$T$91,3,FALSE),0)+IF(AND($P48&lt;&gt;"",$P48&lt;&gt;"--",$P48&lt;&gt;"O3/CP",$P$14=A$18),IF(LEFT($P48,1)="P",VLOOKUP(CONCATENATE(LEFT($P48,2),"H"),$R$63:$T$91,3,FALSE),VLOOKUP($P48,$R$63:$T$91,3,FALSE)))+IF(AND($P48&lt;&gt;"",$P48&lt;&gt;"O3/CP",$P$15=A$18,MID($P48,4,1)="2",$P$15&lt;&gt;$P$14),VLOOKUP(CONCATENATE(LEFT($P48,2),"L"),$R$63:$T$91,3,FALSE),0)+IF(AND($P48="O3/CP",$P$14=A$18),VLOOKUP("O3",$R$63:$T$91,3,FALSE)+VLOOKUP("CP",$R$63:$T$91,3,FALSE),0)+IF(AND($Q48&lt;&gt;"",$Q48&lt;&gt;"--",$Q48&lt;&gt;"O3/CP",$Q$14=A$18),IF(LEFT($Q48,1)="P",VLOOKUP(CONCATENATE(LEFT($Q48,2),"H"),$R$63:$T$91,3,FALSE),VLOOKUP($Q48,$R$63:$T$91,3,FALSE)))+IF(AND($Q48&lt;&gt;"",$Q48&lt;&gt;"O3/CP",$Q$15=A$18,MID($Q48,4,1)="2",$Q$15&lt;&gt;$Q$14),VLOOKUP(CONCATENATE(LEFT($Q48,2),"L"),$R$63:$T$91,3,FALSE),0)+IF(AND($Q48="O3/CP",$Q$14=A$18),VLOOKUP("O3",$R$63:$T$91,3,FALSE)+VLOOKUP("CP",$R$63:$T$91,3,FALSE),0)+IF(AND($R48&lt;&gt;"",$R48&lt;&gt;"--",$R48&lt;&gt;"O3/CP",$R$14=A$18),IF(LEFT($R48,1)="P",VLOOKUP(CONCATENATE(LEFT($R48,2),"H"),$R$63:$T$91,3,FALSE),VLOOKUP($R48,$R$63:$T$91,3,FALSE)))+IF(AND($R48&lt;&gt;"",$R48&lt;&gt;"O3/CP",$R$15=A$18,MID($R48,4,1)="2",$R$15&lt;&gt;$R$14),VLOOKUP(CONCATENATE(LEFT($R48,2),"L"),$R$63:$T$91,3,FALSE),0)+IF(AND($R48="O3/CP",$R$14=A$18),VLOOKUP("O3",$R$63:$T$91,3,FALSE)+VLOOKUP("CP",$R$63:$T$91,3,FALSE),0)+IF(AND($S48&lt;&gt;"",$S48&lt;&gt;"--",$S48&lt;&gt;"O3/CP",$S$14=A$18),IF(LEFT($S48,1)="P",VLOOKUP(CONCATENATE(LEFT($S48,2),"H"),$R$63:$T$91,3,FALSE),VLOOKUP($S48,$R$63:$T$91,3,FALSE)))+IF(AND($S48&lt;&gt;"",$S48&lt;&gt;"O3/CP",$S$15=A$18,MID($S48,4,1)="2",$S$15&lt;&gt;$S$14),VLOOKUP(CONCATENATE(LEFT($S48,2),"L"),$R$63:$T$91,3,FALSE),0)+IF(AND($S48="O3/CP",$S$14=A$18),VLOOKUP("O3",$R$63:$T$91,3,FALSE)+VLOOKUP("CP",$R$63:$T$91,3,FALSE),0)+IF(AND($T48&lt;&gt;"",$T48&lt;&gt;"--",$T48&lt;&gt;"O3/CP",$T$14=A$18),IF(LEFT($T48,1)="P",VLOOKUP(CONCATENATE(LEFT($T48,2),"H"),$R$63:$T$91,3,FALSE),VLOOKUP($T48,$R$63:$T$91,3,FALSE)))+IF(AND($T48&lt;&gt;"",$T48&lt;&gt;"O3/CP",$T$15=A$18,MID($T48,4,1)="2",$T$15&lt;&gt;$T$14),VLOOKUP(CONCATENATE(LEFT($T48,2),"L"),$R$63:$T$91,3,FALSE),0)+IF(AND($T48="O3/CP",$T$14=A$18),VLOOKUP("O3",$R$63:$T$91,3,FALSE)+VLOOKUP("CP",$R$63:$T$91,3,FALSE),0)+IF(AND($U48&lt;&gt;"",$U48&lt;&gt;"--",$U48&lt;&gt;"O3/CP",$U$14=A$18),IF(LEFT($U48,1)="P",VLOOKUP(CONCATENATE(LEFT($U48,2),"H"),$R$63:$T$91,3,FALSE),VLOOKUP($U48,$R$63:$T$91,3,FALSE)))+IF(AND($U48&lt;&gt;"",$U48&lt;&gt;"O3/CP",$U$15=A$18,MID($U48,4,1)="2",$U$15&lt;&gt;$U$14),VLOOKUP(CONCATENATE(LEFT($U48,2),"L"),$R$63:$T$91,3,FALSE),0)+IF(AND($U48="O3/CP",$T$14=A$18),VLOOKUP("O3",$R$63:$T$91,3,FALSE)+VLOOKUP("CP",$R$63:$T$91,3,FALSE),0)+IF(AND($V48&lt;&gt;"",$V48&lt;&gt;"--",$V48&lt;&gt;"O3/CP",$V$14=A$18),IF(LEFT($V48,1)="P",VLOOKUP(CONCATENATE(LEFT($V48,2),"H"),$R$63:$T$91,3,FALSE),VLOOKUP($V48,$R$63:$T$91,3,FALSE)))+IF(AND($V48&lt;&gt;"",$V48&lt;&gt;"O3/CP",$V$15=A$18,MID($V48,4,1)="2",$V$15&lt;&gt;$V$14),VLOOKUP(CONCATENATE(LEFT($V48,2),"L"),$R$63:$T$91,3,FALSE),0)+IF(AND($V48="O3/CP",$V$14=A$18),VLOOKUP("O3",$R$63:$T$91,3,FALSE)+VLOOKUP("CP",$R$63:$T$91,3,FALSE),0)+IF(AND($W48&lt;&gt;"",$W48&lt;&gt;"--",$W48&lt;&gt;"O3/CP",$W$14=A$18),IF(LEFT($W48,1)="P",VLOOKUP(CONCATENATE(LEFT($W48,2),"H"),$R$63:$T$91,3,FALSE),VLOOKUP($W48,$R$63:$T$91,3,FALSE)))+IF(AND($W48&lt;&gt;"",$W48&lt;&gt;"O3/CP",$W$15=A$18,MID($W48,4,1)="2",$W$15&lt;&gt;$W$14),VLOOKUP(CONCATENATE(LEFT($W48,2),"L"),$R$63:$T$91,3,FALSE),0)+IF(AND($W48="O3/CP",$W$14=A$18),VLOOKUP("O3",$R$63:$T$91,3,FALSE)+VLOOKUP("CP",$R$63:$T$91,3,FALSE),0)+IF(AND($X48&lt;&gt;"",$X48&lt;&gt;"--",$X48&lt;&gt;"O3/CP",$X$14=A$18),IF(LEFT($X48,1)="P",VLOOKUP(CONCATENATE(LEFT($X48,2),"H"),$R$63:$T$91,3,FALSE),VLOOKUP($X48,$R$63:$T$91,3,FALSE)))+IF(AND($X48&lt;&gt;"",$X48&lt;&gt;"O3/CP",$X$15=A$18,MID($X48,4,1)="2",$X$15&lt;&gt;$X$14),VLOOKUP(CONCATENATE(LEFT($X48,2),"L"),$R$63:$T$91,3,FALSE),0)+IF(AND($X48="O3/CP",$X$14=A$18),VLOOKUP("O3",$R$63:$T$91,3,FALSE)+VLOOKUP("CP",$R$63:$T$91,3,FALSE),0)+IF(AND($Y48&lt;&gt;"",$Y48&lt;&gt;"--",$Y48&lt;&gt;"O3/CP",$Y$14=A$18),IF(LEFT($Y48,1)="P",VLOOKUP(CONCATENATE(LEFT($Y48,2),"H"),$R$63:$T$91,3,FALSE),VLOOKUP($Y48,$R$63:$T$91,3,FALSE)))+IF(AND($Y48&lt;&gt;"",$Y48&lt;&gt;"O3/CP",$Y$15=A$18,MID($Y48,4,1)="2",$Y$15&lt;&gt;$Y$14),VLOOKUP(CONCATENATE(LEFT($Y48,2),"L"),$R$63:$T$91,3,FALSE),0)+IF(AND($Y48="O3/CP",$Y$14=A$18),VLOOKUP("O3",$R$63:$T$91,3,FALSE)+VLOOKUP("CP",$R$63:$T$91,3,FALSE),0)+IF(AND($K$6="CE",'[3]Supply Attribution'!$G$20=A$18),LEFT($S$90,2),0)+IF(AND($X$86&lt;&gt;"Not Set",$X$87=A$18),$X$86,0)</f>
        <v>0</v>
      </c>
      <c r="B48" s="269">
        <f>IF(AND($K48&lt;&gt;"",$K48&lt;&gt;"--",$K48&lt;&gt;"O3/CP",$K$14=B$18),IF(LEFT($K48,1)="P",VLOOKUP(CONCATENATE(LEFT($K48,2),"H"),$R$63:$T$91,3,FALSE),VLOOKUP($K48,$R$63:$T$91,3,FALSE)))+IF(AND($K48&lt;&gt;"",$K48&lt;&gt;"O3/CP",$K$15=B$18,MID($K48,4,1)="2",$K$15&lt;&gt;$K$14),VLOOKUP(CONCATENATE(LEFT($K48,2),"L"),$R$63:$T$91,3,FALSE),0)+IF(AND($K48="O3/CP",$K$14=B$18),VLOOKUP("O3",$R$63:$T$91,3,FALSE)+VLOOKUP("CP",$R$63:$T$91,3,FALSE),0)+IF(AND($L48&lt;&gt;"",$L48&lt;&gt;"--",$L48&lt;&gt;"O3/CP",$L$14=B$18),IF(LEFT($L48,1)="P",VLOOKUP(CONCATENATE(LEFT($L48,2),"H"),$R$63:$T$91,3,FALSE),VLOOKUP($L48,$R$63:$T$91,3,FALSE)))+IF(AND($L48&lt;&gt;"",$L48&lt;&gt;"O3/CP",$L$15=B$18,MID($L48,4,1)="2",$L$15&lt;&gt;$L$14),VLOOKUP(CONCATENATE(LEFT($L48,2),"L"),$R$63:$T$91,3,FALSE),0)+IF(AND($L48="O3/CP",$L$14=B$18),VLOOKUP("O3",$R$63:$T$91,3,FALSE)+VLOOKUP("CP",$R$63:$T$91,3,FALSE),0)+IF(AND($M48&lt;&gt;"",$M48&lt;&gt;"--",$M48&lt;&gt;"O3/CP",$M$14=B$18),IF(LEFT($M48,1)="P",VLOOKUP(CONCATENATE(LEFT($M48,2),"H"),$R$63:$T$91,3,FALSE),VLOOKUP($M48,$R$63:$T$91,3,FALSE)))+IF(AND($M48&lt;&gt;"",$M48&lt;&gt;"O3/CP",$M$15=B$18,MID($M48,4,1)="2",$M$15&lt;&gt;$M$14),VLOOKUP(CONCATENATE(LEFT($M48,2),"L"),$R$63:$T$91,3,FALSE),0)+IF(AND($M48="O3/CP",$M$14=B$18),VLOOKUP("O3",$R$63:$T$91,3,FALSE)+VLOOKUP("CP",$R$63:$T$91,3,FALSE),0)+IF(AND($N48&lt;&gt;"",$N48&lt;&gt;"--",$N48&lt;&gt;"O3/CP",$N$14=B$18),IF(LEFT($N48,1)="P",VLOOKUP(CONCATENATE(LEFT($N48,2),"H"),$R$63:$T$91,3,FALSE),VLOOKUP($N48,$R$63:$T$91,3,FALSE)))+IF(AND($N48&lt;&gt;"",$N48&lt;&gt;"O3/CP",$N$15=B$18,MID($N48,4,1)="2",$N$15&lt;&gt;$N$14),VLOOKUP(CONCATENATE(LEFT($N48,2),"L"),$R$63:$T$91,3,FALSE),0)+IF(AND($N48="O3/CP",$N$14=B$18),VLOOKUP("O3",$R$63:$T$91,3,FALSE)+VLOOKUP("CP",$R$63:$T$91,3,FALSE),0)+IF(AND($O48&lt;&gt;"",$O48&lt;&gt;"--",$O48&lt;&gt;"O3/CP",$O$14=B$18),IF(LEFT($O48,1)="P",VLOOKUP(CONCATENATE(LEFT($O48,2),"H"),$R$63:$T$91,3,FALSE),VLOOKUP($O48,$R$63:$T$91,3,FALSE)))+IF(AND($O48&lt;&gt;"",$O48&lt;&gt;"O3/CP",$O$15=B$18,MID($O48,4,1)="2",$O$15&lt;&gt;$O$14),VLOOKUP(CONCATENATE(LEFT($O48,2),"L"),$R$63:$T$91,3,FALSE),0)+IF(AND($O48="O3/CP",$O$14=B$18),VLOOKUP("O3",$R$63:$T$91,3,FALSE)+VLOOKUP("CP",$R$63:$T$91,3,FALSE),0)+IF(AND($P48&lt;&gt;"",$P48&lt;&gt;"--",$P48&lt;&gt;"O3/CP",$P$14=B$18),IF(LEFT($P48,1)="P",VLOOKUP(CONCATENATE(LEFT($P48,2),"H"),$R$63:$T$91,3,FALSE),VLOOKUP($P48,$R$63:$T$91,3,FALSE)))+IF(AND($P48&lt;&gt;"",$P48&lt;&gt;"O3/CP",$P$15=B$18,MID($P48,4,1)="2",$P$15&lt;&gt;$P$14),VLOOKUP(CONCATENATE(LEFT($P48,2),"L"),$R$63:$T$91,3,FALSE),0)+IF(AND($P48="O3/CP",$P$14=B$18),VLOOKUP("O3",$R$63:$T$91,3,FALSE)+VLOOKUP("CP",$R$63:$T$91,3,FALSE),0)+IF(AND($Q48&lt;&gt;"",$Q48&lt;&gt;"--",$Q48&lt;&gt;"O3/CP",$Q$14=B$18),IF(LEFT($Q48,1)="P",VLOOKUP(CONCATENATE(LEFT($Q48,2),"H"),$R$63:$T$91,3,FALSE),VLOOKUP($Q48,$R$63:$T$91,3,FALSE)))+IF(AND($Q48&lt;&gt;"",$Q48&lt;&gt;"O3/CP",$Q$15=B$18,MID($Q48,4,1)="2",$Q$15&lt;&gt;$Q$14),VLOOKUP(CONCATENATE(LEFT($Q48,2),"L"),$R$63:$T$91,3,FALSE),0)+IF(AND($Q48="O3/CP",$Q$14=B$18),VLOOKUP("O3",$R$63:$T$91,3,FALSE)+VLOOKUP("CP",$R$63:$T$91,3,FALSE),0)+IF(AND($R48&lt;&gt;"",$R48&lt;&gt;"--",$R48&lt;&gt;"O3/CP",$R$14=B$18),IF(LEFT($R48,1)="P",VLOOKUP(CONCATENATE(LEFT($R48,2),"H"),$R$63:$T$91,3,FALSE),VLOOKUP($R48,$R$63:$T$91,3,FALSE)))+IF(AND($R48&lt;&gt;"",$R48&lt;&gt;"O3/CP",$R$15=B$18,MID($R48,4,1)="2",$R$15&lt;&gt;$R$14),VLOOKUP(CONCATENATE(LEFT($R48,2),"L"),$R$63:$T$91,3,FALSE),0)+IF(AND($R48="O3/CP",$R$14=B$18),VLOOKUP("O3",$R$63:$T$91,3,FALSE)+VLOOKUP("CP",$R$63:$T$91,3,FALSE),0)+IF(AND($S48&lt;&gt;"",$S48&lt;&gt;"--",$S48&lt;&gt;"O3/CP",$S$14=B$18),IF(LEFT($S48,1)="P",VLOOKUP(CONCATENATE(LEFT($S48,2),"H"),$R$63:$T$91,3,FALSE),VLOOKUP($S48,$R$63:$T$91,3,FALSE)))+IF(AND($S48&lt;&gt;"",$S48&lt;&gt;"O3/CP",$S$15=B$18,MID($S48,4,1)="2",$S$15&lt;&gt;$S$14),VLOOKUP(CONCATENATE(LEFT($S48,2),"L"),$R$63:$T$91,3,FALSE),0)+IF(AND($S48="O3/CP",$S$14=B$18),VLOOKUP("O3",$R$63:$T$91,3,FALSE)+VLOOKUP("CP",$R$63:$T$91,3,FALSE),0)+IF(AND($T48&lt;&gt;"",$T48&lt;&gt;"--",$T48&lt;&gt;"O3/CP",$T$14=B$18),IF(LEFT($T48,1)="P",VLOOKUP(CONCATENATE(LEFT($T48,2),"H"),$R$63:$T$91,3,FALSE),VLOOKUP($T48,$R$63:$T$91,3,FALSE)))+IF(AND($T48&lt;&gt;"",$T48&lt;&gt;"O3/CP",$T$15=B$18,MID($T48,4,1)="2",$T$15&lt;&gt;$T$14),VLOOKUP(CONCATENATE(LEFT($T48,2),"L"),$R$63:$T$91,3,FALSE),0)+IF(AND($T48="O3/CP",$T$14=B$18),VLOOKUP("O3",$R$63:$T$91,3,FALSE)+VLOOKUP("CP",$R$63:$T$91,3,FALSE),0)+IF(AND($U48&lt;&gt;"",$U48&lt;&gt;"--",$U48&lt;&gt;"O3/CP",$U$14=B$18),IF(LEFT($U48,1)="P",VLOOKUP(CONCATENATE(LEFT($U48,2),"H"),$R$63:$T$91,3,FALSE),VLOOKUP($U48,$R$63:$T$91,3,FALSE)))+IF(AND($U48&lt;&gt;"",$U48&lt;&gt;"O3/CP",$U$15=B$18,MID($U48,4,1)="2",$U$15&lt;&gt;$U$14),VLOOKUP(CONCATENATE(LEFT($U48,2),"L"),$R$63:$T$91,3,FALSE),0)+IF(AND($U48="O3/CP",$T$14=B$18),VLOOKUP("O3",$R$63:$T$91,3,FALSE)+VLOOKUP("CP",$R$63:$T$91,3,FALSE),0)+IF(AND($V48&lt;&gt;"",$V48&lt;&gt;"--",$V48&lt;&gt;"O3/CP",$V$14=B$18),IF(LEFT($V48,1)="P",VLOOKUP(CONCATENATE(LEFT($V48,2),"H"),$R$63:$T$91,3,FALSE),VLOOKUP($V48,$R$63:$T$91,3,FALSE)))+IF(AND($V48&lt;&gt;"",$V48&lt;&gt;"O3/CP",$V$15=B$18,MID($V48,4,1)="2",$V$15&lt;&gt;$V$14),VLOOKUP(CONCATENATE(LEFT($V48,2),"L"),$R$63:$T$91,3,FALSE),0)+IF(AND($V48="O3/CP",$V$14=B$18),VLOOKUP("O3",$R$63:$T$91,3,FALSE)+VLOOKUP("CP",$R$63:$T$91,3,FALSE),0)+IF(AND($W48&lt;&gt;"",$W48&lt;&gt;"--",$W48&lt;&gt;"O3/CP",$W$14=B$18),IF(LEFT($W48,1)="P",VLOOKUP(CONCATENATE(LEFT($W48,2),"H"),$R$63:$T$91,3,FALSE),VLOOKUP($W48,$R$63:$T$91,3,FALSE)))+IF(AND($W48&lt;&gt;"",$W48&lt;&gt;"O3/CP",$W$15=B$18,MID($W48,4,1)="2",$W$15&lt;&gt;$W$14),VLOOKUP(CONCATENATE(LEFT($W48,2),"L"),$R$63:$T$91,3,FALSE),0)+IF(AND($W48="O3/CP",$W$14=B$18),VLOOKUP("O3",$R$63:$T$91,3,FALSE)+VLOOKUP("CP",$R$63:$T$91,3,FALSE),0)+IF(AND($X48&lt;&gt;"",$X48&lt;&gt;"--",$X48&lt;&gt;"O3/CP",$X$14=B$18),IF(LEFT($X48,1)="P",VLOOKUP(CONCATENATE(LEFT($X48,2),"H"),$R$63:$T$91,3,FALSE),VLOOKUP($X48,$R$63:$T$91,3,FALSE)))+IF(AND($X48&lt;&gt;"",$X48&lt;&gt;"O3/CP",$X$15=B$18,MID($X48,4,1)="2",$X$15&lt;&gt;$X$14),VLOOKUP(CONCATENATE(LEFT($X48,2),"L"),$R$63:$T$91,3,FALSE),0)+IF(AND($X48="O3/CP",$X$14=B$18),VLOOKUP("O3",$R$63:$T$91,3,FALSE)+VLOOKUP("CP",$R$63:$T$91,3,FALSE),0)+IF(AND($Y48&lt;&gt;"",$Y48&lt;&gt;"--",$Y48&lt;&gt;"O3/CP",$Y$14=B$18),IF(LEFT($Y48,1)="P",VLOOKUP(CONCATENATE(LEFT($Y48,2),"H"),$R$63:$T$91,3,FALSE),VLOOKUP($Y48,$R$63:$T$91,3,FALSE)))+IF(AND($Y48&lt;&gt;"",$Y48&lt;&gt;"O3/CP",$Y$15=B$18,MID($Y48,4,1)="2",$Y$15&lt;&gt;$Y$14),VLOOKUP(CONCATENATE(LEFT($Y48,2),"L"),$R$63:$T$91,3,FALSE),0)+IF(AND($Y48="O3/CP",$Y$14=B$18),VLOOKUP("O3",$R$63:$T$91,3,FALSE)+VLOOKUP("CP",$R$63:$T$91,3,FALSE),0)+IF(AND($K$6="CE",'[3]Supply Attribution'!$G$20=B$18),LEFT($S$90,2),0)+IF(AND($X$86&lt;&gt;"Not Set",$X$87=B$18),$X$86,0)</f>
        <v>0</v>
      </c>
      <c r="C48" s="269">
        <f>IF(AND($K48&lt;&gt;"",$K48&lt;&gt;"--",$K48&lt;&gt;"O3/CP",$K$14=C$18),IF(LEFT($K48,1)="P",VLOOKUP(CONCATENATE(LEFT($K48,2),"H"),$R$63:$T$91,3,FALSE),VLOOKUP($K48,$R$63:$T$91,3,FALSE)))+IF(AND($K48&lt;&gt;"",$K48&lt;&gt;"O3/CP",$K$15=C$18,MID($K48,4,1)="2",$K$15&lt;&gt;$K$14),VLOOKUP(CONCATENATE(LEFT($K48,2),"L"),$R$63:$T$91,3,FALSE),0)+IF(AND($K48="O3/CP",$K$14=C$18),VLOOKUP("O3",$R$63:$T$91,3,FALSE)+VLOOKUP("CP",$R$63:$T$91,3,FALSE),0)+IF(AND($L48&lt;&gt;"",$L48&lt;&gt;"--",$L48&lt;&gt;"O3/CP",$L$14=C$18),IF(LEFT($L48,1)="P",VLOOKUP(CONCATENATE(LEFT($L48,2),"H"),$R$63:$T$91,3,FALSE),VLOOKUP($L48,$R$63:$T$91,3,FALSE)))+IF(AND($L48&lt;&gt;"",$L48&lt;&gt;"O3/CP",$L$15=C$18,MID($L48,4,1)="2",$L$15&lt;&gt;$L$14),VLOOKUP(CONCATENATE(LEFT($L48,2),"L"),$R$63:$T$91,3,FALSE),0)+IF(AND($L48="O3/CP",$L$14=C$18),VLOOKUP("O3",$R$63:$T$91,3,FALSE)+VLOOKUP("CP",$R$63:$T$91,3,FALSE),0)+IF(AND($M48&lt;&gt;"",$M48&lt;&gt;"--",$M48&lt;&gt;"O3/CP",$M$14=C$18),IF(LEFT($M48,1)="P",VLOOKUP(CONCATENATE(LEFT($M48,2),"H"),$R$63:$T$91,3,FALSE),VLOOKUP($M48,$R$63:$T$91,3,FALSE)))+IF(AND($M48&lt;&gt;"",$M48&lt;&gt;"O3/CP",$M$15=C$18,MID($M48,4,1)="2",$M$15&lt;&gt;$M$14),VLOOKUP(CONCATENATE(LEFT($M48,2),"L"),$R$63:$T$91,3,FALSE),0)+IF(AND($M48="O3/CP",$M$14=C$18),VLOOKUP("O3",$R$63:$T$91,3,FALSE)+VLOOKUP("CP",$R$63:$T$91,3,FALSE),0)+IF(AND($N48&lt;&gt;"",$N48&lt;&gt;"--",$N48&lt;&gt;"O3/CP",$N$14=C$18),IF(LEFT($N48,1)="P",VLOOKUP(CONCATENATE(LEFT($N48,2),"H"),$R$63:$T$91,3,FALSE),VLOOKUP($N48,$R$63:$T$91,3,FALSE)))+IF(AND($N48&lt;&gt;"",$N48&lt;&gt;"O3/CP",$N$15=C$18,MID($N48,4,1)="2",$N$15&lt;&gt;$N$14),VLOOKUP(CONCATENATE(LEFT($N48,2),"L"),$R$63:$T$91,3,FALSE),0)+IF(AND($N48="O3/CP",$N$14=C$18),VLOOKUP("O3",$R$63:$T$91,3,FALSE)+VLOOKUP("CP",$R$63:$T$91,3,FALSE),0)+IF(AND($O48&lt;&gt;"",$O48&lt;&gt;"--",$O48&lt;&gt;"O3/CP",$O$14=C$18),IF(LEFT($O48,1)="P",VLOOKUP(CONCATENATE(LEFT($O48,2),"H"),$R$63:$T$91,3,FALSE),VLOOKUP($O48,$R$63:$T$91,3,FALSE)))+IF(AND($O48&lt;&gt;"",$O48&lt;&gt;"O3/CP",$O$15=C$18,MID($O48,4,1)="2",$O$15&lt;&gt;$O$14),VLOOKUP(CONCATENATE(LEFT($O48,2),"L"),$R$63:$T$91,3,FALSE),0)+IF(AND($O48="O3/CP",$O$14=C$18),VLOOKUP("O3",$R$63:$T$91,3,FALSE)+VLOOKUP("CP",$R$63:$T$91,3,FALSE),0)+IF(AND($P48&lt;&gt;"",$P48&lt;&gt;"--",$P48&lt;&gt;"O3/CP",$P$14=C$18),IF(LEFT($P48,1)="P",VLOOKUP(CONCATENATE(LEFT($P48,2),"H"),$R$63:$T$91,3,FALSE),VLOOKUP($P48,$R$63:$T$91,3,FALSE)))+IF(AND($P48&lt;&gt;"",$P48&lt;&gt;"O3/CP",$P$15=C$18,MID($P48,4,1)="2",$P$15&lt;&gt;$P$14),VLOOKUP(CONCATENATE(LEFT($P48,2),"L"),$R$63:$T$91,3,FALSE),0)+IF(AND($P48="O3/CP",$P$14=C$18),VLOOKUP("O3",$R$63:$T$91,3,FALSE)+VLOOKUP("CP",$R$63:$T$91,3,FALSE),0)+IF(AND($Q48&lt;&gt;"",$Q48&lt;&gt;"--",$Q48&lt;&gt;"O3/CP",$Q$14=C$18),IF(LEFT($Q48,1)="P",VLOOKUP(CONCATENATE(LEFT($Q48,2),"H"),$R$63:$T$91,3,FALSE),VLOOKUP($Q48,$R$63:$T$91,3,FALSE)))+IF(AND($Q48&lt;&gt;"",$Q48&lt;&gt;"O3/CP",$Q$15=C$18,MID($Q48,4,1)="2",$Q$15&lt;&gt;$Q$14),VLOOKUP(CONCATENATE(LEFT($Q48,2),"L"),$R$63:$T$91,3,FALSE),0)+IF(AND($Q48="O3/CP",$Q$14=C$18),VLOOKUP("O3",$R$63:$T$91,3,FALSE)+VLOOKUP("CP",$R$63:$T$91,3,FALSE),0)+IF(AND($R48&lt;&gt;"",$R48&lt;&gt;"--",$R48&lt;&gt;"O3/CP",$R$14=C$18),IF(LEFT($R48,1)="P",VLOOKUP(CONCATENATE(LEFT($R48,2),"H"),$R$63:$T$91,3,FALSE),VLOOKUP($R48,$R$63:$T$91,3,FALSE)))+IF(AND($R48&lt;&gt;"",$R48&lt;&gt;"O3/CP",$R$15=C$18,MID($R48,4,1)="2",$R$15&lt;&gt;$R$14),VLOOKUP(CONCATENATE(LEFT($R48,2),"L"),$R$63:$T$91,3,FALSE),0)+IF(AND($R48="O3/CP",$R$14=C$18),VLOOKUP("O3",$R$63:$T$91,3,FALSE)+VLOOKUP("CP",$R$63:$T$91,3,FALSE),0)+IF(AND($S48&lt;&gt;"",$S48&lt;&gt;"--",$S48&lt;&gt;"O3/CP",$S$14=C$18),IF(LEFT($S48,1)="P",VLOOKUP(CONCATENATE(LEFT($S48,2),"H"),$R$63:$T$91,3,FALSE),VLOOKUP($S48,$R$63:$T$91,3,FALSE)))+IF(AND($S48&lt;&gt;"",$S48&lt;&gt;"O3/CP",$S$15=C$18,MID($S48,4,1)="2",$S$15&lt;&gt;$S$14),VLOOKUP(CONCATENATE(LEFT($S48,2),"L"),$R$63:$T$91,3,FALSE),0)+IF(AND($S48="O3/CP",$S$14=C$18),VLOOKUP("O3",$R$63:$T$91,3,FALSE)+VLOOKUP("CP",$R$63:$T$91,3,FALSE),0)+IF(AND($T48&lt;&gt;"",$T48&lt;&gt;"--",$T48&lt;&gt;"O3/CP",$T$14=C$18),IF(LEFT($T48,1)="P",VLOOKUP(CONCATENATE(LEFT($T48,2),"H"),$R$63:$T$91,3,FALSE),VLOOKUP($T48,$R$63:$T$91,3,FALSE)))+IF(AND($T48&lt;&gt;"",$T48&lt;&gt;"O3/CP",$T$15=C$18,MID($T48,4,1)="2",$T$15&lt;&gt;$T$14),VLOOKUP(CONCATENATE(LEFT($T48,2),"L"),$R$63:$T$91,3,FALSE),0)+IF(AND($T48="O3/CP",$T$14=C$18),VLOOKUP("O3",$R$63:$T$91,3,FALSE)+VLOOKUP("CP",$R$63:$T$91,3,FALSE),0)+IF(AND($U48&lt;&gt;"",$U48&lt;&gt;"--",$U48&lt;&gt;"O3/CP",$U$14=C$18),IF(LEFT($U48,1)="P",VLOOKUP(CONCATENATE(LEFT($U48,2),"H"),$R$63:$T$91,3,FALSE),VLOOKUP($U48,$R$63:$T$91,3,FALSE)))+IF(AND($U48&lt;&gt;"",$U48&lt;&gt;"O3/CP",$U$15=C$18,MID($U48,4,1)="2",$U$15&lt;&gt;$U$14),VLOOKUP(CONCATENATE(LEFT($U48,2),"L"),$R$63:$T$91,3,FALSE),0)+IF(AND($U48="O3/CP",$T$14=C$18),VLOOKUP("O3",$R$63:$T$91,3,FALSE)+VLOOKUP("CP",$R$63:$T$91,3,FALSE),0)+IF(AND($V48&lt;&gt;"",$V48&lt;&gt;"--",$V48&lt;&gt;"O3/CP",$V$14=C$18),IF(LEFT($V48,1)="P",VLOOKUP(CONCATENATE(LEFT($V48,2),"H"),$R$63:$T$91,3,FALSE),VLOOKUP($V48,$R$63:$T$91,3,FALSE)))+IF(AND($V48&lt;&gt;"",$V48&lt;&gt;"O3/CP",$V$15=C$18,MID($V48,4,1)="2",$V$15&lt;&gt;$V$14),VLOOKUP(CONCATENATE(LEFT($V48,2),"L"),$R$63:$T$91,3,FALSE),0)+IF(AND($V48="O3/CP",$V$14=C$18),VLOOKUP("O3",$R$63:$T$91,3,FALSE)+VLOOKUP("CP",$R$63:$T$91,3,FALSE),0)+IF(AND($W48&lt;&gt;"",$W48&lt;&gt;"--",$W48&lt;&gt;"O3/CP",$W$14=C$18),IF(LEFT($W48,1)="P",VLOOKUP(CONCATENATE(LEFT($W48,2),"H"),$R$63:$T$91,3,FALSE),VLOOKUP($W48,$R$63:$T$91,3,FALSE)))+IF(AND($W48&lt;&gt;"",$W48&lt;&gt;"O3/CP",$W$15=C$18,MID($W48,4,1)="2",$W$15&lt;&gt;$W$14),VLOOKUP(CONCATENATE(LEFT($W48,2),"L"),$R$63:$T$91,3,FALSE),0)+IF(AND($W48="O3/CP",$W$14=C$18),VLOOKUP("O3",$R$63:$T$91,3,FALSE)+VLOOKUP("CP",$R$63:$T$91,3,FALSE),0)+IF(AND($X48&lt;&gt;"",$X48&lt;&gt;"--",$X48&lt;&gt;"O3/CP",$X$14=C$18),IF(LEFT($X48,1)="P",VLOOKUP(CONCATENATE(LEFT($X48,2),"H"),$R$63:$T$91,3,FALSE),VLOOKUP($X48,$R$63:$T$91,3,FALSE)))+IF(AND($X48&lt;&gt;"",$X48&lt;&gt;"O3/CP",$X$15=C$18,MID($X48,4,1)="2",$X$15&lt;&gt;$X$14),VLOOKUP(CONCATENATE(LEFT($X48,2),"L"),$R$63:$T$91,3,FALSE),0)+IF(AND($X48="O3/CP",$X$14=C$18),VLOOKUP("O3",$R$63:$T$91,3,FALSE)+VLOOKUP("CP",$R$63:$T$91,3,FALSE),0)+IF(AND($Y48&lt;&gt;"",$Y48&lt;&gt;"--",$Y48&lt;&gt;"O3/CP",$Y$14=C$18),IF(LEFT($Y48,1)="P",VLOOKUP(CONCATENATE(LEFT($Y48,2),"H"),$R$63:$T$91,3,FALSE),VLOOKUP($Y48,$R$63:$T$91,3,FALSE)))+IF(AND($Y48&lt;&gt;"",$Y48&lt;&gt;"O3/CP",$Y$15=C$18,MID($Y48,4,1)="2",$Y$15&lt;&gt;$Y$14),VLOOKUP(CONCATENATE(LEFT($Y48,2),"L"),$R$63:$T$91,3,FALSE),0)+IF(AND($Y48="O3/CP",$Y$14=C$18),VLOOKUP("O3",$R$63:$T$91,3,FALSE)+VLOOKUP("CP",$R$63:$T$91,3,FALSE),0)+IF(AND($K$6="CE",'[3]Supply Attribution'!$G$20=C$18),LEFT($S$90,2),0)+IF(AND($X$86&lt;&gt;"Not Set",$X$87=C$18),$X$86,0)</f>
        <v>0</v>
      </c>
      <c r="D48" s="269">
        <f>IF(AND($K48&lt;&gt;"",$K48&lt;&gt;"--",$K48&lt;&gt;"O3/CP",$K$14=D$18),IF(LEFT($K48,1)="P",VLOOKUP(CONCATENATE(LEFT($K48,2),"H"),$R$63:$T$91,3,FALSE),VLOOKUP($K48,$R$63:$T$91,3,FALSE)))+IF(AND($K48&lt;&gt;"",$K48&lt;&gt;"O3/CP",$K$15=D$18,MID($K48,4,1)="2",$K$15&lt;&gt;$K$14),VLOOKUP(CONCATENATE(LEFT($K48,2),"L"),$R$63:$T$91,3,FALSE),0)+IF(AND($K48="O3/CP",$K$14=D$18),VLOOKUP("O3",$R$63:$T$91,3,FALSE)+VLOOKUP("CP",$R$63:$T$91,3,FALSE),0)+IF(AND($L48&lt;&gt;"",$L48&lt;&gt;"--",$L48&lt;&gt;"O3/CP",$L$14=D$18),IF(LEFT($L48,1)="P",VLOOKUP(CONCATENATE(LEFT($L48,2),"H"),$R$63:$T$91,3,FALSE),VLOOKUP($L48,$R$63:$T$91,3,FALSE)))+IF(AND($L48&lt;&gt;"",$L48&lt;&gt;"O3/CP",$L$15=D$18,MID($L48,4,1)="2",$L$15&lt;&gt;$L$14),VLOOKUP(CONCATENATE(LEFT($L48,2),"L"),$R$63:$T$91,3,FALSE),0)+IF(AND($L48="O3/CP",$L$14=D$18),VLOOKUP("O3",$R$63:$T$91,3,FALSE)+VLOOKUP("CP",$R$63:$T$91,3,FALSE),0)+IF(AND($M48&lt;&gt;"",$M48&lt;&gt;"--",$M48&lt;&gt;"O3/CP",$M$14=D$18),IF(LEFT($M48,1)="P",VLOOKUP(CONCATENATE(LEFT($M48,2),"H"),$R$63:$T$91,3,FALSE),VLOOKUP($M48,$R$63:$T$91,3,FALSE)))+IF(AND($M48&lt;&gt;"",$M48&lt;&gt;"O3/CP",$M$15=D$18,MID($M48,4,1)="2",$M$15&lt;&gt;$M$14),VLOOKUP(CONCATENATE(LEFT($M48,2),"L"),$R$63:$T$91,3,FALSE),0)+IF(AND($M48="O3/CP",$M$14=D$18),VLOOKUP("O3",$R$63:$T$91,3,FALSE)+VLOOKUP("CP",$R$63:$T$91,3,FALSE),0)+IF(AND($N48&lt;&gt;"",$N48&lt;&gt;"--",$N48&lt;&gt;"O3/CP",$N$14=D$18),IF(LEFT($N48,1)="P",VLOOKUP(CONCATENATE(LEFT($N48,2),"H"),$R$63:$T$91,3,FALSE),VLOOKUP($N48,$R$63:$T$91,3,FALSE)))+IF(AND($N48&lt;&gt;"",$N48&lt;&gt;"O3/CP",$N$15=D$18,MID($N48,4,1)="2",$N$15&lt;&gt;$N$14),VLOOKUP(CONCATENATE(LEFT($N48,2),"L"),$R$63:$T$91,3,FALSE),0)+IF(AND($N48="O3/CP",$N$14=D$18),VLOOKUP("O3",$R$63:$T$91,3,FALSE)+VLOOKUP("CP",$R$63:$T$91,3,FALSE),0)+IF(AND($O48&lt;&gt;"",$O48&lt;&gt;"--",$O48&lt;&gt;"O3/CP",$O$14=D$18),IF(LEFT($O48,1)="P",VLOOKUP(CONCATENATE(LEFT($O48,2),"H"),$R$63:$T$91,3,FALSE),VLOOKUP($O48,$R$63:$T$91,3,FALSE)))+IF(AND($O48&lt;&gt;"",$O48&lt;&gt;"O3/CP",$O$15=D$18,MID($O48,4,1)="2",$O$15&lt;&gt;$O$14),VLOOKUP(CONCATENATE(LEFT($O48,2),"L"),$R$63:$T$91,3,FALSE),0)+IF(AND($O48="O3/CP",$O$14=D$18),VLOOKUP("O3",$R$63:$T$91,3,FALSE)+VLOOKUP("CP",$R$63:$T$91,3,FALSE),0)+IF(AND($P48&lt;&gt;"",$P48&lt;&gt;"--",$P48&lt;&gt;"O3/CP",$P$14=D$18),IF(LEFT($P48,1)="P",VLOOKUP(CONCATENATE(LEFT($P48,2),"H"),$R$63:$T$91,3,FALSE),VLOOKUP($P48,$R$63:$T$91,3,FALSE)))+IF(AND($P48&lt;&gt;"",$P48&lt;&gt;"O3/CP",$P$15=D$18,MID($P48,4,1)="2",$P$15&lt;&gt;$P$14),VLOOKUP(CONCATENATE(LEFT($P48,2),"L"),$R$63:$T$91,3,FALSE),0)+IF(AND($P48="O3/CP",$P$14=D$18),VLOOKUP("O3",$R$63:$T$91,3,FALSE)+VLOOKUP("CP",$R$63:$T$91,3,FALSE),0)+IF(AND($Q48&lt;&gt;"",$Q48&lt;&gt;"--",$Q48&lt;&gt;"O3/CP",$Q$14=D$18),IF(LEFT($Q48,1)="P",VLOOKUP(CONCATENATE(LEFT($Q48,2),"H"),$R$63:$T$91,3,FALSE),VLOOKUP($Q48,$R$63:$T$91,3,FALSE)))+IF(AND($Q48&lt;&gt;"",$Q48&lt;&gt;"O3/CP",$Q$15=D$18,MID($Q48,4,1)="2",$Q$15&lt;&gt;$Q$14),VLOOKUP(CONCATENATE(LEFT($Q48,2),"L"),$R$63:$T$91,3,FALSE),0)+IF(AND($Q48="O3/CP",$Q$14=D$18),VLOOKUP("O3",$R$63:$T$91,3,FALSE)+VLOOKUP("CP",$R$63:$T$91,3,FALSE),0)+IF(AND($R48&lt;&gt;"",$R48&lt;&gt;"--",$R48&lt;&gt;"O3/CP",$R$14=D$18),IF(LEFT($R48,1)="P",VLOOKUP(CONCATENATE(LEFT($R48,2),"H"),$R$63:$T$91,3,FALSE),VLOOKUP($R48,$R$63:$T$91,3,FALSE)))+IF(AND($R48&lt;&gt;"",$R48&lt;&gt;"O3/CP",$R$15=D$18,MID($R48,4,1)="2",$R$15&lt;&gt;$R$14),VLOOKUP(CONCATENATE(LEFT($R48,2),"L"),$R$63:$T$91,3,FALSE),0)+IF(AND($R48="O3/CP",$R$14=D$18),VLOOKUP("O3",$R$63:$T$91,3,FALSE)+VLOOKUP("CP",$R$63:$T$91,3,FALSE),0)+IF(AND($S48&lt;&gt;"",$S48&lt;&gt;"--",$S48&lt;&gt;"O3/CP",$S$14=D$18),IF(LEFT($S48,1)="P",VLOOKUP(CONCATENATE(LEFT($S48,2),"H"),$R$63:$T$91,3,FALSE),VLOOKUP($S48,$R$63:$T$91,3,FALSE)))+IF(AND($S48&lt;&gt;"",$S48&lt;&gt;"O3/CP",$S$15=D$18,MID($S48,4,1)="2",$S$15&lt;&gt;$S$14),VLOOKUP(CONCATENATE(LEFT($S48,2),"L"),$R$63:$T$91,3,FALSE),0)+IF(AND($S48="O3/CP",$S$14=D$18),VLOOKUP("O3",$R$63:$T$91,3,FALSE)+VLOOKUP("CP",$R$63:$T$91,3,FALSE),0)+IF(AND($T48&lt;&gt;"",$T48&lt;&gt;"--",$T48&lt;&gt;"O3/CP",$T$14=D$18),IF(LEFT($T48,1)="P",VLOOKUP(CONCATENATE(LEFT($T48,2),"H"),$R$63:$T$91,3,FALSE),VLOOKUP($T48,$R$63:$T$91,3,FALSE)))+IF(AND($T48&lt;&gt;"",$T48&lt;&gt;"O3/CP",$T$15=D$18,MID($T48,4,1)="2",$T$15&lt;&gt;$T$14),VLOOKUP(CONCATENATE(LEFT($T48,2),"L"),$R$63:$T$91,3,FALSE),0)+IF(AND($T48="O3/CP",$T$14=D$18),VLOOKUP("O3",$R$63:$T$91,3,FALSE)+VLOOKUP("CP",$R$63:$T$91,3,FALSE),0)+IF(AND($U48&lt;&gt;"",$U48&lt;&gt;"--",$U48&lt;&gt;"O3/CP",$U$14=D$18),IF(LEFT($U48,1)="P",VLOOKUP(CONCATENATE(LEFT($U48,2),"H"),$R$63:$T$91,3,FALSE),VLOOKUP($U48,$R$63:$T$91,3,FALSE)))+IF(AND($U48&lt;&gt;"",$U48&lt;&gt;"O3/CP",$U$15=D$18,MID($U48,4,1)="2",$U$15&lt;&gt;$U$14),VLOOKUP(CONCATENATE(LEFT($U48,2),"L"),$R$63:$T$91,3,FALSE),0)+IF(AND($U48="O3/CP",$T$14=D$18),VLOOKUP("O3",$R$63:$T$91,3,FALSE)+VLOOKUP("CP",$R$63:$T$91,3,FALSE),0)+IF(AND($V48&lt;&gt;"",$V48&lt;&gt;"--",$V48&lt;&gt;"O3/CP",$V$14=D$18),IF(LEFT($V48,1)="P",VLOOKUP(CONCATENATE(LEFT($V48,2),"H"),$R$63:$T$91,3,FALSE),VLOOKUP($V48,$R$63:$T$91,3,FALSE)))+IF(AND($V48&lt;&gt;"",$V48&lt;&gt;"O3/CP",$V$15=D$18,MID($V48,4,1)="2",$V$15&lt;&gt;$V$14),VLOOKUP(CONCATENATE(LEFT($V48,2),"L"),$R$63:$T$91,3,FALSE),0)+IF(AND($V48="O3/CP",$V$14=D$18),VLOOKUP("O3",$R$63:$T$91,3,FALSE)+VLOOKUP("CP",$R$63:$T$91,3,FALSE),0)+IF(AND($W48&lt;&gt;"",$W48&lt;&gt;"--",$W48&lt;&gt;"O3/CP",$W$14=D$18),IF(LEFT($W48,1)="P",VLOOKUP(CONCATENATE(LEFT($W48,2),"H"),$R$63:$T$91,3,FALSE),VLOOKUP($W48,$R$63:$T$91,3,FALSE)))+IF(AND($W48&lt;&gt;"",$W48&lt;&gt;"O3/CP",$W$15=D$18,MID($W48,4,1)="2",$W$15&lt;&gt;$W$14),VLOOKUP(CONCATENATE(LEFT($W48,2),"L"),$R$63:$T$91,3,FALSE),0)+IF(AND($W48="O3/CP",$W$14=D$18),VLOOKUP("O3",$R$63:$T$91,3,FALSE)+VLOOKUP("CP",$R$63:$T$91,3,FALSE),0)+IF(AND($X48&lt;&gt;"",$X48&lt;&gt;"--",$X48&lt;&gt;"O3/CP",$X$14=D$18),IF(LEFT($X48,1)="P",VLOOKUP(CONCATENATE(LEFT($X48,2),"H"),$R$63:$T$91,3,FALSE),VLOOKUP($X48,$R$63:$T$91,3,FALSE)))+IF(AND($X48&lt;&gt;"",$X48&lt;&gt;"O3/CP",$X$15=D$18,MID($X48,4,1)="2",$X$15&lt;&gt;$X$14),VLOOKUP(CONCATENATE(LEFT($X48,2),"L"),$R$63:$T$91,3,FALSE),0)+IF(AND($X48="O3/CP",$X$14=D$18),VLOOKUP("O3",$R$63:$T$91,3,FALSE)+VLOOKUP("CP",$R$63:$T$91,3,FALSE),0)+IF(AND($Y48&lt;&gt;"",$Y48&lt;&gt;"--",$Y48&lt;&gt;"O3/CP",$Y$14=D$18),IF(LEFT($Y48,1)="P",VLOOKUP(CONCATENATE(LEFT($Y48,2),"H"),$R$63:$T$91,3,FALSE),VLOOKUP($Y48,$R$63:$T$91,3,FALSE)))+IF(AND($Y48&lt;&gt;"",$Y48&lt;&gt;"O3/CP",$Y$15=D$18,MID($Y48,4,1)="2",$Y$15&lt;&gt;$Y$14),VLOOKUP(CONCATENATE(LEFT($Y48,2),"L"),$R$63:$T$91,3,FALSE),0)+IF(AND($Y48="O3/CP",$Y$14=D$18),VLOOKUP("O3",$R$63:$T$91,3,FALSE)+VLOOKUP("CP",$R$63:$T$91,3,FALSE),0)+IF(AND($K$6="CE",'[3]Supply Attribution'!$G$20=D$18),LEFT($S$90,2),0)+IF(AND($X$86&lt;&gt;"Not Set",$X$87=D$18),$X$86,0)</f>
        <v>0</v>
      </c>
      <c r="E48" s="269">
        <f>IF(AND($K48&lt;&gt;"",$K48&lt;&gt;"--",$K48&lt;&gt;"O3/CP",$K$14=E$18),IF(LEFT($K48,1)="P",VLOOKUP(CONCATENATE(LEFT($K48,2),"H"),$R$63:$T$91,3,FALSE),VLOOKUP($K48,$R$63:$T$91,3,FALSE)))+IF(AND($K48&lt;&gt;"",$K48&lt;&gt;"O3/CP",$K$15=E$18,MID($K48,4,1)="2",$K$15&lt;&gt;$K$14),VLOOKUP(CONCATENATE(LEFT($K48,2),"L"),$R$63:$T$91,3,FALSE),0)+IF(AND($K48="O3/CP",$K$14=E$18),VLOOKUP("O3",$R$63:$T$91,3,FALSE)+VLOOKUP("CP",$R$63:$T$91,3,FALSE),0)+IF(AND($L48&lt;&gt;"",$L48&lt;&gt;"--",$L48&lt;&gt;"O3/CP",$L$14=E$18),IF(LEFT($L48,1)="P",VLOOKUP(CONCATENATE(LEFT($L48,2),"H"),$R$63:$T$91,3,FALSE),VLOOKUP($L48,$R$63:$T$91,3,FALSE)))+IF(AND($L48&lt;&gt;"",$L48&lt;&gt;"O3/CP",$L$15=E$18,MID($L48,4,1)="2",$L$15&lt;&gt;$L$14),VLOOKUP(CONCATENATE(LEFT($L48,2),"L"),$R$63:$T$91,3,FALSE),0)+IF(AND($L48="O3/CP",$L$14=E$18),VLOOKUP("O3",$R$63:$T$91,3,FALSE)+VLOOKUP("CP",$R$63:$T$91,3,FALSE),0)+IF(AND($M48&lt;&gt;"",$M48&lt;&gt;"--",$M48&lt;&gt;"O3/CP",$M$14=E$18),IF(LEFT($M48,1)="P",VLOOKUP(CONCATENATE(LEFT($M48,2),"H"),$R$63:$T$91,3,FALSE),VLOOKUP($M48,$R$63:$T$91,3,FALSE)))+IF(AND($M48&lt;&gt;"",$M48&lt;&gt;"O3/CP",$M$15=E$18,MID($M48,4,1)="2",$M$15&lt;&gt;$M$14),VLOOKUP(CONCATENATE(LEFT($M48,2),"L"),$R$63:$T$91,3,FALSE),0)+IF(AND($M48="O3/CP",$M$14=E$18),VLOOKUP("O3",$R$63:$T$91,3,FALSE)+VLOOKUP("CP",$R$63:$T$91,3,FALSE),0)+IF(AND($N48&lt;&gt;"",$N48&lt;&gt;"--",$N48&lt;&gt;"O3/CP",$N$14=E$18),IF(LEFT($N48,1)="P",VLOOKUP(CONCATENATE(LEFT($N48,2),"H"),$R$63:$T$91,3,FALSE),VLOOKUP($N48,$R$63:$T$91,3,FALSE)))+IF(AND($N48&lt;&gt;"",$N48&lt;&gt;"O3/CP",$N$15=E$18,MID($N48,4,1)="2",$N$15&lt;&gt;$N$14),VLOOKUP(CONCATENATE(LEFT($N48,2),"L"),$R$63:$T$91,3,FALSE),0)+IF(AND($N48="O3/CP",$N$14=E$18),VLOOKUP("O3",$R$63:$T$91,3,FALSE)+VLOOKUP("CP",$R$63:$T$91,3,FALSE),0)+IF(AND($O48&lt;&gt;"",$O48&lt;&gt;"--",$O48&lt;&gt;"O3/CP",$O$14=E$18),IF(LEFT($O48,1)="P",VLOOKUP(CONCATENATE(LEFT($O48,2),"H"),$R$63:$T$91,3,FALSE),VLOOKUP($O48,$R$63:$T$91,3,FALSE)))+IF(AND($O48&lt;&gt;"",$O48&lt;&gt;"O3/CP",$O$15=E$18,MID($O48,4,1)="2",$O$15&lt;&gt;$O$14),VLOOKUP(CONCATENATE(LEFT($O48,2),"L"),$R$63:$T$91,3,FALSE),0)+IF(AND($O48="O3/CP",$O$14=E$18),VLOOKUP("O3",$R$63:$T$91,3,FALSE)+VLOOKUP("CP",$R$63:$T$91,3,FALSE),0)+IF(AND($P48&lt;&gt;"",$P48&lt;&gt;"--",$P48&lt;&gt;"O3/CP",$P$14=E$18),IF(LEFT($P48,1)="P",VLOOKUP(CONCATENATE(LEFT($P48,2),"H"),$R$63:$T$91,3,FALSE),VLOOKUP($P48,$R$63:$T$91,3,FALSE)))+IF(AND($P48&lt;&gt;"",$P48&lt;&gt;"O3/CP",$P$15=E$18,MID($P48,4,1)="2",$P$15&lt;&gt;$P$14),VLOOKUP(CONCATENATE(LEFT($P48,2),"L"),$R$63:$T$91,3,FALSE),0)+IF(AND($P48="O3/CP",$P$14=E$18),VLOOKUP("O3",$R$63:$T$91,3,FALSE)+VLOOKUP("CP",$R$63:$T$91,3,FALSE),0)+IF(AND($Q48&lt;&gt;"",$Q48&lt;&gt;"--",$Q48&lt;&gt;"O3/CP",$Q$14=E$18),IF(LEFT($Q48,1)="P",VLOOKUP(CONCATENATE(LEFT($Q48,2),"H"),$R$63:$T$91,3,FALSE),VLOOKUP($Q48,$R$63:$T$91,3,FALSE)))+IF(AND($Q48&lt;&gt;"",$Q48&lt;&gt;"O3/CP",$Q$15=E$18,MID($Q48,4,1)="2",$Q$15&lt;&gt;$Q$14),VLOOKUP(CONCATENATE(LEFT($Q48,2),"L"),$R$63:$T$91,3,FALSE),0)+IF(AND($Q48="O3/CP",$Q$14=E$18),VLOOKUP("O3",$R$63:$T$91,3,FALSE)+VLOOKUP("CP",$R$63:$T$91,3,FALSE),0)+IF(AND($R48&lt;&gt;"",$R48&lt;&gt;"--",$R48&lt;&gt;"O3/CP",$R$14=E$18),IF(LEFT($R48,1)="P",VLOOKUP(CONCATENATE(LEFT($R48,2),"H"),$R$63:$T$91,3,FALSE),VLOOKUP($R48,$R$63:$T$91,3,FALSE)))+IF(AND($R48&lt;&gt;"",$R48&lt;&gt;"O3/CP",$R$15=E$18,MID($R48,4,1)="2",$R$15&lt;&gt;$R$14),VLOOKUP(CONCATENATE(LEFT($R48,2),"L"),$R$63:$T$91,3,FALSE),0)+IF(AND($R48="O3/CP",$R$14=E$18),VLOOKUP("O3",$R$63:$T$91,3,FALSE)+VLOOKUP("CP",$R$63:$T$91,3,FALSE),0)+IF(AND($S48&lt;&gt;"",$S48&lt;&gt;"--",$S48&lt;&gt;"O3/CP",$S$14=E$18),IF(LEFT($S48,1)="P",VLOOKUP(CONCATENATE(LEFT($S48,2),"H"),$R$63:$T$91,3,FALSE),VLOOKUP($S48,$R$63:$T$91,3,FALSE)))+IF(AND($S48&lt;&gt;"",$S48&lt;&gt;"O3/CP",$S$15=E$18,MID($S48,4,1)="2",$S$15&lt;&gt;$S$14),VLOOKUP(CONCATENATE(LEFT($S48,2),"L"),$R$63:$T$91,3,FALSE),0)+IF(AND($S48="O3/CP",$S$14=E$18),VLOOKUP("O3",$R$63:$T$91,3,FALSE)+VLOOKUP("CP",$R$63:$T$91,3,FALSE),0)+IF(AND($T48&lt;&gt;"",$T48&lt;&gt;"--",$T48&lt;&gt;"O3/CP",$T$14=E$18),IF(LEFT($T48,1)="P",VLOOKUP(CONCATENATE(LEFT($T48,2),"H"),$R$63:$T$91,3,FALSE),VLOOKUP($T48,$R$63:$T$91,3,FALSE)))+IF(AND($T48&lt;&gt;"",$T48&lt;&gt;"O3/CP",$T$15=E$18,MID($T48,4,1)="2",$T$15&lt;&gt;$T$14),VLOOKUP(CONCATENATE(LEFT($T48,2),"L"),$R$63:$T$91,3,FALSE),0)+IF(AND($T48="O3/CP",$T$14=E$18),VLOOKUP("O3",$R$63:$T$91,3,FALSE)+VLOOKUP("CP",$R$63:$T$91,3,FALSE),0)+IF(AND($U48&lt;&gt;"",$U48&lt;&gt;"--",$U48&lt;&gt;"O3/CP",$U$14=E$18),IF(LEFT($U48,1)="P",VLOOKUP(CONCATENATE(LEFT($U48,2),"H"),$R$63:$T$91,3,FALSE),VLOOKUP($U48,$R$63:$T$91,3,FALSE)))+IF(AND($U48&lt;&gt;"",$U48&lt;&gt;"O3/CP",$U$15=E$18,MID($U48,4,1)="2",$U$15&lt;&gt;$U$14),VLOOKUP(CONCATENATE(LEFT($U48,2),"L"),$R$63:$T$91,3,FALSE),0)+IF(AND($U48="O3/CP",$T$14=E$18),VLOOKUP("O3",$R$63:$T$91,3,FALSE)+VLOOKUP("CP",$R$63:$T$91,3,FALSE),0)+IF(AND($V48&lt;&gt;"",$V48&lt;&gt;"--",$V48&lt;&gt;"O3/CP",$V$14=E$18),IF(LEFT($V48,1)="P",VLOOKUP(CONCATENATE(LEFT($V48,2),"H"),$R$63:$T$91,3,FALSE),VLOOKUP($V48,$R$63:$T$91,3,FALSE)))+IF(AND($V48&lt;&gt;"",$V48&lt;&gt;"O3/CP",$V$15=E$18,MID($V48,4,1)="2",$V$15&lt;&gt;$V$14),VLOOKUP(CONCATENATE(LEFT($V48,2),"L"),$R$63:$T$91,3,FALSE),0)+IF(AND($V48="O3/CP",$V$14=E$18),VLOOKUP("O3",$R$63:$T$91,3,FALSE)+VLOOKUP("CP",$R$63:$T$91,3,FALSE),0)+IF(AND($W48&lt;&gt;"",$W48&lt;&gt;"--",$W48&lt;&gt;"O3/CP",$W$14=E$18),IF(LEFT($W48,1)="P",VLOOKUP(CONCATENATE(LEFT($W48,2),"H"),$R$63:$T$91,3,FALSE),VLOOKUP($W48,$R$63:$T$91,3,FALSE)))+IF(AND($W48&lt;&gt;"",$W48&lt;&gt;"O3/CP",$W$15=E$18,MID($W48,4,1)="2",$W$15&lt;&gt;$W$14),VLOOKUP(CONCATENATE(LEFT($W48,2),"L"),$R$63:$T$91,3,FALSE),0)+IF(AND($W48="O3/CP",$W$14=E$18),VLOOKUP("O3",$R$63:$T$91,3,FALSE)+VLOOKUP("CP",$R$63:$T$91,3,FALSE),0)+IF(AND($X48&lt;&gt;"",$X48&lt;&gt;"--",$X48&lt;&gt;"O3/CP",$X$14=E$18),IF(LEFT($X48,1)="P",VLOOKUP(CONCATENATE(LEFT($X48,2),"H"),$R$63:$T$91,3,FALSE),VLOOKUP($X48,$R$63:$T$91,3,FALSE)))+IF(AND($X48&lt;&gt;"",$X48&lt;&gt;"O3/CP",$X$15=E$18,MID($X48,4,1)="2",$X$15&lt;&gt;$X$14),VLOOKUP(CONCATENATE(LEFT($X48,2),"L"),$R$63:$T$91,3,FALSE),0)+IF(AND($X48="O3/CP",$X$14=E$18),VLOOKUP("O3",$R$63:$T$91,3,FALSE)+VLOOKUP("CP",$R$63:$T$91,3,FALSE),0)+IF(AND($Y48&lt;&gt;"",$Y48&lt;&gt;"--",$Y48&lt;&gt;"O3/CP",$Y$14=E$18),IF(LEFT($Y48,1)="P",VLOOKUP(CONCATENATE(LEFT($Y48,2),"H"),$R$63:$T$91,3,FALSE),VLOOKUP($Y48,$R$63:$T$91,3,FALSE)))+IF(AND($Y48&lt;&gt;"",$Y48&lt;&gt;"O3/CP",$Y$15=E$18,MID($Y48,4,1)="2",$Y$15&lt;&gt;$Y$14),VLOOKUP(CONCATENATE(LEFT($Y48,2),"L"),$R$63:$T$91,3,FALSE),0)+IF(AND($Y48="O3/CP",$Y$14=E$18),VLOOKUP("O3",$R$63:$T$91,3,FALSE)+VLOOKUP("CP",$R$63:$T$91,3,FALSE),0)+IF(AND($K$6="CE",'[3]Supply Attribution'!$G$20=E$18),LEFT($S$90,2),0)+IF(AND($X$86&lt;&gt;"Not Set",$X$87=E$18),$X$86,0)</f>
        <v>0</v>
      </c>
      <c r="F48" s="268">
        <f>IF(AND($K48&lt;&gt;"",$K48&lt;&gt;"--",$K48&lt;&gt;"O3/CP",$K$14=F$18),IF(LEFT($K48,1)="P",VLOOKUP(CONCATENATE(LEFT($K48,2),"H"),$R$63:$T$91,3,FALSE),VLOOKUP($K48,$R$63:$T$91,3,FALSE)))+IF(AND($K48&lt;&gt;"",$K48&lt;&gt;"O3/CP",$K$15=F$18,MID($K48,4,1)="2",$K$15&lt;&gt;$K$14),VLOOKUP(CONCATENATE(LEFT($K48,2),"L"),$R$63:$T$91,3,FALSE),0)+IF(AND($K48="O3/CP",$K$14=F$18),VLOOKUP("O3",$R$63:$T$91,3,FALSE)+VLOOKUP("CP",$R$63:$T$91,3,FALSE),0)+IF(AND($L48&lt;&gt;"",$L48&lt;&gt;"--",$L48&lt;&gt;"O3/CP",$L$14=F$18),IF(LEFT($L48,1)="P",VLOOKUP(CONCATENATE(LEFT($L48,2),"H"),$R$63:$T$91,3,FALSE),VLOOKUP($L48,$R$63:$T$91,3,FALSE)))+IF(AND($L48&lt;&gt;"",$L48&lt;&gt;"O3/CP",$L$15=F$18,MID($L48,4,1)="2",$L$15&lt;&gt;$L$14),VLOOKUP(CONCATENATE(LEFT($L48,2),"L"),$R$63:$T$91,3,FALSE),0)+IF(AND($L48="O3/CP",$L$14=F$18),VLOOKUP("O3",$R$63:$T$91,3,FALSE)+VLOOKUP("CP",$R$63:$T$91,3,FALSE),0)+IF(AND($M48&lt;&gt;"",$M48&lt;&gt;"--",$M48&lt;&gt;"O3/CP",$M$14=F$18),IF(LEFT($M48,1)="P",VLOOKUP(CONCATENATE(LEFT($M48,2),"H"),$R$63:$T$91,3,FALSE),VLOOKUP($M48,$R$63:$T$91,3,FALSE)))+IF(AND($M48&lt;&gt;"",$M48&lt;&gt;"O3/CP",$M$15=F$18,MID($M48,4,1)="2",$M$15&lt;&gt;$M$14),VLOOKUP(CONCATENATE(LEFT($M48,2),"L"),$R$63:$T$91,3,FALSE),0)+IF(AND($M48="O3/CP",$M$14=F$18),VLOOKUP("O3",$R$63:$T$91,3,FALSE)+VLOOKUP("CP",$R$63:$T$91,3,FALSE),0)+IF(AND($N48&lt;&gt;"",$N48&lt;&gt;"--",$N48&lt;&gt;"O3/CP",$N$14=F$18),IF(LEFT($N48,1)="P",VLOOKUP(CONCATENATE(LEFT($N48,2),"H"),$R$63:$T$91,3,FALSE),VLOOKUP($N48,$R$63:$T$91,3,FALSE)))+IF(AND($N48&lt;&gt;"",$N48&lt;&gt;"O3/CP",$N$15=F$18,MID($N48,4,1)="2",$N$15&lt;&gt;$N$14),VLOOKUP(CONCATENATE(LEFT($N48,2),"L"),$R$63:$T$91,3,FALSE),0)+IF(AND($N48="O3/CP",$N$14=F$18),VLOOKUP("O3",$R$63:$T$91,3,FALSE)+VLOOKUP("CP",$R$63:$T$91,3,FALSE),0)+IF(AND($O48&lt;&gt;"",$O48&lt;&gt;"--",$O48&lt;&gt;"O3/CP",$O$14=F$18),IF(LEFT($O48,1)="P",VLOOKUP(CONCATENATE(LEFT($O48,2),"H"),$R$63:$T$91,3,FALSE),VLOOKUP($O48,$R$63:$T$91,3,FALSE)))+IF(AND($O48&lt;&gt;"",$O48&lt;&gt;"O3/CP",$O$15=F$18,MID($O48,4,1)="2",$O$15&lt;&gt;$O$14),VLOOKUP(CONCATENATE(LEFT($O48,2),"L"),$R$63:$T$91,3,FALSE),0)+IF(AND($O48="O3/CP",$O$14=F$18),VLOOKUP("O3",$R$63:$T$91,3,FALSE)+VLOOKUP("CP",$R$63:$T$91,3,FALSE),0)+IF(AND($P48&lt;&gt;"",$P48&lt;&gt;"--",$P48&lt;&gt;"O3/CP",$P$14=F$18),IF(LEFT($P48,1)="P",VLOOKUP(CONCATENATE(LEFT($P48,2),"H"),$R$63:$T$91,3,FALSE),VLOOKUP($P48,$R$63:$T$91,3,FALSE)))+IF(AND($P48&lt;&gt;"",$P48&lt;&gt;"O3/CP",$P$15=F$18,MID($P48,4,1)="2",$P$15&lt;&gt;$P$14),VLOOKUP(CONCATENATE(LEFT($P48,2),"L"),$R$63:$T$91,3,FALSE),0)+IF(AND($P48="O3/CP",$P$14=F$18),VLOOKUP("O3",$R$63:$T$91,3,FALSE)+VLOOKUP("CP",$R$63:$T$91,3,FALSE),0)+IF(AND($Q48&lt;&gt;"",$Q48&lt;&gt;"--",$Q48&lt;&gt;"O3/CP",$Q$14=F$18),IF(LEFT($Q48,1)="P",VLOOKUP(CONCATENATE(LEFT($Q48,2),"H"),$R$63:$T$91,3,FALSE),VLOOKUP($Q48,$R$63:$T$91,3,FALSE)))+IF(AND($Q48&lt;&gt;"",$Q48&lt;&gt;"O3/CP",$Q$15=F$18,MID($Q48,4,1)="2",$Q$15&lt;&gt;$Q$14),VLOOKUP(CONCATENATE(LEFT($Q48,2),"L"),$R$63:$T$91,3,FALSE),0)+IF(AND($Q48="O3/CP",$Q$14=F$18),VLOOKUP("O3",$R$63:$T$91,3,FALSE)+VLOOKUP("CP",$R$63:$T$91,3,FALSE),0)+IF(AND($R48&lt;&gt;"",$R48&lt;&gt;"--",$R48&lt;&gt;"O3/CP",$R$14=F$18),IF(LEFT($R48,1)="P",VLOOKUP(CONCATENATE(LEFT($R48,2),"H"),$R$63:$T$91,3,FALSE),VLOOKUP($R48,$R$63:$T$91,3,FALSE)))+IF(AND($R48&lt;&gt;"",$R48&lt;&gt;"O3/CP",$R$15=F$18,MID($R48,4,1)="2",$R$15&lt;&gt;$R$14),VLOOKUP(CONCATENATE(LEFT($R48,2),"L"),$R$63:$T$91,3,FALSE),0)+IF(AND($R48="O3/CP",$R$14=F$18),VLOOKUP("O3",$R$63:$T$91,3,FALSE)+VLOOKUP("CP",$R$63:$T$91,3,FALSE),0)+IF(AND($S48&lt;&gt;"",$S48&lt;&gt;"--",$S48&lt;&gt;"O3/CP",$S$14=F$18),IF(LEFT($S48,1)="P",VLOOKUP(CONCATENATE(LEFT($S48,2),"H"),$R$63:$T$91,3,FALSE),VLOOKUP($S48,$R$63:$T$91,3,FALSE)))+IF(AND($S48&lt;&gt;"",$S48&lt;&gt;"O3/CP",$S$15=F$18,MID($S48,4,1)="2",$S$15&lt;&gt;$S$14),VLOOKUP(CONCATENATE(LEFT($S48,2),"L"),$R$63:$T$91,3,FALSE),0)+IF(AND($S48="O3/CP",$S$14=F$18),VLOOKUP("O3",$R$63:$T$91,3,FALSE)+VLOOKUP("CP",$R$63:$T$91,3,FALSE),0)+IF(AND($T48&lt;&gt;"",$T48&lt;&gt;"--",$T48&lt;&gt;"O3/CP",$T$14=F$18),IF(LEFT($T48,1)="P",VLOOKUP(CONCATENATE(LEFT($T48,2),"H"),$R$63:$T$91,3,FALSE),VLOOKUP($T48,$R$63:$T$91,3,FALSE)))+IF(AND($T48&lt;&gt;"",$T48&lt;&gt;"O3/CP",$T$15=F$18,MID($T48,4,1)="2",$T$15&lt;&gt;$T$14),VLOOKUP(CONCATENATE(LEFT($T48,2),"L"),$R$63:$T$91,3,FALSE),0)+IF(AND($T48="O3/CP",$T$14=F$18),VLOOKUP("O3",$R$63:$T$91,3,FALSE)+VLOOKUP("CP",$R$63:$T$91,3,FALSE),0)+IF(AND($U48&lt;&gt;"",$U48&lt;&gt;"--",$U48&lt;&gt;"O3/CP",$U$14=F$18),IF(LEFT($U48,1)="P",VLOOKUP(CONCATENATE(LEFT($U48,2),"H"),$R$63:$T$91,3,FALSE),VLOOKUP($U48,$R$63:$T$91,3,FALSE)))+IF(AND($U48&lt;&gt;"",$U48&lt;&gt;"O3/CP",$U$15=F$18,MID($U48,4,1)="2",$U$15&lt;&gt;$U$14),VLOOKUP(CONCATENATE(LEFT($U48,2),"L"),$R$63:$T$91,3,FALSE),0)+IF(AND($U48="O3/CP",$T$14=F$18),VLOOKUP("O3",$R$63:$T$91,3,FALSE)+VLOOKUP("CP",$R$63:$T$91,3,FALSE),0)+IF(AND($V48&lt;&gt;"",$V48&lt;&gt;"--",$V48&lt;&gt;"O3/CP",$V$14=F$18),IF(LEFT($V48,1)="P",VLOOKUP(CONCATENATE(LEFT($V48,2),"H"),$R$63:$T$91,3,FALSE),VLOOKUP($V48,$R$63:$T$91,3,FALSE)))+IF(AND($V48&lt;&gt;"",$V48&lt;&gt;"O3/CP",$V$15=F$18,MID($V48,4,1)="2",$V$15&lt;&gt;$V$14),VLOOKUP(CONCATENATE(LEFT($V48,2),"L"),$R$63:$T$91,3,FALSE),0)+IF(AND($V48="O3/CP",$V$14=F$18),VLOOKUP("O3",$R$63:$T$91,3,FALSE)+VLOOKUP("CP",$R$63:$T$91,3,FALSE),0)+IF(AND($W48&lt;&gt;"",$W48&lt;&gt;"--",$W48&lt;&gt;"O3/CP",$W$14=F$18),IF(LEFT($W48,1)="P",VLOOKUP(CONCATENATE(LEFT($W48,2),"H"),$R$63:$T$91,3,FALSE),VLOOKUP($W48,$R$63:$T$91,3,FALSE)))+IF(AND($W48&lt;&gt;"",$W48&lt;&gt;"O3/CP",$W$15=F$18,MID($W48,4,1)="2",$W$15&lt;&gt;$W$14),VLOOKUP(CONCATENATE(LEFT($W48,2),"L"),$R$63:$T$91,3,FALSE),0)+IF(AND($W48="O3/CP",$W$14=F$18),VLOOKUP("O3",$R$63:$T$91,3,FALSE)+VLOOKUP("CP",$R$63:$T$91,3,FALSE),0)+IF(AND($X48&lt;&gt;"",$X48&lt;&gt;"--",$X48&lt;&gt;"O3/CP",$X$14=F$18),IF(LEFT($X48,1)="P",VLOOKUP(CONCATENATE(LEFT($X48,2),"H"),$R$63:$T$91,3,FALSE),VLOOKUP($X48,$R$63:$T$91,3,FALSE)))+IF(AND($X48&lt;&gt;"",$X48&lt;&gt;"O3/CP",$X$15=F$18,MID($X48,4,1)="2",$X$15&lt;&gt;$X$14),VLOOKUP(CONCATENATE(LEFT($X48,2),"L"),$R$63:$T$91,3,FALSE),0)+IF(AND($X48="O3/CP",$X$14=F$18),VLOOKUP("O3",$R$63:$T$91,3,FALSE)+VLOOKUP("CP",$R$63:$T$91,3,FALSE),0)+IF(AND($Y48&lt;&gt;"",$Y48&lt;&gt;"--",$Y48&lt;&gt;"O3/CP",$Y$14=F$18),IF(LEFT($Y48,1)="P",VLOOKUP(CONCATENATE(LEFT($Y48,2),"H"),$R$63:$T$91,3,FALSE),VLOOKUP($Y48,$R$63:$T$91,3,FALSE)))+IF(AND($Y48&lt;&gt;"",$Y48&lt;&gt;"O3/CP",$Y$15=F$18,MID($Y48,4,1)="2",$Y$15&lt;&gt;$Y$14),VLOOKUP(CONCATENATE(LEFT($Y48,2),"L"),$R$63:$T$91,3,FALSE),0)+IF(AND($Y48="O3/CP",$Y$14=F$18),VLOOKUP("O3",$R$63:$T$91,3,FALSE)+VLOOKUP("CP",$R$63:$T$91,3,FALSE),0)+IF(AND($K$6="CE",'[3]Supply Attribution'!$G$20=F$18),LEFT($S$90,2),0)+IF(AND($X$86&lt;&gt;"Not Set",$X$87=F$18),$X$86,0)</f>
        <v>0</v>
      </c>
      <c r="G48" s="269">
        <f>IF(AND($K$6="CE",$T$59="1 Phase"),SUM(A48:F48)-IF(AND($K$14&lt;&gt;$K$15,RIGHT($K48,3)="2SP"),VLOOKUP(CONCATENATE(LEFT($K48,2),"L"),$R$63:$T$90,3,FALSE),0)-IF(AND($L$14&lt;&gt;$L$15,RIGHT($L48,3)="2SP"),VLOOKUP(CONCATENATE(LEFT($L48,2),"L"),$R$63:$T$90,3,FALSE),0)-IF(AND($M$14&lt;&gt;$M$15,RIGHT($M48,3)="2SP"),VLOOKUP(CONCATENATE(LEFT($M48,2),"L"),$R$63:$T$90,3,FALSE),0)-IF(AND($N$14&lt;&gt;$N$15,RIGHT($N48,3)="2SP"),VLOOKUP(CONCATENATE(LEFT($N48,2),"L"),$R$63:$T$90,3,FALSE),0)-IF(AND($O$14&lt;&gt;$O$15,RIGHT($O48,3)="2SP"),VLOOKUP(CONCATENATE(LEFT($O48,2),"L"),$R$63:$T$90,3,FALSE),0)-IF(AND($P$14&lt;&gt;$P$15,RIGHT($P48,3)="2SP"),VLOOKUP(CONCATENATE(LEFT($P48,2),"L"),$R$63:$T$90,3,FALSE),0)-IF(AND($Q$14&lt;&gt;$Q$15,RIGHT($Q48,3)="2SP"),VLOOKUP(CONCATENATE(LEFT($Q48,2),"L"),$R$63:$T$90,3,FALSE),0)-IF(AND($R$14&lt;&gt;$R$15,RIGHT($T48,3)="2SP"),VLOOKUP(CONCATENATE(LEFT($R48,2),"L"),$R$63:$T$90,3,FALSE),0)-IF(AND($S$14&lt;&gt;$S$15,RIGHT($T48,3)="2SP"),VLOOKUP(CONCATENATE(LEFT($S48,2),"L"),$R$63:$T$90,3,FALSE),0)-IF(AND($T$14&lt;&gt;$T$15,RIGHT($T48,3)="2SP"),VLOOKUP(CONCATENATE(LEFT($T48,2),"L"),$R$63:$T$90,3,FALSE),0)-IF(AND($U$14&lt;&gt;$U$15,RIGHT($U48,3)="2SP"),VLOOKUP(CONCATENATE(LEFT($U48,2),"L"),$R$63:$T$90,3,FALSE),0)-IF(AND($V$14&lt;&gt;$V$15,RIGHT($V48,3)="2SP"),VLOOKUP(CONCATENATE(LEFT($V48,2),"L"),$R$63:$T$90,3,FALSE),0)-IF(AND($W$14&lt;&gt;$W$15,RIGHT($W48,3)="2SP"),VLOOKUP(CONCATENATE(LEFT($W48,2),"L"),$R$63:$T$90,3,FALSE),0)-IF(AND($X$14&lt;&gt;$X$15,RIGHT($X48,3)="2SP"),VLOOKUP(CONCATENATE(LEFT($X48,2),"L"),$R$63:$T$90,3,FALSE),0)-IF(AND($Y$14&lt;&gt;$Y$15,RIGHT($Y48,3)="2SP"),VLOOKUP(CONCATENATE(LEFT($Y48,2),"L"),$R$63:$T$90,3,FALSE),0),IF(VLOOKUP(CONCATENATE($A$18,"Line"),'[3]Supply Attribution'!$F$31:$G$37,2,FALSE)=G$18,$A48,0)+IF(VLOOKUP(CONCATENATE($B$18,"Line"),'[3]Supply Attribution'!$F$31:$G$37,2,FALSE)=G$18,$B48,0)+IF(VLOOKUP(CONCATENATE($C$18,"Line"),'[3]Supply Attribution'!$F$31:$G$37,2,FALSE)=G$18,$C48,0)+IF(VLOOKUP(CONCATENATE($D$18,"Line"),'[3]Supply Attribution'!$F$31:$G$37,2,FALSE)=G$18,$D48,0)+IF(VLOOKUP(CONCATENATE($E$18,"Line"),'[3]Supply Attribution'!$F$31:$G$37,2,FALSE)=G$18,$E48,0)+IF(VLOOKUP(CONCATENATE($F$18,"Line"),'[3]Supply Attribution'!$F$31:$G$37,2,FALSE)=G$18,$F48,0)+IF($K$6="UL",LEFT($S$90,2),0)-IF(AND($K$16=G$18,$K$14&lt;&gt;$K$15,$K$16=$K$17,RIGHT($K48,3)="2SP"),VLOOKUP(CONCATENATE(LEFT($K48,2),"L"),$R$63:$T$90,3,FALSE),0)-IF(AND($L$16=G$18,$L$14&lt;&gt;$L$15,$L$16=$L$17,RIGHT($L48,3)="2SP"),VLOOKUP(CONCATENATE(LEFT($L48,2),"L"),$R$63:$T$90,3,FALSE),0)-IF(AND($M$16=G$18,$M$14&lt;&gt;$M$15,$M$16=$M$17,RIGHT($M48,3)="2SP"),VLOOKUP(CONCATENATE(LEFT($M48,2),"L"),$R$63:$T$90,3,FALSE),0)-IF(AND($N$16=G$18,$N$14&lt;&gt;$N$15,$N$16=$N$17,RIGHT($N48,3)="2SP"),VLOOKUP(CONCATENATE(LEFT($N48,2),"L"),$R$63:$T$90,3,FALSE),0)-IF(AND($O$16=G$18,$O$14&lt;&gt;$O$15,$O$16=$O$17,RIGHT($O48,3)="2SP"),VLOOKUP(CONCATENATE(LEFT($O48,2),"L"),$R$63:$T$90,3,FALSE),0)-IF(AND($P$16=G$18,$P$14&lt;&gt;$P$15,$P$16=$P$17,RIGHT($P48,3)="2SP"),VLOOKUP(CONCATENATE(LEFT($P48,2),"L"),$R$63:$T$90,3,FALSE),0)-IF(AND($Q$16=G$18,$Q$14&lt;&gt;$Q$15,$Q$16=$Q$17,RIGHT($Q48,3)="2SP"),VLOOKUP(CONCATENATE(LEFT($Q48,2),"L"),$R$63:$T$90,3,FALSE),0)-IF(AND($R$16=G$18,$R$14&lt;&gt;$R$15,$R$16=$R$17,RIGHT($R48,3)="2SP"),VLOOKUP(CONCATENATE(LEFT($R48,2),"L"),$R$63:$T$90,3,FALSE),0)-IF(AND($S$16=G$18,$S$14&lt;&gt;$S$15,$S$16=$S$17,RIGHT($S48,3)="2SP"),VLOOKUP(CONCATENATE(LEFT($S48,2),"L"),$R$63:$T$90,3,FALSE),0)-IF(AND($T$16=G$18,$T$14&lt;&gt;$T$15,$T$16=$T$17,RIGHT($T48,3)="2SP"),VLOOKUP(CONCATENATE(LEFT($T48,2),"L"),$R$63:$T$90,3,FALSE),0)-IF(AND($U$16=G$18,$U$14&lt;&gt;$U$15,$U$16=$U$17,RIGHT($U48,3)="2SP"),VLOOKUP(CONCATENATE(LEFT($U48,2),"L"),$R$63:$T$90,3,FALSE),0)-IF(AND($V$16=G$18,$V$14&lt;&gt;$V$15,$V$16=$V$17,RIGHT($V48,3)="2SP"),VLOOKUP(CONCATENATE(LEFT($V48,2),"L"),$R$63:$T$90,3,FALSE),0)-IF(AND($W$16=G$18,$W$14&lt;&gt;$W$15,$W$16=$W$17,RIGHT($W48,3)="2SP"),VLOOKUP(CONCATENATE(LEFT($W48,2),"L"),$R$63:$T$90,3,FALSE),0)-IF(AND($X$16=G$18,$X$14&lt;&gt;$X$15,$X$16=$X$17,RIGHT($X48,3)="2SP"),VLOOKUP(CONCATENATE(LEFT($X48,2),"L"),$R$63:$T$90,3,FALSE),0)-IF(AND($Y$16=G$18,$Y$14&lt;&gt;$Y$15,$Y$16=$Y$17,RIGHT($Y48,3)="2SP"),VLOOKUP(CONCATENATE(LEFT($Y48,2),"L"),$R$63:$T$90,3,FALSE),0))</f>
        <v>17</v>
      </c>
      <c r="H48" s="269" t="str">
        <f>IF(H$18&lt;&gt;"",IF(VLOOKUP(CONCATENATE($A$18,"Line"),'Supply Attribution'!$F$31:$G$37,2,FALSE)=H$18,$A48,0)+IF(VLOOKUP(CONCATENATE($B$18,"Line"),'Supply Attribution'!$F$31:$G$37,2,FALSE)=H$18,$B48,0)+IF(VLOOKUP(CONCATENATE($C$18,"Line"),'Supply Attribution'!$F$31:$G$37,2,FALSE)=H$18,$C48,0)+IF(VLOOKUP(CONCATENATE($D$18,"Line"),'Supply Attribution'!$F$31:$G$37,2,FALSE)=H$18,$D48,0)+IF(VLOOKUP(CONCATENATE($E$18,"Line"),'Supply Attribution'!$F$31:$G$37,2,FALSE)=H$18,$E48,0)+IF(VLOOKUP(CONCATENATE($F$18,"Line"),'Supply Attribution'!$F$31:$G$37,2,FALSE)=H$18,$F48,0)+IF($K$6="UL",LEFT($S$90,2),0)-IF(AND($K$16=H$18,$K$14&lt;&gt;$K$15,$K$16=$K$17,RIGHT($K48,3)="2SP"),VLOOKUP(CONCATENATE(LEFT($K48,2),"L"),$R$63:$T$90,3,FALSE),0)-IF(AND($L$16=H$18,$L$14&lt;&gt;$L$15,$L$16=$L$17,RIGHT($L48,3)="2SP"),VLOOKUP(CONCATENATE(LEFT($L48,2),"L"),$R$63:$T$90,3,FALSE),0)-IF(AND($M$16=H$18,$M$14&lt;&gt;$M$15,$M$16=$M$17,RIGHT($M48,3)="2SP"),VLOOKUP(CONCATENATE(LEFT($M48,2),"L"),$R$63:$T$90,3,FALSE),0)-IF(AND($N$16=H$18,$N$14&lt;&gt;$N$15,$N$16=$N$17,RIGHT($N48,3)="2SP"),VLOOKUP(CONCATENATE(LEFT($N48,2),"L"),$R$63:$T$90,3,FALSE),0)-IF(AND($O$16=H$18,$O$14&lt;&gt;$O$15,$O$16=$O$17,RIGHT($O48,3)="2SP"),VLOOKUP(CONCATENATE(LEFT($O48,2),"L"),$R$63:$T$90,3,FALSE),0)-IF(AND($P$16=H$18,$P$14&lt;&gt;$P$15,$P$16=$P$17,RIGHT($P48,3)="2SP"),VLOOKUP(CONCATENATE(LEFT($P48,2),"L"),$R$63:$T$90,3,FALSE),0)-IF(AND($Q$16=H$18,$Q$14&lt;&gt;$Q$15,$Q$16=$Q$17,RIGHT($Q48,3)="2SP"),VLOOKUP(CONCATENATE(LEFT($Q48,2),"L"),$R$63:$T$90,3,FALSE),0)-IF(AND($T$16=H$18,$T$14&lt;&gt;$T$15,$T$16=$T$17,RIGHT($T48,3)="2SP"),VLOOKUP(CONCATENATE(LEFT($T48,2),"L"),$R$63:$T$90,3,FALSE),0)-IF(AND($U$16=H$18,$U$14&lt;&gt;$U$15,$U$16=$U$17,RIGHT($U48,3)="2SP"),VLOOKUP(CONCATENATE(LEFT($U48,2),"L"),$R$63:$T$90,3,FALSE),0)-IF(AND($V$16=H$18,$V$14&lt;&gt;$V$15,$V$16=$V$17,RIGHT($V48,3)="2SP"),VLOOKUP(CONCATENATE(LEFT($V48,2),"L"),$R$63:$T$90,3,FALSE),0)-IF(AND($W$16=H$18,$W$14&lt;&gt;$W$15,$W$16=$W$17,RIGHT($W48,3)="2SP"),VLOOKUP(CONCATENATE(LEFT($W48,2),"L"),$R$63:$T$90,3,FALSE),0)-IF(AND($X$16=H$18,$X$14&lt;&gt;$X$15,$X$16=$X$17,RIGHT($X48,3)="2SP"),VLOOKUP(CONCATENATE(LEFT($X48,2),"L"),$R$63:$T$90,3,FALSE),0)-IF(AND($Y$16=H$18,$Y$14&lt;&gt;$Y$15,$Y$16=$Y$17,RIGHT($Y48,3)="2SP"),VLOOKUP(CONCATENATE(LEFT($Y48,2),"L"),$R$63:$T$90,3,FALSE),0)+IF(AND($K$6="CE",$T$59="2 Phases",H$18&lt;&gt;""),IF(VLOOKUP(CONCATENATE($A$18,"Line"),'Supply Attribution'!$F$31:$G$37,2,FALSE)="Line3",$A48,0)+IF(VLOOKUP(CONCATENATE($B$18,"Line"),'Supply Attribution'!$F$31:$G$37,2,FALSE)="Line3",$B48,0)+IF(VLOOKUP(CONCATENATE($C$18,"Line"),'Supply Attribution'!$F$31:$G$37,2,FALSE)="Line3",$C48,0)+IF(VLOOKUP(CONCATENATE($D$18,"Line"),'Supply Attribution'!$F$31:$G$37,2,FALSE)="Line3",$D48,0)+IF(VLOOKUP(CONCATENATE($E$18,"Line"),'Supply Attribution'!$F$31:$G$37,2,FALSE)="Line3",$E48,0)+IF(VLOOKUP(CONCATENATE($F$18,"Line"),'Supply Attribution'!$F$31:$G$37,2,FALSE)="Line3",$F48,0)-IF(AND($K$16=I$18,$K$14&lt;&gt;$K$15,$K$16=$K$17,RIGHT($K48,3)="2SP"),VLOOKUP(CONCATENATE(LEFT($K48,2),"L"),$R$63:$T$90,3,FALSE),0)-IF(AND($L$16=I$18,$L$14&lt;&gt;$L$15,$L$16=$L$17,RIGHT($L48,3)="2SP"),VLOOKUP(CONCATENATE(LEFT($L48,2),"L"),$R$63:$T$90,3,FALSE),0)-IF(AND($M$16=I$18,$M$14&lt;&gt;$M$15,$M$16=$M$17,RIGHT($M48,3)="2SP"),VLOOKUP(CONCATENATE(LEFT($M48,2),"L"),$R$63:$T$90,3,FALSE),0)-IF(AND($N$16=I$18,$N$14&lt;&gt;$N$15,$N$16=$N$17,RIGHT($N48,3)="2SP"),VLOOKUP(CONCATENATE(LEFT($N48,2),"L"),$R$63:$T$90,3,FALSE),0)-IF(AND($O$16=I$18,$O$14&lt;&gt;$O$15,$O$16=$O$17,RIGHT($O48,3)="2SP"),VLOOKUP(CONCATENATE(LEFT($O48,2),"L"),$R$63:$T$90,3,FALSE),0)-IF(AND($P$16=I$18,$P$14&lt;&gt;$P$15,$P$16=$P$17,RIGHT($P48,3)="2SP"),VLOOKUP(CONCATENATE(LEFT($P48,2),"L"),$R$63:$T$90,3,FALSE),0)-IF(AND($Q$16=I$18,$Q$14&lt;&gt;$Q$15,$Q$16=$Q$17,RIGHT($Q48,3)="2SP"),VLOOKUP(CONCATENATE(LEFT($Q48,2),"L"),$R$63:$T$90,3,FALSE),0)-IF(AND($T$16=I$18,$T$14&lt;&gt;$T$15,$T$16=$T$17,RIGHT($T48,3)="2SP"),VLOOKUP(CONCATENATE(LEFT($T48,2),"L"),$R$63:$T$90,3,FALSE),0)-IF(AND($U$16=I$18,$U$14&lt;&gt;$U$15,$U$16=$U$17,RIGHT($U48,3)="2SP"),VLOOKUP(CONCATENATE(LEFT($U48,2),"L"),$R$63:$T$90,3,FALSE),0)-IF(AND($V$16=I$18,$V$14&lt;&gt;$V$15,$V$16=$V$17,RIGHT($V48,3)="2SP"),VLOOKUP(CONCATENATE(LEFT($V48,2),"L"),$R$63:$T$90,3,FALSE),0)-IF(AND($W$16=I$18,$W$14&lt;&gt;$W$15,$W$16=$W$17,RIGHT($W48,3)="2SP"),VLOOKUP(CONCATENATE(LEFT($W48,2),"L"),$R$63:$T$90,3,FALSE),0)-IF(AND($X$16=I$18,$X$14&lt;&gt;$X$15,$X$16=$X$17,RIGHT($X48,3)="2SP"),VLOOKUP(CONCATENATE(LEFT($X48,2),"L"),$R$63:$T$90,3,FALSE),0)-IF(AND($Y$16=I$18,$Y$14&lt;&gt;$Y$15,$Y$16=$Y$17,RIGHT($Y48,3)="2SP"),VLOOKUP(CONCATENATE(LEFT($Y48,2),"L"),$R$63:$T$90,3,FALSE),0),0),"")</f>
        <v/>
      </c>
      <c r="I48" s="269" t="str">
        <f>IF(I$18&lt;&gt;"",IF(VLOOKUP(CONCATENATE($A$18,"Line"),'Supply Attribution'!$F$31:$G$37,2,FALSE)=I$18,$A48,0)+IF(VLOOKUP(CONCATENATE($B$18,"Line"),'Supply Attribution'!$F$31:$G$37,2,FALSE)=I$18,$B48,0)+IF(VLOOKUP(CONCATENATE($C$18,"Line"),'Supply Attribution'!$F$31:$G$37,2,FALSE)=I$18,$C48,0)+IF(VLOOKUP(CONCATENATE($D$18,"Line"),'Supply Attribution'!$F$31:$G$37,2,FALSE)=I$18,$D48,0)+IF(VLOOKUP(CONCATENATE($E$18,"Line"),'Supply Attribution'!$F$31:$G$37,2,FALSE)=I$18,$E48,0)+IF(VLOOKUP(CONCATENATE($F$18,"Line"),'Supply Attribution'!$F$31:$G$37,2,FALSE)=I$18,$F48,0)+IF($K$6="UL",LEFT($S$90,2),0)-IF(AND($K$16=I$18,$K$14&lt;&gt;$K$15,$K$16=$K$17,RIGHT($K48,3)="2SP"),VLOOKUP(CONCATENATE(LEFT($K48,2),"L"),$R$63:$T$90,3,FALSE),0)-IF(AND($L$16=I$18,$L$14&lt;&gt;$L$15,$L$16=$L$17,RIGHT($L48,3)="2SP"),VLOOKUP(CONCATENATE(LEFT($L48,2),"L"),$R$63:$T$90,3,FALSE),0)-IF(AND($M$16=I$18,$M$14&lt;&gt;$M$15,$M$16=$M$17,RIGHT($M48,3)="2SP"),VLOOKUP(CONCATENATE(LEFT($M48,2),"L"),$R$63:$T$90,3,FALSE),0)-IF(AND($N$16=I$18,$N$14&lt;&gt;$N$15,$N$16=$N$17,RIGHT($N48,3)="2SP"),VLOOKUP(CONCATENATE(LEFT($N48,2),"L"),$R$63:$T$90,3,FALSE),0)-IF(AND($O$16=I$18,$O$14&lt;&gt;$O$15,$O$16=$O$17,RIGHT($O48,3)="2SP"),VLOOKUP(CONCATENATE(LEFT($O48,2),"L"),$R$63:$T$90,3,FALSE),0)-IF(AND($P$16=I$18,$P$14&lt;&gt;$P$15,$P$16=$P$17,RIGHT($P48,3)="2SP"),VLOOKUP(CONCATENATE(LEFT($P48,2),"L"),$R$63:$T$90,3,FALSE),0)-IF(AND($Q$16=I$18,$Q$14&lt;&gt;$Q$15,$Q$16=$Q$17,RIGHT($Q48,3)="2SP"),VLOOKUP(CONCATENATE(LEFT($Q48,2),"L"),$R$63:$T$90,3,FALSE),0)-IF(AND($T$16=I$18,$T$14&lt;&gt;$T$15,$T$16=$T$17,RIGHT($T48,3)="2SP"),VLOOKUP(CONCATENATE(LEFT($T48,2),"L"),$R$63:$T$90,3,FALSE),0)-IF(AND($U$16=I$18,$U$14&lt;&gt;$U$15,$U$16=$U$17,RIGHT($U48,3)="2SP"),VLOOKUP(CONCATENATE(LEFT($U48,2),"L"),$R$63:$T$90,3,FALSE),0)-IF(AND($V$16=I$18,$V$14&lt;&gt;$V$15,$V$16=$V$17,RIGHT($V48,3)="2SP"),VLOOKUP(CONCATENATE(LEFT($V48,2),"L"),$R$63:$T$90,3,FALSE),0)-IF(AND($W$16=I$18,$W$14&lt;&gt;$W$15,$W$16=$W$17,RIGHT($W48,3)="2SP"),VLOOKUP(CONCATENATE(LEFT($W48,2),"L"),$R$63:$T$90,3,FALSE),0)-IF(AND($X$16=I$18,$X$14&lt;&gt;$X$15,$X$16=$X$17,RIGHT($X48,3)="2SP"),VLOOKUP(CONCATENATE(LEFT($X48,2),"L"),$R$63:$T$90,3,FALSE),0)-IF(AND($Y$16=I$18,$Y$14&lt;&gt;$Y$15,$Y$16=$Y$17,RIGHT($Y48,3)="2SP"),VLOOKUP(CONCATENATE(LEFT($Y48,2),"L"),$R$63:$T$90,3,FALSE),0),"")</f>
        <v/>
      </c>
      <c r="J48" s="134"/>
      <c r="K48" s="135"/>
      <c r="L48" s="135"/>
      <c r="M48" s="135"/>
      <c r="N48" s="135"/>
      <c r="O48" s="135"/>
      <c r="P48" s="135"/>
      <c r="Q48" s="135"/>
      <c r="R48" s="135"/>
      <c r="S48" s="135"/>
      <c r="T48" s="135"/>
      <c r="U48" s="135"/>
      <c r="V48" s="135"/>
      <c r="W48" s="135"/>
      <c r="X48" s="135"/>
      <c r="Y48" s="135"/>
      <c r="Z48" s="136"/>
      <c r="AA48" s="136"/>
      <c r="AB48" s="137"/>
      <c r="AC48" s="137"/>
      <c r="AD48" s="137"/>
      <c r="AE48" s="138">
        <f t="shared" si="0"/>
        <v>0</v>
      </c>
      <c r="AF48" s="78"/>
    </row>
    <row r="49" spans="1:32">
      <c r="A49" s="264">
        <f>IF(AND($K49&lt;&gt;"",$K49&lt;&gt;"--",$K49&lt;&gt;"O3/CP",$K$14=A$18),IF(LEFT($K49,1)="P",VLOOKUP(CONCATENATE(LEFT($K49,2),"H"),$R$63:$T$91,3,FALSE),VLOOKUP($K49,$R$63:$T$91,3,FALSE)))+IF(AND($K49&lt;&gt;"",$K49&lt;&gt;"O3/CP",$K$15=A$18,MID($K49,4,1)="2",$K$15&lt;&gt;$K$14),VLOOKUP(CONCATENATE(LEFT($K49,2),"L"),$R$63:$T$91,3,FALSE),0)+IF(AND($K49="O3/CP",$K$14=A$18),VLOOKUP("O3",$R$63:$T$91,3,FALSE)+VLOOKUP("CP",$R$63:$T$91,3,FALSE),0)+IF(AND($L49&lt;&gt;"",$L49&lt;&gt;"--",$L49&lt;&gt;"O3/CP",$L$14=A$18),IF(LEFT($L49,1)="P",VLOOKUP(CONCATENATE(LEFT($L49,2),"H"),$R$63:$T$91,3,FALSE),VLOOKUP($L49,$R$63:$T$91,3,FALSE)))+IF(AND($L49&lt;&gt;"",$L49&lt;&gt;"O3/CP",$L$15=A$18,MID($L49,4,1)="2",$L$15&lt;&gt;$L$14),VLOOKUP(CONCATENATE(LEFT($L49,2),"L"),$R$63:$T$91,3,FALSE),0)+IF(AND($L49="O3/CP",$L$14=A$18),VLOOKUP("O3",$R$63:$T$91,3,FALSE)+VLOOKUP("CP",$R$63:$T$91,3,FALSE),0)+IF(AND($M49&lt;&gt;"",$M49&lt;&gt;"--",$M49&lt;&gt;"O3/CP",$M$14=A$18),IF(LEFT($M49,1)="P",VLOOKUP(CONCATENATE(LEFT($M49,2),"H"),$R$63:$T$91,3,FALSE),VLOOKUP($M49,$R$63:$T$91,3,FALSE)))+IF(AND($M49&lt;&gt;"",$M49&lt;&gt;"O3/CP",$M$15=A$18,MID($M49,4,1)="2",$M$15&lt;&gt;$M$14),VLOOKUP(CONCATENATE(LEFT($M49,2),"L"),$R$63:$T$91,3,FALSE),0)+IF(AND($M49="O3/CP",$M$14=A$18),VLOOKUP("O3",$R$63:$T$91,3,FALSE)+VLOOKUP("CP",$R$63:$T$91,3,FALSE),0)+IF(AND($N49&lt;&gt;"",$N49&lt;&gt;"--",$N49&lt;&gt;"O3/CP",$N$14=A$18),IF(LEFT($N49,1)="P",VLOOKUP(CONCATENATE(LEFT($N49,2),"H"),$R$63:$T$91,3,FALSE),VLOOKUP($N49,$R$63:$T$91,3,FALSE)))+IF(AND($N49&lt;&gt;"",$N49&lt;&gt;"O3/CP",$N$15=A$18,MID($N49,4,1)="2",$N$15&lt;&gt;$N$14),VLOOKUP(CONCATENATE(LEFT($N49,2),"L"),$R$63:$T$91,3,FALSE),0)+IF(AND($N49="O3/CP",$N$14=A$18),VLOOKUP("O3",$R$63:$T$91,3,FALSE)+VLOOKUP("CP",$R$63:$T$91,3,FALSE),0)+IF(AND($O49&lt;&gt;"",$O49&lt;&gt;"--",$O49&lt;&gt;"O3/CP",$O$14=A$18),IF(LEFT($O49,1)="P",VLOOKUP(CONCATENATE(LEFT($O49,2),"H"),$R$63:$T$91,3,FALSE),VLOOKUP($O49,$R$63:$T$91,3,FALSE)))+IF(AND($O49&lt;&gt;"",$O49&lt;&gt;"O3/CP",$O$15=A$18,MID($O49,4,1)="2",$O$15&lt;&gt;$O$14),VLOOKUP(CONCATENATE(LEFT($O49,2),"L"),$R$63:$T$91,3,FALSE),0)+IF(AND($O49="O3/CP",$O$14=A$18),VLOOKUP("O3",$R$63:$T$91,3,FALSE)+VLOOKUP("CP",$R$63:$T$91,3,FALSE),0)+IF(AND($P49&lt;&gt;"",$P49&lt;&gt;"--",$P49&lt;&gt;"O3/CP",$P$14=A$18),IF(LEFT($P49,1)="P",VLOOKUP(CONCATENATE(LEFT($P49,2),"H"),$R$63:$T$91,3,FALSE),VLOOKUP($P49,$R$63:$T$91,3,FALSE)))+IF(AND($P49&lt;&gt;"",$P49&lt;&gt;"O3/CP",$P$15=A$18,MID($P49,4,1)="2",$P$15&lt;&gt;$P$14),VLOOKUP(CONCATENATE(LEFT($P49,2),"L"),$R$63:$T$91,3,FALSE),0)+IF(AND($P49="O3/CP",$P$14=A$18),VLOOKUP("O3",$R$63:$T$91,3,FALSE)+VLOOKUP("CP",$R$63:$T$91,3,FALSE),0)+IF(AND($Q49&lt;&gt;"",$Q49&lt;&gt;"--",$Q49&lt;&gt;"O3/CP",$Q$14=A$18),IF(LEFT($Q49,1)="P",VLOOKUP(CONCATENATE(LEFT($Q49,2),"H"),$R$63:$T$91,3,FALSE),VLOOKUP($Q49,$R$63:$T$91,3,FALSE)))+IF(AND($Q49&lt;&gt;"",$Q49&lt;&gt;"O3/CP",$Q$15=A$18,MID($Q49,4,1)="2",$Q$15&lt;&gt;$Q$14),VLOOKUP(CONCATENATE(LEFT($Q49,2),"L"),$R$63:$T$91,3,FALSE),0)+IF(AND($Q49="O3/CP",$Q$14=A$18),VLOOKUP("O3",$R$63:$T$91,3,FALSE)+VLOOKUP("CP",$R$63:$T$91,3,FALSE),0)+IF(AND($R49&lt;&gt;"",$R49&lt;&gt;"--",$R49&lt;&gt;"O3/CP",$R$14=A$18),IF(LEFT($R49,1)="P",VLOOKUP(CONCATENATE(LEFT($R49,2),"H"),$R$63:$T$91,3,FALSE),VLOOKUP($R49,$R$63:$T$91,3,FALSE)))+IF(AND($R49&lt;&gt;"",$R49&lt;&gt;"O3/CP",$R$15=A$18,MID($R49,4,1)="2",$R$15&lt;&gt;$R$14),VLOOKUP(CONCATENATE(LEFT($R49,2),"L"),$R$63:$T$91,3,FALSE),0)+IF(AND($R49="O3/CP",$R$14=A$18),VLOOKUP("O3",$R$63:$T$91,3,FALSE)+VLOOKUP("CP",$R$63:$T$91,3,FALSE),0)+IF(AND($S49&lt;&gt;"",$S49&lt;&gt;"--",$S49&lt;&gt;"O3/CP",$S$14=A$18),IF(LEFT($S49,1)="P",VLOOKUP(CONCATENATE(LEFT($S49,2),"H"),$R$63:$T$91,3,FALSE),VLOOKUP($S49,$R$63:$T$91,3,FALSE)))+IF(AND($S49&lt;&gt;"",$S49&lt;&gt;"O3/CP",$S$15=A$18,MID($S49,4,1)="2",$S$15&lt;&gt;$S$14),VLOOKUP(CONCATENATE(LEFT($S49,2),"L"),$R$63:$T$91,3,FALSE),0)+IF(AND($S49="O3/CP",$S$14=A$18),VLOOKUP("O3",$R$63:$T$91,3,FALSE)+VLOOKUP("CP",$R$63:$T$91,3,FALSE),0)+IF(AND($T49&lt;&gt;"",$T49&lt;&gt;"--",$T49&lt;&gt;"O3/CP",$T$14=A$18),IF(LEFT($T49,1)="P",VLOOKUP(CONCATENATE(LEFT($T49,2),"H"),$R$63:$T$91,3,FALSE),VLOOKUP($T49,$R$63:$T$91,3,FALSE)))+IF(AND($T49&lt;&gt;"",$T49&lt;&gt;"O3/CP",$T$15=A$18,MID($T49,4,1)="2",$T$15&lt;&gt;$T$14),VLOOKUP(CONCATENATE(LEFT($T49,2),"L"),$R$63:$T$91,3,FALSE),0)+IF(AND($T49="O3/CP",$T$14=A$18),VLOOKUP("O3",$R$63:$T$91,3,FALSE)+VLOOKUP("CP",$R$63:$T$91,3,FALSE),0)+IF(AND($U49&lt;&gt;"",$U49&lt;&gt;"--",$U49&lt;&gt;"O3/CP",$U$14=A$18),IF(LEFT($U49,1)="P",VLOOKUP(CONCATENATE(LEFT($U49,2),"H"),$R$63:$T$91,3,FALSE),VLOOKUP($U49,$R$63:$T$91,3,FALSE)))+IF(AND($U49&lt;&gt;"",$U49&lt;&gt;"O3/CP",$U$15=A$18,MID($U49,4,1)="2",$U$15&lt;&gt;$U$14),VLOOKUP(CONCATENATE(LEFT($U49,2),"L"),$R$63:$T$91,3,FALSE),0)+IF(AND($U49="O3/CP",$T$14=A$18),VLOOKUP("O3",$R$63:$T$91,3,FALSE)+VLOOKUP("CP",$R$63:$T$91,3,FALSE),0)+IF(AND($V49&lt;&gt;"",$V49&lt;&gt;"--",$V49&lt;&gt;"O3/CP",$V$14=A$18),IF(LEFT($V49,1)="P",VLOOKUP(CONCATENATE(LEFT($V49,2),"H"),$R$63:$T$91,3,FALSE),VLOOKUP($V49,$R$63:$T$91,3,FALSE)))+IF(AND($V49&lt;&gt;"",$V49&lt;&gt;"O3/CP",$V$15=A$18,MID($V49,4,1)="2",$V$15&lt;&gt;$V$14),VLOOKUP(CONCATENATE(LEFT($V49,2),"L"),$R$63:$T$91,3,FALSE),0)+IF(AND($V49="O3/CP",$V$14=A$18),VLOOKUP("O3",$R$63:$T$91,3,FALSE)+VLOOKUP("CP",$R$63:$T$91,3,FALSE),0)+IF(AND($W49&lt;&gt;"",$W49&lt;&gt;"--",$W49&lt;&gt;"O3/CP",$W$14=A$18),IF(LEFT($W49,1)="P",VLOOKUP(CONCATENATE(LEFT($W49,2),"H"),$R$63:$T$91,3,FALSE),VLOOKUP($W49,$R$63:$T$91,3,FALSE)))+IF(AND($W49&lt;&gt;"",$W49&lt;&gt;"O3/CP",$W$15=A$18,MID($W49,4,1)="2",$W$15&lt;&gt;$W$14),VLOOKUP(CONCATENATE(LEFT($W49,2),"L"),$R$63:$T$91,3,FALSE),0)+IF(AND($W49="O3/CP",$W$14=A$18),VLOOKUP("O3",$R$63:$T$91,3,FALSE)+VLOOKUP("CP",$R$63:$T$91,3,FALSE),0)+IF(AND($X49&lt;&gt;"",$X49&lt;&gt;"--",$X49&lt;&gt;"O3/CP",$X$14=A$18),IF(LEFT($X49,1)="P",VLOOKUP(CONCATENATE(LEFT($X49,2),"H"),$R$63:$T$91,3,FALSE),VLOOKUP($X49,$R$63:$T$91,3,FALSE)))+IF(AND($X49&lt;&gt;"",$X49&lt;&gt;"O3/CP",$X$15=A$18,MID($X49,4,1)="2",$X$15&lt;&gt;$X$14),VLOOKUP(CONCATENATE(LEFT($X49,2),"L"),$R$63:$T$91,3,FALSE),0)+IF(AND($X49="O3/CP",$X$14=A$18),VLOOKUP("O3",$R$63:$T$91,3,FALSE)+VLOOKUP("CP",$R$63:$T$91,3,FALSE),0)+IF(AND($Y49&lt;&gt;"",$Y49&lt;&gt;"--",$Y49&lt;&gt;"O3/CP",$Y$14=A$18),IF(LEFT($Y49,1)="P",VLOOKUP(CONCATENATE(LEFT($Y49,2),"H"),$R$63:$T$91,3,FALSE),VLOOKUP($Y49,$R$63:$T$91,3,FALSE)))+IF(AND($Y49&lt;&gt;"",$Y49&lt;&gt;"O3/CP",$Y$15=A$18,MID($Y49,4,1)="2",$Y$15&lt;&gt;$Y$14),VLOOKUP(CONCATENATE(LEFT($Y49,2),"L"),$R$63:$T$91,3,FALSE),0)+IF(AND($Y49="O3/CP",$Y$14=A$18),VLOOKUP("O3",$R$63:$T$91,3,FALSE)+VLOOKUP("CP",$R$63:$T$91,3,FALSE),0)+IF(AND($K$6="CE",'[3]Supply Attribution'!$G$20=A$18),LEFT($S$90,2),0)+IF(AND($X$86&lt;&gt;"Not Set",$X$87=A$18),$X$86,0)</f>
        <v>0</v>
      </c>
      <c r="B49" s="271">
        <f>IF(AND($K49&lt;&gt;"",$K49&lt;&gt;"--",$K49&lt;&gt;"O3/CP",$K$14=B$18),IF(LEFT($K49,1)="P",VLOOKUP(CONCATENATE(LEFT($K49,2),"H"),$R$63:$T$91,3,FALSE),VLOOKUP($K49,$R$63:$T$91,3,FALSE)))+IF(AND($K49&lt;&gt;"",$K49&lt;&gt;"O3/CP",$K$15=B$18,MID($K49,4,1)="2",$K$15&lt;&gt;$K$14),VLOOKUP(CONCATENATE(LEFT($K49,2),"L"),$R$63:$T$91,3,FALSE),0)+IF(AND($K49="O3/CP",$K$14=B$18),VLOOKUP("O3",$R$63:$T$91,3,FALSE)+VLOOKUP("CP",$R$63:$T$91,3,FALSE),0)+IF(AND($L49&lt;&gt;"",$L49&lt;&gt;"--",$L49&lt;&gt;"O3/CP",$L$14=B$18),IF(LEFT($L49,1)="P",VLOOKUP(CONCATENATE(LEFT($L49,2),"H"),$R$63:$T$91,3,FALSE),VLOOKUP($L49,$R$63:$T$91,3,FALSE)))+IF(AND($L49&lt;&gt;"",$L49&lt;&gt;"O3/CP",$L$15=B$18,MID($L49,4,1)="2",$L$15&lt;&gt;$L$14),VLOOKUP(CONCATENATE(LEFT($L49,2),"L"),$R$63:$T$91,3,FALSE),0)+IF(AND($L49="O3/CP",$L$14=B$18),VLOOKUP("O3",$R$63:$T$91,3,FALSE)+VLOOKUP("CP",$R$63:$T$91,3,FALSE),0)+IF(AND($M49&lt;&gt;"",$M49&lt;&gt;"--",$M49&lt;&gt;"O3/CP",$M$14=B$18),IF(LEFT($M49,1)="P",VLOOKUP(CONCATENATE(LEFT($M49,2),"H"),$R$63:$T$91,3,FALSE),VLOOKUP($M49,$R$63:$T$91,3,FALSE)))+IF(AND($M49&lt;&gt;"",$M49&lt;&gt;"O3/CP",$M$15=B$18,MID($M49,4,1)="2",$M$15&lt;&gt;$M$14),VLOOKUP(CONCATENATE(LEFT($M49,2),"L"),$R$63:$T$91,3,FALSE),0)+IF(AND($M49="O3/CP",$M$14=B$18),VLOOKUP("O3",$R$63:$T$91,3,FALSE)+VLOOKUP("CP",$R$63:$T$91,3,FALSE),0)+IF(AND($N49&lt;&gt;"",$N49&lt;&gt;"--",$N49&lt;&gt;"O3/CP",$N$14=B$18),IF(LEFT($N49,1)="P",VLOOKUP(CONCATENATE(LEFT($N49,2),"H"),$R$63:$T$91,3,FALSE),VLOOKUP($N49,$R$63:$T$91,3,FALSE)))+IF(AND($N49&lt;&gt;"",$N49&lt;&gt;"O3/CP",$N$15=B$18,MID($N49,4,1)="2",$N$15&lt;&gt;$N$14),VLOOKUP(CONCATENATE(LEFT($N49,2),"L"),$R$63:$T$91,3,FALSE),0)+IF(AND($N49="O3/CP",$N$14=B$18),VLOOKUP("O3",$R$63:$T$91,3,FALSE)+VLOOKUP("CP",$R$63:$T$91,3,FALSE),0)+IF(AND($O49&lt;&gt;"",$O49&lt;&gt;"--",$O49&lt;&gt;"O3/CP",$O$14=B$18),IF(LEFT($O49,1)="P",VLOOKUP(CONCATENATE(LEFT($O49,2),"H"),$R$63:$T$91,3,FALSE),VLOOKUP($O49,$R$63:$T$91,3,FALSE)))+IF(AND($O49&lt;&gt;"",$O49&lt;&gt;"O3/CP",$O$15=B$18,MID($O49,4,1)="2",$O$15&lt;&gt;$O$14),VLOOKUP(CONCATENATE(LEFT($O49,2),"L"),$R$63:$T$91,3,FALSE),0)+IF(AND($O49="O3/CP",$O$14=B$18),VLOOKUP("O3",$R$63:$T$91,3,FALSE)+VLOOKUP("CP",$R$63:$T$91,3,FALSE),0)+IF(AND($P49&lt;&gt;"",$P49&lt;&gt;"--",$P49&lt;&gt;"O3/CP",$P$14=B$18),IF(LEFT($P49,1)="P",VLOOKUP(CONCATENATE(LEFT($P49,2),"H"),$R$63:$T$91,3,FALSE),VLOOKUP($P49,$R$63:$T$91,3,FALSE)))+IF(AND($P49&lt;&gt;"",$P49&lt;&gt;"O3/CP",$P$15=B$18,MID($P49,4,1)="2",$P$15&lt;&gt;$P$14),VLOOKUP(CONCATENATE(LEFT($P49,2),"L"),$R$63:$T$91,3,FALSE),0)+IF(AND($P49="O3/CP",$P$14=B$18),VLOOKUP("O3",$R$63:$T$91,3,FALSE)+VLOOKUP("CP",$R$63:$T$91,3,FALSE),0)+IF(AND($Q49&lt;&gt;"",$Q49&lt;&gt;"--",$Q49&lt;&gt;"O3/CP",$Q$14=B$18),IF(LEFT($Q49,1)="P",VLOOKUP(CONCATENATE(LEFT($Q49,2),"H"),$R$63:$T$91,3,FALSE),VLOOKUP($Q49,$R$63:$T$91,3,FALSE)))+IF(AND($Q49&lt;&gt;"",$Q49&lt;&gt;"O3/CP",$Q$15=B$18,MID($Q49,4,1)="2",$Q$15&lt;&gt;$Q$14),VLOOKUP(CONCATENATE(LEFT($Q49,2),"L"),$R$63:$T$91,3,FALSE),0)+IF(AND($Q49="O3/CP",$Q$14=B$18),VLOOKUP("O3",$R$63:$T$91,3,FALSE)+VLOOKUP("CP",$R$63:$T$91,3,FALSE),0)+IF(AND($R49&lt;&gt;"",$R49&lt;&gt;"--",$R49&lt;&gt;"O3/CP",$R$14=B$18),IF(LEFT($R49,1)="P",VLOOKUP(CONCATENATE(LEFT($R49,2),"H"),$R$63:$T$91,3,FALSE),VLOOKUP($R49,$R$63:$T$91,3,FALSE)))+IF(AND($R49&lt;&gt;"",$R49&lt;&gt;"O3/CP",$R$15=B$18,MID($R49,4,1)="2",$R$15&lt;&gt;$R$14),VLOOKUP(CONCATENATE(LEFT($R49,2),"L"),$R$63:$T$91,3,FALSE),0)+IF(AND($R49="O3/CP",$R$14=B$18),VLOOKUP("O3",$R$63:$T$91,3,FALSE)+VLOOKUP("CP",$R$63:$T$91,3,FALSE),0)+IF(AND($S49&lt;&gt;"",$S49&lt;&gt;"--",$S49&lt;&gt;"O3/CP",$S$14=B$18),IF(LEFT($S49,1)="P",VLOOKUP(CONCATENATE(LEFT($S49,2),"H"),$R$63:$T$91,3,FALSE),VLOOKUP($S49,$R$63:$T$91,3,FALSE)))+IF(AND($S49&lt;&gt;"",$S49&lt;&gt;"O3/CP",$S$15=B$18,MID($S49,4,1)="2",$S$15&lt;&gt;$S$14),VLOOKUP(CONCATENATE(LEFT($S49,2),"L"),$R$63:$T$91,3,FALSE),0)+IF(AND($S49="O3/CP",$S$14=B$18),VLOOKUP("O3",$R$63:$T$91,3,FALSE)+VLOOKUP("CP",$R$63:$T$91,3,FALSE),0)+IF(AND($T49&lt;&gt;"",$T49&lt;&gt;"--",$T49&lt;&gt;"O3/CP",$T$14=B$18),IF(LEFT($T49,1)="P",VLOOKUP(CONCATENATE(LEFT($T49,2),"H"),$R$63:$T$91,3,FALSE),VLOOKUP($T49,$R$63:$T$91,3,FALSE)))+IF(AND($T49&lt;&gt;"",$T49&lt;&gt;"O3/CP",$T$15=B$18,MID($T49,4,1)="2",$T$15&lt;&gt;$T$14),VLOOKUP(CONCATENATE(LEFT($T49,2),"L"),$R$63:$T$91,3,FALSE),0)+IF(AND($T49="O3/CP",$T$14=B$18),VLOOKUP("O3",$R$63:$T$91,3,FALSE)+VLOOKUP("CP",$R$63:$T$91,3,FALSE),0)+IF(AND($U49&lt;&gt;"",$U49&lt;&gt;"--",$U49&lt;&gt;"O3/CP",$U$14=B$18),IF(LEFT($U49,1)="P",VLOOKUP(CONCATENATE(LEFT($U49,2),"H"),$R$63:$T$91,3,FALSE),VLOOKUP($U49,$R$63:$T$91,3,FALSE)))+IF(AND($U49&lt;&gt;"",$U49&lt;&gt;"O3/CP",$U$15=B$18,MID($U49,4,1)="2",$U$15&lt;&gt;$U$14),VLOOKUP(CONCATENATE(LEFT($U49,2),"L"),$R$63:$T$91,3,FALSE),0)+IF(AND($U49="O3/CP",$T$14=B$18),VLOOKUP("O3",$R$63:$T$91,3,FALSE)+VLOOKUP("CP",$R$63:$T$91,3,FALSE),0)+IF(AND($V49&lt;&gt;"",$V49&lt;&gt;"--",$V49&lt;&gt;"O3/CP",$V$14=B$18),IF(LEFT($V49,1)="P",VLOOKUP(CONCATENATE(LEFT($V49,2),"H"),$R$63:$T$91,3,FALSE),VLOOKUP($V49,$R$63:$T$91,3,FALSE)))+IF(AND($V49&lt;&gt;"",$V49&lt;&gt;"O3/CP",$V$15=B$18,MID($V49,4,1)="2",$V$15&lt;&gt;$V$14),VLOOKUP(CONCATENATE(LEFT($V49,2),"L"),$R$63:$T$91,3,FALSE),0)+IF(AND($V49="O3/CP",$V$14=B$18),VLOOKUP("O3",$R$63:$T$91,3,FALSE)+VLOOKUP("CP",$R$63:$T$91,3,FALSE),0)+IF(AND($W49&lt;&gt;"",$W49&lt;&gt;"--",$W49&lt;&gt;"O3/CP",$W$14=B$18),IF(LEFT($W49,1)="P",VLOOKUP(CONCATENATE(LEFT($W49,2),"H"),$R$63:$T$91,3,FALSE),VLOOKUP($W49,$R$63:$T$91,3,FALSE)))+IF(AND($W49&lt;&gt;"",$W49&lt;&gt;"O3/CP",$W$15=B$18,MID($W49,4,1)="2",$W$15&lt;&gt;$W$14),VLOOKUP(CONCATENATE(LEFT($W49,2),"L"),$R$63:$T$91,3,FALSE),0)+IF(AND($W49="O3/CP",$W$14=B$18),VLOOKUP("O3",$R$63:$T$91,3,FALSE)+VLOOKUP("CP",$R$63:$T$91,3,FALSE),0)+IF(AND($X49&lt;&gt;"",$X49&lt;&gt;"--",$X49&lt;&gt;"O3/CP",$X$14=B$18),IF(LEFT($X49,1)="P",VLOOKUP(CONCATENATE(LEFT($X49,2),"H"),$R$63:$T$91,3,FALSE),VLOOKUP($X49,$R$63:$T$91,3,FALSE)))+IF(AND($X49&lt;&gt;"",$X49&lt;&gt;"O3/CP",$X$15=B$18,MID($X49,4,1)="2",$X$15&lt;&gt;$X$14),VLOOKUP(CONCATENATE(LEFT($X49,2),"L"),$R$63:$T$91,3,FALSE),0)+IF(AND($X49="O3/CP",$X$14=B$18),VLOOKUP("O3",$R$63:$T$91,3,FALSE)+VLOOKUP("CP",$R$63:$T$91,3,FALSE),0)+IF(AND($Y49&lt;&gt;"",$Y49&lt;&gt;"--",$Y49&lt;&gt;"O3/CP",$Y$14=B$18),IF(LEFT($Y49,1)="P",VLOOKUP(CONCATENATE(LEFT($Y49,2),"H"),$R$63:$T$91,3,FALSE),VLOOKUP($Y49,$R$63:$T$91,3,FALSE)))+IF(AND($Y49&lt;&gt;"",$Y49&lt;&gt;"O3/CP",$Y$15=B$18,MID($Y49,4,1)="2",$Y$15&lt;&gt;$Y$14),VLOOKUP(CONCATENATE(LEFT($Y49,2),"L"),$R$63:$T$91,3,FALSE),0)+IF(AND($Y49="O3/CP",$Y$14=B$18),VLOOKUP("O3",$R$63:$T$91,3,FALSE)+VLOOKUP("CP",$R$63:$T$91,3,FALSE),0)+IF(AND($K$6="CE",'[3]Supply Attribution'!$G$20=B$18),LEFT($S$90,2),0)+IF(AND($X$86&lt;&gt;"Not Set",$X$87=B$18),$X$86,0)</f>
        <v>0</v>
      </c>
      <c r="C49" s="271">
        <f>IF(AND($K49&lt;&gt;"",$K49&lt;&gt;"--",$K49&lt;&gt;"O3/CP",$K$14=C$18),IF(LEFT($K49,1)="P",VLOOKUP(CONCATENATE(LEFT($K49,2),"H"),$R$63:$T$91,3,FALSE),VLOOKUP($K49,$R$63:$T$91,3,FALSE)))+IF(AND($K49&lt;&gt;"",$K49&lt;&gt;"O3/CP",$K$15=C$18,MID($K49,4,1)="2",$K$15&lt;&gt;$K$14),VLOOKUP(CONCATENATE(LEFT($K49,2),"L"),$R$63:$T$91,3,FALSE),0)+IF(AND($K49="O3/CP",$K$14=C$18),VLOOKUP("O3",$R$63:$T$91,3,FALSE)+VLOOKUP("CP",$R$63:$T$91,3,FALSE),0)+IF(AND($L49&lt;&gt;"",$L49&lt;&gt;"--",$L49&lt;&gt;"O3/CP",$L$14=C$18),IF(LEFT($L49,1)="P",VLOOKUP(CONCATENATE(LEFT($L49,2),"H"),$R$63:$T$91,3,FALSE),VLOOKUP($L49,$R$63:$T$91,3,FALSE)))+IF(AND($L49&lt;&gt;"",$L49&lt;&gt;"O3/CP",$L$15=C$18,MID($L49,4,1)="2",$L$15&lt;&gt;$L$14),VLOOKUP(CONCATENATE(LEFT($L49,2),"L"),$R$63:$T$91,3,FALSE),0)+IF(AND($L49="O3/CP",$L$14=C$18),VLOOKUP("O3",$R$63:$T$91,3,FALSE)+VLOOKUP("CP",$R$63:$T$91,3,FALSE),0)+IF(AND($M49&lt;&gt;"",$M49&lt;&gt;"--",$M49&lt;&gt;"O3/CP",$M$14=C$18),IF(LEFT($M49,1)="P",VLOOKUP(CONCATENATE(LEFT($M49,2),"H"),$R$63:$T$91,3,FALSE),VLOOKUP($M49,$R$63:$T$91,3,FALSE)))+IF(AND($M49&lt;&gt;"",$M49&lt;&gt;"O3/CP",$M$15=C$18,MID($M49,4,1)="2",$M$15&lt;&gt;$M$14),VLOOKUP(CONCATENATE(LEFT($M49,2),"L"),$R$63:$T$91,3,FALSE),0)+IF(AND($M49="O3/CP",$M$14=C$18),VLOOKUP("O3",$R$63:$T$91,3,FALSE)+VLOOKUP("CP",$R$63:$T$91,3,FALSE),0)+IF(AND($N49&lt;&gt;"",$N49&lt;&gt;"--",$N49&lt;&gt;"O3/CP",$N$14=C$18),IF(LEFT($N49,1)="P",VLOOKUP(CONCATENATE(LEFT($N49,2),"H"),$R$63:$T$91,3,FALSE),VLOOKUP($N49,$R$63:$T$91,3,FALSE)))+IF(AND($N49&lt;&gt;"",$N49&lt;&gt;"O3/CP",$N$15=C$18,MID($N49,4,1)="2",$N$15&lt;&gt;$N$14),VLOOKUP(CONCATENATE(LEFT($N49,2),"L"),$R$63:$T$91,3,FALSE),0)+IF(AND($N49="O3/CP",$N$14=C$18),VLOOKUP("O3",$R$63:$T$91,3,FALSE)+VLOOKUP("CP",$R$63:$T$91,3,FALSE),0)+IF(AND($O49&lt;&gt;"",$O49&lt;&gt;"--",$O49&lt;&gt;"O3/CP",$O$14=C$18),IF(LEFT($O49,1)="P",VLOOKUP(CONCATENATE(LEFT($O49,2),"H"),$R$63:$T$91,3,FALSE),VLOOKUP($O49,$R$63:$T$91,3,FALSE)))+IF(AND($O49&lt;&gt;"",$O49&lt;&gt;"O3/CP",$O$15=C$18,MID($O49,4,1)="2",$O$15&lt;&gt;$O$14),VLOOKUP(CONCATENATE(LEFT($O49,2),"L"),$R$63:$T$91,3,FALSE),0)+IF(AND($O49="O3/CP",$O$14=C$18),VLOOKUP("O3",$R$63:$T$91,3,FALSE)+VLOOKUP("CP",$R$63:$T$91,3,FALSE),0)+IF(AND($P49&lt;&gt;"",$P49&lt;&gt;"--",$P49&lt;&gt;"O3/CP",$P$14=C$18),IF(LEFT($P49,1)="P",VLOOKUP(CONCATENATE(LEFT($P49,2),"H"),$R$63:$T$91,3,FALSE),VLOOKUP($P49,$R$63:$T$91,3,FALSE)))+IF(AND($P49&lt;&gt;"",$P49&lt;&gt;"O3/CP",$P$15=C$18,MID($P49,4,1)="2",$P$15&lt;&gt;$P$14),VLOOKUP(CONCATENATE(LEFT($P49,2),"L"),$R$63:$T$91,3,FALSE),0)+IF(AND($P49="O3/CP",$P$14=C$18),VLOOKUP("O3",$R$63:$T$91,3,FALSE)+VLOOKUP("CP",$R$63:$T$91,3,FALSE),0)+IF(AND($Q49&lt;&gt;"",$Q49&lt;&gt;"--",$Q49&lt;&gt;"O3/CP",$Q$14=C$18),IF(LEFT($Q49,1)="P",VLOOKUP(CONCATENATE(LEFT($Q49,2),"H"),$R$63:$T$91,3,FALSE),VLOOKUP($Q49,$R$63:$T$91,3,FALSE)))+IF(AND($Q49&lt;&gt;"",$Q49&lt;&gt;"O3/CP",$Q$15=C$18,MID($Q49,4,1)="2",$Q$15&lt;&gt;$Q$14),VLOOKUP(CONCATENATE(LEFT($Q49,2),"L"),$R$63:$T$91,3,FALSE),0)+IF(AND($Q49="O3/CP",$Q$14=C$18),VLOOKUP("O3",$R$63:$T$91,3,FALSE)+VLOOKUP("CP",$R$63:$T$91,3,FALSE),0)+IF(AND($R49&lt;&gt;"",$R49&lt;&gt;"--",$R49&lt;&gt;"O3/CP",$R$14=C$18),IF(LEFT($R49,1)="P",VLOOKUP(CONCATENATE(LEFT($R49,2),"H"),$R$63:$T$91,3,FALSE),VLOOKUP($R49,$R$63:$T$91,3,FALSE)))+IF(AND($R49&lt;&gt;"",$R49&lt;&gt;"O3/CP",$R$15=C$18,MID($R49,4,1)="2",$R$15&lt;&gt;$R$14),VLOOKUP(CONCATENATE(LEFT($R49,2),"L"),$R$63:$T$91,3,FALSE),0)+IF(AND($R49="O3/CP",$R$14=C$18),VLOOKUP("O3",$R$63:$T$91,3,FALSE)+VLOOKUP("CP",$R$63:$T$91,3,FALSE),0)+IF(AND($S49&lt;&gt;"",$S49&lt;&gt;"--",$S49&lt;&gt;"O3/CP",$S$14=C$18),IF(LEFT($S49,1)="P",VLOOKUP(CONCATENATE(LEFT($S49,2),"H"),$R$63:$T$91,3,FALSE),VLOOKUP($S49,$R$63:$T$91,3,FALSE)))+IF(AND($S49&lt;&gt;"",$S49&lt;&gt;"O3/CP",$S$15=C$18,MID($S49,4,1)="2",$S$15&lt;&gt;$S$14),VLOOKUP(CONCATENATE(LEFT($S49,2),"L"),$R$63:$T$91,3,FALSE),0)+IF(AND($S49="O3/CP",$S$14=C$18),VLOOKUP("O3",$R$63:$T$91,3,FALSE)+VLOOKUP("CP",$R$63:$T$91,3,FALSE),0)+IF(AND($T49&lt;&gt;"",$T49&lt;&gt;"--",$T49&lt;&gt;"O3/CP",$T$14=C$18),IF(LEFT($T49,1)="P",VLOOKUP(CONCATENATE(LEFT($T49,2),"H"),$R$63:$T$91,3,FALSE),VLOOKUP($T49,$R$63:$T$91,3,FALSE)))+IF(AND($T49&lt;&gt;"",$T49&lt;&gt;"O3/CP",$T$15=C$18,MID($T49,4,1)="2",$T$15&lt;&gt;$T$14),VLOOKUP(CONCATENATE(LEFT($T49,2),"L"),$R$63:$T$91,3,FALSE),0)+IF(AND($T49="O3/CP",$T$14=C$18),VLOOKUP("O3",$R$63:$T$91,3,FALSE)+VLOOKUP("CP",$R$63:$T$91,3,FALSE),0)+IF(AND($U49&lt;&gt;"",$U49&lt;&gt;"--",$U49&lt;&gt;"O3/CP",$U$14=C$18),IF(LEFT($U49,1)="P",VLOOKUP(CONCATENATE(LEFT($U49,2),"H"),$R$63:$T$91,3,FALSE),VLOOKUP($U49,$R$63:$T$91,3,FALSE)))+IF(AND($U49&lt;&gt;"",$U49&lt;&gt;"O3/CP",$U$15=C$18,MID($U49,4,1)="2",$U$15&lt;&gt;$U$14),VLOOKUP(CONCATENATE(LEFT($U49,2),"L"),$R$63:$T$91,3,FALSE),0)+IF(AND($U49="O3/CP",$T$14=C$18),VLOOKUP("O3",$R$63:$T$91,3,FALSE)+VLOOKUP("CP",$R$63:$T$91,3,FALSE),0)+IF(AND($V49&lt;&gt;"",$V49&lt;&gt;"--",$V49&lt;&gt;"O3/CP",$V$14=C$18),IF(LEFT($V49,1)="P",VLOOKUP(CONCATENATE(LEFT($V49,2),"H"),$R$63:$T$91,3,FALSE),VLOOKUP($V49,$R$63:$T$91,3,FALSE)))+IF(AND($V49&lt;&gt;"",$V49&lt;&gt;"O3/CP",$V$15=C$18,MID($V49,4,1)="2",$V$15&lt;&gt;$V$14),VLOOKUP(CONCATENATE(LEFT($V49,2),"L"),$R$63:$T$91,3,FALSE),0)+IF(AND($V49="O3/CP",$V$14=C$18),VLOOKUP("O3",$R$63:$T$91,3,FALSE)+VLOOKUP("CP",$R$63:$T$91,3,FALSE),0)+IF(AND($W49&lt;&gt;"",$W49&lt;&gt;"--",$W49&lt;&gt;"O3/CP",$W$14=C$18),IF(LEFT($W49,1)="P",VLOOKUP(CONCATENATE(LEFT($W49,2),"H"),$R$63:$T$91,3,FALSE),VLOOKUP($W49,$R$63:$T$91,3,FALSE)))+IF(AND($W49&lt;&gt;"",$W49&lt;&gt;"O3/CP",$W$15=C$18,MID($W49,4,1)="2",$W$15&lt;&gt;$W$14),VLOOKUP(CONCATENATE(LEFT($W49,2),"L"),$R$63:$T$91,3,FALSE),0)+IF(AND($W49="O3/CP",$W$14=C$18),VLOOKUP("O3",$R$63:$T$91,3,FALSE)+VLOOKUP("CP",$R$63:$T$91,3,FALSE),0)+IF(AND($X49&lt;&gt;"",$X49&lt;&gt;"--",$X49&lt;&gt;"O3/CP",$X$14=C$18),IF(LEFT($X49,1)="P",VLOOKUP(CONCATENATE(LEFT($X49,2),"H"),$R$63:$T$91,3,FALSE),VLOOKUP($X49,$R$63:$T$91,3,FALSE)))+IF(AND($X49&lt;&gt;"",$X49&lt;&gt;"O3/CP",$X$15=C$18,MID($X49,4,1)="2",$X$15&lt;&gt;$X$14),VLOOKUP(CONCATENATE(LEFT($X49,2),"L"),$R$63:$T$91,3,FALSE),0)+IF(AND($X49="O3/CP",$X$14=C$18),VLOOKUP("O3",$R$63:$T$91,3,FALSE)+VLOOKUP("CP",$R$63:$T$91,3,FALSE),0)+IF(AND($Y49&lt;&gt;"",$Y49&lt;&gt;"--",$Y49&lt;&gt;"O3/CP",$Y$14=C$18),IF(LEFT($Y49,1)="P",VLOOKUP(CONCATENATE(LEFT($Y49,2),"H"),$R$63:$T$91,3,FALSE),VLOOKUP($Y49,$R$63:$T$91,3,FALSE)))+IF(AND($Y49&lt;&gt;"",$Y49&lt;&gt;"O3/CP",$Y$15=C$18,MID($Y49,4,1)="2",$Y$15&lt;&gt;$Y$14),VLOOKUP(CONCATENATE(LEFT($Y49,2),"L"),$R$63:$T$91,3,FALSE),0)+IF(AND($Y49="O3/CP",$Y$14=C$18),VLOOKUP("O3",$R$63:$T$91,3,FALSE)+VLOOKUP("CP",$R$63:$T$91,3,FALSE),0)+IF(AND($K$6="CE",'[3]Supply Attribution'!$G$20=C$18),LEFT($S$90,2),0)+IF(AND($X$86&lt;&gt;"Not Set",$X$87=C$18),$X$86,0)</f>
        <v>0</v>
      </c>
      <c r="D49" s="271">
        <f>IF(AND($K49&lt;&gt;"",$K49&lt;&gt;"--",$K49&lt;&gt;"O3/CP",$K$14=D$18),IF(LEFT($K49,1)="P",VLOOKUP(CONCATENATE(LEFT($K49,2),"H"),$R$63:$T$91,3,FALSE),VLOOKUP($K49,$R$63:$T$91,3,FALSE)))+IF(AND($K49&lt;&gt;"",$K49&lt;&gt;"O3/CP",$K$15=D$18,MID($K49,4,1)="2",$K$15&lt;&gt;$K$14),VLOOKUP(CONCATENATE(LEFT($K49,2),"L"),$R$63:$T$91,3,FALSE),0)+IF(AND($K49="O3/CP",$K$14=D$18),VLOOKUP("O3",$R$63:$T$91,3,FALSE)+VLOOKUP("CP",$R$63:$T$91,3,FALSE),0)+IF(AND($L49&lt;&gt;"",$L49&lt;&gt;"--",$L49&lt;&gt;"O3/CP",$L$14=D$18),IF(LEFT($L49,1)="P",VLOOKUP(CONCATENATE(LEFT($L49,2),"H"),$R$63:$T$91,3,FALSE),VLOOKUP($L49,$R$63:$T$91,3,FALSE)))+IF(AND($L49&lt;&gt;"",$L49&lt;&gt;"O3/CP",$L$15=D$18,MID($L49,4,1)="2",$L$15&lt;&gt;$L$14),VLOOKUP(CONCATENATE(LEFT($L49,2),"L"),$R$63:$T$91,3,FALSE),0)+IF(AND($L49="O3/CP",$L$14=D$18),VLOOKUP("O3",$R$63:$T$91,3,FALSE)+VLOOKUP("CP",$R$63:$T$91,3,FALSE),0)+IF(AND($M49&lt;&gt;"",$M49&lt;&gt;"--",$M49&lt;&gt;"O3/CP",$M$14=D$18),IF(LEFT($M49,1)="P",VLOOKUP(CONCATENATE(LEFT($M49,2),"H"),$R$63:$T$91,3,FALSE),VLOOKUP($M49,$R$63:$T$91,3,FALSE)))+IF(AND($M49&lt;&gt;"",$M49&lt;&gt;"O3/CP",$M$15=D$18,MID($M49,4,1)="2",$M$15&lt;&gt;$M$14),VLOOKUP(CONCATENATE(LEFT($M49,2),"L"),$R$63:$T$91,3,FALSE),0)+IF(AND($M49="O3/CP",$M$14=D$18),VLOOKUP("O3",$R$63:$T$91,3,FALSE)+VLOOKUP("CP",$R$63:$T$91,3,FALSE),0)+IF(AND($N49&lt;&gt;"",$N49&lt;&gt;"--",$N49&lt;&gt;"O3/CP",$N$14=D$18),IF(LEFT($N49,1)="P",VLOOKUP(CONCATENATE(LEFT($N49,2),"H"),$R$63:$T$91,3,FALSE),VLOOKUP($N49,$R$63:$T$91,3,FALSE)))+IF(AND($N49&lt;&gt;"",$N49&lt;&gt;"O3/CP",$N$15=D$18,MID($N49,4,1)="2",$N$15&lt;&gt;$N$14),VLOOKUP(CONCATENATE(LEFT($N49,2),"L"),$R$63:$T$91,3,FALSE),0)+IF(AND($N49="O3/CP",$N$14=D$18),VLOOKUP("O3",$R$63:$T$91,3,FALSE)+VLOOKUP("CP",$R$63:$T$91,3,FALSE),0)+IF(AND($O49&lt;&gt;"",$O49&lt;&gt;"--",$O49&lt;&gt;"O3/CP",$O$14=D$18),IF(LEFT($O49,1)="P",VLOOKUP(CONCATENATE(LEFT($O49,2),"H"),$R$63:$T$91,3,FALSE),VLOOKUP($O49,$R$63:$T$91,3,FALSE)))+IF(AND($O49&lt;&gt;"",$O49&lt;&gt;"O3/CP",$O$15=D$18,MID($O49,4,1)="2",$O$15&lt;&gt;$O$14),VLOOKUP(CONCATENATE(LEFT($O49,2),"L"),$R$63:$T$91,3,FALSE),0)+IF(AND($O49="O3/CP",$O$14=D$18),VLOOKUP("O3",$R$63:$T$91,3,FALSE)+VLOOKUP("CP",$R$63:$T$91,3,FALSE),0)+IF(AND($P49&lt;&gt;"",$P49&lt;&gt;"--",$P49&lt;&gt;"O3/CP",$P$14=D$18),IF(LEFT($P49,1)="P",VLOOKUP(CONCATENATE(LEFT($P49,2),"H"),$R$63:$T$91,3,FALSE),VLOOKUP($P49,$R$63:$T$91,3,FALSE)))+IF(AND($P49&lt;&gt;"",$P49&lt;&gt;"O3/CP",$P$15=D$18,MID($P49,4,1)="2",$P$15&lt;&gt;$P$14),VLOOKUP(CONCATENATE(LEFT($P49,2),"L"),$R$63:$T$91,3,FALSE),0)+IF(AND($P49="O3/CP",$P$14=D$18),VLOOKUP("O3",$R$63:$T$91,3,FALSE)+VLOOKUP("CP",$R$63:$T$91,3,FALSE),0)+IF(AND($Q49&lt;&gt;"",$Q49&lt;&gt;"--",$Q49&lt;&gt;"O3/CP",$Q$14=D$18),IF(LEFT($Q49,1)="P",VLOOKUP(CONCATENATE(LEFT($Q49,2),"H"),$R$63:$T$91,3,FALSE),VLOOKUP($Q49,$R$63:$T$91,3,FALSE)))+IF(AND($Q49&lt;&gt;"",$Q49&lt;&gt;"O3/CP",$Q$15=D$18,MID($Q49,4,1)="2",$Q$15&lt;&gt;$Q$14),VLOOKUP(CONCATENATE(LEFT($Q49,2),"L"),$R$63:$T$91,3,FALSE),0)+IF(AND($Q49="O3/CP",$Q$14=D$18),VLOOKUP("O3",$R$63:$T$91,3,FALSE)+VLOOKUP("CP",$R$63:$T$91,3,FALSE),0)+IF(AND($R49&lt;&gt;"",$R49&lt;&gt;"--",$R49&lt;&gt;"O3/CP",$R$14=D$18),IF(LEFT($R49,1)="P",VLOOKUP(CONCATENATE(LEFT($R49,2),"H"),$R$63:$T$91,3,FALSE),VLOOKUP($R49,$R$63:$T$91,3,FALSE)))+IF(AND($R49&lt;&gt;"",$R49&lt;&gt;"O3/CP",$R$15=D$18,MID($R49,4,1)="2",$R$15&lt;&gt;$R$14),VLOOKUP(CONCATENATE(LEFT($R49,2),"L"),$R$63:$T$91,3,FALSE),0)+IF(AND($R49="O3/CP",$R$14=D$18),VLOOKUP("O3",$R$63:$T$91,3,FALSE)+VLOOKUP("CP",$R$63:$T$91,3,FALSE),0)+IF(AND($S49&lt;&gt;"",$S49&lt;&gt;"--",$S49&lt;&gt;"O3/CP",$S$14=D$18),IF(LEFT($S49,1)="P",VLOOKUP(CONCATENATE(LEFT($S49,2),"H"),$R$63:$T$91,3,FALSE),VLOOKUP($S49,$R$63:$T$91,3,FALSE)))+IF(AND($S49&lt;&gt;"",$S49&lt;&gt;"O3/CP",$S$15=D$18,MID($S49,4,1)="2",$S$15&lt;&gt;$S$14),VLOOKUP(CONCATENATE(LEFT($S49,2),"L"),$R$63:$T$91,3,FALSE),0)+IF(AND($S49="O3/CP",$S$14=D$18),VLOOKUP("O3",$R$63:$T$91,3,FALSE)+VLOOKUP("CP",$R$63:$T$91,3,FALSE),0)+IF(AND($T49&lt;&gt;"",$T49&lt;&gt;"--",$T49&lt;&gt;"O3/CP",$T$14=D$18),IF(LEFT($T49,1)="P",VLOOKUP(CONCATENATE(LEFT($T49,2),"H"),$R$63:$T$91,3,FALSE),VLOOKUP($T49,$R$63:$T$91,3,FALSE)))+IF(AND($T49&lt;&gt;"",$T49&lt;&gt;"O3/CP",$T$15=D$18,MID($T49,4,1)="2",$T$15&lt;&gt;$T$14),VLOOKUP(CONCATENATE(LEFT($T49,2),"L"),$R$63:$T$91,3,FALSE),0)+IF(AND($T49="O3/CP",$T$14=D$18),VLOOKUP("O3",$R$63:$T$91,3,FALSE)+VLOOKUP("CP",$R$63:$T$91,3,FALSE),0)+IF(AND($U49&lt;&gt;"",$U49&lt;&gt;"--",$U49&lt;&gt;"O3/CP",$U$14=D$18),IF(LEFT($U49,1)="P",VLOOKUP(CONCATENATE(LEFT($U49,2),"H"),$R$63:$T$91,3,FALSE),VLOOKUP($U49,$R$63:$T$91,3,FALSE)))+IF(AND($U49&lt;&gt;"",$U49&lt;&gt;"O3/CP",$U$15=D$18,MID($U49,4,1)="2",$U$15&lt;&gt;$U$14),VLOOKUP(CONCATENATE(LEFT($U49,2),"L"),$R$63:$T$91,3,FALSE),0)+IF(AND($U49="O3/CP",$T$14=D$18),VLOOKUP("O3",$R$63:$T$91,3,FALSE)+VLOOKUP("CP",$R$63:$T$91,3,FALSE),0)+IF(AND($V49&lt;&gt;"",$V49&lt;&gt;"--",$V49&lt;&gt;"O3/CP",$V$14=D$18),IF(LEFT($V49,1)="P",VLOOKUP(CONCATENATE(LEFT($V49,2),"H"),$R$63:$T$91,3,FALSE),VLOOKUP($V49,$R$63:$T$91,3,FALSE)))+IF(AND($V49&lt;&gt;"",$V49&lt;&gt;"O3/CP",$V$15=D$18,MID($V49,4,1)="2",$V$15&lt;&gt;$V$14),VLOOKUP(CONCATENATE(LEFT($V49,2),"L"),$R$63:$T$91,3,FALSE),0)+IF(AND($V49="O3/CP",$V$14=D$18),VLOOKUP("O3",$R$63:$T$91,3,FALSE)+VLOOKUP("CP",$R$63:$T$91,3,FALSE),0)+IF(AND($W49&lt;&gt;"",$W49&lt;&gt;"--",$W49&lt;&gt;"O3/CP",$W$14=D$18),IF(LEFT($W49,1)="P",VLOOKUP(CONCATENATE(LEFT($W49,2),"H"),$R$63:$T$91,3,FALSE),VLOOKUP($W49,$R$63:$T$91,3,FALSE)))+IF(AND($W49&lt;&gt;"",$W49&lt;&gt;"O3/CP",$W$15=D$18,MID($W49,4,1)="2",$W$15&lt;&gt;$W$14),VLOOKUP(CONCATENATE(LEFT($W49,2),"L"),$R$63:$T$91,3,FALSE),0)+IF(AND($W49="O3/CP",$W$14=D$18),VLOOKUP("O3",$R$63:$T$91,3,FALSE)+VLOOKUP("CP",$R$63:$T$91,3,FALSE),0)+IF(AND($X49&lt;&gt;"",$X49&lt;&gt;"--",$X49&lt;&gt;"O3/CP",$X$14=D$18),IF(LEFT($X49,1)="P",VLOOKUP(CONCATENATE(LEFT($X49,2),"H"),$R$63:$T$91,3,FALSE),VLOOKUP($X49,$R$63:$T$91,3,FALSE)))+IF(AND($X49&lt;&gt;"",$X49&lt;&gt;"O3/CP",$X$15=D$18,MID($X49,4,1)="2",$X$15&lt;&gt;$X$14),VLOOKUP(CONCATENATE(LEFT($X49,2),"L"),$R$63:$T$91,3,FALSE),0)+IF(AND($X49="O3/CP",$X$14=D$18),VLOOKUP("O3",$R$63:$T$91,3,FALSE)+VLOOKUP("CP",$R$63:$T$91,3,FALSE),0)+IF(AND($Y49&lt;&gt;"",$Y49&lt;&gt;"--",$Y49&lt;&gt;"O3/CP",$Y$14=D$18),IF(LEFT($Y49,1)="P",VLOOKUP(CONCATENATE(LEFT($Y49,2),"H"),$R$63:$T$91,3,FALSE),VLOOKUP($Y49,$R$63:$T$91,3,FALSE)))+IF(AND($Y49&lt;&gt;"",$Y49&lt;&gt;"O3/CP",$Y$15=D$18,MID($Y49,4,1)="2",$Y$15&lt;&gt;$Y$14),VLOOKUP(CONCATENATE(LEFT($Y49,2),"L"),$R$63:$T$91,3,FALSE),0)+IF(AND($Y49="O3/CP",$Y$14=D$18),VLOOKUP("O3",$R$63:$T$91,3,FALSE)+VLOOKUP("CP",$R$63:$T$91,3,FALSE),0)+IF(AND($K$6="CE",'[3]Supply Attribution'!$G$20=D$18),LEFT($S$90,2),0)+IF(AND($X$86&lt;&gt;"Not Set",$X$87=D$18),$X$86,0)</f>
        <v>0</v>
      </c>
      <c r="E49" s="271">
        <f>IF(AND($K49&lt;&gt;"",$K49&lt;&gt;"--",$K49&lt;&gt;"O3/CP",$K$14=E$18),IF(LEFT($K49,1)="P",VLOOKUP(CONCATENATE(LEFT($K49,2),"H"),$R$63:$T$91,3,FALSE),VLOOKUP($K49,$R$63:$T$91,3,FALSE)))+IF(AND($K49&lt;&gt;"",$K49&lt;&gt;"O3/CP",$K$15=E$18,MID($K49,4,1)="2",$K$15&lt;&gt;$K$14),VLOOKUP(CONCATENATE(LEFT($K49,2),"L"),$R$63:$T$91,3,FALSE),0)+IF(AND($K49="O3/CP",$K$14=E$18),VLOOKUP("O3",$R$63:$T$91,3,FALSE)+VLOOKUP("CP",$R$63:$T$91,3,FALSE),0)+IF(AND($L49&lt;&gt;"",$L49&lt;&gt;"--",$L49&lt;&gt;"O3/CP",$L$14=E$18),IF(LEFT($L49,1)="P",VLOOKUP(CONCATENATE(LEFT($L49,2),"H"),$R$63:$T$91,3,FALSE),VLOOKUP($L49,$R$63:$T$91,3,FALSE)))+IF(AND($L49&lt;&gt;"",$L49&lt;&gt;"O3/CP",$L$15=E$18,MID($L49,4,1)="2",$L$15&lt;&gt;$L$14),VLOOKUP(CONCATENATE(LEFT($L49,2),"L"),$R$63:$T$91,3,FALSE),0)+IF(AND($L49="O3/CP",$L$14=E$18),VLOOKUP("O3",$R$63:$T$91,3,FALSE)+VLOOKUP("CP",$R$63:$T$91,3,FALSE),0)+IF(AND($M49&lt;&gt;"",$M49&lt;&gt;"--",$M49&lt;&gt;"O3/CP",$M$14=E$18),IF(LEFT($M49,1)="P",VLOOKUP(CONCATENATE(LEFT($M49,2),"H"),$R$63:$T$91,3,FALSE),VLOOKUP($M49,$R$63:$T$91,3,FALSE)))+IF(AND($M49&lt;&gt;"",$M49&lt;&gt;"O3/CP",$M$15=E$18,MID($M49,4,1)="2",$M$15&lt;&gt;$M$14),VLOOKUP(CONCATENATE(LEFT($M49,2),"L"),$R$63:$T$91,3,FALSE),0)+IF(AND($M49="O3/CP",$M$14=E$18),VLOOKUP("O3",$R$63:$T$91,3,FALSE)+VLOOKUP("CP",$R$63:$T$91,3,FALSE),0)+IF(AND($N49&lt;&gt;"",$N49&lt;&gt;"--",$N49&lt;&gt;"O3/CP",$N$14=E$18),IF(LEFT($N49,1)="P",VLOOKUP(CONCATENATE(LEFT($N49,2),"H"),$R$63:$T$91,3,FALSE),VLOOKUP($N49,$R$63:$T$91,3,FALSE)))+IF(AND($N49&lt;&gt;"",$N49&lt;&gt;"O3/CP",$N$15=E$18,MID($N49,4,1)="2",$N$15&lt;&gt;$N$14),VLOOKUP(CONCATENATE(LEFT($N49,2),"L"),$R$63:$T$91,3,FALSE),0)+IF(AND($N49="O3/CP",$N$14=E$18),VLOOKUP("O3",$R$63:$T$91,3,FALSE)+VLOOKUP("CP",$R$63:$T$91,3,FALSE),0)+IF(AND($O49&lt;&gt;"",$O49&lt;&gt;"--",$O49&lt;&gt;"O3/CP",$O$14=E$18),IF(LEFT($O49,1)="P",VLOOKUP(CONCATENATE(LEFT($O49,2),"H"),$R$63:$T$91,3,FALSE),VLOOKUP($O49,$R$63:$T$91,3,FALSE)))+IF(AND($O49&lt;&gt;"",$O49&lt;&gt;"O3/CP",$O$15=E$18,MID($O49,4,1)="2",$O$15&lt;&gt;$O$14),VLOOKUP(CONCATENATE(LEFT($O49,2),"L"),$R$63:$T$91,3,FALSE),0)+IF(AND($O49="O3/CP",$O$14=E$18),VLOOKUP("O3",$R$63:$T$91,3,FALSE)+VLOOKUP("CP",$R$63:$T$91,3,FALSE),0)+IF(AND($P49&lt;&gt;"",$P49&lt;&gt;"--",$P49&lt;&gt;"O3/CP",$P$14=E$18),IF(LEFT($P49,1)="P",VLOOKUP(CONCATENATE(LEFT($P49,2),"H"),$R$63:$T$91,3,FALSE),VLOOKUP($P49,$R$63:$T$91,3,FALSE)))+IF(AND($P49&lt;&gt;"",$P49&lt;&gt;"O3/CP",$P$15=E$18,MID($P49,4,1)="2",$P$15&lt;&gt;$P$14),VLOOKUP(CONCATENATE(LEFT($P49,2),"L"),$R$63:$T$91,3,FALSE),0)+IF(AND($P49="O3/CP",$P$14=E$18),VLOOKUP("O3",$R$63:$T$91,3,FALSE)+VLOOKUP("CP",$R$63:$T$91,3,FALSE),0)+IF(AND($Q49&lt;&gt;"",$Q49&lt;&gt;"--",$Q49&lt;&gt;"O3/CP",$Q$14=E$18),IF(LEFT($Q49,1)="P",VLOOKUP(CONCATENATE(LEFT($Q49,2),"H"),$R$63:$T$91,3,FALSE),VLOOKUP($Q49,$R$63:$T$91,3,FALSE)))+IF(AND($Q49&lt;&gt;"",$Q49&lt;&gt;"O3/CP",$Q$15=E$18,MID($Q49,4,1)="2",$Q$15&lt;&gt;$Q$14),VLOOKUP(CONCATENATE(LEFT($Q49,2),"L"),$R$63:$T$91,3,FALSE),0)+IF(AND($Q49="O3/CP",$Q$14=E$18),VLOOKUP("O3",$R$63:$T$91,3,FALSE)+VLOOKUP("CP",$R$63:$T$91,3,FALSE),0)+IF(AND($R49&lt;&gt;"",$R49&lt;&gt;"--",$R49&lt;&gt;"O3/CP",$R$14=E$18),IF(LEFT($R49,1)="P",VLOOKUP(CONCATENATE(LEFT($R49,2),"H"),$R$63:$T$91,3,FALSE),VLOOKUP($R49,$R$63:$T$91,3,FALSE)))+IF(AND($R49&lt;&gt;"",$R49&lt;&gt;"O3/CP",$R$15=E$18,MID($R49,4,1)="2",$R$15&lt;&gt;$R$14),VLOOKUP(CONCATENATE(LEFT($R49,2),"L"),$R$63:$T$91,3,FALSE),0)+IF(AND($R49="O3/CP",$R$14=E$18),VLOOKUP("O3",$R$63:$T$91,3,FALSE)+VLOOKUP("CP",$R$63:$T$91,3,FALSE),0)+IF(AND($S49&lt;&gt;"",$S49&lt;&gt;"--",$S49&lt;&gt;"O3/CP",$S$14=E$18),IF(LEFT($S49,1)="P",VLOOKUP(CONCATENATE(LEFT($S49,2),"H"),$R$63:$T$91,3,FALSE),VLOOKUP($S49,$R$63:$T$91,3,FALSE)))+IF(AND($S49&lt;&gt;"",$S49&lt;&gt;"O3/CP",$S$15=E$18,MID($S49,4,1)="2",$S$15&lt;&gt;$S$14),VLOOKUP(CONCATENATE(LEFT($S49,2),"L"),$R$63:$T$91,3,FALSE),0)+IF(AND($S49="O3/CP",$S$14=E$18),VLOOKUP("O3",$R$63:$T$91,3,FALSE)+VLOOKUP("CP",$R$63:$T$91,3,FALSE),0)+IF(AND($T49&lt;&gt;"",$T49&lt;&gt;"--",$T49&lt;&gt;"O3/CP",$T$14=E$18),IF(LEFT($T49,1)="P",VLOOKUP(CONCATENATE(LEFT($T49,2),"H"),$R$63:$T$91,3,FALSE),VLOOKUP($T49,$R$63:$T$91,3,FALSE)))+IF(AND($T49&lt;&gt;"",$T49&lt;&gt;"O3/CP",$T$15=E$18,MID($T49,4,1)="2",$T$15&lt;&gt;$T$14),VLOOKUP(CONCATENATE(LEFT($T49,2),"L"),$R$63:$T$91,3,FALSE),0)+IF(AND($T49="O3/CP",$T$14=E$18),VLOOKUP("O3",$R$63:$T$91,3,FALSE)+VLOOKUP("CP",$R$63:$T$91,3,FALSE),0)+IF(AND($U49&lt;&gt;"",$U49&lt;&gt;"--",$U49&lt;&gt;"O3/CP",$U$14=E$18),IF(LEFT($U49,1)="P",VLOOKUP(CONCATENATE(LEFT($U49,2),"H"),$R$63:$T$91,3,FALSE),VLOOKUP($U49,$R$63:$T$91,3,FALSE)))+IF(AND($U49&lt;&gt;"",$U49&lt;&gt;"O3/CP",$U$15=E$18,MID($U49,4,1)="2",$U$15&lt;&gt;$U$14),VLOOKUP(CONCATENATE(LEFT($U49,2),"L"),$R$63:$T$91,3,FALSE),0)+IF(AND($U49="O3/CP",$T$14=E$18),VLOOKUP("O3",$R$63:$T$91,3,FALSE)+VLOOKUP("CP",$R$63:$T$91,3,FALSE),0)+IF(AND($V49&lt;&gt;"",$V49&lt;&gt;"--",$V49&lt;&gt;"O3/CP",$V$14=E$18),IF(LEFT($V49,1)="P",VLOOKUP(CONCATENATE(LEFT($V49,2),"H"),$R$63:$T$91,3,FALSE),VLOOKUP($V49,$R$63:$T$91,3,FALSE)))+IF(AND($V49&lt;&gt;"",$V49&lt;&gt;"O3/CP",$V$15=E$18,MID($V49,4,1)="2",$V$15&lt;&gt;$V$14),VLOOKUP(CONCATENATE(LEFT($V49,2),"L"),$R$63:$T$91,3,FALSE),0)+IF(AND($V49="O3/CP",$V$14=E$18),VLOOKUP("O3",$R$63:$T$91,3,FALSE)+VLOOKUP("CP",$R$63:$T$91,3,FALSE),0)+IF(AND($W49&lt;&gt;"",$W49&lt;&gt;"--",$W49&lt;&gt;"O3/CP",$W$14=E$18),IF(LEFT($W49,1)="P",VLOOKUP(CONCATENATE(LEFT($W49,2),"H"),$R$63:$T$91,3,FALSE),VLOOKUP($W49,$R$63:$T$91,3,FALSE)))+IF(AND($W49&lt;&gt;"",$W49&lt;&gt;"O3/CP",$W$15=E$18,MID($W49,4,1)="2",$W$15&lt;&gt;$W$14),VLOOKUP(CONCATENATE(LEFT($W49,2),"L"),$R$63:$T$91,3,FALSE),0)+IF(AND($W49="O3/CP",$W$14=E$18),VLOOKUP("O3",$R$63:$T$91,3,FALSE)+VLOOKUP("CP",$R$63:$T$91,3,FALSE),0)+IF(AND($X49&lt;&gt;"",$X49&lt;&gt;"--",$X49&lt;&gt;"O3/CP",$X$14=E$18),IF(LEFT($X49,1)="P",VLOOKUP(CONCATENATE(LEFT($X49,2),"H"),$R$63:$T$91,3,FALSE),VLOOKUP($X49,$R$63:$T$91,3,FALSE)))+IF(AND($X49&lt;&gt;"",$X49&lt;&gt;"O3/CP",$X$15=E$18,MID($X49,4,1)="2",$X$15&lt;&gt;$X$14),VLOOKUP(CONCATENATE(LEFT($X49,2),"L"),$R$63:$T$91,3,FALSE),0)+IF(AND($X49="O3/CP",$X$14=E$18),VLOOKUP("O3",$R$63:$T$91,3,FALSE)+VLOOKUP("CP",$R$63:$T$91,3,FALSE),0)+IF(AND($Y49&lt;&gt;"",$Y49&lt;&gt;"--",$Y49&lt;&gt;"O3/CP",$Y$14=E$18),IF(LEFT($Y49,1)="P",VLOOKUP(CONCATENATE(LEFT($Y49,2),"H"),$R$63:$T$91,3,FALSE),VLOOKUP($Y49,$R$63:$T$91,3,FALSE)))+IF(AND($Y49&lt;&gt;"",$Y49&lt;&gt;"O3/CP",$Y$15=E$18,MID($Y49,4,1)="2",$Y$15&lt;&gt;$Y$14),VLOOKUP(CONCATENATE(LEFT($Y49,2),"L"),$R$63:$T$91,3,FALSE),0)+IF(AND($Y49="O3/CP",$Y$14=E$18),VLOOKUP("O3",$R$63:$T$91,3,FALSE)+VLOOKUP("CP",$R$63:$T$91,3,FALSE),0)+IF(AND($K$6="CE",'[3]Supply Attribution'!$G$20=E$18),LEFT($S$90,2),0)+IF(AND($X$86&lt;&gt;"Not Set",$X$87=E$18),$X$86,0)</f>
        <v>0</v>
      </c>
      <c r="F49" s="272">
        <f>IF(AND($K49&lt;&gt;"",$K49&lt;&gt;"--",$K49&lt;&gt;"O3/CP",$K$14=F$18),IF(LEFT($K49,1)="P",VLOOKUP(CONCATENATE(LEFT($K49,2),"H"),$R$63:$T$91,3,FALSE),VLOOKUP($K49,$R$63:$T$91,3,FALSE)))+IF(AND($K49&lt;&gt;"",$K49&lt;&gt;"O3/CP",$K$15=F$18,MID($K49,4,1)="2",$K$15&lt;&gt;$K$14),VLOOKUP(CONCATENATE(LEFT($K49,2),"L"),$R$63:$T$91,3,FALSE),0)+IF(AND($K49="O3/CP",$K$14=F$18),VLOOKUP("O3",$R$63:$T$91,3,FALSE)+VLOOKUP("CP",$R$63:$T$91,3,FALSE),0)+IF(AND($L49&lt;&gt;"",$L49&lt;&gt;"--",$L49&lt;&gt;"O3/CP",$L$14=F$18),IF(LEFT($L49,1)="P",VLOOKUP(CONCATENATE(LEFT($L49,2),"H"),$R$63:$T$91,3,FALSE),VLOOKUP($L49,$R$63:$T$91,3,FALSE)))+IF(AND($L49&lt;&gt;"",$L49&lt;&gt;"O3/CP",$L$15=F$18,MID($L49,4,1)="2",$L$15&lt;&gt;$L$14),VLOOKUP(CONCATENATE(LEFT($L49,2),"L"),$R$63:$T$91,3,FALSE),0)+IF(AND($L49="O3/CP",$L$14=F$18),VLOOKUP("O3",$R$63:$T$91,3,FALSE)+VLOOKUP("CP",$R$63:$T$91,3,FALSE),0)+IF(AND($M49&lt;&gt;"",$M49&lt;&gt;"--",$M49&lt;&gt;"O3/CP",$M$14=F$18),IF(LEFT($M49,1)="P",VLOOKUP(CONCATENATE(LEFT($M49,2),"H"),$R$63:$T$91,3,FALSE),VLOOKUP($M49,$R$63:$T$91,3,FALSE)))+IF(AND($M49&lt;&gt;"",$M49&lt;&gt;"O3/CP",$M$15=F$18,MID($M49,4,1)="2",$M$15&lt;&gt;$M$14),VLOOKUP(CONCATENATE(LEFT($M49,2),"L"),$R$63:$T$91,3,FALSE),0)+IF(AND($M49="O3/CP",$M$14=F$18),VLOOKUP("O3",$R$63:$T$91,3,FALSE)+VLOOKUP("CP",$R$63:$T$91,3,FALSE),0)+IF(AND($N49&lt;&gt;"",$N49&lt;&gt;"--",$N49&lt;&gt;"O3/CP",$N$14=F$18),IF(LEFT($N49,1)="P",VLOOKUP(CONCATENATE(LEFT($N49,2),"H"),$R$63:$T$91,3,FALSE),VLOOKUP($N49,$R$63:$T$91,3,FALSE)))+IF(AND($N49&lt;&gt;"",$N49&lt;&gt;"O3/CP",$N$15=F$18,MID($N49,4,1)="2",$N$15&lt;&gt;$N$14),VLOOKUP(CONCATENATE(LEFT($N49,2),"L"),$R$63:$T$91,3,FALSE),0)+IF(AND($N49="O3/CP",$N$14=F$18),VLOOKUP("O3",$R$63:$T$91,3,FALSE)+VLOOKUP("CP",$R$63:$T$91,3,FALSE),0)+IF(AND($O49&lt;&gt;"",$O49&lt;&gt;"--",$O49&lt;&gt;"O3/CP",$O$14=F$18),IF(LEFT($O49,1)="P",VLOOKUP(CONCATENATE(LEFT($O49,2),"H"),$R$63:$T$91,3,FALSE),VLOOKUP($O49,$R$63:$T$91,3,FALSE)))+IF(AND($O49&lt;&gt;"",$O49&lt;&gt;"O3/CP",$O$15=F$18,MID($O49,4,1)="2",$O$15&lt;&gt;$O$14),VLOOKUP(CONCATENATE(LEFT($O49,2),"L"),$R$63:$T$91,3,FALSE),0)+IF(AND($O49="O3/CP",$O$14=F$18),VLOOKUP("O3",$R$63:$T$91,3,FALSE)+VLOOKUP("CP",$R$63:$T$91,3,FALSE),0)+IF(AND($P49&lt;&gt;"",$P49&lt;&gt;"--",$P49&lt;&gt;"O3/CP",$P$14=F$18),IF(LEFT($P49,1)="P",VLOOKUP(CONCATENATE(LEFT($P49,2),"H"),$R$63:$T$91,3,FALSE),VLOOKUP($P49,$R$63:$T$91,3,FALSE)))+IF(AND($P49&lt;&gt;"",$P49&lt;&gt;"O3/CP",$P$15=F$18,MID($P49,4,1)="2",$P$15&lt;&gt;$P$14),VLOOKUP(CONCATENATE(LEFT($P49,2),"L"),$R$63:$T$91,3,FALSE),0)+IF(AND($P49="O3/CP",$P$14=F$18),VLOOKUP("O3",$R$63:$T$91,3,FALSE)+VLOOKUP("CP",$R$63:$T$91,3,FALSE),0)+IF(AND($Q49&lt;&gt;"",$Q49&lt;&gt;"--",$Q49&lt;&gt;"O3/CP",$Q$14=F$18),IF(LEFT($Q49,1)="P",VLOOKUP(CONCATENATE(LEFT($Q49,2),"H"),$R$63:$T$91,3,FALSE),VLOOKUP($Q49,$R$63:$T$91,3,FALSE)))+IF(AND($Q49&lt;&gt;"",$Q49&lt;&gt;"O3/CP",$Q$15=F$18,MID($Q49,4,1)="2",$Q$15&lt;&gt;$Q$14),VLOOKUP(CONCATENATE(LEFT($Q49,2),"L"),$R$63:$T$91,3,FALSE),0)+IF(AND($Q49="O3/CP",$Q$14=F$18),VLOOKUP("O3",$R$63:$T$91,3,FALSE)+VLOOKUP("CP",$R$63:$T$91,3,FALSE),0)+IF(AND($R49&lt;&gt;"",$R49&lt;&gt;"--",$R49&lt;&gt;"O3/CP",$R$14=F$18),IF(LEFT($R49,1)="P",VLOOKUP(CONCATENATE(LEFT($R49,2),"H"),$R$63:$T$91,3,FALSE),VLOOKUP($R49,$R$63:$T$91,3,FALSE)))+IF(AND($R49&lt;&gt;"",$R49&lt;&gt;"O3/CP",$R$15=F$18,MID($R49,4,1)="2",$R$15&lt;&gt;$R$14),VLOOKUP(CONCATENATE(LEFT($R49,2),"L"),$R$63:$T$91,3,FALSE),0)+IF(AND($R49="O3/CP",$R$14=F$18),VLOOKUP("O3",$R$63:$T$91,3,FALSE)+VLOOKUP("CP",$R$63:$T$91,3,FALSE),0)+IF(AND($S49&lt;&gt;"",$S49&lt;&gt;"--",$S49&lt;&gt;"O3/CP",$S$14=F$18),IF(LEFT($S49,1)="P",VLOOKUP(CONCATENATE(LEFT($S49,2),"H"),$R$63:$T$91,3,FALSE),VLOOKUP($S49,$R$63:$T$91,3,FALSE)))+IF(AND($S49&lt;&gt;"",$S49&lt;&gt;"O3/CP",$S$15=F$18,MID($S49,4,1)="2",$S$15&lt;&gt;$S$14),VLOOKUP(CONCATENATE(LEFT($S49,2),"L"),$R$63:$T$91,3,FALSE),0)+IF(AND($S49="O3/CP",$S$14=F$18),VLOOKUP("O3",$R$63:$T$91,3,FALSE)+VLOOKUP("CP",$R$63:$T$91,3,FALSE),0)+IF(AND($T49&lt;&gt;"",$T49&lt;&gt;"--",$T49&lt;&gt;"O3/CP",$T$14=F$18),IF(LEFT($T49,1)="P",VLOOKUP(CONCATENATE(LEFT($T49,2),"H"),$R$63:$T$91,3,FALSE),VLOOKUP($T49,$R$63:$T$91,3,FALSE)))+IF(AND($T49&lt;&gt;"",$T49&lt;&gt;"O3/CP",$T$15=F$18,MID($T49,4,1)="2",$T$15&lt;&gt;$T$14),VLOOKUP(CONCATENATE(LEFT($T49,2),"L"),$R$63:$T$91,3,FALSE),0)+IF(AND($T49="O3/CP",$T$14=F$18),VLOOKUP("O3",$R$63:$T$91,3,FALSE)+VLOOKUP("CP",$R$63:$T$91,3,FALSE),0)+IF(AND($U49&lt;&gt;"",$U49&lt;&gt;"--",$U49&lt;&gt;"O3/CP",$U$14=F$18),IF(LEFT($U49,1)="P",VLOOKUP(CONCATENATE(LEFT($U49,2),"H"),$R$63:$T$91,3,FALSE),VLOOKUP($U49,$R$63:$T$91,3,FALSE)))+IF(AND($U49&lt;&gt;"",$U49&lt;&gt;"O3/CP",$U$15=F$18,MID($U49,4,1)="2",$U$15&lt;&gt;$U$14),VLOOKUP(CONCATENATE(LEFT($U49,2),"L"),$R$63:$T$91,3,FALSE),0)+IF(AND($U49="O3/CP",$T$14=F$18),VLOOKUP("O3",$R$63:$T$91,3,FALSE)+VLOOKUP("CP",$R$63:$T$91,3,FALSE),0)+IF(AND($V49&lt;&gt;"",$V49&lt;&gt;"--",$V49&lt;&gt;"O3/CP",$V$14=F$18),IF(LEFT($V49,1)="P",VLOOKUP(CONCATENATE(LEFT($V49,2),"H"),$R$63:$T$91,3,FALSE),VLOOKUP($V49,$R$63:$T$91,3,FALSE)))+IF(AND($V49&lt;&gt;"",$V49&lt;&gt;"O3/CP",$V$15=F$18,MID($V49,4,1)="2",$V$15&lt;&gt;$V$14),VLOOKUP(CONCATENATE(LEFT($V49,2),"L"),$R$63:$T$91,3,FALSE),0)+IF(AND($V49="O3/CP",$V$14=F$18),VLOOKUP("O3",$R$63:$T$91,3,FALSE)+VLOOKUP("CP",$R$63:$T$91,3,FALSE),0)+IF(AND($W49&lt;&gt;"",$W49&lt;&gt;"--",$W49&lt;&gt;"O3/CP",$W$14=F$18),IF(LEFT($W49,1)="P",VLOOKUP(CONCATENATE(LEFT($W49,2),"H"),$R$63:$T$91,3,FALSE),VLOOKUP($W49,$R$63:$T$91,3,FALSE)))+IF(AND($W49&lt;&gt;"",$W49&lt;&gt;"O3/CP",$W$15=F$18,MID($W49,4,1)="2",$W$15&lt;&gt;$W$14),VLOOKUP(CONCATENATE(LEFT($W49,2),"L"),$R$63:$T$91,3,FALSE),0)+IF(AND($W49="O3/CP",$W$14=F$18),VLOOKUP("O3",$R$63:$T$91,3,FALSE)+VLOOKUP("CP",$R$63:$T$91,3,FALSE),0)+IF(AND($X49&lt;&gt;"",$X49&lt;&gt;"--",$X49&lt;&gt;"O3/CP",$X$14=F$18),IF(LEFT($X49,1)="P",VLOOKUP(CONCATENATE(LEFT($X49,2),"H"),$R$63:$T$91,3,FALSE),VLOOKUP($X49,$R$63:$T$91,3,FALSE)))+IF(AND($X49&lt;&gt;"",$X49&lt;&gt;"O3/CP",$X$15=F$18,MID($X49,4,1)="2",$X$15&lt;&gt;$X$14),VLOOKUP(CONCATENATE(LEFT($X49,2),"L"),$R$63:$T$91,3,FALSE),0)+IF(AND($X49="O3/CP",$X$14=F$18),VLOOKUP("O3",$R$63:$T$91,3,FALSE)+VLOOKUP("CP",$R$63:$T$91,3,FALSE),0)+IF(AND($Y49&lt;&gt;"",$Y49&lt;&gt;"--",$Y49&lt;&gt;"O3/CP",$Y$14=F$18),IF(LEFT($Y49,1)="P",VLOOKUP(CONCATENATE(LEFT($Y49,2),"H"),$R$63:$T$91,3,FALSE),VLOOKUP($Y49,$R$63:$T$91,3,FALSE)))+IF(AND($Y49&lt;&gt;"",$Y49&lt;&gt;"O3/CP",$Y$15=F$18,MID($Y49,4,1)="2",$Y$15&lt;&gt;$Y$14),VLOOKUP(CONCATENATE(LEFT($Y49,2),"L"),$R$63:$T$91,3,FALSE),0)+IF(AND($Y49="O3/CP",$Y$14=F$18),VLOOKUP("O3",$R$63:$T$91,3,FALSE)+VLOOKUP("CP",$R$63:$T$91,3,FALSE),0)+IF(AND($K$6="CE",'[3]Supply Attribution'!$G$20=F$18),LEFT($S$90,2),0)+IF(AND($X$86&lt;&gt;"Not Set",$X$87=F$18),$X$86,0)</f>
        <v>0</v>
      </c>
      <c r="G49" s="271">
        <f>IF(AND($K$6="CE",$T$59="1 Phase"),SUM(A49:F49)-IF(AND($K$14&lt;&gt;$K$15,RIGHT($K49,3)="2SP"),VLOOKUP(CONCATENATE(LEFT($K49,2),"L"),$R$63:$T$90,3,FALSE),0)-IF(AND($L$14&lt;&gt;$L$15,RIGHT($L49,3)="2SP"),VLOOKUP(CONCATENATE(LEFT($L49,2),"L"),$R$63:$T$90,3,FALSE),0)-IF(AND($M$14&lt;&gt;$M$15,RIGHT($M49,3)="2SP"),VLOOKUP(CONCATENATE(LEFT($M49,2),"L"),$R$63:$T$90,3,FALSE),0)-IF(AND($N$14&lt;&gt;$N$15,RIGHT($N49,3)="2SP"),VLOOKUP(CONCATENATE(LEFT($N49,2),"L"),$R$63:$T$90,3,FALSE),0)-IF(AND($O$14&lt;&gt;$O$15,RIGHT($O49,3)="2SP"),VLOOKUP(CONCATENATE(LEFT($O49,2),"L"),$R$63:$T$90,3,FALSE),0)-IF(AND($P$14&lt;&gt;$P$15,RIGHT($P49,3)="2SP"),VLOOKUP(CONCATENATE(LEFT($P49,2),"L"),$R$63:$T$90,3,FALSE),0)-IF(AND($Q$14&lt;&gt;$Q$15,RIGHT($Q49,3)="2SP"),VLOOKUP(CONCATENATE(LEFT($Q49,2),"L"),$R$63:$T$90,3,FALSE),0)-IF(AND($R$14&lt;&gt;$R$15,RIGHT($T49,3)="2SP"),VLOOKUP(CONCATENATE(LEFT($R49,2),"L"),$R$63:$T$90,3,FALSE),0)-IF(AND($S$14&lt;&gt;$S$15,RIGHT($T49,3)="2SP"),VLOOKUP(CONCATENATE(LEFT($S49,2),"L"),$R$63:$T$90,3,FALSE),0)-IF(AND($T$14&lt;&gt;$T$15,RIGHT($T49,3)="2SP"),VLOOKUP(CONCATENATE(LEFT($T49,2),"L"),$R$63:$T$90,3,FALSE),0)-IF(AND($U$14&lt;&gt;$U$15,RIGHT($U49,3)="2SP"),VLOOKUP(CONCATENATE(LEFT($U49,2),"L"),$R$63:$T$90,3,FALSE),0)-IF(AND($V$14&lt;&gt;$V$15,RIGHT($V49,3)="2SP"),VLOOKUP(CONCATENATE(LEFT($V49,2),"L"),$R$63:$T$90,3,FALSE),0)-IF(AND($W$14&lt;&gt;$W$15,RIGHT($W49,3)="2SP"),VLOOKUP(CONCATENATE(LEFT($W49,2),"L"),$R$63:$T$90,3,FALSE),0)-IF(AND($X$14&lt;&gt;$X$15,RIGHT($X49,3)="2SP"),VLOOKUP(CONCATENATE(LEFT($X49,2),"L"),$R$63:$T$90,3,FALSE),0)-IF(AND($Y$14&lt;&gt;$Y$15,RIGHT($Y49,3)="2SP"),VLOOKUP(CONCATENATE(LEFT($Y49,2),"L"),$R$63:$T$90,3,FALSE),0),IF(VLOOKUP(CONCATENATE($A$18,"Line"),'[3]Supply Attribution'!$F$31:$G$37,2,FALSE)=G$18,$A49,0)+IF(VLOOKUP(CONCATENATE($B$18,"Line"),'[3]Supply Attribution'!$F$31:$G$37,2,FALSE)=G$18,$B49,0)+IF(VLOOKUP(CONCATENATE($C$18,"Line"),'[3]Supply Attribution'!$F$31:$G$37,2,FALSE)=G$18,$C49,0)+IF(VLOOKUP(CONCATENATE($D$18,"Line"),'[3]Supply Attribution'!$F$31:$G$37,2,FALSE)=G$18,$D49,0)+IF(VLOOKUP(CONCATENATE($E$18,"Line"),'[3]Supply Attribution'!$F$31:$G$37,2,FALSE)=G$18,$E49,0)+IF(VLOOKUP(CONCATENATE($F$18,"Line"),'[3]Supply Attribution'!$F$31:$G$37,2,FALSE)=G$18,$F49,0)+IF($K$6="UL",LEFT($S$90,2),0)-IF(AND($K$16=G$18,$K$14&lt;&gt;$K$15,$K$16=$K$17,RIGHT($K49,3)="2SP"),VLOOKUP(CONCATENATE(LEFT($K49,2),"L"),$R$63:$T$90,3,FALSE),0)-IF(AND($L$16=G$18,$L$14&lt;&gt;$L$15,$L$16=$L$17,RIGHT($L49,3)="2SP"),VLOOKUP(CONCATENATE(LEFT($L49,2),"L"),$R$63:$T$90,3,FALSE),0)-IF(AND($M$16=G$18,$M$14&lt;&gt;$M$15,$M$16=$M$17,RIGHT($M49,3)="2SP"),VLOOKUP(CONCATENATE(LEFT($M49,2),"L"),$R$63:$T$90,3,FALSE),0)-IF(AND($N$16=G$18,$N$14&lt;&gt;$N$15,$N$16=$N$17,RIGHT($N49,3)="2SP"),VLOOKUP(CONCATENATE(LEFT($N49,2),"L"),$R$63:$T$90,3,FALSE),0)-IF(AND($O$16=G$18,$O$14&lt;&gt;$O$15,$O$16=$O$17,RIGHT($O49,3)="2SP"),VLOOKUP(CONCATENATE(LEFT($O49,2),"L"),$R$63:$T$90,3,FALSE),0)-IF(AND($P$16=G$18,$P$14&lt;&gt;$P$15,$P$16=$P$17,RIGHT($P49,3)="2SP"),VLOOKUP(CONCATENATE(LEFT($P49,2),"L"),$R$63:$T$90,3,FALSE),0)-IF(AND($Q$16=G$18,$Q$14&lt;&gt;$Q$15,$Q$16=$Q$17,RIGHT($Q49,3)="2SP"),VLOOKUP(CONCATENATE(LEFT($Q49,2),"L"),$R$63:$T$90,3,FALSE),0)-IF(AND($R$16=G$18,$R$14&lt;&gt;$R$15,$R$16=$R$17,RIGHT($R49,3)="2SP"),VLOOKUP(CONCATENATE(LEFT($R49,2),"L"),$R$63:$T$90,3,FALSE),0)-IF(AND($S$16=G$18,$S$14&lt;&gt;$S$15,$S$16=$S$17,RIGHT($S49,3)="2SP"),VLOOKUP(CONCATENATE(LEFT($S49,2),"L"),$R$63:$T$90,3,FALSE),0)-IF(AND($T$16=G$18,$T$14&lt;&gt;$T$15,$T$16=$T$17,RIGHT($T49,3)="2SP"),VLOOKUP(CONCATENATE(LEFT($T49,2),"L"),$R$63:$T$90,3,FALSE),0)-IF(AND($U$16=G$18,$U$14&lt;&gt;$U$15,$U$16=$U$17,RIGHT($U49,3)="2SP"),VLOOKUP(CONCATENATE(LEFT($U49,2),"L"),$R$63:$T$90,3,FALSE),0)-IF(AND($V$16=G$18,$V$14&lt;&gt;$V$15,$V$16=$V$17,RIGHT($V49,3)="2SP"),VLOOKUP(CONCATENATE(LEFT($V49,2),"L"),$R$63:$T$90,3,FALSE),0)-IF(AND($W$16=G$18,$W$14&lt;&gt;$W$15,$W$16=$W$17,RIGHT($W49,3)="2SP"),VLOOKUP(CONCATENATE(LEFT($W49,2),"L"),$R$63:$T$90,3,FALSE),0)-IF(AND($X$16=G$18,$X$14&lt;&gt;$X$15,$X$16=$X$17,RIGHT($X49,3)="2SP"),VLOOKUP(CONCATENATE(LEFT($X49,2),"L"),$R$63:$T$90,3,FALSE),0)-IF(AND($Y$16=G$18,$Y$14&lt;&gt;$Y$15,$Y$16=$Y$17,RIGHT($Y49,3)="2SP"),VLOOKUP(CONCATENATE(LEFT($Y49,2),"L"),$R$63:$T$90,3,FALSE),0))</f>
        <v>17</v>
      </c>
      <c r="H49" s="271" t="str">
        <f>IF(H$18&lt;&gt;"",IF(VLOOKUP(CONCATENATE($A$18,"Line"),'Supply Attribution'!$F$31:$G$37,2,FALSE)=H$18,$A49,0)+IF(VLOOKUP(CONCATENATE($B$18,"Line"),'Supply Attribution'!$F$31:$G$37,2,FALSE)=H$18,$B49,0)+IF(VLOOKUP(CONCATENATE($C$18,"Line"),'Supply Attribution'!$F$31:$G$37,2,FALSE)=H$18,$C49,0)+IF(VLOOKUP(CONCATENATE($D$18,"Line"),'Supply Attribution'!$F$31:$G$37,2,FALSE)=H$18,$D49,0)+IF(VLOOKUP(CONCATENATE($E$18,"Line"),'Supply Attribution'!$F$31:$G$37,2,FALSE)=H$18,$E49,0)+IF(VLOOKUP(CONCATENATE($F$18,"Line"),'Supply Attribution'!$F$31:$G$37,2,FALSE)=H$18,$F49,0)+IF($K$6="UL",LEFT($S$90,2),0)-IF(AND($K$16=H$18,$K$14&lt;&gt;$K$15,$K$16=$K$17,RIGHT($K49,3)="2SP"),VLOOKUP(CONCATENATE(LEFT($K49,2),"L"),$R$63:$T$90,3,FALSE),0)-IF(AND($L$16=H$18,$L$14&lt;&gt;$L$15,$L$16=$L$17,RIGHT($L49,3)="2SP"),VLOOKUP(CONCATENATE(LEFT($L49,2),"L"),$R$63:$T$90,3,FALSE),0)-IF(AND($M$16=H$18,$M$14&lt;&gt;$M$15,$M$16=$M$17,RIGHT($M49,3)="2SP"),VLOOKUP(CONCATENATE(LEFT($M49,2),"L"),$R$63:$T$90,3,FALSE),0)-IF(AND($N$16=H$18,$N$14&lt;&gt;$N$15,$N$16=$N$17,RIGHT($N49,3)="2SP"),VLOOKUP(CONCATENATE(LEFT($N49,2),"L"),$R$63:$T$90,3,FALSE),0)-IF(AND($O$16=H$18,$O$14&lt;&gt;$O$15,$O$16=$O$17,RIGHT($O49,3)="2SP"),VLOOKUP(CONCATENATE(LEFT($O49,2),"L"),$R$63:$T$90,3,FALSE),0)-IF(AND($P$16=H$18,$P$14&lt;&gt;$P$15,$P$16=$P$17,RIGHT($P49,3)="2SP"),VLOOKUP(CONCATENATE(LEFT($P49,2),"L"),$R$63:$T$90,3,FALSE),0)-IF(AND($Q$16=H$18,$Q$14&lt;&gt;$Q$15,$Q$16=$Q$17,RIGHT($Q49,3)="2SP"),VLOOKUP(CONCATENATE(LEFT($Q49,2),"L"),$R$63:$T$90,3,FALSE),0)-IF(AND($T$16=H$18,$T$14&lt;&gt;$T$15,$T$16=$T$17,RIGHT($T49,3)="2SP"),VLOOKUP(CONCATENATE(LEFT($T49,2),"L"),$R$63:$T$90,3,FALSE),0)-IF(AND($U$16=H$18,$U$14&lt;&gt;$U$15,$U$16=$U$17,RIGHT($U49,3)="2SP"),VLOOKUP(CONCATENATE(LEFT($U49,2),"L"),$R$63:$T$90,3,FALSE),0)-IF(AND($V$16=H$18,$V$14&lt;&gt;$V$15,$V$16=$V$17,RIGHT($V49,3)="2SP"),VLOOKUP(CONCATENATE(LEFT($V49,2),"L"),$R$63:$T$90,3,FALSE),0)-IF(AND($W$16=H$18,$W$14&lt;&gt;$W$15,$W$16=$W$17,RIGHT($W49,3)="2SP"),VLOOKUP(CONCATENATE(LEFT($W49,2),"L"),$R$63:$T$90,3,FALSE),0)-IF(AND($X$16=H$18,$X$14&lt;&gt;$X$15,$X$16=$X$17,RIGHT($X49,3)="2SP"),VLOOKUP(CONCATENATE(LEFT($X49,2),"L"),$R$63:$T$90,3,FALSE),0)-IF(AND($Y$16=H$18,$Y$14&lt;&gt;$Y$15,$Y$16=$Y$17,RIGHT($Y49,3)="2SP"),VLOOKUP(CONCATENATE(LEFT($Y49,2),"L"),$R$63:$T$90,3,FALSE),0)+IF(AND($K$6="CE",$T$59="2 Phases",H$18&lt;&gt;""),IF(VLOOKUP(CONCATENATE($A$18,"Line"),'Supply Attribution'!$F$31:$G$37,2,FALSE)="Line3",$A49,0)+IF(VLOOKUP(CONCATENATE($B$18,"Line"),'Supply Attribution'!$F$31:$G$37,2,FALSE)="Line3",$B49,0)+IF(VLOOKUP(CONCATENATE($C$18,"Line"),'Supply Attribution'!$F$31:$G$37,2,FALSE)="Line3",$C49,0)+IF(VLOOKUP(CONCATENATE($D$18,"Line"),'Supply Attribution'!$F$31:$G$37,2,FALSE)="Line3",$D49,0)+IF(VLOOKUP(CONCATENATE($E$18,"Line"),'Supply Attribution'!$F$31:$G$37,2,FALSE)="Line3",$E49,0)+IF(VLOOKUP(CONCATENATE($F$18,"Line"),'Supply Attribution'!$F$31:$G$37,2,FALSE)="Line3",$F49,0)-IF(AND($K$16=I$18,$K$14&lt;&gt;$K$15,$K$16=$K$17,RIGHT($K49,3)="2SP"),VLOOKUP(CONCATENATE(LEFT($K49,2),"L"),$R$63:$T$90,3,FALSE),0)-IF(AND($L$16=I$18,$L$14&lt;&gt;$L$15,$L$16=$L$17,RIGHT($L49,3)="2SP"),VLOOKUP(CONCATENATE(LEFT($L49,2),"L"),$R$63:$T$90,3,FALSE),0)-IF(AND($M$16=I$18,$M$14&lt;&gt;$M$15,$M$16=$M$17,RIGHT($M49,3)="2SP"),VLOOKUP(CONCATENATE(LEFT($M49,2),"L"),$R$63:$T$90,3,FALSE),0)-IF(AND($N$16=I$18,$N$14&lt;&gt;$N$15,$N$16=$N$17,RIGHT($N49,3)="2SP"),VLOOKUP(CONCATENATE(LEFT($N49,2),"L"),$R$63:$T$90,3,FALSE),0)-IF(AND($O$16=I$18,$O$14&lt;&gt;$O$15,$O$16=$O$17,RIGHT($O49,3)="2SP"),VLOOKUP(CONCATENATE(LEFT($O49,2),"L"),$R$63:$T$90,3,FALSE),0)-IF(AND($P$16=I$18,$P$14&lt;&gt;$P$15,$P$16=$P$17,RIGHT($P49,3)="2SP"),VLOOKUP(CONCATENATE(LEFT($P49,2),"L"),$R$63:$T$90,3,FALSE),0)-IF(AND($Q$16=I$18,$Q$14&lt;&gt;$Q$15,$Q$16=$Q$17,RIGHT($Q49,3)="2SP"),VLOOKUP(CONCATENATE(LEFT($Q49,2),"L"),$R$63:$T$90,3,FALSE),0)-IF(AND($T$16=I$18,$T$14&lt;&gt;$T$15,$T$16=$T$17,RIGHT($T49,3)="2SP"),VLOOKUP(CONCATENATE(LEFT($T49,2),"L"),$R$63:$T$90,3,FALSE),0)-IF(AND($U$16=I$18,$U$14&lt;&gt;$U$15,$U$16=$U$17,RIGHT($U49,3)="2SP"),VLOOKUP(CONCATENATE(LEFT($U49,2),"L"),$R$63:$T$90,3,FALSE),0)-IF(AND($V$16=I$18,$V$14&lt;&gt;$V$15,$V$16=$V$17,RIGHT($V49,3)="2SP"),VLOOKUP(CONCATENATE(LEFT($V49,2),"L"),$R$63:$T$90,3,FALSE),0)-IF(AND($W$16=I$18,$W$14&lt;&gt;$W$15,$W$16=$W$17,RIGHT($W49,3)="2SP"),VLOOKUP(CONCATENATE(LEFT($W49,2),"L"),$R$63:$T$90,3,FALSE),0)-IF(AND($X$16=I$18,$X$14&lt;&gt;$X$15,$X$16=$X$17,RIGHT($X49,3)="2SP"),VLOOKUP(CONCATENATE(LEFT($X49,2),"L"),$R$63:$T$90,3,FALSE),0)-IF(AND($Y$16=I$18,$Y$14&lt;&gt;$Y$15,$Y$16=$Y$17,RIGHT($Y49,3)="2SP"),VLOOKUP(CONCATENATE(LEFT($Y49,2),"L"),$R$63:$T$90,3,FALSE),0),0),"")</f>
        <v/>
      </c>
      <c r="I49" s="271" t="str">
        <f>IF(I$18&lt;&gt;"",IF(VLOOKUP(CONCATENATE($A$18,"Line"),'Supply Attribution'!$F$31:$G$37,2,FALSE)=I$18,$A49,0)+IF(VLOOKUP(CONCATENATE($B$18,"Line"),'Supply Attribution'!$F$31:$G$37,2,FALSE)=I$18,$B49,0)+IF(VLOOKUP(CONCATENATE($C$18,"Line"),'Supply Attribution'!$F$31:$G$37,2,FALSE)=I$18,$C49,0)+IF(VLOOKUP(CONCATENATE($D$18,"Line"),'Supply Attribution'!$F$31:$G$37,2,FALSE)=I$18,$D49,0)+IF(VLOOKUP(CONCATENATE($E$18,"Line"),'Supply Attribution'!$F$31:$G$37,2,FALSE)=I$18,$E49,0)+IF(VLOOKUP(CONCATENATE($F$18,"Line"),'Supply Attribution'!$F$31:$G$37,2,FALSE)=I$18,$F49,0)+IF($K$6="UL",LEFT($S$90,2),0)-IF(AND($K$16=I$18,$K$14&lt;&gt;$K$15,$K$16=$K$17,RIGHT($K49,3)="2SP"),VLOOKUP(CONCATENATE(LEFT($K49,2),"L"),$R$63:$T$90,3,FALSE),0)-IF(AND($L$16=I$18,$L$14&lt;&gt;$L$15,$L$16=$L$17,RIGHT($L49,3)="2SP"),VLOOKUP(CONCATENATE(LEFT($L49,2),"L"),$R$63:$T$90,3,FALSE),0)-IF(AND($M$16=I$18,$M$14&lt;&gt;$M$15,$M$16=$M$17,RIGHT($M49,3)="2SP"),VLOOKUP(CONCATENATE(LEFT($M49,2),"L"),$R$63:$T$90,3,FALSE),0)-IF(AND($N$16=I$18,$N$14&lt;&gt;$N$15,$N$16=$N$17,RIGHT($N49,3)="2SP"),VLOOKUP(CONCATENATE(LEFT($N49,2),"L"),$R$63:$T$90,3,FALSE),0)-IF(AND($O$16=I$18,$O$14&lt;&gt;$O$15,$O$16=$O$17,RIGHT($O49,3)="2SP"),VLOOKUP(CONCATENATE(LEFT($O49,2),"L"),$R$63:$T$90,3,FALSE),0)-IF(AND($P$16=I$18,$P$14&lt;&gt;$P$15,$P$16=$P$17,RIGHT($P49,3)="2SP"),VLOOKUP(CONCATENATE(LEFT($P49,2),"L"),$R$63:$T$90,3,FALSE),0)-IF(AND($Q$16=I$18,$Q$14&lt;&gt;$Q$15,$Q$16=$Q$17,RIGHT($Q49,3)="2SP"),VLOOKUP(CONCATENATE(LEFT($Q49,2),"L"),$R$63:$T$90,3,FALSE),0)-IF(AND($T$16=I$18,$T$14&lt;&gt;$T$15,$T$16=$T$17,RIGHT($T49,3)="2SP"),VLOOKUP(CONCATENATE(LEFT($T49,2),"L"),$R$63:$T$90,3,FALSE),0)-IF(AND($U$16=I$18,$U$14&lt;&gt;$U$15,$U$16=$U$17,RIGHT($U49,3)="2SP"),VLOOKUP(CONCATENATE(LEFT($U49,2),"L"),$R$63:$T$90,3,FALSE),0)-IF(AND($V$16=I$18,$V$14&lt;&gt;$V$15,$V$16=$V$17,RIGHT($V49,3)="2SP"),VLOOKUP(CONCATENATE(LEFT($V49,2),"L"),$R$63:$T$90,3,FALSE),0)-IF(AND($W$16=I$18,$W$14&lt;&gt;$W$15,$W$16=$W$17,RIGHT($W49,3)="2SP"),VLOOKUP(CONCATENATE(LEFT($W49,2),"L"),$R$63:$T$90,3,FALSE),0)-IF(AND($X$16=I$18,$X$14&lt;&gt;$X$15,$X$16=$X$17,RIGHT($X49,3)="2SP"),VLOOKUP(CONCATENATE(LEFT($X49,2),"L"),$R$63:$T$90,3,FALSE),0)-IF(AND($Y$16=I$18,$Y$14&lt;&gt;$Y$15,$Y$16=$Y$17,RIGHT($Y49,3)="2SP"),VLOOKUP(CONCATENATE(LEFT($Y49,2),"L"),$R$63:$T$90,3,FALSE),0),"")</f>
        <v/>
      </c>
      <c r="J49" s="129"/>
      <c r="K49" s="130"/>
      <c r="L49" s="130"/>
      <c r="M49" s="130"/>
      <c r="N49" s="130"/>
      <c r="O49" s="130"/>
      <c r="P49" s="130"/>
      <c r="Q49" s="130"/>
      <c r="R49" s="130"/>
      <c r="S49" s="130"/>
      <c r="T49" s="130"/>
      <c r="U49" s="130"/>
      <c r="V49" s="130"/>
      <c r="W49" s="130"/>
      <c r="X49" s="130"/>
      <c r="Y49" s="130"/>
      <c r="Z49" s="131"/>
      <c r="AA49" s="131"/>
      <c r="AB49" s="132"/>
      <c r="AC49" s="132"/>
      <c r="AD49" s="132"/>
      <c r="AE49" s="133">
        <f t="shared" si="0"/>
        <v>0</v>
      </c>
      <c r="AF49" s="78"/>
    </row>
    <row r="50" spans="1:32">
      <c r="A50" s="270">
        <f>IF(AND($K50&lt;&gt;"",$K50&lt;&gt;"--",$K50&lt;&gt;"O3/CP",$K$14=A$18),IF(LEFT($K50,1)="P",VLOOKUP(CONCATENATE(LEFT($K50,2),"H"),$R$63:$T$91,3,FALSE),VLOOKUP($K50,$R$63:$T$91,3,FALSE)))+IF(AND($K50&lt;&gt;"",$K50&lt;&gt;"O3/CP",$K$15=A$18,MID($K50,4,1)="2",$K$15&lt;&gt;$K$14),VLOOKUP(CONCATENATE(LEFT($K50,2),"L"),$R$63:$T$91,3,FALSE),0)+IF(AND($K50="O3/CP",$K$14=A$18),VLOOKUP("O3",$R$63:$T$91,3,FALSE)+VLOOKUP("CP",$R$63:$T$91,3,FALSE),0)+IF(AND($L50&lt;&gt;"",$L50&lt;&gt;"--",$L50&lt;&gt;"O3/CP",$L$14=A$18),IF(LEFT($L50,1)="P",VLOOKUP(CONCATENATE(LEFT($L50,2),"H"),$R$63:$T$91,3,FALSE),VLOOKUP($L50,$R$63:$T$91,3,FALSE)))+IF(AND($L50&lt;&gt;"",$L50&lt;&gt;"O3/CP",$L$15=A$18,MID($L50,4,1)="2",$L$15&lt;&gt;$L$14),VLOOKUP(CONCATENATE(LEFT($L50,2),"L"),$R$63:$T$91,3,FALSE),0)+IF(AND($L50="O3/CP",$L$14=A$18),VLOOKUP("O3",$R$63:$T$91,3,FALSE)+VLOOKUP("CP",$R$63:$T$91,3,FALSE),0)+IF(AND($M50&lt;&gt;"",$M50&lt;&gt;"--",$M50&lt;&gt;"O3/CP",$M$14=A$18),IF(LEFT($M50,1)="P",VLOOKUP(CONCATENATE(LEFT($M50,2),"H"),$R$63:$T$91,3,FALSE),VLOOKUP($M50,$R$63:$T$91,3,FALSE)))+IF(AND($M50&lt;&gt;"",$M50&lt;&gt;"O3/CP",$M$15=A$18,MID($M50,4,1)="2",$M$15&lt;&gt;$M$14),VLOOKUP(CONCATENATE(LEFT($M50,2),"L"),$R$63:$T$91,3,FALSE),0)+IF(AND($M50="O3/CP",$M$14=A$18),VLOOKUP("O3",$R$63:$T$91,3,FALSE)+VLOOKUP("CP",$R$63:$T$91,3,FALSE),0)+IF(AND($N50&lt;&gt;"",$N50&lt;&gt;"--",$N50&lt;&gt;"O3/CP",$N$14=A$18),IF(LEFT($N50,1)="P",VLOOKUP(CONCATENATE(LEFT($N50,2),"H"),$R$63:$T$91,3,FALSE),VLOOKUP($N50,$R$63:$T$91,3,FALSE)))+IF(AND($N50&lt;&gt;"",$N50&lt;&gt;"O3/CP",$N$15=A$18,MID($N50,4,1)="2",$N$15&lt;&gt;$N$14),VLOOKUP(CONCATENATE(LEFT($N50,2),"L"),$R$63:$T$91,3,FALSE),0)+IF(AND($N50="O3/CP",$N$14=A$18),VLOOKUP("O3",$R$63:$T$91,3,FALSE)+VLOOKUP("CP",$R$63:$T$91,3,FALSE),0)+IF(AND($O50&lt;&gt;"",$O50&lt;&gt;"--",$O50&lt;&gt;"O3/CP",$O$14=A$18),IF(LEFT($O50,1)="P",VLOOKUP(CONCATENATE(LEFT($O50,2),"H"),$R$63:$T$91,3,FALSE),VLOOKUP($O50,$R$63:$T$91,3,FALSE)))+IF(AND($O50&lt;&gt;"",$O50&lt;&gt;"O3/CP",$O$15=A$18,MID($O50,4,1)="2",$O$15&lt;&gt;$O$14),VLOOKUP(CONCATENATE(LEFT($O50,2),"L"),$R$63:$T$91,3,FALSE),0)+IF(AND($O50="O3/CP",$O$14=A$18),VLOOKUP("O3",$R$63:$T$91,3,FALSE)+VLOOKUP("CP",$R$63:$T$91,3,FALSE),0)+IF(AND($P50&lt;&gt;"",$P50&lt;&gt;"--",$P50&lt;&gt;"O3/CP",$P$14=A$18),IF(LEFT($P50,1)="P",VLOOKUP(CONCATENATE(LEFT($P50,2),"H"),$R$63:$T$91,3,FALSE),VLOOKUP($P50,$R$63:$T$91,3,FALSE)))+IF(AND($P50&lt;&gt;"",$P50&lt;&gt;"O3/CP",$P$15=A$18,MID($P50,4,1)="2",$P$15&lt;&gt;$P$14),VLOOKUP(CONCATENATE(LEFT($P50,2),"L"),$R$63:$T$91,3,FALSE),0)+IF(AND($P50="O3/CP",$P$14=A$18),VLOOKUP("O3",$R$63:$T$91,3,FALSE)+VLOOKUP("CP",$R$63:$T$91,3,FALSE),0)+IF(AND($Q50&lt;&gt;"",$Q50&lt;&gt;"--",$Q50&lt;&gt;"O3/CP",$Q$14=A$18),IF(LEFT($Q50,1)="P",VLOOKUP(CONCATENATE(LEFT($Q50,2),"H"),$R$63:$T$91,3,FALSE),VLOOKUP($Q50,$R$63:$T$91,3,FALSE)))+IF(AND($Q50&lt;&gt;"",$Q50&lt;&gt;"O3/CP",$Q$15=A$18,MID($Q50,4,1)="2",$Q$15&lt;&gt;$Q$14),VLOOKUP(CONCATENATE(LEFT($Q50,2),"L"),$R$63:$T$91,3,FALSE),0)+IF(AND($Q50="O3/CP",$Q$14=A$18),VLOOKUP("O3",$R$63:$T$91,3,FALSE)+VLOOKUP("CP",$R$63:$T$91,3,FALSE),0)+IF(AND($R50&lt;&gt;"",$R50&lt;&gt;"--",$R50&lt;&gt;"O3/CP",$R$14=A$18),IF(LEFT($R50,1)="P",VLOOKUP(CONCATENATE(LEFT($R50,2),"H"),$R$63:$T$91,3,FALSE),VLOOKUP($R50,$R$63:$T$91,3,FALSE)))+IF(AND($R50&lt;&gt;"",$R50&lt;&gt;"O3/CP",$R$15=A$18,MID($R50,4,1)="2",$R$15&lt;&gt;$R$14),VLOOKUP(CONCATENATE(LEFT($R50,2),"L"),$R$63:$T$91,3,FALSE),0)+IF(AND($R50="O3/CP",$R$14=A$18),VLOOKUP("O3",$R$63:$T$91,3,FALSE)+VLOOKUP("CP",$R$63:$T$91,3,FALSE),0)+IF(AND($S50&lt;&gt;"",$S50&lt;&gt;"--",$S50&lt;&gt;"O3/CP",$S$14=A$18),IF(LEFT($S50,1)="P",VLOOKUP(CONCATENATE(LEFT($S50,2),"H"),$R$63:$T$91,3,FALSE),VLOOKUP($S50,$R$63:$T$91,3,FALSE)))+IF(AND($S50&lt;&gt;"",$S50&lt;&gt;"O3/CP",$S$15=A$18,MID($S50,4,1)="2",$S$15&lt;&gt;$S$14),VLOOKUP(CONCATENATE(LEFT($S50,2),"L"),$R$63:$T$91,3,FALSE),0)+IF(AND($S50="O3/CP",$S$14=A$18),VLOOKUP("O3",$R$63:$T$91,3,FALSE)+VLOOKUP("CP",$R$63:$T$91,3,FALSE),0)+IF(AND($T50&lt;&gt;"",$T50&lt;&gt;"--",$T50&lt;&gt;"O3/CP",$T$14=A$18),IF(LEFT($T50,1)="P",VLOOKUP(CONCATENATE(LEFT($T50,2),"H"),$R$63:$T$91,3,FALSE),VLOOKUP($T50,$R$63:$T$91,3,FALSE)))+IF(AND($T50&lt;&gt;"",$T50&lt;&gt;"O3/CP",$T$15=A$18,MID($T50,4,1)="2",$T$15&lt;&gt;$T$14),VLOOKUP(CONCATENATE(LEFT($T50,2),"L"),$R$63:$T$91,3,FALSE),0)+IF(AND($T50="O3/CP",$T$14=A$18),VLOOKUP("O3",$R$63:$T$91,3,FALSE)+VLOOKUP("CP",$R$63:$T$91,3,FALSE),0)+IF(AND($U50&lt;&gt;"",$U50&lt;&gt;"--",$U50&lt;&gt;"O3/CP",$U$14=A$18),IF(LEFT($U50,1)="P",VLOOKUP(CONCATENATE(LEFT($U50,2),"H"),$R$63:$T$91,3,FALSE),VLOOKUP($U50,$R$63:$T$91,3,FALSE)))+IF(AND($U50&lt;&gt;"",$U50&lt;&gt;"O3/CP",$U$15=A$18,MID($U50,4,1)="2",$U$15&lt;&gt;$U$14),VLOOKUP(CONCATENATE(LEFT($U50,2),"L"),$R$63:$T$91,3,FALSE),0)+IF(AND($U50="O3/CP",$T$14=A$18),VLOOKUP("O3",$R$63:$T$91,3,FALSE)+VLOOKUP("CP",$R$63:$T$91,3,FALSE),0)+IF(AND($V50&lt;&gt;"",$V50&lt;&gt;"--",$V50&lt;&gt;"O3/CP",$V$14=A$18),IF(LEFT($V50,1)="P",VLOOKUP(CONCATENATE(LEFT($V50,2),"H"),$R$63:$T$91,3,FALSE),VLOOKUP($V50,$R$63:$T$91,3,FALSE)))+IF(AND($V50&lt;&gt;"",$V50&lt;&gt;"O3/CP",$V$15=A$18,MID($V50,4,1)="2",$V$15&lt;&gt;$V$14),VLOOKUP(CONCATENATE(LEFT($V50,2),"L"),$R$63:$T$91,3,FALSE),0)+IF(AND($V50="O3/CP",$V$14=A$18),VLOOKUP("O3",$R$63:$T$91,3,FALSE)+VLOOKUP("CP",$R$63:$T$91,3,FALSE),0)+IF(AND($W50&lt;&gt;"",$W50&lt;&gt;"--",$W50&lt;&gt;"O3/CP",$W$14=A$18),IF(LEFT($W50,1)="P",VLOOKUP(CONCATENATE(LEFT($W50,2),"H"),$R$63:$T$91,3,FALSE),VLOOKUP($W50,$R$63:$T$91,3,FALSE)))+IF(AND($W50&lt;&gt;"",$W50&lt;&gt;"O3/CP",$W$15=A$18,MID($W50,4,1)="2",$W$15&lt;&gt;$W$14),VLOOKUP(CONCATENATE(LEFT($W50,2),"L"),$R$63:$T$91,3,FALSE),0)+IF(AND($W50="O3/CP",$W$14=A$18),VLOOKUP("O3",$R$63:$T$91,3,FALSE)+VLOOKUP("CP",$R$63:$T$91,3,FALSE),0)+IF(AND($X50&lt;&gt;"",$X50&lt;&gt;"--",$X50&lt;&gt;"O3/CP",$X$14=A$18),IF(LEFT($X50,1)="P",VLOOKUP(CONCATENATE(LEFT($X50,2),"H"),$R$63:$T$91,3,FALSE),VLOOKUP($X50,$R$63:$T$91,3,FALSE)))+IF(AND($X50&lt;&gt;"",$X50&lt;&gt;"O3/CP",$X$15=A$18,MID($X50,4,1)="2",$X$15&lt;&gt;$X$14),VLOOKUP(CONCATENATE(LEFT($X50,2),"L"),$R$63:$T$91,3,FALSE),0)+IF(AND($X50="O3/CP",$X$14=A$18),VLOOKUP("O3",$R$63:$T$91,3,FALSE)+VLOOKUP("CP",$R$63:$T$91,3,FALSE),0)+IF(AND($Y50&lt;&gt;"",$Y50&lt;&gt;"--",$Y50&lt;&gt;"O3/CP",$Y$14=A$18),IF(LEFT($Y50,1)="P",VLOOKUP(CONCATENATE(LEFT($Y50,2),"H"),$R$63:$T$91,3,FALSE),VLOOKUP($Y50,$R$63:$T$91,3,FALSE)))+IF(AND($Y50&lt;&gt;"",$Y50&lt;&gt;"O3/CP",$Y$15=A$18,MID($Y50,4,1)="2",$Y$15&lt;&gt;$Y$14),VLOOKUP(CONCATENATE(LEFT($Y50,2),"L"),$R$63:$T$91,3,FALSE),0)+IF(AND($Y50="O3/CP",$Y$14=A$18),VLOOKUP("O3",$R$63:$T$91,3,FALSE)+VLOOKUP("CP",$R$63:$T$91,3,FALSE),0)+IF(AND($K$6="CE",'[3]Supply Attribution'!$G$20=A$18),LEFT($S$90,2),0)+IF(AND($X$86&lt;&gt;"Not Set",$X$87=A$18),$X$86,0)</f>
        <v>0</v>
      </c>
      <c r="B50" s="269">
        <f>IF(AND($K50&lt;&gt;"",$K50&lt;&gt;"--",$K50&lt;&gt;"O3/CP",$K$14=B$18),IF(LEFT($K50,1)="P",VLOOKUP(CONCATENATE(LEFT($K50,2),"H"),$R$63:$T$91,3,FALSE),VLOOKUP($K50,$R$63:$T$91,3,FALSE)))+IF(AND($K50&lt;&gt;"",$K50&lt;&gt;"O3/CP",$K$15=B$18,MID($K50,4,1)="2",$K$15&lt;&gt;$K$14),VLOOKUP(CONCATENATE(LEFT($K50,2),"L"),$R$63:$T$91,3,FALSE),0)+IF(AND($K50="O3/CP",$K$14=B$18),VLOOKUP("O3",$R$63:$T$91,3,FALSE)+VLOOKUP("CP",$R$63:$T$91,3,FALSE),0)+IF(AND($L50&lt;&gt;"",$L50&lt;&gt;"--",$L50&lt;&gt;"O3/CP",$L$14=B$18),IF(LEFT($L50,1)="P",VLOOKUP(CONCATENATE(LEFT($L50,2),"H"),$R$63:$T$91,3,FALSE),VLOOKUP($L50,$R$63:$T$91,3,FALSE)))+IF(AND($L50&lt;&gt;"",$L50&lt;&gt;"O3/CP",$L$15=B$18,MID($L50,4,1)="2",$L$15&lt;&gt;$L$14),VLOOKUP(CONCATENATE(LEFT($L50,2),"L"),$R$63:$T$91,3,FALSE),0)+IF(AND($L50="O3/CP",$L$14=B$18),VLOOKUP("O3",$R$63:$T$91,3,FALSE)+VLOOKUP("CP",$R$63:$T$91,3,FALSE),0)+IF(AND($M50&lt;&gt;"",$M50&lt;&gt;"--",$M50&lt;&gt;"O3/CP",$M$14=B$18),IF(LEFT($M50,1)="P",VLOOKUP(CONCATENATE(LEFT($M50,2),"H"),$R$63:$T$91,3,FALSE),VLOOKUP($M50,$R$63:$T$91,3,FALSE)))+IF(AND($M50&lt;&gt;"",$M50&lt;&gt;"O3/CP",$M$15=B$18,MID($M50,4,1)="2",$M$15&lt;&gt;$M$14),VLOOKUP(CONCATENATE(LEFT($M50,2),"L"),$R$63:$T$91,3,FALSE),0)+IF(AND($M50="O3/CP",$M$14=B$18),VLOOKUP("O3",$R$63:$T$91,3,FALSE)+VLOOKUP("CP",$R$63:$T$91,3,FALSE),0)+IF(AND($N50&lt;&gt;"",$N50&lt;&gt;"--",$N50&lt;&gt;"O3/CP",$N$14=B$18),IF(LEFT($N50,1)="P",VLOOKUP(CONCATENATE(LEFT($N50,2),"H"),$R$63:$T$91,3,FALSE),VLOOKUP($N50,$R$63:$T$91,3,FALSE)))+IF(AND($N50&lt;&gt;"",$N50&lt;&gt;"O3/CP",$N$15=B$18,MID($N50,4,1)="2",$N$15&lt;&gt;$N$14),VLOOKUP(CONCATENATE(LEFT($N50,2),"L"),$R$63:$T$91,3,FALSE),0)+IF(AND($N50="O3/CP",$N$14=B$18),VLOOKUP("O3",$R$63:$T$91,3,FALSE)+VLOOKUP("CP",$R$63:$T$91,3,FALSE),0)+IF(AND($O50&lt;&gt;"",$O50&lt;&gt;"--",$O50&lt;&gt;"O3/CP",$O$14=B$18),IF(LEFT($O50,1)="P",VLOOKUP(CONCATENATE(LEFT($O50,2),"H"),$R$63:$T$91,3,FALSE),VLOOKUP($O50,$R$63:$T$91,3,FALSE)))+IF(AND($O50&lt;&gt;"",$O50&lt;&gt;"O3/CP",$O$15=B$18,MID($O50,4,1)="2",$O$15&lt;&gt;$O$14),VLOOKUP(CONCATENATE(LEFT($O50,2),"L"),$R$63:$T$91,3,FALSE),0)+IF(AND($O50="O3/CP",$O$14=B$18),VLOOKUP("O3",$R$63:$T$91,3,FALSE)+VLOOKUP("CP",$R$63:$T$91,3,FALSE),0)+IF(AND($P50&lt;&gt;"",$P50&lt;&gt;"--",$P50&lt;&gt;"O3/CP",$P$14=B$18),IF(LEFT($P50,1)="P",VLOOKUP(CONCATENATE(LEFT($P50,2),"H"),$R$63:$T$91,3,FALSE),VLOOKUP($P50,$R$63:$T$91,3,FALSE)))+IF(AND($P50&lt;&gt;"",$P50&lt;&gt;"O3/CP",$P$15=B$18,MID($P50,4,1)="2",$P$15&lt;&gt;$P$14),VLOOKUP(CONCATENATE(LEFT($P50,2),"L"),$R$63:$T$91,3,FALSE),0)+IF(AND($P50="O3/CP",$P$14=B$18),VLOOKUP("O3",$R$63:$T$91,3,FALSE)+VLOOKUP("CP",$R$63:$T$91,3,FALSE),0)+IF(AND($Q50&lt;&gt;"",$Q50&lt;&gt;"--",$Q50&lt;&gt;"O3/CP",$Q$14=B$18),IF(LEFT($Q50,1)="P",VLOOKUP(CONCATENATE(LEFT($Q50,2),"H"),$R$63:$T$91,3,FALSE),VLOOKUP($Q50,$R$63:$T$91,3,FALSE)))+IF(AND($Q50&lt;&gt;"",$Q50&lt;&gt;"O3/CP",$Q$15=B$18,MID($Q50,4,1)="2",$Q$15&lt;&gt;$Q$14),VLOOKUP(CONCATENATE(LEFT($Q50,2),"L"),$R$63:$T$91,3,FALSE),0)+IF(AND($Q50="O3/CP",$Q$14=B$18),VLOOKUP("O3",$R$63:$T$91,3,FALSE)+VLOOKUP("CP",$R$63:$T$91,3,FALSE),0)+IF(AND($R50&lt;&gt;"",$R50&lt;&gt;"--",$R50&lt;&gt;"O3/CP",$R$14=B$18),IF(LEFT($R50,1)="P",VLOOKUP(CONCATENATE(LEFT($R50,2),"H"),$R$63:$T$91,3,FALSE),VLOOKUP($R50,$R$63:$T$91,3,FALSE)))+IF(AND($R50&lt;&gt;"",$R50&lt;&gt;"O3/CP",$R$15=B$18,MID($R50,4,1)="2",$R$15&lt;&gt;$R$14),VLOOKUP(CONCATENATE(LEFT($R50,2),"L"),$R$63:$T$91,3,FALSE),0)+IF(AND($R50="O3/CP",$R$14=B$18),VLOOKUP("O3",$R$63:$T$91,3,FALSE)+VLOOKUP("CP",$R$63:$T$91,3,FALSE),0)+IF(AND($S50&lt;&gt;"",$S50&lt;&gt;"--",$S50&lt;&gt;"O3/CP",$S$14=B$18),IF(LEFT($S50,1)="P",VLOOKUP(CONCATENATE(LEFT($S50,2),"H"),$R$63:$T$91,3,FALSE),VLOOKUP($S50,$R$63:$T$91,3,FALSE)))+IF(AND($S50&lt;&gt;"",$S50&lt;&gt;"O3/CP",$S$15=B$18,MID($S50,4,1)="2",$S$15&lt;&gt;$S$14),VLOOKUP(CONCATENATE(LEFT($S50,2),"L"),$R$63:$T$91,3,FALSE),0)+IF(AND($S50="O3/CP",$S$14=B$18),VLOOKUP("O3",$R$63:$T$91,3,FALSE)+VLOOKUP("CP",$R$63:$T$91,3,FALSE),0)+IF(AND($T50&lt;&gt;"",$T50&lt;&gt;"--",$T50&lt;&gt;"O3/CP",$T$14=B$18),IF(LEFT($T50,1)="P",VLOOKUP(CONCATENATE(LEFT($T50,2),"H"),$R$63:$T$91,3,FALSE),VLOOKUP($T50,$R$63:$T$91,3,FALSE)))+IF(AND($T50&lt;&gt;"",$T50&lt;&gt;"O3/CP",$T$15=B$18,MID($T50,4,1)="2",$T$15&lt;&gt;$T$14),VLOOKUP(CONCATENATE(LEFT($T50,2),"L"),$R$63:$T$91,3,FALSE),0)+IF(AND($T50="O3/CP",$T$14=B$18),VLOOKUP("O3",$R$63:$T$91,3,FALSE)+VLOOKUP("CP",$R$63:$T$91,3,FALSE),0)+IF(AND($U50&lt;&gt;"",$U50&lt;&gt;"--",$U50&lt;&gt;"O3/CP",$U$14=B$18),IF(LEFT($U50,1)="P",VLOOKUP(CONCATENATE(LEFT($U50,2),"H"),$R$63:$T$91,3,FALSE),VLOOKUP($U50,$R$63:$T$91,3,FALSE)))+IF(AND($U50&lt;&gt;"",$U50&lt;&gt;"O3/CP",$U$15=B$18,MID($U50,4,1)="2",$U$15&lt;&gt;$U$14),VLOOKUP(CONCATENATE(LEFT($U50,2),"L"),$R$63:$T$91,3,FALSE),0)+IF(AND($U50="O3/CP",$T$14=B$18),VLOOKUP("O3",$R$63:$T$91,3,FALSE)+VLOOKUP("CP",$R$63:$T$91,3,FALSE),0)+IF(AND($V50&lt;&gt;"",$V50&lt;&gt;"--",$V50&lt;&gt;"O3/CP",$V$14=B$18),IF(LEFT($V50,1)="P",VLOOKUP(CONCATENATE(LEFT($V50,2),"H"),$R$63:$T$91,3,FALSE),VLOOKUP($V50,$R$63:$T$91,3,FALSE)))+IF(AND($V50&lt;&gt;"",$V50&lt;&gt;"O3/CP",$V$15=B$18,MID($V50,4,1)="2",$V$15&lt;&gt;$V$14),VLOOKUP(CONCATENATE(LEFT($V50,2),"L"),$R$63:$T$91,3,FALSE),0)+IF(AND($V50="O3/CP",$V$14=B$18),VLOOKUP("O3",$R$63:$T$91,3,FALSE)+VLOOKUP("CP",$R$63:$T$91,3,FALSE),0)+IF(AND($W50&lt;&gt;"",$W50&lt;&gt;"--",$W50&lt;&gt;"O3/CP",$W$14=B$18),IF(LEFT($W50,1)="P",VLOOKUP(CONCATENATE(LEFT($W50,2),"H"),$R$63:$T$91,3,FALSE),VLOOKUP($W50,$R$63:$T$91,3,FALSE)))+IF(AND($W50&lt;&gt;"",$W50&lt;&gt;"O3/CP",$W$15=B$18,MID($W50,4,1)="2",$W$15&lt;&gt;$W$14),VLOOKUP(CONCATENATE(LEFT($W50,2),"L"),$R$63:$T$91,3,FALSE),0)+IF(AND($W50="O3/CP",$W$14=B$18),VLOOKUP("O3",$R$63:$T$91,3,FALSE)+VLOOKUP("CP",$R$63:$T$91,3,FALSE),0)+IF(AND($X50&lt;&gt;"",$X50&lt;&gt;"--",$X50&lt;&gt;"O3/CP",$X$14=B$18),IF(LEFT($X50,1)="P",VLOOKUP(CONCATENATE(LEFT($X50,2),"H"),$R$63:$T$91,3,FALSE),VLOOKUP($X50,$R$63:$T$91,3,FALSE)))+IF(AND($X50&lt;&gt;"",$X50&lt;&gt;"O3/CP",$X$15=B$18,MID($X50,4,1)="2",$X$15&lt;&gt;$X$14),VLOOKUP(CONCATENATE(LEFT($X50,2),"L"),$R$63:$T$91,3,FALSE),0)+IF(AND($X50="O3/CP",$X$14=B$18),VLOOKUP("O3",$R$63:$T$91,3,FALSE)+VLOOKUP("CP",$R$63:$T$91,3,FALSE),0)+IF(AND($Y50&lt;&gt;"",$Y50&lt;&gt;"--",$Y50&lt;&gt;"O3/CP",$Y$14=B$18),IF(LEFT($Y50,1)="P",VLOOKUP(CONCATENATE(LEFT($Y50,2),"H"),$R$63:$T$91,3,FALSE),VLOOKUP($Y50,$R$63:$T$91,3,FALSE)))+IF(AND($Y50&lt;&gt;"",$Y50&lt;&gt;"O3/CP",$Y$15=B$18,MID($Y50,4,1)="2",$Y$15&lt;&gt;$Y$14),VLOOKUP(CONCATENATE(LEFT($Y50,2),"L"),$R$63:$T$91,3,FALSE),0)+IF(AND($Y50="O3/CP",$Y$14=B$18),VLOOKUP("O3",$R$63:$T$91,3,FALSE)+VLOOKUP("CP",$R$63:$T$91,3,FALSE),0)+IF(AND($K$6="CE",'[3]Supply Attribution'!$G$20=B$18),LEFT($S$90,2),0)+IF(AND($X$86&lt;&gt;"Not Set",$X$87=B$18),$X$86,0)</f>
        <v>0</v>
      </c>
      <c r="C50" s="269">
        <f>IF(AND($K50&lt;&gt;"",$K50&lt;&gt;"--",$K50&lt;&gt;"O3/CP",$K$14=C$18),IF(LEFT($K50,1)="P",VLOOKUP(CONCATENATE(LEFT($K50,2),"H"),$R$63:$T$91,3,FALSE),VLOOKUP($K50,$R$63:$T$91,3,FALSE)))+IF(AND($K50&lt;&gt;"",$K50&lt;&gt;"O3/CP",$K$15=C$18,MID($K50,4,1)="2",$K$15&lt;&gt;$K$14),VLOOKUP(CONCATENATE(LEFT($K50,2),"L"),$R$63:$T$91,3,FALSE),0)+IF(AND($K50="O3/CP",$K$14=C$18),VLOOKUP("O3",$R$63:$T$91,3,FALSE)+VLOOKUP("CP",$R$63:$T$91,3,FALSE),0)+IF(AND($L50&lt;&gt;"",$L50&lt;&gt;"--",$L50&lt;&gt;"O3/CP",$L$14=C$18),IF(LEFT($L50,1)="P",VLOOKUP(CONCATENATE(LEFT($L50,2),"H"),$R$63:$T$91,3,FALSE),VLOOKUP($L50,$R$63:$T$91,3,FALSE)))+IF(AND($L50&lt;&gt;"",$L50&lt;&gt;"O3/CP",$L$15=C$18,MID($L50,4,1)="2",$L$15&lt;&gt;$L$14),VLOOKUP(CONCATENATE(LEFT($L50,2),"L"),$R$63:$T$91,3,FALSE),0)+IF(AND($L50="O3/CP",$L$14=C$18),VLOOKUP("O3",$R$63:$T$91,3,FALSE)+VLOOKUP("CP",$R$63:$T$91,3,FALSE),0)+IF(AND($M50&lt;&gt;"",$M50&lt;&gt;"--",$M50&lt;&gt;"O3/CP",$M$14=C$18),IF(LEFT($M50,1)="P",VLOOKUP(CONCATENATE(LEFT($M50,2),"H"),$R$63:$T$91,3,FALSE),VLOOKUP($M50,$R$63:$T$91,3,FALSE)))+IF(AND($M50&lt;&gt;"",$M50&lt;&gt;"O3/CP",$M$15=C$18,MID($M50,4,1)="2",$M$15&lt;&gt;$M$14),VLOOKUP(CONCATENATE(LEFT($M50,2),"L"),$R$63:$T$91,3,FALSE),0)+IF(AND($M50="O3/CP",$M$14=C$18),VLOOKUP("O3",$R$63:$T$91,3,FALSE)+VLOOKUP("CP",$R$63:$T$91,3,FALSE),0)+IF(AND($N50&lt;&gt;"",$N50&lt;&gt;"--",$N50&lt;&gt;"O3/CP",$N$14=C$18),IF(LEFT($N50,1)="P",VLOOKUP(CONCATENATE(LEFT($N50,2),"H"),$R$63:$T$91,3,FALSE),VLOOKUP($N50,$R$63:$T$91,3,FALSE)))+IF(AND($N50&lt;&gt;"",$N50&lt;&gt;"O3/CP",$N$15=C$18,MID($N50,4,1)="2",$N$15&lt;&gt;$N$14),VLOOKUP(CONCATENATE(LEFT($N50,2),"L"),$R$63:$T$91,3,FALSE),0)+IF(AND($N50="O3/CP",$N$14=C$18),VLOOKUP("O3",$R$63:$T$91,3,FALSE)+VLOOKUP("CP",$R$63:$T$91,3,FALSE),0)+IF(AND($O50&lt;&gt;"",$O50&lt;&gt;"--",$O50&lt;&gt;"O3/CP",$O$14=C$18),IF(LEFT($O50,1)="P",VLOOKUP(CONCATENATE(LEFT($O50,2),"H"),$R$63:$T$91,3,FALSE),VLOOKUP($O50,$R$63:$T$91,3,FALSE)))+IF(AND($O50&lt;&gt;"",$O50&lt;&gt;"O3/CP",$O$15=C$18,MID($O50,4,1)="2",$O$15&lt;&gt;$O$14),VLOOKUP(CONCATENATE(LEFT($O50,2),"L"),$R$63:$T$91,3,FALSE),0)+IF(AND($O50="O3/CP",$O$14=C$18),VLOOKUP("O3",$R$63:$T$91,3,FALSE)+VLOOKUP("CP",$R$63:$T$91,3,FALSE),0)+IF(AND($P50&lt;&gt;"",$P50&lt;&gt;"--",$P50&lt;&gt;"O3/CP",$P$14=C$18),IF(LEFT($P50,1)="P",VLOOKUP(CONCATENATE(LEFT($P50,2),"H"),$R$63:$T$91,3,FALSE),VLOOKUP($P50,$R$63:$T$91,3,FALSE)))+IF(AND($P50&lt;&gt;"",$P50&lt;&gt;"O3/CP",$P$15=C$18,MID($P50,4,1)="2",$P$15&lt;&gt;$P$14),VLOOKUP(CONCATENATE(LEFT($P50,2),"L"),$R$63:$T$91,3,FALSE),0)+IF(AND($P50="O3/CP",$P$14=C$18),VLOOKUP("O3",$R$63:$T$91,3,FALSE)+VLOOKUP("CP",$R$63:$T$91,3,FALSE),0)+IF(AND($Q50&lt;&gt;"",$Q50&lt;&gt;"--",$Q50&lt;&gt;"O3/CP",$Q$14=C$18),IF(LEFT($Q50,1)="P",VLOOKUP(CONCATENATE(LEFT($Q50,2),"H"),$R$63:$T$91,3,FALSE),VLOOKUP($Q50,$R$63:$T$91,3,FALSE)))+IF(AND($Q50&lt;&gt;"",$Q50&lt;&gt;"O3/CP",$Q$15=C$18,MID($Q50,4,1)="2",$Q$15&lt;&gt;$Q$14),VLOOKUP(CONCATENATE(LEFT($Q50,2),"L"),$R$63:$T$91,3,FALSE),0)+IF(AND($Q50="O3/CP",$Q$14=C$18),VLOOKUP("O3",$R$63:$T$91,3,FALSE)+VLOOKUP("CP",$R$63:$T$91,3,FALSE),0)+IF(AND($R50&lt;&gt;"",$R50&lt;&gt;"--",$R50&lt;&gt;"O3/CP",$R$14=C$18),IF(LEFT($R50,1)="P",VLOOKUP(CONCATENATE(LEFT($R50,2),"H"),$R$63:$T$91,3,FALSE),VLOOKUP($R50,$R$63:$T$91,3,FALSE)))+IF(AND($R50&lt;&gt;"",$R50&lt;&gt;"O3/CP",$R$15=C$18,MID($R50,4,1)="2",$R$15&lt;&gt;$R$14),VLOOKUP(CONCATENATE(LEFT($R50,2),"L"),$R$63:$T$91,3,FALSE),0)+IF(AND($R50="O3/CP",$R$14=C$18),VLOOKUP("O3",$R$63:$T$91,3,FALSE)+VLOOKUP("CP",$R$63:$T$91,3,FALSE),0)+IF(AND($S50&lt;&gt;"",$S50&lt;&gt;"--",$S50&lt;&gt;"O3/CP",$S$14=C$18),IF(LEFT($S50,1)="P",VLOOKUP(CONCATENATE(LEFT($S50,2),"H"),$R$63:$T$91,3,FALSE),VLOOKUP($S50,$R$63:$T$91,3,FALSE)))+IF(AND($S50&lt;&gt;"",$S50&lt;&gt;"O3/CP",$S$15=C$18,MID($S50,4,1)="2",$S$15&lt;&gt;$S$14),VLOOKUP(CONCATENATE(LEFT($S50,2),"L"),$R$63:$T$91,3,FALSE),0)+IF(AND($S50="O3/CP",$S$14=C$18),VLOOKUP("O3",$R$63:$T$91,3,FALSE)+VLOOKUP("CP",$R$63:$T$91,3,FALSE),0)+IF(AND($T50&lt;&gt;"",$T50&lt;&gt;"--",$T50&lt;&gt;"O3/CP",$T$14=C$18),IF(LEFT($T50,1)="P",VLOOKUP(CONCATENATE(LEFT($T50,2),"H"),$R$63:$T$91,3,FALSE),VLOOKUP($T50,$R$63:$T$91,3,FALSE)))+IF(AND($T50&lt;&gt;"",$T50&lt;&gt;"O3/CP",$T$15=C$18,MID($T50,4,1)="2",$T$15&lt;&gt;$T$14),VLOOKUP(CONCATENATE(LEFT($T50,2),"L"),$R$63:$T$91,3,FALSE),0)+IF(AND($T50="O3/CP",$T$14=C$18),VLOOKUP("O3",$R$63:$T$91,3,FALSE)+VLOOKUP("CP",$R$63:$T$91,3,FALSE),0)+IF(AND($U50&lt;&gt;"",$U50&lt;&gt;"--",$U50&lt;&gt;"O3/CP",$U$14=C$18),IF(LEFT($U50,1)="P",VLOOKUP(CONCATENATE(LEFT($U50,2),"H"),$R$63:$T$91,3,FALSE),VLOOKUP($U50,$R$63:$T$91,3,FALSE)))+IF(AND($U50&lt;&gt;"",$U50&lt;&gt;"O3/CP",$U$15=C$18,MID($U50,4,1)="2",$U$15&lt;&gt;$U$14),VLOOKUP(CONCATENATE(LEFT($U50,2),"L"),$R$63:$T$91,3,FALSE),0)+IF(AND($U50="O3/CP",$T$14=C$18),VLOOKUP("O3",$R$63:$T$91,3,FALSE)+VLOOKUP("CP",$R$63:$T$91,3,FALSE),0)+IF(AND($V50&lt;&gt;"",$V50&lt;&gt;"--",$V50&lt;&gt;"O3/CP",$V$14=C$18),IF(LEFT($V50,1)="P",VLOOKUP(CONCATENATE(LEFT($V50,2),"H"),$R$63:$T$91,3,FALSE),VLOOKUP($V50,$R$63:$T$91,3,FALSE)))+IF(AND($V50&lt;&gt;"",$V50&lt;&gt;"O3/CP",$V$15=C$18,MID($V50,4,1)="2",$V$15&lt;&gt;$V$14),VLOOKUP(CONCATENATE(LEFT($V50,2),"L"),$R$63:$T$91,3,FALSE),0)+IF(AND($V50="O3/CP",$V$14=C$18),VLOOKUP("O3",$R$63:$T$91,3,FALSE)+VLOOKUP("CP",$R$63:$T$91,3,FALSE),0)+IF(AND($W50&lt;&gt;"",$W50&lt;&gt;"--",$W50&lt;&gt;"O3/CP",$W$14=C$18),IF(LEFT($W50,1)="P",VLOOKUP(CONCATENATE(LEFT($W50,2),"H"),$R$63:$T$91,3,FALSE),VLOOKUP($W50,$R$63:$T$91,3,FALSE)))+IF(AND($W50&lt;&gt;"",$W50&lt;&gt;"O3/CP",$W$15=C$18,MID($W50,4,1)="2",$W$15&lt;&gt;$W$14),VLOOKUP(CONCATENATE(LEFT($W50,2),"L"),$R$63:$T$91,3,FALSE),0)+IF(AND($W50="O3/CP",$W$14=C$18),VLOOKUP("O3",$R$63:$T$91,3,FALSE)+VLOOKUP("CP",$R$63:$T$91,3,FALSE),0)+IF(AND($X50&lt;&gt;"",$X50&lt;&gt;"--",$X50&lt;&gt;"O3/CP",$X$14=C$18),IF(LEFT($X50,1)="P",VLOOKUP(CONCATENATE(LEFT($X50,2),"H"),$R$63:$T$91,3,FALSE),VLOOKUP($X50,$R$63:$T$91,3,FALSE)))+IF(AND($X50&lt;&gt;"",$X50&lt;&gt;"O3/CP",$X$15=C$18,MID($X50,4,1)="2",$X$15&lt;&gt;$X$14),VLOOKUP(CONCATENATE(LEFT($X50,2),"L"),$R$63:$T$91,3,FALSE),0)+IF(AND($X50="O3/CP",$X$14=C$18),VLOOKUP("O3",$R$63:$T$91,3,FALSE)+VLOOKUP("CP",$R$63:$T$91,3,FALSE),0)+IF(AND($Y50&lt;&gt;"",$Y50&lt;&gt;"--",$Y50&lt;&gt;"O3/CP",$Y$14=C$18),IF(LEFT($Y50,1)="P",VLOOKUP(CONCATENATE(LEFT($Y50,2),"H"),$R$63:$T$91,3,FALSE),VLOOKUP($Y50,$R$63:$T$91,3,FALSE)))+IF(AND($Y50&lt;&gt;"",$Y50&lt;&gt;"O3/CP",$Y$15=C$18,MID($Y50,4,1)="2",$Y$15&lt;&gt;$Y$14),VLOOKUP(CONCATENATE(LEFT($Y50,2),"L"),$R$63:$T$91,3,FALSE),0)+IF(AND($Y50="O3/CP",$Y$14=C$18),VLOOKUP("O3",$R$63:$T$91,3,FALSE)+VLOOKUP("CP",$R$63:$T$91,3,FALSE),0)+IF(AND($K$6="CE",'[3]Supply Attribution'!$G$20=C$18),LEFT($S$90,2),0)+IF(AND($X$86&lt;&gt;"Not Set",$X$87=C$18),$X$86,0)</f>
        <v>0</v>
      </c>
      <c r="D50" s="269">
        <f>IF(AND($K50&lt;&gt;"",$K50&lt;&gt;"--",$K50&lt;&gt;"O3/CP",$K$14=D$18),IF(LEFT($K50,1)="P",VLOOKUP(CONCATENATE(LEFT($K50,2),"H"),$R$63:$T$91,3,FALSE),VLOOKUP($K50,$R$63:$T$91,3,FALSE)))+IF(AND($K50&lt;&gt;"",$K50&lt;&gt;"O3/CP",$K$15=D$18,MID($K50,4,1)="2",$K$15&lt;&gt;$K$14),VLOOKUP(CONCATENATE(LEFT($K50,2),"L"),$R$63:$T$91,3,FALSE),0)+IF(AND($K50="O3/CP",$K$14=D$18),VLOOKUP("O3",$R$63:$T$91,3,FALSE)+VLOOKUP("CP",$R$63:$T$91,3,FALSE),0)+IF(AND($L50&lt;&gt;"",$L50&lt;&gt;"--",$L50&lt;&gt;"O3/CP",$L$14=D$18),IF(LEFT($L50,1)="P",VLOOKUP(CONCATENATE(LEFT($L50,2),"H"),$R$63:$T$91,3,FALSE),VLOOKUP($L50,$R$63:$T$91,3,FALSE)))+IF(AND($L50&lt;&gt;"",$L50&lt;&gt;"O3/CP",$L$15=D$18,MID($L50,4,1)="2",$L$15&lt;&gt;$L$14),VLOOKUP(CONCATENATE(LEFT($L50,2),"L"),$R$63:$T$91,3,FALSE),0)+IF(AND($L50="O3/CP",$L$14=D$18),VLOOKUP("O3",$R$63:$T$91,3,FALSE)+VLOOKUP("CP",$R$63:$T$91,3,FALSE),0)+IF(AND($M50&lt;&gt;"",$M50&lt;&gt;"--",$M50&lt;&gt;"O3/CP",$M$14=D$18),IF(LEFT($M50,1)="P",VLOOKUP(CONCATENATE(LEFT($M50,2),"H"),$R$63:$T$91,3,FALSE),VLOOKUP($M50,$R$63:$T$91,3,FALSE)))+IF(AND($M50&lt;&gt;"",$M50&lt;&gt;"O3/CP",$M$15=D$18,MID($M50,4,1)="2",$M$15&lt;&gt;$M$14),VLOOKUP(CONCATENATE(LEFT($M50,2),"L"),$R$63:$T$91,3,FALSE),0)+IF(AND($M50="O3/CP",$M$14=D$18),VLOOKUP("O3",$R$63:$T$91,3,FALSE)+VLOOKUP("CP",$R$63:$T$91,3,FALSE),0)+IF(AND($N50&lt;&gt;"",$N50&lt;&gt;"--",$N50&lt;&gt;"O3/CP",$N$14=D$18),IF(LEFT($N50,1)="P",VLOOKUP(CONCATENATE(LEFT($N50,2),"H"),$R$63:$T$91,3,FALSE),VLOOKUP($N50,$R$63:$T$91,3,FALSE)))+IF(AND($N50&lt;&gt;"",$N50&lt;&gt;"O3/CP",$N$15=D$18,MID($N50,4,1)="2",$N$15&lt;&gt;$N$14),VLOOKUP(CONCATENATE(LEFT($N50,2),"L"),$R$63:$T$91,3,FALSE),0)+IF(AND($N50="O3/CP",$N$14=D$18),VLOOKUP("O3",$R$63:$T$91,3,FALSE)+VLOOKUP("CP",$R$63:$T$91,3,FALSE),0)+IF(AND($O50&lt;&gt;"",$O50&lt;&gt;"--",$O50&lt;&gt;"O3/CP",$O$14=D$18),IF(LEFT($O50,1)="P",VLOOKUP(CONCATENATE(LEFT($O50,2),"H"),$R$63:$T$91,3,FALSE),VLOOKUP($O50,$R$63:$T$91,3,FALSE)))+IF(AND($O50&lt;&gt;"",$O50&lt;&gt;"O3/CP",$O$15=D$18,MID($O50,4,1)="2",$O$15&lt;&gt;$O$14),VLOOKUP(CONCATENATE(LEFT($O50,2),"L"),$R$63:$T$91,3,FALSE),0)+IF(AND($O50="O3/CP",$O$14=D$18),VLOOKUP("O3",$R$63:$T$91,3,FALSE)+VLOOKUP("CP",$R$63:$T$91,3,FALSE),0)+IF(AND($P50&lt;&gt;"",$P50&lt;&gt;"--",$P50&lt;&gt;"O3/CP",$P$14=D$18),IF(LEFT($P50,1)="P",VLOOKUP(CONCATENATE(LEFT($P50,2),"H"),$R$63:$T$91,3,FALSE),VLOOKUP($P50,$R$63:$T$91,3,FALSE)))+IF(AND($P50&lt;&gt;"",$P50&lt;&gt;"O3/CP",$P$15=D$18,MID($P50,4,1)="2",$P$15&lt;&gt;$P$14),VLOOKUP(CONCATENATE(LEFT($P50,2),"L"),$R$63:$T$91,3,FALSE),0)+IF(AND($P50="O3/CP",$P$14=D$18),VLOOKUP("O3",$R$63:$T$91,3,FALSE)+VLOOKUP("CP",$R$63:$T$91,3,FALSE),0)+IF(AND($Q50&lt;&gt;"",$Q50&lt;&gt;"--",$Q50&lt;&gt;"O3/CP",$Q$14=D$18),IF(LEFT($Q50,1)="P",VLOOKUP(CONCATENATE(LEFT($Q50,2),"H"),$R$63:$T$91,3,FALSE),VLOOKUP($Q50,$R$63:$T$91,3,FALSE)))+IF(AND($Q50&lt;&gt;"",$Q50&lt;&gt;"O3/CP",$Q$15=D$18,MID($Q50,4,1)="2",$Q$15&lt;&gt;$Q$14),VLOOKUP(CONCATENATE(LEFT($Q50,2),"L"),$R$63:$T$91,3,FALSE),0)+IF(AND($Q50="O3/CP",$Q$14=D$18),VLOOKUP("O3",$R$63:$T$91,3,FALSE)+VLOOKUP("CP",$R$63:$T$91,3,FALSE),0)+IF(AND($R50&lt;&gt;"",$R50&lt;&gt;"--",$R50&lt;&gt;"O3/CP",$R$14=D$18),IF(LEFT($R50,1)="P",VLOOKUP(CONCATENATE(LEFT($R50,2),"H"),$R$63:$T$91,3,FALSE),VLOOKUP($R50,$R$63:$T$91,3,FALSE)))+IF(AND($R50&lt;&gt;"",$R50&lt;&gt;"O3/CP",$R$15=D$18,MID($R50,4,1)="2",$R$15&lt;&gt;$R$14),VLOOKUP(CONCATENATE(LEFT($R50,2),"L"),$R$63:$T$91,3,FALSE),0)+IF(AND($R50="O3/CP",$R$14=D$18),VLOOKUP("O3",$R$63:$T$91,3,FALSE)+VLOOKUP("CP",$R$63:$T$91,3,FALSE),0)+IF(AND($S50&lt;&gt;"",$S50&lt;&gt;"--",$S50&lt;&gt;"O3/CP",$S$14=D$18),IF(LEFT($S50,1)="P",VLOOKUP(CONCATENATE(LEFT($S50,2),"H"),$R$63:$T$91,3,FALSE),VLOOKUP($S50,$R$63:$T$91,3,FALSE)))+IF(AND($S50&lt;&gt;"",$S50&lt;&gt;"O3/CP",$S$15=D$18,MID($S50,4,1)="2",$S$15&lt;&gt;$S$14),VLOOKUP(CONCATENATE(LEFT($S50,2),"L"),$R$63:$T$91,3,FALSE),0)+IF(AND($S50="O3/CP",$S$14=D$18),VLOOKUP("O3",$R$63:$T$91,3,FALSE)+VLOOKUP("CP",$R$63:$T$91,3,FALSE),0)+IF(AND($T50&lt;&gt;"",$T50&lt;&gt;"--",$T50&lt;&gt;"O3/CP",$T$14=D$18),IF(LEFT($T50,1)="P",VLOOKUP(CONCATENATE(LEFT($T50,2),"H"),$R$63:$T$91,3,FALSE),VLOOKUP($T50,$R$63:$T$91,3,FALSE)))+IF(AND($T50&lt;&gt;"",$T50&lt;&gt;"O3/CP",$T$15=D$18,MID($T50,4,1)="2",$T$15&lt;&gt;$T$14),VLOOKUP(CONCATENATE(LEFT($T50,2),"L"),$R$63:$T$91,3,FALSE),0)+IF(AND($T50="O3/CP",$T$14=D$18),VLOOKUP("O3",$R$63:$T$91,3,FALSE)+VLOOKUP("CP",$R$63:$T$91,3,FALSE),0)+IF(AND($U50&lt;&gt;"",$U50&lt;&gt;"--",$U50&lt;&gt;"O3/CP",$U$14=D$18),IF(LEFT($U50,1)="P",VLOOKUP(CONCATENATE(LEFT($U50,2),"H"),$R$63:$T$91,3,FALSE),VLOOKUP($U50,$R$63:$T$91,3,FALSE)))+IF(AND($U50&lt;&gt;"",$U50&lt;&gt;"O3/CP",$U$15=D$18,MID($U50,4,1)="2",$U$15&lt;&gt;$U$14),VLOOKUP(CONCATENATE(LEFT($U50,2),"L"),$R$63:$T$91,3,FALSE),0)+IF(AND($U50="O3/CP",$T$14=D$18),VLOOKUP("O3",$R$63:$T$91,3,FALSE)+VLOOKUP("CP",$R$63:$T$91,3,FALSE),0)+IF(AND($V50&lt;&gt;"",$V50&lt;&gt;"--",$V50&lt;&gt;"O3/CP",$V$14=D$18),IF(LEFT($V50,1)="P",VLOOKUP(CONCATENATE(LEFT($V50,2),"H"),$R$63:$T$91,3,FALSE),VLOOKUP($V50,$R$63:$T$91,3,FALSE)))+IF(AND($V50&lt;&gt;"",$V50&lt;&gt;"O3/CP",$V$15=D$18,MID($V50,4,1)="2",$V$15&lt;&gt;$V$14),VLOOKUP(CONCATENATE(LEFT($V50,2),"L"),$R$63:$T$91,3,FALSE),0)+IF(AND($V50="O3/CP",$V$14=D$18),VLOOKUP("O3",$R$63:$T$91,3,FALSE)+VLOOKUP("CP",$R$63:$T$91,3,FALSE),0)+IF(AND($W50&lt;&gt;"",$W50&lt;&gt;"--",$W50&lt;&gt;"O3/CP",$W$14=D$18),IF(LEFT($W50,1)="P",VLOOKUP(CONCATENATE(LEFT($W50,2),"H"),$R$63:$T$91,3,FALSE),VLOOKUP($W50,$R$63:$T$91,3,FALSE)))+IF(AND($W50&lt;&gt;"",$W50&lt;&gt;"O3/CP",$W$15=D$18,MID($W50,4,1)="2",$W$15&lt;&gt;$W$14),VLOOKUP(CONCATENATE(LEFT($W50,2),"L"),$R$63:$T$91,3,FALSE),0)+IF(AND($W50="O3/CP",$W$14=D$18),VLOOKUP("O3",$R$63:$T$91,3,FALSE)+VLOOKUP("CP",$R$63:$T$91,3,FALSE),0)+IF(AND($X50&lt;&gt;"",$X50&lt;&gt;"--",$X50&lt;&gt;"O3/CP",$X$14=D$18),IF(LEFT($X50,1)="P",VLOOKUP(CONCATENATE(LEFT($X50,2),"H"),$R$63:$T$91,3,FALSE),VLOOKUP($X50,$R$63:$T$91,3,FALSE)))+IF(AND($X50&lt;&gt;"",$X50&lt;&gt;"O3/CP",$X$15=D$18,MID($X50,4,1)="2",$X$15&lt;&gt;$X$14),VLOOKUP(CONCATENATE(LEFT($X50,2),"L"),$R$63:$T$91,3,FALSE),0)+IF(AND($X50="O3/CP",$X$14=D$18),VLOOKUP("O3",$R$63:$T$91,3,FALSE)+VLOOKUP("CP",$R$63:$T$91,3,FALSE),0)+IF(AND($Y50&lt;&gt;"",$Y50&lt;&gt;"--",$Y50&lt;&gt;"O3/CP",$Y$14=D$18),IF(LEFT($Y50,1)="P",VLOOKUP(CONCATENATE(LEFT($Y50,2),"H"),$R$63:$T$91,3,FALSE),VLOOKUP($Y50,$R$63:$T$91,3,FALSE)))+IF(AND($Y50&lt;&gt;"",$Y50&lt;&gt;"O3/CP",$Y$15=D$18,MID($Y50,4,1)="2",$Y$15&lt;&gt;$Y$14),VLOOKUP(CONCATENATE(LEFT($Y50,2),"L"),$R$63:$T$91,3,FALSE),0)+IF(AND($Y50="O3/CP",$Y$14=D$18),VLOOKUP("O3",$R$63:$T$91,3,FALSE)+VLOOKUP("CP",$R$63:$T$91,3,FALSE),0)+IF(AND($K$6="CE",'[3]Supply Attribution'!$G$20=D$18),LEFT($S$90,2),0)+IF(AND($X$86&lt;&gt;"Not Set",$X$87=D$18),$X$86,0)</f>
        <v>0</v>
      </c>
      <c r="E50" s="269">
        <f>IF(AND($K50&lt;&gt;"",$K50&lt;&gt;"--",$K50&lt;&gt;"O3/CP",$K$14=E$18),IF(LEFT($K50,1)="P",VLOOKUP(CONCATENATE(LEFT($K50,2),"H"),$R$63:$T$91,3,FALSE),VLOOKUP($K50,$R$63:$T$91,3,FALSE)))+IF(AND($K50&lt;&gt;"",$K50&lt;&gt;"O3/CP",$K$15=E$18,MID($K50,4,1)="2",$K$15&lt;&gt;$K$14),VLOOKUP(CONCATENATE(LEFT($K50,2),"L"),$R$63:$T$91,3,FALSE),0)+IF(AND($K50="O3/CP",$K$14=E$18),VLOOKUP("O3",$R$63:$T$91,3,FALSE)+VLOOKUP("CP",$R$63:$T$91,3,FALSE),0)+IF(AND($L50&lt;&gt;"",$L50&lt;&gt;"--",$L50&lt;&gt;"O3/CP",$L$14=E$18),IF(LEFT($L50,1)="P",VLOOKUP(CONCATENATE(LEFT($L50,2),"H"),$R$63:$T$91,3,FALSE),VLOOKUP($L50,$R$63:$T$91,3,FALSE)))+IF(AND($L50&lt;&gt;"",$L50&lt;&gt;"O3/CP",$L$15=E$18,MID($L50,4,1)="2",$L$15&lt;&gt;$L$14),VLOOKUP(CONCATENATE(LEFT($L50,2),"L"),$R$63:$T$91,3,FALSE),0)+IF(AND($L50="O3/CP",$L$14=E$18),VLOOKUP("O3",$R$63:$T$91,3,FALSE)+VLOOKUP("CP",$R$63:$T$91,3,FALSE),0)+IF(AND($M50&lt;&gt;"",$M50&lt;&gt;"--",$M50&lt;&gt;"O3/CP",$M$14=E$18),IF(LEFT($M50,1)="P",VLOOKUP(CONCATENATE(LEFT($M50,2),"H"),$R$63:$T$91,3,FALSE),VLOOKUP($M50,$R$63:$T$91,3,FALSE)))+IF(AND($M50&lt;&gt;"",$M50&lt;&gt;"O3/CP",$M$15=E$18,MID($M50,4,1)="2",$M$15&lt;&gt;$M$14),VLOOKUP(CONCATENATE(LEFT($M50,2),"L"),$R$63:$T$91,3,FALSE),0)+IF(AND($M50="O3/CP",$M$14=E$18),VLOOKUP("O3",$R$63:$T$91,3,FALSE)+VLOOKUP("CP",$R$63:$T$91,3,FALSE),0)+IF(AND($N50&lt;&gt;"",$N50&lt;&gt;"--",$N50&lt;&gt;"O3/CP",$N$14=E$18),IF(LEFT($N50,1)="P",VLOOKUP(CONCATENATE(LEFT($N50,2),"H"),$R$63:$T$91,3,FALSE),VLOOKUP($N50,$R$63:$T$91,3,FALSE)))+IF(AND($N50&lt;&gt;"",$N50&lt;&gt;"O3/CP",$N$15=E$18,MID($N50,4,1)="2",$N$15&lt;&gt;$N$14),VLOOKUP(CONCATENATE(LEFT($N50,2),"L"),$R$63:$T$91,3,FALSE),0)+IF(AND($N50="O3/CP",$N$14=E$18),VLOOKUP("O3",$R$63:$T$91,3,FALSE)+VLOOKUP("CP",$R$63:$T$91,3,FALSE),0)+IF(AND($O50&lt;&gt;"",$O50&lt;&gt;"--",$O50&lt;&gt;"O3/CP",$O$14=E$18),IF(LEFT($O50,1)="P",VLOOKUP(CONCATENATE(LEFT($O50,2),"H"),$R$63:$T$91,3,FALSE),VLOOKUP($O50,$R$63:$T$91,3,FALSE)))+IF(AND($O50&lt;&gt;"",$O50&lt;&gt;"O3/CP",$O$15=E$18,MID($O50,4,1)="2",$O$15&lt;&gt;$O$14),VLOOKUP(CONCATENATE(LEFT($O50,2),"L"),$R$63:$T$91,3,FALSE),0)+IF(AND($O50="O3/CP",$O$14=E$18),VLOOKUP("O3",$R$63:$T$91,3,FALSE)+VLOOKUP("CP",$R$63:$T$91,3,FALSE),0)+IF(AND($P50&lt;&gt;"",$P50&lt;&gt;"--",$P50&lt;&gt;"O3/CP",$P$14=E$18),IF(LEFT($P50,1)="P",VLOOKUP(CONCATENATE(LEFT($P50,2),"H"),$R$63:$T$91,3,FALSE),VLOOKUP($P50,$R$63:$T$91,3,FALSE)))+IF(AND($P50&lt;&gt;"",$P50&lt;&gt;"O3/CP",$P$15=E$18,MID($P50,4,1)="2",$P$15&lt;&gt;$P$14),VLOOKUP(CONCATENATE(LEFT($P50,2),"L"),$R$63:$T$91,3,FALSE),0)+IF(AND($P50="O3/CP",$P$14=E$18),VLOOKUP("O3",$R$63:$T$91,3,FALSE)+VLOOKUP("CP",$R$63:$T$91,3,FALSE),0)+IF(AND($Q50&lt;&gt;"",$Q50&lt;&gt;"--",$Q50&lt;&gt;"O3/CP",$Q$14=E$18),IF(LEFT($Q50,1)="P",VLOOKUP(CONCATENATE(LEFT($Q50,2),"H"),$R$63:$T$91,3,FALSE),VLOOKUP($Q50,$R$63:$T$91,3,FALSE)))+IF(AND($Q50&lt;&gt;"",$Q50&lt;&gt;"O3/CP",$Q$15=E$18,MID($Q50,4,1)="2",$Q$15&lt;&gt;$Q$14),VLOOKUP(CONCATENATE(LEFT($Q50,2),"L"),$R$63:$T$91,3,FALSE),0)+IF(AND($Q50="O3/CP",$Q$14=E$18),VLOOKUP("O3",$R$63:$T$91,3,FALSE)+VLOOKUP("CP",$R$63:$T$91,3,FALSE),0)+IF(AND($R50&lt;&gt;"",$R50&lt;&gt;"--",$R50&lt;&gt;"O3/CP",$R$14=E$18),IF(LEFT($R50,1)="P",VLOOKUP(CONCATENATE(LEFT($R50,2),"H"),$R$63:$T$91,3,FALSE),VLOOKUP($R50,$R$63:$T$91,3,FALSE)))+IF(AND($R50&lt;&gt;"",$R50&lt;&gt;"O3/CP",$R$15=E$18,MID($R50,4,1)="2",$R$15&lt;&gt;$R$14),VLOOKUP(CONCATENATE(LEFT($R50,2),"L"),$R$63:$T$91,3,FALSE),0)+IF(AND($R50="O3/CP",$R$14=E$18),VLOOKUP("O3",$R$63:$T$91,3,FALSE)+VLOOKUP("CP",$R$63:$T$91,3,FALSE),0)+IF(AND($S50&lt;&gt;"",$S50&lt;&gt;"--",$S50&lt;&gt;"O3/CP",$S$14=E$18),IF(LEFT($S50,1)="P",VLOOKUP(CONCATENATE(LEFT($S50,2),"H"),$R$63:$T$91,3,FALSE),VLOOKUP($S50,$R$63:$T$91,3,FALSE)))+IF(AND($S50&lt;&gt;"",$S50&lt;&gt;"O3/CP",$S$15=E$18,MID($S50,4,1)="2",$S$15&lt;&gt;$S$14),VLOOKUP(CONCATENATE(LEFT($S50,2),"L"),$R$63:$T$91,3,FALSE),0)+IF(AND($S50="O3/CP",$S$14=E$18),VLOOKUP("O3",$R$63:$T$91,3,FALSE)+VLOOKUP("CP",$R$63:$T$91,3,FALSE),0)+IF(AND($T50&lt;&gt;"",$T50&lt;&gt;"--",$T50&lt;&gt;"O3/CP",$T$14=E$18),IF(LEFT($T50,1)="P",VLOOKUP(CONCATENATE(LEFT($T50,2),"H"),$R$63:$T$91,3,FALSE),VLOOKUP($T50,$R$63:$T$91,3,FALSE)))+IF(AND($T50&lt;&gt;"",$T50&lt;&gt;"O3/CP",$T$15=E$18,MID($T50,4,1)="2",$T$15&lt;&gt;$T$14),VLOOKUP(CONCATENATE(LEFT($T50,2),"L"),$R$63:$T$91,3,FALSE),0)+IF(AND($T50="O3/CP",$T$14=E$18),VLOOKUP("O3",$R$63:$T$91,3,FALSE)+VLOOKUP("CP",$R$63:$T$91,3,FALSE),0)+IF(AND($U50&lt;&gt;"",$U50&lt;&gt;"--",$U50&lt;&gt;"O3/CP",$U$14=E$18),IF(LEFT($U50,1)="P",VLOOKUP(CONCATENATE(LEFT($U50,2),"H"),$R$63:$T$91,3,FALSE),VLOOKUP($U50,$R$63:$T$91,3,FALSE)))+IF(AND($U50&lt;&gt;"",$U50&lt;&gt;"O3/CP",$U$15=E$18,MID($U50,4,1)="2",$U$15&lt;&gt;$U$14),VLOOKUP(CONCATENATE(LEFT($U50,2),"L"),$R$63:$T$91,3,FALSE),0)+IF(AND($U50="O3/CP",$T$14=E$18),VLOOKUP("O3",$R$63:$T$91,3,FALSE)+VLOOKUP("CP",$R$63:$T$91,3,FALSE),0)+IF(AND($V50&lt;&gt;"",$V50&lt;&gt;"--",$V50&lt;&gt;"O3/CP",$V$14=E$18),IF(LEFT($V50,1)="P",VLOOKUP(CONCATENATE(LEFT($V50,2),"H"),$R$63:$T$91,3,FALSE),VLOOKUP($V50,$R$63:$T$91,3,FALSE)))+IF(AND($V50&lt;&gt;"",$V50&lt;&gt;"O3/CP",$V$15=E$18,MID($V50,4,1)="2",$V$15&lt;&gt;$V$14),VLOOKUP(CONCATENATE(LEFT($V50,2),"L"),$R$63:$T$91,3,FALSE),0)+IF(AND($V50="O3/CP",$V$14=E$18),VLOOKUP("O3",$R$63:$T$91,3,FALSE)+VLOOKUP("CP",$R$63:$T$91,3,FALSE),0)+IF(AND($W50&lt;&gt;"",$W50&lt;&gt;"--",$W50&lt;&gt;"O3/CP",$W$14=E$18),IF(LEFT($W50,1)="P",VLOOKUP(CONCATENATE(LEFT($W50,2),"H"),$R$63:$T$91,3,FALSE),VLOOKUP($W50,$R$63:$T$91,3,FALSE)))+IF(AND($W50&lt;&gt;"",$W50&lt;&gt;"O3/CP",$W$15=E$18,MID($W50,4,1)="2",$W$15&lt;&gt;$W$14),VLOOKUP(CONCATENATE(LEFT($W50,2),"L"),$R$63:$T$91,3,FALSE),0)+IF(AND($W50="O3/CP",$W$14=E$18),VLOOKUP("O3",$R$63:$T$91,3,FALSE)+VLOOKUP("CP",$R$63:$T$91,3,FALSE),0)+IF(AND($X50&lt;&gt;"",$X50&lt;&gt;"--",$X50&lt;&gt;"O3/CP",$X$14=E$18),IF(LEFT($X50,1)="P",VLOOKUP(CONCATENATE(LEFT($X50,2),"H"),$R$63:$T$91,3,FALSE),VLOOKUP($X50,$R$63:$T$91,3,FALSE)))+IF(AND($X50&lt;&gt;"",$X50&lt;&gt;"O3/CP",$X$15=E$18,MID($X50,4,1)="2",$X$15&lt;&gt;$X$14),VLOOKUP(CONCATENATE(LEFT($X50,2),"L"),$R$63:$T$91,3,FALSE),0)+IF(AND($X50="O3/CP",$X$14=E$18),VLOOKUP("O3",$R$63:$T$91,3,FALSE)+VLOOKUP("CP",$R$63:$T$91,3,FALSE),0)+IF(AND($Y50&lt;&gt;"",$Y50&lt;&gt;"--",$Y50&lt;&gt;"O3/CP",$Y$14=E$18),IF(LEFT($Y50,1)="P",VLOOKUP(CONCATENATE(LEFT($Y50,2),"H"),$R$63:$T$91,3,FALSE),VLOOKUP($Y50,$R$63:$T$91,3,FALSE)))+IF(AND($Y50&lt;&gt;"",$Y50&lt;&gt;"O3/CP",$Y$15=E$18,MID($Y50,4,1)="2",$Y$15&lt;&gt;$Y$14),VLOOKUP(CONCATENATE(LEFT($Y50,2),"L"),$R$63:$T$91,3,FALSE),0)+IF(AND($Y50="O3/CP",$Y$14=E$18),VLOOKUP("O3",$R$63:$T$91,3,FALSE)+VLOOKUP("CP",$R$63:$T$91,3,FALSE),0)+IF(AND($K$6="CE",'[3]Supply Attribution'!$G$20=E$18),LEFT($S$90,2),0)+IF(AND($X$86&lt;&gt;"Not Set",$X$87=E$18),$X$86,0)</f>
        <v>0</v>
      </c>
      <c r="F50" s="268">
        <f>IF(AND($K50&lt;&gt;"",$K50&lt;&gt;"--",$K50&lt;&gt;"O3/CP",$K$14=F$18),IF(LEFT($K50,1)="P",VLOOKUP(CONCATENATE(LEFT($K50,2),"H"),$R$63:$T$91,3,FALSE),VLOOKUP($K50,$R$63:$T$91,3,FALSE)))+IF(AND($K50&lt;&gt;"",$K50&lt;&gt;"O3/CP",$K$15=F$18,MID($K50,4,1)="2",$K$15&lt;&gt;$K$14),VLOOKUP(CONCATENATE(LEFT($K50,2),"L"),$R$63:$T$91,3,FALSE),0)+IF(AND($K50="O3/CP",$K$14=F$18),VLOOKUP("O3",$R$63:$T$91,3,FALSE)+VLOOKUP("CP",$R$63:$T$91,3,FALSE),0)+IF(AND($L50&lt;&gt;"",$L50&lt;&gt;"--",$L50&lt;&gt;"O3/CP",$L$14=F$18),IF(LEFT($L50,1)="P",VLOOKUP(CONCATENATE(LEFT($L50,2),"H"),$R$63:$T$91,3,FALSE),VLOOKUP($L50,$R$63:$T$91,3,FALSE)))+IF(AND($L50&lt;&gt;"",$L50&lt;&gt;"O3/CP",$L$15=F$18,MID($L50,4,1)="2",$L$15&lt;&gt;$L$14),VLOOKUP(CONCATENATE(LEFT($L50,2),"L"),$R$63:$T$91,3,FALSE),0)+IF(AND($L50="O3/CP",$L$14=F$18),VLOOKUP("O3",$R$63:$T$91,3,FALSE)+VLOOKUP("CP",$R$63:$T$91,3,FALSE),0)+IF(AND($M50&lt;&gt;"",$M50&lt;&gt;"--",$M50&lt;&gt;"O3/CP",$M$14=F$18),IF(LEFT($M50,1)="P",VLOOKUP(CONCATENATE(LEFT($M50,2),"H"),$R$63:$T$91,3,FALSE),VLOOKUP($M50,$R$63:$T$91,3,FALSE)))+IF(AND($M50&lt;&gt;"",$M50&lt;&gt;"O3/CP",$M$15=F$18,MID($M50,4,1)="2",$M$15&lt;&gt;$M$14),VLOOKUP(CONCATENATE(LEFT($M50,2),"L"),$R$63:$T$91,3,FALSE),0)+IF(AND($M50="O3/CP",$M$14=F$18),VLOOKUP("O3",$R$63:$T$91,3,FALSE)+VLOOKUP("CP",$R$63:$T$91,3,FALSE),0)+IF(AND($N50&lt;&gt;"",$N50&lt;&gt;"--",$N50&lt;&gt;"O3/CP",$N$14=F$18),IF(LEFT($N50,1)="P",VLOOKUP(CONCATENATE(LEFT($N50,2),"H"),$R$63:$T$91,3,FALSE),VLOOKUP($N50,$R$63:$T$91,3,FALSE)))+IF(AND($N50&lt;&gt;"",$N50&lt;&gt;"O3/CP",$N$15=F$18,MID($N50,4,1)="2",$N$15&lt;&gt;$N$14),VLOOKUP(CONCATENATE(LEFT($N50,2),"L"),$R$63:$T$91,3,FALSE),0)+IF(AND($N50="O3/CP",$N$14=F$18),VLOOKUP("O3",$R$63:$T$91,3,FALSE)+VLOOKUP("CP",$R$63:$T$91,3,FALSE),0)+IF(AND($O50&lt;&gt;"",$O50&lt;&gt;"--",$O50&lt;&gt;"O3/CP",$O$14=F$18),IF(LEFT($O50,1)="P",VLOOKUP(CONCATENATE(LEFT($O50,2),"H"),$R$63:$T$91,3,FALSE),VLOOKUP($O50,$R$63:$T$91,3,FALSE)))+IF(AND($O50&lt;&gt;"",$O50&lt;&gt;"O3/CP",$O$15=F$18,MID($O50,4,1)="2",$O$15&lt;&gt;$O$14),VLOOKUP(CONCATENATE(LEFT($O50,2),"L"),$R$63:$T$91,3,FALSE),0)+IF(AND($O50="O3/CP",$O$14=F$18),VLOOKUP("O3",$R$63:$T$91,3,FALSE)+VLOOKUP("CP",$R$63:$T$91,3,FALSE),0)+IF(AND($P50&lt;&gt;"",$P50&lt;&gt;"--",$P50&lt;&gt;"O3/CP",$P$14=F$18),IF(LEFT($P50,1)="P",VLOOKUP(CONCATENATE(LEFT($P50,2),"H"),$R$63:$T$91,3,FALSE),VLOOKUP($P50,$R$63:$T$91,3,FALSE)))+IF(AND($P50&lt;&gt;"",$P50&lt;&gt;"O3/CP",$P$15=F$18,MID($P50,4,1)="2",$P$15&lt;&gt;$P$14),VLOOKUP(CONCATENATE(LEFT($P50,2),"L"),$R$63:$T$91,3,FALSE),0)+IF(AND($P50="O3/CP",$P$14=F$18),VLOOKUP("O3",$R$63:$T$91,3,FALSE)+VLOOKUP("CP",$R$63:$T$91,3,FALSE),0)+IF(AND($Q50&lt;&gt;"",$Q50&lt;&gt;"--",$Q50&lt;&gt;"O3/CP",$Q$14=F$18),IF(LEFT($Q50,1)="P",VLOOKUP(CONCATENATE(LEFT($Q50,2),"H"),$R$63:$T$91,3,FALSE),VLOOKUP($Q50,$R$63:$T$91,3,FALSE)))+IF(AND($Q50&lt;&gt;"",$Q50&lt;&gt;"O3/CP",$Q$15=F$18,MID($Q50,4,1)="2",$Q$15&lt;&gt;$Q$14),VLOOKUP(CONCATENATE(LEFT($Q50,2),"L"),$R$63:$T$91,3,FALSE),0)+IF(AND($Q50="O3/CP",$Q$14=F$18),VLOOKUP("O3",$R$63:$T$91,3,FALSE)+VLOOKUP("CP",$R$63:$T$91,3,FALSE),0)+IF(AND($R50&lt;&gt;"",$R50&lt;&gt;"--",$R50&lt;&gt;"O3/CP",$R$14=F$18),IF(LEFT($R50,1)="P",VLOOKUP(CONCATENATE(LEFT($R50,2),"H"),$R$63:$T$91,3,FALSE),VLOOKUP($R50,$R$63:$T$91,3,FALSE)))+IF(AND($R50&lt;&gt;"",$R50&lt;&gt;"O3/CP",$R$15=F$18,MID($R50,4,1)="2",$R$15&lt;&gt;$R$14),VLOOKUP(CONCATENATE(LEFT($R50,2),"L"),$R$63:$T$91,3,FALSE),0)+IF(AND($R50="O3/CP",$R$14=F$18),VLOOKUP("O3",$R$63:$T$91,3,FALSE)+VLOOKUP("CP",$R$63:$T$91,3,FALSE),0)+IF(AND($S50&lt;&gt;"",$S50&lt;&gt;"--",$S50&lt;&gt;"O3/CP",$S$14=F$18),IF(LEFT($S50,1)="P",VLOOKUP(CONCATENATE(LEFT($S50,2),"H"),$R$63:$T$91,3,FALSE),VLOOKUP($S50,$R$63:$T$91,3,FALSE)))+IF(AND($S50&lt;&gt;"",$S50&lt;&gt;"O3/CP",$S$15=F$18,MID($S50,4,1)="2",$S$15&lt;&gt;$S$14),VLOOKUP(CONCATENATE(LEFT($S50,2),"L"),$R$63:$T$91,3,FALSE),0)+IF(AND($S50="O3/CP",$S$14=F$18),VLOOKUP("O3",$R$63:$T$91,3,FALSE)+VLOOKUP("CP",$R$63:$T$91,3,FALSE),0)+IF(AND($T50&lt;&gt;"",$T50&lt;&gt;"--",$T50&lt;&gt;"O3/CP",$T$14=F$18),IF(LEFT($T50,1)="P",VLOOKUP(CONCATENATE(LEFT($T50,2),"H"),$R$63:$T$91,3,FALSE),VLOOKUP($T50,$R$63:$T$91,3,FALSE)))+IF(AND($T50&lt;&gt;"",$T50&lt;&gt;"O3/CP",$T$15=F$18,MID($T50,4,1)="2",$T$15&lt;&gt;$T$14),VLOOKUP(CONCATENATE(LEFT($T50,2),"L"),$R$63:$T$91,3,FALSE),0)+IF(AND($T50="O3/CP",$T$14=F$18),VLOOKUP("O3",$R$63:$T$91,3,FALSE)+VLOOKUP("CP",$R$63:$T$91,3,FALSE),0)+IF(AND($U50&lt;&gt;"",$U50&lt;&gt;"--",$U50&lt;&gt;"O3/CP",$U$14=F$18),IF(LEFT($U50,1)="P",VLOOKUP(CONCATENATE(LEFT($U50,2),"H"),$R$63:$T$91,3,FALSE),VLOOKUP($U50,$R$63:$T$91,3,FALSE)))+IF(AND($U50&lt;&gt;"",$U50&lt;&gt;"O3/CP",$U$15=F$18,MID($U50,4,1)="2",$U$15&lt;&gt;$U$14),VLOOKUP(CONCATENATE(LEFT($U50,2),"L"),$R$63:$T$91,3,FALSE),0)+IF(AND($U50="O3/CP",$T$14=F$18),VLOOKUP("O3",$R$63:$T$91,3,FALSE)+VLOOKUP("CP",$R$63:$T$91,3,FALSE),0)+IF(AND($V50&lt;&gt;"",$V50&lt;&gt;"--",$V50&lt;&gt;"O3/CP",$V$14=F$18),IF(LEFT($V50,1)="P",VLOOKUP(CONCATENATE(LEFT($V50,2),"H"),$R$63:$T$91,3,FALSE),VLOOKUP($V50,$R$63:$T$91,3,FALSE)))+IF(AND($V50&lt;&gt;"",$V50&lt;&gt;"O3/CP",$V$15=F$18,MID($V50,4,1)="2",$V$15&lt;&gt;$V$14),VLOOKUP(CONCATENATE(LEFT($V50,2),"L"),$R$63:$T$91,3,FALSE),0)+IF(AND($V50="O3/CP",$V$14=F$18),VLOOKUP("O3",$R$63:$T$91,3,FALSE)+VLOOKUP("CP",$R$63:$T$91,3,FALSE),0)+IF(AND($W50&lt;&gt;"",$W50&lt;&gt;"--",$W50&lt;&gt;"O3/CP",$W$14=F$18),IF(LEFT($W50,1)="P",VLOOKUP(CONCATENATE(LEFT($W50,2),"H"),$R$63:$T$91,3,FALSE),VLOOKUP($W50,$R$63:$T$91,3,FALSE)))+IF(AND($W50&lt;&gt;"",$W50&lt;&gt;"O3/CP",$W$15=F$18,MID($W50,4,1)="2",$W$15&lt;&gt;$W$14),VLOOKUP(CONCATENATE(LEFT($W50,2),"L"),$R$63:$T$91,3,FALSE),0)+IF(AND($W50="O3/CP",$W$14=F$18),VLOOKUP("O3",$R$63:$T$91,3,FALSE)+VLOOKUP("CP",$R$63:$T$91,3,FALSE),0)+IF(AND($X50&lt;&gt;"",$X50&lt;&gt;"--",$X50&lt;&gt;"O3/CP",$X$14=F$18),IF(LEFT($X50,1)="P",VLOOKUP(CONCATENATE(LEFT($X50,2),"H"),$R$63:$T$91,3,FALSE),VLOOKUP($X50,$R$63:$T$91,3,FALSE)))+IF(AND($X50&lt;&gt;"",$X50&lt;&gt;"O3/CP",$X$15=F$18,MID($X50,4,1)="2",$X$15&lt;&gt;$X$14),VLOOKUP(CONCATENATE(LEFT($X50,2),"L"),$R$63:$T$91,3,FALSE),0)+IF(AND($X50="O3/CP",$X$14=F$18),VLOOKUP("O3",$R$63:$T$91,3,FALSE)+VLOOKUP("CP",$R$63:$T$91,3,FALSE),0)+IF(AND($Y50&lt;&gt;"",$Y50&lt;&gt;"--",$Y50&lt;&gt;"O3/CP",$Y$14=F$18),IF(LEFT($Y50,1)="P",VLOOKUP(CONCATENATE(LEFT($Y50,2),"H"),$R$63:$T$91,3,FALSE),VLOOKUP($Y50,$R$63:$T$91,3,FALSE)))+IF(AND($Y50&lt;&gt;"",$Y50&lt;&gt;"O3/CP",$Y$15=F$18,MID($Y50,4,1)="2",$Y$15&lt;&gt;$Y$14),VLOOKUP(CONCATENATE(LEFT($Y50,2),"L"),$R$63:$T$91,3,FALSE),0)+IF(AND($Y50="O3/CP",$Y$14=F$18),VLOOKUP("O3",$R$63:$T$91,3,FALSE)+VLOOKUP("CP",$R$63:$T$91,3,FALSE),0)+IF(AND($K$6="CE",'[3]Supply Attribution'!$G$20=F$18),LEFT($S$90,2),0)+IF(AND($X$86&lt;&gt;"Not Set",$X$87=F$18),$X$86,0)</f>
        <v>0</v>
      </c>
      <c r="G50" s="269">
        <f>IF(AND($K$6="CE",$T$59="1 Phase"),SUM(A50:F50)-IF(AND($K$14&lt;&gt;$K$15,RIGHT($K50,3)="2SP"),VLOOKUP(CONCATENATE(LEFT($K50,2),"L"),$R$63:$T$90,3,FALSE),0)-IF(AND($L$14&lt;&gt;$L$15,RIGHT($L50,3)="2SP"),VLOOKUP(CONCATENATE(LEFT($L50,2),"L"),$R$63:$T$90,3,FALSE),0)-IF(AND($M$14&lt;&gt;$M$15,RIGHT($M50,3)="2SP"),VLOOKUP(CONCATENATE(LEFT($M50,2),"L"),$R$63:$T$90,3,FALSE),0)-IF(AND($N$14&lt;&gt;$N$15,RIGHT($N50,3)="2SP"),VLOOKUP(CONCATENATE(LEFT($N50,2),"L"),$R$63:$T$90,3,FALSE),0)-IF(AND($O$14&lt;&gt;$O$15,RIGHT($O50,3)="2SP"),VLOOKUP(CONCATENATE(LEFT($O50,2),"L"),$R$63:$T$90,3,FALSE),0)-IF(AND($P$14&lt;&gt;$P$15,RIGHT($P50,3)="2SP"),VLOOKUP(CONCATENATE(LEFT($P50,2),"L"),$R$63:$T$90,3,FALSE),0)-IF(AND($Q$14&lt;&gt;$Q$15,RIGHT($Q50,3)="2SP"),VLOOKUP(CONCATENATE(LEFT($Q50,2),"L"),$R$63:$T$90,3,FALSE),0)-IF(AND($R$14&lt;&gt;$R$15,RIGHT($T50,3)="2SP"),VLOOKUP(CONCATENATE(LEFT($R50,2),"L"),$R$63:$T$90,3,FALSE),0)-IF(AND($S$14&lt;&gt;$S$15,RIGHT($T50,3)="2SP"),VLOOKUP(CONCATENATE(LEFT($S50,2),"L"),$R$63:$T$90,3,FALSE),0)-IF(AND($T$14&lt;&gt;$T$15,RIGHT($T50,3)="2SP"),VLOOKUP(CONCATENATE(LEFT($T50,2),"L"),$R$63:$T$90,3,FALSE),0)-IF(AND($U$14&lt;&gt;$U$15,RIGHT($U50,3)="2SP"),VLOOKUP(CONCATENATE(LEFT($U50,2),"L"),$R$63:$T$90,3,FALSE),0)-IF(AND($V$14&lt;&gt;$V$15,RIGHT($V50,3)="2SP"),VLOOKUP(CONCATENATE(LEFT($V50,2),"L"),$R$63:$T$90,3,FALSE),0)-IF(AND($W$14&lt;&gt;$W$15,RIGHT($W50,3)="2SP"),VLOOKUP(CONCATENATE(LEFT($W50,2),"L"),$R$63:$T$90,3,FALSE),0)-IF(AND($X$14&lt;&gt;$X$15,RIGHT($X50,3)="2SP"),VLOOKUP(CONCATENATE(LEFT($X50,2),"L"),$R$63:$T$90,3,FALSE),0)-IF(AND($Y$14&lt;&gt;$Y$15,RIGHT($Y50,3)="2SP"),VLOOKUP(CONCATENATE(LEFT($Y50,2),"L"),$R$63:$T$90,3,FALSE),0),IF(VLOOKUP(CONCATENATE($A$18,"Line"),'[3]Supply Attribution'!$F$31:$G$37,2,FALSE)=G$18,$A50,0)+IF(VLOOKUP(CONCATENATE($B$18,"Line"),'[3]Supply Attribution'!$F$31:$G$37,2,FALSE)=G$18,$B50,0)+IF(VLOOKUP(CONCATENATE($C$18,"Line"),'[3]Supply Attribution'!$F$31:$G$37,2,FALSE)=G$18,$C50,0)+IF(VLOOKUP(CONCATENATE($D$18,"Line"),'[3]Supply Attribution'!$F$31:$G$37,2,FALSE)=G$18,$D50,0)+IF(VLOOKUP(CONCATENATE($E$18,"Line"),'[3]Supply Attribution'!$F$31:$G$37,2,FALSE)=G$18,$E50,0)+IF(VLOOKUP(CONCATENATE($F$18,"Line"),'[3]Supply Attribution'!$F$31:$G$37,2,FALSE)=G$18,$F50,0)+IF($K$6="UL",LEFT($S$90,2),0)-IF(AND($K$16=G$18,$K$14&lt;&gt;$K$15,$K$16=$K$17,RIGHT($K50,3)="2SP"),VLOOKUP(CONCATENATE(LEFT($K50,2),"L"),$R$63:$T$90,3,FALSE),0)-IF(AND($L$16=G$18,$L$14&lt;&gt;$L$15,$L$16=$L$17,RIGHT($L50,3)="2SP"),VLOOKUP(CONCATENATE(LEFT($L50,2),"L"),$R$63:$T$90,3,FALSE),0)-IF(AND($M$16=G$18,$M$14&lt;&gt;$M$15,$M$16=$M$17,RIGHT($M50,3)="2SP"),VLOOKUP(CONCATENATE(LEFT($M50,2),"L"),$R$63:$T$90,3,FALSE),0)-IF(AND($N$16=G$18,$N$14&lt;&gt;$N$15,$N$16=$N$17,RIGHT($N50,3)="2SP"),VLOOKUP(CONCATENATE(LEFT($N50,2),"L"),$R$63:$T$90,3,FALSE),0)-IF(AND($O$16=G$18,$O$14&lt;&gt;$O$15,$O$16=$O$17,RIGHT($O50,3)="2SP"),VLOOKUP(CONCATENATE(LEFT($O50,2),"L"),$R$63:$T$90,3,FALSE),0)-IF(AND($P$16=G$18,$P$14&lt;&gt;$P$15,$P$16=$P$17,RIGHT($P50,3)="2SP"),VLOOKUP(CONCATENATE(LEFT($P50,2),"L"),$R$63:$T$90,3,FALSE),0)-IF(AND($Q$16=G$18,$Q$14&lt;&gt;$Q$15,$Q$16=$Q$17,RIGHT($Q50,3)="2SP"),VLOOKUP(CONCATENATE(LEFT($Q50,2),"L"),$R$63:$T$90,3,FALSE),0)-IF(AND($R$16=G$18,$R$14&lt;&gt;$R$15,$R$16=$R$17,RIGHT($R50,3)="2SP"),VLOOKUP(CONCATENATE(LEFT($R50,2),"L"),$R$63:$T$90,3,FALSE),0)-IF(AND($S$16=G$18,$S$14&lt;&gt;$S$15,$S$16=$S$17,RIGHT($S50,3)="2SP"),VLOOKUP(CONCATENATE(LEFT($S50,2),"L"),$R$63:$T$90,3,FALSE),0)-IF(AND($T$16=G$18,$T$14&lt;&gt;$T$15,$T$16=$T$17,RIGHT($T50,3)="2SP"),VLOOKUP(CONCATENATE(LEFT($T50,2),"L"),$R$63:$T$90,3,FALSE),0)-IF(AND($U$16=G$18,$U$14&lt;&gt;$U$15,$U$16=$U$17,RIGHT($U50,3)="2SP"),VLOOKUP(CONCATENATE(LEFT($U50,2),"L"),$R$63:$T$90,3,FALSE),0)-IF(AND($V$16=G$18,$V$14&lt;&gt;$V$15,$V$16=$V$17,RIGHT($V50,3)="2SP"),VLOOKUP(CONCATENATE(LEFT($V50,2),"L"),$R$63:$T$90,3,FALSE),0)-IF(AND($W$16=G$18,$W$14&lt;&gt;$W$15,$W$16=$W$17,RIGHT($W50,3)="2SP"),VLOOKUP(CONCATENATE(LEFT($W50,2),"L"),$R$63:$T$90,3,FALSE),0)-IF(AND($X$16=G$18,$X$14&lt;&gt;$X$15,$X$16=$X$17,RIGHT($X50,3)="2SP"),VLOOKUP(CONCATENATE(LEFT($X50,2),"L"),$R$63:$T$90,3,FALSE),0)-IF(AND($Y$16=G$18,$Y$14&lt;&gt;$Y$15,$Y$16=$Y$17,RIGHT($Y50,3)="2SP"),VLOOKUP(CONCATENATE(LEFT($Y50,2),"L"),$R$63:$T$90,3,FALSE),0))</f>
        <v>17</v>
      </c>
      <c r="H50" s="269" t="str">
        <f>IF(H$18&lt;&gt;"",IF(VLOOKUP(CONCATENATE($A$18,"Line"),'Supply Attribution'!$F$31:$G$37,2,FALSE)=H$18,$A50,0)+IF(VLOOKUP(CONCATENATE($B$18,"Line"),'Supply Attribution'!$F$31:$G$37,2,FALSE)=H$18,$B50,0)+IF(VLOOKUP(CONCATENATE($C$18,"Line"),'Supply Attribution'!$F$31:$G$37,2,FALSE)=H$18,$C50,0)+IF(VLOOKUP(CONCATENATE($D$18,"Line"),'Supply Attribution'!$F$31:$G$37,2,FALSE)=H$18,$D50,0)+IF(VLOOKUP(CONCATENATE($E$18,"Line"),'Supply Attribution'!$F$31:$G$37,2,FALSE)=H$18,$E50,0)+IF(VLOOKUP(CONCATENATE($F$18,"Line"),'Supply Attribution'!$F$31:$G$37,2,FALSE)=H$18,$F50,0)+IF($K$6="UL",LEFT($S$90,2),0)-IF(AND($K$16=H$18,$K$14&lt;&gt;$K$15,$K$16=$K$17,RIGHT($K50,3)="2SP"),VLOOKUP(CONCATENATE(LEFT($K50,2),"L"),$R$63:$T$90,3,FALSE),0)-IF(AND($L$16=H$18,$L$14&lt;&gt;$L$15,$L$16=$L$17,RIGHT($L50,3)="2SP"),VLOOKUP(CONCATENATE(LEFT($L50,2),"L"),$R$63:$T$90,3,FALSE),0)-IF(AND($M$16=H$18,$M$14&lt;&gt;$M$15,$M$16=$M$17,RIGHT($M50,3)="2SP"),VLOOKUP(CONCATENATE(LEFT($M50,2),"L"),$R$63:$T$90,3,FALSE),0)-IF(AND($N$16=H$18,$N$14&lt;&gt;$N$15,$N$16=$N$17,RIGHT($N50,3)="2SP"),VLOOKUP(CONCATENATE(LEFT($N50,2),"L"),$R$63:$T$90,3,FALSE),0)-IF(AND($O$16=H$18,$O$14&lt;&gt;$O$15,$O$16=$O$17,RIGHT($O50,3)="2SP"),VLOOKUP(CONCATENATE(LEFT($O50,2),"L"),$R$63:$T$90,3,FALSE),0)-IF(AND($P$16=H$18,$P$14&lt;&gt;$P$15,$P$16=$P$17,RIGHT($P50,3)="2SP"),VLOOKUP(CONCATENATE(LEFT($P50,2),"L"),$R$63:$T$90,3,FALSE),0)-IF(AND($Q$16=H$18,$Q$14&lt;&gt;$Q$15,$Q$16=$Q$17,RIGHT($Q50,3)="2SP"),VLOOKUP(CONCATENATE(LEFT($Q50,2),"L"),$R$63:$T$90,3,FALSE),0)-IF(AND($T$16=H$18,$T$14&lt;&gt;$T$15,$T$16=$T$17,RIGHT($T50,3)="2SP"),VLOOKUP(CONCATENATE(LEFT($T50,2),"L"),$R$63:$T$90,3,FALSE),0)-IF(AND($U$16=H$18,$U$14&lt;&gt;$U$15,$U$16=$U$17,RIGHT($U50,3)="2SP"),VLOOKUP(CONCATENATE(LEFT($U50,2),"L"),$R$63:$T$90,3,FALSE),0)-IF(AND($V$16=H$18,$V$14&lt;&gt;$V$15,$V$16=$V$17,RIGHT($V50,3)="2SP"),VLOOKUP(CONCATENATE(LEFT($V50,2),"L"),$R$63:$T$90,3,FALSE),0)-IF(AND($W$16=H$18,$W$14&lt;&gt;$W$15,$W$16=$W$17,RIGHT($W50,3)="2SP"),VLOOKUP(CONCATENATE(LEFT($W50,2),"L"),$R$63:$T$90,3,FALSE),0)-IF(AND($X$16=H$18,$X$14&lt;&gt;$X$15,$X$16=$X$17,RIGHT($X50,3)="2SP"),VLOOKUP(CONCATENATE(LEFT($X50,2),"L"),$R$63:$T$90,3,FALSE),0)-IF(AND($Y$16=H$18,$Y$14&lt;&gt;$Y$15,$Y$16=$Y$17,RIGHT($Y50,3)="2SP"),VLOOKUP(CONCATENATE(LEFT($Y50,2),"L"),$R$63:$T$90,3,FALSE),0)+IF(AND($K$6="CE",$T$59="2 Phases",H$18&lt;&gt;""),IF(VLOOKUP(CONCATENATE($A$18,"Line"),'Supply Attribution'!$F$31:$G$37,2,FALSE)="Line3",$A50,0)+IF(VLOOKUP(CONCATENATE($B$18,"Line"),'Supply Attribution'!$F$31:$G$37,2,FALSE)="Line3",$B50,0)+IF(VLOOKUP(CONCATENATE($C$18,"Line"),'Supply Attribution'!$F$31:$G$37,2,FALSE)="Line3",$C50,0)+IF(VLOOKUP(CONCATENATE($D$18,"Line"),'Supply Attribution'!$F$31:$G$37,2,FALSE)="Line3",$D50,0)+IF(VLOOKUP(CONCATENATE($E$18,"Line"),'Supply Attribution'!$F$31:$G$37,2,FALSE)="Line3",$E50,0)+IF(VLOOKUP(CONCATENATE($F$18,"Line"),'Supply Attribution'!$F$31:$G$37,2,FALSE)="Line3",$F50,0)-IF(AND($K$16=I$18,$K$14&lt;&gt;$K$15,$K$16=$K$17,RIGHT($K50,3)="2SP"),VLOOKUP(CONCATENATE(LEFT($K50,2),"L"),$R$63:$T$90,3,FALSE),0)-IF(AND($L$16=I$18,$L$14&lt;&gt;$L$15,$L$16=$L$17,RIGHT($L50,3)="2SP"),VLOOKUP(CONCATENATE(LEFT($L50,2),"L"),$R$63:$T$90,3,FALSE),0)-IF(AND($M$16=I$18,$M$14&lt;&gt;$M$15,$M$16=$M$17,RIGHT($M50,3)="2SP"),VLOOKUP(CONCATENATE(LEFT($M50,2),"L"),$R$63:$T$90,3,FALSE),0)-IF(AND($N$16=I$18,$N$14&lt;&gt;$N$15,$N$16=$N$17,RIGHT($N50,3)="2SP"),VLOOKUP(CONCATENATE(LEFT($N50,2),"L"),$R$63:$T$90,3,FALSE),0)-IF(AND($O$16=I$18,$O$14&lt;&gt;$O$15,$O$16=$O$17,RIGHT($O50,3)="2SP"),VLOOKUP(CONCATENATE(LEFT($O50,2),"L"),$R$63:$T$90,3,FALSE),0)-IF(AND($P$16=I$18,$P$14&lt;&gt;$P$15,$P$16=$P$17,RIGHT($P50,3)="2SP"),VLOOKUP(CONCATENATE(LEFT($P50,2),"L"),$R$63:$T$90,3,FALSE),0)-IF(AND($Q$16=I$18,$Q$14&lt;&gt;$Q$15,$Q$16=$Q$17,RIGHT($Q50,3)="2SP"),VLOOKUP(CONCATENATE(LEFT($Q50,2),"L"),$R$63:$T$90,3,FALSE),0)-IF(AND($T$16=I$18,$T$14&lt;&gt;$T$15,$T$16=$T$17,RIGHT($T50,3)="2SP"),VLOOKUP(CONCATENATE(LEFT($T50,2),"L"),$R$63:$T$90,3,FALSE),0)-IF(AND($U$16=I$18,$U$14&lt;&gt;$U$15,$U$16=$U$17,RIGHT($U50,3)="2SP"),VLOOKUP(CONCATENATE(LEFT($U50,2),"L"),$R$63:$T$90,3,FALSE),0)-IF(AND($V$16=I$18,$V$14&lt;&gt;$V$15,$V$16=$V$17,RIGHT($V50,3)="2SP"),VLOOKUP(CONCATENATE(LEFT($V50,2),"L"),$R$63:$T$90,3,FALSE),0)-IF(AND($W$16=I$18,$W$14&lt;&gt;$W$15,$W$16=$W$17,RIGHT($W50,3)="2SP"),VLOOKUP(CONCATENATE(LEFT($W50,2),"L"),$R$63:$T$90,3,FALSE),0)-IF(AND($X$16=I$18,$X$14&lt;&gt;$X$15,$X$16=$X$17,RIGHT($X50,3)="2SP"),VLOOKUP(CONCATENATE(LEFT($X50,2),"L"),$R$63:$T$90,3,FALSE),0)-IF(AND($Y$16=I$18,$Y$14&lt;&gt;$Y$15,$Y$16=$Y$17,RIGHT($Y50,3)="2SP"),VLOOKUP(CONCATENATE(LEFT($Y50,2),"L"),$R$63:$T$90,3,FALSE),0),0),"")</f>
        <v/>
      </c>
      <c r="I50" s="269" t="str">
        <f>IF(I$18&lt;&gt;"",IF(VLOOKUP(CONCATENATE($A$18,"Line"),'Supply Attribution'!$F$31:$G$37,2,FALSE)=I$18,$A50,0)+IF(VLOOKUP(CONCATENATE($B$18,"Line"),'Supply Attribution'!$F$31:$G$37,2,FALSE)=I$18,$B50,0)+IF(VLOOKUP(CONCATENATE($C$18,"Line"),'Supply Attribution'!$F$31:$G$37,2,FALSE)=I$18,$C50,0)+IF(VLOOKUP(CONCATENATE($D$18,"Line"),'Supply Attribution'!$F$31:$G$37,2,FALSE)=I$18,$D50,0)+IF(VLOOKUP(CONCATENATE($E$18,"Line"),'Supply Attribution'!$F$31:$G$37,2,FALSE)=I$18,$E50,0)+IF(VLOOKUP(CONCATENATE($F$18,"Line"),'Supply Attribution'!$F$31:$G$37,2,FALSE)=I$18,$F50,0)+IF($K$6="UL",LEFT($S$90,2),0)-IF(AND($K$16=I$18,$K$14&lt;&gt;$K$15,$K$16=$K$17,RIGHT($K50,3)="2SP"),VLOOKUP(CONCATENATE(LEFT($K50,2),"L"),$R$63:$T$90,3,FALSE),0)-IF(AND($L$16=I$18,$L$14&lt;&gt;$L$15,$L$16=$L$17,RIGHT($L50,3)="2SP"),VLOOKUP(CONCATENATE(LEFT($L50,2),"L"),$R$63:$T$90,3,FALSE),0)-IF(AND($M$16=I$18,$M$14&lt;&gt;$M$15,$M$16=$M$17,RIGHT($M50,3)="2SP"),VLOOKUP(CONCATENATE(LEFT($M50,2),"L"),$R$63:$T$90,3,FALSE),0)-IF(AND($N$16=I$18,$N$14&lt;&gt;$N$15,$N$16=$N$17,RIGHT($N50,3)="2SP"),VLOOKUP(CONCATENATE(LEFT($N50,2),"L"),$R$63:$T$90,3,FALSE),0)-IF(AND($O$16=I$18,$O$14&lt;&gt;$O$15,$O$16=$O$17,RIGHT($O50,3)="2SP"),VLOOKUP(CONCATENATE(LEFT($O50,2),"L"),$R$63:$T$90,3,FALSE),0)-IF(AND($P$16=I$18,$P$14&lt;&gt;$P$15,$P$16=$P$17,RIGHT($P50,3)="2SP"),VLOOKUP(CONCATENATE(LEFT($P50,2),"L"),$R$63:$T$90,3,FALSE),0)-IF(AND($Q$16=I$18,$Q$14&lt;&gt;$Q$15,$Q$16=$Q$17,RIGHT($Q50,3)="2SP"),VLOOKUP(CONCATENATE(LEFT($Q50,2),"L"),$R$63:$T$90,3,FALSE),0)-IF(AND($T$16=I$18,$T$14&lt;&gt;$T$15,$T$16=$T$17,RIGHT($T50,3)="2SP"),VLOOKUP(CONCATENATE(LEFT($T50,2),"L"),$R$63:$T$90,3,FALSE),0)-IF(AND($U$16=I$18,$U$14&lt;&gt;$U$15,$U$16=$U$17,RIGHT($U50,3)="2SP"),VLOOKUP(CONCATENATE(LEFT($U50,2),"L"),$R$63:$T$90,3,FALSE),0)-IF(AND($V$16=I$18,$V$14&lt;&gt;$V$15,$V$16=$V$17,RIGHT($V50,3)="2SP"),VLOOKUP(CONCATENATE(LEFT($V50,2),"L"),$R$63:$T$90,3,FALSE),0)-IF(AND($W$16=I$18,$W$14&lt;&gt;$W$15,$W$16=$W$17,RIGHT($W50,3)="2SP"),VLOOKUP(CONCATENATE(LEFT($W50,2),"L"),$R$63:$T$90,3,FALSE),0)-IF(AND($X$16=I$18,$X$14&lt;&gt;$X$15,$X$16=$X$17,RIGHT($X50,3)="2SP"),VLOOKUP(CONCATENATE(LEFT($X50,2),"L"),$R$63:$T$90,3,FALSE),0)-IF(AND($Y$16=I$18,$Y$14&lt;&gt;$Y$15,$Y$16=$Y$17,RIGHT($Y50,3)="2SP"),VLOOKUP(CONCATENATE(LEFT($Y50,2),"L"),$R$63:$T$90,3,FALSE),0),"")</f>
        <v/>
      </c>
      <c r="J50" s="134"/>
      <c r="K50" s="135"/>
      <c r="L50" s="135"/>
      <c r="M50" s="135"/>
      <c r="N50" s="135"/>
      <c r="O50" s="135"/>
      <c r="P50" s="135"/>
      <c r="Q50" s="135"/>
      <c r="R50" s="135"/>
      <c r="S50" s="135"/>
      <c r="T50" s="135"/>
      <c r="U50" s="135"/>
      <c r="V50" s="135"/>
      <c r="W50" s="135"/>
      <c r="X50" s="135"/>
      <c r="Y50" s="135"/>
      <c r="Z50" s="136"/>
      <c r="AA50" s="136"/>
      <c r="AB50" s="137"/>
      <c r="AC50" s="137"/>
      <c r="AD50" s="137"/>
      <c r="AE50" s="138">
        <f t="shared" si="0"/>
        <v>0</v>
      </c>
      <c r="AF50" s="78"/>
    </row>
    <row r="51" spans="1:32">
      <c r="A51" s="264">
        <f>IF(AND($K51&lt;&gt;"",$K51&lt;&gt;"--",$K51&lt;&gt;"O3/CP",$K$14=A$18),IF(LEFT($K51,1)="P",VLOOKUP(CONCATENATE(LEFT($K51,2),"H"),$R$63:$T$91,3,FALSE),VLOOKUP($K51,$R$63:$T$91,3,FALSE)))+IF(AND($K51&lt;&gt;"",$K51&lt;&gt;"O3/CP",$K$15=A$18,MID($K51,4,1)="2",$K$15&lt;&gt;$K$14),VLOOKUP(CONCATENATE(LEFT($K51,2),"L"),$R$63:$T$91,3,FALSE),0)+IF(AND($K51="O3/CP",$K$14=A$18),VLOOKUP("O3",$R$63:$T$91,3,FALSE)+VLOOKUP("CP",$R$63:$T$91,3,FALSE),0)+IF(AND($L51&lt;&gt;"",$L51&lt;&gt;"--",$L51&lt;&gt;"O3/CP",$L$14=A$18),IF(LEFT($L51,1)="P",VLOOKUP(CONCATENATE(LEFT($L51,2),"H"),$R$63:$T$91,3,FALSE),VLOOKUP($L51,$R$63:$T$91,3,FALSE)))+IF(AND($L51&lt;&gt;"",$L51&lt;&gt;"O3/CP",$L$15=A$18,MID($L51,4,1)="2",$L$15&lt;&gt;$L$14),VLOOKUP(CONCATENATE(LEFT($L51,2),"L"),$R$63:$T$91,3,FALSE),0)+IF(AND($L51="O3/CP",$L$14=A$18),VLOOKUP("O3",$R$63:$T$91,3,FALSE)+VLOOKUP("CP",$R$63:$T$91,3,FALSE),0)+IF(AND($M51&lt;&gt;"",$M51&lt;&gt;"--",$M51&lt;&gt;"O3/CP",$M$14=A$18),IF(LEFT($M51,1)="P",VLOOKUP(CONCATENATE(LEFT($M51,2),"H"),$R$63:$T$91,3,FALSE),VLOOKUP($M51,$R$63:$T$91,3,FALSE)))+IF(AND($M51&lt;&gt;"",$M51&lt;&gt;"O3/CP",$M$15=A$18,MID($M51,4,1)="2",$M$15&lt;&gt;$M$14),VLOOKUP(CONCATENATE(LEFT($M51,2),"L"),$R$63:$T$91,3,FALSE),0)+IF(AND($M51="O3/CP",$M$14=A$18),VLOOKUP("O3",$R$63:$T$91,3,FALSE)+VLOOKUP("CP",$R$63:$T$91,3,FALSE),0)+IF(AND($N51&lt;&gt;"",$N51&lt;&gt;"--",$N51&lt;&gt;"O3/CP",$N$14=A$18),IF(LEFT($N51,1)="P",VLOOKUP(CONCATENATE(LEFT($N51,2),"H"),$R$63:$T$91,3,FALSE),VLOOKUP($N51,$R$63:$T$91,3,FALSE)))+IF(AND($N51&lt;&gt;"",$N51&lt;&gt;"O3/CP",$N$15=A$18,MID($N51,4,1)="2",$N$15&lt;&gt;$N$14),VLOOKUP(CONCATENATE(LEFT($N51,2),"L"),$R$63:$T$91,3,FALSE),0)+IF(AND($N51="O3/CP",$N$14=A$18),VLOOKUP("O3",$R$63:$T$91,3,FALSE)+VLOOKUP("CP",$R$63:$T$91,3,FALSE),0)+IF(AND($O51&lt;&gt;"",$O51&lt;&gt;"--",$O51&lt;&gt;"O3/CP",$O$14=A$18),IF(LEFT($O51,1)="P",VLOOKUP(CONCATENATE(LEFT($O51,2),"H"),$R$63:$T$91,3,FALSE),VLOOKUP($O51,$R$63:$T$91,3,FALSE)))+IF(AND($O51&lt;&gt;"",$O51&lt;&gt;"O3/CP",$O$15=A$18,MID($O51,4,1)="2",$O$15&lt;&gt;$O$14),VLOOKUP(CONCATENATE(LEFT($O51,2),"L"),$R$63:$T$91,3,FALSE),0)+IF(AND($O51="O3/CP",$O$14=A$18),VLOOKUP("O3",$R$63:$T$91,3,FALSE)+VLOOKUP("CP",$R$63:$T$91,3,FALSE),0)+IF(AND($P51&lt;&gt;"",$P51&lt;&gt;"--",$P51&lt;&gt;"O3/CP",$P$14=A$18),IF(LEFT($P51,1)="P",VLOOKUP(CONCATENATE(LEFT($P51,2),"H"),$R$63:$T$91,3,FALSE),VLOOKUP($P51,$R$63:$T$91,3,FALSE)))+IF(AND($P51&lt;&gt;"",$P51&lt;&gt;"O3/CP",$P$15=A$18,MID($P51,4,1)="2",$P$15&lt;&gt;$P$14),VLOOKUP(CONCATENATE(LEFT($P51,2),"L"),$R$63:$T$91,3,FALSE),0)+IF(AND($P51="O3/CP",$P$14=A$18),VLOOKUP("O3",$R$63:$T$91,3,FALSE)+VLOOKUP("CP",$R$63:$T$91,3,FALSE),0)+IF(AND($Q51&lt;&gt;"",$Q51&lt;&gt;"--",$Q51&lt;&gt;"O3/CP",$Q$14=A$18),IF(LEFT($Q51,1)="P",VLOOKUP(CONCATENATE(LEFT($Q51,2),"H"),$R$63:$T$91,3,FALSE),VLOOKUP($Q51,$R$63:$T$91,3,FALSE)))+IF(AND($Q51&lt;&gt;"",$Q51&lt;&gt;"O3/CP",$Q$15=A$18,MID($Q51,4,1)="2",$Q$15&lt;&gt;$Q$14),VLOOKUP(CONCATENATE(LEFT($Q51,2),"L"),$R$63:$T$91,3,FALSE),0)+IF(AND($Q51="O3/CP",$Q$14=A$18),VLOOKUP("O3",$R$63:$T$91,3,FALSE)+VLOOKUP("CP",$R$63:$T$91,3,FALSE),0)+IF(AND($R51&lt;&gt;"",$R51&lt;&gt;"--",$R51&lt;&gt;"O3/CP",$R$14=A$18),IF(LEFT($R51,1)="P",VLOOKUP(CONCATENATE(LEFT($R51,2),"H"),$R$63:$T$91,3,FALSE),VLOOKUP($R51,$R$63:$T$91,3,FALSE)))+IF(AND($R51&lt;&gt;"",$R51&lt;&gt;"O3/CP",$R$15=A$18,MID($R51,4,1)="2",$R$15&lt;&gt;$R$14),VLOOKUP(CONCATENATE(LEFT($R51,2),"L"),$R$63:$T$91,3,FALSE),0)+IF(AND($R51="O3/CP",$R$14=A$18),VLOOKUP("O3",$R$63:$T$91,3,FALSE)+VLOOKUP("CP",$R$63:$T$91,3,FALSE),0)+IF(AND($S51&lt;&gt;"",$S51&lt;&gt;"--",$S51&lt;&gt;"O3/CP",$S$14=A$18),IF(LEFT($S51,1)="P",VLOOKUP(CONCATENATE(LEFT($S51,2),"H"),$R$63:$T$91,3,FALSE),VLOOKUP($S51,$R$63:$T$91,3,FALSE)))+IF(AND($S51&lt;&gt;"",$S51&lt;&gt;"O3/CP",$S$15=A$18,MID($S51,4,1)="2",$S$15&lt;&gt;$S$14),VLOOKUP(CONCATENATE(LEFT($S51,2),"L"),$R$63:$T$91,3,FALSE),0)+IF(AND($S51="O3/CP",$S$14=A$18),VLOOKUP("O3",$R$63:$T$91,3,FALSE)+VLOOKUP("CP",$R$63:$T$91,3,FALSE),0)+IF(AND($T51&lt;&gt;"",$T51&lt;&gt;"--",$T51&lt;&gt;"O3/CP",$T$14=A$18),IF(LEFT($T51,1)="P",VLOOKUP(CONCATENATE(LEFT($T51,2),"H"),$R$63:$T$91,3,FALSE),VLOOKUP($T51,$R$63:$T$91,3,FALSE)))+IF(AND($T51&lt;&gt;"",$T51&lt;&gt;"O3/CP",$T$15=A$18,MID($T51,4,1)="2",$T$15&lt;&gt;$T$14),VLOOKUP(CONCATENATE(LEFT($T51,2),"L"),$R$63:$T$91,3,FALSE),0)+IF(AND($T51="O3/CP",$T$14=A$18),VLOOKUP("O3",$R$63:$T$91,3,FALSE)+VLOOKUP("CP",$R$63:$T$91,3,FALSE),0)+IF(AND($U51&lt;&gt;"",$U51&lt;&gt;"--",$U51&lt;&gt;"O3/CP",$U$14=A$18),IF(LEFT($U51,1)="P",VLOOKUP(CONCATENATE(LEFT($U51,2),"H"),$R$63:$T$91,3,FALSE),VLOOKUP($U51,$R$63:$T$91,3,FALSE)))+IF(AND($U51&lt;&gt;"",$U51&lt;&gt;"O3/CP",$U$15=A$18,MID($U51,4,1)="2",$U$15&lt;&gt;$U$14),VLOOKUP(CONCATENATE(LEFT($U51,2),"L"),$R$63:$T$91,3,FALSE),0)+IF(AND($U51="O3/CP",$T$14=A$18),VLOOKUP("O3",$R$63:$T$91,3,FALSE)+VLOOKUP("CP",$R$63:$T$91,3,FALSE),0)+IF(AND($V51&lt;&gt;"",$V51&lt;&gt;"--",$V51&lt;&gt;"O3/CP",$V$14=A$18),IF(LEFT($V51,1)="P",VLOOKUP(CONCATENATE(LEFT($V51,2),"H"),$R$63:$T$91,3,FALSE),VLOOKUP($V51,$R$63:$T$91,3,FALSE)))+IF(AND($V51&lt;&gt;"",$V51&lt;&gt;"O3/CP",$V$15=A$18,MID($V51,4,1)="2",$V$15&lt;&gt;$V$14),VLOOKUP(CONCATENATE(LEFT($V51,2),"L"),$R$63:$T$91,3,FALSE),0)+IF(AND($V51="O3/CP",$V$14=A$18),VLOOKUP("O3",$R$63:$T$91,3,FALSE)+VLOOKUP("CP",$R$63:$T$91,3,FALSE),0)+IF(AND($W51&lt;&gt;"",$W51&lt;&gt;"--",$W51&lt;&gt;"O3/CP",$W$14=A$18),IF(LEFT($W51,1)="P",VLOOKUP(CONCATENATE(LEFT($W51,2),"H"),$R$63:$T$91,3,FALSE),VLOOKUP($W51,$R$63:$T$91,3,FALSE)))+IF(AND($W51&lt;&gt;"",$W51&lt;&gt;"O3/CP",$W$15=A$18,MID($W51,4,1)="2",$W$15&lt;&gt;$W$14),VLOOKUP(CONCATENATE(LEFT($W51,2),"L"),$R$63:$T$91,3,FALSE),0)+IF(AND($W51="O3/CP",$W$14=A$18),VLOOKUP("O3",$R$63:$T$91,3,FALSE)+VLOOKUP("CP",$R$63:$T$91,3,FALSE),0)+IF(AND($X51&lt;&gt;"",$X51&lt;&gt;"--",$X51&lt;&gt;"O3/CP",$X$14=A$18),IF(LEFT($X51,1)="P",VLOOKUP(CONCATENATE(LEFT($X51,2),"H"),$R$63:$T$91,3,FALSE),VLOOKUP($X51,$R$63:$T$91,3,FALSE)))+IF(AND($X51&lt;&gt;"",$X51&lt;&gt;"O3/CP",$X$15=A$18,MID($X51,4,1)="2",$X$15&lt;&gt;$X$14),VLOOKUP(CONCATENATE(LEFT($X51,2),"L"),$R$63:$T$91,3,FALSE),0)+IF(AND($X51="O3/CP",$X$14=A$18),VLOOKUP("O3",$R$63:$T$91,3,FALSE)+VLOOKUP("CP",$R$63:$T$91,3,FALSE),0)+IF(AND($Y51&lt;&gt;"",$Y51&lt;&gt;"--",$Y51&lt;&gt;"O3/CP",$Y$14=A$18),IF(LEFT($Y51,1)="P",VLOOKUP(CONCATENATE(LEFT($Y51,2),"H"),$R$63:$T$91,3,FALSE),VLOOKUP($Y51,$R$63:$T$91,3,FALSE)))+IF(AND($Y51&lt;&gt;"",$Y51&lt;&gt;"O3/CP",$Y$15=A$18,MID($Y51,4,1)="2",$Y$15&lt;&gt;$Y$14),VLOOKUP(CONCATENATE(LEFT($Y51,2),"L"),$R$63:$T$91,3,FALSE),0)+IF(AND($Y51="O3/CP",$Y$14=A$18),VLOOKUP("O3",$R$63:$T$91,3,FALSE)+VLOOKUP("CP",$R$63:$T$91,3,FALSE),0)+IF(AND($K$6="CE",'[3]Supply Attribution'!$G$20=A$18),LEFT($S$90,2),0)+IF(AND($X$86&lt;&gt;"Not Set",$X$87=A$18),$X$86,0)</f>
        <v>0</v>
      </c>
      <c r="B51" s="271">
        <f>IF(AND($K51&lt;&gt;"",$K51&lt;&gt;"--",$K51&lt;&gt;"O3/CP",$K$14=B$18),IF(LEFT($K51,1)="P",VLOOKUP(CONCATENATE(LEFT($K51,2),"H"),$R$63:$T$91,3,FALSE),VLOOKUP($K51,$R$63:$T$91,3,FALSE)))+IF(AND($K51&lt;&gt;"",$K51&lt;&gt;"O3/CP",$K$15=B$18,MID($K51,4,1)="2",$K$15&lt;&gt;$K$14),VLOOKUP(CONCATENATE(LEFT($K51,2),"L"),$R$63:$T$91,3,FALSE),0)+IF(AND($K51="O3/CP",$K$14=B$18),VLOOKUP("O3",$R$63:$T$91,3,FALSE)+VLOOKUP("CP",$R$63:$T$91,3,FALSE),0)+IF(AND($L51&lt;&gt;"",$L51&lt;&gt;"--",$L51&lt;&gt;"O3/CP",$L$14=B$18),IF(LEFT($L51,1)="P",VLOOKUP(CONCATENATE(LEFT($L51,2),"H"),$R$63:$T$91,3,FALSE),VLOOKUP($L51,$R$63:$T$91,3,FALSE)))+IF(AND($L51&lt;&gt;"",$L51&lt;&gt;"O3/CP",$L$15=B$18,MID($L51,4,1)="2",$L$15&lt;&gt;$L$14),VLOOKUP(CONCATENATE(LEFT($L51,2),"L"),$R$63:$T$91,3,FALSE),0)+IF(AND($L51="O3/CP",$L$14=B$18),VLOOKUP("O3",$R$63:$T$91,3,FALSE)+VLOOKUP("CP",$R$63:$T$91,3,FALSE),0)+IF(AND($M51&lt;&gt;"",$M51&lt;&gt;"--",$M51&lt;&gt;"O3/CP",$M$14=B$18),IF(LEFT($M51,1)="P",VLOOKUP(CONCATENATE(LEFT($M51,2),"H"),$R$63:$T$91,3,FALSE),VLOOKUP($M51,$R$63:$T$91,3,FALSE)))+IF(AND($M51&lt;&gt;"",$M51&lt;&gt;"O3/CP",$M$15=B$18,MID($M51,4,1)="2",$M$15&lt;&gt;$M$14),VLOOKUP(CONCATENATE(LEFT($M51,2),"L"),$R$63:$T$91,3,FALSE),0)+IF(AND($M51="O3/CP",$M$14=B$18),VLOOKUP("O3",$R$63:$T$91,3,FALSE)+VLOOKUP("CP",$R$63:$T$91,3,FALSE),0)+IF(AND($N51&lt;&gt;"",$N51&lt;&gt;"--",$N51&lt;&gt;"O3/CP",$N$14=B$18),IF(LEFT($N51,1)="P",VLOOKUP(CONCATENATE(LEFT($N51,2),"H"),$R$63:$T$91,3,FALSE),VLOOKUP($N51,$R$63:$T$91,3,FALSE)))+IF(AND($N51&lt;&gt;"",$N51&lt;&gt;"O3/CP",$N$15=B$18,MID($N51,4,1)="2",$N$15&lt;&gt;$N$14),VLOOKUP(CONCATENATE(LEFT($N51,2),"L"),$R$63:$T$91,3,FALSE),0)+IF(AND($N51="O3/CP",$N$14=B$18),VLOOKUP("O3",$R$63:$T$91,3,FALSE)+VLOOKUP("CP",$R$63:$T$91,3,FALSE),0)+IF(AND($O51&lt;&gt;"",$O51&lt;&gt;"--",$O51&lt;&gt;"O3/CP",$O$14=B$18),IF(LEFT($O51,1)="P",VLOOKUP(CONCATENATE(LEFT($O51,2),"H"),$R$63:$T$91,3,FALSE),VLOOKUP($O51,$R$63:$T$91,3,FALSE)))+IF(AND($O51&lt;&gt;"",$O51&lt;&gt;"O3/CP",$O$15=B$18,MID($O51,4,1)="2",$O$15&lt;&gt;$O$14),VLOOKUP(CONCATENATE(LEFT($O51,2),"L"),$R$63:$T$91,3,FALSE),0)+IF(AND($O51="O3/CP",$O$14=B$18),VLOOKUP("O3",$R$63:$T$91,3,FALSE)+VLOOKUP("CP",$R$63:$T$91,3,FALSE),0)+IF(AND($P51&lt;&gt;"",$P51&lt;&gt;"--",$P51&lt;&gt;"O3/CP",$P$14=B$18),IF(LEFT($P51,1)="P",VLOOKUP(CONCATENATE(LEFT($P51,2),"H"),$R$63:$T$91,3,FALSE),VLOOKUP($P51,$R$63:$T$91,3,FALSE)))+IF(AND($P51&lt;&gt;"",$P51&lt;&gt;"O3/CP",$P$15=B$18,MID($P51,4,1)="2",$P$15&lt;&gt;$P$14),VLOOKUP(CONCATENATE(LEFT($P51,2),"L"),$R$63:$T$91,3,FALSE),0)+IF(AND($P51="O3/CP",$P$14=B$18),VLOOKUP("O3",$R$63:$T$91,3,FALSE)+VLOOKUP("CP",$R$63:$T$91,3,FALSE),0)+IF(AND($Q51&lt;&gt;"",$Q51&lt;&gt;"--",$Q51&lt;&gt;"O3/CP",$Q$14=B$18),IF(LEFT($Q51,1)="P",VLOOKUP(CONCATENATE(LEFT($Q51,2),"H"),$R$63:$T$91,3,FALSE),VLOOKUP($Q51,$R$63:$T$91,3,FALSE)))+IF(AND($Q51&lt;&gt;"",$Q51&lt;&gt;"O3/CP",$Q$15=B$18,MID($Q51,4,1)="2",$Q$15&lt;&gt;$Q$14),VLOOKUP(CONCATENATE(LEFT($Q51,2),"L"),$R$63:$T$91,3,FALSE),0)+IF(AND($Q51="O3/CP",$Q$14=B$18),VLOOKUP("O3",$R$63:$T$91,3,FALSE)+VLOOKUP("CP",$R$63:$T$91,3,FALSE),0)+IF(AND($R51&lt;&gt;"",$R51&lt;&gt;"--",$R51&lt;&gt;"O3/CP",$R$14=B$18),IF(LEFT($R51,1)="P",VLOOKUP(CONCATENATE(LEFT($R51,2),"H"),$R$63:$T$91,3,FALSE),VLOOKUP($R51,$R$63:$T$91,3,FALSE)))+IF(AND($R51&lt;&gt;"",$R51&lt;&gt;"O3/CP",$R$15=B$18,MID($R51,4,1)="2",$R$15&lt;&gt;$R$14),VLOOKUP(CONCATENATE(LEFT($R51,2),"L"),$R$63:$T$91,3,FALSE),0)+IF(AND($R51="O3/CP",$R$14=B$18),VLOOKUP("O3",$R$63:$T$91,3,FALSE)+VLOOKUP("CP",$R$63:$T$91,3,FALSE),0)+IF(AND($S51&lt;&gt;"",$S51&lt;&gt;"--",$S51&lt;&gt;"O3/CP",$S$14=B$18),IF(LEFT($S51,1)="P",VLOOKUP(CONCATENATE(LEFT($S51,2),"H"),$R$63:$T$91,3,FALSE),VLOOKUP($S51,$R$63:$T$91,3,FALSE)))+IF(AND($S51&lt;&gt;"",$S51&lt;&gt;"O3/CP",$S$15=B$18,MID($S51,4,1)="2",$S$15&lt;&gt;$S$14),VLOOKUP(CONCATENATE(LEFT($S51,2),"L"),$R$63:$T$91,3,FALSE),0)+IF(AND($S51="O3/CP",$S$14=B$18),VLOOKUP("O3",$R$63:$T$91,3,FALSE)+VLOOKUP("CP",$R$63:$T$91,3,FALSE),0)+IF(AND($T51&lt;&gt;"",$T51&lt;&gt;"--",$T51&lt;&gt;"O3/CP",$T$14=B$18),IF(LEFT($T51,1)="P",VLOOKUP(CONCATENATE(LEFT($T51,2),"H"),$R$63:$T$91,3,FALSE),VLOOKUP($T51,$R$63:$T$91,3,FALSE)))+IF(AND($T51&lt;&gt;"",$T51&lt;&gt;"O3/CP",$T$15=B$18,MID($T51,4,1)="2",$T$15&lt;&gt;$T$14),VLOOKUP(CONCATENATE(LEFT($T51,2),"L"),$R$63:$T$91,3,FALSE),0)+IF(AND($T51="O3/CP",$T$14=B$18),VLOOKUP("O3",$R$63:$T$91,3,FALSE)+VLOOKUP("CP",$R$63:$T$91,3,FALSE),0)+IF(AND($U51&lt;&gt;"",$U51&lt;&gt;"--",$U51&lt;&gt;"O3/CP",$U$14=B$18),IF(LEFT($U51,1)="P",VLOOKUP(CONCATENATE(LEFT($U51,2),"H"),$R$63:$T$91,3,FALSE),VLOOKUP($U51,$R$63:$T$91,3,FALSE)))+IF(AND($U51&lt;&gt;"",$U51&lt;&gt;"O3/CP",$U$15=B$18,MID($U51,4,1)="2",$U$15&lt;&gt;$U$14),VLOOKUP(CONCATENATE(LEFT($U51,2),"L"),$R$63:$T$91,3,FALSE),0)+IF(AND($U51="O3/CP",$T$14=B$18),VLOOKUP("O3",$R$63:$T$91,3,FALSE)+VLOOKUP("CP",$R$63:$T$91,3,FALSE),0)+IF(AND($V51&lt;&gt;"",$V51&lt;&gt;"--",$V51&lt;&gt;"O3/CP",$V$14=B$18),IF(LEFT($V51,1)="P",VLOOKUP(CONCATENATE(LEFT($V51,2),"H"),$R$63:$T$91,3,FALSE),VLOOKUP($V51,$R$63:$T$91,3,FALSE)))+IF(AND($V51&lt;&gt;"",$V51&lt;&gt;"O3/CP",$V$15=B$18,MID($V51,4,1)="2",$V$15&lt;&gt;$V$14),VLOOKUP(CONCATENATE(LEFT($V51,2),"L"),$R$63:$T$91,3,FALSE),0)+IF(AND($V51="O3/CP",$V$14=B$18),VLOOKUP("O3",$R$63:$T$91,3,FALSE)+VLOOKUP("CP",$R$63:$T$91,3,FALSE),0)+IF(AND($W51&lt;&gt;"",$W51&lt;&gt;"--",$W51&lt;&gt;"O3/CP",$W$14=B$18),IF(LEFT($W51,1)="P",VLOOKUP(CONCATENATE(LEFT($W51,2),"H"),$R$63:$T$91,3,FALSE),VLOOKUP($W51,$R$63:$T$91,3,FALSE)))+IF(AND($W51&lt;&gt;"",$W51&lt;&gt;"O3/CP",$W$15=B$18,MID($W51,4,1)="2",$W$15&lt;&gt;$W$14),VLOOKUP(CONCATENATE(LEFT($W51,2),"L"),$R$63:$T$91,3,FALSE),0)+IF(AND($W51="O3/CP",$W$14=B$18),VLOOKUP("O3",$R$63:$T$91,3,FALSE)+VLOOKUP("CP",$R$63:$T$91,3,FALSE),0)+IF(AND($X51&lt;&gt;"",$X51&lt;&gt;"--",$X51&lt;&gt;"O3/CP",$X$14=B$18),IF(LEFT($X51,1)="P",VLOOKUP(CONCATENATE(LEFT($X51,2),"H"),$R$63:$T$91,3,FALSE),VLOOKUP($X51,$R$63:$T$91,3,FALSE)))+IF(AND($X51&lt;&gt;"",$X51&lt;&gt;"O3/CP",$X$15=B$18,MID($X51,4,1)="2",$X$15&lt;&gt;$X$14),VLOOKUP(CONCATENATE(LEFT($X51,2),"L"),$R$63:$T$91,3,FALSE),0)+IF(AND($X51="O3/CP",$X$14=B$18),VLOOKUP("O3",$R$63:$T$91,3,FALSE)+VLOOKUP("CP",$R$63:$T$91,3,FALSE),0)+IF(AND($Y51&lt;&gt;"",$Y51&lt;&gt;"--",$Y51&lt;&gt;"O3/CP",$Y$14=B$18),IF(LEFT($Y51,1)="P",VLOOKUP(CONCATENATE(LEFT($Y51,2),"H"),$R$63:$T$91,3,FALSE),VLOOKUP($Y51,$R$63:$T$91,3,FALSE)))+IF(AND($Y51&lt;&gt;"",$Y51&lt;&gt;"O3/CP",$Y$15=B$18,MID($Y51,4,1)="2",$Y$15&lt;&gt;$Y$14),VLOOKUP(CONCATENATE(LEFT($Y51,2),"L"),$R$63:$T$91,3,FALSE),0)+IF(AND($Y51="O3/CP",$Y$14=B$18),VLOOKUP("O3",$R$63:$T$91,3,FALSE)+VLOOKUP("CP",$R$63:$T$91,3,FALSE),0)+IF(AND($K$6="CE",'[3]Supply Attribution'!$G$20=B$18),LEFT($S$90,2),0)+IF(AND($X$86&lt;&gt;"Not Set",$X$87=B$18),$X$86,0)</f>
        <v>0</v>
      </c>
      <c r="C51" s="271">
        <f>IF(AND($K51&lt;&gt;"",$K51&lt;&gt;"--",$K51&lt;&gt;"O3/CP",$K$14=C$18),IF(LEFT($K51,1)="P",VLOOKUP(CONCATENATE(LEFT($K51,2),"H"),$R$63:$T$91,3,FALSE),VLOOKUP($K51,$R$63:$T$91,3,FALSE)))+IF(AND($K51&lt;&gt;"",$K51&lt;&gt;"O3/CP",$K$15=C$18,MID($K51,4,1)="2",$K$15&lt;&gt;$K$14),VLOOKUP(CONCATENATE(LEFT($K51,2),"L"),$R$63:$T$91,3,FALSE),0)+IF(AND($K51="O3/CP",$K$14=C$18),VLOOKUP("O3",$R$63:$T$91,3,FALSE)+VLOOKUP("CP",$R$63:$T$91,3,FALSE),0)+IF(AND($L51&lt;&gt;"",$L51&lt;&gt;"--",$L51&lt;&gt;"O3/CP",$L$14=C$18),IF(LEFT($L51,1)="P",VLOOKUP(CONCATENATE(LEFT($L51,2),"H"),$R$63:$T$91,3,FALSE),VLOOKUP($L51,$R$63:$T$91,3,FALSE)))+IF(AND($L51&lt;&gt;"",$L51&lt;&gt;"O3/CP",$L$15=C$18,MID($L51,4,1)="2",$L$15&lt;&gt;$L$14),VLOOKUP(CONCATENATE(LEFT($L51,2),"L"),$R$63:$T$91,3,FALSE),0)+IF(AND($L51="O3/CP",$L$14=C$18),VLOOKUP("O3",$R$63:$T$91,3,FALSE)+VLOOKUP("CP",$R$63:$T$91,3,FALSE),0)+IF(AND($M51&lt;&gt;"",$M51&lt;&gt;"--",$M51&lt;&gt;"O3/CP",$M$14=C$18),IF(LEFT($M51,1)="P",VLOOKUP(CONCATENATE(LEFT($M51,2),"H"),$R$63:$T$91,3,FALSE),VLOOKUP($M51,$R$63:$T$91,3,FALSE)))+IF(AND($M51&lt;&gt;"",$M51&lt;&gt;"O3/CP",$M$15=C$18,MID($M51,4,1)="2",$M$15&lt;&gt;$M$14),VLOOKUP(CONCATENATE(LEFT($M51,2),"L"),$R$63:$T$91,3,FALSE),0)+IF(AND($M51="O3/CP",$M$14=C$18),VLOOKUP("O3",$R$63:$T$91,3,FALSE)+VLOOKUP("CP",$R$63:$T$91,3,FALSE),0)+IF(AND($N51&lt;&gt;"",$N51&lt;&gt;"--",$N51&lt;&gt;"O3/CP",$N$14=C$18),IF(LEFT($N51,1)="P",VLOOKUP(CONCATENATE(LEFT($N51,2),"H"),$R$63:$T$91,3,FALSE),VLOOKUP($N51,$R$63:$T$91,3,FALSE)))+IF(AND($N51&lt;&gt;"",$N51&lt;&gt;"O3/CP",$N$15=C$18,MID($N51,4,1)="2",$N$15&lt;&gt;$N$14),VLOOKUP(CONCATENATE(LEFT($N51,2),"L"),$R$63:$T$91,3,FALSE),0)+IF(AND($N51="O3/CP",$N$14=C$18),VLOOKUP("O3",$R$63:$T$91,3,FALSE)+VLOOKUP("CP",$R$63:$T$91,3,FALSE),0)+IF(AND($O51&lt;&gt;"",$O51&lt;&gt;"--",$O51&lt;&gt;"O3/CP",$O$14=C$18),IF(LEFT($O51,1)="P",VLOOKUP(CONCATENATE(LEFT($O51,2),"H"),$R$63:$T$91,3,FALSE),VLOOKUP($O51,$R$63:$T$91,3,FALSE)))+IF(AND($O51&lt;&gt;"",$O51&lt;&gt;"O3/CP",$O$15=C$18,MID($O51,4,1)="2",$O$15&lt;&gt;$O$14),VLOOKUP(CONCATENATE(LEFT($O51,2),"L"),$R$63:$T$91,3,FALSE),0)+IF(AND($O51="O3/CP",$O$14=C$18),VLOOKUP("O3",$R$63:$T$91,3,FALSE)+VLOOKUP("CP",$R$63:$T$91,3,FALSE),0)+IF(AND($P51&lt;&gt;"",$P51&lt;&gt;"--",$P51&lt;&gt;"O3/CP",$P$14=C$18),IF(LEFT($P51,1)="P",VLOOKUP(CONCATENATE(LEFT($P51,2),"H"),$R$63:$T$91,3,FALSE),VLOOKUP($P51,$R$63:$T$91,3,FALSE)))+IF(AND($P51&lt;&gt;"",$P51&lt;&gt;"O3/CP",$P$15=C$18,MID($P51,4,1)="2",$P$15&lt;&gt;$P$14),VLOOKUP(CONCATENATE(LEFT($P51,2),"L"),$R$63:$T$91,3,FALSE),0)+IF(AND($P51="O3/CP",$P$14=C$18),VLOOKUP("O3",$R$63:$T$91,3,FALSE)+VLOOKUP("CP",$R$63:$T$91,3,FALSE),0)+IF(AND($Q51&lt;&gt;"",$Q51&lt;&gt;"--",$Q51&lt;&gt;"O3/CP",$Q$14=C$18),IF(LEFT($Q51,1)="P",VLOOKUP(CONCATENATE(LEFT($Q51,2),"H"),$R$63:$T$91,3,FALSE),VLOOKUP($Q51,$R$63:$T$91,3,FALSE)))+IF(AND($Q51&lt;&gt;"",$Q51&lt;&gt;"O3/CP",$Q$15=C$18,MID($Q51,4,1)="2",$Q$15&lt;&gt;$Q$14),VLOOKUP(CONCATENATE(LEFT($Q51,2),"L"),$R$63:$T$91,3,FALSE),0)+IF(AND($Q51="O3/CP",$Q$14=C$18),VLOOKUP("O3",$R$63:$T$91,3,FALSE)+VLOOKUP("CP",$R$63:$T$91,3,FALSE),0)+IF(AND($R51&lt;&gt;"",$R51&lt;&gt;"--",$R51&lt;&gt;"O3/CP",$R$14=C$18),IF(LEFT($R51,1)="P",VLOOKUP(CONCATENATE(LEFT($R51,2),"H"),$R$63:$T$91,3,FALSE),VLOOKUP($R51,$R$63:$T$91,3,FALSE)))+IF(AND($R51&lt;&gt;"",$R51&lt;&gt;"O3/CP",$R$15=C$18,MID($R51,4,1)="2",$R$15&lt;&gt;$R$14),VLOOKUP(CONCATENATE(LEFT($R51,2),"L"),$R$63:$T$91,3,FALSE),0)+IF(AND($R51="O3/CP",$R$14=C$18),VLOOKUP("O3",$R$63:$T$91,3,FALSE)+VLOOKUP("CP",$R$63:$T$91,3,FALSE),0)+IF(AND($S51&lt;&gt;"",$S51&lt;&gt;"--",$S51&lt;&gt;"O3/CP",$S$14=C$18),IF(LEFT($S51,1)="P",VLOOKUP(CONCATENATE(LEFT($S51,2),"H"),$R$63:$T$91,3,FALSE),VLOOKUP($S51,$R$63:$T$91,3,FALSE)))+IF(AND($S51&lt;&gt;"",$S51&lt;&gt;"O3/CP",$S$15=C$18,MID($S51,4,1)="2",$S$15&lt;&gt;$S$14),VLOOKUP(CONCATENATE(LEFT($S51,2),"L"),$R$63:$T$91,3,FALSE),0)+IF(AND($S51="O3/CP",$S$14=C$18),VLOOKUP("O3",$R$63:$T$91,3,FALSE)+VLOOKUP("CP",$R$63:$T$91,3,FALSE),0)+IF(AND($T51&lt;&gt;"",$T51&lt;&gt;"--",$T51&lt;&gt;"O3/CP",$T$14=C$18),IF(LEFT($T51,1)="P",VLOOKUP(CONCATENATE(LEFT($T51,2),"H"),$R$63:$T$91,3,FALSE),VLOOKUP($T51,$R$63:$T$91,3,FALSE)))+IF(AND($T51&lt;&gt;"",$T51&lt;&gt;"O3/CP",$T$15=C$18,MID($T51,4,1)="2",$T$15&lt;&gt;$T$14),VLOOKUP(CONCATENATE(LEFT($T51,2),"L"),$R$63:$T$91,3,FALSE),0)+IF(AND($T51="O3/CP",$T$14=C$18),VLOOKUP("O3",$R$63:$T$91,3,FALSE)+VLOOKUP("CP",$R$63:$T$91,3,FALSE),0)+IF(AND($U51&lt;&gt;"",$U51&lt;&gt;"--",$U51&lt;&gt;"O3/CP",$U$14=C$18),IF(LEFT($U51,1)="P",VLOOKUP(CONCATENATE(LEFT($U51,2),"H"),$R$63:$T$91,3,FALSE),VLOOKUP($U51,$R$63:$T$91,3,FALSE)))+IF(AND($U51&lt;&gt;"",$U51&lt;&gt;"O3/CP",$U$15=C$18,MID($U51,4,1)="2",$U$15&lt;&gt;$U$14),VLOOKUP(CONCATENATE(LEFT($U51,2),"L"),$R$63:$T$91,3,FALSE),0)+IF(AND($U51="O3/CP",$T$14=C$18),VLOOKUP("O3",$R$63:$T$91,3,FALSE)+VLOOKUP("CP",$R$63:$T$91,3,FALSE),0)+IF(AND($V51&lt;&gt;"",$V51&lt;&gt;"--",$V51&lt;&gt;"O3/CP",$V$14=C$18),IF(LEFT($V51,1)="P",VLOOKUP(CONCATENATE(LEFT($V51,2),"H"),$R$63:$T$91,3,FALSE),VLOOKUP($V51,$R$63:$T$91,3,FALSE)))+IF(AND($V51&lt;&gt;"",$V51&lt;&gt;"O3/CP",$V$15=C$18,MID($V51,4,1)="2",$V$15&lt;&gt;$V$14),VLOOKUP(CONCATENATE(LEFT($V51,2),"L"),$R$63:$T$91,3,FALSE),0)+IF(AND($V51="O3/CP",$V$14=C$18),VLOOKUP("O3",$R$63:$T$91,3,FALSE)+VLOOKUP("CP",$R$63:$T$91,3,FALSE),0)+IF(AND($W51&lt;&gt;"",$W51&lt;&gt;"--",$W51&lt;&gt;"O3/CP",$W$14=C$18),IF(LEFT($W51,1)="P",VLOOKUP(CONCATENATE(LEFT($W51,2),"H"),$R$63:$T$91,3,FALSE),VLOOKUP($W51,$R$63:$T$91,3,FALSE)))+IF(AND($W51&lt;&gt;"",$W51&lt;&gt;"O3/CP",$W$15=C$18,MID($W51,4,1)="2",$W$15&lt;&gt;$W$14),VLOOKUP(CONCATENATE(LEFT($W51,2),"L"),$R$63:$T$91,3,FALSE),0)+IF(AND($W51="O3/CP",$W$14=C$18),VLOOKUP("O3",$R$63:$T$91,3,FALSE)+VLOOKUP("CP",$R$63:$T$91,3,FALSE),0)+IF(AND($X51&lt;&gt;"",$X51&lt;&gt;"--",$X51&lt;&gt;"O3/CP",$X$14=C$18),IF(LEFT($X51,1)="P",VLOOKUP(CONCATENATE(LEFT($X51,2),"H"),$R$63:$T$91,3,FALSE),VLOOKUP($X51,$R$63:$T$91,3,FALSE)))+IF(AND($X51&lt;&gt;"",$X51&lt;&gt;"O3/CP",$X$15=C$18,MID($X51,4,1)="2",$X$15&lt;&gt;$X$14),VLOOKUP(CONCATENATE(LEFT($X51,2),"L"),$R$63:$T$91,3,FALSE),0)+IF(AND($X51="O3/CP",$X$14=C$18),VLOOKUP("O3",$R$63:$T$91,3,FALSE)+VLOOKUP("CP",$R$63:$T$91,3,FALSE),0)+IF(AND($Y51&lt;&gt;"",$Y51&lt;&gt;"--",$Y51&lt;&gt;"O3/CP",$Y$14=C$18),IF(LEFT($Y51,1)="P",VLOOKUP(CONCATENATE(LEFT($Y51,2),"H"),$R$63:$T$91,3,FALSE),VLOOKUP($Y51,$R$63:$T$91,3,FALSE)))+IF(AND($Y51&lt;&gt;"",$Y51&lt;&gt;"O3/CP",$Y$15=C$18,MID($Y51,4,1)="2",$Y$15&lt;&gt;$Y$14),VLOOKUP(CONCATENATE(LEFT($Y51,2),"L"),$R$63:$T$91,3,FALSE),0)+IF(AND($Y51="O3/CP",$Y$14=C$18),VLOOKUP("O3",$R$63:$T$91,3,FALSE)+VLOOKUP("CP",$R$63:$T$91,3,FALSE),0)+IF(AND($K$6="CE",'[3]Supply Attribution'!$G$20=C$18),LEFT($S$90,2),0)+IF(AND($X$86&lt;&gt;"Not Set",$X$87=C$18),$X$86,0)</f>
        <v>0</v>
      </c>
      <c r="D51" s="271">
        <f>IF(AND($K51&lt;&gt;"",$K51&lt;&gt;"--",$K51&lt;&gt;"O3/CP",$K$14=D$18),IF(LEFT($K51,1)="P",VLOOKUP(CONCATENATE(LEFT($K51,2),"H"),$R$63:$T$91,3,FALSE),VLOOKUP($K51,$R$63:$T$91,3,FALSE)))+IF(AND($K51&lt;&gt;"",$K51&lt;&gt;"O3/CP",$K$15=D$18,MID($K51,4,1)="2",$K$15&lt;&gt;$K$14),VLOOKUP(CONCATENATE(LEFT($K51,2),"L"),$R$63:$T$91,3,FALSE),0)+IF(AND($K51="O3/CP",$K$14=D$18),VLOOKUP("O3",$R$63:$T$91,3,FALSE)+VLOOKUP("CP",$R$63:$T$91,3,FALSE),0)+IF(AND($L51&lt;&gt;"",$L51&lt;&gt;"--",$L51&lt;&gt;"O3/CP",$L$14=D$18),IF(LEFT($L51,1)="P",VLOOKUP(CONCATENATE(LEFT($L51,2),"H"),$R$63:$T$91,3,FALSE),VLOOKUP($L51,$R$63:$T$91,3,FALSE)))+IF(AND($L51&lt;&gt;"",$L51&lt;&gt;"O3/CP",$L$15=D$18,MID($L51,4,1)="2",$L$15&lt;&gt;$L$14),VLOOKUP(CONCATENATE(LEFT($L51,2),"L"),$R$63:$T$91,3,FALSE),0)+IF(AND($L51="O3/CP",$L$14=D$18),VLOOKUP("O3",$R$63:$T$91,3,FALSE)+VLOOKUP("CP",$R$63:$T$91,3,FALSE),0)+IF(AND($M51&lt;&gt;"",$M51&lt;&gt;"--",$M51&lt;&gt;"O3/CP",$M$14=D$18),IF(LEFT($M51,1)="P",VLOOKUP(CONCATENATE(LEFT($M51,2),"H"),$R$63:$T$91,3,FALSE),VLOOKUP($M51,$R$63:$T$91,3,FALSE)))+IF(AND($M51&lt;&gt;"",$M51&lt;&gt;"O3/CP",$M$15=D$18,MID($M51,4,1)="2",$M$15&lt;&gt;$M$14),VLOOKUP(CONCATENATE(LEFT($M51,2),"L"),$R$63:$T$91,3,FALSE),0)+IF(AND($M51="O3/CP",$M$14=D$18),VLOOKUP("O3",$R$63:$T$91,3,FALSE)+VLOOKUP("CP",$R$63:$T$91,3,FALSE),0)+IF(AND($N51&lt;&gt;"",$N51&lt;&gt;"--",$N51&lt;&gt;"O3/CP",$N$14=D$18),IF(LEFT($N51,1)="P",VLOOKUP(CONCATENATE(LEFT($N51,2),"H"),$R$63:$T$91,3,FALSE),VLOOKUP($N51,$R$63:$T$91,3,FALSE)))+IF(AND($N51&lt;&gt;"",$N51&lt;&gt;"O3/CP",$N$15=D$18,MID($N51,4,1)="2",$N$15&lt;&gt;$N$14),VLOOKUP(CONCATENATE(LEFT($N51,2),"L"),$R$63:$T$91,3,FALSE),0)+IF(AND($N51="O3/CP",$N$14=D$18),VLOOKUP("O3",$R$63:$T$91,3,FALSE)+VLOOKUP("CP",$R$63:$T$91,3,FALSE),0)+IF(AND($O51&lt;&gt;"",$O51&lt;&gt;"--",$O51&lt;&gt;"O3/CP",$O$14=D$18),IF(LEFT($O51,1)="P",VLOOKUP(CONCATENATE(LEFT($O51,2),"H"),$R$63:$T$91,3,FALSE),VLOOKUP($O51,$R$63:$T$91,3,FALSE)))+IF(AND($O51&lt;&gt;"",$O51&lt;&gt;"O3/CP",$O$15=D$18,MID($O51,4,1)="2",$O$15&lt;&gt;$O$14),VLOOKUP(CONCATENATE(LEFT($O51,2),"L"),$R$63:$T$91,3,FALSE),0)+IF(AND($O51="O3/CP",$O$14=D$18),VLOOKUP("O3",$R$63:$T$91,3,FALSE)+VLOOKUP("CP",$R$63:$T$91,3,FALSE),0)+IF(AND($P51&lt;&gt;"",$P51&lt;&gt;"--",$P51&lt;&gt;"O3/CP",$P$14=D$18),IF(LEFT($P51,1)="P",VLOOKUP(CONCATENATE(LEFT($P51,2),"H"),$R$63:$T$91,3,FALSE),VLOOKUP($P51,$R$63:$T$91,3,FALSE)))+IF(AND($P51&lt;&gt;"",$P51&lt;&gt;"O3/CP",$P$15=D$18,MID($P51,4,1)="2",$P$15&lt;&gt;$P$14),VLOOKUP(CONCATENATE(LEFT($P51,2),"L"),$R$63:$T$91,3,FALSE),0)+IF(AND($P51="O3/CP",$P$14=D$18),VLOOKUP("O3",$R$63:$T$91,3,FALSE)+VLOOKUP("CP",$R$63:$T$91,3,FALSE),0)+IF(AND($Q51&lt;&gt;"",$Q51&lt;&gt;"--",$Q51&lt;&gt;"O3/CP",$Q$14=D$18),IF(LEFT($Q51,1)="P",VLOOKUP(CONCATENATE(LEFT($Q51,2),"H"),$R$63:$T$91,3,FALSE),VLOOKUP($Q51,$R$63:$T$91,3,FALSE)))+IF(AND($Q51&lt;&gt;"",$Q51&lt;&gt;"O3/CP",$Q$15=D$18,MID($Q51,4,1)="2",$Q$15&lt;&gt;$Q$14),VLOOKUP(CONCATENATE(LEFT($Q51,2),"L"),$R$63:$T$91,3,FALSE),0)+IF(AND($Q51="O3/CP",$Q$14=D$18),VLOOKUP("O3",$R$63:$T$91,3,FALSE)+VLOOKUP("CP",$R$63:$T$91,3,FALSE),0)+IF(AND($R51&lt;&gt;"",$R51&lt;&gt;"--",$R51&lt;&gt;"O3/CP",$R$14=D$18),IF(LEFT($R51,1)="P",VLOOKUP(CONCATENATE(LEFT($R51,2),"H"),$R$63:$T$91,3,FALSE),VLOOKUP($R51,$R$63:$T$91,3,FALSE)))+IF(AND($R51&lt;&gt;"",$R51&lt;&gt;"O3/CP",$R$15=D$18,MID($R51,4,1)="2",$R$15&lt;&gt;$R$14),VLOOKUP(CONCATENATE(LEFT($R51,2),"L"),$R$63:$T$91,3,FALSE),0)+IF(AND($R51="O3/CP",$R$14=D$18),VLOOKUP("O3",$R$63:$T$91,3,FALSE)+VLOOKUP("CP",$R$63:$T$91,3,FALSE),0)+IF(AND($S51&lt;&gt;"",$S51&lt;&gt;"--",$S51&lt;&gt;"O3/CP",$S$14=D$18),IF(LEFT($S51,1)="P",VLOOKUP(CONCATENATE(LEFT($S51,2),"H"),$R$63:$T$91,3,FALSE),VLOOKUP($S51,$R$63:$T$91,3,FALSE)))+IF(AND($S51&lt;&gt;"",$S51&lt;&gt;"O3/CP",$S$15=D$18,MID($S51,4,1)="2",$S$15&lt;&gt;$S$14),VLOOKUP(CONCATENATE(LEFT($S51,2),"L"),$R$63:$T$91,3,FALSE),0)+IF(AND($S51="O3/CP",$S$14=D$18),VLOOKUP("O3",$R$63:$T$91,3,FALSE)+VLOOKUP("CP",$R$63:$T$91,3,FALSE),0)+IF(AND($T51&lt;&gt;"",$T51&lt;&gt;"--",$T51&lt;&gt;"O3/CP",$T$14=D$18),IF(LEFT($T51,1)="P",VLOOKUP(CONCATENATE(LEFT($T51,2),"H"),$R$63:$T$91,3,FALSE),VLOOKUP($T51,$R$63:$T$91,3,FALSE)))+IF(AND($T51&lt;&gt;"",$T51&lt;&gt;"O3/CP",$T$15=D$18,MID($T51,4,1)="2",$T$15&lt;&gt;$T$14),VLOOKUP(CONCATENATE(LEFT($T51,2),"L"),$R$63:$T$91,3,FALSE),0)+IF(AND($T51="O3/CP",$T$14=D$18),VLOOKUP("O3",$R$63:$T$91,3,FALSE)+VLOOKUP("CP",$R$63:$T$91,3,FALSE),0)+IF(AND($U51&lt;&gt;"",$U51&lt;&gt;"--",$U51&lt;&gt;"O3/CP",$U$14=D$18),IF(LEFT($U51,1)="P",VLOOKUP(CONCATENATE(LEFT($U51,2),"H"),$R$63:$T$91,3,FALSE),VLOOKUP($U51,$R$63:$T$91,3,FALSE)))+IF(AND($U51&lt;&gt;"",$U51&lt;&gt;"O3/CP",$U$15=D$18,MID($U51,4,1)="2",$U$15&lt;&gt;$U$14),VLOOKUP(CONCATENATE(LEFT($U51,2),"L"),$R$63:$T$91,3,FALSE),0)+IF(AND($U51="O3/CP",$T$14=D$18),VLOOKUP("O3",$R$63:$T$91,3,FALSE)+VLOOKUP("CP",$R$63:$T$91,3,FALSE),0)+IF(AND($V51&lt;&gt;"",$V51&lt;&gt;"--",$V51&lt;&gt;"O3/CP",$V$14=D$18),IF(LEFT($V51,1)="P",VLOOKUP(CONCATENATE(LEFT($V51,2),"H"),$R$63:$T$91,3,FALSE),VLOOKUP($V51,$R$63:$T$91,3,FALSE)))+IF(AND($V51&lt;&gt;"",$V51&lt;&gt;"O3/CP",$V$15=D$18,MID($V51,4,1)="2",$V$15&lt;&gt;$V$14),VLOOKUP(CONCATENATE(LEFT($V51,2),"L"),$R$63:$T$91,3,FALSE),0)+IF(AND($V51="O3/CP",$V$14=D$18),VLOOKUP("O3",$R$63:$T$91,3,FALSE)+VLOOKUP("CP",$R$63:$T$91,3,FALSE),0)+IF(AND($W51&lt;&gt;"",$W51&lt;&gt;"--",$W51&lt;&gt;"O3/CP",$W$14=D$18),IF(LEFT($W51,1)="P",VLOOKUP(CONCATENATE(LEFT($W51,2),"H"),$R$63:$T$91,3,FALSE),VLOOKUP($W51,$R$63:$T$91,3,FALSE)))+IF(AND($W51&lt;&gt;"",$W51&lt;&gt;"O3/CP",$W$15=D$18,MID($W51,4,1)="2",$W$15&lt;&gt;$W$14),VLOOKUP(CONCATENATE(LEFT($W51,2),"L"),$R$63:$T$91,3,FALSE),0)+IF(AND($W51="O3/CP",$W$14=D$18),VLOOKUP("O3",$R$63:$T$91,3,FALSE)+VLOOKUP("CP",$R$63:$T$91,3,FALSE),0)+IF(AND($X51&lt;&gt;"",$X51&lt;&gt;"--",$X51&lt;&gt;"O3/CP",$X$14=D$18),IF(LEFT($X51,1)="P",VLOOKUP(CONCATENATE(LEFT($X51,2),"H"),$R$63:$T$91,3,FALSE),VLOOKUP($X51,$R$63:$T$91,3,FALSE)))+IF(AND($X51&lt;&gt;"",$X51&lt;&gt;"O3/CP",$X$15=D$18,MID($X51,4,1)="2",$X$15&lt;&gt;$X$14),VLOOKUP(CONCATENATE(LEFT($X51,2),"L"),$R$63:$T$91,3,FALSE),0)+IF(AND($X51="O3/CP",$X$14=D$18),VLOOKUP("O3",$R$63:$T$91,3,FALSE)+VLOOKUP("CP",$R$63:$T$91,3,FALSE),0)+IF(AND($Y51&lt;&gt;"",$Y51&lt;&gt;"--",$Y51&lt;&gt;"O3/CP",$Y$14=D$18),IF(LEFT($Y51,1)="P",VLOOKUP(CONCATENATE(LEFT($Y51,2),"H"),$R$63:$T$91,3,FALSE),VLOOKUP($Y51,$R$63:$T$91,3,FALSE)))+IF(AND($Y51&lt;&gt;"",$Y51&lt;&gt;"O3/CP",$Y$15=D$18,MID($Y51,4,1)="2",$Y$15&lt;&gt;$Y$14),VLOOKUP(CONCATENATE(LEFT($Y51,2),"L"),$R$63:$T$91,3,FALSE),0)+IF(AND($Y51="O3/CP",$Y$14=D$18),VLOOKUP("O3",$R$63:$T$91,3,FALSE)+VLOOKUP("CP",$R$63:$T$91,3,FALSE),0)+IF(AND($K$6="CE",'[3]Supply Attribution'!$G$20=D$18),LEFT($S$90,2),0)+IF(AND($X$86&lt;&gt;"Not Set",$X$87=D$18),$X$86,0)</f>
        <v>0</v>
      </c>
      <c r="E51" s="271">
        <f>IF(AND($K51&lt;&gt;"",$K51&lt;&gt;"--",$K51&lt;&gt;"O3/CP",$K$14=E$18),IF(LEFT($K51,1)="P",VLOOKUP(CONCATENATE(LEFT($K51,2),"H"),$R$63:$T$91,3,FALSE),VLOOKUP($K51,$R$63:$T$91,3,FALSE)))+IF(AND($K51&lt;&gt;"",$K51&lt;&gt;"O3/CP",$K$15=E$18,MID($K51,4,1)="2",$K$15&lt;&gt;$K$14),VLOOKUP(CONCATENATE(LEFT($K51,2),"L"),$R$63:$T$91,3,FALSE),0)+IF(AND($K51="O3/CP",$K$14=E$18),VLOOKUP("O3",$R$63:$T$91,3,FALSE)+VLOOKUP("CP",$R$63:$T$91,3,FALSE),0)+IF(AND($L51&lt;&gt;"",$L51&lt;&gt;"--",$L51&lt;&gt;"O3/CP",$L$14=E$18),IF(LEFT($L51,1)="P",VLOOKUP(CONCATENATE(LEFT($L51,2),"H"),$R$63:$T$91,3,FALSE),VLOOKUP($L51,$R$63:$T$91,3,FALSE)))+IF(AND($L51&lt;&gt;"",$L51&lt;&gt;"O3/CP",$L$15=E$18,MID($L51,4,1)="2",$L$15&lt;&gt;$L$14),VLOOKUP(CONCATENATE(LEFT($L51,2),"L"),$R$63:$T$91,3,FALSE),0)+IF(AND($L51="O3/CP",$L$14=E$18),VLOOKUP("O3",$R$63:$T$91,3,FALSE)+VLOOKUP("CP",$R$63:$T$91,3,FALSE),0)+IF(AND($M51&lt;&gt;"",$M51&lt;&gt;"--",$M51&lt;&gt;"O3/CP",$M$14=E$18),IF(LEFT($M51,1)="P",VLOOKUP(CONCATENATE(LEFT($M51,2),"H"),$R$63:$T$91,3,FALSE),VLOOKUP($M51,$R$63:$T$91,3,FALSE)))+IF(AND($M51&lt;&gt;"",$M51&lt;&gt;"O3/CP",$M$15=E$18,MID($M51,4,1)="2",$M$15&lt;&gt;$M$14),VLOOKUP(CONCATENATE(LEFT($M51,2),"L"),$R$63:$T$91,3,FALSE),0)+IF(AND($M51="O3/CP",$M$14=E$18),VLOOKUP("O3",$R$63:$T$91,3,FALSE)+VLOOKUP("CP",$R$63:$T$91,3,FALSE),0)+IF(AND($N51&lt;&gt;"",$N51&lt;&gt;"--",$N51&lt;&gt;"O3/CP",$N$14=E$18),IF(LEFT($N51,1)="P",VLOOKUP(CONCATENATE(LEFT($N51,2),"H"),$R$63:$T$91,3,FALSE),VLOOKUP($N51,$R$63:$T$91,3,FALSE)))+IF(AND($N51&lt;&gt;"",$N51&lt;&gt;"O3/CP",$N$15=E$18,MID($N51,4,1)="2",$N$15&lt;&gt;$N$14),VLOOKUP(CONCATENATE(LEFT($N51,2),"L"),$R$63:$T$91,3,FALSE),0)+IF(AND($N51="O3/CP",$N$14=E$18),VLOOKUP("O3",$R$63:$T$91,3,FALSE)+VLOOKUP("CP",$R$63:$T$91,3,FALSE),0)+IF(AND($O51&lt;&gt;"",$O51&lt;&gt;"--",$O51&lt;&gt;"O3/CP",$O$14=E$18),IF(LEFT($O51,1)="P",VLOOKUP(CONCATENATE(LEFT($O51,2),"H"),$R$63:$T$91,3,FALSE),VLOOKUP($O51,$R$63:$T$91,3,FALSE)))+IF(AND($O51&lt;&gt;"",$O51&lt;&gt;"O3/CP",$O$15=E$18,MID($O51,4,1)="2",$O$15&lt;&gt;$O$14),VLOOKUP(CONCATENATE(LEFT($O51,2),"L"),$R$63:$T$91,3,FALSE),0)+IF(AND($O51="O3/CP",$O$14=E$18),VLOOKUP("O3",$R$63:$T$91,3,FALSE)+VLOOKUP("CP",$R$63:$T$91,3,FALSE),0)+IF(AND($P51&lt;&gt;"",$P51&lt;&gt;"--",$P51&lt;&gt;"O3/CP",$P$14=E$18),IF(LEFT($P51,1)="P",VLOOKUP(CONCATENATE(LEFT($P51,2),"H"),$R$63:$T$91,3,FALSE),VLOOKUP($P51,$R$63:$T$91,3,FALSE)))+IF(AND($P51&lt;&gt;"",$P51&lt;&gt;"O3/CP",$P$15=E$18,MID($P51,4,1)="2",$P$15&lt;&gt;$P$14),VLOOKUP(CONCATENATE(LEFT($P51,2),"L"),$R$63:$T$91,3,FALSE),0)+IF(AND($P51="O3/CP",$P$14=E$18),VLOOKUP("O3",$R$63:$T$91,3,FALSE)+VLOOKUP("CP",$R$63:$T$91,3,FALSE),0)+IF(AND($Q51&lt;&gt;"",$Q51&lt;&gt;"--",$Q51&lt;&gt;"O3/CP",$Q$14=E$18),IF(LEFT($Q51,1)="P",VLOOKUP(CONCATENATE(LEFT($Q51,2),"H"),$R$63:$T$91,3,FALSE),VLOOKUP($Q51,$R$63:$T$91,3,FALSE)))+IF(AND($Q51&lt;&gt;"",$Q51&lt;&gt;"O3/CP",$Q$15=E$18,MID($Q51,4,1)="2",$Q$15&lt;&gt;$Q$14),VLOOKUP(CONCATENATE(LEFT($Q51,2),"L"),$R$63:$T$91,3,FALSE),0)+IF(AND($Q51="O3/CP",$Q$14=E$18),VLOOKUP("O3",$R$63:$T$91,3,FALSE)+VLOOKUP("CP",$R$63:$T$91,3,FALSE),0)+IF(AND($R51&lt;&gt;"",$R51&lt;&gt;"--",$R51&lt;&gt;"O3/CP",$R$14=E$18),IF(LEFT($R51,1)="P",VLOOKUP(CONCATENATE(LEFT($R51,2),"H"),$R$63:$T$91,3,FALSE),VLOOKUP($R51,$R$63:$T$91,3,FALSE)))+IF(AND($R51&lt;&gt;"",$R51&lt;&gt;"O3/CP",$R$15=E$18,MID($R51,4,1)="2",$R$15&lt;&gt;$R$14),VLOOKUP(CONCATENATE(LEFT($R51,2),"L"),$R$63:$T$91,3,FALSE),0)+IF(AND($R51="O3/CP",$R$14=E$18),VLOOKUP("O3",$R$63:$T$91,3,FALSE)+VLOOKUP("CP",$R$63:$T$91,3,FALSE),0)+IF(AND($S51&lt;&gt;"",$S51&lt;&gt;"--",$S51&lt;&gt;"O3/CP",$S$14=E$18),IF(LEFT($S51,1)="P",VLOOKUP(CONCATENATE(LEFT($S51,2),"H"),$R$63:$T$91,3,FALSE),VLOOKUP($S51,$R$63:$T$91,3,FALSE)))+IF(AND($S51&lt;&gt;"",$S51&lt;&gt;"O3/CP",$S$15=E$18,MID($S51,4,1)="2",$S$15&lt;&gt;$S$14),VLOOKUP(CONCATENATE(LEFT($S51,2),"L"),$R$63:$T$91,3,FALSE),0)+IF(AND($S51="O3/CP",$S$14=E$18),VLOOKUP("O3",$R$63:$T$91,3,FALSE)+VLOOKUP("CP",$R$63:$T$91,3,FALSE),0)+IF(AND($T51&lt;&gt;"",$T51&lt;&gt;"--",$T51&lt;&gt;"O3/CP",$T$14=E$18),IF(LEFT($T51,1)="P",VLOOKUP(CONCATENATE(LEFT($T51,2),"H"),$R$63:$T$91,3,FALSE),VLOOKUP($T51,$R$63:$T$91,3,FALSE)))+IF(AND($T51&lt;&gt;"",$T51&lt;&gt;"O3/CP",$T$15=E$18,MID($T51,4,1)="2",$T$15&lt;&gt;$T$14),VLOOKUP(CONCATENATE(LEFT($T51,2),"L"),$R$63:$T$91,3,FALSE),0)+IF(AND($T51="O3/CP",$T$14=E$18),VLOOKUP("O3",$R$63:$T$91,3,FALSE)+VLOOKUP("CP",$R$63:$T$91,3,FALSE),0)+IF(AND($U51&lt;&gt;"",$U51&lt;&gt;"--",$U51&lt;&gt;"O3/CP",$U$14=E$18),IF(LEFT($U51,1)="P",VLOOKUP(CONCATENATE(LEFT($U51,2),"H"),$R$63:$T$91,3,FALSE),VLOOKUP($U51,$R$63:$T$91,3,FALSE)))+IF(AND($U51&lt;&gt;"",$U51&lt;&gt;"O3/CP",$U$15=E$18,MID($U51,4,1)="2",$U$15&lt;&gt;$U$14),VLOOKUP(CONCATENATE(LEFT($U51,2),"L"),$R$63:$T$91,3,FALSE),0)+IF(AND($U51="O3/CP",$T$14=E$18),VLOOKUP("O3",$R$63:$T$91,3,FALSE)+VLOOKUP("CP",$R$63:$T$91,3,FALSE),0)+IF(AND($V51&lt;&gt;"",$V51&lt;&gt;"--",$V51&lt;&gt;"O3/CP",$V$14=E$18),IF(LEFT($V51,1)="P",VLOOKUP(CONCATENATE(LEFT($V51,2),"H"),$R$63:$T$91,3,FALSE),VLOOKUP($V51,$R$63:$T$91,3,FALSE)))+IF(AND($V51&lt;&gt;"",$V51&lt;&gt;"O3/CP",$V$15=E$18,MID($V51,4,1)="2",$V$15&lt;&gt;$V$14),VLOOKUP(CONCATENATE(LEFT($V51,2),"L"),$R$63:$T$91,3,FALSE),0)+IF(AND($V51="O3/CP",$V$14=E$18),VLOOKUP("O3",$R$63:$T$91,3,FALSE)+VLOOKUP("CP",$R$63:$T$91,3,FALSE),0)+IF(AND($W51&lt;&gt;"",$W51&lt;&gt;"--",$W51&lt;&gt;"O3/CP",$W$14=E$18),IF(LEFT($W51,1)="P",VLOOKUP(CONCATENATE(LEFT($W51,2),"H"),$R$63:$T$91,3,FALSE),VLOOKUP($W51,$R$63:$T$91,3,FALSE)))+IF(AND($W51&lt;&gt;"",$W51&lt;&gt;"O3/CP",$W$15=E$18,MID($W51,4,1)="2",$W$15&lt;&gt;$W$14),VLOOKUP(CONCATENATE(LEFT($W51,2),"L"),$R$63:$T$91,3,FALSE),0)+IF(AND($W51="O3/CP",$W$14=E$18),VLOOKUP("O3",$R$63:$T$91,3,FALSE)+VLOOKUP("CP",$R$63:$T$91,3,FALSE),0)+IF(AND($X51&lt;&gt;"",$X51&lt;&gt;"--",$X51&lt;&gt;"O3/CP",$X$14=E$18),IF(LEFT($X51,1)="P",VLOOKUP(CONCATENATE(LEFT($X51,2),"H"),$R$63:$T$91,3,FALSE),VLOOKUP($X51,$R$63:$T$91,3,FALSE)))+IF(AND($X51&lt;&gt;"",$X51&lt;&gt;"O3/CP",$X$15=E$18,MID($X51,4,1)="2",$X$15&lt;&gt;$X$14),VLOOKUP(CONCATENATE(LEFT($X51,2),"L"),$R$63:$T$91,3,FALSE),0)+IF(AND($X51="O3/CP",$X$14=E$18),VLOOKUP("O3",$R$63:$T$91,3,FALSE)+VLOOKUP("CP",$R$63:$T$91,3,FALSE),0)+IF(AND($Y51&lt;&gt;"",$Y51&lt;&gt;"--",$Y51&lt;&gt;"O3/CP",$Y$14=E$18),IF(LEFT($Y51,1)="P",VLOOKUP(CONCATENATE(LEFT($Y51,2),"H"),$R$63:$T$91,3,FALSE),VLOOKUP($Y51,$R$63:$T$91,3,FALSE)))+IF(AND($Y51&lt;&gt;"",$Y51&lt;&gt;"O3/CP",$Y$15=E$18,MID($Y51,4,1)="2",$Y$15&lt;&gt;$Y$14),VLOOKUP(CONCATENATE(LEFT($Y51,2),"L"),$R$63:$T$91,3,FALSE),0)+IF(AND($Y51="O3/CP",$Y$14=E$18),VLOOKUP("O3",$R$63:$T$91,3,FALSE)+VLOOKUP("CP",$R$63:$T$91,3,FALSE),0)+IF(AND($K$6="CE",'[3]Supply Attribution'!$G$20=E$18),LEFT($S$90,2),0)+IF(AND($X$86&lt;&gt;"Not Set",$X$87=E$18),$X$86,0)</f>
        <v>0</v>
      </c>
      <c r="F51" s="272">
        <f>IF(AND($K51&lt;&gt;"",$K51&lt;&gt;"--",$K51&lt;&gt;"O3/CP",$K$14=F$18),IF(LEFT($K51,1)="P",VLOOKUP(CONCATENATE(LEFT($K51,2),"H"),$R$63:$T$91,3,FALSE),VLOOKUP($K51,$R$63:$T$91,3,FALSE)))+IF(AND($K51&lt;&gt;"",$K51&lt;&gt;"O3/CP",$K$15=F$18,MID($K51,4,1)="2",$K$15&lt;&gt;$K$14),VLOOKUP(CONCATENATE(LEFT($K51,2),"L"),$R$63:$T$91,3,FALSE),0)+IF(AND($K51="O3/CP",$K$14=F$18),VLOOKUP("O3",$R$63:$T$91,3,FALSE)+VLOOKUP("CP",$R$63:$T$91,3,FALSE),0)+IF(AND($L51&lt;&gt;"",$L51&lt;&gt;"--",$L51&lt;&gt;"O3/CP",$L$14=F$18),IF(LEFT($L51,1)="P",VLOOKUP(CONCATENATE(LEFT($L51,2),"H"),$R$63:$T$91,3,FALSE),VLOOKUP($L51,$R$63:$T$91,3,FALSE)))+IF(AND($L51&lt;&gt;"",$L51&lt;&gt;"O3/CP",$L$15=F$18,MID($L51,4,1)="2",$L$15&lt;&gt;$L$14),VLOOKUP(CONCATENATE(LEFT($L51,2),"L"),$R$63:$T$91,3,FALSE),0)+IF(AND($L51="O3/CP",$L$14=F$18),VLOOKUP("O3",$R$63:$T$91,3,FALSE)+VLOOKUP("CP",$R$63:$T$91,3,FALSE),0)+IF(AND($M51&lt;&gt;"",$M51&lt;&gt;"--",$M51&lt;&gt;"O3/CP",$M$14=F$18),IF(LEFT($M51,1)="P",VLOOKUP(CONCATENATE(LEFT($M51,2),"H"),$R$63:$T$91,3,FALSE),VLOOKUP($M51,$R$63:$T$91,3,FALSE)))+IF(AND($M51&lt;&gt;"",$M51&lt;&gt;"O3/CP",$M$15=F$18,MID($M51,4,1)="2",$M$15&lt;&gt;$M$14),VLOOKUP(CONCATENATE(LEFT($M51,2),"L"),$R$63:$T$91,3,FALSE),0)+IF(AND($M51="O3/CP",$M$14=F$18),VLOOKUP("O3",$R$63:$T$91,3,FALSE)+VLOOKUP("CP",$R$63:$T$91,3,FALSE),0)+IF(AND($N51&lt;&gt;"",$N51&lt;&gt;"--",$N51&lt;&gt;"O3/CP",$N$14=F$18),IF(LEFT($N51,1)="P",VLOOKUP(CONCATENATE(LEFT($N51,2),"H"),$R$63:$T$91,3,FALSE),VLOOKUP($N51,$R$63:$T$91,3,FALSE)))+IF(AND($N51&lt;&gt;"",$N51&lt;&gt;"O3/CP",$N$15=F$18,MID($N51,4,1)="2",$N$15&lt;&gt;$N$14),VLOOKUP(CONCATENATE(LEFT($N51,2),"L"),$R$63:$T$91,3,FALSE),0)+IF(AND($N51="O3/CP",$N$14=F$18),VLOOKUP("O3",$R$63:$T$91,3,FALSE)+VLOOKUP("CP",$R$63:$T$91,3,FALSE),0)+IF(AND($O51&lt;&gt;"",$O51&lt;&gt;"--",$O51&lt;&gt;"O3/CP",$O$14=F$18),IF(LEFT($O51,1)="P",VLOOKUP(CONCATENATE(LEFT($O51,2),"H"),$R$63:$T$91,3,FALSE),VLOOKUP($O51,$R$63:$T$91,3,FALSE)))+IF(AND($O51&lt;&gt;"",$O51&lt;&gt;"O3/CP",$O$15=F$18,MID($O51,4,1)="2",$O$15&lt;&gt;$O$14),VLOOKUP(CONCATENATE(LEFT($O51,2),"L"),$R$63:$T$91,3,FALSE),0)+IF(AND($O51="O3/CP",$O$14=F$18),VLOOKUP("O3",$R$63:$T$91,3,FALSE)+VLOOKUP("CP",$R$63:$T$91,3,FALSE),0)+IF(AND($P51&lt;&gt;"",$P51&lt;&gt;"--",$P51&lt;&gt;"O3/CP",$P$14=F$18),IF(LEFT($P51,1)="P",VLOOKUP(CONCATENATE(LEFT($P51,2),"H"),$R$63:$T$91,3,FALSE),VLOOKUP($P51,$R$63:$T$91,3,FALSE)))+IF(AND($P51&lt;&gt;"",$P51&lt;&gt;"O3/CP",$P$15=F$18,MID($P51,4,1)="2",$P$15&lt;&gt;$P$14),VLOOKUP(CONCATENATE(LEFT($P51,2),"L"),$R$63:$T$91,3,FALSE),0)+IF(AND($P51="O3/CP",$P$14=F$18),VLOOKUP("O3",$R$63:$T$91,3,FALSE)+VLOOKUP("CP",$R$63:$T$91,3,FALSE),0)+IF(AND($Q51&lt;&gt;"",$Q51&lt;&gt;"--",$Q51&lt;&gt;"O3/CP",$Q$14=F$18),IF(LEFT($Q51,1)="P",VLOOKUP(CONCATENATE(LEFT($Q51,2),"H"),$R$63:$T$91,3,FALSE),VLOOKUP($Q51,$R$63:$T$91,3,FALSE)))+IF(AND($Q51&lt;&gt;"",$Q51&lt;&gt;"O3/CP",$Q$15=F$18,MID($Q51,4,1)="2",$Q$15&lt;&gt;$Q$14),VLOOKUP(CONCATENATE(LEFT($Q51,2),"L"),$R$63:$T$91,3,FALSE),0)+IF(AND($Q51="O3/CP",$Q$14=F$18),VLOOKUP("O3",$R$63:$T$91,3,FALSE)+VLOOKUP("CP",$R$63:$T$91,3,FALSE),0)+IF(AND($R51&lt;&gt;"",$R51&lt;&gt;"--",$R51&lt;&gt;"O3/CP",$R$14=F$18),IF(LEFT($R51,1)="P",VLOOKUP(CONCATENATE(LEFT($R51,2),"H"),$R$63:$T$91,3,FALSE),VLOOKUP($R51,$R$63:$T$91,3,FALSE)))+IF(AND($R51&lt;&gt;"",$R51&lt;&gt;"O3/CP",$R$15=F$18,MID($R51,4,1)="2",$R$15&lt;&gt;$R$14),VLOOKUP(CONCATENATE(LEFT($R51,2),"L"),$R$63:$T$91,3,FALSE),0)+IF(AND($R51="O3/CP",$R$14=F$18),VLOOKUP("O3",$R$63:$T$91,3,FALSE)+VLOOKUP("CP",$R$63:$T$91,3,FALSE),0)+IF(AND($S51&lt;&gt;"",$S51&lt;&gt;"--",$S51&lt;&gt;"O3/CP",$S$14=F$18),IF(LEFT($S51,1)="P",VLOOKUP(CONCATENATE(LEFT($S51,2),"H"),$R$63:$T$91,3,FALSE),VLOOKUP($S51,$R$63:$T$91,3,FALSE)))+IF(AND($S51&lt;&gt;"",$S51&lt;&gt;"O3/CP",$S$15=F$18,MID($S51,4,1)="2",$S$15&lt;&gt;$S$14),VLOOKUP(CONCATENATE(LEFT($S51,2),"L"),$R$63:$T$91,3,FALSE),0)+IF(AND($S51="O3/CP",$S$14=F$18),VLOOKUP("O3",$R$63:$T$91,3,FALSE)+VLOOKUP("CP",$R$63:$T$91,3,FALSE),0)+IF(AND($T51&lt;&gt;"",$T51&lt;&gt;"--",$T51&lt;&gt;"O3/CP",$T$14=F$18),IF(LEFT($T51,1)="P",VLOOKUP(CONCATENATE(LEFT($T51,2),"H"),$R$63:$T$91,3,FALSE),VLOOKUP($T51,$R$63:$T$91,3,FALSE)))+IF(AND($T51&lt;&gt;"",$T51&lt;&gt;"O3/CP",$T$15=F$18,MID($T51,4,1)="2",$T$15&lt;&gt;$T$14),VLOOKUP(CONCATENATE(LEFT($T51,2),"L"),$R$63:$T$91,3,FALSE),0)+IF(AND($T51="O3/CP",$T$14=F$18),VLOOKUP("O3",$R$63:$T$91,3,FALSE)+VLOOKUP("CP",$R$63:$T$91,3,FALSE),0)+IF(AND($U51&lt;&gt;"",$U51&lt;&gt;"--",$U51&lt;&gt;"O3/CP",$U$14=F$18),IF(LEFT($U51,1)="P",VLOOKUP(CONCATENATE(LEFT($U51,2),"H"),$R$63:$T$91,3,FALSE),VLOOKUP($U51,$R$63:$T$91,3,FALSE)))+IF(AND($U51&lt;&gt;"",$U51&lt;&gt;"O3/CP",$U$15=F$18,MID($U51,4,1)="2",$U$15&lt;&gt;$U$14),VLOOKUP(CONCATENATE(LEFT($U51,2),"L"),$R$63:$T$91,3,FALSE),0)+IF(AND($U51="O3/CP",$T$14=F$18),VLOOKUP("O3",$R$63:$T$91,3,FALSE)+VLOOKUP("CP",$R$63:$T$91,3,FALSE),0)+IF(AND($V51&lt;&gt;"",$V51&lt;&gt;"--",$V51&lt;&gt;"O3/CP",$V$14=F$18),IF(LEFT($V51,1)="P",VLOOKUP(CONCATENATE(LEFT($V51,2),"H"),$R$63:$T$91,3,FALSE),VLOOKUP($V51,$R$63:$T$91,3,FALSE)))+IF(AND($V51&lt;&gt;"",$V51&lt;&gt;"O3/CP",$V$15=F$18,MID($V51,4,1)="2",$V$15&lt;&gt;$V$14),VLOOKUP(CONCATENATE(LEFT($V51,2),"L"),$R$63:$T$91,3,FALSE),0)+IF(AND($V51="O3/CP",$V$14=F$18),VLOOKUP("O3",$R$63:$T$91,3,FALSE)+VLOOKUP("CP",$R$63:$T$91,3,FALSE),0)+IF(AND($W51&lt;&gt;"",$W51&lt;&gt;"--",$W51&lt;&gt;"O3/CP",$W$14=F$18),IF(LEFT($W51,1)="P",VLOOKUP(CONCATENATE(LEFT($W51,2),"H"),$R$63:$T$91,3,FALSE),VLOOKUP($W51,$R$63:$T$91,3,FALSE)))+IF(AND($W51&lt;&gt;"",$W51&lt;&gt;"O3/CP",$W$15=F$18,MID($W51,4,1)="2",$W$15&lt;&gt;$W$14),VLOOKUP(CONCATENATE(LEFT($W51,2),"L"),$R$63:$T$91,3,FALSE),0)+IF(AND($W51="O3/CP",$W$14=F$18),VLOOKUP("O3",$R$63:$T$91,3,FALSE)+VLOOKUP("CP",$R$63:$T$91,3,FALSE),0)+IF(AND($X51&lt;&gt;"",$X51&lt;&gt;"--",$X51&lt;&gt;"O3/CP",$X$14=F$18),IF(LEFT($X51,1)="P",VLOOKUP(CONCATENATE(LEFT($X51,2),"H"),$R$63:$T$91,3,FALSE),VLOOKUP($X51,$R$63:$T$91,3,FALSE)))+IF(AND($X51&lt;&gt;"",$X51&lt;&gt;"O3/CP",$X$15=F$18,MID($X51,4,1)="2",$X$15&lt;&gt;$X$14),VLOOKUP(CONCATENATE(LEFT($X51,2),"L"),$R$63:$T$91,3,FALSE),0)+IF(AND($X51="O3/CP",$X$14=F$18),VLOOKUP("O3",$R$63:$T$91,3,FALSE)+VLOOKUP("CP",$R$63:$T$91,3,FALSE),0)+IF(AND($Y51&lt;&gt;"",$Y51&lt;&gt;"--",$Y51&lt;&gt;"O3/CP",$Y$14=F$18),IF(LEFT($Y51,1)="P",VLOOKUP(CONCATENATE(LEFT($Y51,2),"H"),$R$63:$T$91,3,FALSE),VLOOKUP($Y51,$R$63:$T$91,3,FALSE)))+IF(AND($Y51&lt;&gt;"",$Y51&lt;&gt;"O3/CP",$Y$15=F$18,MID($Y51,4,1)="2",$Y$15&lt;&gt;$Y$14),VLOOKUP(CONCATENATE(LEFT($Y51,2),"L"),$R$63:$T$91,3,FALSE),0)+IF(AND($Y51="O3/CP",$Y$14=F$18),VLOOKUP("O3",$R$63:$T$91,3,FALSE)+VLOOKUP("CP",$R$63:$T$91,3,FALSE),0)+IF(AND($K$6="CE",'[3]Supply Attribution'!$G$20=F$18),LEFT($S$90,2),0)+IF(AND($X$86&lt;&gt;"Not Set",$X$87=F$18),$X$86,0)</f>
        <v>0</v>
      </c>
      <c r="G51" s="271">
        <f>IF(AND($K$6="CE",$T$59="1 Phase"),SUM(A51:F51)-IF(AND($K$14&lt;&gt;$K$15,RIGHT($K51,3)="2SP"),VLOOKUP(CONCATENATE(LEFT($K51,2),"L"),$R$63:$T$90,3,FALSE),0)-IF(AND($L$14&lt;&gt;$L$15,RIGHT($L51,3)="2SP"),VLOOKUP(CONCATENATE(LEFT($L51,2),"L"),$R$63:$T$90,3,FALSE),0)-IF(AND($M$14&lt;&gt;$M$15,RIGHT($M51,3)="2SP"),VLOOKUP(CONCATENATE(LEFT($M51,2),"L"),$R$63:$T$90,3,FALSE),0)-IF(AND($N$14&lt;&gt;$N$15,RIGHT($N51,3)="2SP"),VLOOKUP(CONCATENATE(LEFT($N51,2),"L"),$R$63:$T$90,3,FALSE),0)-IF(AND($O$14&lt;&gt;$O$15,RIGHT($O51,3)="2SP"),VLOOKUP(CONCATENATE(LEFT($O51,2),"L"),$R$63:$T$90,3,FALSE),0)-IF(AND($P$14&lt;&gt;$P$15,RIGHT($P51,3)="2SP"),VLOOKUP(CONCATENATE(LEFT($P51,2),"L"),$R$63:$T$90,3,FALSE),0)-IF(AND($Q$14&lt;&gt;$Q$15,RIGHT($Q51,3)="2SP"),VLOOKUP(CONCATENATE(LEFT($Q51,2),"L"),$R$63:$T$90,3,FALSE),0)-IF(AND($R$14&lt;&gt;$R$15,RIGHT($T51,3)="2SP"),VLOOKUP(CONCATENATE(LEFT($R51,2),"L"),$R$63:$T$90,3,FALSE),0)-IF(AND($S$14&lt;&gt;$S$15,RIGHT($T51,3)="2SP"),VLOOKUP(CONCATENATE(LEFT($S51,2),"L"),$R$63:$T$90,3,FALSE),0)-IF(AND($T$14&lt;&gt;$T$15,RIGHT($T51,3)="2SP"),VLOOKUP(CONCATENATE(LEFT($T51,2),"L"),$R$63:$T$90,3,FALSE),0)-IF(AND($U$14&lt;&gt;$U$15,RIGHT($U51,3)="2SP"),VLOOKUP(CONCATENATE(LEFT($U51,2),"L"),$R$63:$T$90,3,FALSE),0)-IF(AND($V$14&lt;&gt;$V$15,RIGHT($V51,3)="2SP"),VLOOKUP(CONCATENATE(LEFT($V51,2),"L"),$R$63:$T$90,3,FALSE),0)-IF(AND($W$14&lt;&gt;$W$15,RIGHT($W51,3)="2SP"),VLOOKUP(CONCATENATE(LEFT($W51,2),"L"),$R$63:$T$90,3,FALSE),0)-IF(AND($X$14&lt;&gt;$X$15,RIGHT($X51,3)="2SP"),VLOOKUP(CONCATENATE(LEFT($X51,2),"L"),$R$63:$T$90,3,FALSE),0)-IF(AND($Y$14&lt;&gt;$Y$15,RIGHT($Y51,3)="2SP"),VLOOKUP(CONCATENATE(LEFT($Y51,2),"L"),$R$63:$T$90,3,FALSE),0),IF(VLOOKUP(CONCATENATE($A$18,"Line"),'[3]Supply Attribution'!$F$31:$G$37,2,FALSE)=G$18,$A51,0)+IF(VLOOKUP(CONCATENATE($B$18,"Line"),'[3]Supply Attribution'!$F$31:$G$37,2,FALSE)=G$18,$B51,0)+IF(VLOOKUP(CONCATENATE($C$18,"Line"),'[3]Supply Attribution'!$F$31:$G$37,2,FALSE)=G$18,$C51,0)+IF(VLOOKUP(CONCATENATE($D$18,"Line"),'[3]Supply Attribution'!$F$31:$G$37,2,FALSE)=G$18,$D51,0)+IF(VLOOKUP(CONCATENATE($E$18,"Line"),'[3]Supply Attribution'!$F$31:$G$37,2,FALSE)=G$18,$E51,0)+IF(VLOOKUP(CONCATENATE($F$18,"Line"),'[3]Supply Attribution'!$F$31:$G$37,2,FALSE)=G$18,$F51,0)+IF($K$6="UL",LEFT($S$90,2),0)-IF(AND($K$16=G$18,$K$14&lt;&gt;$K$15,$K$16=$K$17,RIGHT($K51,3)="2SP"),VLOOKUP(CONCATENATE(LEFT($K51,2),"L"),$R$63:$T$90,3,FALSE),0)-IF(AND($L$16=G$18,$L$14&lt;&gt;$L$15,$L$16=$L$17,RIGHT($L51,3)="2SP"),VLOOKUP(CONCATENATE(LEFT($L51,2),"L"),$R$63:$T$90,3,FALSE),0)-IF(AND($M$16=G$18,$M$14&lt;&gt;$M$15,$M$16=$M$17,RIGHT($M51,3)="2SP"),VLOOKUP(CONCATENATE(LEFT($M51,2),"L"),$R$63:$T$90,3,FALSE),0)-IF(AND($N$16=G$18,$N$14&lt;&gt;$N$15,$N$16=$N$17,RIGHT($N51,3)="2SP"),VLOOKUP(CONCATENATE(LEFT($N51,2),"L"),$R$63:$T$90,3,FALSE),0)-IF(AND($O$16=G$18,$O$14&lt;&gt;$O$15,$O$16=$O$17,RIGHT($O51,3)="2SP"),VLOOKUP(CONCATENATE(LEFT($O51,2),"L"),$R$63:$T$90,3,FALSE),0)-IF(AND($P$16=G$18,$P$14&lt;&gt;$P$15,$P$16=$P$17,RIGHT($P51,3)="2SP"),VLOOKUP(CONCATENATE(LEFT($P51,2),"L"),$R$63:$T$90,3,FALSE),0)-IF(AND($Q$16=G$18,$Q$14&lt;&gt;$Q$15,$Q$16=$Q$17,RIGHT($Q51,3)="2SP"),VLOOKUP(CONCATENATE(LEFT($Q51,2),"L"),$R$63:$T$90,3,FALSE),0)-IF(AND($R$16=G$18,$R$14&lt;&gt;$R$15,$R$16=$R$17,RIGHT($R51,3)="2SP"),VLOOKUP(CONCATENATE(LEFT($R51,2),"L"),$R$63:$T$90,3,FALSE),0)-IF(AND($S$16=G$18,$S$14&lt;&gt;$S$15,$S$16=$S$17,RIGHT($S51,3)="2SP"),VLOOKUP(CONCATENATE(LEFT($S51,2),"L"),$R$63:$T$90,3,FALSE),0)-IF(AND($T$16=G$18,$T$14&lt;&gt;$T$15,$T$16=$T$17,RIGHT($T51,3)="2SP"),VLOOKUP(CONCATENATE(LEFT($T51,2),"L"),$R$63:$T$90,3,FALSE),0)-IF(AND($U$16=G$18,$U$14&lt;&gt;$U$15,$U$16=$U$17,RIGHT($U51,3)="2SP"),VLOOKUP(CONCATENATE(LEFT($U51,2),"L"),$R$63:$T$90,3,FALSE),0)-IF(AND($V$16=G$18,$V$14&lt;&gt;$V$15,$V$16=$V$17,RIGHT($V51,3)="2SP"),VLOOKUP(CONCATENATE(LEFT($V51,2),"L"),$R$63:$T$90,3,FALSE),0)-IF(AND($W$16=G$18,$W$14&lt;&gt;$W$15,$W$16=$W$17,RIGHT($W51,3)="2SP"),VLOOKUP(CONCATENATE(LEFT($W51,2),"L"),$R$63:$T$90,3,FALSE),0)-IF(AND($X$16=G$18,$X$14&lt;&gt;$X$15,$X$16=$X$17,RIGHT($X51,3)="2SP"),VLOOKUP(CONCATENATE(LEFT($X51,2),"L"),$R$63:$T$90,3,FALSE),0)-IF(AND($Y$16=G$18,$Y$14&lt;&gt;$Y$15,$Y$16=$Y$17,RIGHT($Y51,3)="2SP"),VLOOKUP(CONCATENATE(LEFT($Y51,2),"L"),$R$63:$T$90,3,FALSE),0))</f>
        <v>17</v>
      </c>
      <c r="H51" s="271" t="str">
        <f>IF(H$18&lt;&gt;"",IF(VLOOKUP(CONCATENATE($A$18,"Line"),'Supply Attribution'!$F$31:$G$37,2,FALSE)=H$18,$A51,0)+IF(VLOOKUP(CONCATENATE($B$18,"Line"),'Supply Attribution'!$F$31:$G$37,2,FALSE)=H$18,$B51,0)+IF(VLOOKUP(CONCATENATE($C$18,"Line"),'Supply Attribution'!$F$31:$G$37,2,FALSE)=H$18,$C51,0)+IF(VLOOKUP(CONCATENATE($D$18,"Line"),'Supply Attribution'!$F$31:$G$37,2,FALSE)=H$18,$D51,0)+IF(VLOOKUP(CONCATENATE($E$18,"Line"),'Supply Attribution'!$F$31:$G$37,2,FALSE)=H$18,$E51,0)+IF(VLOOKUP(CONCATENATE($F$18,"Line"),'Supply Attribution'!$F$31:$G$37,2,FALSE)=H$18,$F51,0)+IF($K$6="UL",LEFT($S$90,2),0)-IF(AND($K$16=H$18,$K$14&lt;&gt;$K$15,$K$16=$K$17,RIGHT($K51,3)="2SP"),VLOOKUP(CONCATENATE(LEFT($K51,2),"L"),$R$63:$T$90,3,FALSE),0)-IF(AND($L$16=H$18,$L$14&lt;&gt;$L$15,$L$16=$L$17,RIGHT($L51,3)="2SP"),VLOOKUP(CONCATENATE(LEFT($L51,2),"L"),$R$63:$T$90,3,FALSE),0)-IF(AND($M$16=H$18,$M$14&lt;&gt;$M$15,$M$16=$M$17,RIGHT($M51,3)="2SP"),VLOOKUP(CONCATENATE(LEFT($M51,2),"L"),$R$63:$T$90,3,FALSE),0)-IF(AND($N$16=H$18,$N$14&lt;&gt;$N$15,$N$16=$N$17,RIGHT($N51,3)="2SP"),VLOOKUP(CONCATENATE(LEFT($N51,2),"L"),$R$63:$T$90,3,FALSE),0)-IF(AND($O$16=H$18,$O$14&lt;&gt;$O$15,$O$16=$O$17,RIGHT($O51,3)="2SP"),VLOOKUP(CONCATENATE(LEFT($O51,2),"L"),$R$63:$T$90,3,FALSE),0)-IF(AND($P$16=H$18,$P$14&lt;&gt;$P$15,$P$16=$P$17,RIGHT($P51,3)="2SP"),VLOOKUP(CONCATENATE(LEFT($P51,2),"L"),$R$63:$T$90,3,FALSE),0)-IF(AND($Q$16=H$18,$Q$14&lt;&gt;$Q$15,$Q$16=$Q$17,RIGHT($Q51,3)="2SP"),VLOOKUP(CONCATENATE(LEFT($Q51,2),"L"),$R$63:$T$90,3,FALSE),0)-IF(AND($T$16=H$18,$T$14&lt;&gt;$T$15,$T$16=$T$17,RIGHT($T51,3)="2SP"),VLOOKUP(CONCATENATE(LEFT($T51,2),"L"),$R$63:$T$90,3,FALSE),0)-IF(AND($U$16=H$18,$U$14&lt;&gt;$U$15,$U$16=$U$17,RIGHT($U51,3)="2SP"),VLOOKUP(CONCATENATE(LEFT($U51,2),"L"),$R$63:$T$90,3,FALSE),0)-IF(AND($V$16=H$18,$V$14&lt;&gt;$V$15,$V$16=$V$17,RIGHT($V51,3)="2SP"),VLOOKUP(CONCATENATE(LEFT($V51,2),"L"),$R$63:$T$90,3,FALSE),0)-IF(AND($W$16=H$18,$W$14&lt;&gt;$W$15,$W$16=$W$17,RIGHT($W51,3)="2SP"),VLOOKUP(CONCATENATE(LEFT($W51,2),"L"),$R$63:$T$90,3,FALSE),0)-IF(AND($X$16=H$18,$X$14&lt;&gt;$X$15,$X$16=$X$17,RIGHT($X51,3)="2SP"),VLOOKUP(CONCATENATE(LEFT($X51,2),"L"),$R$63:$T$90,3,FALSE),0)-IF(AND($Y$16=H$18,$Y$14&lt;&gt;$Y$15,$Y$16=$Y$17,RIGHT($Y51,3)="2SP"),VLOOKUP(CONCATENATE(LEFT($Y51,2),"L"),$R$63:$T$90,3,FALSE),0)+IF(AND($K$6="CE",$T$59="2 Phases",H$18&lt;&gt;""),IF(VLOOKUP(CONCATENATE($A$18,"Line"),'Supply Attribution'!$F$31:$G$37,2,FALSE)="Line3",$A51,0)+IF(VLOOKUP(CONCATENATE($B$18,"Line"),'Supply Attribution'!$F$31:$G$37,2,FALSE)="Line3",$B51,0)+IF(VLOOKUP(CONCATENATE($C$18,"Line"),'Supply Attribution'!$F$31:$G$37,2,FALSE)="Line3",$C51,0)+IF(VLOOKUP(CONCATENATE($D$18,"Line"),'Supply Attribution'!$F$31:$G$37,2,FALSE)="Line3",$D51,0)+IF(VLOOKUP(CONCATENATE($E$18,"Line"),'Supply Attribution'!$F$31:$G$37,2,FALSE)="Line3",$E51,0)+IF(VLOOKUP(CONCATENATE($F$18,"Line"),'Supply Attribution'!$F$31:$G$37,2,FALSE)="Line3",$F51,0)-IF(AND($K$16=I$18,$K$14&lt;&gt;$K$15,$K$16=$K$17,RIGHT($K51,3)="2SP"),VLOOKUP(CONCATENATE(LEFT($K51,2),"L"),$R$63:$T$90,3,FALSE),0)-IF(AND($L$16=I$18,$L$14&lt;&gt;$L$15,$L$16=$L$17,RIGHT($L51,3)="2SP"),VLOOKUP(CONCATENATE(LEFT($L51,2),"L"),$R$63:$T$90,3,FALSE),0)-IF(AND($M$16=I$18,$M$14&lt;&gt;$M$15,$M$16=$M$17,RIGHT($M51,3)="2SP"),VLOOKUP(CONCATENATE(LEFT($M51,2),"L"),$R$63:$T$90,3,FALSE),0)-IF(AND($N$16=I$18,$N$14&lt;&gt;$N$15,$N$16=$N$17,RIGHT($N51,3)="2SP"),VLOOKUP(CONCATENATE(LEFT($N51,2),"L"),$R$63:$T$90,3,FALSE),0)-IF(AND($O$16=I$18,$O$14&lt;&gt;$O$15,$O$16=$O$17,RIGHT($O51,3)="2SP"),VLOOKUP(CONCATENATE(LEFT($O51,2),"L"),$R$63:$T$90,3,FALSE),0)-IF(AND($P$16=I$18,$P$14&lt;&gt;$P$15,$P$16=$P$17,RIGHT($P51,3)="2SP"),VLOOKUP(CONCATENATE(LEFT($P51,2),"L"),$R$63:$T$90,3,FALSE),0)-IF(AND($Q$16=I$18,$Q$14&lt;&gt;$Q$15,$Q$16=$Q$17,RIGHT($Q51,3)="2SP"),VLOOKUP(CONCATENATE(LEFT($Q51,2),"L"),$R$63:$T$90,3,FALSE),0)-IF(AND($T$16=I$18,$T$14&lt;&gt;$T$15,$T$16=$T$17,RIGHT($T51,3)="2SP"),VLOOKUP(CONCATENATE(LEFT($T51,2),"L"),$R$63:$T$90,3,FALSE),0)-IF(AND($U$16=I$18,$U$14&lt;&gt;$U$15,$U$16=$U$17,RIGHT($U51,3)="2SP"),VLOOKUP(CONCATENATE(LEFT($U51,2),"L"),$R$63:$T$90,3,FALSE),0)-IF(AND($V$16=I$18,$V$14&lt;&gt;$V$15,$V$16=$V$17,RIGHT($V51,3)="2SP"),VLOOKUP(CONCATENATE(LEFT($V51,2),"L"),$R$63:$T$90,3,FALSE),0)-IF(AND($W$16=I$18,$W$14&lt;&gt;$W$15,$W$16=$W$17,RIGHT($W51,3)="2SP"),VLOOKUP(CONCATENATE(LEFT($W51,2),"L"),$R$63:$T$90,3,FALSE),0)-IF(AND($X$16=I$18,$X$14&lt;&gt;$X$15,$X$16=$X$17,RIGHT($X51,3)="2SP"),VLOOKUP(CONCATENATE(LEFT($X51,2),"L"),$R$63:$T$90,3,FALSE),0)-IF(AND($Y$16=I$18,$Y$14&lt;&gt;$Y$15,$Y$16=$Y$17,RIGHT($Y51,3)="2SP"),VLOOKUP(CONCATENATE(LEFT($Y51,2),"L"),$R$63:$T$90,3,FALSE),0),0),"")</f>
        <v/>
      </c>
      <c r="I51" s="271" t="str">
        <f>IF(I$18&lt;&gt;"",IF(VLOOKUP(CONCATENATE($A$18,"Line"),'Supply Attribution'!$F$31:$G$37,2,FALSE)=I$18,$A51,0)+IF(VLOOKUP(CONCATENATE($B$18,"Line"),'Supply Attribution'!$F$31:$G$37,2,FALSE)=I$18,$B51,0)+IF(VLOOKUP(CONCATENATE($C$18,"Line"),'Supply Attribution'!$F$31:$G$37,2,FALSE)=I$18,$C51,0)+IF(VLOOKUP(CONCATENATE($D$18,"Line"),'Supply Attribution'!$F$31:$G$37,2,FALSE)=I$18,$D51,0)+IF(VLOOKUP(CONCATENATE($E$18,"Line"),'Supply Attribution'!$F$31:$G$37,2,FALSE)=I$18,$E51,0)+IF(VLOOKUP(CONCATENATE($F$18,"Line"),'Supply Attribution'!$F$31:$G$37,2,FALSE)=I$18,$F51,0)+IF($K$6="UL",LEFT($S$90,2),0)-IF(AND($K$16=I$18,$K$14&lt;&gt;$K$15,$K$16=$K$17,RIGHT($K51,3)="2SP"),VLOOKUP(CONCATENATE(LEFT($K51,2),"L"),$R$63:$T$90,3,FALSE),0)-IF(AND($L$16=I$18,$L$14&lt;&gt;$L$15,$L$16=$L$17,RIGHT($L51,3)="2SP"),VLOOKUP(CONCATENATE(LEFT($L51,2),"L"),$R$63:$T$90,3,FALSE),0)-IF(AND($M$16=I$18,$M$14&lt;&gt;$M$15,$M$16=$M$17,RIGHT($M51,3)="2SP"),VLOOKUP(CONCATENATE(LEFT($M51,2),"L"),$R$63:$T$90,3,FALSE),0)-IF(AND($N$16=I$18,$N$14&lt;&gt;$N$15,$N$16=$N$17,RIGHT($N51,3)="2SP"),VLOOKUP(CONCATENATE(LEFT($N51,2),"L"),$R$63:$T$90,3,FALSE),0)-IF(AND($O$16=I$18,$O$14&lt;&gt;$O$15,$O$16=$O$17,RIGHT($O51,3)="2SP"),VLOOKUP(CONCATENATE(LEFT($O51,2),"L"),$R$63:$T$90,3,FALSE),0)-IF(AND($P$16=I$18,$P$14&lt;&gt;$P$15,$P$16=$P$17,RIGHT($P51,3)="2SP"),VLOOKUP(CONCATENATE(LEFT($P51,2),"L"),$R$63:$T$90,3,FALSE),0)-IF(AND($Q$16=I$18,$Q$14&lt;&gt;$Q$15,$Q$16=$Q$17,RIGHT($Q51,3)="2SP"),VLOOKUP(CONCATENATE(LEFT($Q51,2),"L"),$R$63:$T$90,3,FALSE),0)-IF(AND($T$16=I$18,$T$14&lt;&gt;$T$15,$T$16=$T$17,RIGHT($T51,3)="2SP"),VLOOKUP(CONCATENATE(LEFT($T51,2),"L"),$R$63:$T$90,3,FALSE),0)-IF(AND($U$16=I$18,$U$14&lt;&gt;$U$15,$U$16=$U$17,RIGHT($U51,3)="2SP"),VLOOKUP(CONCATENATE(LEFT($U51,2),"L"),$R$63:$T$90,3,FALSE),0)-IF(AND($V$16=I$18,$V$14&lt;&gt;$V$15,$V$16=$V$17,RIGHT($V51,3)="2SP"),VLOOKUP(CONCATENATE(LEFT($V51,2),"L"),$R$63:$T$90,3,FALSE),0)-IF(AND($W$16=I$18,$W$14&lt;&gt;$W$15,$W$16=$W$17,RIGHT($W51,3)="2SP"),VLOOKUP(CONCATENATE(LEFT($W51,2),"L"),$R$63:$T$90,3,FALSE),0)-IF(AND($X$16=I$18,$X$14&lt;&gt;$X$15,$X$16=$X$17,RIGHT($X51,3)="2SP"),VLOOKUP(CONCATENATE(LEFT($X51,2),"L"),$R$63:$T$90,3,FALSE),0)-IF(AND($Y$16=I$18,$Y$14&lt;&gt;$Y$15,$Y$16=$Y$17,RIGHT($Y51,3)="2SP"),VLOOKUP(CONCATENATE(LEFT($Y51,2),"L"),$R$63:$T$90,3,FALSE),0),"")</f>
        <v/>
      </c>
      <c r="J51" s="129"/>
      <c r="K51" s="130"/>
      <c r="L51" s="130"/>
      <c r="M51" s="130"/>
      <c r="N51" s="130"/>
      <c r="O51" s="130"/>
      <c r="P51" s="130"/>
      <c r="Q51" s="130"/>
      <c r="R51" s="130"/>
      <c r="S51" s="130"/>
      <c r="T51" s="130"/>
      <c r="U51" s="130"/>
      <c r="V51" s="130"/>
      <c r="W51" s="130"/>
      <c r="X51" s="130"/>
      <c r="Y51" s="130"/>
      <c r="Z51" s="131"/>
      <c r="AA51" s="131"/>
      <c r="AB51" s="132"/>
      <c r="AC51" s="132"/>
      <c r="AD51" s="132"/>
      <c r="AE51" s="133">
        <f t="shared" si="0"/>
        <v>0</v>
      </c>
      <c r="AF51" s="78"/>
    </row>
    <row r="52" spans="1:32">
      <c r="A52" s="270">
        <f>IF(AND($K52&lt;&gt;"",$K52&lt;&gt;"--",$K52&lt;&gt;"O3/CP",$K$14=A$18),IF(LEFT($K52,1)="P",VLOOKUP(CONCATENATE(LEFT($K52,2),"H"),$R$63:$T$91,3,FALSE),VLOOKUP($K52,$R$63:$T$91,3,FALSE)))+IF(AND($K52&lt;&gt;"",$K52&lt;&gt;"O3/CP",$K$15=A$18,MID($K52,4,1)="2",$K$15&lt;&gt;$K$14),VLOOKUP(CONCATENATE(LEFT($K52,2),"L"),$R$63:$T$91,3,FALSE),0)+IF(AND($K52="O3/CP",$K$14=A$18),VLOOKUP("O3",$R$63:$T$91,3,FALSE)+VLOOKUP("CP",$R$63:$T$91,3,FALSE),0)+IF(AND($L52&lt;&gt;"",$L52&lt;&gt;"--",$L52&lt;&gt;"O3/CP",$L$14=A$18),IF(LEFT($L52,1)="P",VLOOKUP(CONCATENATE(LEFT($L52,2),"H"),$R$63:$T$91,3,FALSE),VLOOKUP($L52,$R$63:$T$91,3,FALSE)))+IF(AND($L52&lt;&gt;"",$L52&lt;&gt;"O3/CP",$L$15=A$18,MID($L52,4,1)="2",$L$15&lt;&gt;$L$14),VLOOKUP(CONCATENATE(LEFT($L52,2),"L"),$R$63:$T$91,3,FALSE),0)+IF(AND($L52="O3/CP",$L$14=A$18),VLOOKUP("O3",$R$63:$T$91,3,FALSE)+VLOOKUP("CP",$R$63:$T$91,3,FALSE),0)+IF(AND($M52&lt;&gt;"",$M52&lt;&gt;"--",$M52&lt;&gt;"O3/CP",$M$14=A$18),IF(LEFT($M52,1)="P",VLOOKUP(CONCATENATE(LEFT($M52,2),"H"),$R$63:$T$91,3,FALSE),VLOOKUP($M52,$R$63:$T$91,3,FALSE)))+IF(AND($M52&lt;&gt;"",$M52&lt;&gt;"O3/CP",$M$15=A$18,MID($M52,4,1)="2",$M$15&lt;&gt;$M$14),VLOOKUP(CONCATENATE(LEFT($M52,2),"L"),$R$63:$T$91,3,FALSE),0)+IF(AND($M52="O3/CP",$M$14=A$18),VLOOKUP("O3",$R$63:$T$91,3,FALSE)+VLOOKUP("CP",$R$63:$T$91,3,FALSE),0)+IF(AND($N52&lt;&gt;"",$N52&lt;&gt;"--",$N52&lt;&gt;"O3/CP",$N$14=A$18),IF(LEFT($N52,1)="P",VLOOKUP(CONCATENATE(LEFT($N52,2),"H"),$R$63:$T$91,3,FALSE),VLOOKUP($N52,$R$63:$T$91,3,FALSE)))+IF(AND($N52&lt;&gt;"",$N52&lt;&gt;"O3/CP",$N$15=A$18,MID($N52,4,1)="2",$N$15&lt;&gt;$N$14),VLOOKUP(CONCATENATE(LEFT($N52,2),"L"),$R$63:$T$91,3,FALSE),0)+IF(AND($N52="O3/CP",$N$14=A$18),VLOOKUP("O3",$R$63:$T$91,3,FALSE)+VLOOKUP("CP",$R$63:$T$91,3,FALSE),0)+IF(AND($O52&lt;&gt;"",$O52&lt;&gt;"--",$O52&lt;&gt;"O3/CP",$O$14=A$18),IF(LEFT($O52,1)="P",VLOOKUP(CONCATENATE(LEFT($O52,2),"H"),$R$63:$T$91,3,FALSE),VLOOKUP($O52,$R$63:$T$91,3,FALSE)))+IF(AND($O52&lt;&gt;"",$O52&lt;&gt;"O3/CP",$O$15=A$18,MID($O52,4,1)="2",$O$15&lt;&gt;$O$14),VLOOKUP(CONCATENATE(LEFT($O52,2),"L"),$R$63:$T$91,3,FALSE),0)+IF(AND($O52="O3/CP",$O$14=A$18),VLOOKUP("O3",$R$63:$T$91,3,FALSE)+VLOOKUP("CP",$R$63:$T$91,3,FALSE),0)+IF(AND($P52&lt;&gt;"",$P52&lt;&gt;"--",$P52&lt;&gt;"O3/CP",$P$14=A$18),IF(LEFT($P52,1)="P",VLOOKUP(CONCATENATE(LEFT($P52,2),"H"),$R$63:$T$91,3,FALSE),VLOOKUP($P52,$R$63:$T$91,3,FALSE)))+IF(AND($P52&lt;&gt;"",$P52&lt;&gt;"O3/CP",$P$15=A$18,MID($P52,4,1)="2",$P$15&lt;&gt;$P$14),VLOOKUP(CONCATENATE(LEFT($P52,2),"L"),$R$63:$T$91,3,FALSE),0)+IF(AND($P52="O3/CP",$P$14=A$18),VLOOKUP("O3",$R$63:$T$91,3,FALSE)+VLOOKUP("CP",$R$63:$T$91,3,FALSE),0)+IF(AND($Q52&lt;&gt;"",$Q52&lt;&gt;"--",$Q52&lt;&gt;"O3/CP",$Q$14=A$18),IF(LEFT($Q52,1)="P",VLOOKUP(CONCATENATE(LEFT($Q52,2),"H"),$R$63:$T$91,3,FALSE),VLOOKUP($Q52,$R$63:$T$91,3,FALSE)))+IF(AND($Q52&lt;&gt;"",$Q52&lt;&gt;"O3/CP",$Q$15=A$18,MID($Q52,4,1)="2",$Q$15&lt;&gt;$Q$14),VLOOKUP(CONCATENATE(LEFT($Q52,2),"L"),$R$63:$T$91,3,FALSE),0)+IF(AND($Q52="O3/CP",$Q$14=A$18),VLOOKUP("O3",$R$63:$T$91,3,FALSE)+VLOOKUP("CP",$R$63:$T$91,3,FALSE),0)+IF(AND($R52&lt;&gt;"",$R52&lt;&gt;"--",$R52&lt;&gt;"O3/CP",$R$14=A$18),IF(LEFT($R52,1)="P",VLOOKUP(CONCATENATE(LEFT($R52,2),"H"),$R$63:$T$91,3,FALSE),VLOOKUP($R52,$R$63:$T$91,3,FALSE)))+IF(AND($R52&lt;&gt;"",$R52&lt;&gt;"O3/CP",$R$15=A$18,MID($R52,4,1)="2",$R$15&lt;&gt;$R$14),VLOOKUP(CONCATENATE(LEFT($R52,2),"L"),$R$63:$T$91,3,FALSE),0)+IF(AND($R52="O3/CP",$R$14=A$18),VLOOKUP("O3",$R$63:$T$91,3,FALSE)+VLOOKUP("CP",$R$63:$T$91,3,FALSE),0)+IF(AND($S52&lt;&gt;"",$S52&lt;&gt;"--",$S52&lt;&gt;"O3/CP",$S$14=A$18),IF(LEFT($S52,1)="P",VLOOKUP(CONCATENATE(LEFT($S52,2),"H"),$R$63:$T$91,3,FALSE),VLOOKUP($S52,$R$63:$T$91,3,FALSE)))+IF(AND($S52&lt;&gt;"",$S52&lt;&gt;"O3/CP",$S$15=A$18,MID($S52,4,1)="2",$S$15&lt;&gt;$S$14),VLOOKUP(CONCATENATE(LEFT($S52,2),"L"),$R$63:$T$91,3,FALSE),0)+IF(AND($S52="O3/CP",$S$14=A$18),VLOOKUP("O3",$R$63:$T$91,3,FALSE)+VLOOKUP("CP",$R$63:$T$91,3,FALSE),0)+IF(AND($T52&lt;&gt;"",$T52&lt;&gt;"--",$T52&lt;&gt;"O3/CP",$T$14=A$18),IF(LEFT($T52,1)="P",VLOOKUP(CONCATENATE(LEFT($T52,2),"H"),$R$63:$T$91,3,FALSE),VLOOKUP($T52,$R$63:$T$91,3,FALSE)))+IF(AND($T52&lt;&gt;"",$T52&lt;&gt;"O3/CP",$T$15=A$18,MID($T52,4,1)="2",$T$15&lt;&gt;$T$14),VLOOKUP(CONCATENATE(LEFT($T52,2),"L"),$R$63:$T$91,3,FALSE),0)+IF(AND($T52="O3/CP",$T$14=A$18),VLOOKUP("O3",$R$63:$T$91,3,FALSE)+VLOOKUP("CP",$R$63:$T$91,3,FALSE),0)+IF(AND($U52&lt;&gt;"",$U52&lt;&gt;"--",$U52&lt;&gt;"O3/CP",$U$14=A$18),IF(LEFT($U52,1)="P",VLOOKUP(CONCATENATE(LEFT($U52,2),"H"),$R$63:$T$91,3,FALSE),VLOOKUP($U52,$R$63:$T$91,3,FALSE)))+IF(AND($U52&lt;&gt;"",$U52&lt;&gt;"O3/CP",$U$15=A$18,MID($U52,4,1)="2",$U$15&lt;&gt;$U$14),VLOOKUP(CONCATENATE(LEFT($U52,2),"L"),$R$63:$T$91,3,FALSE),0)+IF(AND($U52="O3/CP",$T$14=A$18),VLOOKUP("O3",$R$63:$T$91,3,FALSE)+VLOOKUP("CP",$R$63:$T$91,3,FALSE),0)+IF(AND($V52&lt;&gt;"",$V52&lt;&gt;"--",$V52&lt;&gt;"O3/CP",$V$14=A$18),IF(LEFT($V52,1)="P",VLOOKUP(CONCATENATE(LEFT($V52,2),"H"),$R$63:$T$91,3,FALSE),VLOOKUP($V52,$R$63:$T$91,3,FALSE)))+IF(AND($V52&lt;&gt;"",$V52&lt;&gt;"O3/CP",$V$15=A$18,MID($V52,4,1)="2",$V$15&lt;&gt;$V$14),VLOOKUP(CONCATENATE(LEFT($V52,2),"L"),$R$63:$T$91,3,FALSE),0)+IF(AND($V52="O3/CP",$V$14=A$18),VLOOKUP("O3",$R$63:$T$91,3,FALSE)+VLOOKUP("CP",$R$63:$T$91,3,FALSE),0)+IF(AND($W52&lt;&gt;"",$W52&lt;&gt;"--",$W52&lt;&gt;"O3/CP",$W$14=A$18),IF(LEFT($W52,1)="P",VLOOKUP(CONCATENATE(LEFT($W52,2),"H"),$R$63:$T$91,3,FALSE),VLOOKUP($W52,$R$63:$T$91,3,FALSE)))+IF(AND($W52&lt;&gt;"",$W52&lt;&gt;"O3/CP",$W$15=A$18,MID($W52,4,1)="2",$W$15&lt;&gt;$W$14),VLOOKUP(CONCATENATE(LEFT($W52,2),"L"),$R$63:$T$91,3,FALSE),0)+IF(AND($W52="O3/CP",$W$14=A$18),VLOOKUP("O3",$R$63:$T$91,3,FALSE)+VLOOKUP("CP",$R$63:$T$91,3,FALSE),0)+IF(AND($X52&lt;&gt;"",$X52&lt;&gt;"--",$X52&lt;&gt;"O3/CP",$X$14=A$18),IF(LEFT($X52,1)="P",VLOOKUP(CONCATENATE(LEFT($X52,2),"H"),$R$63:$T$91,3,FALSE),VLOOKUP($X52,$R$63:$T$91,3,FALSE)))+IF(AND($X52&lt;&gt;"",$X52&lt;&gt;"O3/CP",$X$15=A$18,MID($X52,4,1)="2",$X$15&lt;&gt;$X$14),VLOOKUP(CONCATENATE(LEFT($X52,2),"L"),$R$63:$T$91,3,FALSE),0)+IF(AND($X52="O3/CP",$X$14=A$18),VLOOKUP("O3",$R$63:$T$91,3,FALSE)+VLOOKUP("CP",$R$63:$T$91,3,FALSE),0)+IF(AND($Y52&lt;&gt;"",$Y52&lt;&gt;"--",$Y52&lt;&gt;"O3/CP",$Y$14=A$18),IF(LEFT($Y52,1)="P",VLOOKUP(CONCATENATE(LEFT($Y52,2),"H"),$R$63:$T$91,3,FALSE),VLOOKUP($Y52,$R$63:$T$91,3,FALSE)))+IF(AND($Y52&lt;&gt;"",$Y52&lt;&gt;"O3/CP",$Y$15=A$18,MID($Y52,4,1)="2",$Y$15&lt;&gt;$Y$14),VLOOKUP(CONCATENATE(LEFT($Y52,2),"L"),$R$63:$T$91,3,FALSE),0)+IF(AND($Y52="O3/CP",$Y$14=A$18),VLOOKUP("O3",$R$63:$T$91,3,FALSE)+VLOOKUP("CP",$R$63:$T$91,3,FALSE),0)+IF(AND($K$6="CE",'[3]Supply Attribution'!$G$20=A$18),LEFT($S$90,2),0)+IF(AND($X$86&lt;&gt;"Not Set",$X$87=A$18),$X$86,0)</f>
        <v>0</v>
      </c>
      <c r="B52" s="269">
        <f>IF(AND($K52&lt;&gt;"",$K52&lt;&gt;"--",$K52&lt;&gt;"O3/CP",$K$14=B$18),IF(LEFT($K52,1)="P",VLOOKUP(CONCATENATE(LEFT($K52,2),"H"),$R$63:$T$91,3,FALSE),VLOOKUP($K52,$R$63:$T$91,3,FALSE)))+IF(AND($K52&lt;&gt;"",$K52&lt;&gt;"O3/CP",$K$15=B$18,MID($K52,4,1)="2",$K$15&lt;&gt;$K$14),VLOOKUP(CONCATENATE(LEFT($K52,2),"L"),$R$63:$T$91,3,FALSE),0)+IF(AND($K52="O3/CP",$K$14=B$18),VLOOKUP("O3",$R$63:$T$91,3,FALSE)+VLOOKUP("CP",$R$63:$T$91,3,FALSE),0)+IF(AND($L52&lt;&gt;"",$L52&lt;&gt;"--",$L52&lt;&gt;"O3/CP",$L$14=B$18),IF(LEFT($L52,1)="P",VLOOKUP(CONCATENATE(LEFT($L52,2),"H"),$R$63:$T$91,3,FALSE),VLOOKUP($L52,$R$63:$T$91,3,FALSE)))+IF(AND($L52&lt;&gt;"",$L52&lt;&gt;"O3/CP",$L$15=B$18,MID($L52,4,1)="2",$L$15&lt;&gt;$L$14),VLOOKUP(CONCATENATE(LEFT($L52,2),"L"),$R$63:$T$91,3,FALSE),0)+IF(AND($L52="O3/CP",$L$14=B$18),VLOOKUP("O3",$R$63:$T$91,3,FALSE)+VLOOKUP("CP",$R$63:$T$91,3,FALSE),0)+IF(AND($M52&lt;&gt;"",$M52&lt;&gt;"--",$M52&lt;&gt;"O3/CP",$M$14=B$18),IF(LEFT($M52,1)="P",VLOOKUP(CONCATENATE(LEFT($M52,2),"H"),$R$63:$T$91,3,FALSE),VLOOKUP($M52,$R$63:$T$91,3,FALSE)))+IF(AND($M52&lt;&gt;"",$M52&lt;&gt;"O3/CP",$M$15=B$18,MID($M52,4,1)="2",$M$15&lt;&gt;$M$14),VLOOKUP(CONCATENATE(LEFT($M52,2),"L"),$R$63:$T$91,3,FALSE),0)+IF(AND($M52="O3/CP",$M$14=B$18),VLOOKUP("O3",$R$63:$T$91,3,FALSE)+VLOOKUP("CP",$R$63:$T$91,3,FALSE),0)+IF(AND($N52&lt;&gt;"",$N52&lt;&gt;"--",$N52&lt;&gt;"O3/CP",$N$14=B$18),IF(LEFT($N52,1)="P",VLOOKUP(CONCATENATE(LEFT($N52,2),"H"),$R$63:$T$91,3,FALSE),VLOOKUP($N52,$R$63:$T$91,3,FALSE)))+IF(AND($N52&lt;&gt;"",$N52&lt;&gt;"O3/CP",$N$15=B$18,MID($N52,4,1)="2",$N$15&lt;&gt;$N$14),VLOOKUP(CONCATENATE(LEFT($N52,2),"L"),$R$63:$T$91,3,FALSE),0)+IF(AND($N52="O3/CP",$N$14=B$18),VLOOKUP("O3",$R$63:$T$91,3,FALSE)+VLOOKUP("CP",$R$63:$T$91,3,FALSE),0)+IF(AND($O52&lt;&gt;"",$O52&lt;&gt;"--",$O52&lt;&gt;"O3/CP",$O$14=B$18),IF(LEFT($O52,1)="P",VLOOKUP(CONCATENATE(LEFT($O52,2),"H"),$R$63:$T$91,3,FALSE),VLOOKUP($O52,$R$63:$T$91,3,FALSE)))+IF(AND($O52&lt;&gt;"",$O52&lt;&gt;"O3/CP",$O$15=B$18,MID($O52,4,1)="2",$O$15&lt;&gt;$O$14),VLOOKUP(CONCATENATE(LEFT($O52,2),"L"),$R$63:$T$91,3,FALSE),0)+IF(AND($O52="O3/CP",$O$14=B$18),VLOOKUP("O3",$R$63:$T$91,3,FALSE)+VLOOKUP("CP",$R$63:$T$91,3,FALSE),0)+IF(AND($P52&lt;&gt;"",$P52&lt;&gt;"--",$P52&lt;&gt;"O3/CP",$P$14=B$18),IF(LEFT($P52,1)="P",VLOOKUP(CONCATENATE(LEFT($P52,2),"H"),$R$63:$T$91,3,FALSE),VLOOKUP($P52,$R$63:$T$91,3,FALSE)))+IF(AND($P52&lt;&gt;"",$P52&lt;&gt;"O3/CP",$P$15=B$18,MID($P52,4,1)="2",$P$15&lt;&gt;$P$14),VLOOKUP(CONCATENATE(LEFT($P52,2),"L"),$R$63:$T$91,3,FALSE),0)+IF(AND($P52="O3/CP",$P$14=B$18),VLOOKUP("O3",$R$63:$T$91,3,FALSE)+VLOOKUP("CP",$R$63:$T$91,3,FALSE),0)+IF(AND($Q52&lt;&gt;"",$Q52&lt;&gt;"--",$Q52&lt;&gt;"O3/CP",$Q$14=B$18),IF(LEFT($Q52,1)="P",VLOOKUP(CONCATENATE(LEFT($Q52,2),"H"),$R$63:$T$91,3,FALSE),VLOOKUP($Q52,$R$63:$T$91,3,FALSE)))+IF(AND($Q52&lt;&gt;"",$Q52&lt;&gt;"O3/CP",$Q$15=B$18,MID($Q52,4,1)="2",$Q$15&lt;&gt;$Q$14),VLOOKUP(CONCATENATE(LEFT($Q52,2),"L"),$R$63:$T$91,3,FALSE),0)+IF(AND($Q52="O3/CP",$Q$14=B$18),VLOOKUP("O3",$R$63:$T$91,3,FALSE)+VLOOKUP("CP",$R$63:$T$91,3,FALSE),0)+IF(AND($R52&lt;&gt;"",$R52&lt;&gt;"--",$R52&lt;&gt;"O3/CP",$R$14=B$18),IF(LEFT($R52,1)="P",VLOOKUP(CONCATENATE(LEFT($R52,2),"H"),$R$63:$T$91,3,FALSE),VLOOKUP($R52,$R$63:$T$91,3,FALSE)))+IF(AND($R52&lt;&gt;"",$R52&lt;&gt;"O3/CP",$R$15=B$18,MID($R52,4,1)="2",$R$15&lt;&gt;$R$14),VLOOKUP(CONCATENATE(LEFT($R52,2),"L"),$R$63:$T$91,3,FALSE),0)+IF(AND($R52="O3/CP",$R$14=B$18),VLOOKUP("O3",$R$63:$T$91,3,FALSE)+VLOOKUP("CP",$R$63:$T$91,3,FALSE),0)+IF(AND($S52&lt;&gt;"",$S52&lt;&gt;"--",$S52&lt;&gt;"O3/CP",$S$14=B$18),IF(LEFT($S52,1)="P",VLOOKUP(CONCATENATE(LEFT($S52,2),"H"),$R$63:$T$91,3,FALSE),VLOOKUP($S52,$R$63:$T$91,3,FALSE)))+IF(AND($S52&lt;&gt;"",$S52&lt;&gt;"O3/CP",$S$15=B$18,MID($S52,4,1)="2",$S$15&lt;&gt;$S$14),VLOOKUP(CONCATENATE(LEFT($S52,2),"L"),$R$63:$T$91,3,FALSE),0)+IF(AND($S52="O3/CP",$S$14=B$18),VLOOKUP("O3",$R$63:$T$91,3,FALSE)+VLOOKUP("CP",$R$63:$T$91,3,FALSE),0)+IF(AND($T52&lt;&gt;"",$T52&lt;&gt;"--",$T52&lt;&gt;"O3/CP",$T$14=B$18),IF(LEFT($T52,1)="P",VLOOKUP(CONCATENATE(LEFT($T52,2),"H"),$R$63:$T$91,3,FALSE),VLOOKUP($T52,$R$63:$T$91,3,FALSE)))+IF(AND($T52&lt;&gt;"",$T52&lt;&gt;"O3/CP",$T$15=B$18,MID($T52,4,1)="2",$T$15&lt;&gt;$T$14),VLOOKUP(CONCATENATE(LEFT($T52,2),"L"),$R$63:$T$91,3,FALSE),0)+IF(AND($T52="O3/CP",$T$14=B$18),VLOOKUP("O3",$R$63:$T$91,3,FALSE)+VLOOKUP("CP",$R$63:$T$91,3,FALSE),0)+IF(AND($U52&lt;&gt;"",$U52&lt;&gt;"--",$U52&lt;&gt;"O3/CP",$U$14=B$18),IF(LEFT($U52,1)="P",VLOOKUP(CONCATENATE(LEFT($U52,2),"H"),$R$63:$T$91,3,FALSE),VLOOKUP($U52,$R$63:$T$91,3,FALSE)))+IF(AND($U52&lt;&gt;"",$U52&lt;&gt;"O3/CP",$U$15=B$18,MID($U52,4,1)="2",$U$15&lt;&gt;$U$14),VLOOKUP(CONCATENATE(LEFT($U52,2),"L"),$R$63:$T$91,3,FALSE),0)+IF(AND($U52="O3/CP",$T$14=B$18),VLOOKUP("O3",$R$63:$T$91,3,FALSE)+VLOOKUP("CP",$R$63:$T$91,3,FALSE),0)+IF(AND($V52&lt;&gt;"",$V52&lt;&gt;"--",$V52&lt;&gt;"O3/CP",$V$14=B$18),IF(LEFT($V52,1)="P",VLOOKUP(CONCATENATE(LEFT($V52,2),"H"),$R$63:$T$91,3,FALSE),VLOOKUP($V52,$R$63:$T$91,3,FALSE)))+IF(AND($V52&lt;&gt;"",$V52&lt;&gt;"O3/CP",$V$15=B$18,MID($V52,4,1)="2",$V$15&lt;&gt;$V$14),VLOOKUP(CONCATENATE(LEFT($V52,2),"L"),$R$63:$T$91,3,FALSE),0)+IF(AND($V52="O3/CP",$V$14=B$18),VLOOKUP("O3",$R$63:$T$91,3,FALSE)+VLOOKUP("CP",$R$63:$T$91,3,FALSE),0)+IF(AND($W52&lt;&gt;"",$W52&lt;&gt;"--",$W52&lt;&gt;"O3/CP",$W$14=B$18),IF(LEFT($W52,1)="P",VLOOKUP(CONCATENATE(LEFT($W52,2),"H"),$R$63:$T$91,3,FALSE),VLOOKUP($W52,$R$63:$T$91,3,FALSE)))+IF(AND($W52&lt;&gt;"",$W52&lt;&gt;"O3/CP",$W$15=B$18,MID($W52,4,1)="2",$W$15&lt;&gt;$W$14),VLOOKUP(CONCATENATE(LEFT($W52,2),"L"),$R$63:$T$91,3,FALSE),0)+IF(AND($W52="O3/CP",$W$14=B$18),VLOOKUP("O3",$R$63:$T$91,3,FALSE)+VLOOKUP("CP",$R$63:$T$91,3,FALSE),0)+IF(AND($X52&lt;&gt;"",$X52&lt;&gt;"--",$X52&lt;&gt;"O3/CP",$X$14=B$18),IF(LEFT($X52,1)="P",VLOOKUP(CONCATENATE(LEFT($X52,2),"H"),$R$63:$T$91,3,FALSE),VLOOKUP($X52,$R$63:$T$91,3,FALSE)))+IF(AND($X52&lt;&gt;"",$X52&lt;&gt;"O3/CP",$X$15=B$18,MID($X52,4,1)="2",$X$15&lt;&gt;$X$14),VLOOKUP(CONCATENATE(LEFT($X52,2),"L"),$R$63:$T$91,3,FALSE),0)+IF(AND($X52="O3/CP",$X$14=B$18),VLOOKUP("O3",$R$63:$T$91,3,FALSE)+VLOOKUP("CP",$R$63:$T$91,3,FALSE),0)+IF(AND($Y52&lt;&gt;"",$Y52&lt;&gt;"--",$Y52&lt;&gt;"O3/CP",$Y$14=B$18),IF(LEFT($Y52,1)="P",VLOOKUP(CONCATENATE(LEFT($Y52,2),"H"),$R$63:$T$91,3,FALSE),VLOOKUP($Y52,$R$63:$T$91,3,FALSE)))+IF(AND($Y52&lt;&gt;"",$Y52&lt;&gt;"O3/CP",$Y$15=B$18,MID($Y52,4,1)="2",$Y$15&lt;&gt;$Y$14),VLOOKUP(CONCATENATE(LEFT($Y52,2),"L"),$R$63:$T$91,3,FALSE),0)+IF(AND($Y52="O3/CP",$Y$14=B$18),VLOOKUP("O3",$R$63:$T$91,3,FALSE)+VLOOKUP("CP",$R$63:$T$91,3,FALSE),0)+IF(AND($K$6="CE",'[3]Supply Attribution'!$G$20=B$18),LEFT($S$90,2),0)+IF(AND($X$86&lt;&gt;"Not Set",$X$87=B$18),$X$86,0)</f>
        <v>0</v>
      </c>
      <c r="C52" s="269">
        <f>IF(AND($K52&lt;&gt;"",$K52&lt;&gt;"--",$K52&lt;&gt;"O3/CP",$K$14=C$18),IF(LEFT($K52,1)="P",VLOOKUP(CONCATENATE(LEFT($K52,2),"H"),$R$63:$T$91,3,FALSE),VLOOKUP($K52,$R$63:$T$91,3,FALSE)))+IF(AND($K52&lt;&gt;"",$K52&lt;&gt;"O3/CP",$K$15=C$18,MID($K52,4,1)="2",$K$15&lt;&gt;$K$14),VLOOKUP(CONCATENATE(LEFT($K52,2),"L"),$R$63:$T$91,3,FALSE),0)+IF(AND($K52="O3/CP",$K$14=C$18),VLOOKUP("O3",$R$63:$T$91,3,FALSE)+VLOOKUP("CP",$R$63:$T$91,3,FALSE),0)+IF(AND($L52&lt;&gt;"",$L52&lt;&gt;"--",$L52&lt;&gt;"O3/CP",$L$14=C$18),IF(LEFT($L52,1)="P",VLOOKUP(CONCATENATE(LEFT($L52,2),"H"),$R$63:$T$91,3,FALSE),VLOOKUP($L52,$R$63:$T$91,3,FALSE)))+IF(AND($L52&lt;&gt;"",$L52&lt;&gt;"O3/CP",$L$15=C$18,MID($L52,4,1)="2",$L$15&lt;&gt;$L$14),VLOOKUP(CONCATENATE(LEFT($L52,2),"L"),$R$63:$T$91,3,FALSE),0)+IF(AND($L52="O3/CP",$L$14=C$18),VLOOKUP("O3",$R$63:$T$91,3,FALSE)+VLOOKUP("CP",$R$63:$T$91,3,FALSE),0)+IF(AND($M52&lt;&gt;"",$M52&lt;&gt;"--",$M52&lt;&gt;"O3/CP",$M$14=C$18),IF(LEFT($M52,1)="P",VLOOKUP(CONCATENATE(LEFT($M52,2),"H"),$R$63:$T$91,3,FALSE),VLOOKUP($M52,$R$63:$T$91,3,FALSE)))+IF(AND($M52&lt;&gt;"",$M52&lt;&gt;"O3/CP",$M$15=C$18,MID($M52,4,1)="2",$M$15&lt;&gt;$M$14),VLOOKUP(CONCATENATE(LEFT($M52,2),"L"),$R$63:$T$91,3,FALSE),0)+IF(AND($M52="O3/CP",$M$14=C$18),VLOOKUP("O3",$R$63:$T$91,3,FALSE)+VLOOKUP("CP",$R$63:$T$91,3,FALSE),0)+IF(AND($N52&lt;&gt;"",$N52&lt;&gt;"--",$N52&lt;&gt;"O3/CP",$N$14=C$18),IF(LEFT($N52,1)="P",VLOOKUP(CONCATENATE(LEFT($N52,2),"H"),$R$63:$T$91,3,FALSE),VLOOKUP($N52,$R$63:$T$91,3,FALSE)))+IF(AND($N52&lt;&gt;"",$N52&lt;&gt;"O3/CP",$N$15=C$18,MID($N52,4,1)="2",$N$15&lt;&gt;$N$14),VLOOKUP(CONCATENATE(LEFT($N52,2),"L"),$R$63:$T$91,3,FALSE),0)+IF(AND($N52="O3/CP",$N$14=C$18),VLOOKUP("O3",$R$63:$T$91,3,FALSE)+VLOOKUP("CP",$R$63:$T$91,3,FALSE),0)+IF(AND($O52&lt;&gt;"",$O52&lt;&gt;"--",$O52&lt;&gt;"O3/CP",$O$14=C$18),IF(LEFT($O52,1)="P",VLOOKUP(CONCATENATE(LEFT($O52,2),"H"),$R$63:$T$91,3,FALSE),VLOOKUP($O52,$R$63:$T$91,3,FALSE)))+IF(AND($O52&lt;&gt;"",$O52&lt;&gt;"O3/CP",$O$15=C$18,MID($O52,4,1)="2",$O$15&lt;&gt;$O$14),VLOOKUP(CONCATENATE(LEFT($O52,2),"L"),$R$63:$T$91,3,FALSE),0)+IF(AND($O52="O3/CP",$O$14=C$18),VLOOKUP("O3",$R$63:$T$91,3,FALSE)+VLOOKUP("CP",$R$63:$T$91,3,FALSE),0)+IF(AND($P52&lt;&gt;"",$P52&lt;&gt;"--",$P52&lt;&gt;"O3/CP",$P$14=C$18),IF(LEFT($P52,1)="P",VLOOKUP(CONCATENATE(LEFT($P52,2),"H"),$R$63:$T$91,3,FALSE),VLOOKUP($P52,$R$63:$T$91,3,FALSE)))+IF(AND($P52&lt;&gt;"",$P52&lt;&gt;"O3/CP",$P$15=C$18,MID($P52,4,1)="2",$P$15&lt;&gt;$P$14),VLOOKUP(CONCATENATE(LEFT($P52,2),"L"),$R$63:$T$91,3,FALSE),0)+IF(AND($P52="O3/CP",$P$14=C$18),VLOOKUP("O3",$R$63:$T$91,3,FALSE)+VLOOKUP("CP",$R$63:$T$91,3,FALSE),0)+IF(AND($Q52&lt;&gt;"",$Q52&lt;&gt;"--",$Q52&lt;&gt;"O3/CP",$Q$14=C$18),IF(LEFT($Q52,1)="P",VLOOKUP(CONCATENATE(LEFT($Q52,2),"H"),$R$63:$T$91,3,FALSE),VLOOKUP($Q52,$R$63:$T$91,3,FALSE)))+IF(AND($Q52&lt;&gt;"",$Q52&lt;&gt;"O3/CP",$Q$15=C$18,MID($Q52,4,1)="2",$Q$15&lt;&gt;$Q$14),VLOOKUP(CONCATENATE(LEFT($Q52,2),"L"),$R$63:$T$91,3,FALSE),0)+IF(AND($Q52="O3/CP",$Q$14=C$18),VLOOKUP("O3",$R$63:$T$91,3,FALSE)+VLOOKUP("CP",$R$63:$T$91,3,FALSE),0)+IF(AND($R52&lt;&gt;"",$R52&lt;&gt;"--",$R52&lt;&gt;"O3/CP",$R$14=C$18),IF(LEFT($R52,1)="P",VLOOKUP(CONCATENATE(LEFT($R52,2),"H"),$R$63:$T$91,3,FALSE),VLOOKUP($R52,$R$63:$T$91,3,FALSE)))+IF(AND($R52&lt;&gt;"",$R52&lt;&gt;"O3/CP",$R$15=C$18,MID($R52,4,1)="2",$R$15&lt;&gt;$R$14),VLOOKUP(CONCATENATE(LEFT($R52,2),"L"),$R$63:$T$91,3,FALSE),0)+IF(AND($R52="O3/CP",$R$14=C$18),VLOOKUP("O3",$R$63:$T$91,3,FALSE)+VLOOKUP("CP",$R$63:$T$91,3,FALSE),0)+IF(AND($S52&lt;&gt;"",$S52&lt;&gt;"--",$S52&lt;&gt;"O3/CP",$S$14=C$18),IF(LEFT($S52,1)="P",VLOOKUP(CONCATENATE(LEFT($S52,2),"H"),$R$63:$T$91,3,FALSE),VLOOKUP($S52,$R$63:$T$91,3,FALSE)))+IF(AND($S52&lt;&gt;"",$S52&lt;&gt;"O3/CP",$S$15=C$18,MID($S52,4,1)="2",$S$15&lt;&gt;$S$14),VLOOKUP(CONCATENATE(LEFT($S52,2),"L"),$R$63:$T$91,3,FALSE),0)+IF(AND($S52="O3/CP",$S$14=C$18),VLOOKUP("O3",$R$63:$T$91,3,FALSE)+VLOOKUP("CP",$R$63:$T$91,3,FALSE),0)+IF(AND($T52&lt;&gt;"",$T52&lt;&gt;"--",$T52&lt;&gt;"O3/CP",$T$14=C$18),IF(LEFT($T52,1)="P",VLOOKUP(CONCATENATE(LEFT($T52,2),"H"),$R$63:$T$91,3,FALSE),VLOOKUP($T52,$R$63:$T$91,3,FALSE)))+IF(AND($T52&lt;&gt;"",$T52&lt;&gt;"O3/CP",$T$15=C$18,MID($T52,4,1)="2",$T$15&lt;&gt;$T$14),VLOOKUP(CONCATENATE(LEFT($T52,2),"L"),$R$63:$T$91,3,FALSE),0)+IF(AND($T52="O3/CP",$T$14=C$18),VLOOKUP("O3",$R$63:$T$91,3,FALSE)+VLOOKUP("CP",$R$63:$T$91,3,FALSE),0)+IF(AND($U52&lt;&gt;"",$U52&lt;&gt;"--",$U52&lt;&gt;"O3/CP",$U$14=C$18),IF(LEFT($U52,1)="P",VLOOKUP(CONCATENATE(LEFT($U52,2),"H"),$R$63:$T$91,3,FALSE),VLOOKUP($U52,$R$63:$T$91,3,FALSE)))+IF(AND($U52&lt;&gt;"",$U52&lt;&gt;"O3/CP",$U$15=C$18,MID($U52,4,1)="2",$U$15&lt;&gt;$U$14),VLOOKUP(CONCATENATE(LEFT($U52,2),"L"),$R$63:$T$91,3,FALSE),0)+IF(AND($U52="O3/CP",$T$14=C$18),VLOOKUP("O3",$R$63:$T$91,3,FALSE)+VLOOKUP("CP",$R$63:$T$91,3,FALSE),0)+IF(AND($V52&lt;&gt;"",$V52&lt;&gt;"--",$V52&lt;&gt;"O3/CP",$V$14=C$18),IF(LEFT($V52,1)="P",VLOOKUP(CONCATENATE(LEFT($V52,2),"H"),$R$63:$T$91,3,FALSE),VLOOKUP($V52,$R$63:$T$91,3,FALSE)))+IF(AND($V52&lt;&gt;"",$V52&lt;&gt;"O3/CP",$V$15=C$18,MID($V52,4,1)="2",$V$15&lt;&gt;$V$14),VLOOKUP(CONCATENATE(LEFT($V52,2),"L"),$R$63:$T$91,3,FALSE),0)+IF(AND($V52="O3/CP",$V$14=C$18),VLOOKUP("O3",$R$63:$T$91,3,FALSE)+VLOOKUP("CP",$R$63:$T$91,3,FALSE),0)+IF(AND($W52&lt;&gt;"",$W52&lt;&gt;"--",$W52&lt;&gt;"O3/CP",$W$14=C$18),IF(LEFT($W52,1)="P",VLOOKUP(CONCATENATE(LEFT($W52,2),"H"),$R$63:$T$91,3,FALSE),VLOOKUP($W52,$R$63:$T$91,3,FALSE)))+IF(AND($W52&lt;&gt;"",$W52&lt;&gt;"O3/CP",$W$15=C$18,MID($W52,4,1)="2",$W$15&lt;&gt;$W$14),VLOOKUP(CONCATENATE(LEFT($W52,2),"L"),$R$63:$T$91,3,FALSE),0)+IF(AND($W52="O3/CP",$W$14=C$18),VLOOKUP("O3",$R$63:$T$91,3,FALSE)+VLOOKUP("CP",$R$63:$T$91,3,FALSE),0)+IF(AND($X52&lt;&gt;"",$X52&lt;&gt;"--",$X52&lt;&gt;"O3/CP",$X$14=C$18),IF(LEFT($X52,1)="P",VLOOKUP(CONCATENATE(LEFT($X52,2),"H"),$R$63:$T$91,3,FALSE),VLOOKUP($X52,$R$63:$T$91,3,FALSE)))+IF(AND($X52&lt;&gt;"",$X52&lt;&gt;"O3/CP",$X$15=C$18,MID($X52,4,1)="2",$X$15&lt;&gt;$X$14),VLOOKUP(CONCATENATE(LEFT($X52,2),"L"),$R$63:$T$91,3,FALSE),0)+IF(AND($X52="O3/CP",$X$14=C$18),VLOOKUP("O3",$R$63:$T$91,3,FALSE)+VLOOKUP("CP",$R$63:$T$91,3,FALSE),0)+IF(AND($Y52&lt;&gt;"",$Y52&lt;&gt;"--",$Y52&lt;&gt;"O3/CP",$Y$14=C$18),IF(LEFT($Y52,1)="P",VLOOKUP(CONCATENATE(LEFT($Y52,2),"H"),$R$63:$T$91,3,FALSE),VLOOKUP($Y52,$R$63:$T$91,3,FALSE)))+IF(AND($Y52&lt;&gt;"",$Y52&lt;&gt;"O3/CP",$Y$15=C$18,MID($Y52,4,1)="2",$Y$15&lt;&gt;$Y$14),VLOOKUP(CONCATENATE(LEFT($Y52,2),"L"),$R$63:$T$91,3,FALSE),0)+IF(AND($Y52="O3/CP",$Y$14=C$18),VLOOKUP("O3",$R$63:$T$91,3,FALSE)+VLOOKUP("CP",$R$63:$T$91,3,FALSE),0)+IF(AND($K$6="CE",'[3]Supply Attribution'!$G$20=C$18),LEFT($S$90,2),0)+IF(AND($X$86&lt;&gt;"Not Set",$X$87=C$18),$X$86,0)</f>
        <v>0</v>
      </c>
      <c r="D52" s="269">
        <f>IF(AND($K52&lt;&gt;"",$K52&lt;&gt;"--",$K52&lt;&gt;"O3/CP",$K$14=D$18),IF(LEFT($K52,1)="P",VLOOKUP(CONCATENATE(LEFT($K52,2),"H"),$R$63:$T$91,3,FALSE),VLOOKUP($K52,$R$63:$T$91,3,FALSE)))+IF(AND($K52&lt;&gt;"",$K52&lt;&gt;"O3/CP",$K$15=D$18,MID($K52,4,1)="2",$K$15&lt;&gt;$K$14),VLOOKUP(CONCATENATE(LEFT($K52,2),"L"),$R$63:$T$91,3,FALSE),0)+IF(AND($K52="O3/CP",$K$14=D$18),VLOOKUP("O3",$R$63:$T$91,3,FALSE)+VLOOKUP("CP",$R$63:$T$91,3,FALSE),0)+IF(AND($L52&lt;&gt;"",$L52&lt;&gt;"--",$L52&lt;&gt;"O3/CP",$L$14=D$18),IF(LEFT($L52,1)="P",VLOOKUP(CONCATENATE(LEFT($L52,2),"H"),$R$63:$T$91,3,FALSE),VLOOKUP($L52,$R$63:$T$91,3,FALSE)))+IF(AND($L52&lt;&gt;"",$L52&lt;&gt;"O3/CP",$L$15=D$18,MID($L52,4,1)="2",$L$15&lt;&gt;$L$14),VLOOKUP(CONCATENATE(LEFT($L52,2),"L"),$R$63:$T$91,3,FALSE),0)+IF(AND($L52="O3/CP",$L$14=D$18),VLOOKUP("O3",$R$63:$T$91,3,FALSE)+VLOOKUP("CP",$R$63:$T$91,3,FALSE),0)+IF(AND($M52&lt;&gt;"",$M52&lt;&gt;"--",$M52&lt;&gt;"O3/CP",$M$14=D$18),IF(LEFT($M52,1)="P",VLOOKUP(CONCATENATE(LEFT($M52,2),"H"),$R$63:$T$91,3,FALSE),VLOOKUP($M52,$R$63:$T$91,3,FALSE)))+IF(AND($M52&lt;&gt;"",$M52&lt;&gt;"O3/CP",$M$15=D$18,MID($M52,4,1)="2",$M$15&lt;&gt;$M$14),VLOOKUP(CONCATENATE(LEFT($M52,2),"L"),$R$63:$T$91,3,FALSE),0)+IF(AND($M52="O3/CP",$M$14=D$18),VLOOKUP("O3",$R$63:$T$91,3,FALSE)+VLOOKUP("CP",$R$63:$T$91,3,FALSE),0)+IF(AND($N52&lt;&gt;"",$N52&lt;&gt;"--",$N52&lt;&gt;"O3/CP",$N$14=D$18),IF(LEFT($N52,1)="P",VLOOKUP(CONCATENATE(LEFT($N52,2),"H"),$R$63:$T$91,3,FALSE),VLOOKUP($N52,$R$63:$T$91,3,FALSE)))+IF(AND($N52&lt;&gt;"",$N52&lt;&gt;"O3/CP",$N$15=D$18,MID($N52,4,1)="2",$N$15&lt;&gt;$N$14),VLOOKUP(CONCATENATE(LEFT($N52,2),"L"),$R$63:$T$91,3,FALSE),0)+IF(AND($N52="O3/CP",$N$14=D$18),VLOOKUP("O3",$R$63:$T$91,3,FALSE)+VLOOKUP("CP",$R$63:$T$91,3,FALSE),0)+IF(AND($O52&lt;&gt;"",$O52&lt;&gt;"--",$O52&lt;&gt;"O3/CP",$O$14=D$18),IF(LEFT($O52,1)="P",VLOOKUP(CONCATENATE(LEFT($O52,2),"H"),$R$63:$T$91,3,FALSE),VLOOKUP($O52,$R$63:$T$91,3,FALSE)))+IF(AND($O52&lt;&gt;"",$O52&lt;&gt;"O3/CP",$O$15=D$18,MID($O52,4,1)="2",$O$15&lt;&gt;$O$14),VLOOKUP(CONCATENATE(LEFT($O52,2),"L"),$R$63:$T$91,3,FALSE),0)+IF(AND($O52="O3/CP",$O$14=D$18),VLOOKUP("O3",$R$63:$T$91,3,FALSE)+VLOOKUP("CP",$R$63:$T$91,3,FALSE),0)+IF(AND($P52&lt;&gt;"",$P52&lt;&gt;"--",$P52&lt;&gt;"O3/CP",$P$14=D$18),IF(LEFT($P52,1)="P",VLOOKUP(CONCATENATE(LEFT($P52,2),"H"),$R$63:$T$91,3,FALSE),VLOOKUP($P52,$R$63:$T$91,3,FALSE)))+IF(AND($P52&lt;&gt;"",$P52&lt;&gt;"O3/CP",$P$15=D$18,MID($P52,4,1)="2",$P$15&lt;&gt;$P$14),VLOOKUP(CONCATENATE(LEFT($P52,2),"L"),$R$63:$T$91,3,FALSE),0)+IF(AND($P52="O3/CP",$P$14=D$18),VLOOKUP("O3",$R$63:$T$91,3,FALSE)+VLOOKUP("CP",$R$63:$T$91,3,FALSE),0)+IF(AND($Q52&lt;&gt;"",$Q52&lt;&gt;"--",$Q52&lt;&gt;"O3/CP",$Q$14=D$18),IF(LEFT($Q52,1)="P",VLOOKUP(CONCATENATE(LEFT($Q52,2),"H"),$R$63:$T$91,3,FALSE),VLOOKUP($Q52,$R$63:$T$91,3,FALSE)))+IF(AND($Q52&lt;&gt;"",$Q52&lt;&gt;"O3/CP",$Q$15=D$18,MID($Q52,4,1)="2",$Q$15&lt;&gt;$Q$14),VLOOKUP(CONCATENATE(LEFT($Q52,2),"L"),$R$63:$T$91,3,FALSE),0)+IF(AND($Q52="O3/CP",$Q$14=D$18),VLOOKUP("O3",$R$63:$T$91,3,FALSE)+VLOOKUP("CP",$R$63:$T$91,3,FALSE),0)+IF(AND($R52&lt;&gt;"",$R52&lt;&gt;"--",$R52&lt;&gt;"O3/CP",$R$14=D$18),IF(LEFT($R52,1)="P",VLOOKUP(CONCATENATE(LEFT($R52,2),"H"),$R$63:$T$91,3,FALSE),VLOOKUP($R52,$R$63:$T$91,3,FALSE)))+IF(AND($R52&lt;&gt;"",$R52&lt;&gt;"O3/CP",$R$15=D$18,MID($R52,4,1)="2",$R$15&lt;&gt;$R$14),VLOOKUP(CONCATENATE(LEFT($R52,2),"L"),$R$63:$T$91,3,FALSE),0)+IF(AND($R52="O3/CP",$R$14=D$18),VLOOKUP("O3",$R$63:$T$91,3,FALSE)+VLOOKUP("CP",$R$63:$T$91,3,FALSE),0)+IF(AND($S52&lt;&gt;"",$S52&lt;&gt;"--",$S52&lt;&gt;"O3/CP",$S$14=D$18),IF(LEFT($S52,1)="P",VLOOKUP(CONCATENATE(LEFT($S52,2),"H"),$R$63:$T$91,3,FALSE),VLOOKUP($S52,$R$63:$T$91,3,FALSE)))+IF(AND($S52&lt;&gt;"",$S52&lt;&gt;"O3/CP",$S$15=D$18,MID($S52,4,1)="2",$S$15&lt;&gt;$S$14),VLOOKUP(CONCATENATE(LEFT($S52,2),"L"),$R$63:$T$91,3,FALSE),0)+IF(AND($S52="O3/CP",$S$14=D$18),VLOOKUP("O3",$R$63:$T$91,3,FALSE)+VLOOKUP("CP",$R$63:$T$91,3,FALSE),0)+IF(AND($T52&lt;&gt;"",$T52&lt;&gt;"--",$T52&lt;&gt;"O3/CP",$T$14=D$18),IF(LEFT($T52,1)="P",VLOOKUP(CONCATENATE(LEFT($T52,2),"H"),$R$63:$T$91,3,FALSE),VLOOKUP($T52,$R$63:$T$91,3,FALSE)))+IF(AND($T52&lt;&gt;"",$T52&lt;&gt;"O3/CP",$T$15=D$18,MID($T52,4,1)="2",$T$15&lt;&gt;$T$14),VLOOKUP(CONCATENATE(LEFT($T52,2),"L"),$R$63:$T$91,3,FALSE),0)+IF(AND($T52="O3/CP",$T$14=D$18),VLOOKUP("O3",$R$63:$T$91,3,FALSE)+VLOOKUP("CP",$R$63:$T$91,3,FALSE),0)+IF(AND($U52&lt;&gt;"",$U52&lt;&gt;"--",$U52&lt;&gt;"O3/CP",$U$14=D$18),IF(LEFT($U52,1)="P",VLOOKUP(CONCATENATE(LEFT($U52,2),"H"),$R$63:$T$91,3,FALSE),VLOOKUP($U52,$R$63:$T$91,3,FALSE)))+IF(AND($U52&lt;&gt;"",$U52&lt;&gt;"O3/CP",$U$15=D$18,MID($U52,4,1)="2",$U$15&lt;&gt;$U$14),VLOOKUP(CONCATENATE(LEFT($U52,2),"L"),$R$63:$T$91,3,FALSE),0)+IF(AND($U52="O3/CP",$T$14=D$18),VLOOKUP("O3",$R$63:$T$91,3,FALSE)+VLOOKUP("CP",$R$63:$T$91,3,FALSE),0)+IF(AND($V52&lt;&gt;"",$V52&lt;&gt;"--",$V52&lt;&gt;"O3/CP",$V$14=D$18),IF(LEFT($V52,1)="P",VLOOKUP(CONCATENATE(LEFT($V52,2),"H"),$R$63:$T$91,3,FALSE),VLOOKUP($V52,$R$63:$T$91,3,FALSE)))+IF(AND($V52&lt;&gt;"",$V52&lt;&gt;"O3/CP",$V$15=D$18,MID($V52,4,1)="2",$V$15&lt;&gt;$V$14),VLOOKUP(CONCATENATE(LEFT($V52,2),"L"),$R$63:$T$91,3,FALSE),0)+IF(AND($V52="O3/CP",$V$14=D$18),VLOOKUP("O3",$R$63:$T$91,3,FALSE)+VLOOKUP("CP",$R$63:$T$91,3,FALSE),0)+IF(AND($W52&lt;&gt;"",$W52&lt;&gt;"--",$W52&lt;&gt;"O3/CP",$W$14=D$18),IF(LEFT($W52,1)="P",VLOOKUP(CONCATENATE(LEFT($W52,2),"H"),$R$63:$T$91,3,FALSE),VLOOKUP($W52,$R$63:$T$91,3,FALSE)))+IF(AND($W52&lt;&gt;"",$W52&lt;&gt;"O3/CP",$W$15=D$18,MID($W52,4,1)="2",$W$15&lt;&gt;$W$14),VLOOKUP(CONCATENATE(LEFT($W52,2),"L"),$R$63:$T$91,3,FALSE),0)+IF(AND($W52="O3/CP",$W$14=D$18),VLOOKUP("O3",$R$63:$T$91,3,FALSE)+VLOOKUP("CP",$R$63:$T$91,3,FALSE),0)+IF(AND($X52&lt;&gt;"",$X52&lt;&gt;"--",$X52&lt;&gt;"O3/CP",$X$14=D$18),IF(LEFT($X52,1)="P",VLOOKUP(CONCATENATE(LEFT($X52,2),"H"),$R$63:$T$91,3,FALSE),VLOOKUP($X52,$R$63:$T$91,3,FALSE)))+IF(AND($X52&lt;&gt;"",$X52&lt;&gt;"O3/CP",$X$15=D$18,MID($X52,4,1)="2",$X$15&lt;&gt;$X$14),VLOOKUP(CONCATENATE(LEFT($X52,2),"L"),$R$63:$T$91,3,FALSE),0)+IF(AND($X52="O3/CP",$X$14=D$18),VLOOKUP("O3",$R$63:$T$91,3,FALSE)+VLOOKUP("CP",$R$63:$T$91,3,FALSE),0)+IF(AND($Y52&lt;&gt;"",$Y52&lt;&gt;"--",$Y52&lt;&gt;"O3/CP",$Y$14=D$18),IF(LEFT($Y52,1)="P",VLOOKUP(CONCATENATE(LEFT($Y52,2),"H"),$R$63:$T$91,3,FALSE),VLOOKUP($Y52,$R$63:$T$91,3,FALSE)))+IF(AND($Y52&lt;&gt;"",$Y52&lt;&gt;"O3/CP",$Y$15=D$18,MID($Y52,4,1)="2",$Y$15&lt;&gt;$Y$14),VLOOKUP(CONCATENATE(LEFT($Y52,2),"L"),$R$63:$T$91,3,FALSE),0)+IF(AND($Y52="O3/CP",$Y$14=D$18),VLOOKUP("O3",$R$63:$T$91,3,FALSE)+VLOOKUP("CP",$R$63:$T$91,3,FALSE),0)+IF(AND($K$6="CE",'[3]Supply Attribution'!$G$20=D$18),LEFT($S$90,2),0)+IF(AND($X$86&lt;&gt;"Not Set",$X$87=D$18),$X$86,0)</f>
        <v>0</v>
      </c>
      <c r="E52" s="269">
        <f>IF(AND($K52&lt;&gt;"",$K52&lt;&gt;"--",$K52&lt;&gt;"O3/CP",$K$14=E$18),IF(LEFT($K52,1)="P",VLOOKUP(CONCATENATE(LEFT($K52,2),"H"),$R$63:$T$91,3,FALSE),VLOOKUP($K52,$R$63:$T$91,3,FALSE)))+IF(AND($K52&lt;&gt;"",$K52&lt;&gt;"O3/CP",$K$15=E$18,MID($K52,4,1)="2",$K$15&lt;&gt;$K$14),VLOOKUP(CONCATENATE(LEFT($K52,2),"L"),$R$63:$T$91,3,FALSE),0)+IF(AND($K52="O3/CP",$K$14=E$18),VLOOKUP("O3",$R$63:$T$91,3,FALSE)+VLOOKUP("CP",$R$63:$T$91,3,FALSE),0)+IF(AND($L52&lt;&gt;"",$L52&lt;&gt;"--",$L52&lt;&gt;"O3/CP",$L$14=E$18),IF(LEFT($L52,1)="P",VLOOKUP(CONCATENATE(LEFT($L52,2),"H"),$R$63:$T$91,3,FALSE),VLOOKUP($L52,$R$63:$T$91,3,FALSE)))+IF(AND($L52&lt;&gt;"",$L52&lt;&gt;"O3/CP",$L$15=E$18,MID($L52,4,1)="2",$L$15&lt;&gt;$L$14),VLOOKUP(CONCATENATE(LEFT($L52,2),"L"),$R$63:$T$91,3,FALSE),0)+IF(AND($L52="O3/CP",$L$14=E$18),VLOOKUP("O3",$R$63:$T$91,3,FALSE)+VLOOKUP("CP",$R$63:$T$91,3,FALSE),0)+IF(AND($M52&lt;&gt;"",$M52&lt;&gt;"--",$M52&lt;&gt;"O3/CP",$M$14=E$18),IF(LEFT($M52,1)="P",VLOOKUP(CONCATENATE(LEFT($M52,2),"H"),$R$63:$T$91,3,FALSE),VLOOKUP($M52,$R$63:$T$91,3,FALSE)))+IF(AND($M52&lt;&gt;"",$M52&lt;&gt;"O3/CP",$M$15=E$18,MID($M52,4,1)="2",$M$15&lt;&gt;$M$14),VLOOKUP(CONCATENATE(LEFT($M52,2),"L"),$R$63:$T$91,3,FALSE),0)+IF(AND($M52="O3/CP",$M$14=E$18),VLOOKUP("O3",$R$63:$T$91,3,FALSE)+VLOOKUP("CP",$R$63:$T$91,3,FALSE),0)+IF(AND($N52&lt;&gt;"",$N52&lt;&gt;"--",$N52&lt;&gt;"O3/CP",$N$14=E$18),IF(LEFT($N52,1)="P",VLOOKUP(CONCATENATE(LEFT($N52,2),"H"),$R$63:$T$91,3,FALSE),VLOOKUP($N52,$R$63:$T$91,3,FALSE)))+IF(AND($N52&lt;&gt;"",$N52&lt;&gt;"O3/CP",$N$15=E$18,MID($N52,4,1)="2",$N$15&lt;&gt;$N$14),VLOOKUP(CONCATENATE(LEFT($N52,2),"L"),$R$63:$T$91,3,FALSE),0)+IF(AND($N52="O3/CP",$N$14=E$18),VLOOKUP("O3",$R$63:$T$91,3,FALSE)+VLOOKUP("CP",$R$63:$T$91,3,FALSE),0)+IF(AND($O52&lt;&gt;"",$O52&lt;&gt;"--",$O52&lt;&gt;"O3/CP",$O$14=E$18),IF(LEFT($O52,1)="P",VLOOKUP(CONCATENATE(LEFT($O52,2),"H"),$R$63:$T$91,3,FALSE),VLOOKUP($O52,$R$63:$T$91,3,FALSE)))+IF(AND($O52&lt;&gt;"",$O52&lt;&gt;"O3/CP",$O$15=E$18,MID($O52,4,1)="2",$O$15&lt;&gt;$O$14),VLOOKUP(CONCATENATE(LEFT($O52,2),"L"),$R$63:$T$91,3,FALSE),0)+IF(AND($O52="O3/CP",$O$14=E$18),VLOOKUP("O3",$R$63:$T$91,3,FALSE)+VLOOKUP("CP",$R$63:$T$91,3,FALSE),0)+IF(AND($P52&lt;&gt;"",$P52&lt;&gt;"--",$P52&lt;&gt;"O3/CP",$P$14=E$18),IF(LEFT($P52,1)="P",VLOOKUP(CONCATENATE(LEFT($P52,2),"H"),$R$63:$T$91,3,FALSE),VLOOKUP($P52,$R$63:$T$91,3,FALSE)))+IF(AND($P52&lt;&gt;"",$P52&lt;&gt;"O3/CP",$P$15=E$18,MID($P52,4,1)="2",$P$15&lt;&gt;$P$14),VLOOKUP(CONCATENATE(LEFT($P52,2),"L"),$R$63:$T$91,3,FALSE),0)+IF(AND($P52="O3/CP",$P$14=E$18),VLOOKUP("O3",$R$63:$T$91,3,FALSE)+VLOOKUP("CP",$R$63:$T$91,3,FALSE),0)+IF(AND($Q52&lt;&gt;"",$Q52&lt;&gt;"--",$Q52&lt;&gt;"O3/CP",$Q$14=E$18),IF(LEFT($Q52,1)="P",VLOOKUP(CONCATENATE(LEFT($Q52,2),"H"),$R$63:$T$91,3,FALSE),VLOOKUP($Q52,$R$63:$T$91,3,FALSE)))+IF(AND($Q52&lt;&gt;"",$Q52&lt;&gt;"O3/CP",$Q$15=E$18,MID($Q52,4,1)="2",$Q$15&lt;&gt;$Q$14),VLOOKUP(CONCATENATE(LEFT($Q52,2),"L"),$R$63:$T$91,3,FALSE),0)+IF(AND($Q52="O3/CP",$Q$14=E$18),VLOOKUP("O3",$R$63:$T$91,3,FALSE)+VLOOKUP("CP",$R$63:$T$91,3,FALSE),0)+IF(AND($R52&lt;&gt;"",$R52&lt;&gt;"--",$R52&lt;&gt;"O3/CP",$R$14=E$18),IF(LEFT($R52,1)="P",VLOOKUP(CONCATENATE(LEFT($R52,2),"H"),$R$63:$T$91,3,FALSE),VLOOKUP($R52,$R$63:$T$91,3,FALSE)))+IF(AND($R52&lt;&gt;"",$R52&lt;&gt;"O3/CP",$R$15=E$18,MID($R52,4,1)="2",$R$15&lt;&gt;$R$14),VLOOKUP(CONCATENATE(LEFT($R52,2),"L"),$R$63:$T$91,3,FALSE),0)+IF(AND($R52="O3/CP",$R$14=E$18),VLOOKUP("O3",$R$63:$T$91,3,FALSE)+VLOOKUP("CP",$R$63:$T$91,3,FALSE),0)+IF(AND($S52&lt;&gt;"",$S52&lt;&gt;"--",$S52&lt;&gt;"O3/CP",$S$14=E$18),IF(LEFT($S52,1)="P",VLOOKUP(CONCATENATE(LEFT($S52,2),"H"),$R$63:$T$91,3,FALSE),VLOOKUP($S52,$R$63:$T$91,3,FALSE)))+IF(AND($S52&lt;&gt;"",$S52&lt;&gt;"O3/CP",$S$15=E$18,MID($S52,4,1)="2",$S$15&lt;&gt;$S$14),VLOOKUP(CONCATENATE(LEFT($S52,2),"L"),$R$63:$T$91,3,FALSE),0)+IF(AND($S52="O3/CP",$S$14=E$18),VLOOKUP("O3",$R$63:$T$91,3,FALSE)+VLOOKUP("CP",$R$63:$T$91,3,FALSE),0)+IF(AND($T52&lt;&gt;"",$T52&lt;&gt;"--",$T52&lt;&gt;"O3/CP",$T$14=E$18),IF(LEFT($T52,1)="P",VLOOKUP(CONCATENATE(LEFT($T52,2),"H"),$R$63:$T$91,3,FALSE),VLOOKUP($T52,$R$63:$T$91,3,FALSE)))+IF(AND($T52&lt;&gt;"",$T52&lt;&gt;"O3/CP",$T$15=E$18,MID($T52,4,1)="2",$T$15&lt;&gt;$T$14),VLOOKUP(CONCATENATE(LEFT($T52,2),"L"),$R$63:$T$91,3,FALSE),0)+IF(AND($T52="O3/CP",$T$14=E$18),VLOOKUP("O3",$R$63:$T$91,3,FALSE)+VLOOKUP("CP",$R$63:$T$91,3,FALSE),0)+IF(AND($U52&lt;&gt;"",$U52&lt;&gt;"--",$U52&lt;&gt;"O3/CP",$U$14=E$18),IF(LEFT($U52,1)="P",VLOOKUP(CONCATENATE(LEFT($U52,2),"H"),$R$63:$T$91,3,FALSE),VLOOKUP($U52,$R$63:$T$91,3,FALSE)))+IF(AND($U52&lt;&gt;"",$U52&lt;&gt;"O3/CP",$U$15=E$18,MID($U52,4,1)="2",$U$15&lt;&gt;$U$14),VLOOKUP(CONCATENATE(LEFT($U52,2),"L"),$R$63:$T$91,3,FALSE),0)+IF(AND($U52="O3/CP",$T$14=E$18),VLOOKUP("O3",$R$63:$T$91,3,FALSE)+VLOOKUP("CP",$R$63:$T$91,3,FALSE),0)+IF(AND($V52&lt;&gt;"",$V52&lt;&gt;"--",$V52&lt;&gt;"O3/CP",$V$14=E$18),IF(LEFT($V52,1)="P",VLOOKUP(CONCATENATE(LEFT($V52,2),"H"),$R$63:$T$91,3,FALSE),VLOOKUP($V52,$R$63:$T$91,3,FALSE)))+IF(AND($V52&lt;&gt;"",$V52&lt;&gt;"O3/CP",$V$15=E$18,MID($V52,4,1)="2",$V$15&lt;&gt;$V$14),VLOOKUP(CONCATENATE(LEFT($V52,2),"L"),$R$63:$T$91,3,FALSE),0)+IF(AND($V52="O3/CP",$V$14=E$18),VLOOKUP("O3",$R$63:$T$91,3,FALSE)+VLOOKUP("CP",$R$63:$T$91,3,FALSE),0)+IF(AND($W52&lt;&gt;"",$W52&lt;&gt;"--",$W52&lt;&gt;"O3/CP",$W$14=E$18),IF(LEFT($W52,1)="P",VLOOKUP(CONCATENATE(LEFT($W52,2),"H"),$R$63:$T$91,3,FALSE),VLOOKUP($W52,$R$63:$T$91,3,FALSE)))+IF(AND($W52&lt;&gt;"",$W52&lt;&gt;"O3/CP",$W$15=E$18,MID($W52,4,1)="2",$W$15&lt;&gt;$W$14),VLOOKUP(CONCATENATE(LEFT($W52,2),"L"),$R$63:$T$91,3,FALSE),0)+IF(AND($W52="O3/CP",$W$14=E$18),VLOOKUP("O3",$R$63:$T$91,3,FALSE)+VLOOKUP("CP",$R$63:$T$91,3,FALSE),0)+IF(AND($X52&lt;&gt;"",$X52&lt;&gt;"--",$X52&lt;&gt;"O3/CP",$X$14=E$18),IF(LEFT($X52,1)="P",VLOOKUP(CONCATENATE(LEFT($X52,2),"H"),$R$63:$T$91,3,FALSE),VLOOKUP($X52,$R$63:$T$91,3,FALSE)))+IF(AND($X52&lt;&gt;"",$X52&lt;&gt;"O3/CP",$X$15=E$18,MID($X52,4,1)="2",$X$15&lt;&gt;$X$14),VLOOKUP(CONCATENATE(LEFT($X52,2),"L"),$R$63:$T$91,3,FALSE),0)+IF(AND($X52="O3/CP",$X$14=E$18),VLOOKUP("O3",$R$63:$T$91,3,FALSE)+VLOOKUP("CP",$R$63:$T$91,3,FALSE),0)+IF(AND($Y52&lt;&gt;"",$Y52&lt;&gt;"--",$Y52&lt;&gt;"O3/CP",$Y$14=E$18),IF(LEFT($Y52,1)="P",VLOOKUP(CONCATENATE(LEFT($Y52,2),"H"),$R$63:$T$91,3,FALSE),VLOOKUP($Y52,$R$63:$T$91,3,FALSE)))+IF(AND($Y52&lt;&gt;"",$Y52&lt;&gt;"O3/CP",$Y$15=E$18,MID($Y52,4,1)="2",$Y$15&lt;&gt;$Y$14),VLOOKUP(CONCATENATE(LEFT($Y52,2),"L"),$R$63:$T$91,3,FALSE),0)+IF(AND($Y52="O3/CP",$Y$14=E$18),VLOOKUP("O3",$R$63:$T$91,3,FALSE)+VLOOKUP("CP",$R$63:$T$91,3,FALSE),0)+IF(AND($K$6="CE",'[3]Supply Attribution'!$G$20=E$18),LEFT($S$90,2),0)+IF(AND($X$86&lt;&gt;"Not Set",$X$87=E$18),$X$86,0)</f>
        <v>0</v>
      </c>
      <c r="F52" s="268">
        <f>IF(AND($K52&lt;&gt;"",$K52&lt;&gt;"--",$K52&lt;&gt;"O3/CP",$K$14=F$18),IF(LEFT($K52,1)="P",VLOOKUP(CONCATENATE(LEFT($K52,2),"H"),$R$63:$T$91,3,FALSE),VLOOKUP($K52,$R$63:$T$91,3,FALSE)))+IF(AND($K52&lt;&gt;"",$K52&lt;&gt;"O3/CP",$K$15=F$18,MID($K52,4,1)="2",$K$15&lt;&gt;$K$14),VLOOKUP(CONCATENATE(LEFT($K52,2),"L"),$R$63:$T$91,3,FALSE),0)+IF(AND($K52="O3/CP",$K$14=F$18),VLOOKUP("O3",$R$63:$T$91,3,FALSE)+VLOOKUP("CP",$R$63:$T$91,3,FALSE),0)+IF(AND($L52&lt;&gt;"",$L52&lt;&gt;"--",$L52&lt;&gt;"O3/CP",$L$14=F$18),IF(LEFT($L52,1)="P",VLOOKUP(CONCATENATE(LEFT($L52,2),"H"),$R$63:$T$91,3,FALSE),VLOOKUP($L52,$R$63:$T$91,3,FALSE)))+IF(AND($L52&lt;&gt;"",$L52&lt;&gt;"O3/CP",$L$15=F$18,MID($L52,4,1)="2",$L$15&lt;&gt;$L$14),VLOOKUP(CONCATENATE(LEFT($L52,2),"L"),$R$63:$T$91,3,FALSE),0)+IF(AND($L52="O3/CP",$L$14=F$18),VLOOKUP("O3",$R$63:$T$91,3,FALSE)+VLOOKUP("CP",$R$63:$T$91,3,FALSE),0)+IF(AND($M52&lt;&gt;"",$M52&lt;&gt;"--",$M52&lt;&gt;"O3/CP",$M$14=F$18),IF(LEFT($M52,1)="P",VLOOKUP(CONCATENATE(LEFT($M52,2),"H"),$R$63:$T$91,3,FALSE),VLOOKUP($M52,$R$63:$T$91,3,FALSE)))+IF(AND($M52&lt;&gt;"",$M52&lt;&gt;"O3/CP",$M$15=F$18,MID($M52,4,1)="2",$M$15&lt;&gt;$M$14),VLOOKUP(CONCATENATE(LEFT($M52,2),"L"),$R$63:$T$91,3,FALSE),0)+IF(AND($M52="O3/CP",$M$14=F$18),VLOOKUP("O3",$R$63:$T$91,3,FALSE)+VLOOKUP("CP",$R$63:$T$91,3,FALSE),0)+IF(AND($N52&lt;&gt;"",$N52&lt;&gt;"--",$N52&lt;&gt;"O3/CP",$N$14=F$18),IF(LEFT($N52,1)="P",VLOOKUP(CONCATENATE(LEFT($N52,2),"H"),$R$63:$T$91,3,FALSE),VLOOKUP($N52,$R$63:$T$91,3,FALSE)))+IF(AND($N52&lt;&gt;"",$N52&lt;&gt;"O3/CP",$N$15=F$18,MID($N52,4,1)="2",$N$15&lt;&gt;$N$14),VLOOKUP(CONCATENATE(LEFT($N52,2),"L"),$R$63:$T$91,3,FALSE),0)+IF(AND($N52="O3/CP",$N$14=F$18),VLOOKUP("O3",$R$63:$T$91,3,FALSE)+VLOOKUP("CP",$R$63:$T$91,3,FALSE),0)+IF(AND($O52&lt;&gt;"",$O52&lt;&gt;"--",$O52&lt;&gt;"O3/CP",$O$14=F$18),IF(LEFT($O52,1)="P",VLOOKUP(CONCATENATE(LEFT($O52,2),"H"),$R$63:$T$91,3,FALSE),VLOOKUP($O52,$R$63:$T$91,3,FALSE)))+IF(AND($O52&lt;&gt;"",$O52&lt;&gt;"O3/CP",$O$15=F$18,MID($O52,4,1)="2",$O$15&lt;&gt;$O$14),VLOOKUP(CONCATENATE(LEFT($O52,2),"L"),$R$63:$T$91,3,FALSE),0)+IF(AND($O52="O3/CP",$O$14=F$18),VLOOKUP("O3",$R$63:$T$91,3,FALSE)+VLOOKUP("CP",$R$63:$T$91,3,FALSE),0)+IF(AND($P52&lt;&gt;"",$P52&lt;&gt;"--",$P52&lt;&gt;"O3/CP",$P$14=F$18),IF(LEFT($P52,1)="P",VLOOKUP(CONCATENATE(LEFT($P52,2),"H"),$R$63:$T$91,3,FALSE),VLOOKUP($P52,$R$63:$T$91,3,FALSE)))+IF(AND($P52&lt;&gt;"",$P52&lt;&gt;"O3/CP",$P$15=F$18,MID($P52,4,1)="2",$P$15&lt;&gt;$P$14),VLOOKUP(CONCATENATE(LEFT($P52,2),"L"),$R$63:$T$91,3,FALSE),0)+IF(AND($P52="O3/CP",$P$14=F$18),VLOOKUP("O3",$R$63:$T$91,3,FALSE)+VLOOKUP("CP",$R$63:$T$91,3,FALSE),0)+IF(AND($Q52&lt;&gt;"",$Q52&lt;&gt;"--",$Q52&lt;&gt;"O3/CP",$Q$14=F$18),IF(LEFT($Q52,1)="P",VLOOKUP(CONCATENATE(LEFT($Q52,2),"H"),$R$63:$T$91,3,FALSE),VLOOKUP($Q52,$R$63:$T$91,3,FALSE)))+IF(AND($Q52&lt;&gt;"",$Q52&lt;&gt;"O3/CP",$Q$15=F$18,MID($Q52,4,1)="2",$Q$15&lt;&gt;$Q$14),VLOOKUP(CONCATENATE(LEFT($Q52,2),"L"),$R$63:$T$91,3,FALSE),0)+IF(AND($Q52="O3/CP",$Q$14=F$18),VLOOKUP("O3",$R$63:$T$91,3,FALSE)+VLOOKUP("CP",$R$63:$T$91,3,FALSE),0)+IF(AND($R52&lt;&gt;"",$R52&lt;&gt;"--",$R52&lt;&gt;"O3/CP",$R$14=F$18),IF(LEFT($R52,1)="P",VLOOKUP(CONCATENATE(LEFT($R52,2),"H"),$R$63:$T$91,3,FALSE),VLOOKUP($R52,$R$63:$T$91,3,FALSE)))+IF(AND($R52&lt;&gt;"",$R52&lt;&gt;"O3/CP",$R$15=F$18,MID($R52,4,1)="2",$R$15&lt;&gt;$R$14),VLOOKUP(CONCATENATE(LEFT($R52,2),"L"),$R$63:$T$91,3,FALSE),0)+IF(AND($R52="O3/CP",$R$14=F$18),VLOOKUP("O3",$R$63:$T$91,3,FALSE)+VLOOKUP("CP",$R$63:$T$91,3,FALSE),0)+IF(AND($S52&lt;&gt;"",$S52&lt;&gt;"--",$S52&lt;&gt;"O3/CP",$S$14=F$18),IF(LEFT($S52,1)="P",VLOOKUP(CONCATENATE(LEFT($S52,2),"H"),$R$63:$T$91,3,FALSE),VLOOKUP($S52,$R$63:$T$91,3,FALSE)))+IF(AND($S52&lt;&gt;"",$S52&lt;&gt;"O3/CP",$S$15=F$18,MID($S52,4,1)="2",$S$15&lt;&gt;$S$14),VLOOKUP(CONCATENATE(LEFT($S52,2),"L"),$R$63:$T$91,3,FALSE),0)+IF(AND($S52="O3/CP",$S$14=F$18),VLOOKUP("O3",$R$63:$T$91,3,FALSE)+VLOOKUP("CP",$R$63:$T$91,3,FALSE),0)+IF(AND($T52&lt;&gt;"",$T52&lt;&gt;"--",$T52&lt;&gt;"O3/CP",$T$14=F$18),IF(LEFT($T52,1)="P",VLOOKUP(CONCATENATE(LEFT($T52,2),"H"),$R$63:$T$91,3,FALSE),VLOOKUP($T52,$R$63:$T$91,3,FALSE)))+IF(AND($T52&lt;&gt;"",$T52&lt;&gt;"O3/CP",$T$15=F$18,MID($T52,4,1)="2",$T$15&lt;&gt;$T$14),VLOOKUP(CONCATENATE(LEFT($T52,2),"L"),$R$63:$T$91,3,FALSE),0)+IF(AND($T52="O3/CP",$T$14=F$18),VLOOKUP("O3",$R$63:$T$91,3,FALSE)+VLOOKUP("CP",$R$63:$T$91,3,FALSE),0)+IF(AND($U52&lt;&gt;"",$U52&lt;&gt;"--",$U52&lt;&gt;"O3/CP",$U$14=F$18),IF(LEFT($U52,1)="P",VLOOKUP(CONCATENATE(LEFT($U52,2),"H"),$R$63:$T$91,3,FALSE),VLOOKUP($U52,$R$63:$T$91,3,FALSE)))+IF(AND($U52&lt;&gt;"",$U52&lt;&gt;"O3/CP",$U$15=F$18,MID($U52,4,1)="2",$U$15&lt;&gt;$U$14),VLOOKUP(CONCATENATE(LEFT($U52,2),"L"),$R$63:$T$91,3,FALSE),0)+IF(AND($U52="O3/CP",$T$14=F$18),VLOOKUP("O3",$R$63:$T$91,3,FALSE)+VLOOKUP("CP",$R$63:$T$91,3,FALSE),0)+IF(AND($V52&lt;&gt;"",$V52&lt;&gt;"--",$V52&lt;&gt;"O3/CP",$V$14=F$18),IF(LEFT($V52,1)="P",VLOOKUP(CONCATENATE(LEFT($V52,2),"H"),$R$63:$T$91,3,FALSE),VLOOKUP($V52,$R$63:$T$91,3,FALSE)))+IF(AND($V52&lt;&gt;"",$V52&lt;&gt;"O3/CP",$V$15=F$18,MID($V52,4,1)="2",$V$15&lt;&gt;$V$14),VLOOKUP(CONCATENATE(LEFT($V52,2),"L"),$R$63:$T$91,3,FALSE),0)+IF(AND($V52="O3/CP",$V$14=F$18),VLOOKUP("O3",$R$63:$T$91,3,FALSE)+VLOOKUP("CP",$R$63:$T$91,3,FALSE),0)+IF(AND($W52&lt;&gt;"",$W52&lt;&gt;"--",$W52&lt;&gt;"O3/CP",$W$14=F$18),IF(LEFT($W52,1)="P",VLOOKUP(CONCATENATE(LEFT($W52,2),"H"),$R$63:$T$91,3,FALSE),VLOOKUP($W52,$R$63:$T$91,3,FALSE)))+IF(AND($W52&lt;&gt;"",$W52&lt;&gt;"O3/CP",$W$15=F$18,MID($W52,4,1)="2",$W$15&lt;&gt;$W$14),VLOOKUP(CONCATENATE(LEFT($W52,2),"L"),$R$63:$T$91,3,FALSE),0)+IF(AND($W52="O3/CP",$W$14=F$18),VLOOKUP("O3",$R$63:$T$91,3,FALSE)+VLOOKUP("CP",$R$63:$T$91,3,FALSE),0)+IF(AND($X52&lt;&gt;"",$X52&lt;&gt;"--",$X52&lt;&gt;"O3/CP",$X$14=F$18),IF(LEFT($X52,1)="P",VLOOKUP(CONCATENATE(LEFT($X52,2),"H"),$R$63:$T$91,3,FALSE),VLOOKUP($X52,$R$63:$T$91,3,FALSE)))+IF(AND($X52&lt;&gt;"",$X52&lt;&gt;"O3/CP",$X$15=F$18,MID($X52,4,1)="2",$X$15&lt;&gt;$X$14),VLOOKUP(CONCATENATE(LEFT($X52,2),"L"),$R$63:$T$91,3,FALSE),0)+IF(AND($X52="O3/CP",$X$14=F$18),VLOOKUP("O3",$R$63:$T$91,3,FALSE)+VLOOKUP("CP",$R$63:$T$91,3,FALSE),0)+IF(AND($Y52&lt;&gt;"",$Y52&lt;&gt;"--",$Y52&lt;&gt;"O3/CP",$Y$14=F$18),IF(LEFT($Y52,1)="P",VLOOKUP(CONCATENATE(LEFT($Y52,2),"H"),$R$63:$T$91,3,FALSE),VLOOKUP($Y52,$R$63:$T$91,3,FALSE)))+IF(AND($Y52&lt;&gt;"",$Y52&lt;&gt;"O3/CP",$Y$15=F$18,MID($Y52,4,1)="2",$Y$15&lt;&gt;$Y$14),VLOOKUP(CONCATENATE(LEFT($Y52,2),"L"),$R$63:$T$91,3,FALSE),0)+IF(AND($Y52="O3/CP",$Y$14=F$18),VLOOKUP("O3",$R$63:$T$91,3,FALSE)+VLOOKUP("CP",$R$63:$T$91,3,FALSE),0)+IF(AND($K$6="CE",'[3]Supply Attribution'!$G$20=F$18),LEFT($S$90,2),0)+IF(AND($X$86&lt;&gt;"Not Set",$X$87=F$18),$X$86,0)</f>
        <v>0</v>
      </c>
      <c r="G52" s="269">
        <f>IF(AND($K$6="CE",$T$59="1 Phase"),SUM(A52:F52)-IF(AND($K$14&lt;&gt;$K$15,RIGHT($K52,3)="2SP"),VLOOKUP(CONCATENATE(LEFT($K52,2),"L"),$R$63:$T$90,3,FALSE),0)-IF(AND($L$14&lt;&gt;$L$15,RIGHT($L52,3)="2SP"),VLOOKUP(CONCATENATE(LEFT($L52,2),"L"),$R$63:$T$90,3,FALSE),0)-IF(AND($M$14&lt;&gt;$M$15,RIGHT($M52,3)="2SP"),VLOOKUP(CONCATENATE(LEFT($M52,2),"L"),$R$63:$T$90,3,FALSE),0)-IF(AND($N$14&lt;&gt;$N$15,RIGHT($N52,3)="2SP"),VLOOKUP(CONCATENATE(LEFT($N52,2),"L"),$R$63:$T$90,3,FALSE),0)-IF(AND($O$14&lt;&gt;$O$15,RIGHT($O52,3)="2SP"),VLOOKUP(CONCATENATE(LEFT($O52,2),"L"),$R$63:$T$90,3,FALSE),0)-IF(AND($P$14&lt;&gt;$P$15,RIGHT($P52,3)="2SP"),VLOOKUP(CONCATENATE(LEFT($P52,2),"L"),$R$63:$T$90,3,FALSE),0)-IF(AND($Q$14&lt;&gt;$Q$15,RIGHT($Q52,3)="2SP"),VLOOKUP(CONCATENATE(LEFT($Q52,2),"L"),$R$63:$T$90,3,FALSE),0)-IF(AND($R$14&lt;&gt;$R$15,RIGHT($T52,3)="2SP"),VLOOKUP(CONCATENATE(LEFT($R52,2),"L"),$R$63:$T$90,3,FALSE),0)-IF(AND($S$14&lt;&gt;$S$15,RIGHT($T52,3)="2SP"),VLOOKUP(CONCATENATE(LEFT($S52,2),"L"),$R$63:$T$90,3,FALSE),0)-IF(AND($T$14&lt;&gt;$T$15,RIGHT($T52,3)="2SP"),VLOOKUP(CONCATENATE(LEFT($T52,2),"L"),$R$63:$T$90,3,FALSE),0)-IF(AND($U$14&lt;&gt;$U$15,RIGHT($U52,3)="2SP"),VLOOKUP(CONCATENATE(LEFT($U52,2),"L"),$R$63:$T$90,3,FALSE),0)-IF(AND($V$14&lt;&gt;$V$15,RIGHT($V52,3)="2SP"),VLOOKUP(CONCATENATE(LEFT($V52,2),"L"),$R$63:$T$90,3,FALSE),0)-IF(AND($W$14&lt;&gt;$W$15,RIGHT($W52,3)="2SP"),VLOOKUP(CONCATENATE(LEFT($W52,2),"L"),$R$63:$T$90,3,FALSE),0)-IF(AND($X$14&lt;&gt;$X$15,RIGHT($X52,3)="2SP"),VLOOKUP(CONCATENATE(LEFT($X52,2),"L"),$R$63:$T$90,3,FALSE),0)-IF(AND($Y$14&lt;&gt;$Y$15,RIGHT($Y52,3)="2SP"),VLOOKUP(CONCATENATE(LEFT($Y52,2),"L"),$R$63:$T$90,3,FALSE),0),IF(VLOOKUP(CONCATENATE($A$18,"Line"),'[3]Supply Attribution'!$F$31:$G$37,2,FALSE)=G$18,$A52,0)+IF(VLOOKUP(CONCATENATE($B$18,"Line"),'[3]Supply Attribution'!$F$31:$G$37,2,FALSE)=G$18,$B52,0)+IF(VLOOKUP(CONCATENATE($C$18,"Line"),'[3]Supply Attribution'!$F$31:$G$37,2,FALSE)=G$18,$C52,0)+IF(VLOOKUP(CONCATENATE($D$18,"Line"),'[3]Supply Attribution'!$F$31:$G$37,2,FALSE)=G$18,$D52,0)+IF(VLOOKUP(CONCATENATE($E$18,"Line"),'[3]Supply Attribution'!$F$31:$G$37,2,FALSE)=G$18,$E52,0)+IF(VLOOKUP(CONCATENATE($F$18,"Line"),'[3]Supply Attribution'!$F$31:$G$37,2,FALSE)=G$18,$F52,0)+IF($K$6="UL",LEFT($S$90,2),0)-IF(AND($K$16=G$18,$K$14&lt;&gt;$K$15,$K$16=$K$17,RIGHT($K52,3)="2SP"),VLOOKUP(CONCATENATE(LEFT($K52,2),"L"),$R$63:$T$90,3,FALSE),0)-IF(AND($L$16=G$18,$L$14&lt;&gt;$L$15,$L$16=$L$17,RIGHT($L52,3)="2SP"),VLOOKUP(CONCATENATE(LEFT($L52,2),"L"),$R$63:$T$90,3,FALSE),0)-IF(AND($M$16=G$18,$M$14&lt;&gt;$M$15,$M$16=$M$17,RIGHT($M52,3)="2SP"),VLOOKUP(CONCATENATE(LEFT($M52,2),"L"),$R$63:$T$90,3,FALSE),0)-IF(AND($N$16=G$18,$N$14&lt;&gt;$N$15,$N$16=$N$17,RIGHT($N52,3)="2SP"),VLOOKUP(CONCATENATE(LEFT($N52,2),"L"),$R$63:$T$90,3,FALSE),0)-IF(AND($O$16=G$18,$O$14&lt;&gt;$O$15,$O$16=$O$17,RIGHT($O52,3)="2SP"),VLOOKUP(CONCATENATE(LEFT($O52,2),"L"),$R$63:$T$90,3,FALSE),0)-IF(AND($P$16=G$18,$P$14&lt;&gt;$P$15,$P$16=$P$17,RIGHT($P52,3)="2SP"),VLOOKUP(CONCATENATE(LEFT($P52,2),"L"),$R$63:$T$90,3,FALSE),0)-IF(AND($Q$16=G$18,$Q$14&lt;&gt;$Q$15,$Q$16=$Q$17,RIGHT($Q52,3)="2SP"),VLOOKUP(CONCATENATE(LEFT($Q52,2),"L"),$R$63:$T$90,3,FALSE),0)-IF(AND($R$16=G$18,$R$14&lt;&gt;$R$15,$R$16=$R$17,RIGHT($R52,3)="2SP"),VLOOKUP(CONCATENATE(LEFT($R52,2),"L"),$R$63:$T$90,3,FALSE),0)-IF(AND($S$16=G$18,$S$14&lt;&gt;$S$15,$S$16=$S$17,RIGHT($S52,3)="2SP"),VLOOKUP(CONCATENATE(LEFT($S52,2),"L"),$R$63:$T$90,3,FALSE),0)-IF(AND($T$16=G$18,$T$14&lt;&gt;$T$15,$T$16=$T$17,RIGHT($T52,3)="2SP"),VLOOKUP(CONCATENATE(LEFT($T52,2),"L"),$R$63:$T$90,3,FALSE),0)-IF(AND($U$16=G$18,$U$14&lt;&gt;$U$15,$U$16=$U$17,RIGHT($U52,3)="2SP"),VLOOKUP(CONCATENATE(LEFT($U52,2),"L"),$R$63:$T$90,3,FALSE),0)-IF(AND($V$16=G$18,$V$14&lt;&gt;$V$15,$V$16=$V$17,RIGHT($V52,3)="2SP"),VLOOKUP(CONCATENATE(LEFT($V52,2),"L"),$R$63:$T$90,3,FALSE),0)-IF(AND($W$16=G$18,$W$14&lt;&gt;$W$15,$W$16=$W$17,RIGHT($W52,3)="2SP"),VLOOKUP(CONCATENATE(LEFT($W52,2),"L"),$R$63:$T$90,3,FALSE),0)-IF(AND($X$16=G$18,$X$14&lt;&gt;$X$15,$X$16=$X$17,RIGHT($X52,3)="2SP"),VLOOKUP(CONCATENATE(LEFT($X52,2),"L"),$R$63:$T$90,3,FALSE),0)-IF(AND($Y$16=G$18,$Y$14&lt;&gt;$Y$15,$Y$16=$Y$17,RIGHT($Y52,3)="2SP"),VLOOKUP(CONCATENATE(LEFT($Y52,2),"L"),$R$63:$T$90,3,FALSE),0))</f>
        <v>17</v>
      </c>
      <c r="H52" s="269" t="str">
        <f>IF(H$18&lt;&gt;"",IF(VLOOKUP(CONCATENATE($A$18,"Line"),'Supply Attribution'!$F$31:$G$37,2,FALSE)=H$18,$A52,0)+IF(VLOOKUP(CONCATENATE($B$18,"Line"),'Supply Attribution'!$F$31:$G$37,2,FALSE)=H$18,$B52,0)+IF(VLOOKUP(CONCATENATE($C$18,"Line"),'Supply Attribution'!$F$31:$G$37,2,FALSE)=H$18,$C52,0)+IF(VLOOKUP(CONCATENATE($D$18,"Line"),'Supply Attribution'!$F$31:$G$37,2,FALSE)=H$18,$D52,0)+IF(VLOOKUP(CONCATENATE($E$18,"Line"),'Supply Attribution'!$F$31:$G$37,2,FALSE)=H$18,$E52,0)+IF(VLOOKUP(CONCATENATE($F$18,"Line"),'Supply Attribution'!$F$31:$G$37,2,FALSE)=H$18,$F52,0)+IF($K$6="UL",LEFT($S$90,2),0)-IF(AND($K$16=H$18,$K$14&lt;&gt;$K$15,$K$16=$K$17,RIGHT($K52,3)="2SP"),VLOOKUP(CONCATENATE(LEFT($K52,2),"L"),$R$63:$T$90,3,FALSE),0)-IF(AND($L$16=H$18,$L$14&lt;&gt;$L$15,$L$16=$L$17,RIGHT($L52,3)="2SP"),VLOOKUP(CONCATENATE(LEFT($L52,2),"L"),$R$63:$T$90,3,FALSE),0)-IF(AND($M$16=H$18,$M$14&lt;&gt;$M$15,$M$16=$M$17,RIGHT($M52,3)="2SP"),VLOOKUP(CONCATENATE(LEFT($M52,2),"L"),$R$63:$T$90,3,FALSE),0)-IF(AND($N$16=H$18,$N$14&lt;&gt;$N$15,$N$16=$N$17,RIGHT($N52,3)="2SP"),VLOOKUP(CONCATENATE(LEFT($N52,2),"L"),$R$63:$T$90,3,FALSE),0)-IF(AND($O$16=H$18,$O$14&lt;&gt;$O$15,$O$16=$O$17,RIGHT($O52,3)="2SP"),VLOOKUP(CONCATENATE(LEFT($O52,2),"L"),$R$63:$T$90,3,FALSE),0)-IF(AND($P$16=H$18,$P$14&lt;&gt;$P$15,$P$16=$P$17,RIGHT($P52,3)="2SP"),VLOOKUP(CONCATENATE(LEFT($P52,2),"L"),$R$63:$T$90,3,FALSE),0)-IF(AND($Q$16=H$18,$Q$14&lt;&gt;$Q$15,$Q$16=$Q$17,RIGHT($Q52,3)="2SP"),VLOOKUP(CONCATENATE(LEFT($Q52,2),"L"),$R$63:$T$90,3,FALSE),0)-IF(AND($T$16=H$18,$T$14&lt;&gt;$T$15,$T$16=$T$17,RIGHT($T52,3)="2SP"),VLOOKUP(CONCATENATE(LEFT($T52,2),"L"),$R$63:$T$90,3,FALSE),0)-IF(AND($U$16=H$18,$U$14&lt;&gt;$U$15,$U$16=$U$17,RIGHT($U52,3)="2SP"),VLOOKUP(CONCATENATE(LEFT($U52,2),"L"),$R$63:$T$90,3,FALSE),0)-IF(AND($V$16=H$18,$V$14&lt;&gt;$V$15,$V$16=$V$17,RIGHT($V52,3)="2SP"),VLOOKUP(CONCATENATE(LEFT($V52,2),"L"),$R$63:$T$90,3,FALSE),0)-IF(AND($W$16=H$18,$W$14&lt;&gt;$W$15,$W$16=$W$17,RIGHT($W52,3)="2SP"),VLOOKUP(CONCATENATE(LEFT($W52,2),"L"),$R$63:$T$90,3,FALSE),0)-IF(AND($X$16=H$18,$X$14&lt;&gt;$X$15,$X$16=$X$17,RIGHT($X52,3)="2SP"),VLOOKUP(CONCATENATE(LEFT($X52,2),"L"),$R$63:$T$90,3,FALSE),0)-IF(AND($Y$16=H$18,$Y$14&lt;&gt;$Y$15,$Y$16=$Y$17,RIGHT($Y52,3)="2SP"),VLOOKUP(CONCATENATE(LEFT($Y52,2),"L"),$R$63:$T$90,3,FALSE),0)+IF(AND($K$6="CE",$T$59="2 Phases",H$18&lt;&gt;""),IF(VLOOKUP(CONCATENATE($A$18,"Line"),'Supply Attribution'!$F$31:$G$37,2,FALSE)="Line3",$A52,0)+IF(VLOOKUP(CONCATENATE($B$18,"Line"),'Supply Attribution'!$F$31:$G$37,2,FALSE)="Line3",$B52,0)+IF(VLOOKUP(CONCATENATE($C$18,"Line"),'Supply Attribution'!$F$31:$G$37,2,FALSE)="Line3",$C52,0)+IF(VLOOKUP(CONCATENATE($D$18,"Line"),'Supply Attribution'!$F$31:$G$37,2,FALSE)="Line3",$D52,0)+IF(VLOOKUP(CONCATENATE($E$18,"Line"),'Supply Attribution'!$F$31:$G$37,2,FALSE)="Line3",$E52,0)+IF(VLOOKUP(CONCATENATE($F$18,"Line"),'Supply Attribution'!$F$31:$G$37,2,FALSE)="Line3",$F52,0)-IF(AND($K$16=I$18,$K$14&lt;&gt;$K$15,$K$16=$K$17,RIGHT($K52,3)="2SP"),VLOOKUP(CONCATENATE(LEFT($K52,2),"L"),$R$63:$T$90,3,FALSE),0)-IF(AND($L$16=I$18,$L$14&lt;&gt;$L$15,$L$16=$L$17,RIGHT($L52,3)="2SP"),VLOOKUP(CONCATENATE(LEFT($L52,2),"L"),$R$63:$T$90,3,FALSE),0)-IF(AND($M$16=I$18,$M$14&lt;&gt;$M$15,$M$16=$M$17,RIGHT($M52,3)="2SP"),VLOOKUP(CONCATENATE(LEFT($M52,2),"L"),$R$63:$T$90,3,FALSE),0)-IF(AND($N$16=I$18,$N$14&lt;&gt;$N$15,$N$16=$N$17,RIGHT($N52,3)="2SP"),VLOOKUP(CONCATENATE(LEFT($N52,2),"L"),$R$63:$T$90,3,FALSE),0)-IF(AND($O$16=I$18,$O$14&lt;&gt;$O$15,$O$16=$O$17,RIGHT($O52,3)="2SP"),VLOOKUP(CONCATENATE(LEFT($O52,2),"L"),$R$63:$T$90,3,FALSE),0)-IF(AND($P$16=I$18,$P$14&lt;&gt;$P$15,$P$16=$P$17,RIGHT($P52,3)="2SP"),VLOOKUP(CONCATENATE(LEFT($P52,2),"L"),$R$63:$T$90,3,FALSE),0)-IF(AND($Q$16=I$18,$Q$14&lt;&gt;$Q$15,$Q$16=$Q$17,RIGHT($Q52,3)="2SP"),VLOOKUP(CONCATENATE(LEFT($Q52,2),"L"),$R$63:$T$90,3,FALSE),0)-IF(AND($T$16=I$18,$T$14&lt;&gt;$T$15,$T$16=$T$17,RIGHT($T52,3)="2SP"),VLOOKUP(CONCATENATE(LEFT($T52,2),"L"),$R$63:$T$90,3,FALSE),0)-IF(AND($U$16=I$18,$U$14&lt;&gt;$U$15,$U$16=$U$17,RIGHT($U52,3)="2SP"),VLOOKUP(CONCATENATE(LEFT($U52,2),"L"),$R$63:$T$90,3,FALSE),0)-IF(AND($V$16=I$18,$V$14&lt;&gt;$V$15,$V$16=$V$17,RIGHT($V52,3)="2SP"),VLOOKUP(CONCATENATE(LEFT($V52,2),"L"),$R$63:$T$90,3,FALSE),0)-IF(AND($W$16=I$18,$W$14&lt;&gt;$W$15,$W$16=$W$17,RIGHT($W52,3)="2SP"),VLOOKUP(CONCATENATE(LEFT($W52,2),"L"),$R$63:$T$90,3,FALSE),0)-IF(AND($X$16=I$18,$X$14&lt;&gt;$X$15,$X$16=$X$17,RIGHT($X52,3)="2SP"),VLOOKUP(CONCATENATE(LEFT($X52,2),"L"),$R$63:$T$90,3,FALSE),0)-IF(AND($Y$16=I$18,$Y$14&lt;&gt;$Y$15,$Y$16=$Y$17,RIGHT($Y52,3)="2SP"),VLOOKUP(CONCATENATE(LEFT($Y52,2),"L"),$R$63:$T$90,3,FALSE),0),0),"")</f>
        <v/>
      </c>
      <c r="I52" s="269" t="str">
        <f>IF(I$18&lt;&gt;"",IF(VLOOKUP(CONCATENATE($A$18,"Line"),'Supply Attribution'!$F$31:$G$37,2,FALSE)=I$18,$A52,0)+IF(VLOOKUP(CONCATENATE($B$18,"Line"),'Supply Attribution'!$F$31:$G$37,2,FALSE)=I$18,$B52,0)+IF(VLOOKUP(CONCATENATE($C$18,"Line"),'Supply Attribution'!$F$31:$G$37,2,FALSE)=I$18,$C52,0)+IF(VLOOKUP(CONCATENATE($D$18,"Line"),'Supply Attribution'!$F$31:$G$37,2,FALSE)=I$18,$D52,0)+IF(VLOOKUP(CONCATENATE($E$18,"Line"),'Supply Attribution'!$F$31:$G$37,2,FALSE)=I$18,$E52,0)+IF(VLOOKUP(CONCATENATE($F$18,"Line"),'Supply Attribution'!$F$31:$G$37,2,FALSE)=I$18,$F52,0)+IF($K$6="UL",LEFT($S$90,2),0)-IF(AND($K$16=I$18,$K$14&lt;&gt;$K$15,$K$16=$K$17,RIGHT($K52,3)="2SP"),VLOOKUP(CONCATENATE(LEFT($K52,2),"L"),$R$63:$T$90,3,FALSE),0)-IF(AND($L$16=I$18,$L$14&lt;&gt;$L$15,$L$16=$L$17,RIGHT($L52,3)="2SP"),VLOOKUP(CONCATENATE(LEFT($L52,2),"L"),$R$63:$T$90,3,FALSE),0)-IF(AND($M$16=I$18,$M$14&lt;&gt;$M$15,$M$16=$M$17,RIGHT($M52,3)="2SP"),VLOOKUP(CONCATENATE(LEFT($M52,2),"L"),$R$63:$T$90,3,FALSE),0)-IF(AND($N$16=I$18,$N$14&lt;&gt;$N$15,$N$16=$N$17,RIGHT($N52,3)="2SP"),VLOOKUP(CONCATENATE(LEFT($N52,2),"L"),$R$63:$T$90,3,FALSE),0)-IF(AND($O$16=I$18,$O$14&lt;&gt;$O$15,$O$16=$O$17,RIGHT($O52,3)="2SP"),VLOOKUP(CONCATENATE(LEFT($O52,2),"L"),$R$63:$T$90,3,FALSE),0)-IF(AND($P$16=I$18,$P$14&lt;&gt;$P$15,$P$16=$P$17,RIGHT($P52,3)="2SP"),VLOOKUP(CONCATENATE(LEFT($P52,2),"L"),$R$63:$T$90,3,FALSE),0)-IF(AND($Q$16=I$18,$Q$14&lt;&gt;$Q$15,$Q$16=$Q$17,RIGHT($Q52,3)="2SP"),VLOOKUP(CONCATENATE(LEFT($Q52,2),"L"),$R$63:$T$90,3,FALSE),0)-IF(AND($T$16=I$18,$T$14&lt;&gt;$T$15,$T$16=$T$17,RIGHT($T52,3)="2SP"),VLOOKUP(CONCATENATE(LEFT($T52,2),"L"),$R$63:$T$90,3,FALSE),0)-IF(AND($U$16=I$18,$U$14&lt;&gt;$U$15,$U$16=$U$17,RIGHT($U52,3)="2SP"),VLOOKUP(CONCATENATE(LEFT($U52,2),"L"),$R$63:$T$90,3,FALSE),0)-IF(AND($V$16=I$18,$V$14&lt;&gt;$V$15,$V$16=$V$17,RIGHT($V52,3)="2SP"),VLOOKUP(CONCATENATE(LEFT($V52,2),"L"),$R$63:$T$90,3,FALSE),0)-IF(AND($W$16=I$18,$W$14&lt;&gt;$W$15,$W$16=$W$17,RIGHT($W52,3)="2SP"),VLOOKUP(CONCATENATE(LEFT($W52,2),"L"),$R$63:$T$90,3,FALSE),0)-IF(AND($X$16=I$18,$X$14&lt;&gt;$X$15,$X$16=$X$17,RIGHT($X52,3)="2SP"),VLOOKUP(CONCATENATE(LEFT($X52,2),"L"),$R$63:$T$90,3,FALSE),0)-IF(AND($Y$16=I$18,$Y$14&lt;&gt;$Y$15,$Y$16=$Y$17,RIGHT($Y52,3)="2SP"),VLOOKUP(CONCATENATE(LEFT($Y52,2),"L"),$R$63:$T$90,3,FALSE),0),"")</f>
        <v/>
      </c>
      <c r="J52" s="134"/>
      <c r="K52" s="135"/>
      <c r="L52" s="135"/>
      <c r="M52" s="135"/>
      <c r="N52" s="135"/>
      <c r="O52" s="135"/>
      <c r="P52" s="135"/>
      <c r="Q52" s="135"/>
      <c r="R52" s="135"/>
      <c r="S52" s="135"/>
      <c r="T52" s="135"/>
      <c r="U52" s="135"/>
      <c r="V52" s="135"/>
      <c r="W52" s="135"/>
      <c r="X52" s="135"/>
      <c r="Y52" s="135"/>
      <c r="Z52" s="136"/>
      <c r="AA52" s="136"/>
      <c r="AB52" s="137"/>
      <c r="AC52" s="137"/>
      <c r="AD52" s="137"/>
      <c r="AE52" s="138">
        <f t="shared" si="0"/>
        <v>0</v>
      </c>
      <c r="AF52" s="78"/>
    </row>
    <row r="53" spans="1:32" ht="13.5" thickBot="1">
      <c r="A53" s="549"/>
      <c r="B53" s="550"/>
      <c r="C53" s="550"/>
      <c r="D53" s="550"/>
      <c r="E53" s="550"/>
      <c r="F53" s="551"/>
      <c r="G53" s="550"/>
      <c r="H53" s="550"/>
      <c r="I53" s="550"/>
      <c r="J53" s="552"/>
      <c r="K53" s="553"/>
      <c r="L53" s="553"/>
      <c r="M53" s="553"/>
      <c r="N53" s="553"/>
      <c r="O53" s="553"/>
      <c r="P53" s="553"/>
      <c r="Q53" s="553"/>
      <c r="R53" s="553"/>
      <c r="S53" s="553"/>
      <c r="T53" s="553"/>
      <c r="U53" s="553"/>
      <c r="V53" s="553"/>
      <c r="W53" s="553"/>
      <c r="X53" s="553"/>
      <c r="Y53" s="553"/>
      <c r="Z53" s="554"/>
      <c r="AA53" s="554"/>
      <c r="AB53" s="555"/>
      <c r="AC53" s="555"/>
      <c r="AD53" s="555"/>
      <c r="AE53" s="556"/>
      <c r="AF53" s="78"/>
    </row>
    <row r="54" spans="1:32" ht="13.5" thickBot="1">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c r="AA54" s="72"/>
      <c r="AB54" s="72"/>
      <c r="AC54" s="72"/>
      <c r="AD54" s="78"/>
    </row>
    <row r="55" spans="1:32" ht="12.75" customHeight="1">
      <c r="A55" s="72"/>
      <c r="B55" s="72"/>
      <c r="C55" s="733"/>
      <c r="D55" s="733"/>
      <c r="E55" s="733"/>
      <c r="F55" s="733"/>
      <c r="G55" s="72"/>
      <c r="H55" s="72"/>
      <c r="I55" s="72"/>
      <c r="J55" s="785" t="s">
        <v>165</v>
      </c>
      <c r="K55" s="786"/>
      <c r="L55" s="786"/>
      <c r="M55" s="786"/>
      <c r="N55" s="786"/>
      <c r="O55" s="786"/>
      <c r="P55" s="786"/>
      <c r="Q55" s="786"/>
      <c r="R55" s="786"/>
      <c r="S55" s="786"/>
      <c r="T55" s="786"/>
      <c r="U55" s="786"/>
      <c r="V55" s="786"/>
      <c r="W55" s="786"/>
      <c r="X55" s="786"/>
      <c r="Y55" s="786"/>
      <c r="Z55" s="786"/>
      <c r="AA55" s="786"/>
      <c r="AB55" s="786"/>
      <c r="AC55" s="786"/>
      <c r="AD55" s="309"/>
    </row>
    <row r="56" spans="1:32" ht="13.5" customHeight="1">
      <c r="A56" s="72"/>
      <c r="B56" s="72"/>
      <c r="C56" s="72"/>
      <c r="D56" s="72"/>
      <c r="E56" s="72"/>
      <c r="F56" s="72"/>
      <c r="G56" s="72"/>
      <c r="H56" s="72"/>
      <c r="I56" s="72"/>
      <c r="J56" s="787"/>
      <c r="K56" s="788"/>
      <c r="L56" s="788"/>
      <c r="M56" s="788"/>
      <c r="N56" s="788"/>
      <c r="O56" s="788"/>
      <c r="P56" s="788"/>
      <c r="Q56" s="788"/>
      <c r="R56" s="788"/>
      <c r="S56" s="788"/>
      <c r="T56" s="788"/>
      <c r="U56" s="788"/>
      <c r="V56" s="788"/>
      <c r="W56" s="788"/>
      <c r="X56" s="788"/>
      <c r="Y56" s="788"/>
      <c r="Z56" s="788"/>
      <c r="AA56" s="788"/>
      <c r="AB56" s="788"/>
      <c r="AC56" s="788"/>
      <c r="AD56" s="310"/>
    </row>
    <row r="57" spans="1:32" ht="13.5" thickBot="1">
      <c r="A57" s="72"/>
      <c r="B57" s="72"/>
      <c r="C57" s="72"/>
      <c r="D57" s="72"/>
      <c r="E57" s="72"/>
      <c r="F57" s="72"/>
      <c r="G57" s="72"/>
      <c r="H57" s="72"/>
      <c r="I57" s="72"/>
      <c r="J57" s="728" t="s">
        <v>4</v>
      </c>
      <c r="K57" s="729"/>
      <c r="L57" s="730"/>
      <c r="M57" s="539" t="s">
        <v>283</v>
      </c>
      <c r="N57" s="728" t="s">
        <v>405</v>
      </c>
      <c r="O57" s="729"/>
      <c r="P57" s="730"/>
      <c r="Q57" s="539" t="s">
        <v>283</v>
      </c>
      <c r="R57" s="728" t="s">
        <v>49</v>
      </c>
      <c r="S57" s="729"/>
      <c r="T57" s="730"/>
      <c r="U57" s="539" t="s">
        <v>283</v>
      </c>
      <c r="V57" s="728" t="s">
        <v>336</v>
      </c>
      <c r="W57" s="729"/>
      <c r="X57" s="730"/>
      <c r="Y57" s="728" t="s">
        <v>370</v>
      </c>
      <c r="Z57" s="729"/>
      <c r="AA57" s="730"/>
      <c r="AB57" s="262"/>
      <c r="AC57" s="262"/>
      <c r="AD57" s="262"/>
    </row>
    <row r="58" spans="1:32">
      <c r="A58" s="72"/>
      <c r="B58" s="72"/>
      <c r="C58" s="72"/>
      <c r="D58" s="72"/>
      <c r="E58" s="72"/>
      <c r="F58" s="72"/>
      <c r="G58" s="72"/>
      <c r="H58" s="72"/>
      <c r="I58" s="72"/>
      <c r="J58" s="140" t="s">
        <v>5</v>
      </c>
      <c r="K58" s="141"/>
      <c r="L58" s="142" t="s">
        <v>569</v>
      </c>
      <c r="M58" s="532"/>
      <c r="N58" s="150" t="s">
        <v>57</v>
      </c>
      <c r="O58" s="107"/>
      <c r="P58" s="146" t="s">
        <v>58</v>
      </c>
      <c r="Q58" s="304"/>
      <c r="R58" s="292" t="s">
        <v>50</v>
      </c>
      <c r="S58" s="107"/>
      <c r="T58" s="146" t="str">
        <f>IF($K$6="CE", "3 Phases", "1 Phase")</f>
        <v>1 Phase</v>
      </c>
      <c r="U58" s="319"/>
      <c r="V58" s="433" t="s">
        <v>331</v>
      </c>
      <c r="W58" s="112"/>
      <c r="X58" s="434">
        <v>48</v>
      </c>
      <c r="Y58" s="143" t="s">
        <v>174</v>
      </c>
      <c r="Z58" s="167"/>
      <c r="AA58" s="177" t="s">
        <v>582</v>
      </c>
      <c r="AB58" s="262"/>
      <c r="AC58" s="262"/>
      <c r="AD58" s="262"/>
    </row>
    <row r="59" spans="1:32">
      <c r="A59" s="72"/>
      <c r="B59" s="72"/>
      <c r="C59" s="72"/>
      <c r="D59" s="72"/>
      <c r="E59" s="72"/>
      <c r="F59" s="72"/>
      <c r="G59" s="72"/>
      <c r="H59" s="72"/>
      <c r="I59" s="72"/>
      <c r="J59" s="143" t="s">
        <v>74</v>
      </c>
      <c r="K59" s="261">
        <f>IF(L59&gt;41,ROUND((L59-32)/1.8,0.5),ROUND(L59*1.8+32,0))</f>
        <v>35</v>
      </c>
      <c r="L59" s="259">
        <v>95</v>
      </c>
      <c r="M59" s="533"/>
      <c r="N59" s="169" t="s">
        <v>84</v>
      </c>
      <c r="O59" s="107"/>
      <c r="P59" s="148">
        <v>2</v>
      </c>
      <c r="Q59" s="305"/>
      <c r="R59" s="144" t="s">
        <v>170</v>
      </c>
      <c r="S59" s="107"/>
      <c r="T59" s="146" t="str">
        <f>IF($K$6="CE", "3 Phases", "1 Phase")</f>
        <v>1 Phase</v>
      </c>
      <c r="U59" s="304"/>
      <c r="V59" s="150" t="s">
        <v>332</v>
      </c>
      <c r="W59" s="107"/>
      <c r="X59" s="156">
        <v>20</v>
      </c>
      <c r="Y59" s="143" t="s">
        <v>175</v>
      </c>
      <c r="Z59" s="167"/>
      <c r="AA59" s="146" t="s">
        <v>176</v>
      </c>
      <c r="AB59" s="262"/>
      <c r="AC59" s="262"/>
      <c r="AD59" s="262"/>
    </row>
    <row r="60" spans="1:32">
      <c r="A60" s="72"/>
      <c r="B60" s="72"/>
      <c r="C60" s="72"/>
      <c r="D60" s="72"/>
      <c r="E60" s="72"/>
      <c r="F60" s="72"/>
      <c r="G60" s="72"/>
      <c r="H60" s="72"/>
      <c r="I60" s="72"/>
      <c r="J60" s="150" t="s">
        <v>51</v>
      </c>
      <c r="K60" s="261">
        <f>IF(L60&gt;41,ROUND((L60-32)/1.8,0.5),ROUND(L60*1.8+32,0))</f>
        <v>15</v>
      </c>
      <c r="L60" s="260">
        <v>59</v>
      </c>
      <c r="M60" s="534"/>
      <c r="N60" s="163" t="s">
        <v>87</v>
      </c>
      <c r="O60" s="176"/>
      <c r="P60" s="181">
        <v>2</v>
      </c>
      <c r="Q60" s="306"/>
      <c r="R60" s="293" t="s">
        <v>52</v>
      </c>
      <c r="S60" s="107"/>
      <c r="T60" s="156">
        <v>48</v>
      </c>
      <c r="U60" s="320"/>
      <c r="V60" s="150" t="s">
        <v>333</v>
      </c>
      <c r="W60" s="107"/>
      <c r="X60" s="156">
        <v>16</v>
      </c>
      <c r="Y60" s="143" t="s">
        <v>177</v>
      </c>
      <c r="Z60" s="167"/>
      <c r="AA60" s="146" t="s">
        <v>178</v>
      </c>
      <c r="AB60" s="262"/>
      <c r="AC60" s="262"/>
      <c r="AD60" s="262"/>
    </row>
    <row r="61" spans="1:32" ht="13.5" thickBot="1">
      <c r="A61" s="72"/>
      <c r="B61" s="72"/>
      <c r="C61" s="72"/>
      <c r="D61" s="72"/>
      <c r="E61" s="72"/>
      <c r="F61" s="72"/>
      <c r="G61" s="72"/>
      <c r="H61" s="72"/>
      <c r="I61" s="72"/>
      <c r="J61" s="150" t="s">
        <v>53</v>
      </c>
      <c r="K61" s="261">
        <f>IF(L61&gt;41,ROUND((L61-32)/1.8,0.5),ROUND(L61*1.8+32,0))</f>
        <v>41</v>
      </c>
      <c r="L61" s="260">
        <f>IF(K6="CE",40,106)</f>
        <v>106</v>
      </c>
      <c r="M61" s="534"/>
      <c r="N61" s="163" t="s">
        <v>88</v>
      </c>
      <c r="O61" s="167"/>
      <c r="P61" s="182">
        <v>4</v>
      </c>
      <c r="Q61" s="307"/>
      <c r="R61" s="107" t="s">
        <v>109</v>
      </c>
      <c r="S61" s="107"/>
      <c r="T61" s="162">
        <v>10</v>
      </c>
      <c r="U61" s="321"/>
      <c r="V61" s="150" t="s">
        <v>334</v>
      </c>
      <c r="W61" s="107"/>
      <c r="X61" s="156">
        <v>48</v>
      </c>
      <c r="Y61" s="143" t="s">
        <v>179</v>
      </c>
      <c r="Z61" s="167"/>
      <c r="AA61" s="146" t="s">
        <v>180</v>
      </c>
      <c r="AB61" s="262"/>
      <c r="AC61" s="262"/>
      <c r="AD61" s="262"/>
    </row>
    <row r="62" spans="1:32" ht="13.5" thickBot="1">
      <c r="A62" s="72"/>
      <c r="B62" s="72"/>
      <c r="C62" s="72"/>
      <c r="D62" s="72"/>
      <c r="E62" s="72"/>
      <c r="F62" s="72"/>
      <c r="G62" s="72"/>
      <c r="H62" s="72"/>
      <c r="I62" s="72"/>
      <c r="J62" s="163" t="s">
        <v>56</v>
      </c>
      <c r="K62" s="164"/>
      <c r="L62" s="165">
        <v>0</v>
      </c>
      <c r="M62" s="538"/>
      <c r="N62" s="175" t="s">
        <v>89</v>
      </c>
      <c r="O62" s="186"/>
      <c r="P62" s="187">
        <v>2</v>
      </c>
      <c r="Q62" s="307"/>
      <c r="R62" s="174" t="s">
        <v>290</v>
      </c>
      <c r="S62" s="167"/>
      <c r="T62" s="187" t="s">
        <v>291</v>
      </c>
      <c r="U62" s="262"/>
      <c r="V62" s="150" t="s">
        <v>335</v>
      </c>
      <c r="W62" s="107"/>
      <c r="X62" s="156">
        <f>IF(K6="CE",20,48)</f>
        <v>48</v>
      </c>
      <c r="Y62" s="143" t="s">
        <v>371</v>
      </c>
      <c r="Z62" s="167"/>
      <c r="AA62" s="146" t="s">
        <v>189</v>
      </c>
      <c r="AB62" s="262"/>
      <c r="AC62" s="262"/>
      <c r="AD62" s="262"/>
    </row>
    <row r="63" spans="1:32" ht="13.5" thickBot="1">
      <c r="A63" s="72"/>
      <c r="B63" s="72"/>
      <c r="C63" s="72"/>
      <c r="D63" s="72"/>
      <c r="E63" s="72"/>
      <c r="F63" s="72"/>
      <c r="G63" s="72"/>
      <c r="H63" s="72"/>
      <c r="I63" s="72"/>
      <c r="J63" s="734" t="s">
        <v>96</v>
      </c>
      <c r="K63" s="735"/>
      <c r="L63" s="736"/>
      <c r="M63" s="540" t="s">
        <v>283</v>
      </c>
      <c r="N63" s="728" t="s">
        <v>48</v>
      </c>
      <c r="O63" s="729"/>
      <c r="P63" s="730"/>
      <c r="Q63" s="540" t="s">
        <v>183</v>
      </c>
      <c r="R63" s="735" t="s">
        <v>21</v>
      </c>
      <c r="S63" s="735"/>
      <c r="T63" s="736"/>
      <c r="U63" s="540" t="s">
        <v>283</v>
      </c>
      <c r="V63" s="174" t="s">
        <v>338</v>
      </c>
      <c r="W63" s="186"/>
      <c r="X63" s="156">
        <v>16</v>
      </c>
      <c r="Y63" s="204" t="s">
        <v>181</v>
      </c>
      <c r="Z63" s="186"/>
      <c r="AA63" s="202">
        <v>6</v>
      </c>
      <c r="AB63" s="262"/>
      <c r="AC63" s="262"/>
      <c r="AD63" s="262"/>
      <c r="AE63" s="543"/>
    </row>
    <row r="64" spans="1:32" ht="13.5" thickBot="1">
      <c r="A64" s="72"/>
      <c r="B64" s="72"/>
      <c r="C64" s="72"/>
      <c r="D64" s="72"/>
      <c r="E64" s="72"/>
      <c r="F64" s="72"/>
      <c r="G64" s="72"/>
      <c r="H64" s="72"/>
      <c r="I64" s="72"/>
      <c r="J64" s="150" t="s">
        <v>91</v>
      </c>
      <c r="K64" s="144"/>
      <c r="L64" s="165">
        <v>20</v>
      </c>
      <c r="M64" s="535"/>
      <c r="N64" s="143" t="s">
        <v>78</v>
      </c>
      <c r="O64" s="144"/>
      <c r="P64" s="145">
        <v>0</v>
      </c>
      <c r="Q64" s="297"/>
      <c r="R64" s="294" t="s">
        <v>13</v>
      </c>
      <c r="S64" s="172" t="str">
        <f>IF(R64&lt;&gt;"--",IF(R64&lt;&gt;"","--------------&gt;",""),"")</f>
        <v>--------------&gt;</v>
      </c>
      <c r="T64" s="156">
        <v>14</v>
      </c>
      <c r="U64" s="262" t="s">
        <v>581</v>
      </c>
      <c r="V64" s="734" t="s">
        <v>112</v>
      </c>
      <c r="W64" s="735"/>
      <c r="X64" s="736"/>
      <c r="Y64" s="541" t="s">
        <v>406</v>
      </c>
      <c r="Z64" s="262"/>
      <c r="AA64" s="262"/>
      <c r="AB64" s="262"/>
      <c r="AC64" s="262"/>
      <c r="AD64" s="262"/>
      <c r="AE64" s="543"/>
    </row>
    <row r="65" spans="1:33">
      <c r="A65" s="72"/>
      <c r="B65" s="72"/>
      <c r="C65" s="72"/>
      <c r="D65" s="72"/>
      <c r="E65" s="72"/>
      <c r="F65" s="72"/>
      <c r="G65" s="72"/>
      <c r="H65" s="72"/>
      <c r="I65" s="72"/>
      <c r="J65" s="150" t="s">
        <v>92</v>
      </c>
      <c r="K65" s="144"/>
      <c r="L65" s="173">
        <v>120</v>
      </c>
      <c r="M65" s="536"/>
      <c r="N65" s="143" t="s">
        <v>79</v>
      </c>
      <c r="O65" s="144"/>
      <c r="P65" s="149">
        <v>2</v>
      </c>
      <c r="Q65" s="298">
        <v>12</v>
      </c>
      <c r="R65" s="294" t="s">
        <v>14</v>
      </c>
      <c r="S65" s="172" t="str">
        <f t="shared" ref="S65:S85" si="1">IF(R65&lt;&gt;"--",IF(R65&lt;&gt;"","--------------&gt;",""),"")</f>
        <v>--------------&gt;</v>
      </c>
      <c r="T65" s="156">
        <v>4</v>
      </c>
      <c r="U65" s="262"/>
      <c r="V65" s="143" t="s">
        <v>113</v>
      </c>
      <c r="W65" s="107"/>
      <c r="X65" s="147" t="s">
        <v>127</v>
      </c>
      <c r="Y65" s="542" t="s">
        <v>407</v>
      </c>
      <c r="Z65" s="262"/>
      <c r="AA65" s="262"/>
      <c r="AB65" s="262"/>
      <c r="AC65" s="262"/>
      <c r="AD65" s="262"/>
      <c r="AE65" s="543"/>
    </row>
    <row r="66" spans="1:33" ht="13.5" thickBot="1">
      <c r="A66" s="72"/>
      <c r="B66" s="72"/>
      <c r="C66" s="72"/>
      <c r="D66" s="72"/>
      <c r="E66" s="72"/>
      <c r="F66" s="72"/>
      <c r="G66" s="72"/>
      <c r="H66" s="72"/>
      <c r="I66" s="72"/>
      <c r="J66" s="150" t="s">
        <v>95</v>
      </c>
      <c r="K66" s="164"/>
      <c r="L66" s="165">
        <v>120</v>
      </c>
      <c r="M66" s="535"/>
      <c r="N66" s="143" t="s">
        <v>80</v>
      </c>
      <c r="O66" s="144"/>
      <c r="P66" s="155">
        <v>0</v>
      </c>
      <c r="Q66" s="299"/>
      <c r="R66" s="294" t="s">
        <v>15</v>
      </c>
      <c r="S66" s="172" t="str">
        <f t="shared" si="1"/>
        <v>--------------&gt;</v>
      </c>
      <c r="T66" s="156">
        <v>14</v>
      </c>
      <c r="U66" s="262"/>
      <c r="V66" s="143" t="s">
        <v>114</v>
      </c>
      <c r="W66" s="107"/>
      <c r="X66" s="146" t="s">
        <v>128</v>
      </c>
      <c r="Y66" s="523"/>
      <c r="Z66" s="196"/>
      <c r="AA66" s="196"/>
      <c r="AB66" s="196"/>
      <c r="AC66" s="196"/>
      <c r="AD66" s="196"/>
      <c r="AE66" s="543"/>
    </row>
    <row r="67" spans="1:33" ht="13.5" thickBot="1">
      <c r="A67" s="72"/>
      <c r="B67" s="72"/>
      <c r="C67" s="72"/>
      <c r="D67" s="72"/>
      <c r="E67" s="72"/>
      <c r="F67" s="72"/>
      <c r="G67" s="72"/>
      <c r="H67" s="72"/>
      <c r="I67" s="72"/>
      <c r="J67" s="150" t="s">
        <v>93</v>
      </c>
      <c r="K67" s="164"/>
      <c r="L67" s="165">
        <v>20</v>
      </c>
      <c r="M67" s="535"/>
      <c r="N67" s="143" t="s">
        <v>81</v>
      </c>
      <c r="O67" s="144"/>
      <c r="P67" s="161">
        <v>2</v>
      </c>
      <c r="Q67" s="300"/>
      <c r="R67" s="294" t="s">
        <v>16</v>
      </c>
      <c r="S67" s="172" t="str">
        <f t="shared" si="1"/>
        <v>--------------&gt;</v>
      </c>
      <c r="T67" s="156">
        <v>4</v>
      </c>
      <c r="U67" s="262"/>
      <c r="V67" s="143" t="s">
        <v>115</v>
      </c>
      <c r="W67" s="107"/>
      <c r="X67" s="147" t="s">
        <v>127</v>
      </c>
      <c r="Y67" s="540" t="s">
        <v>283</v>
      </c>
      <c r="Z67" s="807" t="s">
        <v>372</v>
      </c>
      <c r="AA67" s="808"/>
      <c r="AB67" s="808"/>
      <c r="AC67" s="808"/>
      <c r="AD67" s="808"/>
      <c r="AE67" s="808"/>
      <c r="AF67" s="548"/>
    </row>
    <row r="68" spans="1:33" ht="13.5" thickBot="1">
      <c r="A68" s="72"/>
      <c r="B68" s="72"/>
      <c r="C68" s="72"/>
      <c r="D68" s="72"/>
      <c r="E68" s="72"/>
      <c r="F68" s="72"/>
      <c r="G68" s="72"/>
      <c r="H68" s="72"/>
      <c r="I68" s="72"/>
      <c r="J68" s="150" t="s">
        <v>94</v>
      </c>
      <c r="K68" s="164"/>
      <c r="L68" s="165">
        <v>120</v>
      </c>
      <c r="M68" s="535"/>
      <c r="N68" s="163" t="s">
        <v>54</v>
      </c>
      <c r="O68" s="164"/>
      <c r="P68" s="166" t="s">
        <v>55</v>
      </c>
      <c r="Q68" s="301"/>
      <c r="R68" s="294" t="s">
        <v>17</v>
      </c>
      <c r="S68" s="172" t="str">
        <f t="shared" si="1"/>
        <v>--------------&gt;</v>
      </c>
      <c r="T68" s="156">
        <v>14</v>
      </c>
      <c r="U68" s="262"/>
      <c r="V68" s="143" t="s">
        <v>116</v>
      </c>
      <c r="W68" s="107"/>
      <c r="X68" s="146" t="s">
        <v>128</v>
      </c>
      <c r="Y68" s="695"/>
      <c r="Z68" s="490" t="s">
        <v>284</v>
      </c>
      <c r="AA68" s="119" t="s">
        <v>164</v>
      </c>
      <c r="AB68" s="119" t="s">
        <v>167</v>
      </c>
      <c r="AC68" s="119" t="s">
        <v>168</v>
      </c>
      <c r="AD68" s="119" t="s">
        <v>169</v>
      </c>
      <c r="AE68" s="120" t="s">
        <v>12</v>
      </c>
      <c r="AF68" s="544" t="s">
        <v>166</v>
      </c>
      <c r="AG68" s="119" t="s">
        <v>583</v>
      </c>
    </row>
    <row r="69" spans="1:33" ht="13.5" thickBot="1">
      <c r="A69" s="72"/>
      <c r="B69" s="72"/>
      <c r="C69" s="72"/>
      <c r="D69" s="72"/>
      <c r="E69" s="72"/>
      <c r="F69" s="72"/>
      <c r="G69" s="72"/>
      <c r="H69" s="72"/>
      <c r="I69" s="72"/>
      <c r="J69" s="178" t="s">
        <v>75</v>
      </c>
      <c r="K69" s="179"/>
      <c r="L69" s="180">
        <v>30</v>
      </c>
      <c r="M69" s="537"/>
      <c r="N69" s="169" t="s">
        <v>82</v>
      </c>
      <c r="O69" s="164"/>
      <c r="P69" s="170">
        <v>0</v>
      </c>
      <c r="Q69" s="302"/>
      <c r="R69" s="294" t="s">
        <v>408</v>
      </c>
      <c r="S69" s="172" t="str">
        <f t="shared" si="1"/>
        <v>--------------&gt;</v>
      </c>
      <c r="T69" s="156">
        <v>4</v>
      </c>
      <c r="U69" s="262"/>
      <c r="V69" s="143" t="s">
        <v>117</v>
      </c>
      <c r="W69" s="107"/>
      <c r="X69" s="147" t="s">
        <v>127</v>
      </c>
      <c r="Y69" s="532"/>
      <c r="Z69" s="151">
        <v>1</v>
      </c>
      <c r="AA69" s="152" t="s">
        <v>24</v>
      </c>
      <c r="AB69" s="153" t="s">
        <v>24</v>
      </c>
      <c r="AC69" s="153" t="s">
        <v>24</v>
      </c>
      <c r="AD69" s="153" t="s">
        <v>171</v>
      </c>
      <c r="AE69" s="154" t="s">
        <v>24</v>
      </c>
      <c r="AF69" s="545">
        <f t="shared" ref="AF69:AF78" si="2">IF(AA69="LOW",1,IF(AA69="HIGH",2,0))+IF(AB69="LOW",4,IF(AB69="HIGH",8,0))+IF(AC69="LOW",16,IF(AC69="HIGH",32,0))+IF(AD69="LOW",64,IF(AD69="HIGH",128,0))+IF(AE69="HIGH",256,0)</f>
        <v>64</v>
      </c>
    </row>
    <row r="70" spans="1:33" ht="13.5" thickBot="1">
      <c r="A70" s="72"/>
      <c r="B70" s="72"/>
      <c r="C70" s="72"/>
      <c r="D70" s="72"/>
      <c r="E70" s="72"/>
      <c r="F70" s="72"/>
      <c r="G70" s="72"/>
      <c r="H70" s="72"/>
      <c r="I70" s="72"/>
      <c r="J70" s="734" t="s">
        <v>60</v>
      </c>
      <c r="K70" s="735"/>
      <c r="L70" s="736"/>
      <c r="M70" s="296"/>
      <c r="N70" s="169" t="s">
        <v>83</v>
      </c>
      <c r="O70" s="164"/>
      <c r="P70" s="171">
        <v>0</v>
      </c>
      <c r="Q70" s="303"/>
      <c r="R70" s="294" t="s">
        <v>579</v>
      </c>
      <c r="S70" s="172" t="str">
        <f t="shared" si="1"/>
        <v>--------------&gt;</v>
      </c>
      <c r="T70" s="156">
        <v>14</v>
      </c>
      <c r="U70" s="262"/>
      <c r="V70" s="143" t="s">
        <v>118</v>
      </c>
      <c r="W70" s="107"/>
      <c r="X70" s="146" t="s">
        <v>128</v>
      </c>
      <c r="Y70" s="695"/>
      <c r="Z70" s="118">
        <v>2</v>
      </c>
      <c r="AA70" s="158"/>
      <c r="AB70" s="159" t="s">
        <v>171</v>
      </c>
      <c r="AC70" s="159" t="s">
        <v>171</v>
      </c>
      <c r="AD70" s="159" t="s">
        <v>24</v>
      </c>
      <c r="AE70" s="160" t="s">
        <v>24</v>
      </c>
      <c r="AF70" s="546">
        <f t="shared" si="2"/>
        <v>20</v>
      </c>
    </row>
    <row r="71" spans="1:33">
      <c r="A71" s="72"/>
      <c r="B71" s="72"/>
      <c r="C71" s="72"/>
      <c r="D71" s="72"/>
      <c r="E71" s="72"/>
      <c r="F71" s="72"/>
      <c r="G71" s="72"/>
      <c r="H71" s="72"/>
      <c r="I71" s="72"/>
      <c r="J71" s="183" t="s">
        <v>97</v>
      </c>
      <c r="K71" s="184"/>
      <c r="L71" s="185" t="str">
        <f>IF(K6="UL","AM/PM","24H")</f>
        <v>AM/PM</v>
      </c>
      <c r="M71" s="312"/>
      <c r="N71" s="163" t="s">
        <v>6</v>
      </c>
      <c r="O71" s="164"/>
      <c r="P71" s="166" t="s">
        <v>7</v>
      </c>
      <c r="Q71" s="301"/>
      <c r="R71" s="294" t="s">
        <v>580</v>
      </c>
      <c r="S71" s="172" t="str">
        <f t="shared" si="1"/>
        <v>--------------&gt;</v>
      </c>
      <c r="T71" s="156">
        <v>4</v>
      </c>
      <c r="U71" s="262"/>
      <c r="V71" s="143" t="s">
        <v>119</v>
      </c>
      <c r="W71" s="107"/>
      <c r="X71" s="147" t="s">
        <v>127</v>
      </c>
      <c r="Y71" s="532"/>
      <c r="Z71" s="118">
        <v>3</v>
      </c>
      <c r="AA71" s="158" t="s">
        <v>24</v>
      </c>
      <c r="AB71" s="159" t="s">
        <v>171</v>
      </c>
      <c r="AC71" s="159" t="s">
        <v>171</v>
      </c>
      <c r="AD71" s="159" t="s">
        <v>171</v>
      </c>
      <c r="AE71" s="160" t="s">
        <v>24</v>
      </c>
      <c r="AF71" s="546">
        <f t="shared" si="2"/>
        <v>84</v>
      </c>
    </row>
    <row r="72" spans="1:33" ht="13.5" thickBot="1">
      <c r="A72" s="72"/>
      <c r="B72" s="72"/>
      <c r="C72" s="72"/>
      <c r="D72" s="72"/>
      <c r="E72" s="72"/>
      <c r="F72" s="72"/>
      <c r="G72" s="72"/>
      <c r="H72" s="72"/>
      <c r="I72" s="72"/>
      <c r="J72" s="169" t="s">
        <v>76</v>
      </c>
      <c r="K72" s="176"/>
      <c r="L72" s="166" t="s">
        <v>9</v>
      </c>
      <c r="M72" s="312"/>
      <c r="N72" s="174" t="s">
        <v>63</v>
      </c>
      <c r="O72" s="186"/>
      <c r="P72" s="188" t="s">
        <v>10</v>
      </c>
      <c r="Q72" s="480"/>
      <c r="R72" s="294" t="s">
        <v>22</v>
      </c>
      <c r="S72" s="172" t="str">
        <f t="shared" si="1"/>
        <v>--------------&gt;</v>
      </c>
      <c r="T72" s="156">
        <v>1</v>
      </c>
      <c r="U72" s="262" t="s">
        <v>574</v>
      </c>
      <c r="V72" s="143" t="s">
        <v>120</v>
      </c>
      <c r="W72" s="107"/>
      <c r="X72" s="146" t="s">
        <v>214</v>
      </c>
      <c r="Y72" s="695"/>
      <c r="Z72" s="118">
        <v>4</v>
      </c>
      <c r="AA72" s="158" t="s">
        <v>24</v>
      </c>
      <c r="AB72" s="159" t="s">
        <v>172</v>
      </c>
      <c r="AC72" s="159" t="s">
        <v>172</v>
      </c>
      <c r="AD72" s="159" t="s">
        <v>24</v>
      </c>
      <c r="AE72" s="160" t="s">
        <v>24</v>
      </c>
      <c r="AF72" s="546">
        <f t="shared" si="2"/>
        <v>40</v>
      </c>
    </row>
    <row r="73" spans="1:33" ht="13.5" thickBot="1">
      <c r="A73" s="72"/>
      <c r="B73" s="72"/>
      <c r="C73" s="72"/>
      <c r="D73" s="72"/>
      <c r="E73" s="72"/>
      <c r="F73" s="72"/>
      <c r="G73" s="72"/>
      <c r="H73" s="72"/>
      <c r="I73" s="72"/>
      <c r="J73" s="169" t="s">
        <v>77</v>
      </c>
      <c r="K73" s="176"/>
      <c r="L73" s="168" t="s">
        <v>570</v>
      </c>
      <c r="M73" s="312"/>
      <c r="N73" s="737" t="s">
        <v>358</v>
      </c>
      <c r="O73" s="738"/>
      <c r="P73" s="739"/>
      <c r="Q73" s="291"/>
      <c r="R73" s="294" t="s">
        <v>18</v>
      </c>
      <c r="S73" s="172" t="str">
        <f t="shared" si="1"/>
        <v>--------------&gt;</v>
      </c>
      <c r="T73" s="156">
        <v>1</v>
      </c>
      <c r="U73" s="262"/>
      <c r="V73" s="143" t="s">
        <v>121</v>
      </c>
      <c r="W73" s="176"/>
      <c r="X73" s="168">
        <v>3</v>
      </c>
      <c r="Y73" s="696"/>
      <c r="Z73" s="118">
        <v>5</v>
      </c>
      <c r="AA73" s="158" t="s">
        <v>24</v>
      </c>
      <c r="AB73" s="159" t="s">
        <v>172</v>
      </c>
      <c r="AC73" s="159" t="s">
        <v>172</v>
      </c>
      <c r="AD73" s="159" t="s">
        <v>171</v>
      </c>
      <c r="AE73" s="160" t="s">
        <v>24</v>
      </c>
      <c r="AF73" s="546">
        <f t="shared" si="2"/>
        <v>104</v>
      </c>
    </row>
    <row r="74" spans="1:33">
      <c r="A74" s="72"/>
      <c r="B74" s="72"/>
      <c r="C74" s="72"/>
      <c r="D74" s="72"/>
      <c r="E74" s="72"/>
      <c r="F74" s="72"/>
      <c r="G74" s="72"/>
      <c r="H74" s="72"/>
      <c r="I74" s="72"/>
      <c r="J74" s="163" t="s">
        <v>98</v>
      </c>
      <c r="K74" s="164"/>
      <c r="L74" s="168" t="s">
        <v>99</v>
      </c>
      <c r="M74" s="312"/>
      <c r="N74" s="176" t="s">
        <v>59</v>
      </c>
      <c r="O74" s="176"/>
      <c r="P74" s="166" t="s">
        <v>7</v>
      </c>
      <c r="Q74" s="311"/>
      <c r="R74" s="294"/>
      <c r="S74" s="172" t="str">
        <f t="shared" si="1"/>
        <v/>
      </c>
      <c r="T74" s="156">
        <v>0</v>
      </c>
      <c r="U74" s="262"/>
      <c r="V74" s="169" t="s">
        <v>122</v>
      </c>
      <c r="W74" s="167"/>
      <c r="X74" s="177" t="s">
        <v>108</v>
      </c>
      <c r="Y74" s="697"/>
      <c r="Z74" s="118">
        <v>6</v>
      </c>
      <c r="AA74" s="158" t="s">
        <v>24</v>
      </c>
      <c r="AB74" s="159" t="s">
        <v>172</v>
      </c>
      <c r="AC74" s="159" t="s">
        <v>172</v>
      </c>
      <c r="AD74" s="159" t="s">
        <v>172</v>
      </c>
      <c r="AE74" s="160" t="s">
        <v>24</v>
      </c>
      <c r="AF74" s="546">
        <f t="shared" si="2"/>
        <v>168</v>
      </c>
    </row>
    <row r="75" spans="1:33">
      <c r="A75" s="72"/>
      <c r="B75" s="72"/>
      <c r="C75" s="72"/>
      <c r="D75" s="72"/>
      <c r="E75" s="72"/>
      <c r="F75" s="72"/>
      <c r="G75" s="72"/>
      <c r="H75" s="72"/>
      <c r="I75" s="72"/>
      <c r="J75" s="163" t="s">
        <v>101</v>
      </c>
      <c r="K75" s="164"/>
      <c r="L75" s="168" t="s">
        <v>9</v>
      </c>
      <c r="M75" s="312"/>
      <c r="N75" s="189" t="s">
        <v>173</v>
      </c>
      <c r="O75" s="190"/>
      <c r="P75" s="166" t="s">
        <v>7</v>
      </c>
      <c r="Q75" s="312"/>
      <c r="R75" s="294"/>
      <c r="S75" s="172" t="str">
        <f t="shared" si="1"/>
        <v/>
      </c>
      <c r="T75" s="156">
        <v>0</v>
      </c>
      <c r="U75" s="262"/>
      <c r="V75" s="169" t="s">
        <v>123</v>
      </c>
      <c r="W75" s="167"/>
      <c r="X75" s="177" t="s">
        <v>563</v>
      </c>
      <c r="Y75" s="697"/>
      <c r="Z75" s="118">
        <v>7</v>
      </c>
      <c r="AA75" s="158" t="s">
        <v>24</v>
      </c>
      <c r="AB75" s="159" t="s">
        <v>24</v>
      </c>
      <c r="AC75" s="159" t="s">
        <v>24</v>
      </c>
      <c r="AD75" s="159" t="s">
        <v>24</v>
      </c>
      <c r="AE75" s="160" t="s">
        <v>24</v>
      </c>
      <c r="AF75" s="546">
        <f t="shared" si="2"/>
        <v>0</v>
      </c>
    </row>
    <row r="76" spans="1:33">
      <c r="A76" s="72"/>
      <c r="B76" s="72"/>
      <c r="C76" s="72"/>
      <c r="D76" s="72"/>
      <c r="E76" s="72"/>
      <c r="F76" s="72"/>
      <c r="G76" s="72"/>
      <c r="H76" s="72"/>
      <c r="I76" s="72"/>
      <c r="J76" s="163" t="s">
        <v>100</v>
      </c>
      <c r="K76" s="164"/>
      <c r="L76" s="168" t="s">
        <v>571</v>
      </c>
      <c r="M76" s="312"/>
      <c r="N76" s="176" t="s">
        <v>110</v>
      </c>
      <c r="O76" s="167"/>
      <c r="P76" s="166" t="s">
        <v>102</v>
      </c>
      <c r="Q76" s="312"/>
      <c r="R76" s="294"/>
      <c r="S76" s="172" t="str">
        <f t="shared" si="1"/>
        <v/>
      </c>
      <c r="T76" s="156">
        <v>0</v>
      </c>
      <c r="U76" s="262"/>
      <c r="V76" s="169" t="s">
        <v>124</v>
      </c>
      <c r="W76" s="167"/>
      <c r="X76" s="177" t="s">
        <v>576</v>
      </c>
      <c r="Y76" s="697"/>
      <c r="Z76" s="118">
        <v>8</v>
      </c>
      <c r="AA76" s="158" t="s">
        <v>24</v>
      </c>
      <c r="AB76" s="159" t="s">
        <v>24</v>
      </c>
      <c r="AC76" s="159" t="s">
        <v>24</v>
      </c>
      <c r="AD76" s="159" t="s">
        <v>24</v>
      </c>
      <c r="AE76" s="160" t="s">
        <v>24</v>
      </c>
      <c r="AF76" s="546">
        <f t="shared" si="2"/>
        <v>0</v>
      </c>
    </row>
    <row r="77" spans="1:33">
      <c r="A77" s="72"/>
      <c r="B77" s="72"/>
      <c r="C77" s="72"/>
      <c r="D77" s="72"/>
      <c r="E77" s="72"/>
      <c r="F77" s="72"/>
      <c r="G77" s="72"/>
      <c r="H77" s="72"/>
      <c r="I77" s="72"/>
      <c r="J77" s="163" t="s">
        <v>105</v>
      </c>
      <c r="K77" s="164"/>
      <c r="L77" s="168" t="s">
        <v>337</v>
      </c>
      <c r="M77" s="312"/>
      <c r="N77" s="176" t="s">
        <v>72</v>
      </c>
      <c r="O77" s="176"/>
      <c r="P77" s="145">
        <v>0</v>
      </c>
      <c r="Q77" s="312"/>
      <c r="R77" s="294"/>
      <c r="S77" s="172" t="str">
        <f t="shared" si="1"/>
        <v/>
      </c>
      <c r="T77" s="156">
        <v>0</v>
      </c>
      <c r="U77" s="262"/>
      <c r="V77" s="169" t="s">
        <v>125</v>
      </c>
      <c r="W77" s="167"/>
      <c r="X77" s="177" t="s">
        <v>577</v>
      </c>
      <c r="Y77" s="697"/>
      <c r="Z77" s="118">
        <v>9</v>
      </c>
      <c r="AA77" s="158" t="s">
        <v>24</v>
      </c>
      <c r="AB77" s="159" t="s">
        <v>24</v>
      </c>
      <c r="AC77" s="159" t="s">
        <v>24</v>
      </c>
      <c r="AD77" s="159" t="s">
        <v>24</v>
      </c>
      <c r="AE77" s="160" t="s">
        <v>24</v>
      </c>
      <c r="AF77" s="546">
        <f t="shared" si="2"/>
        <v>0</v>
      </c>
    </row>
    <row r="78" spans="1:33" ht="13.5" thickBot="1">
      <c r="A78" s="72"/>
      <c r="B78" s="72"/>
      <c r="C78" s="72"/>
      <c r="D78" s="72"/>
      <c r="E78" s="72"/>
      <c r="F78" s="72"/>
      <c r="G78" s="72"/>
      <c r="H78" s="72"/>
      <c r="I78" s="72"/>
      <c r="J78" s="163" t="s">
        <v>106</v>
      </c>
      <c r="K78" s="164"/>
      <c r="L78" s="168" t="s">
        <v>337</v>
      </c>
      <c r="M78" s="476"/>
      <c r="N78" s="191" t="s">
        <v>73</v>
      </c>
      <c r="O78" s="191"/>
      <c r="P78" s="187">
        <v>6</v>
      </c>
      <c r="Q78" s="312"/>
      <c r="R78" s="294"/>
      <c r="S78" s="172" t="str">
        <f t="shared" si="1"/>
        <v/>
      </c>
      <c r="T78" s="156">
        <v>0</v>
      </c>
      <c r="U78" s="262"/>
      <c r="V78" s="169" t="s">
        <v>126</v>
      </c>
      <c r="W78" s="167"/>
      <c r="X78" s="177" t="s">
        <v>129</v>
      </c>
      <c r="Y78" s="697"/>
      <c r="Z78" s="517">
        <v>10</v>
      </c>
      <c r="AA78" s="193" t="s">
        <v>24</v>
      </c>
      <c r="AB78" s="194" t="s">
        <v>24</v>
      </c>
      <c r="AC78" s="194" t="s">
        <v>24</v>
      </c>
      <c r="AD78" s="194" t="s">
        <v>24</v>
      </c>
      <c r="AE78" s="195" t="s">
        <v>24</v>
      </c>
      <c r="AF78" s="547">
        <f t="shared" si="2"/>
        <v>0</v>
      </c>
    </row>
    <row r="79" spans="1:33" ht="13.5" thickBot="1">
      <c r="A79" s="72"/>
      <c r="B79" s="72"/>
      <c r="C79" s="72"/>
      <c r="D79" s="72"/>
      <c r="E79" s="72"/>
      <c r="F79" s="72"/>
      <c r="G79" s="72"/>
      <c r="H79" s="72"/>
      <c r="I79" s="72"/>
      <c r="J79" s="163" t="s">
        <v>107</v>
      </c>
      <c r="K79" s="164"/>
      <c r="L79" s="168" t="s">
        <v>102</v>
      </c>
      <c r="M79" s="312"/>
      <c r="N79" s="737" t="s">
        <v>360</v>
      </c>
      <c r="O79" s="738"/>
      <c r="P79" s="739"/>
      <c r="Q79" s="312"/>
      <c r="R79" s="294"/>
      <c r="S79" s="172" t="str">
        <f t="shared" si="1"/>
        <v/>
      </c>
      <c r="T79" s="156">
        <v>0</v>
      </c>
      <c r="U79" s="262"/>
      <c r="V79" s="169" t="s">
        <v>348</v>
      </c>
      <c r="W79" s="167"/>
      <c r="X79" s="177" t="s">
        <v>349</v>
      </c>
      <c r="Y79" s="697"/>
      <c r="Z79" s="490" t="s">
        <v>284</v>
      </c>
      <c r="AA79" s="119" t="s">
        <v>164</v>
      </c>
      <c r="AB79" s="119" t="s">
        <v>167</v>
      </c>
      <c r="AC79" s="119" t="s">
        <v>168</v>
      </c>
      <c r="AD79" s="119" t="s">
        <v>169</v>
      </c>
      <c r="AE79" s="120" t="s">
        <v>12</v>
      </c>
      <c r="AF79" s="544" t="s">
        <v>166</v>
      </c>
      <c r="AG79" s="119" t="s">
        <v>584</v>
      </c>
    </row>
    <row r="80" spans="1:33">
      <c r="A80" s="72"/>
      <c r="B80" s="72"/>
      <c r="C80" s="72"/>
      <c r="D80" s="72"/>
      <c r="E80" s="72"/>
      <c r="F80" s="72"/>
      <c r="G80" s="72"/>
      <c r="H80" s="72"/>
      <c r="I80" s="72"/>
      <c r="J80" s="143" t="s">
        <v>190</v>
      </c>
      <c r="K80" s="107"/>
      <c r="L80" s="146" t="s">
        <v>102</v>
      </c>
      <c r="M80" s="312"/>
      <c r="N80" s="164" t="s">
        <v>61</v>
      </c>
      <c r="O80" s="167"/>
      <c r="P80" s="177" t="s">
        <v>10</v>
      </c>
      <c r="Q80" s="312"/>
      <c r="R80" s="294"/>
      <c r="S80" s="172" t="str">
        <f t="shared" si="1"/>
        <v/>
      </c>
      <c r="T80" s="156">
        <v>0</v>
      </c>
      <c r="U80" s="262"/>
      <c r="V80" s="143" t="s">
        <v>375</v>
      </c>
      <c r="W80" s="176"/>
      <c r="X80" s="177" t="s">
        <v>409</v>
      </c>
      <c r="Y80" s="697"/>
      <c r="Z80" s="151">
        <v>1</v>
      </c>
      <c r="AA80" s="152" t="s">
        <v>24</v>
      </c>
      <c r="AB80" s="153" t="s">
        <v>24</v>
      </c>
      <c r="AC80" s="153" t="s">
        <v>171</v>
      </c>
      <c r="AD80" s="153" t="s">
        <v>24</v>
      </c>
      <c r="AE80" s="154" t="s">
        <v>24</v>
      </c>
      <c r="AF80" s="545">
        <f t="shared" ref="AF80:AF89" si="3">IF(AA80="LOW",1,IF(AA80="HIGH",2,0))+IF(AB80="LOW",4,IF(AB80="HIGH",8,0))+IF(AC80="LOW",16,IF(AC80="HIGH",32,0))+IF(AD80="LOW",64,IF(AD80="HIGH",128,0))+IF(AE80="HIGH",256,0)</f>
        <v>16</v>
      </c>
    </row>
    <row r="81" spans="1:32">
      <c r="A81" s="72"/>
      <c r="B81" s="72"/>
      <c r="C81" s="72"/>
      <c r="D81" s="72"/>
      <c r="E81" s="72"/>
      <c r="F81" s="72"/>
      <c r="G81" s="72"/>
      <c r="H81" s="72"/>
      <c r="I81" s="72"/>
      <c r="J81" s="163" t="s">
        <v>404</v>
      </c>
      <c r="K81" s="107"/>
      <c r="L81" s="168" t="s">
        <v>10</v>
      </c>
      <c r="M81" s="312"/>
      <c r="N81" s="164" t="s">
        <v>8</v>
      </c>
      <c r="O81" s="167"/>
      <c r="P81" s="168" t="s">
        <v>10</v>
      </c>
      <c r="Q81" s="312"/>
      <c r="R81" s="294"/>
      <c r="S81" s="172" t="str">
        <f t="shared" si="1"/>
        <v/>
      </c>
      <c r="T81" s="156">
        <v>0</v>
      </c>
      <c r="U81" s="262"/>
      <c r="V81" s="169" t="s">
        <v>374</v>
      </c>
      <c r="W81" s="167"/>
      <c r="X81" s="177" t="s">
        <v>409</v>
      </c>
      <c r="Y81" s="697"/>
      <c r="Z81" s="118">
        <v>2</v>
      </c>
      <c r="AA81" s="158" t="s">
        <v>171</v>
      </c>
      <c r="AB81" s="159" t="s">
        <v>171</v>
      </c>
      <c r="AC81" s="159" t="s">
        <v>24</v>
      </c>
      <c r="AD81" s="159" t="s">
        <v>24</v>
      </c>
      <c r="AE81" s="160" t="s">
        <v>24</v>
      </c>
      <c r="AF81" s="546">
        <f t="shared" si="3"/>
        <v>5</v>
      </c>
    </row>
    <row r="82" spans="1:32">
      <c r="A82" s="72"/>
      <c r="B82" s="72"/>
      <c r="C82" s="72"/>
      <c r="D82" s="72"/>
      <c r="E82" s="72"/>
      <c r="F82" s="72"/>
      <c r="G82" s="72"/>
      <c r="H82" s="72"/>
      <c r="I82" s="72"/>
      <c r="J82" s="163" t="s">
        <v>104</v>
      </c>
      <c r="K82" s="197"/>
      <c r="L82" s="168" t="s">
        <v>108</v>
      </c>
      <c r="M82" s="312"/>
      <c r="N82" s="164" t="s">
        <v>356</v>
      </c>
      <c r="O82" s="167"/>
      <c r="P82" s="177" t="s">
        <v>10</v>
      </c>
      <c r="Q82" s="476"/>
      <c r="R82" s="294"/>
      <c r="S82" s="172" t="str">
        <f t="shared" si="1"/>
        <v/>
      </c>
      <c r="T82" s="156">
        <v>0</v>
      </c>
      <c r="U82" s="262"/>
      <c r="V82" s="169" t="s">
        <v>376</v>
      </c>
      <c r="W82" s="167"/>
      <c r="X82" s="177" t="s">
        <v>102</v>
      </c>
      <c r="Y82" s="697"/>
      <c r="Z82" s="118">
        <v>3</v>
      </c>
      <c r="AA82" s="158" t="s">
        <v>171</v>
      </c>
      <c r="AB82" s="159" t="s">
        <v>171</v>
      </c>
      <c r="AC82" s="159" t="s">
        <v>171</v>
      </c>
      <c r="AD82" s="159" t="s">
        <v>24</v>
      </c>
      <c r="AE82" s="160" t="s">
        <v>24</v>
      </c>
      <c r="AF82" s="546">
        <f t="shared" si="3"/>
        <v>21</v>
      </c>
    </row>
    <row r="83" spans="1:32" ht="13.5" thickBot="1">
      <c r="A83" s="72"/>
      <c r="B83" s="72"/>
      <c r="C83" s="72"/>
      <c r="D83" s="72"/>
      <c r="E83" s="72"/>
      <c r="F83" s="72"/>
      <c r="G83" s="72"/>
      <c r="H83" s="72"/>
      <c r="I83" s="72"/>
      <c r="J83" s="163" t="s">
        <v>111</v>
      </c>
      <c r="K83" s="107"/>
      <c r="L83" s="168" t="s">
        <v>102</v>
      </c>
      <c r="M83" s="312"/>
      <c r="N83" s="479" t="s">
        <v>71</v>
      </c>
      <c r="O83" s="167"/>
      <c r="P83" s="177" t="s">
        <v>9</v>
      </c>
      <c r="Q83" s="312"/>
      <c r="R83" s="294"/>
      <c r="S83" s="172" t="str">
        <f t="shared" si="1"/>
        <v/>
      </c>
      <c r="T83" s="156">
        <v>0</v>
      </c>
      <c r="U83" s="192"/>
      <c r="V83" s="178" t="str">
        <f>IF(OR($L$87 ="BG",$L$87 ="Bullfrog"), "StatusLightFading","--")</f>
        <v>--</v>
      </c>
      <c r="W83" s="186"/>
      <c r="X83" s="188" t="s">
        <v>102</v>
      </c>
      <c r="Y83" s="697"/>
      <c r="Z83" s="118">
        <v>4</v>
      </c>
      <c r="AA83" s="158" t="s">
        <v>172</v>
      </c>
      <c r="AB83" s="159" t="s">
        <v>172</v>
      </c>
      <c r="AC83" s="159" t="s">
        <v>24</v>
      </c>
      <c r="AD83" s="159" t="s">
        <v>24</v>
      </c>
      <c r="AE83" s="160" t="s">
        <v>24</v>
      </c>
      <c r="AF83" s="546">
        <f t="shared" si="3"/>
        <v>10</v>
      </c>
    </row>
    <row r="84" spans="1:32" ht="13.5" thickBot="1">
      <c r="A84" s="72"/>
      <c r="B84" s="72"/>
      <c r="C84" s="72"/>
      <c r="D84" s="72"/>
      <c r="E84" s="72"/>
      <c r="F84" s="72"/>
      <c r="G84" s="72"/>
      <c r="H84" s="72"/>
      <c r="I84" s="72"/>
      <c r="J84" s="163" t="s">
        <v>188</v>
      </c>
      <c r="K84" s="107"/>
      <c r="L84" s="168" t="s">
        <v>189</v>
      </c>
      <c r="M84" s="312"/>
      <c r="N84" s="163" t="s">
        <v>353</v>
      </c>
      <c r="O84" s="107"/>
      <c r="P84" s="168" t="s">
        <v>10</v>
      </c>
      <c r="Q84" s="312"/>
      <c r="R84" s="294"/>
      <c r="S84" s="172" t="str">
        <f t="shared" si="1"/>
        <v/>
      </c>
      <c r="T84" s="156">
        <v>0</v>
      </c>
      <c r="U84" s="192"/>
      <c r="V84" s="734" t="s">
        <v>209</v>
      </c>
      <c r="W84" s="735"/>
      <c r="X84" s="736"/>
      <c r="Y84" s="698"/>
      <c r="Z84" s="118">
        <v>5</v>
      </c>
      <c r="AA84" s="158" t="s">
        <v>172</v>
      </c>
      <c r="AB84" s="159" t="s">
        <v>172</v>
      </c>
      <c r="AC84" s="159" t="s">
        <v>171</v>
      </c>
      <c r="AD84" s="159" t="s">
        <v>24</v>
      </c>
      <c r="AE84" s="160" t="s">
        <v>24</v>
      </c>
      <c r="AF84" s="546">
        <f t="shared" si="3"/>
        <v>26</v>
      </c>
    </row>
    <row r="85" spans="1:32" ht="13.5" thickBot="1">
      <c r="A85" s="72"/>
      <c r="B85" s="72"/>
      <c r="C85" s="72"/>
      <c r="D85" s="72"/>
      <c r="E85" s="72"/>
      <c r="F85" s="72"/>
      <c r="G85" s="72"/>
      <c r="H85" s="72"/>
      <c r="I85" s="72"/>
      <c r="J85" s="163" t="s">
        <v>385</v>
      </c>
      <c r="K85" s="107"/>
      <c r="L85" s="168" t="s">
        <v>10</v>
      </c>
      <c r="M85" s="312"/>
      <c r="N85" s="164" t="s">
        <v>355</v>
      </c>
      <c r="O85" s="167"/>
      <c r="P85" s="168" t="s">
        <v>354</v>
      </c>
      <c r="Q85" s="312"/>
      <c r="R85" s="294"/>
      <c r="S85" s="172" t="str">
        <f t="shared" si="1"/>
        <v/>
      </c>
      <c r="T85" s="156">
        <v>0</v>
      </c>
      <c r="U85" s="192"/>
      <c r="V85" s="183" t="s">
        <v>204</v>
      </c>
      <c r="W85" s="184"/>
      <c r="X85" s="704" t="s">
        <v>191</v>
      </c>
      <c r="Y85" s="699"/>
      <c r="Z85" s="118">
        <v>6</v>
      </c>
      <c r="AA85" s="158" t="s">
        <v>172</v>
      </c>
      <c r="AB85" s="159" t="s">
        <v>172</v>
      </c>
      <c r="AC85" s="159" t="s">
        <v>172</v>
      </c>
      <c r="AD85" s="159" t="s">
        <v>24</v>
      </c>
      <c r="AE85" s="160" t="s">
        <v>24</v>
      </c>
      <c r="AF85" s="546">
        <f t="shared" si="3"/>
        <v>42</v>
      </c>
    </row>
    <row r="86" spans="1:32" ht="13.5" thickBot="1">
      <c r="A86" s="72"/>
      <c r="B86" s="72"/>
      <c r="C86" s="72"/>
      <c r="D86" s="72"/>
      <c r="E86" s="72"/>
      <c r="F86" s="72"/>
      <c r="G86" s="72"/>
      <c r="H86" s="72"/>
      <c r="I86" s="72"/>
      <c r="J86" s="777" t="s">
        <v>85</v>
      </c>
      <c r="K86" s="778"/>
      <c r="L86" s="779"/>
      <c r="M86" s="312"/>
      <c r="N86" s="164"/>
      <c r="O86" s="167"/>
      <c r="P86" s="168"/>
      <c r="Q86" s="312"/>
      <c r="R86" s="294"/>
      <c r="S86" s="172"/>
      <c r="T86" s="156">
        <v>0</v>
      </c>
      <c r="U86" s="192"/>
      <c r="V86" s="169" t="s">
        <v>252</v>
      </c>
      <c r="W86" s="167"/>
      <c r="X86" s="705">
        <v>0</v>
      </c>
      <c r="Y86" s="700"/>
      <c r="Z86" s="118">
        <v>7</v>
      </c>
      <c r="AA86" s="158" t="s">
        <v>24</v>
      </c>
      <c r="AB86" s="159" t="s">
        <v>24</v>
      </c>
      <c r="AC86" s="159" t="s">
        <v>24</v>
      </c>
      <c r="AD86" s="159" t="s">
        <v>24</v>
      </c>
      <c r="AE86" s="160" t="s">
        <v>24</v>
      </c>
      <c r="AF86" s="546">
        <f t="shared" si="3"/>
        <v>0</v>
      </c>
    </row>
    <row r="87" spans="1:32" ht="13.5" thickBot="1">
      <c r="A87" s="72"/>
      <c r="B87" s="72"/>
      <c r="C87" s="72"/>
      <c r="D87" s="72"/>
      <c r="E87" s="72"/>
      <c r="F87" s="72"/>
      <c r="G87" s="72"/>
      <c r="H87" s="72"/>
      <c r="I87" s="72"/>
      <c r="J87" s="183" t="s">
        <v>362</v>
      </c>
      <c r="K87" s="491"/>
      <c r="L87" s="722" t="s">
        <v>572</v>
      </c>
      <c r="M87" s="312"/>
      <c r="N87" s="174"/>
      <c r="O87" s="167"/>
      <c r="P87" s="168"/>
      <c r="Q87" s="312"/>
      <c r="R87" s="294"/>
      <c r="S87" s="172"/>
      <c r="T87" s="156">
        <v>0</v>
      </c>
      <c r="U87" s="192"/>
      <c r="V87" s="169" t="s">
        <v>205</v>
      </c>
      <c r="W87" s="167"/>
      <c r="X87" s="156" t="s">
        <v>206</v>
      </c>
      <c r="Y87" s="701"/>
      <c r="Z87" s="118">
        <v>8</v>
      </c>
      <c r="AA87" s="158" t="s">
        <v>24</v>
      </c>
      <c r="AB87" s="159" t="s">
        <v>24</v>
      </c>
      <c r="AC87" s="159" t="s">
        <v>24</v>
      </c>
      <c r="AD87" s="159" t="s">
        <v>24</v>
      </c>
      <c r="AE87" s="160" t="s">
        <v>24</v>
      </c>
      <c r="AF87" s="546">
        <f t="shared" si="3"/>
        <v>0</v>
      </c>
    </row>
    <row r="88" spans="1:32" ht="15" thickBot="1">
      <c r="A88" s="72"/>
      <c r="B88" s="72"/>
      <c r="C88" s="72"/>
      <c r="D88" s="72"/>
      <c r="E88" s="72"/>
      <c r="F88" s="72"/>
      <c r="G88" s="72"/>
      <c r="H88" s="72"/>
      <c r="I88" s="72"/>
      <c r="J88" s="163" t="s">
        <v>412</v>
      </c>
      <c r="K88" s="493"/>
      <c r="L88" s="619"/>
      <c r="M88" s="312"/>
      <c r="N88" s="737" t="s">
        <v>62</v>
      </c>
      <c r="O88" s="738"/>
      <c r="P88" s="739"/>
      <c r="Q88" s="312"/>
      <c r="R88" s="295" t="s">
        <v>286</v>
      </c>
      <c r="S88" s="198" t="s">
        <v>288</v>
      </c>
      <c r="T88" s="199">
        <v>0</v>
      </c>
      <c r="U88" s="192"/>
      <c r="V88" s="178" t="s">
        <v>208</v>
      </c>
      <c r="W88" s="186"/>
      <c r="X88" s="706" t="str">
        <f>'Supply Attribution'!$G$21</f>
        <v>F1</v>
      </c>
      <c r="Y88" s="701"/>
      <c r="Z88" s="118">
        <v>9</v>
      </c>
      <c r="AA88" s="158" t="s">
        <v>24</v>
      </c>
      <c r="AB88" s="159" t="s">
        <v>24</v>
      </c>
      <c r="AC88" s="159" t="s">
        <v>24</v>
      </c>
      <c r="AD88" s="159" t="s">
        <v>24</v>
      </c>
      <c r="AE88" s="160" t="s">
        <v>24</v>
      </c>
      <c r="AF88" s="546">
        <f t="shared" si="3"/>
        <v>0</v>
      </c>
    </row>
    <row r="89" spans="1:32" ht="15" thickBot="1">
      <c r="A89" s="72"/>
      <c r="B89" s="72"/>
      <c r="C89" s="72"/>
      <c r="D89" s="72"/>
      <c r="E89" s="72"/>
      <c r="F89" s="72"/>
      <c r="G89" s="72"/>
      <c r="H89" s="72"/>
      <c r="I89" s="72"/>
      <c r="J89" s="557" t="s">
        <v>413</v>
      </c>
      <c r="K89" s="493"/>
      <c r="L89" s="620"/>
      <c r="M89" s="312"/>
      <c r="N89" s="163" t="s">
        <v>67</v>
      </c>
      <c r="O89" s="200"/>
      <c r="P89" s="166" t="s">
        <v>64</v>
      </c>
      <c r="Q89" s="312"/>
      <c r="R89" s="295" t="s">
        <v>287</v>
      </c>
      <c r="S89" s="198" t="s">
        <v>288</v>
      </c>
      <c r="T89" s="201">
        <v>0</v>
      </c>
      <c r="U89" s="192"/>
      <c r="V89" s="777" t="s">
        <v>361</v>
      </c>
      <c r="W89" s="778"/>
      <c r="X89" s="779"/>
      <c r="Y89" s="702"/>
      <c r="Z89" s="517">
        <v>10</v>
      </c>
      <c r="AA89" s="193" t="s">
        <v>24</v>
      </c>
      <c r="AB89" s="194" t="s">
        <v>24</v>
      </c>
      <c r="AC89" s="194" t="s">
        <v>24</v>
      </c>
      <c r="AD89" s="194" t="s">
        <v>24</v>
      </c>
      <c r="AE89" s="195" t="s">
        <v>24</v>
      </c>
      <c r="AF89" s="547">
        <f t="shared" si="3"/>
        <v>0</v>
      </c>
    </row>
    <row r="90" spans="1:32" ht="13.5" thickBot="1">
      <c r="A90" s="72"/>
      <c r="B90" s="72"/>
      <c r="C90" s="72"/>
      <c r="D90" s="72"/>
      <c r="E90" s="72"/>
      <c r="F90" s="72"/>
      <c r="G90" s="72"/>
      <c r="H90" s="72"/>
      <c r="I90" s="72"/>
      <c r="J90" s="558" t="s">
        <v>223</v>
      </c>
      <c r="K90" s="494"/>
      <c r="L90" s="495"/>
      <c r="M90" s="312"/>
      <c r="N90" s="178" t="s">
        <v>66</v>
      </c>
      <c r="O90" s="191"/>
      <c r="P90" s="202" t="s">
        <v>65</v>
      </c>
      <c r="Q90" s="312"/>
      <c r="R90" s="203" t="str">
        <f>CONCATENATE("Heater (",ROUND(T90/IF(K6="CE",250,241),0)," A)")</f>
        <v>Heater (17 A)</v>
      </c>
      <c r="S90" s="316" t="str">
        <f>CONCATENATE(ROUND(ROUND(T90/IF(K6="UL",241,250),0)/IF(AND(K6="UL",T60&lt;=20),2,1),0)," A (",'Supply Attribution'!G20,")")</f>
        <v>17 A (Line1)</v>
      </c>
      <c r="T90" s="315">
        <v>4000</v>
      </c>
      <c r="U90" s="192"/>
      <c r="V90" s="640"/>
      <c r="W90" s="641"/>
      <c r="X90" s="642"/>
      <c r="Y90" s="703"/>
      <c r="Z90" s="517"/>
      <c r="AA90" s="522"/>
      <c r="AB90" s="262"/>
      <c r="AC90" s="262"/>
      <c r="AD90" s="262"/>
      <c r="AE90" s="262"/>
      <c r="AF90" s="543"/>
    </row>
    <row r="91" spans="1:32" ht="13.5" thickBot="1">
      <c r="A91" s="72"/>
      <c r="B91" s="72"/>
      <c r="C91" s="72"/>
      <c r="D91" s="72"/>
      <c r="E91" s="72"/>
      <c r="F91" s="72"/>
      <c r="G91" s="72"/>
      <c r="H91" s="72"/>
      <c r="I91" s="72"/>
      <c r="J91" s="712"/>
      <c r="K91" s="262"/>
      <c r="L91" s="262"/>
      <c r="M91" s="262"/>
      <c r="N91" s="711"/>
      <c r="O91" s="262"/>
      <c r="P91" s="262"/>
      <c r="Q91" s="262"/>
      <c r="R91" s="728" t="s">
        <v>556</v>
      </c>
      <c r="S91" s="729"/>
      <c r="T91" s="730"/>
      <c r="U91" s="262"/>
      <c r="V91" s="710"/>
      <c r="W91" s="262"/>
      <c r="X91" s="262"/>
      <c r="Y91" s="262"/>
      <c r="Z91" s="262"/>
      <c r="AA91" s="262"/>
      <c r="AB91" s="262"/>
      <c r="AC91" s="262"/>
      <c r="AD91" s="262"/>
      <c r="AE91" s="262"/>
    </row>
    <row r="92" spans="1:32">
      <c r="A92" s="72"/>
      <c r="B92" s="72"/>
      <c r="C92" s="72"/>
      <c r="D92" s="72"/>
      <c r="E92" s="72"/>
      <c r="F92" s="72"/>
      <c r="G92" s="72"/>
      <c r="H92" s="72"/>
      <c r="I92" s="72"/>
      <c r="J92" s="712"/>
      <c r="K92" s="262"/>
      <c r="L92" s="262"/>
      <c r="M92" s="262"/>
      <c r="N92" s="262"/>
      <c r="O92" s="262"/>
      <c r="P92" s="262"/>
      <c r="Q92" s="262"/>
      <c r="R92" s="515" t="s">
        <v>557</v>
      </c>
      <c r="S92" s="107"/>
      <c r="T92" s="146" t="s">
        <v>558</v>
      </c>
      <c r="U92" s="262"/>
      <c r="V92" s="710"/>
      <c r="W92" s="262"/>
      <c r="X92" s="262"/>
      <c r="Y92" s="262"/>
      <c r="Z92" s="262"/>
      <c r="AA92" s="262"/>
      <c r="AB92" s="262"/>
      <c r="AC92" s="262"/>
      <c r="AD92" s="262"/>
      <c r="AE92" s="262"/>
    </row>
    <row r="93" spans="1:32">
      <c r="A93" s="72"/>
      <c r="B93" s="72"/>
      <c r="C93" s="72"/>
      <c r="D93" s="72"/>
      <c r="E93" s="72"/>
      <c r="F93" s="72"/>
      <c r="G93" s="72"/>
      <c r="H93" s="72"/>
      <c r="I93" s="72"/>
      <c r="J93" s="712"/>
      <c r="K93" s="262"/>
      <c r="L93" s="262"/>
      <c r="M93" s="262"/>
      <c r="N93" s="262"/>
      <c r="O93" s="262"/>
      <c r="P93" s="262"/>
      <c r="Q93" s="262"/>
      <c r="R93" s="515" t="s">
        <v>551</v>
      </c>
      <c r="S93" s="107"/>
      <c r="T93" s="146" t="s">
        <v>189</v>
      </c>
      <c r="U93" s="262"/>
      <c r="V93" s="710"/>
      <c r="W93" s="262"/>
      <c r="X93" s="262"/>
      <c r="Y93" s="262"/>
      <c r="Z93" s="262"/>
      <c r="AA93" s="262"/>
      <c r="AB93" s="262"/>
      <c r="AC93" s="262"/>
      <c r="AD93" s="262"/>
      <c r="AE93" s="262"/>
    </row>
    <row r="94" spans="1:32">
      <c r="A94" s="72"/>
      <c r="B94" s="72"/>
      <c r="C94" s="72"/>
      <c r="D94" s="72"/>
      <c r="E94" s="72"/>
      <c r="F94" s="72"/>
      <c r="G94" s="72"/>
      <c r="H94" s="72"/>
      <c r="I94" s="72"/>
      <c r="J94" s="712"/>
      <c r="K94" s="262"/>
      <c r="L94" s="262"/>
      <c r="M94" s="262"/>
      <c r="N94" s="262"/>
      <c r="O94" s="262"/>
      <c r="P94" s="262"/>
      <c r="Q94" s="262"/>
      <c r="R94" s="515" t="s">
        <v>552</v>
      </c>
      <c r="S94" s="107"/>
      <c r="T94" s="146" t="s">
        <v>189</v>
      </c>
      <c r="U94" s="262"/>
      <c r="V94" s="710"/>
      <c r="W94" s="262"/>
      <c r="X94" s="262"/>
      <c r="Y94" s="262"/>
      <c r="Z94" s="262"/>
      <c r="AA94" s="262"/>
      <c r="AB94" s="262"/>
      <c r="AC94" s="262"/>
      <c r="AD94" s="262"/>
      <c r="AE94" s="262"/>
    </row>
    <row r="95" spans="1:32">
      <c r="A95" s="72"/>
      <c r="B95" s="72"/>
      <c r="C95" s="72"/>
      <c r="D95" s="72"/>
      <c r="E95" s="72"/>
      <c r="F95" s="72"/>
      <c r="G95" s="72"/>
      <c r="H95" s="72"/>
      <c r="I95" s="72"/>
      <c r="J95" s="712"/>
      <c r="K95" s="262"/>
      <c r="L95" s="262"/>
      <c r="M95" s="262"/>
      <c r="N95" s="262"/>
      <c r="O95" s="262"/>
      <c r="P95" s="262"/>
      <c r="Q95" s="262"/>
      <c r="R95" s="515" t="s">
        <v>554</v>
      </c>
      <c r="S95" s="107"/>
      <c r="T95" s="146" t="s">
        <v>189</v>
      </c>
      <c r="U95" s="262"/>
      <c r="V95" s="710"/>
      <c r="W95" s="262"/>
      <c r="X95" s="262"/>
      <c r="Y95" s="262"/>
      <c r="Z95" s="262"/>
      <c r="AA95" s="262"/>
      <c r="AB95" s="262"/>
      <c r="AC95" s="262"/>
      <c r="AD95" s="262"/>
      <c r="AE95" s="262"/>
    </row>
    <row r="96" spans="1:32">
      <c r="A96" s="72"/>
      <c r="B96" s="72"/>
      <c r="C96" s="72"/>
      <c r="D96" s="72"/>
      <c r="E96" s="72"/>
      <c r="F96" s="72"/>
      <c r="G96" s="72"/>
      <c r="H96" s="72"/>
      <c r="I96" s="72"/>
      <c r="J96" s="712"/>
      <c r="K96" s="262"/>
      <c r="L96" s="262"/>
      <c r="M96" s="262"/>
      <c r="N96" s="262"/>
      <c r="O96" s="262"/>
      <c r="P96" s="262"/>
      <c r="Q96" s="262"/>
      <c r="R96" s="515" t="s">
        <v>553</v>
      </c>
      <c r="S96" s="107"/>
      <c r="T96" s="146" t="s">
        <v>189</v>
      </c>
      <c r="U96" s="262"/>
      <c r="V96" s="710"/>
      <c r="W96" s="262"/>
      <c r="X96" s="262"/>
      <c r="Y96" s="262"/>
      <c r="Z96" s="262"/>
      <c r="AA96" s="262"/>
      <c r="AB96" s="262"/>
      <c r="AC96" s="262"/>
      <c r="AD96" s="262"/>
      <c r="AE96" s="262"/>
    </row>
    <row r="97" spans="1:31">
      <c r="A97" s="72"/>
      <c r="B97" s="72"/>
      <c r="C97" s="72"/>
      <c r="D97" s="72"/>
      <c r="E97" s="72"/>
      <c r="F97" s="72"/>
      <c r="G97" s="72"/>
      <c r="H97" s="72"/>
      <c r="I97" s="72"/>
      <c r="J97" s="712"/>
      <c r="K97" s="262"/>
      <c r="L97" s="262"/>
      <c r="M97" s="262"/>
      <c r="N97" s="262"/>
      <c r="O97" s="262"/>
      <c r="P97" s="262"/>
      <c r="Q97" s="262"/>
      <c r="R97" s="515" t="s">
        <v>555</v>
      </c>
      <c r="S97" s="167"/>
      <c r="T97" s="146" t="s">
        <v>189</v>
      </c>
      <c r="U97" s="262"/>
      <c r="V97" s="710"/>
      <c r="W97" s="262"/>
      <c r="X97" s="262"/>
      <c r="Y97" s="262"/>
      <c r="Z97" s="262"/>
      <c r="AA97" s="262"/>
      <c r="AB97" s="262"/>
      <c r="AC97" s="262"/>
      <c r="AD97" s="262"/>
      <c r="AE97" s="262"/>
    </row>
    <row r="98" spans="1:31">
      <c r="A98" s="72"/>
      <c r="B98" s="72"/>
      <c r="C98" s="72"/>
      <c r="D98" s="72"/>
      <c r="E98" s="72"/>
      <c r="F98" s="72"/>
      <c r="G98" s="72"/>
      <c r="H98" s="72"/>
      <c r="I98" s="72"/>
      <c r="J98" s="712"/>
      <c r="K98" s="262"/>
      <c r="L98" s="262"/>
      <c r="M98" s="262"/>
      <c r="N98" s="262"/>
      <c r="O98" s="262"/>
      <c r="P98" s="262"/>
      <c r="Q98" s="262"/>
      <c r="R98" s="515" t="s">
        <v>559</v>
      </c>
      <c r="S98" s="107"/>
      <c r="T98" s="714">
        <v>0.05</v>
      </c>
      <c r="U98" s="262"/>
      <c r="V98" s="710"/>
      <c r="W98" s="262"/>
      <c r="X98" s="262"/>
      <c r="Y98" s="262"/>
      <c r="Z98" s="262"/>
      <c r="AA98" s="262"/>
      <c r="AB98" s="262"/>
      <c r="AC98" s="262"/>
      <c r="AD98" s="262"/>
      <c r="AE98" s="262"/>
    </row>
    <row r="99" spans="1:31" ht="13.5" thickBot="1">
      <c r="A99" s="72"/>
      <c r="B99" s="72"/>
      <c r="C99" s="72"/>
      <c r="D99" s="72"/>
      <c r="E99" s="72"/>
      <c r="F99" s="72"/>
      <c r="G99" s="72"/>
      <c r="H99" s="72"/>
      <c r="I99" s="72"/>
      <c r="J99" s="712"/>
      <c r="K99" s="262"/>
      <c r="L99" s="262"/>
      <c r="M99" s="262"/>
      <c r="N99" s="262"/>
      <c r="O99" s="262"/>
      <c r="P99" s="262"/>
      <c r="Q99" s="262"/>
      <c r="R99" s="516" t="s">
        <v>560</v>
      </c>
      <c r="S99" s="186"/>
      <c r="T99" s="715">
        <v>0.05</v>
      </c>
      <c r="U99" s="262"/>
      <c r="V99" s="710"/>
      <c r="W99" s="262"/>
      <c r="X99" s="262"/>
      <c r="Y99" s="262"/>
      <c r="Z99" s="262"/>
      <c r="AA99" s="262"/>
      <c r="AB99" s="262"/>
      <c r="AC99" s="262"/>
      <c r="AD99" s="262"/>
      <c r="AE99" s="262"/>
    </row>
    <row r="100" spans="1:31" ht="13.5" thickBot="1">
      <c r="A100" s="72"/>
      <c r="B100" s="72"/>
      <c r="C100" s="72"/>
      <c r="D100" s="72"/>
      <c r="E100" s="72"/>
      <c r="F100" s="72"/>
      <c r="G100" s="72"/>
      <c r="H100" s="72"/>
      <c r="I100" s="72"/>
      <c r="J100" s="713"/>
      <c r="K100" s="196"/>
      <c r="L100" s="196"/>
      <c r="M100" s="196"/>
      <c r="N100" s="196"/>
      <c r="O100" s="196"/>
      <c r="P100" s="196"/>
      <c r="Q100" s="196"/>
      <c r="R100" s="196"/>
      <c r="S100" s="196"/>
      <c r="T100" s="196"/>
      <c r="U100" s="196"/>
      <c r="V100" s="308"/>
      <c r="W100" s="196"/>
      <c r="X100" s="196"/>
      <c r="Y100" s="196"/>
      <c r="Z100" s="196"/>
      <c r="AA100" s="196"/>
      <c r="AB100" s="196"/>
      <c r="AC100" s="196"/>
      <c r="AD100" s="196"/>
      <c r="AE100" s="196"/>
    </row>
    <row r="101" spans="1:31" ht="13.5" thickBot="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72"/>
      <c r="AB101" s="72"/>
      <c r="AC101" s="72"/>
      <c r="AD101" s="78"/>
    </row>
    <row r="102" spans="1:31" ht="13.5" thickBot="1">
      <c r="A102" s="72"/>
      <c r="B102" s="72"/>
      <c r="C102" s="72"/>
      <c r="D102" s="72"/>
      <c r="E102" s="72"/>
      <c r="F102" s="72"/>
      <c r="G102" s="72"/>
      <c r="H102" s="72"/>
      <c r="I102" s="72"/>
      <c r="J102" s="205" t="s">
        <v>11</v>
      </c>
      <c r="K102" s="206"/>
      <c r="L102" s="206"/>
      <c r="M102" s="206"/>
      <c r="N102" s="206"/>
      <c r="O102" s="206"/>
      <c r="P102" s="206"/>
      <c r="Q102" s="206"/>
      <c r="R102" s="207"/>
      <c r="S102" s="208" t="s">
        <v>45</v>
      </c>
      <c r="T102" s="509" t="s">
        <v>46</v>
      </c>
      <c r="U102" s="510"/>
      <c r="V102" s="510"/>
      <c r="W102" s="510"/>
      <c r="X102" s="510"/>
      <c r="Y102" s="510"/>
      <c r="Z102" s="510"/>
      <c r="AA102" s="511"/>
      <c r="AB102" s="208" t="s">
        <v>2</v>
      </c>
      <c r="AC102" s="209" t="s">
        <v>47</v>
      </c>
      <c r="AD102" s="210"/>
    </row>
    <row r="103" spans="1:31">
      <c r="A103" s="72"/>
      <c r="B103" s="72"/>
      <c r="C103" s="72"/>
      <c r="D103" s="72"/>
      <c r="E103" s="72"/>
      <c r="F103" s="72"/>
      <c r="G103" s="72"/>
      <c r="H103" s="72"/>
      <c r="I103" s="72"/>
      <c r="J103" s="484"/>
      <c r="K103" s="485"/>
      <c r="L103" s="485"/>
      <c r="M103" s="485"/>
      <c r="N103" s="485"/>
      <c r="O103" s="485"/>
      <c r="P103" s="485"/>
      <c r="Q103" s="485"/>
      <c r="R103" s="486"/>
      <c r="S103" s="211"/>
      <c r="T103" s="506"/>
      <c r="U103" s="507"/>
      <c r="V103" s="507"/>
      <c r="W103" s="507"/>
      <c r="X103" s="507"/>
      <c r="Y103" s="507"/>
      <c r="Z103" s="507"/>
      <c r="AA103" s="508"/>
      <c r="AB103" s="212"/>
      <c r="AC103" s="213"/>
      <c r="AD103" s="78"/>
    </row>
    <row r="104" spans="1:31">
      <c r="A104" s="72"/>
      <c r="B104" s="72"/>
      <c r="C104" s="72"/>
      <c r="D104" s="72"/>
      <c r="E104" s="72"/>
      <c r="F104" s="72"/>
      <c r="G104" s="72"/>
      <c r="H104" s="72"/>
      <c r="I104" s="72"/>
      <c r="J104" s="481"/>
      <c r="K104" s="482"/>
      <c r="L104" s="482"/>
      <c r="M104" s="482"/>
      <c r="N104" s="482"/>
      <c r="O104" s="482"/>
      <c r="P104" s="482"/>
      <c r="Q104" s="482"/>
      <c r="R104" s="483"/>
      <c r="S104" s="214"/>
      <c r="T104" s="503"/>
      <c r="U104" s="504"/>
      <c r="V104" s="504"/>
      <c r="W104" s="504"/>
      <c r="X104" s="504"/>
      <c r="Y104" s="504"/>
      <c r="Z104" s="504"/>
      <c r="AA104" s="505"/>
      <c r="AB104" s="215"/>
      <c r="AC104" s="216"/>
      <c r="AD104" s="78"/>
    </row>
    <row r="105" spans="1:31">
      <c r="A105" s="72"/>
      <c r="B105" s="72"/>
      <c r="C105" s="72"/>
      <c r="D105" s="72"/>
      <c r="E105" s="72"/>
      <c r="F105" s="72"/>
      <c r="G105" s="72"/>
      <c r="H105" s="72"/>
      <c r="I105" s="72"/>
      <c r="J105" s="481"/>
      <c r="K105" s="524"/>
      <c r="L105" s="482"/>
      <c r="M105" s="482"/>
      <c r="N105" s="482"/>
      <c r="O105" s="482"/>
      <c r="P105" s="482"/>
      <c r="Q105" s="482"/>
      <c r="R105" s="483"/>
      <c r="S105" s="214"/>
      <c r="T105" s="503"/>
      <c r="U105" s="504"/>
      <c r="V105" s="504"/>
      <c r="W105" s="504"/>
      <c r="X105" s="504"/>
      <c r="Y105" s="504"/>
      <c r="Z105" s="504"/>
      <c r="AA105" s="505"/>
      <c r="AB105" s="215"/>
      <c r="AC105" s="216"/>
      <c r="AD105" s="78"/>
    </row>
    <row r="106" spans="1:31">
      <c r="A106" s="72"/>
      <c r="B106" s="72"/>
      <c r="C106" s="72"/>
      <c r="D106" s="72"/>
      <c r="E106" s="72"/>
      <c r="F106" s="72"/>
      <c r="G106" s="72"/>
      <c r="H106" s="72"/>
      <c r="I106" s="72"/>
      <c r="J106" s="481"/>
      <c r="K106" s="482"/>
      <c r="L106" s="482"/>
      <c r="M106" s="482"/>
      <c r="N106" s="482"/>
      <c r="O106" s="482"/>
      <c r="P106" s="482"/>
      <c r="Q106" s="482"/>
      <c r="R106" s="483"/>
      <c r="S106" s="214"/>
      <c r="T106" s="503"/>
      <c r="U106" s="504"/>
      <c r="V106" s="504"/>
      <c r="W106" s="504"/>
      <c r="X106" s="504"/>
      <c r="Y106" s="504"/>
      <c r="Z106" s="504"/>
      <c r="AA106" s="505"/>
      <c r="AB106" s="215"/>
      <c r="AC106" s="216"/>
      <c r="AD106" s="78"/>
    </row>
    <row r="107" spans="1:31" ht="13.5" thickBot="1">
      <c r="A107" s="72"/>
      <c r="B107" s="72"/>
      <c r="C107" s="72"/>
      <c r="D107" s="72"/>
      <c r="E107" s="72"/>
      <c r="F107" s="72"/>
      <c r="G107" s="72"/>
      <c r="H107" s="72"/>
      <c r="I107" s="72"/>
      <c r="J107" s="487"/>
      <c r="K107" s="488"/>
      <c r="L107" s="488"/>
      <c r="M107" s="488"/>
      <c r="N107" s="488"/>
      <c r="O107" s="488"/>
      <c r="P107" s="488"/>
      <c r="Q107" s="488"/>
      <c r="R107" s="489"/>
      <c r="S107" s="217"/>
      <c r="T107" s="512"/>
      <c r="U107" s="513"/>
      <c r="V107" s="513"/>
      <c r="W107" s="513"/>
      <c r="X107" s="513"/>
      <c r="Y107" s="513"/>
      <c r="Z107" s="513"/>
      <c r="AA107" s="514"/>
      <c r="AB107" s="218"/>
      <c r="AC107" s="219"/>
      <c r="AD107" s="78"/>
    </row>
    <row r="108" spans="1:31">
      <c r="A108" s="72"/>
      <c r="B108" s="72"/>
      <c r="C108" s="72"/>
      <c r="D108" s="72"/>
      <c r="E108" s="72"/>
      <c r="F108" s="72"/>
      <c r="G108" s="72"/>
      <c r="H108" s="72"/>
      <c r="I108" s="72"/>
      <c r="J108" s="220"/>
      <c r="K108" s="220"/>
      <c r="L108" s="220"/>
      <c r="M108" s="220"/>
      <c r="N108" s="220"/>
      <c r="O108" s="220"/>
      <c r="P108" s="220"/>
      <c r="Q108" s="220"/>
      <c r="R108" s="220"/>
      <c r="S108" s="72"/>
      <c r="T108" s="220"/>
      <c r="U108" s="220"/>
      <c r="V108" s="220"/>
      <c r="W108" s="220"/>
      <c r="X108" s="220"/>
      <c r="Y108" s="220"/>
      <c r="Z108" s="220"/>
      <c r="AA108" s="220"/>
      <c r="AB108" s="221"/>
      <c r="AC108" s="221"/>
      <c r="AD108" s="78"/>
    </row>
    <row r="109" spans="1:31">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72"/>
      <c r="AB109" s="72"/>
      <c r="AC109" s="72"/>
      <c r="AD109" s="78"/>
    </row>
    <row r="110" spans="1:31" ht="13.5" thickBot="1">
      <c r="A110" s="72"/>
      <c r="B110" s="72"/>
      <c r="C110" s="72"/>
      <c r="D110" s="72"/>
      <c r="E110" s="72"/>
      <c r="F110" s="72"/>
      <c r="G110" s="72"/>
      <c r="H110" s="72"/>
      <c r="I110" s="72"/>
      <c r="J110" s="222" t="s">
        <v>182</v>
      </c>
      <c r="K110" s="222"/>
      <c r="L110" s="222"/>
      <c r="M110" s="222"/>
      <c r="N110" s="222"/>
      <c r="O110" s="222"/>
      <c r="P110" s="222"/>
      <c r="Q110" s="222"/>
      <c r="R110" s="222"/>
      <c r="S110" s="222"/>
      <c r="T110" s="222"/>
      <c r="U110" s="222"/>
      <c r="V110" s="222"/>
      <c r="W110" s="222"/>
      <c r="X110" s="222"/>
      <c r="Y110" s="222"/>
      <c r="Z110" s="222"/>
      <c r="AA110" s="222"/>
      <c r="AB110" s="222"/>
      <c r="AC110" s="222"/>
      <c r="AD110" s="78"/>
    </row>
    <row r="111" spans="1:31">
      <c r="A111" s="72"/>
      <c r="B111" s="72"/>
      <c r="C111" s="72"/>
      <c r="D111" s="72"/>
      <c r="E111" s="72"/>
      <c r="F111" s="72"/>
      <c r="G111" s="72"/>
      <c r="H111" s="72"/>
      <c r="I111" s="72"/>
      <c r="J111" s="223"/>
      <c r="K111" s="224"/>
      <c r="L111" s="224"/>
      <c r="M111" s="224"/>
      <c r="N111" s="224"/>
      <c r="O111" s="224"/>
      <c r="P111" s="224"/>
      <c r="Q111" s="224"/>
      <c r="R111" s="224"/>
      <c r="S111" s="224"/>
      <c r="T111" s="224"/>
      <c r="U111" s="224"/>
      <c r="V111" s="224"/>
      <c r="W111" s="224"/>
      <c r="X111" s="224"/>
      <c r="Y111" s="224"/>
      <c r="Z111" s="224"/>
      <c r="AA111" s="224"/>
      <c r="AB111" s="224"/>
      <c r="AC111" s="225"/>
      <c r="AD111" s="78"/>
    </row>
    <row r="112" spans="1:31" ht="13.5" thickBot="1">
      <c r="A112" s="72"/>
      <c r="B112" s="72"/>
      <c r="C112" s="72"/>
      <c r="D112" s="72"/>
      <c r="E112" s="72"/>
      <c r="F112" s="72"/>
      <c r="G112" s="72"/>
      <c r="H112" s="72"/>
      <c r="I112" s="72"/>
      <c r="J112" s="226"/>
      <c r="K112" s="227"/>
      <c r="L112" s="227"/>
      <c r="M112" s="227"/>
      <c r="N112" s="227"/>
      <c r="O112" s="227"/>
      <c r="P112" s="220"/>
      <c r="Q112" s="220"/>
      <c r="R112" s="220"/>
      <c r="S112" s="782"/>
      <c r="T112" s="782"/>
      <c r="U112" s="220"/>
      <c r="V112" s="220"/>
      <c r="W112" s="220"/>
      <c r="X112" s="220"/>
      <c r="Y112" s="220"/>
      <c r="Z112" s="220"/>
      <c r="AA112" s="220"/>
      <c r="AB112" s="220"/>
      <c r="AC112" s="502"/>
      <c r="AD112" s="78"/>
    </row>
    <row r="113" spans="1:30" ht="13.5" thickBot="1">
      <c r="A113" s="72"/>
      <c r="B113" s="72"/>
      <c r="C113" s="72"/>
      <c r="D113" s="72"/>
      <c r="E113" s="72"/>
      <c r="F113" s="72"/>
      <c r="G113" s="72"/>
      <c r="H113" s="72"/>
      <c r="I113" s="72"/>
      <c r="J113" s="228" t="s">
        <v>1</v>
      </c>
      <c r="K113" s="92"/>
      <c r="L113" s="92"/>
      <c r="M113" s="92"/>
      <c r="N113" s="92"/>
      <c r="O113" s="92"/>
      <c r="P113" s="92"/>
      <c r="Q113" s="92"/>
      <c r="R113" s="92"/>
      <c r="S113" s="229" t="s">
        <v>2</v>
      </c>
      <c r="T113" s="92"/>
      <c r="U113" s="92"/>
      <c r="V113" s="92"/>
      <c r="W113" s="92"/>
      <c r="X113" s="92"/>
      <c r="Y113" s="92"/>
      <c r="Z113" s="92"/>
      <c r="AA113" s="92"/>
      <c r="AB113" s="92"/>
      <c r="AC113" s="139"/>
      <c r="AD113" s="78"/>
    </row>
    <row r="114" spans="1:30">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72"/>
      <c r="AB114" s="72"/>
      <c r="AC114" s="72"/>
      <c r="AD114" s="78"/>
    </row>
    <row r="115" spans="1:30">
      <c r="A115" s="230"/>
      <c r="B115" s="230"/>
      <c r="C115" s="230"/>
      <c r="D115" s="230"/>
      <c r="E115" s="230"/>
      <c r="F115" s="230"/>
      <c r="G115" s="230"/>
      <c r="H115" s="230"/>
      <c r="I115" s="230"/>
      <c r="J115" s="230"/>
      <c r="K115" s="230"/>
      <c r="L115" s="230"/>
      <c r="M115" s="230"/>
      <c r="N115" s="230"/>
      <c r="O115" s="230"/>
      <c r="P115" s="230"/>
      <c r="Q115" s="230"/>
      <c r="R115" s="230"/>
      <c r="S115" s="230"/>
      <c r="T115" s="230"/>
      <c r="U115" s="230"/>
      <c r="V115" s="230"/>
      <c r="W115" s="230"/>
      <c r="X115" s="230"/>
      <c r="Y115" s="230"/>
      <c r="Z115" s="230"/>
      <c r="AA115" s="230"/>
      <c r="AB115" s="230"/>
      <c r="AC115" s="230"/>
      <c r="AD115" s="231"/>
    </row>
  </sheetData>
  <dataConsolidate function="var">
    <dataRefs count="1">
      <dataRef ref="B10:B11" sheet="Config." r:id="rId1"/>
    </dataRefs>
  </dataConsolidate>
  <mergeCells count="50">
    <mergeCell ref="L5:M5"/>
    <mergeCell ref="L1:M1"/>
    <mergeCell ref="A2:I2"/>
    <mergeCell ref="L2:M2"/>
    <mergeCell ref="B4:H4"/>
    <mergeCell ref="J4:K4"/>
    <mergeCell ref="F12:I12"/>
    <mergeCell ref="J12:J13"/>
    <mergeCell ref="AE12:AE13"/>
    <mergeCell ref="F13:I13"/>
    <mergeCell ref="U5:X5"/>
    <mergeCell ref="B6:H6"/>
    <mergeCell ref="L6:M6"/>
    <mergeCell ref="D7:F8"/>
    <mergeCell ref="K7:N7"/>
    <mergeCell ref="P7:Q7"/>
    <mergeCell ref="R7:U7"/>
    <mergeCell ref="V7:Y7"/>
    <mergeCell ref="K8:N8"/>
    <mergeCell ref="R8:U8"/>
    <mergeCell ref="B5:F5"/>
    <mergeCell ref="G5:H5"/>
    <mergeCell ref="V8:Y8"/>
    <mergeCell ref="F10:I10"/>
    <mergeCell ref="J10:J11"/>
    <mergeCell ref="AE10:AE11"/>
    <mergeCell ref="F11:I11"/>
    <mergeCell ref="V64:X64"/>
    <mergeCell ref="Z67:AE67"/>
    <mergeCell ref="J70:L70"/>
    <mergeCell ref="A16:I16"/>
    <mergeCell ref="A17:I17"/>
    <mergeCell ref="C55:F55"/>
    <mergeCell ref="J55:AC56"/>
    <mergeCell ref="J57:L57"/>
    <mergeCell ref="N57:P57"/>
    <mergeCell ref="R57:T57"/>
    <mergeCell ref="V57:X57"/>
    <mergeCell ref="Y57:AA57"/>
    <mergeCell ref="J86:L86"/>
    <mergeCell ref="N88:P88"/>
    <mergeCell ref="J63:L63"/>
    <mergeCell ref="N63:P63"/>
    <mergeCell ref="R63:T63"/>
    <mergeCell ref="V89:X89"/>
    <mergeCell ref="R91:T91"/>
    <mergeCell ref="S112:T112"/>
    <mergeCell ref="N73:P73"/>
    <mergeCell ref="N79:P79"/>
    <mergeCell ref="V84:X84"/>
  </mergeCells>
  <conditionalFormatting sqref="A21:I53">
    <cfRule type="cellIs" dxfId="58" priority="23" operator="greaterThan">
      <formula>A$19</formula>
    </cfRule>
  </conditionalFormatting>
  <conditionalFormatting sqref="J6">
    <cfRule type="cellIs" dxfId="57" priority="42" operator="equal">
      <formula>"Not Set"</formula>
    </cfRule>
  </conditionalFormatting>
  <conditionalFormatting sqref="J20:J53">
    <cfRule type="expression" dxfId="56" priority="61">
      <formula>COUNT($J$20:$J$53)&gt;32</formula>
    </cfRule>
  </conditionalFormatting>
  <conditionalFormatting sqref="K7:N7">
    <cfRule type="duplicateValues" dxfId="55" priority="22"/>
  </conditionalFormatting>
  <conditionalFormatting sqref="K8:N8 R8:T8 V8:Y8">
    <cfRule type="expression" dxfId="54" priority="4">
      <formula>AND($L$6="AMP Block(s)", K$7 &lt;&gt;"--",K$8="--")</formula>
    </cfRule>
  </conditionalFormatting>
  <conditionalFormatting sqref="K8:N8">
    <cfRule type="expression" dxfId="53" priority="7">
      <formula>OR(AND(MID(K$8,1,1)="4",K$12="--"),AND(MID(K$8,1,1)&lt;&gt;"4",K$12&lt;&gt;"--"),AND(MID(K$8,3,1)="4",L$12="--"),AND(MID(K$8,3,1)&lt;&gt;"4",L$12&lt;&gt;"--"),AND(MID(K$8,5,1)="4",M$12="--"),AND(MID(K$8,5,1)&lt;&gt;"4",M$12&lt;&gt;"--"),AND(MID(K$8,7,1)="4",N$12="--"),AND(MID(K$8,7,1)&lt;&gt;"4",N$12&lt;&gt;"--"),AND(MID(K$8,1,1)="B",K$10&lt;&gt;"--"),AND(MID(K$8,1,1)&lt;&gt;"B",K$10="--"),AND(MID(K$8,3,1)="B",L$10&lt;&gt;"--"),AND(MID(K$8,3,1)&lt;&gt;"B",L$10="--"),AND(MID(K$8,5,1)="B",M$10&lt;&gt;"--"),AND(MID(K$8,5,1)&lt;&gt;"B",M$10="--"),AND(MID(K$8,7,1)="B",N$10&lt;&gt;"--"),AND(MID(K$8,7,1)&lt;&gt;"B",N$10="--"))</formula>
    </cfRule>
  </conditionalFormatting>
  <conditionalFormatting sqref="K7:O7">
    <cfRule type="expression" dxfId="52" priority="11">
      <formula>AND($L$6&lt;&gt;"AMP Block(s)")</formula>
    </cfRule>
  </conditionalFormatting>
  <conditionalFormatting sqref="K7:P7">
    <cfRule type="cellIs" dxfId="51" priority="12" operator="equal">
      <formula>"--"</formula>
    </cfRule>
  </conditionalFormatting>
  <conditionalFormatting sqref="K21:P40">
    <cfRule type="expression" dxfId="50" priority="2">
      <formula>AND(RIGHT(K21,3)="2sp",$O$6=TRUE)</formula>
    </cfRule>
  </conditionalFormatting>
  <conditionalFormatting sqref="K8:Q8">
    <cfRule type="expression" dxfId="49" priority="5">
      <formula>AND($L$6&lt;&gt;"AMP Block(s)")</formula>
    </cfRule>
    <cfRule type="cellIs" dxfId="48" priority="6" operator="equal">
      <formula>"--"</formula>
    </cfRule>
  </conditionalFormatting>
  <conditionalFormatting sqref="K9:Y17">
    <cfRule type="cellIs" dxfId="47" priority="54" operator="equal">
      <formula>"--"</formula>
    </cfRule>
  </conditionalFormatting>
  <conditionalFormatting sqref="K10:Y12">
    <cfRule type="expression" dxfId="46" priority="40">
      <formula>AND(K11="Not Installed")</formula>
    </cfRule>
  </conditionalFormatting>
  <conditionalFormatting sqref="K10:Y13">
    <cfRule type="cellIs" dxfId="45" priority="56" operator="equal">
      <formula>"Direct"</formula>
    </cfRule>
    <cfRule type="duplicateValues" dxfId="44" priority="57"/>
  </conditionalFormatting>
  <conditionalFormatting sqref="K10:Y17">
    <cfRule type="cellIs" dxfId="43" priority="53" operator="equal">
      <formula>"Not Installed"</formula>
    </cfRule>
  </conditionalFormatting>
  <conditionalFormatting sqref="K14:Y15">
    <cfRule type="expression" dxfId="42" priority="46">
      <formula>AND(K14="F24",$N$6=TRUE)</formula>
    </cfRule>
    <cfRule type="expression" dxfId="41" priority="48">
      <formula>AND(K14="F22",$N$6=TRUE)</formula>
    </cfRule>
    <cfRule type="expression" dxfId="40" priority="49">
      <formula>AND(K14="F21",$N$6=TRUE)</formula>
    </cfRule>
    <cfRule type="expression" dxfId="39" priority="51">
      <formula>AND(K14="F2",$N$6=TRUE)</formula>
    </cfRule>
    <cfRule type="expression" dxfId="38" priority="52">
      <formula>AND(K14="F1",$N$6=TRUE)</formula>
    </cfRule>
    <cfRule type="expression" dxfId="37" priority="50">
      <formula>AND(K14="F3",$N$6=TRUE)</formula>
    </cfRule>
    <cfRule type="expression" dxfId="36" priority="47">
      <formula>AND(K14="F23",$N$6=TRUE)</formula>
    </cfRule>
  </conditionalFormatting>
  <conditionalFormatting sqref="K16:Y17">
    <cfRule type="expression" dxfId="35" priority="45">
      <formula>AND(K16="Line1",$N$6=TRUE)</formula>
    </cfRule>
    <cfRule type="expression" dxfId="34" priority="44">
      <formula>AND(K16="Line2",$N$6=TRUE)</formula>
    </cfRule>
    <cfRule type="expression" dxfId="33" priority="43">
      <formula>AND(K16="Line3",$N$6=TRUE)</formula>
    </cfRule>
  </conditionalFormatting>
  <conditionalFormatting sqref="L6:M6">
    <cfRule type="expression" dxfId="32" priority="21">
      <formula>OR(AND($K$3&lt;7,$L$6&lt;&gt;"AMP"),AND($K$3&gt;6,$L$6="AMP"))</formula>
    </cfRule>
  </conditionalFormatting>
  <conditionalFormatting sqref="N59:P62">
    <cfRule type="expression" dxfId="31" priority="37">
      <formula>$P$58="Disable"</formula>
    </cfRule>
  </conditionalFormatting>
  <conditionalFormatting sqref="O7">
    <cfRule type="duplicateValues" dxfId="30" priority="14"/>
  </conditionalFormatting>
  <conditionalFormatting sqref="P7">
    <cfRule type="duplicateValues" dxfId="29" priority="13"/>
  </conditionalFormatting>
  <conditionalFormatting sqref="P9">
    <cfRule type="expression" dxfId="28" priority="39">
      <formula>AND($P$9="Not Installed",$K$3=6,P$16&lt;&gt;"--")</formula>
    </cfRule>
    <cfRule type="expression" dxfId="27" priority="28">
      <formula>AND($P$9="Not Installed",$P$16&lt;&gt;"--")</formula>
    </cfRule>
  </conditionalFormatting>
  <conditionalFormatting sqref="P16">
    <cfRule type="expression" dxfId="26" priority="27">
      <formula>AND($P$16="--",$P$9&lt;&gt;"Not Installed")</formula>
    </cfRule>
  </conditionalFormatting>
  <conditionalFormatting sqref="P69">
    <cfRule type="cellIs" dxfId="25" priority="35" operator="equal">
      <formula>1</formula>
    </cfRule>
  </conditionalFormatting>
  <conditionalFormatting sqref="Q9:T9">
    <cfRule type="expression" dxfId="24" priority="38">
      <formula>AND(Q$9="Not Installed",Q$10&lt;&gt;"--")</formula>
    </cfRule>
  </conditionalFormatting>
  <conditionalFormatting sqref="Q10:Y10 P10:P12 Q11:Q12">
    <cfRule type="expression" dxfId="23" priority="10">
      <formula>AND(P$9&lt;&gt;"Not Installed",P$9&lt;&gt;"--",P$10="--")</formula>
    </cfRule>
  </conditionalFormatting>
  <conditionalFormatting sqref="Q21:Y40 K41:Y53">
    <cfRule type="expression" dxfId="22" priority="36">
      <formula>AND(MID(K21,4,3)="2sp",$O$6=TRUE)</formula>
    </cfRule>
    <cfRule type="expression" dxfId="21" priority="58">
      <formula>(AND(MID(K21,4,1)="2",K$12="--"))</formula>
    </cfRule>
    <cfRule type="expression" dxfId="20" priority="59">
      <formula>AND(MID(K21,4,1)="2",OR(AND(K$12&lt;&gt;"--",K$12=$K$10,$K21&lt;&gt;"",$K21&lt;&gt;"--"),AND(K$12&lt;&gt;"--",K$12=$L$10,$L21&lt;&gt;"",$L21&lt;&gt;"--"),AND(K$12&lt;&gt;"--",K$12=$M$10,$M21&lt;&gt;"",$M21&lt;&gt;"--"),AND(K$12&lt;&gt;"--",K$12=$N$10,$N21&lt;&gt;"",$N21&lt;&gt;"--"),AND(K$12&lt;&gt;"--",K$12=$O$10,$O21&lt;&gt;"",$O21&lt;&gt;"--"),AND(K$12&lt;&gt;"--",K$12=$P$10,$P21&lt;&gt;"",$P21&lt;&gt;"--"),AND(K$12&lt;&gt;"--",K$12=$Q$10,$Q21&lt;&gt;"",$Q21&lt;&gt;"--"),AND(K$12&lt;&gt;"--",K$12=$T$10,$T21&lt;&gt;"",$T21&lt;&gt;"--"),AND(K$12&lt;&gt;"--",K$12=$U$10,$U21&lt;&gt;"",$U21&lt;&gt;"--"),AND(K$12&lt;&gt;"--",K$12=$V$10,$V21&lt;&gt;"",$V21&lt;&gt;"--"),AND(K$12&lt;&gt;"--",K$12=$W$10,$W21&lt;&gt;"",$W21&lt;&gt;"--"),AND(K$12&lt;&gt;"--",K$12=$X$10,$X21&lt;&gt;"",$X21&lt;&gt;"--"),AND(K$12&lt;&gt;"--",K$12=$Y$10,$Y21&lt;&gt;"",$Y21&lt;&gt;"--")))</formula>
    </cfRule>
    <cfRule type="expression" dxfId="19" priority="60">
      <formula>(OR(AND(K$10&lt;&gt;"--",K$10=$K$12,MID($K21,4,1)="2",K21&lt;&gt;"",K21&lt;&gt;"--"),AND(K$10&lt;&gt;"--",K$10=$L$12,MID($L21,4,1)="2",K21&lt;&gt;"",K21&lt;&gt;"--"),AND(K$10&lt;&gt;"--",K$10=$M$12,MID($M21,4,1)="2",K21&lt;&gt;"",K21&lt;&gt;"--"),AND(K$10&lt;&gt;"--",K$10=$N$12,MID($N21,4,1)="2",K21&lt;&gt;"",K21&lt;&gt;"--"),AND(K$10&lt;&gt;"--",K$10=$O$12,MID($O21,4,1)="2",K21&lt;&gt;"",K21&lt;&gt;"--"),AND(K$10&lt;&gt;"--",K$10=$P$12,MID($P21,4,1)="2",K21&lt;&gt;"",K21&lt;&gt;"--"),AND(K$10&lt;&gt;"--",K$10=$Q$12,MID($Q21,4,1)="2",K21&lt;&gt;"",K21&lt;&gt;"--"),AND(K$10&lt;&gt;"--",K$10=$T$12,MID($T21,4,1)="2",K21&lt;&gt;"",K21&lt;&gt;"--"),AND(K$10&lt;&gt;"--",K$10=$U$12,MID($U21,4,1)="2",K21&lt;&gt;"",K21&lt;&gt;"--"),AND(K$10&lt;&gt;"--",K$10=$V$12,MID($V21,4,1)="2",K21&lt;&gt;"",K21&lt;&gt;"--"),AND(K$10&lt;&gt;"--",K$10=$W$12,MID($W21,4,1)="2",K21&lt;&gt;"",K21&lt;&gt;"--"),AND(K$10&lt;&gt;"--",K$10=$X$12,MID($X21,4,1)="2",K21&lt;&gt;"",K21&lt;&gt;"--"),AND(K$10&lt;&gt;"--",K$10=$Y$12,MID($Y21,4,1)="2",K21&lt;&gt;"",K21&lt;&gt;"--")))</formula>
    </cfRule>
  </conditionalFormatting>
  <conditionalFormatting sqref="R7:U8">
    <cfRule type="duplicateValues" dxfId="18" priority="20"/>
  </conditionalFormatting>
  <conditionalFormatting sqref="R7:V8">
    <cfRule type="expression" dxfId="17" priority="17">
      <formula>AND($L$6&lt;&gt;"AMP Block(s)")</formula>
    </cfRule>
  </conditionalFormatting>
  <conditionalFormatting sqref="R7:Y8">
    <cfRule type="cellIs" dxfId="16" priority="16" operator="equal">
      <formula>"--"</formula>
    </cfRule>
  </conditionalFormatting>
  <conditionalFormatting sqref="R8:Y8">
    <cfRule type="expression" dxfId="15" priority="18">
      <formula>IF(R8&lt;&gt;"--",OR(AND(MID(R$8,1,1)="4",R$12="--"),AND(MID(R$8,1,1)&lt;&gt;"4",R$12&lt;&gt;"--"),AND(MID(R$8,3,1)="4",S$12="--"),AND(MID(R$8,3,1)&lt;&gt;"4",S$12&lt;&gt;"--"),AND(MID(R$8,5,1)="4",T$12="--"),AND(MID(R$8,5,1)&lt;&gt;"4",T$12&lt;&gt;"--"),AND(MID(R$8,7,1)="4",U$12="--"),AND(MID(R$8,7,1)&lt;&gt;"4",U$12&lt;&gt;"--"),AND(MID(R$8,1,1)="B",R$10&lt;&gt;"--"),AND(MID(R$8,1,1)&lt;&gt;"B",R$10="--"),AND(MID(R$8,3,1)="B",S$10&lt;&gt;"--"),AND(MID(R$8,3,1)&lt;&gt;"B",S$10="--"),AND(MID(R$8,5,1)="B",T$10&lt;&gt;"--"),AND(MID(R$8,5,1)&lt;&gt;"B",T$10="--"),AND(MID(R$8,7,1)="B",U$10&lt;&gt;"--"),AND(MID(R$8,7,1)&lt;&gt;"B",U$10="--")),FALSE)</formula>
    </cfRule>
  </conditionalFormatting>
  <conditionalFormatting sqref="T92:T99">
    <cfRule type="expression" dxfId="14" priority="9">
      <formula>AND($K$6="UL",T92="3 Phases")</formula>
    </cfRule>
  </conditionalFormatting>
  <conditionalFormatting sqref="T58:U59">
    <cfRule type="expression" dxfId="13" priority="41">
      <formula>AND($K$6="UL",T58="3 Phases")</formula>
    </cfRule>
  </conditionalFormatting>
  <conditionalFormatting sqref="U30:Y43">
    <cfRule type="expression" dxfId="12" priority="24">
      <formula>AND(MID(U30,4,3)="2sp",$O$6=TRUE)</formula>
    </cfRule>
  </conditionalFormatting>
  <conditionalFormatting sqref="V7:Y7">
    <cfRule type="duplicateValues" dxfId="11" priority="19"/>
  </conditionalFormatting>
  <conditionalFormatting sqref="V8:Y8">
    <cfRule type="expression" dxfId="10" priority="15">
      <formula>AND($L$6&lt;&gt;"AMP Block(s)")</formula>
    </cfRule>
  </conditionalFormatting>
  <conditionalFormatting sqref="X73">
    <cfRule type="expression" dxfId="9" priority="26">
      <formula>OR(X73&lt;&gt;COUNTIF(X65:X72,"Normal"),X73&gt;3)</formula>
    </cfRule>
  </conditionalFormatting>
  <conditionalFormatting sqref="Y59:AA63 Z67 AG68 Z68:AF90 AG79">
    <cfRule type="expression" dxfId="8" priority="30">
      <formula>AND($AA$58="No Exercise")</formula>
    </cfRule>
  </conditionalFormatting>
  <conditionalFormatting sqref="Y62:AA62">
    <cfRule type="expression" dxfId="7" priority="31">
      <formula>AND($AA$58="No Exercise")</formula>
    </cfRule>
  </conditionalFormatting>
  <conditionalFormatting sqref="Y65:AE66">
    <cfRule type="expression" dxfId="6" priority="29">
      <formula>AND($AA$58="No Exercise")</formula>
    </cfRule>
  </conditionalFormatting>
  <conditionalFormatting sqref="Z67 AF67 AG68">
    <cfRule type="expression" dxfId="5" priority="34">
      <formula>AND($AA$58="SWIM exercise",$AA$59="VSP")</formula>
    </cfRule>
  </conditionalFormatting>
  <conditionalFormatting sqref="Z90:AA90">
    <cfRule type="expression" dxfId="4" priority="33">
      <formula>AND($AA$58="SWIM exercise",$AA$59="Standard Pumps")</formula>
    </cfRule>
  </conditionalFormatting>
  <conditionalFormatting sqref="Z68:AF89 AG79">
    <cfRule type="expression" dxfId="3" priority="1">
      <formula>AND($AA$58="SWIM exercise",$AA$59="VSP")</formula>
    </cfRule>
  </conditionalFormatting>
  <conditionalFormatting sqref="AB57:AD62">
    <cfRule type="expression" dxfId="2" priority="8">
      <formula>AND($AA$58="No Exercise")</formula>
    </cfRule>
  </conditionalFormatting>
  <conditionalFormatting sqref="AC4">
    <cfRule type="expression" dxfId="1" priority="25">
      <formula>AND(RIGHT($L$2,4)="128k",RIGHT($AC$4,5)&lt;&gt;"-128k")</formula>
    </cfRule>
  </conditionalFormatting>
  <conditionalFormatting sqref="AF67">
    <cfRule type="expression" dxfId="0" priority="32">
      <formula>AND($AA$58="No Exercise")</formula>
    </cfRule>
  </conditionalFormatting>
  <dataValidations xWindow="1109" yWindow="877" count="157">
    <dataValidation type="list" allowBlank="1" showInputMessage="1" showErrorMessage="1" promptTitle="Accessory" prompt="Select which accessory is used with the OUT." sqref="K21:Y53">
      <formula1>"'--,P1_1SP,P1_2SP,P2_1SP,P2_2SP,P3_1SP,P3_2SP,P4_1SP,P4_2SP,P5_1SP,BL,Waterfall,Fan,O3,O3/CP,CP,Full ON,DIRECT 1,DIRECT 2,L120 (Ext. Light),Aux,Onzen,Cool Zone,HTR2,"</formula1>
    </dataValidation>
    <dataValidation type="list" allowBlank="1" showInputMessage="1" showErrorMessage="1" promptTitle="CpUsage" prompt="Defined the usage of the circulation pump.&#10;Standard: Used only when filter cycle is on or when a heating resquest is active.&#10;Always ON: ON 24/7&#10;&#10;[FilterConfig]" sqref="Z21:Z53">
      <formula1>"'--,Standard,Always ON"</formula1>
    </dataValidation>
    <dataValidation type="list" allowBlank="1" showInputMessage="1" showErrorMessage="1" promptTitle="O3Usage" prompt="Define when the Ozone will be ON&#10;ON when filtering = During filter cycle only (require seperate relays for pump and ozone)&#10;Always ON with pump = Ozone and its pump are always ON together&#10;&#10;[O3Config]&#10;&#10;" sqref="AA21:AA53">
      <formula1>"'--,ON when filtering,Always on with pump"</formula1>
    </dataValidation>
    <dataValidation type="list" allowBlank="1" showInputMessage="1" sqref="V9">
      <formula1>"'--,Not Installed,B0 (FL2),B1,B2,B3,B4,C1,C2,C3,C4,"</formula1>
    </dataValidation>
    <dataValidation type="decimal" allowBlank="1" showInputMessage="1" showErrorMessage="1" promptTitle="VSPFilteringSpeed" prompt="Enter the speed (in %) of the VSP when it used for filtering&#10;(Value between 5 and 100)&#10;&#10;[VSP]" sqref="T99">
      <formula1>0.05</formula1>
      <formula2>1</formula2>
    </dataValidation>
    <dataValidation type="decimal" allowBlank="1" showInputMessage="1" showErrorMessage="1" promptTitle="VSPHeatingSpeed" prompt="Enter the speed (in %) of the VSP when it used for heating&#10;(Value between 5 and 100)&#10;&#10;[VSP]" sqref="T98">
      <formula1>0.05</formula1>
      <formula2>1</formula2>
    </dataValidation>
    <dataValidation type="list" allowBlank="1" showInputMessage="1" showErrorMessage="1" promptTitle="VSPType" prompt="Define type of VSP installed&#10;&#10;[VSP]" sqref="T92">
      <formula1>"No VSP,Hydropool drive,Gecko VMS"</formula1>
    </dataValidation>
    <dataValidation type="list" allowBlank="1" showInputMessage="1" showErrorMessage="1" promptTitle="StatusLightFading" prompt="NO: default&#10;&#10;[inMixConfig]" sqref="X83">
      <formula1>"NO, YES"</formula1>
    </dataValidation>
    <dataValidation type="list" allowBlank="1" showInputMessage="1" showErrorMessage="1" promptTitle="Zone1led" prompt="Default RGB &#10;RGB = RED, GREEN, BLUE                                                &#10;ATTENTION, App in.touch doesn't work in WHITE" sqref="X65">
      <formula1>"RGB, WHITE"</formula1>
    </dataValidation>
    <dataValidation type="list" allowBlank="1" showInputMessage="1" showErrorMessage="1" promptTitle="Accessory" prompt="Select which accessory is used with the OUT." sqref="Q19:Y19">
      <formula1>"'--,P1_1SP,P1_2SP,P2_1SP,P2_2SP,P3_1SP,P3_2SP,P4_1SP,P4_2SP,P5_1SP,BL,Waterfall,Fan,O3,O3/CP,CP,Full ON,DIRECT 1,DIRECT 2,L120 (Ext. Light),Aux,Onzen,Cool Zone,Heater 2,"</formula1>
    </dataValidation>
    <dataValidation allowBlank="1" showErrorMessage="1" promptTitle="AMP connector" prompt="AMP output connector number." sqref="O7:P8 Q8"/>
    <dataValidation type="list" allowBlank="1" showInputMessage="1" showErrorMessage="1" promptTitle="Terminal Block 3" sqref="V7:Y7">
      <formula1>"--,Terminal Block A,Terminal Block B,Terminal Block C"</formula1>
    </dataValidation>
    <dataValidation type="list" allowBlank="1" showInputMessage="1" showErrorMessage="1" promptTitle="Terminal Block 2" prompt="Second terminal block can be either B or C" sqref="R7:U7">
      <formula1>"--,Terminal Block A,Terminal Block B,Terminal Block C"</formula1>
    </dataValidation>
    <dataValidation allowBlank="1" showInputMessage="1" showErrorMessage="1" promptTitle="Low Speed Fuse" prompt="Fuse associated with Relay or TAB. This parameter is automatically set by the selected PCB and cannot be changed." sqref="K15:Y15"/>
    <dataValidation allowBlank="1" showInputMessage="1" showErrorMessage="1" promptTitle="High Speed Fuse" prompt="Fuse associated with high speed. This parameter is automatically set by the selected PCB and cannot be changed." sqref="K14:Y14"/>
    <dataValidation allowBlank="1" showInputMessage="1" showErrorMessage="1" promptTitle="OUTPUT ID" prompt="Output associated with Relay or TAB. This parameter is automatically set by the selected PCB and cannot be changed." sqref="K11:Y11 K13:Y13"/>
    <dataValidation allowBlank="1" showInputMessage="1" showErrorMessage="1" promptTitle="Low Speed Line" prompt="Line associated with Relay or TAB. This parameter is automatically set by the selected PCB and cannot be changed." sqref="K17:Y17"/>
    <dataValidation allowBlank="1" showInputMessage="1" showErrorMessage="1" promptTitle="Accessory" prompt="Select which accessory is used with the OUT." sqref="K19:P19"/>
    <dataValidation type="list" allowBlank="1" showInputMessage="1" showErrorMessage="1" promptTitle="Connection Type" prompt="This parameter enable or disable the &quot;Terminal Block ID&quot; and &quot;Block Configuration&quot; settings." sqref="L6:M6">
      <formula1>"AMP,AMP Block(s),Quick Connect"</formula1>
    </dataValidation>
    <dataValidation type="list" allowBlank="1" showInputMessage="1" showErrorMessage="1" promptTitle="TERMINAL BLOCK 1" sqref="K7:N7">
      <formula1>"--,Terminal Block A,Terminal Block B,Terminal Block C"</formula1>
    </dataValidation>
    <dataValidation type="list" allowBlank="1" showInputMessage="1" showErrorMessage="1" promptTitle="Bloc Configuration" prompt="3 = 1 speed output&#10;4 = 2 speed output&#10;B = Blank (not installed)" sqref="K8:N8 R8:Y8">
      <formula1>"'--,3-3-4-B,3-3-3-3,4-3-3-B,3-3-4-3,3-4-4-3,4-3-4-3,4-3-3-3"</formula1>
    </dataValidation>
    <dataValidation type="list" allowBlank="1" showInputMessage="1" showErrorMessage="1" sqref="S9:T9 W9:X9">
      <formula1>"'--,Not Installed,B0 (FL2),B1,B2,B3,B4,C1,C2,C3,C4,"</formula1>
    </dataValidation>
    <dataValidation type="list" allowBlank="1" showInputMessage="1" showErrorMessage="1" sqref="R9">
      <formula1>"'--,B0 (FL2),B1,B2,B3,B4,C1,C2,C3,C4,"</formula1>
    </dataValidation>
    <dataValidation type="list" allowBlank="1" showInputMessage="1" showErrorMessage="1" sqref="L89">
      <formula1>"Not Allowed,Allowed"</formula1>
    </dataValidation>
    <dataValidation type="list" allowBlank="1" showInputMessage="1" showErrorMessage="1" promptTitle="SilentMode" prompt="Bullfrog (YX-2)&#10;(Reserved)&#10;Disable = NA&#10;The two modes available are = OFF or SLEEP&#10;More detail SP1113" sqref="L88">
      <formula1>"NA,OFF,SLEEP"</formula1>
    </dataValidation>
    <dataValidation type="list" allowBlank="1" showInputMessage="1" showErrorMessage="1" promptTitle="Custom Key Enabled" prompt="Set the last pump key of the in.k800 serie as a Custom Key to control ONE of the Multi-Mode Configuration option&#10;&#10;[MiscCfg]" sqref="L81">
      <formula1>"Disable,Enable"</formula1>
    </dataValidation>
    <dataValidation type="list" allowBlank="1" showInputMessage="1" showErrorMessage="1" promptTitle="Light Output Protection:" prompt="&#10;Enable = Default&#10;Disable = Removes the protection mechanism for high capacitive LEDs clusters (&gt;10 000uF) on light output. &#10;Could be disabled if the 12Vdc LED modules usually used on the Light Ouput don't work properly.&#10;DISABLED ONLY WITH R&amp;D APPROVAL" sqref="L85">
      <formula1>"Disable,Enable"</formula1>
    </dataValidation>
    <dataValidation type="list" allowBlank="1" showInputMessage="1" showErrorMessage="1" promptTitle="StatusLighNormalColor" prompt="Status light color when the spa is in normal operation&#10;&#10;[inMixConfig]" sqref="X80">
      <formula1>"OFF,BLUE,GREEN,YELLOW,MAGENTA,CYAN,ORANGE,WHITE"</formula1>
    </dataValidation>
    <dataValidation type="list" allowBlank="1" showInputMessage="1" showErrorMessage="1" promptTitle="ExerciseBuoyancyPump" prompt="Determine which pump is used for buoyancy (if any).&#10;Buoyancy pump helps the swimmer stay afloat. They can be manually controlled during an exercise session and will not be overriden by the exerciser sequence.&#10;&#10;[Exercise]" sqref="AA62">
      <formula1>"NA,Pump 1,Pump 2,Pump 3,Pump 4,Pump 5"</formula1>
    </dataValidation>
    <dataValidation type="decimal" allowBlank="1" showInputMessage="1" showErrorMessage="1" promptTitle="ExercisePumpIntensity#" prompt="Enter the speed (in %) of the VSP(s) to be used for each intensity&#10;(Value between 1 and 100)&#10;&#10;Note: ALL variable speed pumps will be set to the same speed except if one of the pump is set as a buoyancy pump&#10;&#10;[Exercise]" sqref="AA90">
      <formula1>0.01</formula1>
      <formula2>1</formula2>
    </dataValidation>
    <dataValidation type="list" allowBlank="1" showInputMessage="1" showErrorMessage="1" promptTitle="RemindersNotBlinkingLED" prompt="YES: Status Light will NOT blink when a reminder is due.&#10;NO: Status Light will blink when a reminder is due.&#10;&#10;[inMixConfig]" sqref="X82">
      <formula1>"YES,NO"</formula1>
    </dataValidation>
    <dataValidation type="list" allowBlank="1" showInputMessage="1" showErrorMessage="1" promptTitle="StatusLightRemindersColor" prompt="When a Reminder is due, the status light will change to this color (unless the status light is reporting an error).&#10;&#10;[inMixConfig]" sqref="X81">
      <formula1>"OFF,SAME AS NORMAL,GREEN,YELLOW,MAGENTA,CYAN,ORANGE,WHITE"</formula1>
    </dataValidation>
    <dataValidation type="list" allowBlank="1" showInputMessage="1" showErrorMessage="1" promptTitle="Pump 5" prompt="• -- add 0 to value&#10;• HIGH add 256 to value&#10;" sqref="AE69:AF78 AE80:AF89">
      <formula1>"'--,HIGH"</formula1>
    </dataValidation>
    <dataValidation type="list" allowBlank="1" showInputMessage="1" showErrorMessage="1" promptTitle="Pump 4" prompt="• -- add 0 to value&#10;• LOW add 64 to value&#10;• HIGH add 128 to value" sqref="AD69:AD78 AD80:AD89">
      <formula1>"'--,LOW,HIGH"</formula1>
    </dataValidation>
    <dataValidation type="list" allowBlank="1" showInputMessage="1" showErrorMessage="1" promptTitle="Pump 3" prompt="• -- add 0 to value&#10;• LOW add 16 to value&#10;• HIGH add 32 to value" sqref="AC69:AC78 AC80:AC89">
      <formula1>"'--,LOW,HIGH"</formula1>
    </dataValidation>
    <dataValidation type="list" allowBlank="1" showInputMessage="1" showErrorMessage="1" promptTitle="Pump 2" prompt="• -- add 0 to value&#10;• LOW add 4 to value&#10;• HIGH add 8 to value" sqref="AB69:AB78 AB80:AB89">
      <formula1>"'--,LOW,HIGH"</formula1>
    </dataValidation>
    <dataValidation type="list" allowBlank="1" showInputMessage="1" showErrorMessage="1" promptTitle="Pump 1" prompt="• -- add 0 to value&#10;• LOW add 1 to value&#10;• HIGH add 2 to value" sqref="AA69:AA78 AA80:AA89">
      <formula1>"'--,LOW,HIGH"</formula1>
    </dataValidation>
    <dataValidation type="whole" allowBlank="1" showInputMessage="1" showErrorMessage="1" errorTitle="Out of range" error="Choose between 0 and 511" promptTitle="Value" prompt="The value is an automatic calculation set between 0 and 511. This is used by Gecko when configuring the SPA." sqref="AF69:AF78 AF80:AF89">
      <formula1>0</formula1>
      <formula2>511</formula2>
    </dataValidation>
    <dataValidation type="list" allowBlank="1" showInputMessage="1" showErrorMessage="1" promptTitle="AssignVSP#" prompt="Define which Pump(s) are Variable Speed Pump(s) (if any).&#10;&#10;Note: Configuring VSP on Slave output (Dual-Pack config) is not supported.&#10;&#10;[VSP]" sqref="T93:T97">
      <formula1>"NA,Pump 1, Pump 2,Pump 3,Pump 4,Pump 5"</formula1>
    </dataValidation>
    <dataValidation type="list" allowBlank="1" showInputMessage="1" showErrorMessage="1" promptTitle="Filter Start Time" prompt="Time at which the filter cycle will start.&#10;&#10;[SpaPackInternalOptions]" sqref="P64">
      <formula1>"0:00 AM,1:00 AM,2:00 AM,3:00 AM,4:00 AM,5:00 AM,6:00 AM,7:00 AM,8:00 AM,9:00 AM,10:00 AM,11:00 AM,12:00 PM (Noon),1:00 PM,2:00 PM,3:00 PM,4:00 PM,5:00 PM,6:00 PM,7:00 PM,8:00 PM,9:00 PM,10:00 PM,11:00 PM,"</formula1>
    </dataValidation>
    <dataValidation allowBlank="1" showInputMessage="1" showErrorMessage="1" promptTitle="Customer ID" prompt="If applicable, specify the Customer ID." sqref="L87"/>
    <dataValidation allowBlank="1" showInputMessage="1" showErrorMessage="1" promptTitle="Keypad(s) and accessories" prompt="Some parameters are affected by the installed keypad or accessories.&#10;List all keypad(s) and accessories to be used with those Low Level here." sqref="V90:X90"/>
    <dataValidation type="list" allowBlank="1" showInputMessage="1" showErrorMessage="1" promptTitle="Drain Mode" prompt="Add drain mode using the specified pump.&#10;&#10;REQUIRES OFF/STANDBY MODE&#10;&#10;[AdvanceFilterConfig]" sqref="P72">
      <formula1>"Not Available,Drain with CP,Drain with P1"</formula1>
    </dataValidation>
    <dataValidation type="list" allowBlank="1" showInputMessage="1" showErrorMessage="1" promptTitle="Quick On Off Custom Key" prompt="When enabled, shut down all active user demands by a press and reactivate them by another press.&#10;&#10;[SpaPackInternalOptions]" sqref="P84">
      <formula1>"Disable,Enable"</formula1>
    </dataValidation>
    <dataValidation type="list" allowBlank="1" showInputMessage="1" showErrorMessage="1" promptTitle="O3Usage" prompt="Define when the Ozone will be ON&#10;Filter = During filter cycle only (require seperate relays for pump and ozone)&#10;Always ON with pump = Ozone and its pump are are always ON together&#10;&#10;[O3Config]&#10;&#10;" sqref="AA19">
      <formula1>"'--,ON when filtering,Always on with pump"</formula1>
    </dataValidation>
    <dataValidation type="list" allowBlank="1" showInputMessage="1" showErrorMessage="1" promptTitle="DrainMode" prompt="Add drain mode using the specified pump.&#10;&#10;REQUIRES OFF/STANDBY MODE&#10;&#10;[AdvanceFilterConfig]" sqref="Q72">
      <formula1>"Not Available,Drain with CP,Drain with P1"</formula1>
    </dataValidation>
    <dataValidation type="list" allowBlank="1" showInputMessage="1" showErrorMessage="1" promptTitle="QuickOnOffCustomKey" prompt="When enabled, shut down all active user demands by a press and reactivate them by another press.&#10;&#10;[SpaPackInternalOptions]" sqref="P85">
      <formula1>"Disable,Enable"</formula1>
    </dataValidation>
    <dataValidation type="whole" allowBlank="1" showInputMessage="1" showErrorMessage="1" promptTitle="Max 3 phase dual pack current" prompt="Value between 10A - 20A. &#10;Applies to CE models only.&#10;&#10;For more information refer to Installer options in Detailed specifications (Software) and Swim Spa Solution Techbook (9919-101142)." sqref="X63">
      <formula1>10</formula1>
      <formula2>20</formula2>
    </dataValidation>
    <dataValidation type="whole" allowBlank="1" showInputMessage="1" showErrorMessage="1" promptTitle="Max 3 phase single pack current" prompt="Value between 10A - 16A. &#10;Applies to CE models only.&#10;&#10;For more information refer to Installer options in Detailed specifications (Software) and Swim Spa Solution Techbook (9919-101142)." sqref="X60">
      <formula1>10</formula1>
      <formula2>16</formula2>
    </dataValidation>
    <dataValidation type="whole" allowBlank="1" showInputMessage="1" showErrorMessage="1" promptTitle="Max 2 phase single pack current" prompt="Value between 10A - 20A. &#10;Applies to CE models only.&#10;&#10;For more information refer to Installer options in Detailed specifications (Software) and Swim Spa Solution Techbook (9919-101142)." sqref="X59">
      <formula1>10</formula1>
      <formula2>20</formula2>
    </dataValidation>
    <dataValidation type="whole" allowBlank="1" showInputMessage="1" showErrorMessage="1" promptTitle="Max 2 phase dual pack current" prompt="Value between 10A - 48A. &#10;&#10;For more information refer to Installer options in Detailed specifications (Software) and Swim Spa Solution Techbook (9919-101142)." sqref="X62">
      <formula1>10</formula1>
      <formula2>48</formula2>
    </dataValidation>
    <dataValidation type="whole" allowBlank="1" showInputMessage="1" showErrorMessage="1" promptTitle="Max 1 phase dual pack current" prompt="Value between 10A - 48A. &#10;&#10;For more information refer to Installer options in Detailed specifications (Software) and Swim Spa Solution Techbook (9919-101142)." sqref="X61">
      <formula1>10</formula1>
      <formula2>48</formula2>
    </dataValidation>
    <dataValidation type="whole" allowBlank="1" showInputMessage="1" showErrorMessage="1" promptTitle="Max 1 phase single pack current" prompt="Value between 10A - 48A.&#10;&#10;For more information refer to Installer options in Detailed specifications (Software) and Swim Spa Solution Techbook (9919-101142)." sqref="X58">
      <formula1>10</formula1>
      <formula2>48</formula2>
    </dataValidation>
    <dataValidation type="list" allowBlank="1" showInputMessage="1" showErrorMessage="1" promptTitle="InMixZoneToFollow" prompt="If an external in.mix is installed, the internal in.mix will synch with one of its zones unless the internal in.mix is set as a 12V DC supply (Note: Maximum output current is shared between 12V Light and internal in.mix. Refer to SP959 for details)." sqref="X79">
      <formula1>"Follow zone 1,Follow zone 2,Follow zone 3,Follow zone 4,As 12V supply"</formula1>
    </dataValidation>
    <dataValidation allowBlank="1" showInputMessage="1" showErrorMessage="1" sqref="K9:O9"/>
    <dataValidation type="list" allowBlank="1" showInputMessage="1" showErrorMessage="1" sqref="Y9 U9">
      <formula1>"'--"</formula1>
    </dataValidation>
    <dataValidation type="list" allowBlank="1" showInputMessage="1" showErrorMessage="1" sqref="Q9">
      <formula1>"'Not Installed,A0 (FL1)"</formula1>
    </dataValidation>
    <dataValidation type="list" allowBlank="1" showInputMessage="1" showErrorMessage="1" sqref="P9">
      <formula1>"Not Installed,A6"</formula1>
    </dataValidation>
    <dataValidation type="list" allowBlank="1" showInputMessage="1" showErrorMessage="1" promptTitle="Default Output Wiring" prompt="UL controllers can be wired for 120V or 240V outputs&#10;CE controllers are always 230V" sqref="T62">
      <formula1>"120V,230/240V"</formula1>
    </dataValidation>
    <dataValidation allowBlank="1" showInputMessage="1" showErrorMessage="1" promptTitle="Fuses and Line(s) MAX load" prompt="Display the maximum potential load for each fuse and line to help balance loads and anticipate if and where load shedding will be applied.&#10;DOUBLE CHECK CALCULATION FOR ALL CONFIGURATION&#10;*Breaker value for line calculation of CE dual pack may be incorrect*" sqref="A16:I16"/>
    <dataValidation allowBlank="1" showInputMessage="1" showErrorMessage="1" promptTitle="High Speed Line" prompt="Line associated with Relay or TAB. This parameter is automatically set by the selected PCB and cannot be changed." sqref="K16:Y16"/>
    <dataValidation type="list" allowBlank="1" showInputMessage="1" showErrorMessage="1" promptTitle="Heat Pump Fuse" prompt="This value SHOULD NOT be changed&#10;Refer to in.temp techbook for details&#10;" sqref="X88">
      <formula1>"F1,F2,F3,F21,F22,F23"</formula1>
    </dataValidation>
    <dataValidation type="list" allowBlank="1" showInputMessage="1" showErrorMessage="1" promptTitle="Heat Pump current" prompt="Use MAX rated current.&#10;&quot;Not set&quot; will set a default current value on first detection (refer to SP959).&#10;Set to &quot;0&quot; if heat pump IS NOT powered by the controller.&#10;" sqref="X87">
      <formula1>"Not Set,0,1,2,3,4,5,6,7,8,9,10,11,12,13,14,15,"</formula1>
    </dataValidation>
    <dataValidation type="list" allowBlank="1" showInputMessage="1" showErrorMessage="1" promptTitle="Region" prompt="&#10;UL = 240V (60Hz) (North America (NA))&#10;&#10;CE = 230-240V (50Hz)" sqref="K6">
      <formula1>"UL,CE"</formula1>
    </dataValidation>
    <dataValidation type="list" allowBlank="1" showInputMessage="1" showErrorMessage="1" promptTitle="Model" prompt="&#10;Select model to begin&#10;&#10;DO NOT CHANGE THIS SELECTION THEREAFTER" sqref="J6">
      <formula1>"Not Set,in.ye-3,in.ye-5,in.ye-6,in.yt-7,in.yt-8,in.yt-9, in.yt-12"</formula1>
    </dataValidation>
    <dataValidation type="list" allowBlank="1" showInputMessage="1" showErrorMessage="1" promptTitle="Exercise Pumps Used" prompt="Specify which pumps are DEDICATED to the exerciser. Dedicated pumps cannot be controlled manually in normal operation and are not shown to the user in the main spa page.&#10;&#10;This parameter has no effect if exerciser pumps are NOT dedicated.&#10;&#10;[Exercise]" sqref="AA60">
      <formula1>"No Pump,ALL Pumps,P2 to P5,P3 to P5,P4 and P5,P5 Only"</formula1>
    </dataValidation>
    <dataValidation type="list" allowBlank="1" showInputMessage="1" showErrorMessage="1" promptTitle="Direct Output" prompt="1= Used with P28, P30 or P32 only.&#10;2= Used with P17 or P21 only." sqref="S88:S89">
      <formula1>"120 V,230/240 V"</formula1>
    </dataValidation>
    <dataValidation type="list" allowBlank="1" showInputMessage="1" showErrorMessage="1" promptTitle="Direct Output" prompt="1 = Used with P28, P30 or P32.&#10;2 = Used with P17 or P21." sqref="R88:R89">
      <formula1>"--,DIRECT 1,DIRECT 2"</formula1>
    </dataValidation>
    <dataValidation type="whole" allowBlank="1" showInputMessage="1" showErrorMessage="1" promptTitle="Direct Output 1 current" prompt="Value between 1 and 5A.&#10;0 = Not Installed.&#10;" sqref="T88">
      <formula1>0</formula1>
      <formula2>5</formula2>
    </dataValidation>
    <dataValidation type="list" allowBlank="1" showInputMessage="1" showErrorMessage="1" promptTitle="Heat Pump Regulation Mode" prompt="This is the active regulation mode at power up.&#10;Default = Smart Auto." sqref="X85:X86">
      <formula1>"Cool (1),Smart Heat (2),Eco Heat (3),Smart Auto (4),Eco Auto (5),Electric (6),"</formula1>
    </dataValidation>
    <dataValidation showInputMessage="1" showErrorMessage="1" promptTitle="Heat Pump ID" prompt="0 - 255&#10;Set to zero (0) for in.temp&#10;!!Warning!! There are reserved IDs! (see SP959)" sqref="X86"/>
    <dataValidation type="list" allowBlank="1" showInputMessage="1" showErrorMessage="1" promptTitle="Accessory" prompt="Choose an option in the list or - for none." sqref="R64:R87">
      <formula1>"'--,P1H,P1L,P2H,P2L,P3H,P3L,P4H,P4L,P5H,BL,WaterFall,Fan,O3,CP,Full ON,L120 (Ext. Light),Aux,Onzen,HTR2,"</formula1>
    </dataValidation>
    <dataValidation type="whole" allowBlank="1" showInputMessage="1" showErrorMessage="1" promptTitle="Accessory current value" prompt="Value between 1A and 15A. &#10;0 = Not Installed.&#10;Default = Gecko Heat pump autoconfig." sqref="T64:T87">
      <formula1>0</formula1>
      <formula2>15</formula2>
    </dataValidation>
    <dataValidation type="list" allowBlank="1" showInputMessage="1" showErrorMessage="1" promptTitle="Pump 1 User Access:" prompt="HighSpeedOnly: Only High speed must be controlled with P1 key. (Typically used when the low speed is used as a circulation pump)&#10;BothSpeeds: If both 2 speeds is required." sqref="L74">
      <formula1>"HighSpeedOnly,BothSpeeds"</formula1>
    </dataValidation>
    <dataValidation type="list" allowBlank="1" showInputMessage="1" showErrorMessage="1" promptTitle="Waterfall Valve on CP" prompt="Set to YES for systems where a valve connected to the Cicrulation Pump controls the water flow to the Waterfall&#10;&#10;[LCOutputConfig]" sqref="L80:L81">
      <formula1>"NO,YES"</formula1>
    </dataValidation>
    <dataValidation allowBlank="1" showInputMessage="1" showErrorMessage="1" promptTitle="Accessory currents" prompt="Choose an option in the list or - for none." sqref="R90"/>
    <dataValidation type="list" allowBlank="1" showInputMessage="1" showErrorMessage="1" promptTitle="Zone1led" prompt="Default RGB&#10;RGB = RED, GREEN, BLUE&#10;ATTENTION, App in.touch doesn't work in WHITE" sqref="X69 X67 X71">
      <formula1>"RGB, WHITE"</formula1>
    </dataValidation>
    <dataValidation type="whole" allowBlank="1" showInputMessage="1" showErrorMessage="1" promptTitle="Filter Suspend" prompt="Period of time the Filter cycle will remain suspended after completion of the last user demand. (0 or between 2 to 240 min)." sqref="P69:Q69">
      <formula1>0</formula1>
      <formula2>240</formula2>
    </dataValidation>
    <dataValidation type="list" allowBlank="1" showInputMessage="1" showErrorMessage="1" promptTitle="Single pump key:" prompt="&#10;NA =  Not available&#10;&#10;ForSpeeds = For Speeds&#10;&#10;ForZones = For Zones" sqref="L84">
      <formula1>"NA,ForSpeeds,ForZones"</formula1>
    </dataValidation>
    <dataValidation type="list" allowBlank="1" showInputMessage="1" showErrorMessage="1" promptTitle="Programmable Economy Start time" prompt="Time at which the programmable Economy will become active. &#10;Value between 01-12 (AM/PM) or between 00-23 (24H). &#10;&#10;If Out Filter is selected, it must be set to 0." sqref="P77">
      <formula1>"0:00 AM,1:00 AM,2:00 AM,3:00 AM,4:00 AM,5:00 AM,6:00 AM,7:00 AM,8:00 AM,9:00 AM,10:00 AM,11:00 AM,12:00 PM (Noon),1:00 PM,2:00 PM,3:00 PM,4:00 PM,5:00 PM,6:00 PM,7:00 PM,8:00 PM,9:00 PM,10:00 PM,11:00 PM,"</formula1>
    </dataValidation>
    <dataValidation type="list" allowBlank="1" showInputMessage="1" showErrorMessage="1" promptTitle="Filter Start Time" prompt="Time at which the filter cycle will start.  Value between 01-12 (AM/PM) or between 00-23 (24H)." sqref="Q64">
      <formula1>"0:00 AM,1:00 AM,2:00 AM,3:00 AM,4:00 AM,5:00 AM,6:00 AM,7:00 AM,8:00 AM,9:00 AM,10:00 AM,11:00 AM,12:00 PM (Noon),1:00 PM,2:00 PM,3:00 PM,4:00 PM,5:00 PM,6:00 PM,7:00 PM,8:00 PM,9:00 PM,10:00 PM,11:00 PM,"</formula1>
    </dataValidation>
    <dataValidation type="list" allowBlank="1" showInputMessage="1" showErrorMessage="1" promptTitle="Heater Pump" prompt="Defined the pump where the heater is used." sqref="AD19 AD36:AD53 AD21:AD31">
      <formula1>"--,P1,CP"</formula1>
    </dataValidation>
    <dataValidation type="list" allowBlank="1" showInputMessage="1" showErrorMessage="1" promptTitle="CP Usage" prompt="Defined the usage of the circulation pump.&#10;Standard: Used only when filter cycle is on or when a heating resquest is active." sqref="Z19">
      <formula1>"'--,Standard,Always ON"</formula1>
    </dataValidation>
    <dataValidation type="list" allowBlank="1" showInputMessage="1" showErrorMessage="1" promptTitle="O3 Pump" prompt="Defined witch pump is associated with O3.&#10;CP = Circulation Pump&#10;P1 = Pump 1&#10;&#10;" sqref="AB19 AD32:AD35 AB21:AB53">
      <formula1>"'--,CP,P1"</formula1>
    </dataValidation>
    <dataValidation allowBlank="1" showInputMessage="1" showErrorMessage="1" promptTitle="Exercise Pump Combination 20" prompt="Normally the first combination represent the minimum power and the last combination represent the maximum power." sqref="Z90"/>
    <dataValidation allowBlank="1" showInputMessage="1" showErrorMessage="1" promptTitle="Exercise Pump Combination 10" prompt="Normally the first combination represent the minimum power and the last combination represent the maximum power." sqref="Z78 Z89"/>
    <dataValidation allowBlank="1" showInputMessage="1" showErrorMessage="1" promptTitle="Exercise Pump Combination 9" prompt="Normally the first combination represent the minimum power and the last combination represent the maximum power." sqref="Z77 Z88"/>
    <dataValidation allowBlank="1" showInputMessage="1" showErrorMessage="1" promptTitle="Exercise Pump Combination 8" prompt="Normally the first combination represent the minimum power and the last combination represent the maximum power." sqref="Z76 Z87"/>
    <dataValidation allowBlank="1" showInputMessage="1" showErrorMessage="1" promptTitle="Exercise Pump Combination 7" prompt="Normally the first combination represent the minimum power and the last combination represent the maximum power." sqref="Z75 Z86"/>
    <dataValidation allowBlank="1" showInputMessage="1" showErrorMessage="1" promptTitle="Exercise Pump Combination 6" prompt="Normally the first combination represent the minimum power and the last combination represent the maximum power." sqref="Z74 Z85"/>
    <dataValidation allowBlank="1" showInputMessage="1" showErrorMessage="1" promptTitle="Exercise Pump Combination 5" prompt="Normally the first combination represent the minimum power and the last combination represent the maximum power." sqref="Z73 Z84"/>
    <dataValidation allowBlank="1" showInputMessage="1" showErrorMessage="1" promptTitle="Exercise Pump Combination 4" prompt="Normally the first combination represent the minimum power and the last combination represent the maximum power." sqref="Z72 Z83"/>
    <dataValidation allowBlank="1" showInputMessage="1" showErrorMessage="1" promptTitle="Exercise Pump Combination 3" prompt="Normally the first combination represent the minimum power and the last combination represent the maximum power." sqref="Z71 Z82"/>
    <dataValidation allowBlank="1" showInputMessage="1" showErrorMessage="1" promptTitle="Exercise Pump Combination 2" prompt="Normally the first combination represent the minimum power and the last combination represent the maximum power." sqref="Z70 Z81"/>
    <dataValidation allowBlank="1" showInputMessage="1" showErrorMessage="1" promptTitle="Exercise Pump Combination 1" prompt="Normally the first combination represent the minimum power and the last combination represent the maximum power." sqref="Z69 Z80"/>
    <dataValidation type="list" allowBlank="1" showInputMessage="1" showErrorMessage="1" promptTitle="MapZone4to" prompt="Select hardware output associated to zone 4&#10;OUT1 = P8&#10;OUT2 = P7&#10;OUT3 = P6&#10;OUT4 = P5" sqref="X78">
      <formula1>"N/A,OUT1&amp;OUT2,OUT1,OUT2,OUT3,OUT4"</formula1>
    </dataValidation>
    <dataValidation type="list" allowBlank="1" showInputMessage="1" showErrorMessage="1" promptTitle="MapZone3to" prompt="Select hardware output associated to zone 3&#10;OUT1 = P8&#10;OUT2 = P7&#10;OUT3 = P6&#10;OUT4 = P5" sqref="X77">
      <formula1>"N/A,OUT1&amp;OUT2,OUT1,OUT2,OUT3,OUT4"</formula1>
    </dataValidation>
    <dataValidation type="list" allowBlank="1" showInputMessage="1" showErrorMessage="1" promptTitle="MapZone2to" prompt="Select hardware output associated to zone 2&#10;OUT1 = P8&#10;OUT2 = P7&#10;OUT3 = P6&#10;OUT4 = P5" sqref="X76">
      <formula1>"N/A,OUT1&amp;OUT2,OUT1,OUT2,OUT3,OUT4"</formula1>
    </dataValidation>
    <dataValidation type="whole" allowBlank="1" showInputMessage="1" showErrorMessage="1" errorTitle="Choice" error="Choose between 4 and 20" promptTitle="ExerciseNumberOfIntensity" prompt="Number of intensities (speed) for the exerciser. Note that Off must not be counted as an intensity.&#10;Minimum is 4. Maximum is 10.&#10;&#10;[Exercise]&#10;" sqref="AA63">
      <formula1>4</formula1>
      <formula2>10</formula2>
    </dataValidation>
    <dataValidation type="list" allowBlank="1" showInputMessage="1" showErrorMessage="1" promptTitle="Exercise Dedicated Pumps" prompt="The exerciser feature can always use all pumps (dedicated or not).&#10;&#10;When enabling &quot;Dedicated Pumps&quot;, all pumps set as &quot;Pumps used&quot; will NOT be available in the main spa page for direct control by users.&#10;&#10;[Exercise]" sqref="AA61">
      <formula1>"Yes,No"</formula1>
    </dataValidation>
    <dataValidation type="list" allowBlank="1" showInputMessage="1" showErrorMessage="1" promptTitle="ExerciseControl" prompt="Determines the type of pumps used by the Exerciser functions.&#10;STANDARD: Drive standard 1-speed and/or 2-speed pumps.&#10;VSP: Drive Variable Speed Pumps.&#10;&#10;[Exercise]" sqref="AA59">
      <formula1>"Standard Pumps, VSP"</formula1>
    </dataValidation>
    <dataValidation type="list" allowBlank="1" showInputMessage="1" showErrorMessage="1" promptTitle="Exercise Type" prompt="Enable exercise feature on in.k1000 keypad.&#10;&#10;[Exercise]" sqref="AA58">
      <formula1>"No exercise,SWIM exercise"</formula1>
    </dataValidation>
    <dataValidation type="whole" allowBlank="1" showInputMessage="1" showErrorMessage="1" promptTitle="Number of zones" prompt="Number of &quot;Normal&quot; zones (maximum 3).&#10;Status zone DOES NOT count.&#10;&#10;[inMixConfig]" sqref="X73">
      <formula1>1</formula1>
      <formula2>3</formula2>
    </dataValidation>
    <dataValidation type="list" allowBlank="1" showInputMessage="1" showErrorMessage="1" promptTitle="MapZone1to" prompt="Select hardware output associated to zone 1&#10;OUT1 = P8&#10;OUT2 = P7&#10;OUT3 = P6&#10;OUT4 = P5" sqref="X75">
      <formula1>"N/A,OUT1&amp;OUT2,OUT1,OUT2,OUT3,OUT4"</formula1>
    </dataValidation>
    <dataValidation type="list" allowBlank="1" showInputMessage="1" showErrorMessage="1" promptTitle="Mapping enable" prompt="This parameter is used to activate all the following parameters" sqref="X74">
      <formula1>"YES,NO"</formula1>
    </dataValidation>
    <dataValidation type="list" allowBlank="1" showInputMessage="1" showErrorMessage="1" promptTitle="Zone Type" prompt="NOT INSTALLED: Unused zone&#10;NORMAL: User controllable zone&#10;STATUS: Passive zone used to report current spa status (Normal operation / Reminder due / Error)&#10;&#10;[inMixConfig]:&#10;Select NORMAL or STATUS&#10;if Not Installed, MapZoneXToOutY must be NO" sqref="X72 X66 X68 X70">
      <formula1>"Not Installed,Normal,Status"</formula1>
    </dataValidation>
    <dataValidation type="list" allowBlank="1" showInputMessage="1" showErrorMessage="1" promptTitle="Keypad back light color:" prompt="*Option only for in.k500, in.k800 and in.k1000&#10;&#10;Set default backlight color of the keypad&#10;&#10;Available colors:&#10;OFF, RED, GREEN, YELLOW, BLUE, MAGENTA, CYAN and WHITE." sqref="L76">
      <formula1>"OFF,RED,GREEN,YELLOW,BLUE,MAGENTA,CYAN,WHITE"</formula1>
    </dataValidation>
    <dataValidation type="list" allowBlank="1" showInputMessage="1" showErrorMessage="1" promptTitle="UD Prog Economy" prompt="This option will indicate if the programmable economy is active or not.&#10;&#10;Active (YES)&#10;Not (NO)&#10;&#10;[SpaPackInternalOptions]" sqref="P76">
      <formula1>"YES,NO"</formula1>
    </dataValidation>
    <dataValidation type="list" allowBlank="1" showInputMessage="1" showErrorMessage="1" promptTitle="Mode Key As Invert Display Key" prompt="Set the Mode Key of the in.k500 and in.k800 to be used as an Invert Display Key.&#10;&#10;Note that the mode key must be free of any other feature (in.stream 2, in.mix,...) in order to be used as an Invert Display Key.&#10;&#10;[MiscCfg]" sqref="L83">
      <formula1>"NO,YES"</formula1>
    </dataValidation>
    <dataValidation type="list" allowBlank="1" showInputMessage="1" showErrorMessage="1" promptTitle="Lock enabled:" prompt="Partial mode = Set Point isn't available and &#10;Full mode = All keys aren't available)&#10;&#10;Choose between:&#10;Yes = Option to lock a keypad is set&#10;No = Option to lock a keypad is unavailable&#10;&#10;K500,K800 and K1000 ignores this setting." sqref="L82">
      <formula1>"NO,YES"</formula1>
    </dataValidation>
    <dataValidation type="whole" allowBlank="1" showInputMessage="1" showErrorMessage="1" promptTitle="Aux Time Out:" prompt="This option lets you choose the maximum operating time of the auxiliary output.&#10;&#10;(1 to 254 minutes, 255 = No time out)&#10;&#10;[TimeOut]" sqref="L68:M68">
      <formula1>1</formula1>
      <formula2>255</formula2>
    </dataValidation>
    <dataValidation type="whole" allowBlank="1" showInputMessage="1" showErrorMessage="1" promptTitle="Water Fall Timeout:" prompt="This option lets you choose the maximum operating time of the water fall output.&#10;&#10;(1 to 255 minutes)" sqref="L67:M67">
      <formula1>1</formula1>
      <formula2>255</formula2>
    </dataValidation>
    <dataValidation type="list" allowBlank="1" showInputMessage="1" showErrorMessage="1" promptTitle="Multi key option" prompt="This function is useful with the swim spa configuration. It allows to control the blower with the auxiliary keypad. It's also used with an auxiliary device and a blower's single switch connected to the regular spa. (Default: Enable)." sqref="L72">
      <formula1>"Disable,Enable"</formula1>
    </dataValidation>
    <dataValidation type="list" allowBlank="1" showInputMessage="1" showErrorMessage="1" promptTitle="Blower key" prompt="Choose the key used on keypad to control the blower. This affects k800 series only. (Default: Last pump key)." sqref="L73">
      <formula1>"Free pump key, Last pump key"</formula1>
    </dataValidation>
    <dataValidation type="decimal" allowBlank="1" showInputMessage="1" showErrorMessage="1" promptTitle="Filter Cycle Duration 2" prompt="Used only when Filter Cycle Interface is defined to &quot;Clean, P1, 2Dur&quot;. The value must be set between 0,0 and 6,0 hours by step of 0,5 hour." sqref="P66:Q66">
      <formula1>0</formula1>
      <formula2>6</formula2>
    </dataValidation>
    <dataValidation type="decimal" allowBlank="1" showInputMessage="1" showErrorMessage="1" promptTitle="Filter Cycle Duration 1" prompt="Number of hours the filter cycle will last.  Value between 0,0 and 24,0 hours by step of 1 hour.&#10;If Filter Cycle Interface is defined to &quot;Clean, P1, 2Dur&quot;, the value must be set between 0,0 and 6,0 hours by step of 0,5 hour." sqref="P65:Q65">
      <formula1>0</formula1>
      <formula2>24</formula2>
    </dataValidation>
    <dataValidation type="list" allowBlank="1" showInputMessage="1" showErrorMessage="1" promptTitle="Purge speed" prompt="Define the speed used for all Pumps when a purge is required." sqref="P68:Q68">
      <formula1>"High,Low"</formula1>
    </dataValidation>
    <dataValidation type="list" allowBlank="1" showInputMessage="1" showErrorMessage="1" promptTitle="Default Temperature Unit" prompt="The default temperature unit can be set to °F or °C." sqref="L58:M58">
      <formula1>"°F,°C"</formula1>
    </dataValidation>
    <dataValidation type="decimal" allowBlank="1" showInputMessage="1" showErrorMessage="1" promptTitle="Default Set Point" prompt="For UL packs, the value must be between 59°F (15°C) and 100°F (37.5°C) due to UL regulation.&#10;&#10;For CE packs, the value can be between 15°C (59°F) and 40°C (104°F)." sqref="L59:M59">
      <formula1>8</formula1>
      <formula2>104</formula2>
    </dataValidation>
    <dataValidation type="decimal" allowBlank="1" showInputMessage="1" showErrorMessage="1" promptTitle="Minimum Set Point" prompt="The value can be set between 40°F (4.5°C) and 104°F (40°C)." sqref="L60:M60">
      <formula1>7</formula1>
      <formula2>106</formula2>
    </dataValidation>
    <dataValidation type="decimal" allowBlank="1" showInputMessage="1" showErrorMessage="1" promptTitle="Maximum Set Point" prompt="The value can be set between 59°F (15°C) and 106°F (41.5°C)." sqref="L61:M61">
      <formula1>7</formula1>
      <formula2>106</formula2>
    </dataValidation>
    <dataValidation type="whole" allowBlank="1" showInputMessage="1" showErrorMessage="1" promptTitle="Filter Cycle Frequency" prompt="Number of filter cycles per day.  Value between 1 and 4." sqref="P67:Q67">
      <formula1>1</formula1>
      <formula2>4</formula2>
    </dataValidation>
    <dataValidation type="list" allowBlank="1" showInputMessage="1" showErrorMessage="1" promptTitle="Default Number of Phases" prompt="*Cannot be higher than Maximum number of phases available:&#10;&#10;UL: must choose between 1 (Standard) or 2 phases (Swim Spa).&#10;&#10;CE: must choose between 1, 2 or 3 phases (Standard and Swim Spa)." sqref="T58:U58">
      <formula1>"1 Phase,2 Phases,3 Phases"</formula1>
    </dataValidation>
    <dataValidation type="whole" allowBlank="1" showInputMessage="1" showErrorMessage="1" promptTitle="Pump Timeout:" prompt="This option lets you choose the maximum operating time of the pumps and blower output.&#10;&#10;(1 to 255 minutes)" sqref="L64:M64">
      <formula1>1</formula1>
      <formula2>255</formula2>
    </dataValidation>
    <dataValidation type="whole" allowBlank="1" showInputMessage="1" showErrorMessage="1" promptTitle="No heat period" prompt="Minimum Off period after the heater has been shut off.&#10;&#10;(0 to 255 minutes)" sqref="L62:M62">
      <formula1>0</formula1>
      <formula2>255</formula2>
    </dataValidation>
    <dataValidation type="whole" allowBlank="1" showInputMessage="1" showErrorMessage="1" promptTitle="Light Timeout (12V)" prompt="This option lets you choose the maximum operating time of the 12V light.&#10;&#10;(1 to 255 minutes)" sqref="L65:M65">
      <formula1>1</formula1>
      <formula2>255</formula2>
    </dataValidation>
    <dataValidation type="whole" allowBlank="1" showInputMessage="1" showErrorMessage="1" promptTitle="Light Timeout (120V)" prompt="This option lets you choose the maximum operating time of the 120V light.&#10;&#10;(1 to 255 minutes)" sqref="L66:M66">
      <formula1>1</formula1>
      <formula2>255</formula2>
    </dataValidation>
    <dataValidation type="list" allowBlank="1" showInputMessage="1" showErrorMessage="1" promptTitle="Time format:" prompt="Default time format when the system will first be powered up. (Only available with keypad supporting a clock)" sqref="L71">
      <formula1>"No time,AM/PM,24H"</formula1>
    </dataValidation>
    <dataValidation type="whole" allowBlank="1" showInputMessage="1" showErrorMessage="1" promptTitle="Cooldown Delay" prompt="The Cooldown Delay can be set between 30 and 240 seconds. This value represents the amount of time the Pump associated with the Heater will remain active after the Heater has stopped heating." sqref="L69:M69">
      <formula1>30</formula1>
      <formula2>240</formula2>
    </dataValidation>
    <dataValidation type="list" allowBlank="1" showInputMessage="1" showErrorMessage="1" promptTitle="Keypad back light edit:" prompt="*Option for in.k500, in.k800 and in.k1000.&#10;&#10;Allows user to change the keypad backlight color through the keypad interface&#10;&#10;[MiscCfg]" sqref="L75">
      <formula1>"Disable,Enable"</formula1>
    </dataValidation>
    <dataValidation type="list" allowBlank="1" showInputMessage="1" showErrorMessage="1" promptTitle="Waterfall as CP" prompt="&#10;Yes = Waterfall used as CP&#10;&#10;No = Waterfall not used as CP" sqref="L79">
      <formula1>"YES,NO"</formula1>
    </dataValidation>
    <dataValidation type="list" allowBlank="1" showInputMessage="1" showErrorMessage="1" promptTitle="Breaker Change" prompt="This parameter decides if a password is required to change the number of phase or the breaker (current) value.&#10;&#10;Apply to: in.k500, in.k800 and in.k1000&#10;&#10;[MiscCfg]" sqref="L78">
      <formula1>"No_Restriction,Password_Protected"</formula1>
    </dataValidation>
    <dataValidation type="list" allowBlank="1" showInputMessage="1" showErrorMessage="1" promptTitle="Config Change" prompt="This parameter decides if a password is required to change the selected Low Level configuration.&#10;&#10;Apply to: in.k500 and in.k800 (in.k1000 is ALWAYS password protected)&#10;&#10;[MiscCfg]" sqref="L77">
      <formula1>"No_Restriction,Password_Protected"</formula1>
    </dataValidation>
    <dataValidation type="list" allowBlank="1" showInputMessage="1" showErrorMessage="1" promptTitle="Ozone Type" prompt="If a cycled type of Ozone is chosen, the ozone output will “toggle” on or off every 20 minutes when the Ozone is required." sqref="P71:Q71">
      <formula1>"Standard,Cycled"</formula1>
    </dataValidation>
    <dataValidation type="whole" allowBlank="1" showInputMessage="1" showErrorMessage="1" promptTitle="Ozone Suspend" prompt="Period of time the Ozone generator will remain suspended after completion of the last user demand. (Between 0 to 240 min). " sqref="P70:Q70">
      <formula1>0</formula1>
      <formula2>240</formula2>
    </dataValidation>
    <dataValidation type="list" allowBlank="1" showInputMessage="1" showErrorMessage="1" promptTitle="Econ Type" prompt="Standard = Temperature fixed to 20°F under the set point.&#10;Night = Temperature fixed to 20°F under the set point and the filtering is suspended.&#10;&#10;[WaterTemperatureControl]" sqref="P74">
      <formula1>"Standard,Night"</formula1>
    </dataValidation>
    <dataValidation type="list" allowBlank="1" showInputMessage="1" showErrorMessage="1" promptTitle="Econ Prog Available" prompt="Disable: The programmable Economy is not available. &#10;&#10;Standard: The programmable economy use the schedule (Start, Duration)&#10;&#10;Out. filter: The economy is active when filtering is off.&#10;&#10;[SpaPackInternalOptions]" sqref="P75">
      <formula1>"Disable,Standard,Outside Filter"</formula1>
    </dataValidation>
    <dataValidation type="whole" allowBlank="1" showInputMessage="1" showErrorMessage="1" promptTitle="Programmable Economy Duration:" prompt="Programmable Economy mode duration.  &#10;Value between 1 and 24 hours or 0 if Out Filter is selected." sqref="P78">
      <formula1>0</formula1>
      <formula2>24</formula2>
    </dataValidation>
    <dataValidation type="list" allowBlank="1" showInputMessage="1" showErrorMessage="1" promptTitle="Regulation probe location" prompt="Defined the place where the regulation probe is located." sqref="P90">
      <formula1>"Piping,Tub"</formula1>
    </dataValidation>
    <dataValidation type="list" allowBlank="1" showInputMessage="1" showErrorMessage="1" promptTitle="Flow detector type" prompt="Choose the type of flow detector who is used.&#10;&#10;Important:  this parameter is not in the lowlevel. &#10;The pack automatically detects which probe it's using. &#10;This information is only useful when creating the pack instructions." sqref="P89">
      <formula1>"Not installed,InFlow,Pressure switch"</formula1>
    </dataValidation>
    <dataValidation type="list" allowBlank="1" showInputMessage="1" showErrorMessage="1" promptTitle="Heater Power" prompt="Select heat.wav model&#10;&#10;&#10;" sqref="T90">
      <formula1>"2000, 3000, 3600,4000, 5500"</formula1>
    </dataValidation>
    <dataValidation type="whole" allowBlank="1" showInputMessage="1" showErrorMessage="1" promptTitle="Direct Output 2 current" prompt="Value between 1 and 5A.&#10;0 = Not Installed.&#10;" sqref="T89">
      <formula1>0</formula1>
      <formula2>5</formula2>
    </dataValidation>
    <dataValidation type="list" allowBlank="1" showInputMessage="1" showErrorMessage="1" promptTitle="Maximum number of phases:" prompt="Maximum number of phases selectable by the user.&#10;&#10;UL: must choose between 1 (Standard) or 2 phases (Swim Spa).&#10;&#10;CE: must choose between 1, 2 or 3 phases (Standard and Swim Spa)." sqref="T59:U59">
      <formula1>"1 Phase,2 Phases,3 Phases"</formula1>
    </dataValidation>
    <dataValidation type="whole" allowBlank="1" showInputMessage="1" showErrorMessage="1" promptTitle="Default Input Current" prompt="Value between 10A - 48A. &#10;&#10;For more information refer to Installer options in Detailed specifications (Software)." sqref="T60:U60">
      <formula1>10</formula1>
      <formula2>48</formula2>
    </dataValidation>
    <dataValidation type="whole" allowBlank="1" showInputMessage="1" showErrorMessage="1" promptTitle="Minimum Input Current" prompt="&#10;Value must be set between 0A and 48A, default = 10A&#10;&#10;(Normally, this defined the current value of a Direct, the heater and the associated pump)." sqref="T61:U61">
      <formula1>0</formula1>
      <formula2>48</formula2>
    </dataValidation>
    <dataValidation type="list" allowBlank="1" showInputMessage="1" showErrorMessage="1" promptTitle="Aux On Custom Key" prompt="Allow control of the auxiliary output&#10;Enabled automatically for configurations with AUX output&#10;Disabled automatically for configuration without AUX output&#10;&#10;[SpaPackInternalOptions]" sqref="P85">
      <formula1>"Self-set"</formula1>
    </dataValidation>
    <dataValidation type="whole" allowBlank="1" showInputMessage="1" showErrorMessage="1" promptTitle="Overtemp Trigger" prompt="Number of °F (2 to 25) above the set point at which the Overtemp protection will be triggered (activated.)" sqref="P59:Q59">
      <formula1>2</formula1>
      <formula2>25</formula2>
    </dataValidation>
    <dataValidation type="whole" allowBlank="1" showInputMessage="1" showErrorMessage="1" promptTitle="Filter Overtemp" prompt="This guarantees a minimum amount of filter time per day, even if the Overtemp protection has triggered.&#10;&#10;For example, if Filter Overtemp is 2h, and the frequency is set to 2, there will be two one-hour filter cycles per day.&#10; &#10;Value (1 to 24 hours)." sqref="P62:Q62">
      <formula1>1</formula1>
      <formula2>24</formula2>
    </dataValidation>
    <dataValidation type="whole" allowBlank="1" showInputMessage="1" showErrorMessage="1" promptTitle="Maximum CP Off time" prompt="Available only when the Circulation Pump is set to Always On, the Circulation Pump will remain Off for a maximum amount of consecutive hours to ensure adequate filtering, even if the Overtemp protection has triggered. Value (0 to 12 hours)." sqref="P61:Q61">
      <formula1>0</formula1>
      <formula2>12</formula2>
    </dataValidation>
    <dataValidation type="whole" allowBlank="1" showInputMessage="1" showErrorMessage="1" promptTitle="Maximum CP On time" prompt="Available only when the Circulation Pump is set to Always On. This value sets the maximum consecutive hours the Circulation Pump will be allowed to run to ensure adequate filtration, even if the Overtemp protection has triggered. Value (0 to 12 hours)." sqref="P60:Q60">
      <formula1>0</formula1>
      <formula2>12</formula2>
    </dataValidation>
    <dataValidation type="list" allowBlank="1" showInputMessage="1" showErrorMessage="1" promptTitle="Overtemp options:" prompt="Disable (Not protected)&#10;&#10;Always On (overtemp is trig over Set Point + Trigger value)&#10;&#10;Over 95 (minimum set point temperature at which the Overtemp protection feature will be turned on)." sqref="P58:Q58">
      <formula1>"Disable,Always ON,Over 95°F"</formula1>
    </dataValidation>
    <dataValidation type="list" allowBlank="1" showInputMessage="1" showErrorMessage="1" promptTitle="Econ Controlable Manually" prompt="Allow manual activation or deactivation of the Economy Mode without altering the programmed start time and duration.&#10;&#10;[SpaPackInternalOptions]" sqref="P83">
      <formula1>"Disable,Enable"</formula1>
    </dataValidation>
    <dataValidation type="list" allowBlank="1" showInputMessage="1" showErrorMessage="1" promptTitle="Off On Custom Key" prompt="Turns off everything (including SWM) for 30 minutes.&#10;&#10;*Always enabled as &quot;Standby&quot; on graphic keypads*&#10;&#10;[SpaPackInternalOptions]&#10;" sqref="P82">
      <formula1>"Disable,Enable"</formula1>
    </dataValidation>
    <dataValidation type="list" allowBlank="1" showInputMessage="1" showErrorMessage="1" promptTitle="Soak Mode" prompt="This function is useful when the user wishes to stand in silence in the spa. Cancel everything but the water temperature regulation for 30 min." sqref="P81">
      <formula1>"Disable,Enable"</formula1>
    </dataValidation>
    <dataValidation type="list" allowBlank="1" showInputMessage="1" showErrorMessage="1" promptTitle="Manual Clean Up mode" prompt="This function is useful to start a purge step anytime you want." sqref="P80">
      <formula1>"Disable,Enable"</formula1>
    </dataValidation>
    <dataValidation allowBlank="1" showInputMessage="1" showErrorMessage="1" promptTitle="SPEC Number" prompt="The new spec number now is same as the software number.&#10;Ex.:&#10;Software number: 565&#10;Software revision: 001&#10;Specification number: SP565001" sqref="AC1"/>
    <dataValidation type="list" allowBlank="1" showInputMessage="1" showErrorMessage="1" promptTitle="Filter Interface" prompt="Choose between: &#10;PurgeOnly (used with CP always On) &#10;FiltCP (CP is used to filter) &#10;FiltP1 (P1L is used to filter) &#10;FiltP1L, 2 Dur (P1L is used to filter with 2 durations)." sqref="AC19 AC21:AC53">
      <formula1>"'--,Purge only,With CP,With P1,With P1 (2 Dur)"</formula1>
    </dataValidation>
  </dataValidations>
  <printOptions horizontalCentered="1" verticalCentered="1"/>
  <pageMargins left="0.19685039370078741" right="0.19685039370078741" top="0.19685039370078741" bottom="0.19685039370078741" header="0" footer="0.19685039370078741"/>
  <pageSetup paperSize="5" scale="42" orientation="landscape" r:id="rId2"/>
  <headerFooter>
    <oddFooter>&amp;C&amp;"Arial,Gras"&amp;D</oddFooter>
  </headerFooter>
  <drawing r:id="rId3"/>
  <legacyDrawing r:id="rId4"/>
  <extLst xmlns:xr="http://schemas.microsoft.com/office/spreadsheetml/2014/revision" xmlns:x14="http://schemas.microsoft.com/office/spreadsheetml/2009/9/main">
    <ext uri="{78C0D931-6437-407d-A8EE-F0AAD7539E65}">
      <x14:conditionalFormattings>
        <x14:conditionalFormatting xmlns:xm="http://schemas.microsoft.com/office/excel/2006/main">
          <x14:cfRule type="expression" priority="55" id="{E239EF05-5008-4182-86A6-D56D65BE0EAE}">
            <xm:f>AND(VLOOKUP(CONCATENATE(K$14,"current"),'Supply Attribution'!$F$23:$G$28,2,FALSE)&gt;20,(MID(K21,3,1)&lt;&gt;"_"),K21&lt;&gt;"",K21&lt;&gt;"--")</xm:f>
            <x14:dxf>
              <fill>
                <patternFill>
                  <bgColor rgb="FFFF0000"/>
                </patternFill>
              </fill>
            </x14:dxf>
          </x14:cfRule>
          <xm:sqref>Q21:Y40 K41:Y53</xm:sqref>
        </x14:conditionalFormatting>
      </x14:conditionalFormattings>
    </ext>
    <ext uri="{CCE6A557-97BC-4b89-ADB6-D9C93CAAB3DF}">
      <x14:dataValidations xmlns:xm="http://schemas.microsoft.com/office/excel/2006/main" xWindow="1109" yWindow="877" count="6">
        <x14:dataValidation type="list" allowBlank="1" showInputMessage="1" showErrorMessage="1" promptTitle="Relays &amp; Tabs ID" prompt="Select relay associated with high speed for this position" xr:uid="{8DC10BF5-1C72-480E-826A-AF2D0BDD10EC}">
          <x14:formula1>
            <xm:f>'Supply Attribution'!$M$14:$W$14</xm:f>
          </x14:formula1>
          <xm:sqref>K12:Q12</xm:sqref>
        </x14:dataValidation>
        <x14:dataValidation type="list" allowBlank="1" showInputMessage="1" showErrorMessage="1" xr:uid="{00523281-94B1-4E5D-9C55-BFCEA0E82EB8}">
          <x14:formula1>
            <xm:f>'Supply Attribution'!$M$14:$W$14</xm:f>
          </x14:formula1>
          <xm:sqref>K10:Q10</xm:sqref>
        </x14:dataValidation>
        <x14:dataValidation type="list" allowBlank="1" showInputMessage="1" showErrorMessage="1" xr:uid="{3D3396C0-324E-4F44-84B4-EC14DF8BB41C}">
          <x14:formula1>
            <xm:f>'Supply Attribution'!$W$14:$AD$14</xm:f>
          </x14:formula1>
          <xm:sqref>R10:Y10</xm:sqref>
        </x14:dataValidation>
        <x14:dataValidation type="list" allowBlank="1" showInputMessage="1" showErrorMessage="1" promptTitle="Relays &amp; Tabs ID" prompt="Select relay associated with high speed for this position" xr:uid="{27E4A950-ED87-46E3-B07E-5C08F033F2A8}">
          <x14:formula1>
            <xm:f>'Supply Attribution'!$W$14:$AD$14</xm:f>
          </x14:formula1>
          <xm:sqref>R12:Y12</xm:sqref>
        </x14:dataValidation>
        <x14:dataValidation type="list" allowBlank="1" showInputMessage="1" showErrorMessage="1" xr:uid="{F3D6773F-7740-4B44-BF5E-4AEC6DC19F5D}">
          <x14:formula1>
            <xm:f>'Supply Attribution'!$AH$5:$AH$9</xm:f>
          </x14:formula1>
          <xm:sqref>K1</xm:sqref>
        </x14:dataValidation>
        <x14:dataValidation type="list" allowBlank="1" showInputMessage="1" showErrorMessage="1" xr:uid="{210F076E-5219-4171-A090-797A39E1B6B7}">
          <x14:formula1>
            <xm:f>'Supply Attribution'!$AG$5:$AG$11</xm:f>
          </x14:formula1>
          <xm:sqref>K2</xm:sqref>
        </x14:dataValidation>
      </x14:dataValidations>
    </ext>
  </extLst>
</worksheet>
</file>

<file path=xl/worksheets/sheet4.xml><?xml version="1.0" encoding="utf-8"?>
<worksheet xmlns="http://schemas.openxmlformats.org/spreadsheetml/2006/main" xmlns:r="http://schemas.openxmlformats.org/officeDocument/2006/relationships">
  <dimension ref="A1:O203"/>
  <sheetViews>
    <sheetView topLeftCell="A131" zoomScale="130" zoomScaleNormal="130" workbookViewId="0">
      <selection activeCell="C157" sqref="C157"/>
    </sheetView>
  </sheetViews>
  <sheetFormatPr defaultColWidth="11.42578125" defaultRowHeight="12.75"/>
  <cols>
    <col min="1" max="1" width="11.42578125" style="645"/>
    <col min="2" max="2" width="30.140625" style="645" customWidth="1"/>
    <col min="3" max="9" width="11.42578125" style="645"/>
    <col min="10" max="10" width="19" style="645" customWidth="1"/>
    <col min="11" max="11" width="22.7109375" style="645" customWidth="1"/>
    <col min="12" max="12" width="26.140625" style="645" customWidth="1"/>
    <col min="13" max="13" width="11.42578125" style="645"/>
    <col min="14" max="14" width="2.28515625" style="645" customWidth="1"/>
    <col min="15" max="16384" width="11.42578125" style="645"/>
  </cols>
  <sheetData>
    <row r="1" spans="1:15" ht="27" thickBot="1">
      <c r="A1" s="817" t="s">
        <v>472</v>
      </c>
      <c r="B1" s="818"/>
      <c r="C1" s="818"/>
      <c r="D1" s="818"/>
      <c r="E1" s="818"/>
      <c r="F1" s="818"/>
      <c r="G1" s="818"/>
      <c r="H1" s="818"/>
      <c r="I1" s="819" t="s">
        <v>593</v>
      </c>
      <c r="J1" s="819"/>
      <c r="K1" s="819"/>
      <c r="L1" s="819"/>
      <c r="M1" s="819"/>
      <c r="N1" s="643"/>
      <c r="O1" s="644"/>
    </row>
    <row r="2" spans="1:15" ht="16.5" thickBot="1">
      <c r="A2" s="646" t="s">
        <v>473</v>
      </c>
      <c r="B2" s="647" t="s">
        <v>585</v>
      </c>
      <c r="C2" s="648" t="s">
        <v>474</v>
      </c>
      <c r="D2" s="649">
        <v>1</v>
      </c>
      <c r="E2" s="820"/>
      <c r="F2" s="821"/>
      <c r="G2" s="821"/>
      <c r="H2" s="821"/>
      <c r="I2" s="821"/>
      <c r="J2" s="821"/>
      <c r="K2" s="821"/>
      <c r="L2" s="821"/>
      <c r="M2" s="821"/>
      <c r="N2" s="643"/>
      <c r="O2" s="644"/>
    </row>
    <row r="3" spans="1:15" ht="16.5" thickBot="1">
      <c r="A3" s="650" t="s">
        <v>475</v>
      </c>
      <c r="B3" s="651" t="s">
        <v>587</v>
      </c>
      <c r="C3" s="652" t="s">
        <v>474</v>
      </c>
      <c r="D3" s="653">
        <v>1</v>
      </c>
      <c r="E3" s="822"/>
      <c r="F3" s="823"/>
      <c r="G3" s="823"/>
      <c r="H3" s="823"/>
      <c r="I3" s="823"/>
      <c r="J3" s="823"/>
      <c r="K3" s="823"/>
      <c r="L3" s="823"/>
      <c r="M3" s="823"/>
      <c r="N3" s="643"/>
      <c r="O3" s="644"/>
    </row>
    <row r="4" spans="1:15" ht="15.75" thickBot="1">
      <c r="A4" s="824"/>
      <c r="B4" s="825"/>
      <c r="C4" s="825"/>
      <c r="D4" s="825"/>
      <c r="E4" s="825"/>
      <c r="F4" s="825"/>
      <c r="G4" s="825"/>
      <c r="H4" s="825"/>
      <c r="I4" s="825"/>
      <c r="J4" s="825"/>
      <c r="K4" s="825"/>
      <c r="L4" s="825"/>
      <c r="M4" s="825"/>
      <c r="N4" s="643"/>
      <c r="O4" s="644"/>
    </row>
    <row r="5" spans="1:15" ht="27" thickBot="1">
      <c r="A5" s="826" t="s">
        <v>476</v>
      </c>
      <c r="B5" s="827"/>
      <c r="C5" s="827"/>
      <c r="D5" s="827"/>
      <c r="E5" s="827"/>
      <c r="F5" s="827"/>
      <c r="G5" s="827"/>
      <c r="H5" s="827"/>
      <c r="I5" s="827"/>
      <c r="J5" s="827"/>
      <c r="K5" s="827"/>
      <c r="L5" s="827"/>
      <c r="M5" s="827"/>
      <c r="N5" s="643"/>
      <c r="O5" s="644"/>
    </row>
    <row r="6" spans="1:15" ht="31.15" customHeight="1" thickBot="1">
      <c r="A6" s="832" t="s">
        <v>477</v>
      </c>
      <c r="B6" s="833"/>
      <c r="C6" s="828" t="s">
        <v>478</v>
      </c>
      <c r="D6" s="829"/>
      <c r="E6" s="828" t="s">
        <v>479</v>
      </c>
      <c r="F6" s="829"/>
      <c r="G6" s="828" t="s">
        <v>480</v>
      </c>
      <c r="H6" s="829"/>
      <c r="I6" s="828" t="s">
        <v>481</v>
      </c>
      <c r="J6" s="829"/>
      <c r="K6" s="828" t="s">
        <v>482</v>
      </c>
      <c r="L6" s="829"/>
      <c r="M6" s="655"/>
      <c r="N6" s="643"/>
      <c r="O6" s="644"/>
    </row>
    <row r="7" spans="1:15" ht="46.9" customHeight="1">
      <c r="A7" s="830" t="s">
        <v>483</v>
      </c>
      <c r="B7" s="831"/>
      <c r="C7" s="832" t="s">
        <v>484</v>
      </c>
      <c r="D7" s="833"/>
      <c r="E7" s="832" t="s">
        <v>485</v>
      </c>
      <c r="F7" s="833"/>
      <c r="G7" s="832" t="s">
        <v>486</v>
      </c>
      <c r="H7" s="833"/>
      <c r="I7" s="832" t="s">
        <v>487</v>
      </c>
      <c r="J7" s="833"/>
      <c r="K7" s="832"/>
      <c r="L7" s="833"/>
      <c r="M7" s="656"/>
      <c r="N7" s="643"/>
      <c r="O7" s="644"/>
    </row>
    <row r="8" spans="1:15" ht="15.6" customHeight="1">
      <c r="A8" s="836" t="s">
        <v>488</v>
      </c>
      <c r="B8" s="837"/>
      <c r="C8" s="836" t="s">
        <v>488</v>
      </c>
      <c r="D8" s="837"/>
      <c r="E8" s="836" t="s">
        <v>488</v>
      </c>
      <c r="F8" s="837"/>
      <c r="G8" s="836" t="s">
        <v>488</v>
      </c>
      <c r="H8" s="837"/>
      <c r="I8" s="836" t="s">
        <v>489</v>
      </c>
      <c r="J8" s="837"/>
      <c r="K8" s="836" t="s">
        <v>489</v>
      </c>
      <c r="L8" s="837"/>
      <c r="M8" s="656"/>
      <c r="N8" s="643"/>
      <c r="O8" s="644"/>
    </row>
    <row r="9" spans="1:15" ht="16.5" thickBot="1">
      <c r="A9" s="834" t="s">
        <v>490</v>
      </c>
      <c r="B9" s="835"/>
      <c r="C9" s="834" t="s">
        <v>491</v>
      </c>
      <c r="D9" s="835"/>
      <c r="E9" s="834" t="s">
        <v>491</v>
      </c>
      <c r="F9" s="835"/>
      <c r="G9" s="834" t="s">
        <v>491</v>
      </c>
      <c r="H9" s="835"/>
      <c r="I9" s="834"/>
      <c r="J9" s="835"/>
      <c r="K9" s="834" t="s">
        <v>492</v>
      </c>
      <c r="L9" s="835"/>
      <c r="M9" s="657"/>
      <c r="N9" s="643"/>
      <c r="O9" s="644"/>
    </row>
    <row r="10" spans="1:15" ht="15">
      <c r="A10" s="658"/>
      <c r="B10" s="643"/>
      <c r="C10" s="643"/>
      <c r="D10" s="643"/>
      <c r="E10" s="643"/>
      <c r="F10" s="643"/>
      <c r="G10" s="643"/>
      <c r="H10" s="643"/>
      <c r="I10" s="643"/>
      <c r="J10" s="643"/>
      <c r="K10" s="643"/>
      <c r="L10" s="643"/>
      <c r="M10" s="643"/>
      <c r="N10" s="643"/>
      <c r="O10" s="644"/>
    </row>
    <row r="11" spans="1:15" ht="15">
      <c r="A11" s="659"/>
      <c r="B11" s="644"/>
      <c r="C11" s="644"/>
      <c r="D11" s="644"/>
      <c r="E11" s="644"/>
      <c r="F11" s="644"/>
      <c r="G11" s="644"/>
      <c r="H11" s="644"/>
      <c r="I11" s="644"/>
      <c r="J11" s="644"/>
      <c r="K11" s="644"/>
      <c r="L11" s="644"/>
      <c r="M11" s="644"/>
      <c r="N11" s="644"/>
      <c r="O11" s="644"/>
    </row>
    <row r="12" spans="1:15" ht="27" thickBot="1">
      <c r="A12" s="660" t="s">
        <v>493</v>
      </c>
      <c r="B12" s="660"/>
      <c r="C12" s="660"/>
      <c r="D12" s="660"/>
      <c r="E12" s="660"/>
      <c r="F12" s="660"/>
      <c r="G12" s="660"/>
      <c r="H12" s="660"/>
      <c r="I12" s="661"/>
      <c r="J12" s="661"/>
      <c r="K12" s="661"/>
      <c r="L12" s="661"/>
      <c r="M12" s="661"/>
      <c r="N12" s="841"/>
      <c r="O12" s="841"/>
    </row>
    <row r="13" spans="1:15" ht="27" thickBot="1">
      <c r="A13" s="662"/>
      <c r="B13" s="662"/>
      <c r="C13" s="662"/>
      <c r="D13" s="662"/>
      <c r="E13" s="662"/>
      <c r="F13" s="662"/>
      <c r="G13" s="662"/>
      <c r="H13" s="662"/>
      <c r="I13" s="661"/>
      <c r="J13" s="661"/>
      <c r="K13" s="661"/>
      <c r="L13" s="661"/>
      <c r="M13" s="661"/>
      <c r="N13" s="841"/>
      <c r="O13" s="841"/>
    </row>
    <row r="14" spans="1:15" ht="27" thickBot="1">
      <c r="A14" s="662"/>
      <c r="B14" s="662"/>
      <c r="C14" s="662"/>
      <c r="D14" s="662"/>
      <c r="E14" s="662"/>
      <c r="F14" s="662"/>
      <c r="G14" s="662"/>
      <c r="H14" s="662"/>
      <c r="I14" s="661"/>
      <c r="J14" s="842" t="s">
        <v>494</v>
      </c>
      <c r="K14" s="843"/>
      <c r="L14" s="844" t="s">
        <v>594</v>
      </c>
      <c r="M14" s="845"/>
      <c r="N14" s="841"/>
      <c r="O14" s="841"/>
    </row>
    <row r="15" spans="1:15" ht="16.5" thickBot="1">
      <c r="A15" s="663"/>
      <c r="B15" s="663"/>
      <c r="C15" s="663"/>
      <c r="D15" s="663"/>
      <c r="E15" s="663"/>
      <c r="F15" s="663"/>
      <c r="G15" s="663"/>
      <c r="H15" s="663"/>
      <c r="I15" s="661"/>
      <c r="J15" s="664" t="s">
        <v>495</v>
      </c>
      <c r="K15" s="665" t="s">
        <v>591</v>
      </c>
      <c r="L15" s="666" t="s">
        <v>474</v>
      </c>
      <c r="M15" s="665" t="s">
        <v>590</v>
      </c>
      <c r="N15" s="846"/>
      <c r="O15" s="841"/>
    </row>
    <row r="16" spans="1:15" ht="16.5" thickBot="1">
      <c r="A16" s="659"/>
      <c r="B16" s="644"/>
      <c r="C16" s="644"/>
      <c r="D16" s="644"/>
      <c r="E16" s="644"/>
      <c r="F16" s="644"/>
      <c r="G16" s="644"/>
      <c r="H16" s="644"/>
      <c r="I16" s="644"/>
      <c r="J16" s="664" t="s">
        <v>496</v>
      </c>
      <c r="K16" s="665" t="s">
        <v>595</v>
      </c>
      <c r="L16" s="666" t="s">
        <v>474</v>
      </c>
      <c r="M16" s="665">
        <v>1</v>
      </c>
      <c r="N16" s="644"/>
      <c r="O16" s="644"/>
    </row>
    <row r="17" spans="1:15" ht="15.75" thickBot="1">
      <c r="A17" s="644"/>
      <c r="B17" s="644"/>
      <c r="C17" s="644"/>
      <c r="D17" s="644"/>
      <c r="E17" s="644"/>
      <c r="F17" s="644"/>
      <c r="G17" s="644"/>
      <c r="H17" s="644"/>
      <c r="I17" s="644"/>
      <c r="J17" s="644"/>
      <c r="K17" s="644"/>
      <c r="L17" s="644"/>
      <c r="M17" s="644"/>
      <c r="N17" s="644"/>
      <c r="O17" s="644"/>
    </row>
    <row r="18" spans="1:15" ht="27" thickBot="1">
      <c r="A18" s="847" t="s">
        <v>497</v>
      </c>
      <c r="B18" s="848"/>
      <c r="C18" s="848"/>
      <c r="D18" s="848"/>
      <c r="E18" s="848"/>
      <c r="F18" s="848"/>
      <c r="G18" s="848"/>
      <c r="H18" s="848"/>
      <c r="I18" s="848"/>
      <c r="J18" s="848"/>
      <c r="K18" s="848"/>
      <c r="L18" s="848"/>
      <c r="M18" s="848"/>
      <c r="N18" s="667"/>
      <c r="O18" s="644"/>
    </row>
    <row r="19" spans="1:15" ht="34.5" thickBot="1">
      <c r="A19" s="668" t="s">
        <v>498</v>
      </c>
      <c r="B19" s="654" t="s">
        <v>499</v>
      </c>
      <c r="C19" s="654" t="s">
        <v>500</v>
      </c>
      <c r="D19" s="654" t="s">
        <v>501</v>
      </c>
      <c r="E19" s="654" t="s">
        <v>502</v>
      </c>
      <c r="F19" s="654" t="s">
        <v>503</v>
      </c>
      <c r="G19" s="654" t="s">
        <v>504</v>
      </c>
      <c r="H19" s="654" t="s">
        <v>286</v>
      </c>
      <c r="I19" s="654" t="s">
        <v>287</v>
      </c>
      <c r="J19" s="654" t="s">
        <v>479</v>
      </c>
      <c r="K19" s="654" t="s">
        <v>505</v>
      </c>
      <c r="L19" s="654" t="s">
        <v>481</v>
      </c>
      <c r="M19" s="654" t="s">
        <v>482</v>
      </c>
      <c r="N19" s="644"/>
      <c r="O19" s="644"/>
    </row>
    <row r="20" spans="1:15" ht="32.25" hidden="1" thickBot="1">
      <c r="A20" s="838">
        <v>1</v>
      </c>
      <c r="B20" s="669" t="s">
        <v>506</v>
      </c>
      <c r="C20" s="669" t="s">
        <v>506</v>
      </c>
      <c r="D20" s="669"/>
      <c r="E20" s="669"/>
      <c r="F20" s="669"/>
      <c r="G20" s="669"/>
      <c r="H20" s="669" t="s">
        <v>507</v>
      </c>
      <c r="I20" s="669"/>
      <c r="J20" s="669" t="s">
        <v>508</v>
      </c>
      <c r="K20" s="669" t="s">
        <v>509</v>
      </c>
      <c r="L20" s="669" t="s">
        <v>510</v>
      </c>
      <c r="M20" s="669" t="s">
        <v>511</v>
      </c>
      <c r="N20" s="670"/>
      <c r="O20" s="670"/>
    </row>
    <row r="21" spans="1:15" ht="16.5" hidden="1" thickBot="1">
      <c r="A21" s="839"/>
      <c r="B21" s="671" t="s">
        <v>512</v>
      </c>
      <c r="C21" s="671" t="s">
        <v>513</v>
      </c>
      <c r="D21" s="671"/>
      <c r="E21" s="671"/>
      <c r="F21" s="671"/>
      <c r="G21" s="671"/>
      <c r="H21" s="671" t="s">
        <v>514</v>
      </c>
      <c r="I21" s="671"/>
      <c r="J21" s="671" t="s">
        <v>515</v>
      </c>
      <c r="K21" s="671" t="s">
        <v>516</v>
      </c>
      <c r="L21" s="671" t="s">
        <v>511</v>
      </c>
      <c r="M21" s="671"/>
      <c r="N21" s="644"/>
      <c r="O21" s="644"/>
    </row>
    <row r="22" spans="1:15" ht="32.25" hidden="1" thickBot="1">
      <c r="A22" s="840"/>
      <c r="B22" s="672" t="s">
        <v>517</v>
      </c>
      <c r="C22" s="672" t="s">
        <v>517</v>
      </c>
      <c r="D22" s="672"/>
      <c r="E22" s="672"/>
      <c r="F22" s="672"/>
      <c r="G22" s="672"/>
      <c r="H22" s="672" t="s">
        <v>518</v>
      </c>
      <c r="I22" s="672"/>
      <c r="J22" s="672" t="s">
        <v>519</v>
      </c>
      <c r="K22" s="672"/>
      <c r="L22" s="672"/>
      <c r="M22" s="672" t="s">
        <v>520</v>
      </c>
      <c r="N22" s="673"/>
      <c r="O22" s="673"/>
    </row>
    <row r="23" spans="1:15" ht="32.25" hidden="1" thickBot="1">
      <c r="A23" s="849">
        <v>2</v>
      </c>
      <c r="B23" s="674" t="s">
        <v>506</v>
      </c>
      <c r="C23" s="674" t="s">
        <v>506</v>
      </c>
      <c r="D23" s="675"/>
      <c r="E23" s="676"/>
      <c r="F23" s="676"/>
      <c r="G23" s="676"/>
      <c r="H23" s="674" t="s">
        <v>507</v>
      </c>
      <c r="I23" s="675"/>
      <c r="J23" s="675"/>
      <c r="K23" s="674" t="s">
        <v>521</v>
      </c>
      <c r="L23" s="676" t="s">
        <v>510</v>
      </c>
      <c r="M23" s="676" t="s">
        <v>522</v>
      </c>
      <c r="N23" s="670"/>
      <c r="O23" s="670"/>
    </row>
    <row r="24" spans="1:15" ht="16.5" hidden="1" thickBot="1">
      <c r="A24" s="850"/>
      <c r="B24" s="677" t="s">
        <v>512</v>
      </c>
      <c r="C24" s="677" t="s">
        <v>513</v>
      </c>
      <c r="D24" s="677"/>
      <c r="E24" s="678"/>
      <c r="F24" s="678"/>
      <c r="G24" s="678"/>
      <c r="H24" s="677" t="s">
        <v>514</v>
      </c>
      <c r="I24" s="677"/>
      <c r="J24" s="677"/>
      <c r="K24" s="677" t="s">
        <v>516</v>
      </c>
      <c r="L24" s="678" t="s">
        <v>522</v>
      </c>
      <c r="M24" s="678"/>
      <c r="N24" s="644"/>
      <c r="O24" s="644"/>
    </row>
    <row r="25" spans="1:15" ht="32.25" hidden="1" thickBot="1">
      <c r="A25" s="851"/>
      <c r="B25" s="679" t="s">
        <v>517</v>
      </c>
      <c r="C25" s="679" t="s">
        <v>517</v>
      </c>
      <c r="D25" s="679"/>
      <c r="E25" s="680"/>
      <c r="F25" s="680"/>
      <c r="G25" s="680"/>
      <c r="H25" s="679" t="s">
        <v>518</v>
      </c>
      <c r="I25" s="679"/>
      <c r="J25" s="679"/>
      <c r="K25" s="679"/>
      <c r="L25" s="680"/>
      <c r="M25" s="680" t="s">
        <v>520</v>
      </c>
      <c r="N25" s="673"/>
      <c r="O25" s="673"/>
    </row>
    <row r="26" spans="1:15" ht="32.25" hidden="1" thickBot="1">
      <c r="A26" s="838">
        <v>3</v>
      </c>
      <c r="B26" s="669" t="s">
        <v>506</v>
      </c>
      <c r="C26" s="681"/>
      <c r="D26" s="681"/>
      <c r="E26" s="681"/>
      <c r="F26" s="681"/>
      <c r="G26" s="681"/>
      <c r="H26" s="669" t="s">
        <v>507</v>
      </c>
      <c r="I26" s="669"/>
      <c r="J26" s="669" t="s">
        <v>508</v>
      </c>
      <c r="K26" s="669" t="s">
        <v>509</v>
      </c>
      <c r="L26" s="681" t="s">
        <v>510</v>
      </c>
      <c r="M26" s="681" t="s">
        <v>511</v>
      </c>
      <c r="N26" s="670"/>
      <c r="O26" s="670"/>
    </row>
    <row r="27" spans="1:15" ht="16.5" hidden="1" thickBot="1">
      <c r="A27" s="839"/>
      <c r="B27" s="671" t="s">
        <v>512</v>
      </c>
      <c r="C27" s="671"/>
      <c r="D27" s="671"/>
      <c r="E27" s="671"/>
      <c r="F27" s="671"/>
      <c r="G27" s="671"/>
      <c r="H27" s="671" t="s">
        <v>514</v>
      </c>
      <c r="I27" s="671"/>
      <c r="J27" s="671" t="s">
        <v>515</v>
      </c>
      <c r="K27" s="671" t="s">
        <v>516</v>
      </c>
      <c r="L27" s="671" t="s">
        <v>511</v>
      </c>
      <c r="M27" s="671"/>
      <c r="N27" s="644"/>
      <c r="O27" s="644"/>
    </row>
    <row r="28" spans="1:15" ht="32.25" hidden="1" thickBot="1">
      <c r="A28" s="840"/>
      <c r="B28" s="672" t="s">
        <v>517</v>
      </c>
      <c r="C28" s="672"/>
      <c r="D28" s="672"/>
      <c r="E28" s="672"/>
      <c r="F28" s="672"/>
      <c r="G28" s="672"/>
      <c r="H28" s="672" t="s">
        <v>518</v>
      </c>
      <c r="I28" s="672"/>
      <c r="J28" s="672" t="s">
        <v>519</v>
      </c>
      <c r="K28" s="672"/>
      <c r="L28" s="672"/>
      <c r="M28" s="672" t="s">
        <v>520</v>
      </c>
      <c r="N28" s="673"/>
      <c r="O28" s="673"/>
    </row>
    <row r="29" spans="1:15" ht="32.25" hidden="1" thickBot="1">
      <c r="A29" s="852">
        <v>4</v>
      </c>
      <c r="B29" s="674" t="s">
        <v>506</v>
      </c>
      <c r="C29" s="676"/>
      <c r="D29" s="676"/>
      <c r="E29" s="676"/>
      <c r="F29" s="676"/>
      <c r="G29" s="676"/>
      <c r="H29" s="674" t="s">
        <v>507</v>
      </c>
      <c r="I29" s="675"/>
      <c r="J29" s="675"/>
      <c r="K29" s="674" t="s">
        <v>521</v>
      </c>
      <c r="L29" s="676" t="s">
        <v>510</v>
      </c>
      <c r="M29" s="676" t="s">
        <v>522</v>
      </c>
      <c r="N29" s="670"/>
      <c r="O29" s="670"/>
    </row>
    <row r="30" spans="1:15" ht="16.5" hidden="1" thickBot="1">
      <c r="A30" s="853"/>
      <c r="B30" s="677" t="s">
        <v>512</v>
      </c>
      <c r="C30" s="678"/>
      <c r="D30" s="678"/>
      <c r="E30" s="678"/>
      <c r="F30" s="678"/>
      <c r="G30" s="678"/>
      <c r="H30" s="677" t="s">
        <v>514</v>
      </c>
      <c r="I30" s="677"/>
      <c r="J30" s="677"/>
      <c r="K30" s="677" t="s">
        <v>516</v>
      </c>
      <c r="L30" s="678" t="s">
        <v>522</v>
      </c>
      <c r="M30" s="678"/>
      <c r="N30" s="644"/>
      <c r="O30" s="644"/>
    </row>
    <row r="31" spans="1:15" ht="32.25" hidden="1" thickBot="1">
      <c r="A31" s="854"/>
      <c r="B31" s="679" t="s">
        <v>517</v>
      </c>
      <c r="C31" s="680"/>
      <c r="D31" s="680"/>
      <c r="E31" s="680"/>
      <c r="F31" s="680"/>
      <c r="G31" s="680"/>
      <c r="H31" s="679" t="s">
        <v>518</v>
      </c>
      <c r="I31" s="679"/>
      <c r="J31" s="679"/>
      <c r="K31" s="679"/>
      <c r="L31" s="680"/>
      <c r="M31" s="680" t="s">
        <v>520</v>
      </c>
      <c r="N31" s="673"/>
      <c r="O31" s="673"/>
    </row>
    <row r="32" spans="1:15" ht="32.25" hidden="1" thickBot="1">
      <c r="A32" s="838">
        <v>5</v>
      </c>
      <c r="B32" s="669" t="s">
        <v>506</v>
      </c>
      <c r="C32" s="681"/>
      <c r="D32" s="681"/>
      <c r="E32" s="681"/>
      <c r="F32" s="681"/>
      <c r="G32" s="681"/>
      <c r="H32" s="669" t="s">
        <v>507</v>
      </c>
      <c r="I32" s="669"/>
      <c r="J32" s="669"/>
      <c r="K32" s="669" t="s">
        <v>521</v>
      </c>
      <c r="L32" s="681" t="s">
        <v>510</v>
      </c>
      <c r="M32" s="681" t="s">
        <v>522</v>
      </c>
      <c r="N32" s="670"/>
      <c r="O32" s="670"/>
    </row>
    <row r="33" spans="1:15" ht="16.5" hidden="1" thickBot="1">
      <c r="A33" s="839"/>
      <c r="B33" s="671" t="s">
        <v>512</v>
      </c>
      <c r="C33" s="671"/>
      <c r="D33" s="671"/>
      <c r="E33" s="671"/>
      <c r="F33" s="671"/>
      <c r="G33" s="671"/>
      <c r="H33" s="671" t="s">
        <v>514</v>
      </c>
      <c r="I33" s="671"/>
      <c r="J33" s="671"/>
      <c r="K33" s="671" t="s">
        <v>516</v>
      </c>
      <c r="L33" s="671" t="s">
        <v>522</v>
      </c>
      <c r="M33" s="671"/>
      <c r="N33" s="644"/>
      <c r="O33" s="644"/>
    </row>
    <row r="34" spans="1:15" ht="32.25" hidden="1" thickBot="1">
      <c r="A34" s="840"/>
      <c r="B34" s="672" t="s">
        <v>517</v>
      </c>
      <c r="C34" s="672"/>
      <c r="D34" s="672"/>
      <c r="E34" s="672"/>
      <c r="F34" s="672"/>
      <c r="G34" s="672"/>
      <c r="H34" s="672" t="s">
        <v>518</v>
      </c>
      <c r="I34" s="672"/>
      <c r="J34" s="672"/>
      <c r="K34" s="672"/>
      <c r="L34" s="672"/>
      <c r="M34" s="672" t="s">
        <v>520</v>
      </c>
      <c r="N34" s="673"/>
      <c r="O34" s="673"/>
    </row>
    <row r="35" spans="1:15" ht="32.25" hidden="1" thickBot="1">
      <c r="A35" s="852">
        <v>6</v>
      </c>
      <c r="B35" s="674" t="s">
        <v>506</v>
      </c>
      <c r="C35" s="675" t="s">
        <v>523</v>
      </c>
      <c r="D35" s="676"/>
      <c r="E35" s="676"/>
      <c r="F35" s="676"/>
      <c r="G35" s="676"/>
      <c r="H35" s="674" t="s">
        <v>507</v>
      </c>
      <c r="I35" s="675"/>
      <c r="J35" s="674" t="s">
        <v>508</v>
      </c>
      <c r="K35" s="674" t="s">
        <v>509</v>
      </c>
      <c r="L35" s="676" t="s">
        <v>510</v>
      </c>
      <c r="M35" s="676" t="s">
        <v>511</v>
      </c>
      <c r="N35" s="670"/>
      <c r="O35" s="670"/>
    </row>
    <row r="36" spans="1:15" ht="16.5" hidden="1" thickBot="1">
      <c r="A36" s="853"/>
      <c r="B36" s="677" t="s">
        <v>512</v>
      </c>
      <c r="C36" s="677" t="s">
        <v>513</v>
      </c>
      <c r="D36" s="678"/>
      <c r="E36" s="678"/>
      <c r="F36" s="678"/>
      <c r="G36" s="678"/>
      <c r="H36" s="677" t="s">
        <v>514</v>
      </c>
      <c r="I36" s="677"/>
      <c r="J36" s="677" t="s">
        <v>515</v>
      </c>
      <c r="K36" s="677" t="s">
        <v>516</v>
      </c>
      <c r="L36" s="678" t="s">
        <v>511</v>
      </c>
      <c r="M36" s="678"/>
      <c r="N36" s="644"/>
      <c r="O36" s="644"/>
    </row>
    <row r="37" spans="1:15" ht="32.25" hidden="1" thickBot="1">
      <c r="A37" s="854"/>
      <c r="B37" s="679" t="s">
        <v>517</v>
      </c>
      <c r="C37" s="679" t="s">
        <v>524</v>
      </c>
      <c r="D37" s="680"/>
      <c r="E37" s="680"/>
      <c r="F37" s="680"/>
      <c r="G37" s="680"/>
      <c r="H37" s="679" t="s">
        <v>518</v>
      </c>
      <c r="I37" s="679"/>
      <c r="J37" s="679" t="s">
        <v>519</v>
      </c>
      <c r="K37" s="679"/>
      <c r="L37" s="680"/>
      <c r="M37" s="680" t="s">
        <v>520</v>
      </c>
      <c r="N37" s="673"/>
      <c r="O37" s="673"/>
    </row>
    <row r="38" spans="1:15" ht="32.25" hidden="1" thickBot="1">
      <c r="A38" s="838">
        <v>7</v>
      </c>
      <c r="B38" s="669" t="s">
        <v>506</v>
      </c>
      <c r="C38" s="682" t="s">
        <v>523</v>
      </c>
      <c r="D38" s="681"/>
      <c r="E38" s="681"/>
      <c r="F38" s="681"/>
      <c r="G38" s="681"/>
      <c r="H38" s="669" t="s">
        <v>507</v>
      </c>
      <c r="I38" s="669"/>
      <c r="J38" s="681"/>
      <c r="K38" s="669" t="s">
        <v>521</v>
      </c>
      <c r="L38" s="681" t="s">
        <v>510</v>
      </c>
      <c r="M38" s="681" t="s">
        <v>522</v>
      </c>
      <c r="N38" s="670"/>
      <c r="O38" s="670"/>
    </row>
    <row r="39" spans="1:15" ht="16.5" hidden="1" thickBot="1">
      <c r="A39" s="839"/>
      <c r="B39" s="671" t="s">
        <v>512</v>
      </c>
      <c r="C39" s="683" t="s">
        <v>513</v>
      </c>
      <c r="D39" s="671"/>
      <c r="E39" s="671"/>
      <c r="F39" s="671"/>
      <c r="G39" s="671"/>
      <c r="H39" s="671" t="s">
        <v>514</v>
      </c>
      <c r="I39" s="671"/>
      <c r="J39" s="671"/>
      <c r="K39" s="671" t="s">
        <v>516</v>
      </c>
      <c r="L39" s="671" t="s">
        <v>522</v>
      </c>
      <c r="M39" s="671"/>
      <c r="N39" s="644"/>
      <c r="O39" s="644"/>
    </row>
    <row r="40" spans="1:15" ht="32.25" hidden="1" thickBot="1">
      <c r="A40" s="840"/>
      <c r="B40" s="672" t="s">
        <v>517</v>
      </c>
      <c r="C40" s="684" t="s">
        <v>524</v>
      </c>
      <c r="D40" s="672"/>
      <c r="E40" s="672"/>
      <c r="F40" s="672"/>
      <c r="G40" s="672"/>
      <c r="H40" s="672" t="s">
        <v>518</v>
      </c>
      <c r="I40" s="672"/>
      <c r="J40" s="672"/>
      <c r="K40" s="672"/>
      <c r="L40" s="672"/>
      <c r="M40" s="672" t="s">
        <v>520</v>
      </c>
      <c r="N40" s="673"/>
      <c r="O40" s="673"/>
    </row>
    <row r="41" spans="1:15" ht="32.25" hidden="1" thickBot="1">
      <c r="A41" s="852">
        <v>8</v>
      </c>
      <c r="B41" s="676" t="s">
        <v>523</v>
      </c>
      <c r="C41" s="676" t="s">
        <v>523</v>
      </c>
      <c r="D41" s="676"/>
      <c r="E41" s="676"/>
      <c r="F41" s="676"/>
      <c r="G41" s="676"/>
      <c r="H41" s="674" t="s">
        <v>507</v>
      </c>
      <c r="I41" s="675"/>
      <c r="J41" s="674" t="s">
        <v>508</v>
      </c>
      <c r="K41" s="674" t="s">
        <v>509</v>
      </c>
      <c r="L41" s="676" t="s">
        <v>510</v>
      </c>
      <c r="M41" s="676" t="s">
        <v>511</v>
      </c>
      <c r="N41" s="670"/>
      <c r="O41" s="670"/>
    </row>
    <row r="42" spans="1:15" ht="16.5" hidden="1" thickBot="1">
      <c r="A42" s="853"/>
      <c r="B42" s="678" t="s">
        <v>512</v>
      </c>
      <c r="C42" s="678" t="s">
        <v>513</v>
      </c>
      <c r="D42" s="678"/>
      <c r="E42" s="678"/>
      <c r="F42" s="678"/>
      <c r="G42" s="678"/>
      <c r="H42" s="677" t="s">
        <v>514</v>
      </c>
      <c r="I42" s="677"/>
      <c r="J42" s="677" t="s">
        <v>515</v>
      </c>
      <c r="K42" s="677" t="s">
        <v>516</v>
      </c>
      <c r="L42" s="678" t="s">
        <v>511</v>
      </c>
      <c r="M42" s="678"/>
      <c r="N42" s="644"/>
      <c r="O42" s="644"/>
    </row>
    <row r="43" spans="1:15" ht="32.25" hidden="1" thickBot="1">
      <c r="A43" s="854"/>
      <c r="B43" s="680" t="s">
        <v>524</v>
      </c>
      <c r="C43" s="680" t="s">
        <v>524</v>
      </c>
      <c r="D43" s="680"/>
      <c r="E43" s="680"/>
      <c r="F43" s="680"/>
      <c r="G43" s="680"/>
      <c r="H43" s="679" t="s">
        <v>518</v>
      </c>
      <c r="I43" s="679"/>
      <c r="J43" s="679" t="s">
        <v>519</v>
      </c>
      <c r="K43" s="679"/>
      <c r="L43" s="680"/>
      <c r="M43" s="680" t="s">
        <v>520</v>
      </c>
      <c r="N43" s="673"/>
      <c r="O43" s="673"/>
    </row>
    <row r="44" spans="1:15" ht="32.25" hidden="1" thickBot="1">
      <c r="A44" s="838">
        <v>9</v>
      </c>
      <c r="B44" s="681" t="s">
        <v>523</v>
      </c>
      <c r="C44" s="681"/>
      <c r="D44" s="681"/>
      <c r="E44" s="681"/>
      <c r="F44" s="681"/>
      <c r="G44" s="681"/>
      <c r="H44" s="669" t="s">
        <v>507</v>
      </c>
      <c r="I44" s="669"/>
      <c r="J44" s="669" t="s">
        <v>508</v>
      </c>
      <c r="K44" s="669" t="s">
        <v>509</v>
      </c>
      <c r="L44" s="681" t="s">
        <v>510</v>
      </c>
      <c r="M44" s="681" t="s">
        <v>511</v>
      </c>
      <c r="N44" s="670"/>
      <c r="O44" s="670"/>
    </row>
    <row r="45" spans="1:15" ht="16.5" hidden="1" thickBot="1">
      <c r="A45" s="839"/>
      <c r="B45" s="671" t="s">
        <v>512</v>
      </c>
      <c r="C45" s="671"/>
      <c r="D45" s="671"/>
      <c r="E45" s="671"/>
      <c r="F45" s="671"/>
      <c r="G45" s="671"/>
      <c r="H45" s="671" t="s">
        <v>514</v>
      </c>
      <c r="I45" s="671"/>
      <c r="J45" s="671" t="s">
        <v>515</v>
      </c>
      <c r="K45" s="671" t="s">
        <v>516</v>
      </c>
      <c r="L45" s="671" t="s">
        <v>511</v>
      </c>
      <c r="M45" s="671"/>
      <c r="N45" s="644"/>
      <c r="O45" s="644"/>
    </row>
    <row r="46" spans="1:15" ht="32.25" hidden="1" thickBot="1">
      <c r="A46" s="840"/>
      <c r="B46" s="672" t="s">
        <v>524</v>
      </c>
      <c r="C46" s="672"/>
      <c r="D46" s="672"/>
      <c r="E46" s="672"/>
      <c r="F46" s="672"/>
      <c r="G46" s="672"/>
      <c r="H46" s="672" t="s">
        <v>518</v>
      </c>
      <c r="I46" s="672"/>
      <c r="J46" s="672" t="s">
        <v>519</v>
      </c>
      <c r="K46" s="672"/>
      <c r="L46" s="672"/>
      <c r="M46" s="672" t="s">
        <v>520</v>
      </c>
      <c r="N46" s="673"/>
      <c r="O46" s="673"/>
    </row>
    <row r="47" spans="1:15" ht="32.25" hidden="1" thickBot="1">
      <c r="A47" s="852">
        <v>10</v>
      </c>
      <c r="B47" s="676" t="s">
        <v>523</v>
      </c>
      <c r="C47" s="676"/>
      <c r="D47" s="676"/>
      <c r="E47" s="676"/>
      <c r="F47" s="676"/>
      <c r="G47" s="676"/>
      <c r="H47" s="674" t="s">
        <v>507</v>
      </c>
      <c r="I47" s="675"/>
      <c r="J47" s="674" t="s">
        <v>508</v>
      </c>
      <c r="K47" s="674" t="s">
        <v>509</v>
      </c>
      <c r="L47" s="676" t="s">
        <v>510</v>
      </c>
      <c r="M47" s="676" t="s">
        <v>511</v>
      </c>
      <c r="N47" s="670"/>
      <c r="O47" s="670"/>
    </row>
    <row r="48" spans="1:15" ht="16.5" hidden="1" thickBot="1">
      <c r="A48" s="853"/>
      <c r="B48" s="678" t="s">
        <v>512</v>
      </c>
      <c r="C48" s="678"/>
      <c r="D48" s="678"/>
      <c r="E48" s="678"/>
      <c r="F48" s="678"/>
      <c r="G48" s="678"/>
      <c r="H48" s="677" t="s">
        <v>514</v>
      </c>
      <c r="I48" s="677"/>
      <c r="J48" s="677" t="s">
        <v>515</v>
      </c>
      <c r="K48" s="677" t="s">
        <v>516</v>
      </c>
      <c r="L48" s="678" t="s">
        <v>511</v>
      </c>
      <c r="M48" s="678"/>
      <c r="N48" s="644"/>
      <c r="O48" s="644"/>
    </row>
    <row r="49" spans="1:15" ht="32.25" hidden="1" thickBot="1">
      <c r="A49" s="854"/>
      <c r="B49" s="680" t="s">
        <v>524</v>
      </c>
      <c r="C49" s="680"/>
      <c r="D49" s="680"/>
      <c r="E49" s="680"/>
      <c r="F49" s="680"/>
      <c r="G49" s="680"/>
      <c r="H49" s="679" t="s">
        <v>518</v>
      </c>
      <c r="I49" s="679"/>
      <c r="J49" s="679" t="s">
        <v>519</v>
      </c>
      <c r="K49" s="679"/>
      <c r="L49" s="680"/>
      <c r="M49" s="680" t="s">
        <v>520</v>
      </c>
      <c r="N49" s="673"/>
      <c r="O49" s="673"/>
    </row>
    <row r="50" spans="1:15" ht="32.25" hidden="1" thickBot="1">
      <c r="A50" s="838">
        <v>11</v>
      </c>
      <c r="B50" s="669" t="s">
        <v>506</v>
      </c>
      <c r="C50" s="682" t="s">
        <v>523</v>
      </c>
      <c r="D50" s="681"/>
      <c r="E50" s="681"/>
      <c r="F50" s="681"/>
      <c r="G50" s="681"/>
      <c r="H50" s="669" t="s">
        <v>507</v>
      </c>
      <c r="I50" s="669"/>
      <c r="J50" s="669" t="s">
        <v>508</v>
      </c>
      <c r="K50" s="669" t="s">
        <v>509</v>
      </c>
      <c r="L50" s="681" t="s">
        <v>510</v>
      </c>
      <c r="M50" s="681" t="s">
        <v>511</v>
      </c>
      <c r="N50" s="670"/>
      <c r="O50" s="670"/>
    </row>
    <row r="51" spans="1:15" ht="16.5" hidden="1" thickBot="1">
      <c r="A51" s="839"/>
      <c r="B51" s="671" t="s">
        <v>512</v>
      </c>
      <c r="C51" s="683" t="s">
        <v>513</v>
      </c>
      <c r="D51" s="671"/>
      <c r="E51" s="671"/>
      <c r="F51" s="671"/>
      <c r="G51" s="671"/>
      <c r="H51" s="671" t="s">
        <v>514</v>
      </c>
      <c r="I51" s="671"/>
      <c r="J51" s="671" t="s">
        <v>515</v>
      </c>
      <c r="K51" s="671" t="s">
        <v>516</v>
      </c>
      <c r="L51" s="671" t="s">
        <v>511</v>
      </c>
      <c r="M51" s="671"/>
      <c r="N51" s="644"/>
      <c r="O51" s="644"/>
    </row>
    <row r="52" spans="1:15" ht="32.25" hidden="1" thickBot="1">
      <c r="A52" s="840"/>
      <c r="B52" s="672" t="s">
        <v>517</v>
      </c>
      <c r="C52" s="684" t="s">
        <v>524</v>
      </c>
      <c r="D52" s="672"/>
      <c r="E52" s="672"/>
      <c r="F52" s="672"/>
      <c r="G52" s="672"/>
      <c r="H52" s="672" t="s">
        <v>518</v>
      </c>
      <c r="I52" s="672"/>
      <c r="J52" s="672" t="s">
        <v>519</v>
      </c>
      <c r="K52" s="672"/>
      <c r="L52" s="672"/>
      <c r="M52" s="672" t="s">
        <v>520</v>
      </c>
      <c r="N52" s="673"/>
      <c r="O52" s="673"/>
    </row>
    <row r="53" spans="1:15" ht="32.25" hidden="1" thickBot="1">
      <c r="A53" s="852">
        <v>12</v>
      </c>
      <c r="B53" s="685" t="s">
        <v>523</v>
      </c>
      <c r="C53" s="676" t="s">
        <v>523</v>
      </c>
      <c r="D53" s="685"/>
      <c r="E53" s="685"/>
      <c r="F53" s="685"/>
      <c r="G53" s="685"/>
      <c r="H53" s="674" t="s">
        <v>507</v>
      </c>
      <c r="I53" s="675"/>
      <c r="J53" s="674" t="s">
        <v>508</v>
      </c>
      <c r="K53" s="674" t="s">
        <v>509</v>
      </c>
      <c r="L53" s="675" t="s">
        <v>510</v>
      </c>
      <c r="M53" s="685" t="s">
        <v>511</v>
      </c>
      <c r="N53" s="670"/>
      <c r="O53" s="670"/>
    </row>
    <row r="54" spans="1:15" ht="16.5" hidden="1" thickBot="1">
      <c r="A54" s="853"/>
      <c r="B54" s="678" t="s">
        <v>512</v>
      </c>
      <c r="C54" s="678" t="s">
        <v>513</v>
      </c>
      <c r="D54" s="678"/>
      <c r="E54" s="678"/>
      <c r="F54" s="678"/>
      <c r="G54" s="678"/>
      <c r="H54" s="677" t="s">
        <v>514</v>
      </c>
      <c r="I54" s="677"/>
      <c r="J54" s="677" t="s">
        <v>515</v>
      </c>
      <c r="K54" s="677" t="s">
        <v>516</v>
      </c>
      <c r="L54" s="677" t="s">
        <v>511</v>
      </c>
      <c r="M54" s="678"/>
      <c r="N54" s="644"/>
      <c r="O54" s="644"/>
    </row>
    <row r="55" spans="1:15" ht="32.25" hidden="1" thickBot="1">
      <c r="A55" s="854"/>
      <c r="B55" s="680" t="s">
        <v>524</v>
      </c>
      <c r="C55" s="680" t="s">
        <v>524</v>
      </c>
      <c r="D55" s="680"/>
      <c r="E55" s="680"/>
      <c r="F55" s="680"/>
      <c r="G55" s="680"/>
      <c r="H55" s="679" t="s">
        <v>518</v>
      </c>
      <c r="I55" s="679"/>
      <c r="J55" s="679" t="s">
        <v>519</v>
      </c>
      <c r="K55" s="679"/>
      <c r="L55" s="679"/>
      <c r="M55" s="680" t="s">
        <v>520</v>
      </c>
      <c r="N55" s="673"/>
      <c r="O55" s="673"/>
    </row>
    <row r="56" spans="1:15" ht="16.5" customHeight="1">
      <c r="A56" s="838">
        <v>1</v>
      </c>
      <c r="B56" s="669" t="s">
        <v>506</v>
      </c>
      <c r="C56" s="669"/>
      <c r="D56" s="669"/>
      <c r="E56" s="669"/>
      <c r="F56" s="669"/>
      <c r="G56" s="669"/>
      <c r="H56" s="669" t="s">
        <v>161</v>
      </c>
      <c r="I56" s="669"/>
      <c r="J56" s="669"/>
      <c r="K56" s="669" t="s">
        <v>596</v>
      </c>
      <c r="L56" s="669" t="s">
        <v>510</v>
      </c>
      <c r="M56" s="669"/>
      <c r="N56" s="670"/>
      <c r="O56" s="670"/>
    </row>
    <row r="57" spans="1:15" ht="15.75">
      <c r="A57" s="839"/>
      <c r="B57" s="671" t="s">
        <v>512</v>
      </c>
      <c r="C57" s="671"/>
      <c r="D57" s="686"/>
      <c r="E57" s="671"/>
      <c r="F57" s="671"/>
      <c r="G57" s="671"/>
      <c r="H57" s="671" t="s">
        <v>514</v>
      </c>
      <c r="I57" s="671"/>
      <c r="J57" s="671"/>
      <c r="K57" s="671" t="s">
        <v>515</v>
      </c>
      <c r="L57" s="671" t="s">
        <v>522</v>
      </c>
      <c r="M57" s="671" t="s">
        <v>522</v>
      </c>
      <c r="N57" s="644"/>
      <c r="O57" s="644"/>
    </row>
    <row r="58" spans="1:15" ht="16.5" thickBot="1">
      <c r="A58" s="840"/>
      <c r="B58" s="672" t="s">
        <v>517</v>
      </c>
      <c r="C58" s="672"/>
      <c r="D58" s="672"/>
      <c r="E58" s="672"/>
      <c r="F58" s="672"/>
      <c r="G58" s="672"/>
      <c r="H58" s="672" t="s">
        <v>526</v>
      </c>
      <c r="I58" s="672"/>
      <c r="J58" s="672"/>
      <c r="K58" s="672" t="s">
        <v>526</v>
      </c>
      <c r="L58" s="672"/>
      <c r="M58" s="672" t="s">
        <v>597</v>
      </c>
      <c r="N58" s="673"/>
      <c r="O58" s="673"/>
    </row>
    <row r="59" spans="1:15" ht="15.75">
      <c r="A59" s="852">
        <v>2</v>
      </c>
      <c r="B59" s="676" t="s">
        <v>506</v>
      </c>
      <c r="C59" s="676" t="s">
        <v>523</v>
      </c>
      <c r="D59" s="676"/>
      <c r="E59" s="676"/>
      <c r="F59" s="676"/>
      <c r="G59" s="676"/>
      <c r="H59" s="676" t="s">
        <v>161</v>
      </c>
      <c r="I59" s="675"/>
      <c r="J59" s="674"/>
      <c r="K59" s="674" t="s">
        <v>596</v>
      </c>
      <c r="L59" s="676" t="s">
        <v>510</v>
      </c>
      <c r="M59" s="676"/>
      <c r="N59" s="670"/>
      <c r="O59" s="670"/>
    </row>
    <row r="60" spans="1:15" ht="15.75">
      <c r="A60" s="853"/>
      <c r="B60" s="678" t="s">
        <v>512</v>
      </c>
      <c r="C60" s="678" t="s">
        <v>513</v>
      </c>
      <c r="D60" s="678"/>
      <c r="E60" s="678"/>
      <c r="F60" s="678"/>
      <c r="G60" s="678"/>
      <c r="H60" s="678" t="s">
        <v>514</v>
      </c>
      <c r="I60" s="677"/>
      <c r="J60" s="677"/>
      <c r="K60" s="677" t="s">
        <v>515</v>
      </c>
      <c r="L60" s="678" t="s">
        <v>522</v>
      </c>
      <c r="M60" s="678" t="s">
        <v>522</v>
      </c>
      <c r="N60" s="644"/>
      <c r="O60" s="644"/>
    </row>
    <row r="61" spans="1:15" ht="16.5" thickBot="1">
      <c r="A61" s="854"/>
      <c r="B61" s="680" t="s">
        <v>517</v>
      </c>
      <c r="C61" s="680" t="s">
        <v>524</v>
      </c>
      <c r="D61" s="680"/>
      <c r="E61" s="680"/>
      <c r="F61" s="680"/>
      <c r="G61" s="680"/>
      <c r="H61" s="680" t="s">
        <v>526</v>
      </c>
      <c r="I61" s="679"/>
      <c r="J61" s="679"/>
      <c r="K61" s="679" t="s">
        <v>526</v>
      </c>
      <c r="L61" s="680"/>
      <c r="M61" s="680" t="s">
        <v>597</v>
      </c>
      <c r="N61" s="673"/>
      <c r="O61" s="673"/>
    </row>
    <row r="62" spans="1:15" ht="15.75">
      <c r="A62" s="838">
        <v>3</v>
      </c>
      <c r="B62" s="669" t="s">
        <v>506</v>
      </c>
      <c r="C62" s="669" t="s">
        <v>523</v>
      </c>
      <c r="D62" s="669"/>
      <c r="E62" s="669"/>
      <c r="F62" s="669"/>
      <c r="G62" s="669"/>
      <c r="H62" s="669" t="s">
        <v>161</v>
      </c>
      <c r="I62" s="669"/>
      <c r="J62" s="669" t="s">
        <v>596</v>
      </c>
      <c r="K62" s="669" t="s">
        <v>596</v>
      </c>
      <c r="L62" s="669" t="s">
        <v>599</v>
      </c>
      <c r="M62" s="669"/>
      <c r="N62" s="670"/>
      <c r="O62" s="670"/>
    </row>
    <row r="63" spans="1:15" ht="15.75">
      <c r="A63" s="839"/>
      <c r="B63" s="671" t="s">
        <v>512</v>
      </c>
      <c r="C63" s="671" t="s">
        <v>513</v>
      </c>
      <c r="D63" s="686"/>
      <c r="E63" s="671"/>
      <c r="F63" s="671"/>
      <c r="G63" s="671"/>
      <c r="H63" s="671" t="s">
        <v>514</v>
      </c>
      <c r="I63" s="671"/>
      <c r="J63" s="671" t="s">
        <v>515</v>
      </c>
      <c r="K63" s="671" t="s">
        <v>515</v>
      </c>
      <c r="L63" s="671" t="s">
        <v>183</v>
      </c>
      <c r="M63" s="671" t="s">
        <v>511</v>
      </c>
      <c r="N63" s="644"/>
      <c r="O63" s="644"/>
    </row>
    <row r="64" spans="1:15" ht="16.5" thickBot="1">
      <c r="A64" s="840"/>
      <c r="B64" s="672" t="s">
        <v>517</v>
      </c>
      <c r="C64" s="672" t="s">
        <v>524</v>
      </c>
      <c r="D64" s="672"/>
      <c r="E64" s="672"/>
      <c r="F64" s="672"/>
      <c r="G64" s="672"/>
      <c r="H64" s="672" t="s">
        <v>526</v>
      </c>
      <c r="I64" s="672"/>
      <c r="J64" s="672" t="s">
        <v>526</v>
      </c>
      <c r="K64" s="672" t="s">
        <v>526</v>
      </c>
      <c r="L64" s="672"/>
      <c r="M64" s="672" t="s">
        <v>597</v>
      </c>
      <c r="N64" s="673"/>
      <c r="O64" s="673"/>
    </row>
    <row r="65" spans="1:15" ht="15.75">
      <c r="A65" s="852">
        <v>4</v>
      </c>
      <c r="B65" s="676" t="s">
        <v>506</v>
      </c>
      <c r="C65" s="676" t="s">
        <v>523</v>
      </c>
      <c r="D65" s="676"/>
      <c r="E65" s="676"/>
      <c r="F65" s="676"/>
      <c r="G65" s="676" t="s">
        <v>161</v>
      </c>
      <c r="H65" s="676" t="s">
        <v>161</v>
      </c>
      <c r="I65" s="675"/>
      <c r="J65" s="674"/>
      <c r="K65" s="674" t="s">
        <v>596</v>
      </c>
      <c r="L65" s="676" t="s">
        <v>510</v>
      </c>
      <c r="M65" s="676"/>
      <c r="N65" s="670"/>
      <c r="O65" s="670"/>
    </row>
    <row r="66" spans="1:15" ht="15.75">
      <c r="A66" s="853"/>
      <c r="B66" s="678" t="s">
        <v>512</v>
      </c>
      <c r="C66" s="678" t="s">
        <v>513</v>
      </c>
      <c r="D66" s="678"/>
      <c r="E66" s="678"/>
      <c r="F66" s="678"/>
      <c r="G66" s="678" t="s">
        <v>516</v>
      </c>
      <c r="H66" s="678" t="s">
        <v>514</v>
      </c>
      <c r="I66" s="677"/>
      <c r="J66" s="677"/>
      <c r="K66" s="677" t="s">
        <v>515</v>
      </c>
      <c r="L66" s="678" t="s">
        <v>522</v>
      </c>
      <c r="M66" s="678" t="s">
        <v>522</v>
      </c>
      <c r="N66" s="644"/>
      <c r="O66" s="644"/>
    </row>
    <row r="67" spans="1:15" ht="16.5" thickBot="1">
      <c r="A67" s="854"/>
      <c r="B67" s="680" t="s">
        <v>517</v>
      </c>
      <c r="C67" s="680" t="s">
        <v>524</v>
      </c>
      <c r="D67" s="680"/>
      <c r="E67" s="680"/>
      <c r="F67" s="680"/>
      <c r="G67" s="680" t="s">
        <v>598</v>
      </c>
      <c r="H67" s="680" t="s">
        <v>526</v>
      </c>
      <c r="I67" s="679"/>
      <c r="J67" s="679"/>
      <c r="K67" s="679" t="s">
        <v>526</v>
      </c>
      <c r="L67" s="680"/>
      <c r="M67" s="680" t="s">
        <v>597</v>
      </c>
      <c r="N67" s="673"/>
      <c r="O67" s="673"/>
    </row>
    <row r="68" spans="1:15" ht="15.75">
      <c r="A68" s="838">
        <v>5</v>
      </c>
      <c r="B68" s="669" t="s">
        <v>506</v>
      </c>
      <c r="C68" s="669" t="s">
        <v>523</v>
      </c>
      <c r="D68" s="669"/>
      <c r="E68" s="669"/>
      <c r="F68" s="669"/>
      <c r="G68" s="669" t="s">
        <v>161</v>
      </c>
      <c r="H68" s="669" t="s">
        <v>161</v>
      </c>
      <c r="I68" s="669"/>
      <c r="J68" s="669" t="s">
        <v>596</v>
      </c>
      <c r="K68" s="669" t="s">
        <v>596</v>
      </c>
      <c r="L68" s="669" t="s">
        <v>599</v>
      </c>
      <c r="M68" s="669"/>
      <c r="N68" s="670"/>
      <c r="O68" s="670"/>
    </row>
    <row r="69" spans="1:15" ht="15.75">
      <c r="A69" s="839"/>
      <c r="B69" s="671" t="s">
        <v>512</v>
      </c>
      <c r="C69" s="671" t="s">
        <v>513</v>
      </c>
      <c r="D69" s="686"/>
      <c r="E69" s="671"/>
      <c r="F69" s="671"/>
      <c r="G69" s="671" t="s">
        <v>516</v>
      </c>
      <c r="H69" s="671" t="s">
        <v>514</v>
      </c>
      <c r="I69" s="671"/>
      <c r="J69" s="671" t="s">
        <v>515</v>
      </c>
      <c r="K69" s="671" t="s">
        <v>515</v>
      </c>
      <c r="L69" s="671" t="s">
        <v>183</v>
      </c>
      <c r="M69" s="671" t="s">
        <v>511</v>
      </c>
      <c r="N69" s="644"/>
      <c r="O69" s="644"/>
    </row>
    <row r="70" spans="1:15" ht="16.5" thickBot="1">
      <c r="A70" s="840"/>
      <c r="B70" s="672" t="s">
        <v>517</v>
      </c>
      <c r="C70" s="672" t="s">
        <v>524</v>
      </c>
      <c r="D70" s="672"/>
      <c r="E70" s="672"/>
      <c r="F70" s="672"/>
      <c r="G70" s="672" t="s">
        <v>598</v>
      </c>
      <c r="H70" s="672" t="s">
        <v>526</v>
      </c>
      <c r="I70" s="672"/>
      <c r="J70" s="672" t="s">
        <v>526</v>
      </c>
      <c r="K70" s="672" t="s">
        <v>526</v>
      </c>
      <c r="L70" s="672"/>
      <c r="M70" s="672" t="s">
        <v>597</v>
      </c>
      <c r="N70" s="673"/>
      <c r="O70" s="673"/>
    </row>
    <row r="71" spans="1:15" ht="15.75">
      <c r="A71" s="852">
        <v>6</v>
      </c>
      <c r="B71" s="676" t="s">
        <v>506</v>
      </c>
      <c r="C71" s="676"/>
      <c r="D71" s="676"/>
      <c r="E71" s="676"/>
      <c r="F71" s="676"/>
      <c r="G71" s="676"/>
      <c r="H71" s="676" t="s">
        <v>161</v>
      </c>
      <c r="I71" s="675"/>
      <c r="J71" s="674" t="s">
        <v>596</v>
      </c>
      <c r="K71" s="674" t="s">
        <v>596</v>
      </c>
      <c r="L71" s="676" t="s">
        <v>599</v>
      </c>
      <c r="M71" s="676"/>
      <c r="N71" s="670"/>
      <c r="O71" s="670"/>
    </row>
    <row r="72" spans="1:15" ht="15.75">
      <c r="A72" s="853"/>
      <c r="B72" s="678" t="s">
        <v>512</v>
      </c>
      <c r="C72" s="678"/>
      <c r="D72" s="678"/>
      <c r="E72" s="678"/>
      <c r="F72" s="678"/>
      <c r="G72" s="678"/>
      <c r="H72" s="678" t="s">
        <v>514</v>
      </c>
      <c r="I72" s="677"/>
      <c r="J72" s="677" t="s">
        <v>515</v>
      </c>
      <c r="K72" s="677" t="s">
        <v>515</v>
      </c>
      <c r="L72" s="678" t="s">
        <v>511</v>
      </c>
      <c r="M72" s="678" t="s">
        <v>511</v>
      </c>
      <c r="N72" s="644"/>
      <c r="O72" s="644"/>
    </row>
    <row r="73" spans="1:15" ht="16.5" thickBot="1">
      <c r="A73" s="854"/>
      <c r="B73" s="680" t="s">
        <v>517</v>
      </c>
      <c r="C73" s="680"/>
      <c r="D73" s="680"/>
      <c r="E73" s="680"/>
      <c r="F73" s="680"/>
      <c r="G73" s="680"/>
      <c r="H73" s="680" t="s">
        <v>526</v>
      </c>
      <c r="I73" s="679"/>
      <c r="J73" s="679" t="s">
        <v>526</v>
      </c>
      <c r="K73" s="679" t="s">
        <v>526</v>
      </c>
      <c r="L73" s="680"/>
      <c r="M73" s="680" t="s">
        <v>597</v>
      </c>
      <c r="N73" s="673"/>
      <c r="O73" s="673"/>
    </row>
    <row r="74" spans="1:15" ht="15.75">
      <c r="A74" s="838">
        <v>7</v>
      </c>
      <c r="B74" s="669" t="s">
        <v>506</v>
      </c>
      <c r="C74" s="669"/>
      <c r="D74" s="669"/>
      <c r="E74" s="669"/>
      <c r="F74" s="669"/>
      <c r="G74" s="669" t="s">
        <v>161</v>
      </c>
      <c r="H74" s="669" t="s">
        <v>161</v>
      </c>
      <c r="I74" s="669"/>
      <c r="J74" s="669" t="s">
        <v>596</v>
      </c>
      <c r="K74" s="669" t="s">
        <v>596</v>
      </c>
      <c r="L74" s="669" t="s">
        <v>599</v>
      </c>
      <c r="M74" s="669"/>
      <c r="N74" s="670"/>
      <c r="O74" s="670"/>
    </row>
    <row r="75" spans="1:15" ht="15.75">
      <c r="A75" s="839"/>
      <c r="B75" s="671" t="s">
        <v>512</v>
      </c>
      <c r="C75" s="671"/>
      <c r="D75" s="686"/>
      <c r="E75" s="671"/>
      <c r="F75" s="671"/>
      <c r="G75" s="671" t="s">
        <v>516</v>
      </c>
      <c r="H75" s="671" t="s">
        <v>514</v>
      </c>
      <c r="I75" s="671"/>
      <c r="J75" s="671" t="s">
        <v>515</v>
      </c>
      <c r="K75" s="671" t="s">
        <v>515</v>
      </c>
      <c r="L75" s="671" t="s">
        <v>183</v>
      </c>
      <c r="M75" s="671" t="s">
        <v>511</v>
      </c>
      <c r="N75" s="644"/>
      <c r="O75" s="644"/>
    </row>
    <row r="76" spans="1:15" ht="16.5" thickBot="1">
      <c r="A76" s="840"/>
      <c r="B76" s="672" t="s">
        <v>517</v>
      </c>
      <c r="C76" s="672"/>
      <c r="D76" s="672"/>
      <c r="E76" s="672"/>
      <c r="F76" s="672"/>
      <c r="G76" s="672" t="s">
        <v>598</v>
      </c>
      <c r="H76" s="672" t="s">
        <v>526</v>
      </c>
      <c r="I76" s="672"/>
      <c r="J76" s="672" t="s">
        <v>526</v>
      </c>
      <c r="K76" s="672" t="s">
        <v>526</v>
      </c>
      <c r="L76" s="672"/>
      <c r="M76" s="672" t="s">
        <v>597</v>
      </c>
      <c r="N76" s="673"/>
      <c r="O76" s="673"/>
    </row>
    <row r="77" spans="1:15" ht="15.75">
      <c r="A77" s="852">
        <v>8</v>
      </c>
      <c r="B77" s="676" t="s">
        <v>506</v>
      </c>
      <c r="C77" s="676"/>
      <c r="D77" s="676"/>
      <c r="E77" s="676"/>
      <c r="F77" s="676"/>
      <c r="G77" s="676" t="s">
        <v>161</v>
      </c>
      <c r="H77" s="676" t="s">
        <v>161</v>
      </c>
      <c r="I77" s="675"/>
      <c r="J77" s="674"/>
      <c r="K77" s="674" t="s">
        <v>596</v>
      </c>
      <c r="L77" s="676" t="s">
        <v>510</v>
      </c>
      <c r="M77" s="676"/>
      <c r="N77" s="670"/>
      <c r="O77" s="670"/>
    </row>
    <row r="78" spans="1:15" ht="15.75">
      <c r="A78" s="853"/>
      <c r="B78" s="678" t="s">
        <v>512</v>
      </c>
      <c r="C78" s="678"/>
      <c r="D78" s="678"/>
      <c r="E78" s="678"/>
      <c r="F78" s="678"/>
      <c r="G78" s="678" t="s">
        <v>516</v>
      </c>
      <c r="H78" s="678" t="s">
        <v>514</v>
      </c>
      <c r="I78" s="677"/>
      <c r="J78" s="677"/>
      <c r="K78" s="677" t="s">
        <v>515</v>
      </c>
      <c r="L78" s="678" t="s">
        <v>522</v>
      </c>
      <c r="M78" s="678" t="s">
        <v>522</v>
      </c>
      <c r="N78" s="644"/>
      <c r="O78" s="644"/>
    </row>
    <row r="79" spans="1:15" ht="16.5" thickBot="1">
      <c r="A79" s="854"/>
      <c r="B79" s="680" t="s">
        <v>517</v>
      </c>
      <c r="C79" s="680"/>
      <c r="D79" s="680"/>
      <c r="E79" s="680"/>
      <c r="F79" s="680"/>
      <c r="G79" s="680" t="s">
        <v>598</v>
      </c>
      <c r="H79" s="680" t="s">
        <v>526</v>
      </c>
      <c r="I79" s="679"/>
      <c r="J79" s="679"/>
      <c r="K79" s="679" t="s">
        <v>526</v>
      </c>
      <c r="L79" s="680"/>
      <c r="M79" s="680" t="s">
        <v>597</v>
      </c>
      <c r="N79" s="673"/>
      <c r="O79" s="673"/>
    </row>
    <row r="80" spans="1:15" ht="15.75">
      <c r="A80" s="838">
        <v>9</v>
      </c>
      <c r="B80" s="669" t="s">
        <v>506</v>
      </c>
      <c r="C80" s="669" t="s">
        <v>523</v>
      </c>
      <c r="D80" s="669"/>
      <c r="E80" s="669"/>
      <c r="F80" s="669"/>
      <c r="G80" s="669"/>
      <c r="H80" s="669" t="s">
        <v>161</v>
      </c>
      <c r="I80" s="669"/>
      <c r="J80" s="669"/>
      <c r="K80" s="669" t="s">
        <v>596</v>
      </c>
      <c r="L80" s="669" t="s">
        <v>510</v>
      </c>
      <c r="M80" s="669"/>
      <c r="N80" s="670"/>
      <c r="O80" s="670"/>
    </row>
    <row r="81" spans="1:15" ht="15.75">
      <c r="A81" s="839"/>
      <c r="B81" s="671" t="s">
        <v>512</v>
      </c>
      <c r="C81" s="671" t="s">
        <v>513</v>
      </c>
      <c r="D81" s="686"/>
      <c r="E81" s="671"/>
      <c r="F81" s="671"/>
      <c r="G81" s="671"/>
      <c r="H81" s="671" t="s">
        <v>514</v>
      </c>
      <c r="I81" s="671"/>
      <c r="J81" s="671"/>
      <c r="K81" s="671" t="s">
        <v>515</v>
      </c>
      <c r="L81" s="671" t="s">
        <v>522</v>
      </c>
      <c r="M81" s="671" t="s">
        <v>522</v>
      </c>
      <c r="N81" s="644"/>
      <c r="O81" s="644"/>
    </row>
    <row r="82" spans="1:15" ht="16.5" thickBot="1">
      <c r="A82" s="840"/>
      <c r="B82" s="672" t="s">
        <v>517</v>
      </c>
      <c r="C82" s="672" t="s">
        <v>524</v>
      </c>
      <c r="D82" s="672"/>
      <c r="E82" s="672"/>
      <c r="F82" s="672"/>
      <c r="G82" s="672"/>
      <c r="H82" s="672" t="s">
        <v>526</v>
      </c>
      <c r="I82" s="672"/>
      <c r="J82" s="672"/>
      <c r="K82" s="672" t="s">
        <v>526</v>
      </c>
      <c r="L82" s="672"/>
      <c r="M82" s="672" t="s">
        <v>597</v>
      </c>
      <c r="N82" s="673"/>
      <c r="O82" s="673"/>
    </row>
    <row r="83" spans="1:15" ht="15.75">
      <c r="A83" s="852">
        <v>10</v>
      </c>
      <c r="B83" s="676" t="s">
        <v>506</v>
      </c>
      <c r="C83" s="676" t="s">
        <v>506</v>
      </c>
      <c r="D83" s="676"/>
      <c r="E83" s="676"/>
      <c r="F83" s="676"/>
      <c r="G83" s="676"/>
      <c r="H83" s="676" t="s">
        <v>161</v>
      </c>
      <c r="I83" s="675"/>
      <c r="J83" s="674"/>
      <c r="K83" s="674" t="s">
        <v>596</v>
      </c>
      <c r="L83" s="676" t="s">
        <v>510</v>
      </c>
      <c r="M83" s="676"/>
      <c r="N83" s="670"/>
      <c r="O83" s="670"/>
    </row>
    <row r="84" spans="1:15" ht="15.75">
      <c r="A84" s="853"/>
      <c r="B84" s="678" t="s">
        <v>512</v>
      </c>
      <c r="C84" s="678" t="s">
        <v>513</v>
      </c>
      <c r="D84" s="678"/>
      <c r="E84" s="678"/>
      <c r="F84" s="678"/>
      <c r="G84" s="678"/>
      <c r="H84" s="678" t="s">
        <v>514</v>
      </c>
      <c r="I84" s="677"/>
      <c r="J84" s="677"/>
      <c r="K84" s="677" t="s">
        <v>515</v>
      </c>
      <c r="L84" s="678" t="s">
        <v>522</v>
      </c>
      <c r="M84" s="678" t="s">
        <v>522</v>
      </c>
      <c r="N84" s="644"/>
      <c r="O84" s="644"/>
    </row>
    <row r="85" spans="1:15" ht="16.5" thickBot="1">
      <c r="A85" s="854"/>
      <c r="B85" s="680" t="s">
        <v>517</v>
      </c>
      <c r="C85" s="680" t="s">
        <v>517</v>
      </c>
      <c r="D85" s="680"/>
      <c r="E85" s="680"/>
      <c r="F85" s="680"/>
      <c r="G85" s="680"/>
      <c r="H85" s="680" t="s">
        <v>526</v>
      </c>
      <c r="I85" s="679"/>
      <c r="J85" s="679"/>
      <c r="K85" s="679" t="s">
        <v>526</v>
      </c>
      <c r="L85" s="680"/>
      <c r="M85" s="680" t="s">
        <v>597</v>
      </c>
      <c r="N85" s="673"/>
      <c r="O85" s="673"/>
    </row>
    <row r="86" spans="1:15" ht="15.75">
      <c r="A86" s="838">
        <v>21</v>
      </c>
      <c r="B86" s="669" t="s">
        <v>506</v>
      </c>
      <c r="C86" s="669" t="s">
        <v>523</v>
      </c>
      <c r="D86" s="669"/>
      <c r="E86" s="669"/>
      <c r="F86" s="669"/>
      <c r="G86" s="669"/>
      <c r="H86" s="669" t="s">
        <v>161</v>
      </c>
      <c r="I86" s="669"/>
      <c r="J86" s="669"/>
      <c r="K86" s="669" t="s">
        <v>596</v>
      </c>
      <c r="L86" s="669" t="s">
        <v>510</v>
      </c>
      <c r="M86" s="669"/>
      <c r="N86" s="670"/>
      <c r="O86" s="670"/>
    </row>
    <row r="87" spans="1:15" ht="15.75">
      <c r="A87" s="839"/>
      <c r="B87" s="671" t="s">
        <v>512</v>
      </c>
      <c r="C87" s="671" t="s">
        <v>513</v>
      </c>
      <c r="D87" s="686"/>
      <c r="E87" s="671"/>
      <c r="F87" s="671"/>
      <c r="G87" s="671"/>
      <c r="H87" s="671" t="s">
        <v>514</v>
      </c>
      <c r="I87" s="671"/>
      <c r="J87" s="671"/>
      <c r="K87" s="671" t="s">
        <v>515</v>
      </c>
      <c r="L87" s="671" t="s">
        <v>522</v>
      </c>
      <c r="M87" s="671" t="s">
        <v>522</v>
      </c>
      <c r="N87" s="644"/>
      <c r="O87" s="644"/>
    </row>
    <row r="88" spans="1:15" ht="16.5" thickBot="1">
      <c r="A88" s="840"/>
      <c r="B88" s="672" t="s">
        <v>517</v>
      </c>
      <c r="C88" s="672" t="s">
        <v>524</v>
      </c>
      <c r="D88" s="672"/>
      <c r="E88" s="672"/>
      <c r="F88" s="672"/>
      <c r="G88" s="672"/>
      <c r="H88" s="672" t="s">
        <v>526</v>
      </c>
      <c r="I88" s="672"/>
      <c r="J88" s="672"/>
      <c r="K88" s="672" t="s">
        <v>526</v>
      </c>
      <c r="L88" s="672"/>
      <c r="M88" s="672" t="s">
        <v>597</v>
      </c>
      <c r="N88" s="673"/>
      <c r="O88" s="673"/>
    </row>
    <row r="89" spans="1:15" ht="15.75">
      <c r="A89" s="852">
        <v>25</v>
      </c>
      <c r="B89" s="676" t="s">
        <v>506</v>
      </c>
      <c r="C89" s="676" t="s">
        <v>506</v>
      </c>
      <c r="D89" s="676"/>
      <c r="E89" s="676"/>
      <c r="F89" s="676"/>
      <c r="G89" s="676"/>
      <c r="H89" s="676" t="s">
        <v>161</v>
      </c>
      <c r="I89" s="675"/>
      <c r="J89" s="674" t="s">
        <v>596</v>
      </c>
      <c r="K89" s="674" t="s">
        <v>596</v>
      </c>
      <c r="L89" s="676" t="s">
        <v>599</v>
      </c>
      <c r="M89" s="676"/>
      <c r="N89" s="670"/>
      <c r="O89" s="670"/>
    </row>
    <row r="90" spans="1:15" ht="15.75">
      <c r="A90" s="853"/>
      <c r="B90" s="678" t="s">
        <v>512</v>
      </c>
      <c r="C90" s="678" t="s">
        <v>513</v>
      </c>
      <c r="D90" s="678"/>
      <c r="E90" s="678"/>
      <c r="F90" s="678"/>
      <c r="G90" s="678"/>
      <c r="H90" s="678" t="s">
        <v>514</v>
      </c>
      <c r="I90" s="677"/>
      <c r="J90" s="677" t="s">
        <v>515</v>
      </c>
      <c r="K90" s="677" t="s">
        <v>515</v>
      </c>
      <c r="L90" s="678" t="s">
        <v>511</v>
      </c>
      <c r="M90" s="678" t="s">
        <v>511</v>
      </c>
      <c r="N90" s="644"/>
      <c r="O90" s="644"/>
    </row>
    <row r="91" spans="1:15" ht="16.5" thickBot="1">
      <c r="A91" s="854"/>
      <c r="B91" s="680" t="s">
        <v>517</v>
      </c>
      <c r="C91" s="680" t="s">
        <v>517</v>
      </c>
      <c r="D91" s="680"/>
      <c r="E91" s="680"/>
      <c r="F91" s="680"/>
      <c r="G91" s="680"/>
      <c r="H91" s="680" t="s">
        <v>519</v>
      </c>
      <c r="I91" s="679"/>
      <c r="J91" s="679" t="s">
        <v>526</v>
      </c>
      <c r="K91" s="679" t="s">
        <v>526</v>
      </c>
      <c r="L91" s="680"/>
      <c r="M91" s="680" t="s">
        <v>597</v>
      </c>
      <c r="N91" s="673"/>
      <c r="O91" s="673"/>
    </row>
    <row r="92" spans="1:15" ht="15.75">
      <c r="A92" s="838">
        <v>26</v>
      </c>
      <c r="B92" s="669" t="s">
        <v>506</v>
      </c>
      <c r="C92" s="669" t="s">
        <v>506</v>
      </c>
      <c r="D92" s="669"/>
      <c r="E92" s="669"/>
      <c r="F92" s="669"/>
      <c r="G92" s="669" t="s">
        <v>161</v>
      </c>
      <c r="H92" s="669" t="s">
        <v>161</v>
      </c>
      <c r="I92" s="669"/>
      <c r="J92" s="669"/>
      <c r="K92" s="669"/>
      <c r="L92" s="669" t="s">
        <v>510</v>
      </c>
      <c r="M92" s="669"/>
      <c r="N92" s="670"/>
      <c r="O92" s="670"/>
    </row>
    <row r="93" spans="1:15" ht="15.75">
      <c r="A93" s="839"/>
      <c r="B93" s="671" t="s">
        <v>512</v>
      </c>
      <c r="C93" s="671" t="s">
        <v>513</v>
      </c>
      <c r="D93" s="686"/>
      <c r="E93" s="671"/>
      <c r="F93" s="671"/>
      <c r="G93" s="671" t="s">
        <v>515</v>
      </c>
      <c r="H93" s="671" t="s">
        <v>514</v>
      </c>
      <c r="I93" s="671"/>
      <c r="J93" s="671"/>
      <c r="K93" s="671"/>
      <c r="L93" s="671" t="s">
        <v>522</v>
      </c>
      <c r="M93" s="671" t="s">
        <v>522</v>
      </c>
      <c r="N93" s="644"/>
      <c r="O93" s="644"/>
    </row>
    <row r="94" spans="1:15" ht="16.5" thickBot="1">
      <c r="A94" s="840"/>
      <c r="B94" s="672" t="s">
        <v>517</v>
      </c>
      <c r="C94" s="672" t="s">
        <v>517</v>
      </c>
      <c r="D94" s="672"/>
      <c r="E94" s="672"/>
      <c r="F94" s="672"/>
      <c r="G94" s="672" t="s">
        <v>598</v>
      </c>
      <c r="H94" s="672" t="s">
        <v>519</v>
      </c>
      <c r="I94" s="672"/>
      <c r="J94" s="672"/>
      <c r="K94" s="672"/>
      <c r="L94" s="672"/>
      <c r="M94" s="672" t="s">
        <v>597</v>
      </c>
      <c r="N94" s="673"/>
      <c r="O94" s="673"/>
    </row>
    <row r="95" spans="1:15" ht="15.75">
      <c r="A95" s="852">
        <v>27</v>
      </c>
      <c r="B95" s="676" t="s">
        <v>506</v>
      </c>
      <c r="C95" s="676" t="s">
        <v>506</v>
      </c>
      <c r="D95" s="676" t="s">
        <v>523</v>
      </c>
      <c r="E95" s="676"/>
      <c r="F95" s="676"/>
      <c r="G95" s="676"/>
      <c r="H95" s="676" t="s">
        <v>161</v>
      </c>
      <c r="I95" s="675"/>
      <c r="J95" s="674"/>
      <c r="K95" s="674" t="s">
        <v>596</v>
      </c>
      <c r="L95" s="676" t="s">
        <v>510</v>
      </c>
      <c r="M95" s="676"/>
      <c r="N95" s="670"/>
      <c r="O95" s="670"/>
    </row>
    <row r="96" spans="1:15" ht="15.75">
      <c r="A96" s="853"/>
      <c r="B96" s="678" t="s">
        <v>512</v>
      </c>
      <c r="C96" s="678" t="s">
        <v>513</v>
      </c>
      <c r="D96" s="678" t="s">
        <v>516</v>
      </c>
      <c r="E96" s="678"/>
      <c r="F96" s="678"/>
      <c r="G96" s="678"/>
      <c r="H96" s="678" t="s">
        <v>514</v>
      </c>
      <c r="I96" s="677"/>
      <c r="J96" s="677"/>
      <c r="K96" s="677" t="s">
        <v>515</v>
      </c>
      <c r="L96" s="678" t="s">
        <v>522</v>
      </c>
      <c r="M96" s="678" t="s">
        <v>522</v>
      </c>
      <c r="N96" s="644"/>
      <c r="O96" s="644"/>
    </row>
    <row r="97" spans="1:15" ht="16.5" thickBot="1">
      <c r="A97" s="854"/>
      <c r="B97" s="680" t="s">
        <v>517</v>
      </c>
      <c r="C97" s="680" t="s">
        <v>517</v>
      </c>
      <c r="D97" s="680" t="s">
        <v>524</v>
      </c>
      <c r="E97" s="680"/>
      <c r="F97" s="680"/>
      <c r="G97" s="680"/>
      <c r="H97" s="680" t="s">
        <v>526</v>
      </c>
      <c r="I97" s="679"/>
      <c r="J97" s="679"/>
      <c r="K97" s="679" t="s">
        <v>526</v>
      </c>
      <c r="L97" s="680"/>
      <c r="M97" s="680" t="s">
        <v>597</v>
      </c>
      <c r="N97" s="673"/>
      <c r="O97" s="673"/>
    </row>
    <row r="98" spans="1:15" ht="15.75">
      <c r="A98" s="838">
        <v>28</v>
      </c>
      <c r="B98" s="669" t="s">
        <v>506</v>
      </c>
      <c r="C98" s="669" t="s">
        <v>506</v>
      </c>
      <c r="D98" s="669" t="s">
        <v>523</v>
      </c>
      <c r="E98" s="669"/>
      <c r="F98" s="669"/>
      <c r="G98" s="669"/>
      <c r="H98" s="669" t="s">
        <v>161</v>
      </c>
      <c r="I98" s="669"/>
      <c r="J98" s="669" t="s">
        <v>596</v>
      </c>
      <c r="K98" s="669" t="s">
        <v>596</v>
      </c>
      <c r="L98" s="669" t="s">
        <v>599</v>
      </c>
      <c r="M98" s="669"/>
      <c r="N98" s="670"/>
      <c r="O98" s="670"/>
    </row>
    <row r="99" spans="1:15" ht="15.75">
      <c r="A99" s="839"/>
      <c r="B99" s="671" t="s">
        <v>512</v>
      </c>
      <c r="C99" s="671" t="s">
        <v>513</v>
      </c>
      <c r="D99" s="686" t="s">
        <v>516</v>
      </c>
      <c r="E99" s="671"/>
      <c r="F99" s="671"/>
      <c r="G99" s="671"/>
      <c r="H99" s="671" t="s">
        <v>514</v>
      </c>
      <c r="I99" s="671"/>
      <c r="J99" s="671" t="s">
        <v>515</v>
      </c>
      <c r="K99" s="671" t="s">
        <v>515</v>
      </c>
      <c r="L99" s="671" t="s">
        <v>183</v>
      </c>
      <c r="M99" s="671" t="s">
        <v>511</v>
      </c>
      <c r="N99" s="644"/>
      <c r="O99" s="644"/>
    </row>
    <row r="100" spans="1:15" ht="16.5" thickBot="1">
      <c r="A100" s="840"/>
      <c r="B100" s="672" t="s">
        <v>517</v>
      </c>
      <c r="C100" s="672" t="s">
        <v>517</v>
      </c>
      <c r="D100" s="672" t="s">
        <v>524</v>
      </c>
      <c r="E100" s="672"/>
      <c r="F100" s="672"/>
      <c r="G100" s="672"/>
      <c r="H100" s="672" t="s">
        <v>526</v>
      </c>
      <c r="I100" s="672"/>
      <c r="J100" s="672" t="s">
        <v>526</v>
      </c>
      <c r="K100" s="672" t="s">
        <v>526</v>
      </c>
      <c r="L100" s="672"/>
      <c r="M100" s="672" t="s">
        <v>597</v>
      </c>
      <c r="N100" s="673"/>
      <c r="O100" s="673"/>
    </row>
    <row r="101" spans="1:15" ht="15.75">
      <c r="A101" s="852">
        <v>29</v>
      </c>
      <c r="B101" s="676" t="s">
        <v>506</v>
      </c>
      <c r="C101" s="676" t="s">
        <v>506</v>
      </c>
      <c r="D101" s="676" t="s">
        <v>523</v>
      </c>
      <c r="E101" s="676"/>
      <c r="F101" s="676"/>
      <c r="G101" s="676" t="s">
        <v>161</v>
      </c>
      <c r="H101" s="676" t="s">
        <v>161</v>
      </c>
      <c r="I101" s="675"/>
      <c r="J101" s="674"/>
      <c r="K101" s="674"/>
      <c r="L101" s="676" t="s">
        <v>510</v>
      </c>
      <c r="M101" s="676"/>
      <c r="N101" s="670"/>
      <c r="O101" s="670"/>
    </row>
    <row r="102" spans="1:15" ht="15.75">
      <c r="A102" s="853"/>
      <c r="B102" s="678" t="s">
        <v>512</v>
      </c>
      <c r="C102" s="678" t="s">
        <v>513</v>
      </c>
      <c r="D102" s="678" t="s">
        <v>516</v>
      </c>
      <c r="E102" s="678"/>
      <c r="F102" s="678"/>
      <c r="G102" s="678" t="s">
        <v>515</v>
      </c>
      <c r="H102" s="678" t="s">
        <v>514</v>
      </c>
      <c r="I102" s="677"/>
      <c r="J102" s="677"/>
      <c r="K102" s="677"/>
      <c r="L102" s="678" t="s">
        <v>522</v>
      </c>
      <c r="M102" s="678" t="s">
        <v>522</v>
      </c>
      <c r="N102" s="644"/>
      <c r="O102" s="644"/>
    </row>
    <row r="103" spans="1:15" ht="16.5" thickBot="1">
      <c r="A103" s="854"/>
      <c r="B103" s="680" t="s">
        <v>517</v>
      </c>
      <c r="C103" s="680" t="s">
        <v>517</v>
      </c>
      <c r="D103" s="680" t="s">
        <v>524</v>
      </c>
      <c r="E103" s="680"/>
      <c r="F103" s="680"/>
      <c r="G103" s="680" t="s">
        <v>598</v>
      </c>
      <c r="H103" s="680" t="s">
        <v>526</v>
      </c>
      <c r="I103" s="679"/>
      <c r="J103" s="679"/>
      <c r="K103" s="679"/>
      <c r="L103" s="680"/>
      <c r="M103" s="680" t="s">
        <v>597</v>
      </c>
      <c r="N103" s="673"/>
      <c r="O103" s="673"/>
    </row>
    <row r="104" spans="1:15" ht="15.75">
      <c r="A104" s="838">
        <v>30</v>
      </c>
      <c r="B104" s="669" t="s">
        <v>506</v>
      </c>
      <c r="C104" s="669" t="s">
        <v>506</v>
      </c>
      <c r="D104" s="669" t="s">
        <v>523</v>
      </c>
      <c r="E104" s="669"/>
      <c r="F104" s="669"/>
      <c r="G104" s="669" t="s">
        <v>161</v>
      </c>
      <c r="H104" s="669" t="s">
        <v>161</v>
      </c>
      <c r="I104" s="669"/>
      <c r="J104" s="669" t="s">
        <v>596</v>
      </c>
      <c r="K104" s="669" t="s">
        <v>596</v>
      </c>
      <c r="L104" s="669" t="s">
        <v>599</v>
      </c>
      <c r="M104" s="669"/>
      <c r="N104" s="670"/>
      <c r="O104" s="670"/>
    </row>
    <row r="105" spans="1:15" ht="15.75">
      <c r="A105" s="839"/>
      <c r="B105" s="671" t="s">
        <v>512</v>
      </c>
      <c r="C105" s="671" t="s">
        <v>513</v>
      </c>
      <c r="D105" s="686" t="s">
        <v>525</v>
      </c>
      <c r="E105" s="671"/>
      <c r="F105" s="671"/>
      <c r="G105" s="671" t="s">
        <v>516</v>
      </c>
      <c r="H105" s="671" t="s">
        <v>514</v>
      </c>
      <c r="I105" s="671"/>
      <c r="J105" s="671" t="s">
        <v>515</v>
      </c>
      <c r="K105" s="671" t="s">
        <v>515</v>
      </c>
      <c r="L105" s="671" t="s">
        <v>183</v>
      </c>
      <c r="M105" s="671" t="s">
        <v>511</v>
      </c>
      <c r="N105" s="644"/>
      <c r="O105" s="644"/>
    </row>
    <row r="106" spans="1:15" ht="16.5" thickBot="1">
      <c r="A106" s="840"/>
      <c r="B106" s="672" t="s">
        <v>517</v>
      </c>
      <c r="C106" s="672" t="s">
        <v>517</v>
      </c>
      <c r="D106" s="672" t="s">
        <v>524</v>
      </c>
      <c r="E106" s="672"/>
      <c r="F106" s="672"/>
      <c r="G106" s="672" t="s">
        <v>598</v>
      </c>
      <c r="H106" s="672" t="s">
        <v>526</v>
      </c>
      <c r="I106" s="672"/>
      <c r="J106" s="672" t="s">
        <v>526</v>
      </c>
      <c r="K106" s="672" t="s">
        <v>526</v>
      </c>
      <c r="L106" s="672"/>
      <c r="M106" s="672" t="s">
        <v>597</v>
      </c>
      <c r="N106" s="673"/>
      <c r="O106" s="673"/>
    </row>
    <row r="107" spans="1:15" ht="15.75">
      <c r="A107" s="852">
        <v>31</v>
      </c>
      <c r="B107" s="676" t="s">
        <v>506</v>
      </c>
      <c r="C107" s="676" t="s">
        <v>506</v>
      </c>
      <c r="D107" s="676" t="s">
        <v>523</v>
      </c>
      <c r="E107" s="676"/>
      <c r="F107" s="676"/>
      <c r="G107" s="676" t="s">
        <v>161</v>
      </c>
      <c r="H107" s="676" t="s">
        <v>161</v>
      </c>
      <c r="I107" s="675"/>
      <c r="J107" s="674"/>
      <c r="K107" s="674" t="s">
        <v>596</v>
      </c>
      <c r="L107" s="676" t="s">
        <v>510</v>
      </c>
      <c r="M107" s="676"/>
      <c r="N107" s="670"/>
      <c r="O107" s="670"/>
    </row>
    <row r="108" spans="1:15" ht="15.75">
      <c r="A108" s="853"/>
      <c r="B108" s="678" t="s">
        <v>512</v>
      </c>
      <c r="C108" s="678" t="s">
        <v>513</v>
      </c>
      <c r="D108" s="678" t="s">
        <v>525</v>
      </c>
      <c r="E108" s="678"/>
      <c r="F108" s="678"/>
      <c r="G108" s="678" t="s">
        <v>516</v>
      </c>
      <c r="H108" s="678" t="s">
        <v>514</v>
      </c>
      <c r="I108" s="677"/>
      <c r="J108" s="677"/>
      <c r="K108" s="677" t="s">
        <v>515</v>
      </c>
      <c r="L108" s="678" t="s">
        <v>522</v>
      </c>
      <c r="M108" s="678" t="s">
        <v>522</v>
      </c>
      <c r="N108" s="644"/>
      <c r="O108" s="644"/>
    </row>
    <row r="109" spans="1:15" ht="16.5" thickBot="1">
      <c r="A109" s="854"/>
      <c r="B109" s="680" t="s">
        <v>517</v>
      </c>
      <c r="C109" s="680" t="s">
        <v>517</v>
      </c>
      <c r="D109" s="680" t="s">
        <v>524</v>
      </c>
      <c r="E109" s="680"/>
      <c r="F109" s="680"/>
      <c r="G109" s="680" t="s">
        <v>598</v>
      </c>
      <c r="H109" s="680" t="s">
        <v>526</v>
      </c>
      <c r="I109" s="679"/>
      <c r="J109" s="679"/>
      <c r="K109" s="679" t="s">
        <v>526</v>
      </c>
      <c r="L109" s="680"/>
      <c r="M109" s="680" t="s">
        <v>597</v>
      </c>
      <c r="N109" s="673"/>
      <c r="O109" s="673"/>
    </row>
    <row r="110" spans="1:15" ht="15.75">
      <c r="A110" s="725"/>
      <c r="B110" s="725"/>
      <c r="C110" s="725"/>
      <c r="D110" s="725"/>
      <c r="E110" s="725"/>
      <c r="F110" s="725"/>
      <c r="G110" s="725"/>
      <c r="H110" s="725"/>
      <c r="I110" s="726"/>
      <c r="J110" s="726"/>
      <c r="K110" s="726"/>
      <c r="L110" s="725"/>
      <c r="M110" s="725"/>
      <c r="N110" s="673"/>
      <c r="O110" s="673"/>
    </row>
    <row r="111" spans="1:15" ht="48" thickBot="1">
      <c r="A111" s="727" t="s">
        <v>592</v>
      </c>
      <c r="B111" s="725"/>
      <c r="C111" s="725"/>
      <c r="D111" s="725"/>
      <c r="E111" s="725"/>
      <c r="F111" s="725"/>
      <c r="G111" s="725"/>
      <c r="H111" s="725"/>
      <c r="I111" s="726"/>
      <c r="J111" s="726"/>
      <c r="K111" s="726"/>
      <c r="L111" s="725"/>
      <c r="M111" s="725"/>
      <c r="N111" s="673"/>
      <c r="O111" s="673"/>
    </row>
    <row r="112" spans="1:15" ht="34.5" thickBot="1">
      <c r="A112" s="668" t="s">
        <v>498</v>
      </c>
      <c r="B112" s="654" t="s">
        <v>499</v>
      </c>
      <c r="C112" s="654" t="s">
        <v>500</v>
      </c>
      <c r="D112" s="654" t="s">
        <v>501</v>
      </c>
      <c r="E112" s="654" t="s">
        <v>502</v>
      </c>
      <c r="F112" s="654" t="s">
        <v>503</v>
      </c>
      <c r="G112" s="654" t="s">
        <v>504</v>
      </c>
      <c r="H112" s="654" t="s">
        <v>286</v>
      </c>
      <c r="I112" s="654" t="s">
        <v>287</v>
      </c>
      <c r="J112" s="654" t="s">
        <v>479</v>
      </c>
      <c r="K112" s="654" t="s">
        <v>505</v>
      </c>
      <c r="L112" s="654" t="s">
        <v>481</v>
      </c>
      <c r="M112" s="654" t="s">
        <v>482</v>
      </c>
      <c r="N112" s="673"/>
      <c r="O112" s="673"/>
    </row>
    <row r="113" spans="1:15" ht="15.75">
      <c r="A113" s="839">
        <v>40</v>
      </c>
      <c r="B113" s="681" t="s">
        <v>506</v>
      </c>
      <c r="C113" s="681" t="s">
        <v>523</v>
      </c>
      <c r="D113" s="681"/>
      <c r="E113" s="681"/>
      <c r="F113" s="681"/>
      <c r="G113" s="681"/>
      <c r="H113" s="669" t="s">
        <v>161</v>
      </c>
      <c r="I113" s="681"/>
      <c r="J113" s="681"/>
      <c r="K113" s="681" t="s">
        <v>600</v>
      </c>
      <c r="L113" s="681" t="s">
        <v>510</v>
      </c>
      <c r="M113" s="681"/>
      <c r="N113" s="670"/>
      <c r="O113" s="670"/>
    </row>
    <row r="114" spans="1:15" ht="15.75">
      <c r="A114" s="839"/>
      <c r="B114" s="671" t="s">
        <v>512</v>
      </c>
      <c r="C114" s="671" t="s">
        <v>513</v>
      </c>
      <c r="D114" s="686"/>
      <c r="E114" s="671"/>
      <c r="F114" s="671"/>
      <c r="G114" s="671"/>
      <c r="H114" s="671" t="s">
        <v>514</v>
      </c>
      <c r="I114" s="671"/>
      <c r="J114" s="671"/>
      <c r="K114" s="671" t="s">
        <v>515</v>
      </c>
      <c r="L114" s="671" t="s">
        <v>522</v>
      </c>
      <c r="M114" s="671" t="s">
        <v>522</v>
      </c>
      <c r="N114" s="644"/>
      <c r="O114" s="644"/>
    </row>
    <row r="115" spans="1:15" ht="16.5" thickBot="1">
      <c r="A115" s="840"/>
      <c r="B115" s="672" t="s">
        <v>517</v>
      </c>
      <c r="C115" s="672" t="s">
        <v>524</v>
      </c>
      <c r="D115" s="672"/>
      <c r="E115" s="672"/>
      <c r="F115" s="672"/>
      <c r="G115" s="672"/>
      <c r="H115" s="672" t="s">
        <v>526</v>
      </c>
      <c r="I115" s="672"/>
      <c r="J115" s="672"/>
      <c r="K115" s="672" t="s">
        <v>526</v>
      </c>
      <c r="L115" s="672"/>
      <c r="M115" s="672" t="s">
        <v>597</v>
      </c>
      <c r="N115" s="673"/>
      <c r="O115" s="673"/>
    </row>
    <row r="116" spans="1:15" ht="15.75">
      <c r="A116" s="839">
        <v>140</v>
      </c>
      <c r="B116" s="681"/>
      <c r="C116" s="681"/>
      <c r="D116" s="681" t="s">
        <v>523</v>
      </c>
      <c r="E116" s="681" t="s">
        <v>523</v>
      </c>
      <c r="F116" s="681"/>
      <c r="G116" s="681"/>
      <c r="H116" s="669" t="s">
        <v>161</v>
      </c>
      <c r="I116" s="681"/>
      <c r="J116" s="681"/>
      <c r="K116" s="681"/>
      <c r="L116" s="681"/>
      <c r="M116" s="681"/>
      <c r="N116" s="670"/>
      <c r="O116" s="670"/>
    </row>
    <row r="117" spans="1:15" ht="15.75">
      <c r="A117" s="839"/>
      <c r="B117" s="671"/>
      <c r="C117" s="671"/>
      <c r="D117" s="686" t="s">
        <v>512</v>
      </c>
      <c r="E117" s="671" t="s">
        <v>513</v>
      </c>
      <c r="F117" s="671"/>
      <c r="G117" s="671"/>
      <c r="H117" s="671" t="s">
        <v>514</v>
      </c>
      <c r="I117" s="671"/>
      <c r="J117" s="671"/>
      <c r="K117" s="671"/>
      <c r="L117" s="671"/>
      <c r="M117" s="671" t="s">
        <v>522</v>
      </c>
      <c r="N117" s="644"/>
      <c r="O117" s="644"/>
    </row>
    <row r="118" spans="1:15" ht="16.5" thickBot="1">
      <c r="A118" s="840"/>
      <c r="B118" s="672"/>
      <c r="C118" s="672"/>
      <c r="D118" s="672" t="s">
        <v>524</v>
      </c>
      <c r="E118" s="672" t="s">
        <v>524</v>
      </c>
      <c r="F118" s="672"/>
      <c r="G118" s="672"/>
      <c r="H118" s="672" t="s">
        <v>526</v>
      </c>
      <c r="I118" s="672"/>
      <c r="J118" s="672"/>
      <c r="K118" s="672"/>
      <c r="L118" s="672"/>
      <c r="M118" s="672" t="s">
        <v>597</v>
      </c>
      <c r="N118" s="673"/>
      <c r="O118" s="673"/>
    </row>
    <row r="119" spans="1:15" ht="15.75">
      <c r="A119" s="852">
        <v>41</v>
      </c>
      <c r="B119" s="676" t="s">
        <v>506</v>
      </c>
      <c r="C119" s="676" t="s">
        <v>523</v>
      </c>
      <c r="D119" s="676"/>
      <c r="E119" s="676"/>
      <c r="F119" s="676"/>
      <c r="G119" s="676"/>
      <c r="H119" s="676" t="s">
        <v>161</v>
      </c>
      <c r="I119" s="675"/>
      <c r="J119" s="674"/>
      <c r="K119" s="674" t="s">
        <v>596</v>
      </c>
      <c r="L119" s="676" t="s">
        <v>510</v>
      </c>
      <c r="M119" s="676"/>
      <c r="N119" s="670"/>
      <c r="O119" s="670"/>
    </row>
    <row r="120" spans="1:15" ht="15.75">
      <c r="A120" s="853"/>
      <c r="B120" s="678" t="s">
        <v>512</v>
      </c>
      <c r="C120" s="678" t="s">
        <v>513</v>
      </c>
      <c r="D120" s="678"/>
      <c r="E120" s="678"/>
      <c r="F120" s="678"/>
      <c r="G120" s="678"/>
      <c r="H120" s="678" t="s">
        <v>514</v>
      </c>
      <c r="I120" s="677"/>
      <c r="J120" s="677"/>
      <c r="K120" s="677" t="s">
        <v>515</v>
      </c>
      <c r="L120" s="678" t="s">
        <v>522</v>
      </c>
      <c r="M120" s="678" t="s">
        <v>522</v>
      </c>
      <c r="N120" s="644"/>
      <c r="O120" s="644"/>
    </row>
    <row r="121" spans="1:15" ht="16.5" thickBot="1">
      <c r="A121" s="854"/>
      <c r="B121" s="680" t="s">
        <v>517</v>
      </c>
      <c r="C121" s="680" t="s">
        <v>524</v>
      </c>
      <c r="D121" s="680"/>
      <c r="E121" s="680"/>
      <c r="F121" s="680"/>
      <c r="G121" s="680"/>
      <c r="H121" s="680" t="s">
        <v>526</v>
      </c>
      <c r="I121" s="679"/>
      <c r="J121" s="679"/>
      <c r="K121" s="679" t="s">
        <v>526</v>
      </c>
      <c r="L121" s="680"/>
      <c r="M121" s="680" t="s">
        <v>597</v>
      </c>
      <c r="N121" s="673"/>
      <c r="O121" s="673"/>
    </row>
    <row r="122" spans="1:15" ht="15.75">
      <c r="A122" s="852">
        <v>141</v>
      </c>
      <c r="B122" s="676"/>
      <c r="C122" s="676"/>
      <c r="D122" s="676" t="s">
        <v>523</v>
      </c>
      <c r="E122" s="676"/>
      <c r="F122" s="676"/>
      <c r="G122" s="676"/>
      <c r="H122" s="676" t="s">
        <v>161</v>
      </c>
      <c r="I122" s="675"/>
      <c r="J122" s="674"/>
      <c r="K122" s="674"/>
      <c r="L122" s="676"/>
      <c r="M122" s="676"/>
      <c r="N122" s="670"/>
      <c r="O122" s="670"/>
    </row>
    <row r="123" spans="1:15" ht="15.75">
      <c r="A123" s="853"/>
      <c r="B123" s="678"/>
      <c r="C123" s="678"/>
      <c r="D123" s="678" t="s">
        <v>512</v>
      </c>
      <c r="E123" s="678"/>
      <c r="F123" s="678"/>
      <c r="G123" s="678"/>
      <c r="H123" s="678" t="s">
        <v>514</v>
      </c>
      <c r="I123" s="677"/>
      <c r="J123" s="677"/>
      <c r="K123" s="677"/>
      <c r="L123" s="678"/>
      <c r="M123" s="678" t="s">
        <v>522</v>
      </c>
      <c r="N123" s="644"/>
      <c r="O123" s="644"/>
    </row>
    <row r="124" spans="1:15" ht="16.5" thickBot="1">
      <c r="A124" s="854"/>
      <c r="B124" s="680"/>
      <c r="C124" s="680"/>
      <c r="D124" s="680" t="s">
        <v>524</v>
      </c>
      <c r="E124" s="680"/>
      <c r="F124" s="680"/>
      <c r="G124" s="680"/>
      <c r="H124" s="680" t="s">
        <v>526</v>
      </c>
      <c r="I124" s="679"/>
      <c r="J124" s="679"/>
      <c r="K124" s="679"/>
      <c r="L124" s="680"/>
      <c r="M124" s="680" t="s">
        <v>597</v>
      </c>
      <c r="N124" s="673"/>
      <c r="O124" s="673"/>
    </row>
    <row r="125" spans="1:15" ht="15.75">
      <c r="A125" s="839">
        <v>42</v>
      </c>
      <c r="B125" s="681" t="s">
        <v>506</v>
      </c>
      <c r="C125" s="681" t="s">
        <v>523</v>
      </c>
      <c r="D125" s="681"/>
      <c r="E125" s="681"/>
      <c r="F125" s="681"/>
      <c r="G125" s="681"/>
      <c r="H125" s="669" t="s">
        <v>161</v>
      </c>
      <c r="I125" s="681"/>
      <c r="J125" s="681" t="s">
        <v>596</v>
      </c>
      <c r="K125" s="681" t="s">
        <v>600</v>
      </c>
      <c r="L125" s="681" t="s">
        <v>599</v>
      </c>
      <c r="M125" s="681"/>
      <c r="N125" s="670"/>
      <c r="O125" s="670"/>
    </row>
    <row r="126" spans="1:15" ht="15.75">
      <c r="A126" s="839"/>
      <c r="B126" s="671" t="s">
        <v>512</v>
      </c>
      <c r="C126" s="671" t="s">
        <v>513</v>
      </c>
      <c r="D126" s="686"/>
      <c r="E126" s="671"/>
      <c r="F126" s="671"/>
      <c r="G126" s="671"/>
      <c r="H126" s="671" t="s">
        <v>514</v>
      </c>
      <c r="I126" s="671"/>
      <c r="J126" s="671" t="s">
        <v>515</v>
      </c>
      <c r="K126" s="671" t="s">
        <v>515</v>
      </c>
      <c r="L126" s="671" t="s">
        <v>511</v>
      </c>
      <c r="M126" s="671" t="s">
        <v>511</v>
      </c>
      <c r="N126" s="644"/>
      <c r="O126" s="644"/>
    </row>
    <row r="127" spans="1:15" ht="16.5" thickBot="1">
      <c r="A127" s="840"/>
      <c r="B127" s="672" t="s">
        <v>517</v>
      </c>
      <c r="C127" s="672" t="s">
        <v>524</v>
      </c>
      <c r="D127" s="672"/>
      <c r="E127" s="672"/>
      <c r="F127" s="672"/>
      <c r="G127" s="672"/>
      <c r="H127" s="672" t="s">
        <v>526</v>
      </c>
      <c r="I127" s="672"/>
      <c r="J127" s="672" t="s">
        <v>526</v>
      </c>
      <c r="K127" s="672" t="s">
        <v>518</v>
      </c>
      <c r="L127" s="672"/>
      <c r="M127" s="672" t="s">
        <v>597</v>
      </c>
      <c r="N127" s="673"/>
      <c r="O127" s="673"/>
    </row>
    <row r="128" spans="1:15" ht="15.75">
      <c r="A128" s="839">
        <v>142</v>
      </c>
      <c r="B128" s="681"/>
      <c r="C128" s="681"/>
      <c r="D128" s="681" t="s">
        <v>523</v>
      </c>
      <c r="E128" s="681" t="s">
        <v>523</v>
      </c>
      <c r="F128" s="681"/>
      <c r="G128" s="681"/>
      <c r="H128" s="669" t="s">
        <v>161</v>
      </c>
      <c r="I128" s="681"/>
      <c r="J128" s="681"/>
      <c r="K128" s="681"/>
      <c r="L128" s="681"/>
      <c r="M128" s="681"/>
      <c r="N128" s="670"/>
      <c r="O128" s="670"/>
    </row>
    <row r="129" spans="1:15" ht="15.75">
      <c r="A129" s="839"/>
      <c r="B129" s="671"/>
      <c r="C129" s="671"/>
      <c r="D129" s="686" t="s">
        <v>512</v>
      </c>
      <c r="E129" s="671" t="s">
        <v>513</v>
      </c>
      <c r="F129" s="671"/>
      <c r="G129" s="671"/>
      <c r="H129" s="671" t="s">
        <v>514</v>
      </c>
      <c r="I129" s="671"/>
      <c r="J129" s="671"/>
      <c r="K129" s="671"/>
      <c r="L129" s="671"/>
      <c r="M129" s="671" t="s">
        <v>511</v>
      </c>
      <c r="N129" s="644"/>
      <c r="O129" s="644"/>
    </row>
    <row r="130" spans="1:15" ht="16.5" thickBot="1">
      <c r="A130" s="840"/>
      <c r="B130" s="672"/>
      <c r="C130" s="672"/>
      <c r="D130" s="672" t="s">
        <v>524</v>
      </c>
      <c r="E130" s="672" t="s">
        <v>524</v>
      </c>
      <c r="F130" s="672"/>
      <c r="G130" s="672"/>
      <c r="H130" s="672" t="s">
        <v>526</v>
      </c>
      <c r="I130" s="672"/>
      <c r="J130" s="672"/>
      <c r="K130" s="672"/>
      <c r="L130" s="672"/>
      <c r="M130" s="672" t="s">
        <v>597</v>
      </c>
      <c r="N130" s="673"/>
      <c r="O130" s="673"/>
    </row>
    <row r="131" spans="1:15" ht="15.75">
      <c r="A131" s="852">
        <v>43</v>
      </c>
      <c r="B131" s="676" t="s">
        <v>506</v>
      </c>
      <c r="C131" s="676" t="s">
        <v>523</v>
      </c>
      <c r="D131" s="676"/>
      <c r="E131" s="676"/>
      <c r="F131" s="676"/>
      <c r="G131" s="676"/>
      <c r="H131" s="676" t="s">
        <v>161</v>
      </c>
      <c r="I131" s="675"/>
      <c r="J131" s="674" t="s">
        <v>596</v>
      </c>
      <c r="K131" s="674" t="s">
        <v>596</v>
      </c>
      <c r="L131" s="676" t="s">
        <v>599</v>
      </c>
      <c r="M131" s="676"/>
      <c r="N131" s="670"/>
      <c r="O131" s="670"/>
    </row>
    <row r="132" spans="1:15" ht="15.75">
      <c r="A132" s="853"/>
      <c r="B132" s="678" t="s">
        <v>512</v>
      </c>
      <c r="C132" s="678" t="s">
        <v>513</v>
      </c>
      <c r="D132" s="678"/>
      <c r="E132" s="678"/>
      <c r="F132" s="678"/>
      <c r="G132" s="678"/>
      <c r="H132" s="678" t="s">
        <v>514</v>
      </c>
      <c r="I132" s="677"/>
      <c r="J132" s="677" t="s">
        <v>515</v>
      </c>
      <c r="K132" s="677" t="s">
        <v>515</v>
      </c>
      <c r="L132" s="678" t="s">
        <v>511</v>
      </c>
      <c r="M132" s="678" t="s">
        <v>511</v>
      </c>
      <c r="N132" s="644"/>
      <c r="O132" s="644"/>
    </row>
    <row r="133" spans="1:15" ht="16.5" thickBot="1">
      <c r="A133" s="854"/>
      <c r="B133" s="680" t="s">
        <v>517</v>
      </c>
      <c r="C133" s="680" t="s">
        <v>524</v>
      </c>
      <c r="D133" s="680"/>
      <c r="E133" s="680"/>
      <c r="F133" s="680"/>
      <c r="G133" s="680"/>
      <c r="H133" s="680" t="s">
        <v>526</v>
      </c>
      <c r="I133" s="679"/>
      <c r="J133" s="679" t="s">
        <v>526</v>
      </c>
      <c r="K133" s="679" t="s">
        <v>518</v>
      </c>
      <c r="L133" s="680"/>
      <c r="M133" s="680" t="s">
        <v>597</v>
      </c>
      <c r="N133" s="673"/>
      <c r="O133" s="673"/>
    </row>
    <row r="134" spans="1:15" ht="15.75">
      <c r="A134" s="852">
        <v>143</v>
      </c>
      <c r="B134" s="676"/>
      <c r="C134" s="676"/>
      <c r="D134" s="676" t="s">
        <v>523</v>
      </c>
      <c r="E134" s="676"/>
      <c r="F134" s="676"/>
      <c r="G134" s="676"/>
      <c r="H134" s="676" t="s">
        <v>161</v>
      </c>
      <c r="I134" s="675"/>
      <c r="J134" s="674"/>
      <c r="K134" s="674"/>
      <c r="L134" s="676"/>
      <c r="M134" s="676"/>
      <c r="N134" s="670"/>
      <c r="O134" s="670"/>
    </row>
    <row r="135" spans="1:15" ht="15.75">
      <c r="A135" s="853"/>
      <c r="B135" s="678"/>
      <c r="C135" s="678"/>
      <c r="D135" s="678" t="s">
        <v>512</v>
      </c>
      <c r="E135" s="678"/>
      <c r="F135" s="678"/>
      <c r="G135" s="678"/>
      <c r="H135" s="678" t="s">
        <v>514</v>
      </c>
      <c r="I135" s="677"/>
      <c r="J135" s="677"/>
      <c r="K135" s="677"/>
      <c r="L135" s="678"/>
      <c r="M135" s="678" t="s">
        <v>511</v>
      </c>
      <c r="N135" s="644"/>
      <c r="O135" s="644"/>
    </row>
    <row r="136" spans="1:15" ht="16.5" thickBot="1">
      <c r="A136" s="854"/>
      <c r="B136" s="680"/>
      <c r="C136" s="680"/>
      <c r="D136" s="680" t="s">
        <v>524</v>
      </c>
      <c r="E136" s="680"/>
      <c r="F136" s="680"/>
      <c r="G136" s="680"/>
      <c r="H136" s="680" t="s">
        <v>526</v>
      </c>
      <c r="I136" s="679"/>
      <c r="J136" s="679"/>
      <c r="K136" s="679"/>
      <c r="L136" s="680"/>
      <c r="M136" s="680" t="s">
        <v>597</v>
      </c>
      <c r="N136" s="673"/>
      <c r="O136" s="673"/>
    </row>
    <row r="137" spans="1:15" ht="15.75">
      <c r="A137" s="839">
        <v>44</v>
      </c>
      <c r="B137" s="681" t="s">
        <v>506</v>
      </c>
      <c r="C137" s="681" t="s">
        <v>506</v>
      </c>
      <c r="D137" s="681"/>
      <c r="E137" s="681"/>
      <c r="F137" s="681"/>
      <c r="G137" s="681"/>
      <c r="H137" s="669" t="s">
        <v>161</v>
      </c>
      <c r="I137" s="681"/>
      <c r="J137" s="681"/>
      <c r="K137" s="681" t="s">
        <v>600</v>
      </c>
      <c r="L137" s="681" t="s">
        <v>510</v>
      </c>
      <c r="M137" s="681"/>
      <c r="N137" s="670"/>
      <c r="O137" s="670"/>
    </row>
    <row r="138" spans="1:15" ht="15.75">
      <c r="A138" s="839"/>
      <c r="B138" s="671" t="s">
        <v>512</v>
      </c>
      <c r="C138" s="671" t="s">
        <v>513</v>
      </c>
      <c r="D138" s="686"/>
      <c r="E138" s="671"/>
      <c r="F138" s="671"/>
      <c r="G138" s="671"/>
      <c r="H138" s="671" t="s">
        <v>514</v>
      </c>
      <c r="I138" s="671"/>
      <c r="J138" s="671"/>
      <c r="K138" s="671" t="s">
        <v>515</v>
      </c>
      <c r="L138" s="671" t="s">
        <v>522</v>
      </c>
      <c r="M138" s="671" t="s">
        <v>522</v>
      </c>
      <c r="N138" s="644"/>
      <c r="O138" s="644"/>
    </row>
    <row r="139" spans="1:15" ht="16.5" thickBot="1">
      <c r="A139" s="840"/>
      <c r="B139" s="672" t="s">
        <v>517</v>
      </c>
      <c r="C139" s="672" t="s">
        <v>517</v>
      </c>
      <c r="D139" s="672"/>
      <c r="E139" s="672"/>
      <c r="F139" s="672"/>
      <c r="G139" s="672"/>
      <c r="H139" s="672" t="s">
        <v>518</v>
      </c>
      <c r="I139" s="672"/>
      <c r="J139" s="672"/>
      <c r="K139" s="672" t="s">
        <v>526</v>
      </c>
      <c r="L139" s="672"/>
      <c r="M139" s="672" t="s">
        <v>597</v>
      </c>
      <c r="N139" s="673"/>
      <c r="O139" s="673"/>
    </row>
    <row r="140" spans="1:15" ht="15.75">
      <c r="A140" s="839">
        <v>144</v>
      </c>
      <c r="B140" s="681"/>
      <c r="C140" s="681"/>
      <c r="D140" s="681" t="s">
        <v>506</v>
      </c>
      <c r="E140" s="681" t="s">
        <v>506</v>
      </c>
      <c r="F140" s="681"/>
      <c r="G140" s="681"/>
      <c r="H140" s="669" t="s">
        <v>161</v>
      </c>
      <c r="I140" s="681"/>
      <c r="J140" s="681"/>
      <c r="K140" s="681"/>
      <c r="L140" s="681"/>
      <c r="M140" s="681"/>
      <c r="N140" s="670"/>
      <c r="O140" s="670"/>
    </row>
    <row r="141" spans="1:15" ht="15.75">
      <c r="A141" s="839"/>
      <c r="B141" s="671"/>
      <c r="C141" s="671"/>
      <c r="D141" s="671" t="s">
        <v>512</v>
      </c>
      <c r="E141" s="671" t="s">
        <v>513</v>
      </c>
      <c r="F141" s="671"/>
      <c r="G141" s="671"/>
      <c r="H141" s="671" t="s">
        <v>514</v>
      </c>
      <c r="I141" s="671"/>
      <c r="J141" s="671"/>
      <c r="K141" s="671"/>
      <c r="L141" s="671"/>
      <c r="M141" s="671" t="s">
        <v>522</v>
      </c>
      <c r="N141" s="644"/>
      <c r="O141" s="644"/>
    </row>
    <row r="142" spans="1:15" ht="16.5" thickBot="1">
      <c r="A142" s="840"/>
      <c r="B142" s="672"/>
      <c r="C142" s="672"/>
      <c r="D142" s="672" t="s">
        <v>601</v>
      </c>
      <c r="E142" s="672" t="s">
        <v>601</v>
      </c>
      <c r="F142" s="672"/>
      <c r="G142" s="672"/>
      <c r="H142" s="672" t="s">
        <v>518</v>
      </c>
      <c r="I142" s="672"/>
      <c r="J142" s="672"/>
      <c r="K142" s="672"/>
      <c r="L142" s="672"/>
      <c r="M142" s="672" t="s">
        <v>597</v>
      </c>
      <c r="N142" s="673"/>
      <c r="O142" s="673"/>
    </row>
    <row r="143" spans="1:15" ht="15.75">
      <c r="A143" s="852">
        <v>45</v>
      </c>
      <c r="B143" s="676" t="s">
        <v>506</v>
      </c>
      <c r="C143" s="676" t="s">
        <v>506</v>
      </c>
      <c r="D143" s="676"/>
      <c r="E143" s="676"/>
      <c r="F143" s="676"/>
      <c r="G143" s="676"/>
      <c r="H143" s="676" t="s">
        <v>161</v>
      </c>
      <c r="I143" s="675"/>
      <c r="J143" s="674" t="s">
        <v>596</v>
      </c>
      <c r="K143" s="674" t="s">
        <v>596</v>
      </c>
      <c r="L143" s="676" t="s">
        <v>599</v>
      </c>
      <c r="M143" s="676"/>
      <c r="N143" s="670"/>
      <c r="O143" s="670"/>
    </row>
    <row r="144" spans="1:15" ht="15.75">
      <c r="A144" s="853"/>
      <c r="B144" s="678" t="s">
        <v>512</v>
      </c>
      <c r="C144" s="678" t="s">
        <v>513</v>
      </c>
      <c r="D144" s="678"/>
      <c r="E144" s="678"/>
      <c r="F144" s="678"/>
      <c r="G144" s="678"/>
      <c r="H144" s="678" t="s">
        <v>514</v>
      </c>
      <c r="I144" s="677"/>
      <c r="J144" s="677" t="s">
        <v>515</v>
      </c>
      <c r="K144" s="677" t="s">
        <v>515</v>
      </c>
      <c r="L144" s="678" t="s">
        <v>511</v>
      </c>
      <c r="M144" s="678" t="s">
        <v>511</v>
      </c>
      <c r="N144" s="644"/>
      <c r="O144" s="644"/>
    </row>
    <row r="145" spans="1:15" ht="16.5" thickBot="1">
      <c r="A145" s="854"/>
      <c r="B145" s="680" t="s">
        <v>601</v>
      </c>
      <c r="C145" s="680" t="s">
        <v>601</v>
      </c>
      <c r="D145" s="680"/>
      <c r="E145" s="680"/>
      <c r="F145" s="680"/>
      <c r="G145" s="680"/>
      <c r="H145" s="680" t="s">
        <v>518</v>
      </c>
      <c r="I145" s="679"/>
      <c r="J145" s="679" t="s">
        <v>526</v>
      </c>
      <c r="K145" s="679" t="s">
        <v>518</v>
      </c>
      <c r="L145" s="680"/>
      <c r="M145" s="680" t="s">
        <v>597</v>
      </c>
      <c r="N145" s="673"/>
      <c r="O145" s="673"/>
    </row>
    <row r="146" spans="1:15" ht="15.75">
      <c r="A146" s="852">
        <v>145</v>
      </c>
      <c r="B146" s="676"/>
      <c r="C146" s="676"/>
      <c r="D146" s="676" t="s">
        <v>506</v>
      </c>
      <c r="E146" s="676"/>
      <c r="F146" s="676"/>
      <c r="G146" s="676"/>
      <c r="H146" s="676" t="s">
        <v>161</v>
      </c>
      <c r="I146" s="675"/>
      <c r="J146" s="674"/>
      <c r="K146" s="674"/>
      <c r="L146" s="676"/>
      <c r="M146" s="676"/>
      <c r="N146" s="670"/>
      <c r="O146" s="670"/>
    </row>
    <row r="147" spans="1:15" ht="15.75">
      <c r="A147" s="853"/>
      <c r="B147" s="678"/>
      <c r="C147" s="678"/>
      <c r="D147" s="678" t="s">
        <v>512</v>
      </c>
      <c r="E147" s="678"/>
      <c r="F147" s="678"/>
      <c r="G147" s="678"/>
      <c r="H147" s="678" t="s">
        <v>514</v>
      </c>
      <c r="I147" s="677"/>
      <c r="J147" s="677"/>
      <c r="K147" s="677"/>
      <c r="L147" s="678"/>
      <c r="M147" s="678" t="s">
        <v>511</v>
      </c>
      <c r="N147" s="644"/>
      <c r="O147" s="644"/>
    </row>
    <row r="148" spans="1:15" ht="16.5" thickBot="1">
      <c r="A148" s="854"/>
      <c r="B148" s="680"/>
      <c r="C148" s="680"/>
      <c r="D148" s="680" t="s">
        <v>601</v>
      </c>
      <c r="E148" s="680"/>
      <c r="F148" s="680"/>
      <c r="G148" s="680"/>
      <c r="H148" s="680" t="s">
        <v>518</v>
      </c>
      <c r="I148" s="679"/>
      <c r="J148" s="679"/>
      <c r="K148" s="679"/>
      <c r="L148" s="680"/>
      <c r="M148" s="680" t="s">
        <v>597</v>
      </c>
      <c r="N148" s="673"/>
      <c r="O148" s="673"/>
    </row>
    <row r="149" spans="1:15" ht="15.75">
      <c r="A149" s="839">
        <v>46</v>
      </c>
      <c r="B149" s="681" t="s">
        <v>506</v>
      </c>
      <c r="C149" s="681" t="s">
        <v>506</v>
      </c>
      <c r="D149" s="681"/>
      <c r="E149" s="681"/>
      <c r="F149" s="681"/>
      <c r="G149" s="681"/>
      <c r="H149" s="669" t="s">
        <v>161</v>
      </c>
      <c r="I149" s="681"/>
      <c r="J149" s="681" t="s">
        <v>596</v>
      </c>
      <c r="K149" s="681" t="s">
        <v>600</v>
      </c>
      <c r="L149" s="681" t="s">
        <v>599</v>
      </c>
      <c r="M149" s="681"/>
      <c r="N149" s="670"/>
      <c r="O149" s="670"/>
    </row>
    <row r="150" spans="1:15" ht="15.75">
      <c r="A150" s="839"/>
      <c r="B150" s="671" t="s">
        <v>512</v>
      </c>
      <c r="C150" s="671" t="s">
        <v>513</v>
      </c>
      <c r="D150" s="686"/>
      <c r="E150" s="671"/>
      <c r="F150" s="671"/>
      <c r="G150" s="671"/>
      <c r="H150" s="671" t="s">
        <v>514</v>
      </c>
      <c r="I150" s="671"/>
      <c r="J150" s="671" t="s">
        <v>515</v>
      </c>
      <c r="K150" s="671" t="s">
        <v>515</v>
      </c>
      <c r="L150" s="671" t="s">
        <v>511</v>
      </c>
      <c r="M150" s="671" t="s">
        <v>511</v>
      </c>
      <c r="N150" s="644"/>
      <c r="O150" s="644"/>
    </row>
    <row r="151" spans="1:15" ht="16.5" thickBot="1">
      <c r="A151" s="840"/>
      <c r="B151" s="672" t="s">
        <v>601</v>
      </c>
      <c r="C151" s="672" t="s">
        <v>601</v>
      </c>
      <c r="D151" s="672"/>
      <c r="E151" s="672"/>
      <c r="F151" s="672"/>
      <c r="G151" s="672"/>
      <c r="H151" s="672" t="s">
        <v>518</v>
      </c>
      <c r="I151" s="672"/>
      <c r="J151" s="672" t="s">
        <v>526</v>
      </c>
      <c r="K151" s="672" t="s">
        <v>518</v>
      </c>
      <c r="L151" s="672"/>
      <c r="M151" s="672" t="s">
        <v>597</v>
      </c>
      <c r="N151" s="673"/>
      <c r="O151" s="673"/>
    </row>
    <row r="152" spans="1:15" ht="15.75">
      <c r="A152" s="839">
        <v>146</v>
      </c>
      <c r="B152" s="681"/>
      <c r="C152" s="681"/>
      <c r="D152" s="681" t="s">
        <v>506</v>
      </c>
      <c r="E152" s="681" t="s">
        <v>506</v>
      </c>
      <c r="F152" s="681"/>
      <c r="G152" s="681"/>
      <c r="H152" s="669" t="s">
        <v>161</v>
      </c>
      <c r="I152" s="681"/>
      <c r="J152" s="681"/>
      <c r="K152" s="681"/>
      <c r="L152" s="681"/>
      <c r="M152" s="681"/>
      <c r="N152" s="670"/>
      <c r="O152" s="670"/>
    </row>
    <row r="153" spans="1:15" ht="15.75">
      <c r="A153" s="839"/>
      <c r="B153" s="671"/>
      <c r="C153" s="671"/>
      <c r="D153" s="671" t="s">
        <v>512</v>
      </c>
      <c r="E153" s="671" t="s">
        <v>513</v>
      </c>
      <c r="F153" s="671"/>
      <c r="G153" s="671"/>
      <c r="H153" s="671" t="s">
        <v>514</v>
      </c>
      <c r="I153" s="671"/>
      <c r="J153" s="671"/>
      <c r="K153" s="671"/>
      <c r="L153" s="671"/>
      <c r="M153" s="671" t="s">
        <v>511</v>
      </c>
      <c r="N153" s="644"/>
      <c r="O153" s="644"/>
    </row>
    <row r="154" spans="1:15" ht="16.5" thickBot="1">
      <c r="A154" s="840"/>
      <c r="B154" s="672"/>
      <c r="C154" s="672"/>
      <c r="D154" s="672" t="s">
        <v>601</v>
      </c>
      <c r="E154" s="672" t="s">
        <v>601</v>
      </c>
      <c r="F154" s="672"/>
      <c r="G154" s="672"/>
      <c r="H154" s="672" t="s">
        <v>518</v>
      </c>
      <c r="I154" s="672"/>
      <c r="J154" s="672"/>
      <c r="K154" s="672"/>
      <c r="L154" s="672"/>
      <c r="M154" s="672" t="s">
        <v>597</v>
      </c>
      <c r="N154" s="673"/>
      <c r="O154" s="673"/>
    </row>
    <row r="155" spans="1:15" ht="16.5" customHeight="1">
      <c r="A155" s="687"/>
      <c r="B155" s="688"/>
      <c r="C155" s="688"/>
      <c r="D155" s="688"/>
      <c r="E155" s="688"/>
      <c r="F155" s="688"/>
      <c r="G155" s="688"/>
      <c r="H155" s="688"/>
      <c r="I155" s="688"/>
      <c r="J155" s="688"/>
      <c r="K155" s="688"/>
      <c r="L155" s="688"/>
      <c r="M155" s="688"/>
      <c r="N155" s="673"/>
      <c r="O155" s="673"/>
    </row>
    <row r="156" spans="1:15" ht="15.75">
      <c r="A156" s="687"/>
      <c r="B156" s="688"/>
      <c r="C156" s="688"/>
      <c r="D156" s="688"/>
      <c r="E156" s="688"/>
      <c r="F156" s="688"/>
      <c r="G156" s="688"/>
      <c r="H156" s="688"/>
      <c r="I156" s="688"/>
      <c r="J156" s="688"/>
      <c r="K156" s="688"/>
      <c r="L156" s="688"/>
      <c r="M156" s="688"/>
      <c r="N156" s="673"/>
      <c r="O156" s="673"/>
    </row>
    <row r="157" spans="1:15" ht="15.75">
      <c r="A157" s="687"/>
      <c r="B157" s="688"/>
      <c r="C157" s="688"/>
      <c r="D157" s="688"/>
      <c r="E157" s="688"/>
      <c r="F157" s="688"/>
      <c r="G157" s="688"/>
      <c r="H157" s="688"/>
      <c r="I157" s="688"/>
      <c r="J157" s="688"/>
      <c r="K157" s="688"/>
      <c r="L157" s="688"/>
      <c r="M157" s="688"/>
      <c r="N157" s="673"/>
      <c r="O157" s="673"/>
    </row>
    <row r="158" spans="1:15" ht="15.75">
      <c r="A158" s="689"/>
      <c r="B158" s="689"/>
      <c r="C158" s="689"/>
      <c r="D158" s="689"/>
      <c r="E158" s="689"/>
      <c r="F158" s="689"/>
      <c r="G158" s="689"/>
      <c r="H158" s="689"/>
      <c r="I158" s="689"/>
      <c r="J158" s="689"/>
      <c r="K158" s="689"/>
      <c r="L158" s="689"/>
      <c r="M158" s="689"/>
      <c r="N158" s="673"/>
      <c r="O158" s="673"/>
    </row>
    <row r="159" spans="1:15" ht="15.75">
      <c r="A159" s="689"/>
      <c r="B159" s="690"/>
      <c r="C159" s="690"/>
      <c r="D159" s="690"/>
      <c r="E159" s="691"/>
      <c r="F159" s="691"/>
      <c r="G159" s="690"/>
      <c r="H159" s="690"/>
      <c r="I159" s="690"/>
      <c r="J159" s="690"/>
      <c r="K159" s="690"/>
      <c r="L159" s="690"/>
      <c r="M159" s="690"/>
      <c r="N159" s="673"/>
      <c r="O159" s="673"/>
    </row>
    <row r="160" spans="1:15" ht="13.5" thickBot="1">
      <c r="A160" s="692"/>
      <c r="B160" s="692"/>
      <c r="C160" s="692"/>
      <c r="D160" s="692"/>
      <c r="E160" s="692"/>
      <c r="F160" s="692"/>
      <c r="G160" s="692"/>
      <c r="H160" s="692"/>
      <c r="I160" s="692"/>
      <c r="J160" s="692"/>
      <c r="K160" s="692"/>
      <c r="L160" s="692"/>
      <c r="M160" s="692"/>
      <c r="N160" s="673"/>
      <c r="O160" s="673"/>
    </row>
    <row r="161" spans="1:15" ht="27" thickBot="1">
      <c r="A161" s="826" t="s">
        <v>527</v>
      </c>
      <c r="B161" s="827"/>
      <c r="C161" s="827"/>
      <c r="D161" s="827"/>
      <c r="E161" s="644"/>
      <c r="F161" s="826" t="s">
        <v>528</v>
      </c>
      <c r="G161" s="827"/>
      <c r="H161" s="827"/>
      <c r="I161" s="827"/>
      <c r="J161" s="827"/>
      <c r="K161" s="827"/>
      <c r="L161" s="827"/>
      <c r="M161" s="827"/>
      <c r="N161" s="673"/>
      <c r="O161" s="673"/>
    </row>
    <row r="162" spans="1:15" ht="18.75" thickBot="1">
      <c r="A162" s="868" t="s">
        <v>529</v>
      </c>
      <c r="B162" s="869"/>
      <c r="C162" s="870" t="s">
        <v>530</v>
      </c>
      <c r="D162" s="869"/>
      <c r="E162" s="644"/>
      <c r="F162" s="693">
        <v>1</v>
      </c>
      <c r="G162" s="855"/>
      <c r="H162" s="856"/>
      <c r="I162" s="856"/>
      <c r="J162" s="856"/>
      <c r="K162" s="856"/>
      <c r="L162" s="856"/>
      <c r="M162" s="857"/>
      <c r="N162" s="673"/>
      <c r="O162" s="673"/>
    </row>
    <row r="163" spans="1:15" ht="18.75" thickBot="1">
      <c r="A163" s="859" t="s">
        <v>531</v>
      </c>
      <c r="B163" s="860"/>
      <c r="C163" s="861" t="s">
        <v>532</v>
      </c>
      <c r="D163" s="860"/>
      <c r="E163" s="644"/>
      <c r="F163" s="693">
        <v>2</v>
      </c>
      <c r="G163" s="855"/>
      <c r="H163" s="856"/>
      <c r="I163" s="856"/>
      <c r="J163" s="856"/>
      <c r="K163" s="856"/>
      <c r="L163" s="856"/>
      <c r="M163" s="856"/>
      <c r="N163" s="673"/>
      <c r="O163" s="673"/>
    </row>
    <row r="164" spans="1:15" ht="16.5" thickBot="1">
      <c r="A164" s="866" t="s">
        <v>161</v>
      </c>
      <c r="B164" s="867"/>
      <c r="C164" s="861" t="s">
        <v>533</v>
      </c>
      <c r="D164" s="860"/>
      <c r="E164" s="644"/>
      <c r="F164" s="694"/>
      <c r="G164" s="855"/>
      <c r="H164" s="856"/>
      <c r="I164" s="856"/>
      <c r="J164" s="856"/>
      <c r="K164" s="856"/>
      <c r="L164" s="856"/>
      <c r="M164" s="856"/>
      <c r="N164" s="673"/>
      <c r="O164" s="673"/>
    </row>
    <row r="165" spans="1:15" ht="16.5" thickBot="1">
      <c r="A165" s="866" t="s">
        <v>523</v>
      </c>
      <c r="B165" s="867"/>
      <c r="C165" s="861" t="s">
        <v>534</v>
      </c>
      <c r="D165" s="860"/>
      <c r="E165" s="644"/>
      <c r="F165" s="694"/>
      <c r="G165" s="855"/>
      <c r="H165" s="856"/>
      <c r="I165" s="856"/>
      <c r="J165" s="856"/>
      <c r="K165" s="856"/>
      <c r="L165" s="856"/>
      <c r="M165" s="856"/>
      <c r="N165" s="644"/>
      <c r="O165" s="644"/>
    </row>
    <row r="166" spans="1:15" ht="16.5" thickBot="1">
      <c r="A166" s="866" t="s">
        <v>506</v>
      </c>
      <c r="B166" s="867"/>
      <c r="C166" s="861" t="s">
        <v>535</v>
      </c>
      <c r="D166" s="860"/>
      <c r="E166" s="644"/>
      <c r="F166" s="694"/>
      <c r="G166" s="855"/>
      <c r="H166" s="856"/>
      <c r="I166" s="856"/>
      <c r="J166" s="856"/>
      <c r="K166" s="856"/>
      <c r="L166" s="856"/>
      <c r="M166" s="856"/>
      <c r="N166" s="858"/>
      <c r="O166" s="858"/>
    </row>
    <row r="167" spans="1:15" ht="16.5" thickBot="1">
      <c r="A167" s="859" t="s">
        <v>536</v>
      </c>
      <c r="B167" s="860"/>
      <c r="C167" s="861" t="s">
        <v>537</v>
      </c>
      <c r="D167" s="860"/>
      <c r="E167" s="644"/>
      <c r="F167" s="694"/>
      <c r="G167" s="855"/>
      <c r="H167" s="856"/>
      <c r="I167" s="856"/>
      <c r="J167" s="856"/>
      <c r="K167" s="856"/>
      <c r="L167" s="856"/>
      <c r="M167" s="856"/>
      <c r="N167" s="644"/>
      <c r="O167" s="644"/>
    </row>
    <row r="168" spans="1:15" ht="34.15" customHeight="1" thickBot="1">
      <c r="A168" s="862" t="s">
        <v>538</v>
      </c>
      <c r="B168" s="863"/>
      <c r="C168" s="864" t="s">
        <v>539</v>
      </c>
      <c r="D168" s="865"/>
      <c r="E168" s="644"/>
      <c r="F168" s="694"/>
      <c r="G168" s="855"/>
      <c r="H168" s="856"/>
      <c r="I168" s="856"/>
      <c r="J168" s="856"/>
      <c r="K168" s="856"/>
      <c r="L168" s="856"/>
      <c r="M168" s="856"/>
      <c r="N168" s="673"/>
      <c r="O168" s="673"/>
    </row>
    <row r="169" spans="1:15" ht="31.15" customHeight="1">
      <c r="A169" s="644"/>
      <c r="B169" s="644"/>
      <c r="C169" s="644"/>
      <c r="D169" s="644"/>
      <c r="E169" s="644"/>
      <c r="F169" s="644"/>
      <c r="G169" s="644"/>
      <c r="H169" s="644"/>
      <c r="I169" s="644"/>
      <c r="J169" s="644"/>
      <c r="K169" s="644"/>
      <c r="L169" s="644"/>
      <c r="M169" s="644"/>
      <c r="N169" s="858"/>
      <c r="O169" s="858"/>
    </row>
    <row r="170" spans="1:15" ht="15">
      <c r="A170" s="659"/>
      <c r="B170" s="644"/>
      <c r="C170" s="644"/>
      <c r="D170" s="644"/>
      <c r="E170" s="644"/>
      <c r="F170" s="644"/>
      <c r="G170" s="644"/>
      <c r="H170" s="644"/>
      <c r="I170" s="644"/>
      <c r="J170" s="644"/>
      <c r="K170" s="644"/>
      <c r="L170" s="644"/>
      <c r="M170" s="644"/>
      <c r="N170" s="644"/>
      <c r="O170" s="644"/>
    </row>
    <row r="171" spans="1:15" ht="15">
      <c r="A171" s="659"/>
      <c r="B171" s="644"/>
      <c r="C171" s="644"/>
      <c r="D171" s="644"/>
      <c r="E171" s="644"/>
      <c r="F171" s="644"/>
      <c r="G171" s="644"/>
      <c r="H171" s="644"/>
      <c r="I171" s="644"/>
      <c r="J171" s="644"/>
      <c r="K171" s="644"/>
      <c r="L171" s="644"/>
      <c r="M171" s="644"/>
      <c r="N171" s="673"/>
      <c r="O171" s="673"/>
    </row>
    <row r="172" spans="1:15" ht="15">
      <c r="A172" s="659"/>
      <c r="B172" s="644"/>
      <c r="C172" s="644"/>
      <c r="D172" s="644"/>
      <c r="E172" s="644"/>
      <c r="F172" s="644"/>
      <c r="G172" s="644"/>
      <c r="H172" s="644"/>
      <c r="I172" s="644"/>
      <c r="J172" s="644"/>
      <c r="K172" s="644"/>
      <c r="L172" s="644"/>
      <c r="M172" s="644"/>
      <c r="N172" s="673"/>
      <c r="O172" s="673"/>
    </row>
    <row r="173" spans="1:15">
      <c r="N173" s="673"/>
      <c r="O173" s="673"/>
    </row>
    <row r="174" spans="1:15">
      <c r="N174" s="673"/>
      <c r="O174" s="673"/>
    </row>
    <row r="175" spans="1:15">
      <c r="N175" s="673"/>
      <c r="O175" s="673"/>
    </row>
    <row r="176" spans="1:15">
      <c r="N176" s="673"/>
      <c r="O176" s="673"/>
    </row>
    <row r="177" spans="14:15">
      <c r="N177" s="673"/>
      <c r="O177" s="673"/>
    </row>
    <row r="178" spans="14:15">
      <c r="N178" s="673"/>
      <c r="O178" s="673"/>
    </row>
    <row r="179" spans="14:15">
      <c r="N179" s="673"/>
      <c r="O179" s="673"/>
    </row>
    <row r="180" spans="14:15">
      <c r="N180" s="673"/>
      <c r="O180" s="673"/>
    </row>
    <row r="181" spans="14:15">
      <c r="N181" s="673"/>
      <c r="O181" s="673"/>
    </row>
    <row r="182" spans="14:15">
      <c r="N182" s="673"/>
      <c r="O182" s="673"/>
    </row>
    <row r="183" spans="14:15">
      <c r="N183" s="673"/>
      <c r="O183" s="673"/>
    </row>
    <row r="184" spans="14:15">
      <c r="N184" s="673"/>
      <c r="O184" s="673"/>
    </row>
    <row r="185" spans="14:15">
      <c r="N185" s="673"/>
      <c r="O185" s="673"/>
    </row>
    <row r="186" spans="14:15">
      <c r="N186" s="673"/>
      <c r="O186" s="673"/>
    </row>
    <row r="187" spans="14:15">
      <c r="N187" s="673"/>
      <c r="O187" s="673"/>
    </row>
    <row r="188" spans="14:15">
      <c r="N188" s="673"/>
      <c r="O188" s="673"/>
    </row>
    <row r="189" spans="14:15">
      <c r="N189" s="673"/>
      <c r="O189" s="673"/>
    </row>
    <row r="190" spans="14:15">
      <c r="N190" s="673"/>
      <c r="O190" s="673"/>
    </row>
    <row r="191" spans="14:15">
      <c r="N191" s="692"/>
      <c r="O191" s="692"/>
    </row>
    <row r="192" spans="14:15" ht="15">
      <c r="N192" s="644"/>
      <c r="O192" s="644"/>
    </row>
    <row r="193" spans="14:15" ht="31.15" customHeight="1">
      <c r="N193" s="644"/>
      <c r="O193" s="644"/>
    </row>
    <row r="194" spans="14:15" ht="46.9" customHeight="1">
      <c r="N194" s="644"/>
      <c r="O194" s="644"/>
    </row>
    <row r="195" spans="14:15" ht="15">
      <c r="N195" s="644"/>
      <c r="O195" s="644"/>
    </row>
    <row r="196" spans="14:15" ht="15">
      <c r="N196" s="644"/>
      <c r="O196" s="644"/>
    </row>
    <row r="197" spans="14:15" ht="15">
      <c r="N197" s="644"/>
      <c r="O197" s="644"/>
    </row>
    <row r="198" spans="14:15" ht="15">
      <c r="N198" s="644"/>
      <c r="O198" s="644"/>
    </row>
    <row r="199" spans="14:15" ht="31.15" customHeight="1">
      <c r="N199" s="644"/>
      <c r="O199" s="644"/>
    </row>
    <row r="200" spans="14:15" ht="15">
      <c r="N200" s="644"/>
      <c r="O200" s="644"/>
    </row>
    <row r="201" spans="14:15" ht="15">
      <c r="N201" s="644"/>
      <c r="O201" s="644"/>
    </row>
    <row r="202" spans="14:15" ht="15">
      <c r="N202" s="644"/>
      <c r="O202" s="644"/>
    </row>
    <row r="203" spans="14:15" ht="15">
      <c r="N203" s="644"/>
      <c r="O203" s="644"/>
    </row>
  </sheetData>
  <mergeCells count="105">
    <mergeCell ref="A65:A67"/>
    <mergeCell ref="A68:A70"/>
    <mergeCell ref="A119:A121"/>
    <mergeCell ref="A122:A124"/>
    <mergeCell ref="A113:A115"/>
    <mergeCell ref="A116:A118"/>
    <mergeCell ref="A83:A85"/>
    <mergeCell ref="A86:A88"/>
    <mergeCell ref="A77:A79"/>
    <mergeCell ref="A80:A82"/>
    <mergeCell ref="A71:A73"/>
    <mergeCell ref="A74:A76"/>
    <mergeCell ref="A137:A139"/>
    <mergeCell ref="A140:A142"/>
    <mergeCell ref="A131:A133"/>
    <mergeCell ref="A134:A136"/>
    <mergeCell ref="N169:O169"/>
    <mergeCell ref="A149:A151"/>
    <mergeCell ref="A152:A154"/>
    <mergeCell ref="N166:O166"/>
    <mergeCell ref="A167:B167"/>
    <mergeCell ref="C167:D167"/>
    <mergeCell ref="G167:M167"/>
    <mergeCell ref="A168:B168"/>
    <mergeCell ref="C168:D168"/>
    <mergeCell ref="G168:M168"/>
    <mergeCell ref="A165:B165"/>
    <mergeCell ref="C165:D165"/>
    <mergeCell ref="G165:M165"/>
    <mergeCell ref="A166:B166"/>
    <mergeCell ref="C166:D166"/>
    <mergeCell ref="G166:M166"/>
    <mergeCell ref="A163:B163"/>
    <mergeCell ref="C163:D163"/>
    <mergeCell ref="G163:M163"/>
    <mergeCell ref="A164:B164"/>
    <mergeCell ref="C164:D164"/>
    <mergeCell ref="G164:M164"/>
    <mergeCell ref="A162:B162"/>
    <mergeCell ref="C162:D162"/>
    <mergeCell ref="G162:M162"/>
    <mergeCell ref="A35:A37"/>
    <mergeCell ref="A38:A40"/>
    <mergeCell ref="A41:A43"/>
    <mergeCell ref="A44:A46"/>
    <mergeCell ref="A47:A49"/>
    <mergeCell ref="A50:A52"/>
    <mergeCell ref="A53:A55"/>
    <mergeCell ref="A56:A58"/>
    <mergeCell ref="A146:A148"/>
    <mergeCell ref="A161:D161"/>
    <mergeCell ref="F161:M161"/>
    <mergeCell ref="A128:A130"/>
    <mergeCell ref="A143:A145"/>
    <mergeCell ref="A59:A61"/>
    <mergeCell ref="A62:A64"/>
    <mergeCell ref="A107:A109"/>
    <mergeCell ref="A125:A127"/>
    <mergeCell ref="A101:A103"/>
    <mergeCell ref="A104:A106"/>
    <mergeCell ref="A95:A97"/>
    <mergeCell ref="A98:A100"/>
    <mergeCell ref="A89:A91"/>
    <mergeCell ref="A92:A94"/>
    <mergeCell ref="A32:A34"/>
    <mergeCell ref="N12:O12"/>
    <mergeCell ref="N13:O13"/>
    <mergeCell ref="J14:K14"/>
    <mergeCell ref="L14:M14"/>
    <mergeCell ref="N14:O14"/>
    <mergeCell ref="N15:O15"/>
    <mergeCell ref="A18:M18"/>
    <mergeCell ref="A20:A22"/>
    <mergeCell ref="A23:A25"/>
    <mergeCell ref="A26:A28"/>
    <mergeCell ref="A29:A31"/>
    <mergeCell ref="K9:L9"/>
    <mergeCell ref="A8:B8"/>
    <mergeCell ref="C8:D8"/>
    <mergeCell ref="E8:F8"/>
    <mergeCell ref="G8:H8"/>
    <mergeCell ref="I8:J8"/>
    <mergeCell ref="K8:L8"/>
    <mergeCell ref="A9:B9"/>
    <mergeCell ref="C9:D9"/>
    <mergeCell ref="E9:F9"/>
    <mergeCell ref="G9:H9"/>
    <mergeCell ref="I9:J9"/>
    <mergeCell ref="A1:H1"/>
    <mergeCell ref="I1:M1"/>
    <mergeCell ref="E2:M3"/>
    <mergeCell ref="A4:M4"/>
    <mergeCell ref="A5:M5"/>
    <mergeCell ref="K6:L6"/>
    <mergeCell ref="A7:B7"/>
    <mergeCell ref="C7:D7"/>
    <mergeCell ref="E7:F7"/>
    <mergeCell ref="G7:H7"/>
    <mergeCell ref="I7:J7"/>
    <mergeCell ref="K7:L7"/>
    <mergeCell ref="A6:B6"/>
    <mergeCell ref="C6:D6"/>
    <mergeCell ref="E6:F6"/>
    <mergeCell ref="G6:H6"/>
    <mergeCell ref="I6:J6"/>
  </mergeCells>
  <pageMargins left="0.7" right="0.7" top="0.75" bottom="0.75" header="0.3" footer="0.3"/>
  <pageSetup scale="55" orientation="portrait" r:id="rId1"/>
</worksheet>
</file>

<file path=xl/worksheets/sheet5.xml><?xml version="1.0" encoding="utf-8"?>
<worksheet xmlns="http://schemas.openxmlformats.org/spreadsheetml/2006/main" xmlns:r="http://schemas.openxmlformats.org/officeDocument/2006/relationships">
  <sheetPr codeName="Feuil3">
    <tabColor rgb="FFFF0000"/>
  </sheetPr>
  <dimension ref="A1:AV163"/>
  <sheetViews>
    <sheetView topLeftCell="M33" zoomScale="70" zoomScaleNormal="70" workbookViewId="0">
      <selection activeCell="AK65" sqref="AK65"/>
    </sheetView>
  </sheetViews>
  <sheetFormatPr defaultColWidth="11.42578125" defaultRowHeight="15" outlineLevelCol="1"/>
  <cols>
    <col min="1" max="1" width="11.7109375" style="1" customWidth="1"/>
    <col min="2" max="2" width="12.7109375" style="1" bestFit="1" customWidth="1"/>
    <col min="3" max="3" width="11.7109375" style="1" customWidth="1"/>
    <col min="4" max="5" width="5.7109375" style="1" customWidth="1"/>
    <col min="6" max="7" width="13.85546875" style="1" bestFit="1" customWidth="1"/>
    <col min="8" max="9" width="5.5703125" style="1" customWidth="1"/>
    <col min="10" max="11" width="13.85546875" style="1" customWidth="1" outlineLevel="1"/>
    <col min="12" max="12" width="3.5703125" style="351" customWidth="1"/>
    <col min="13" max="13" width="7.28515625" style="1" customWidth="1" outlineLevel="1"/>
    <col min="14" max="14" width="12.7109375" style="1" customWidth="1" outlineLevel="1"/>
    <col min="15" max="15" width="11.7109375" style="1" customWidth="1" outlineLevel="1"/>
    <col min="16" max="16" width="18.42578125" style="41" customWidth="1" outlineLevel="1"/>
    <col min="17" max="17" width="14.140625" style="1" customWidth="1" outlineLevel="1"/>
    <col min="18" max="29" width="14" style="1" customWidth="1" outlineLevel="1"/>
    <col min="30" max="30" width="35.7109375" style="35" customWidth="1" outlineLevel="1"/>
    <col min="31" max="31" width="3.5703125" style="349" customWidth="1"/>
    <col min="32" max="32" width="6" style="41" customWidth="1" outlineLevel="1"/>
    <col min="33" max="33" width="16.5703125" style="1" customWidth="1" outlineLevel="1"/>
    <col min="34" max="34" width="15.140625" style="1" customWidth="1" outlineLevel="1"/>
    <col min="35" max="35" width="11.7109375" style="1" customWidth="1" outlineLevel="1"/>
    <col min="36" max="37" width="16.28515625" style="1" customWidth="1" outlineLevel="1"/>
    <col min="38" max="42" width="12.85546875" style="1" customWidth="1" outlineLevel="1"/>
    <col min="43" max="43" width="3.5703125" style="1" customWidth="1"/>
    <col min="44" max="48" width="11.42578125" style="608"/>
    <col min="49" max="16384" width="11.42578125" style="1"/>
  </cols>
  <sheetData>
    <row r="1" spans="1:48" ht="26.25" customHeight="1">
      <c r="A1" s="18"/>
      <c r="B1" s="18"/>
      <c r="C1" s="18"/>
      <c r="D1" s="245">
        <f>Config.!K3</f>
        <v>5</v>
      </c>
      <c r="E1" s="246" t="s">
        <v>192</v>
      </c>
      <c r="F1" s="247"/>
      <c r="G1" s="248" t="s">
        <v>198</v>
      </c>
      <c r="H1" s="249" t="str">
        <f>Config.!K6</f>
        <v>UL</v>
      </c>
      <c r="I1" s="249"/>
      <c r="L1" s="871" t="s">
        <v>254</v>
      </c>
      <c r="P1" s="33"/>
      <c r="Q1" s="32"/>
      <c r="R1" s="32"/>
      <c r="S1" s="32"/>
      <c r="W1" s="32"/>
      <c r="AA1" s="26"/>
      <c r="AE1" s="871" t="s">
        <v>347</v>
      </c>
      <c r="AG1" s="41"/>
      <c r="AH1" s="41"/>
      <c r="AL1" s="26"/>
      <c r="AQ1" s="871" t="s">
        <v>250</v>
      </c>
    </row>
    <row r="2" spans="1:48" ht="15.75">
      <c r="A2" s="79"/>
      <c r="B2"/>
      <c r="C2"/>
      <c r="D2"/>
      <c r="E2"/>
      <c r="F2"/>
      <c r="G2"/>
      <c r="H2"/>
      <c r="I2"/>
      <c r="J2" s="352"/>
      <c r="K2" s="369" t="s">
        <v>319</v>
      </c>
      <c r="L2" s="871"/>
      <c r="N2" s="71" t="s">
        <v>326</v>
      </c>
      <c r="P2" s="33"/>
      <c r="Q2" s="32"/>
      <c r="R2" s="32"/>
      <c r="S2" s="32"/>
      <c r="W2" s="32"/>
      <c r="AA2" s="26"/>
      <c r="AE2" s="871"/>
      <c r="AG2" s="238" t="s">
        <v>268</v>
      </c>
      <c r="AH2" s="41"/>
      <c r="AL2" s="26"/>
      <c r="AQ2" s="871"/>
    </row>
    <row r="3" spans="1:48" s="2" customFormat="1" ht="15.75">
      <c r="A3" s="872" t="s">
        <v>197</v>
      </c>
      <c r="B3" s="872"/>
      <c r="C3" s="872"/>
      <c r="D3" s="3"/>
      <c r="E3" s="3"/>
      <c r="F3" s="872" t="s">
        <v>130</v>
      </c>
      <c r="G3" s="873"/>
      <c r="H3" s="3"/>
      <c r="I3" s="3"/>
      <c r="J3" s="410" t="s">
        <v>217</v>
      </c>
      <c r="K3" s="411" t="str">
        <f>Config.!K1</f>
        <v>Not Installed</v>
      </c>
      <c r="L3" s="871"/>
      <c r="M3" s="1"/>
      <c r="N3" s="33" t="s">
        <v>218</v>
      </c>
      <c r="O3" s="367" t="str">
        <f>K4</f>
        <v>9920-201326</v>
      </c>
      <c r="P3" s="35"/>
      <c r="Q3" s="35"/>
      <c r="R3" s="35"/>
      <c r="S3" s="35"/>
      <c r="T3" s="30"/>
      <c r="U3" s="33" t="s">
        <v>217</v>
      </c>
      <c r="V3" s="367" t="str">
        <f>K3</f>
        <v>Not Installed</v>
      </c>
      <c r="W3" s="1"/>
      <c r="X3" s="1"/>
      <c r="Y3" s="29"/>
      <c r="Z3" s="29"/>
      <c r="AB3" s="467" t="s">
        <v>344</v>
      </c>
      <c r="AD3" s="35"/>
      <c r="AE3" s="871"/>
      <c r="AF3" s="41"/>
      <c r="AG3" s="874" t="str">
        <f>CONCATENATE("Selected: ",$H$1,", ",$D$1," output")</f>
        <v>Selected: UL, 5 output</v>
      </c>
      <c r="AH3" s="874"/>
      <c r="AI3" s="1"/>
      <c r="AJ3" s="1"/>
      <c r="AK3" s="1"/>
      <c r="AL3" s="1"/>
      <c r="AM3" s="1"/>
      <c r="AN3" s="1"/>
      <c r="AO3" s="1"/>
      <c r="AP3" s="1"/>
      <c r="AQ3" s="871"/>
      <c r="AR3" s="609"/>
      <c r="AS3" s="609"/>
      <c r="AT3" s="609"/>
      <c r="AU3" s="609"/>
      <c r="AV3" s="609"/>
    </row>
    <row r="4" spans="1:48" ht="15.75">
      <c r="A4" s="4" t="s">
        <v>25</v>
      </c>
      <c r="B4" s="346" t="str">
        <f>R6</f>
        <v>K3-P</v>
      </c>
      <c r="C4" s="5">
        <v>15</v>
      </c>
      <c r="D4" s="6"/>
      <c r="E4"/>
      <c r="F4" s="4" t="str">
        <f>IF(B4="Not Installed",B4,A4)</f>
        <v>OUT 1</v>
      </c>
      <c r="G4" s="345" t="str">
        <f>Q6</f>
        <v>F3</v>
      </c>
      <c r="H4"/>
      <c r="I4"/>
      <c r="J4" s="412" t="s">
        <v>218</v>
      </c>
      <c r="K4" s="413" t="str">
        <f>Config.!K2</f>
        <v>9920-201326</v>
      </c>
      <c r="L4" s="871"/>
      <c r="M4" s="36" t="s">
        <v>267</v>
      </c>
      <c r="N4" s="444" t="s">
        <v>210</v>
      </c>
      <c r="O4" s="444" t="s">
        <v>311</v>
      </c>
      <c r="P4" s="444" t="s">
        <v>310</v>
      </c>
      <c r="Q4" s="444" t="s">
        <v>241</v>
      </c>
      <c r="R4" s="444" t="s">
        <v>211</v>
      </c>
      <c r="S4" s="444" t="s">
        <v>210</v>
      </c>
      <c r="T4" s="36" t="s">
        <v>267</v>
      </c>
      <c r="U4" s="445" t="s">
        <v>210</v>
      </c>
      <c r="V4" s="444" t="s">
        <v>311</v>
      </c>
      <c r="W4" s="444" t="s">
        <v>310</v>
      </c>
      <c r="X4" s="445" t="s">
        <v>241</v>
      </c>
      <c r="Y4" s="445" t="s">
        <v>211</v>
      </c>
      <c r="Z4" s="444" t="s">
        <v>210</v>
      </c>
      <c r="AA4" s="2"/>
      <c r="AB4" s="456" t="s">
        <v>340</v>
      </c>
      <c r="AC4" s="457"/>
      <c r="AD4" s="46"/>
      <c r="AE4" s="871"/>
      <c r="AF4" s="40"/>
      <c r="AG4" s="236" t="s">
        <v>215</v>
      </c>
      <c r="AH4" s="236" t="s">
        <v>216</v>
      </c>
      <c r="AI4" s="2"/>
      <c r="AJ4" s="42"/>
      <c r="AK4" s="42"/>
      <c r="AL4" s="42"/>
      <c r="AM4" s="2"/>
      <c r="AN4" s="2"/>
      <c r="AO4" s="2"/>
      <c r="AP4" s="2"/>
      <c r="AQ4" s="871"/>
    </row>
    <row r="5" spans="1:48" ht="15.75">
      <c r="A5" s="4" t="s">
        <v>26</v>
      </c>
      <c r="B5" s="347" t="str">
        <f>R7</f>
        <v>K4-P</v>
      </c>
      <c r="C5" s="5">
        <v>15</v>
      </c>
      <c r="D5" s="6"/>
      <c r="E5"/>
      <c r="F5" s="4" t="str">
        <f t="shared" ref="F5:F15" si="0">IF(B5="Not Installed",B5,A5)</f>
        <v>OUT 2</v>
      </c>
      <c r="G5" s="345" t="str">
        <f t="shared" ref="G5:G8" si="1">Q7</f>
        <v>F1</v>
      </c>
      <c r="H5"/>
      <c r="I5"/>
      <c r="J5"/>
      <c r="K5"/>
      <c r="L5" s="871"/>
      <c r="M5" s="359">
        <v>2</v>
      </c>
      <c r="N5" s="356" t="s">
        <v>304</v>
      </c>
      <c r="O5" s="354" t="str">
        <f t="shared" ref="O5:O11" si="2">VLOOKUP(CONCATENATE($O$3,"Ch"),$P$17:$AC$100,$M5,FALSE)</f>
        <v>A5-H</v>
      </c>
      <c r="P5" s="354" t="str">
        <f t="shared" ref="P5:P11" si="3">VLOOKUP(CONCATENATE($O$3,"Cl"),$P$17:$AC$100,$M5,FALSE)</f>
        <v>n/a</v>
      </c>
      <c r="Q5" s="354" t="str">
        <f>VLOOKUP(CONCATENATE($O$3,"F"),$P$17:$AC$100,$M5,FALSE)</f>
        <v>F1</v>
      </c>
      <c r="R5" s="354" t="str">
        <f t="shared" ref="R5:R10" si="4">VLOOKUP(O$3,P$17:AC$100,M5,FALSE)</f>
        <v>(P49,P50)</v>
      </c>
      <c r="S5" s="355" t="str">
        <f>N5</f>
        <v>DIR 1</v>
      </c>
      <c r="T5" s="37">
        <v>8</v>
      </c>
      <c r="U5" s="583" t="s">
        <v>30</v>
      </c>
      <c r="V5" s="341" t="e">
        <f t="shared" ref="V5:V11" si="5">VLOOKUP(CONCATENATE($V$3,"Ch"),$P$101:$AC$162,$T5,FALSE)</f>
        <v>#N/A</v>
      </c>
      <c r="W5" s="341" t="e">
        <f t="shared" ref="W5:W11" si="6">VLOOKUP(CONCATENATE($V$3,"Cl"),$P$101:$AC$162,$T5,FALSE)</f>
        <v>#N/A</v>
      </c>
      <c r="X5" s="341" t="e">
        <f t="shared" ref="X5:X11" si="7">VLOOKUP(CONCATENATE($V$3,"F"),$P$101:$AC$162,$T5,FALSE)</f>
        <v>#N/A</v>
      </c>
      <c r="Y5" s="341" t="str">
        <f t="shared" ref="Y5:Y11" si="8">VLOOKUP(V$3,P$101:AC$162,T5,FALSE)</f>
        <v>Not Installed</v>
      </c>
      <c r="Z5" s="629" t="str">
        <f>U5</f>
        <v>OUT 6</v>
      </c>
      <c r="AA5" s="28"/>
      <c r="AB5" s="452" t="s">
        <v>341</v>
      </c>
      <c r="AC5" s="453" t="s">
        <v>345</v>
      </c>
      <c r="AD5" s="46"/>
      <c r="AE5" s="871"/>
      <c r="AG5" s="237" t="str">
        <f>IF(AND($AH$12&lt;7),IF($H$1="UL",AG14,AG24),"n/a")</f>
        <v>9920-201278</v>
      </c>
      <c r="AH5" s="237" t="str">
        <f t="shared" ref="AH5:AH11" si="9">IF($H$1="UL",AH14,AH24)</f>
        <v>Not Installed</v>
      </c>
      <c r="AJ5" s="43"/>
      <c r="AK5" s="43"/>
      <c r="AL5" s="43"/>
      <c r="AQ5" s="871"/>
    </row>
    <row r="6" spans="1:48" ht="15.75">
      <c r="A6" s="4" t="s">
        <v>27</v>
      </c>
      <c r="B6" s="347" t="str">
        <f t="shared" ref="B6:B8" si="10">R8</f>
        <v>K6-P</v>
      </c>
      <c r="C6" s="5">
        <v>15</v>
      </c>
      <c r="D6" s="6"/>
      <c r="E6"/>
      <c r="F6" s="4" t="str">
        <f t="shared" si="0"/>
        <v>OUT 3</v>
      </c>
      <c r="G6" s="345" t="str">
        <f t="shared" si="1"/>
        <v>F3</v>
      </c>
      <c r="H6"/>
      <c r="I6"/>
      <c r="J6"/>
      <c r="K6"/>
      <c r="L6" s="871"/>
      <c r="M6" s="443">
        <f t="shared" ref="M6:M11" si="11">M5+1</f>
        <v>3</v>
      </c>
      <c r="N6" s="34" t="s">
        <v>25</v>
      </c>
      <c r="O6" s="340" t="str">
        <f t="shared" si="2"/>
        <v>A2-H</v>
      </c>
      <c r="P6" s="341" t="str">
        <f t="shared" si="3"/>
        <v>n/a</v>
      </c>
      <c r="Q6" s="341" t="str">
        <f t="shared" ref="Q6:Q11" si="12">VLOOKUP(CONCATENATE($O$3,"F"),$P$17:$AC$100,$M6,FALSE)</f>
        <v>F3</v>
      </c>
      <c r="R6" s="341" t="str">
        <f t="shared" si="4"/>
        <v>K3-P</v>
      </c>
      <c r="S6" s="340" t="str">
        <f>N6</f>
        <v>OUT 1</v>
      </c>
      <c r="T6" s="451">
        <f>T5+1</f>
        <v>9</v>
      </c>
      <c r="U6" s="50" t="s">
        <v>31</v>
      </c>
      <c r="V6" s="340" t="e">
        <f t="shared" si="5"/>
        <v>#N/A</v>
      </c>
      <c r="W6" s="340" t="e">
        <f t="shared" si="6"/>
        <v>#N/A</v>
      </c>
      <c r="X6" s="340" t="e">
        <f t="shared" si="7"/>
        <v>#N/A</v>
      </c>
      <c r="Y6" s="340" t="str">
        <f t="shared" si="8"/>
        <v>Not Installed</v>
      </c>
      <c r="Z6" s="340" t="str">
        <f>U6</f>
        <v>OUT 7</v>
      </c>
      <c r="AA6" s="28"/>
      <c r="AB6" s="452" t="s">
        <v>342</v>
      </c>
      <c r="AC6" s="453" t="s">
        <v>346</v>
      </c>
      <c r="AD6" s="46"/>
      <c r="AE6" s="871"/>
      <c r="AG6" s="237" t="str">
        <f>IF(AND($AH$12&lt;7),IF($H$1="UL",AG15,AG25),"n/a")</f>
        <v>9920-201332</v>
      </c>
      <c r="AH6" s="237" t="str">
        <f t="shared" si="9"/>
        <v>Not Installed</v>
      </c>
      <c r="AJ6" s="43"/>
      <c r="AK6" s="43"/>
      <c r="AL6" s="43"/>
      <c r="AQ6" s="871"/>
    </row>
    <row r="7" spans="1:48" ht="15.75">
      <c r="A7" s="4" t="s">
        <v>28</v>
      </c>
      <c r="B7" s="347" t="str">
        <f t="shared" si="10"/>
        <v>K1-P (P30,P31)</v>
      </c>
      <c r="C7" s="5">
        <v>15</v>
      </c>
      <c r="D7" s="6"/>
      <c r="E7"/>
      <c r="F7" s="4" t="str">
        <f t="shared" si="0"/>
        <v>OUT 4</v>
      </c>
      <c r="G7" s="345" t="str">
        <f t="shared" si="1"/>
        <v>F2</v>
      </c>
      <c r="H7"/>
      <c r="I7"/>
      <c r="J7"/>
      <c r="K7"/>
      <c r="L7" s="871"/>
      <c r="M7" s="443">
        <f t="shared" si="11"/>
        <v>4</v>
      </c>
      <c r="N7" s="34" t="s">
        <v>26</v>
      </c>
      <c r="O7" s="340" t="str">
        <f t="shared" si="2"/>
        <v>A3-H</v>
      </c>
      <c r="P7" s="340" t="str">
        <f t="shared" si="3"/>
        <v>n/a</v>
      </c>
      <c r="Q7" s="340" t="str">
        <f t="shared" si="12"/>
        <v>F1</v>
      </c>
      <c r="R7" s="340" t="str">
        <f t="shared" si="4"/>
        <v>K4-P</v>
      </c>
      <c r="S7" s="340" t="str">
        <f t="shared" ref="S7:S11" si="13">N7</f>
        <v>OUT 2</v>
      </c>
      <c r="T7" s="451">
        <f t="shared" ref="T7:T11" si="14">T6+1</f>
        <v>10</v>
      </c>
      <c r="U7" s="50" t="s">
        <v>32</v>
      </c>
      <c r="V7" s="340" t="e">
        <f t="shared" si="5"/>
        <v>#N/A</v>
      </c>
      <c r="W7" s="340" t="e">
        <f t="shared" si="6"/>
        <v>#N/A</v>
      </c>
      <c r="X7" s="340" t="e">
        <f t="shared" si="7"/>
        <v>#N/A</v>
      </c>
      <c r="Y7" s="340" t="str">
        <f t="shared" si="8"/>
        <v>Not Installed</v>
      </c>
      <c r="Z7" s="340" t="str">
        <f t="shared" ref="Z7:Z12" si="15">U7</f>
        <v>OUT 8</v>
      </c>
      <c r="AA7" s="28"/>
      <c r="AB7" s="454" t="s">
        <v>343</v>
      </c>
      <c r="AC7" s="455" t="s">
        <v>241</v>
      </c>
      <c r="AD7" s="46"/>
      <c r="AE7" s="871"/>
      <c r="AG7" s="237" t="str">
        <f>IF(AND($AH$12&lt;7),IF($H$1="UL",AG16,AG26),"n/a")</f>
        <v>9920-201301</v>
      </c>
      <c r="AH7" s="237" t="str">
        <f t="shared" si="9"/>
        <v>Not Installed</v>
      </c>
      <c r="AJ7" s="43"/>
      <c r="AK7" s="43"/>
      <c r="AL7" s="43"/>
      <c r="AQ7" s="871"/>
    </row>
    <row r="8" spans="1:48" ht="15.75">
      <c r="A8" s="4" t="s">
        <v>29</v>
      </c>
      <c r="B8" s="347" t="str">
        <f t="shared" si="10"/>
        <v>K2-P (P46,P47)</v>
      </c>
      <c r="C8" s="5">
        <v>15</v>
      </c>
      <c r="D8" s="6"/>
      <c r="E8"/>
      <c r="F8" s="4" t="str">
        <f t="shared" si="0"/>
        <v>OUT 5</v>
      </c>
      <c r="G8" s="345" t="str">
        <f t="shared" si="1"/>
        <v>F2</v>
      </c>
      <c r="H8"/>
      <c r="I8"/>
      <c r="J8"/>
      <c r="K8"/>
      <c r="L8" s="871"/>
      <c r="M8" s="443">
        <f t="shared" si="11"/>
        <v>5</v>
      </c>
      <c r="N8" s="34" t="s">
        <v>27</v>
      </c>
      <c r="O8" s="340" t="str">
        <f t="shared" si="2"/>
        <v>A4-H</v>
      </c>
      <c r="P8" s="340" t="str">
        <f t="shared" si="3"/>
        <v>A2-L</v>
      </c>
      <c r="Q8" s="340" t="str">
        <f t="shared" si="12"/>
        <v>F3</v>
      </c>
      <c r="R8" s="340" t="str">
        <f t="shared" si="4"/>
        <v>K6-P</v>
      </c>
      <c r="S8" s="340" t="str">
        <f t="shared" si="13"/>
        <v>OUT 3</v>
      </c>
      <c r="T8" s="451">
        <f t="shared" si="14"/>
        <v>11</v>
      </c>
      <c r="U8" s="50" t="s">
        <v>33</v>
      </c>
      <c r="V8" s="340" t="e">
        <f t="shared" si="5"/>
        <v>#N/A</v>
      </c>
      <c r="W8" s="340" t="e">
        <f t="shared" si="6"/>
        <v>#N/A</v>
      </c>
      <c r="X8" s="340" t="e">
        <f t="shared" si="7"/>
        <v>#N/A</v>
      </c>
      <c r="Y8" s="340" t="str">
        <f t="shared" si="8"/>
        <v>Not Installed</v>
      </c>
      <c r="Z8" s="340" t="str">
        <f t="shared" si="15"/>
        <v>OUT 9</v>
      </c>
      <c r="AA8" s="28"/>
      <c r="AB8" s="6"/>
      <c r="AC8" s="28"/>
      <c r="AE8" s="871"/>
      <c r="AG8" s="237" t="str">
        <f>IF(AND($AH$12&lt;7),IF($H$1="UL",AG17,AG27),"n/a")</f>
        <v>9920-201340</v>
      </c>
      <c r="AH8" s="237" t="str">
        <f t="shared" si="9"/>
        <v>Not Installed</v>
      </c>
      <c r="AJ8" s="43"/>
      <c r="AK8" s="43"/>
      <c r="AL8" s="43"/>
      <c r="AQ8" s="871"/>
    </row>
    <row r="9" spans="1:48" ht="15.75">
      <c r="A9" s="4" t="s">
        <v>30</v>
      </c>
      <c r="B9" s="576" t="str">
        <f>IF($AH$12&lt;7,R11,Y5)</f>
        <v>K26-P</v>
      </c>
      <c r="C9" s="5">
        <v>15</v>
      </c>
      <c r="D9" s="6"/>
      <c r="E9"/>
      <c r="F9" s="4" t="str">
        <f>IF(B9="Not Installed",B9,A9)</f>
        <v>OUT 6</v>
      </c>
      <c r="G9" s="577" t="str">
        <f>IF($AH$12&lt;7,Q11,X5)</f>
        <v>F23</v>
      </c>
      <c r="H9"/>
      <c r="I9"/>
      <c r="J9"/>
      <c r="K9"/>
      <c r="L9" s="871"/>
      <c r="M9" s="443">
        <f t="shared" si="11"/>
        <v>6</v>
      </c>
      <c r="N9" s="34" t="s">
        <v>28</v>
      </c>
      <c r="O9" s="340" t="str">
        <f t="shared" si="2"/>
        <v>A1-H</v>
      </c>
      <c r="P9" s="340" t="str">
        <f t="shared" si="3"/>
        <v>n/a</v>
      </c>
      <c r="Q9" s="340" t="str">
        <f t="shared" si="12"/>
        <v>F2</v>
      </c>
      <c r="R9" s="340" t="str">
        <f t="shared" si="4"/>
        <v>K1-P (P30,P31)</v>
      </c>
      <c r="S9" s="340" t="str">
        <f t="shared" si="13"/>
        <v>OUT 4</v>
      </c>
      <c r="T9" s="451">
        <f t="shared" si="14"/>
        <v>12</v>
      </c>
      <c r="U9" s="50" t="s">
        <v>68</v>
      </c>
      <c r="V9" s="340" t="e">
        <f t="shared" si="5"/>
        <v>#N/A</v>
      </c>
      <c r="W9" s="340" t="e">
        <f t="shared" si="6"/>
        <v>#N/A</v>
      </c>
      <c r="X9" s="340" t="e">
        <f t="shared" si="7"/>
        <v>#N/A</v>
      </c>
      <c r="Y9" s="340" t="str">
        <f t="shared" si="8"/>
        <v>Not Installed</v>
      </c>
      <c r="Z9" s="340" t="str">
        <f t="shared" si="15"/>
        <v>OUT A</v>
      </c>
      <c r="AA9" s="28"/>
      <c r="AB9" s="6"/>
      <c r="AC9" s="28"/>
      <c r="AE9" s="871"/>
      <c r="AG9" s="237" t="str">
        <f>IF(AND($AH$12&lt;7),IF($H$1="UL",AG18,AG28),"n/a")</f>
        <v>9920-201326</v>
      </c>
      <c r="AH9" s="237" t="str">
        <f t="shared" si="9"/>
        <v>Not Installed</v>
      </c>
      <c r="AJ9" s="43"/>
      <c r="AK9" s="43"/>
      <c r="AL9" s="43"/>
      <c r="AQ9" s="871"/>
    </row>
    <row r="10" spans="1:48" ht="15.75">
      <c r="A10" s="343" t="s">
        <v>31</v>
      </c>
      <c r="B10" s="31" t="str">
        <f t="shared" ref="B10:B15" si="16">Y6</f>
        <v>Not Installed</v>
      </c>
      <c r="C10" s="344">
        <v>15</v>
      </c>
      <c r="D10" s="6"/>
      <c r="E10"/>
      <c r="F10" s="4" t="str">
        <f t="shared" si="0"/>
        <v>Not Installed</v>
      </c>
      <c r="G10" s="7" t="e">
        <f t="shared" ref="G10:G15" si="17">X6</f>
        <v>#N/A</v>
      </c>
      <c r="H10"/>
      <c r="I10"/>
      <c r="J10"/>
      <c r="K10"/>
      <c r="L10" s="871"/>
      <c r="M10" s="443">
        <f t="shared" si="11"/>
        <v>7</v>
      </c>
      <c r="N10" s="34" t="s">
        <v>29</v>
      </c>
      <c r="O10" s="342" t="str">
        <f t="shared" si="2"/>
        <v>n/a</v>
      </c>
      <c r="P10" s="342" t="str">
        <f t="shared" si="3"/>
        <v>A3-L</v>
      </c>
      <c r="Q10" s="342" t="str">
        <f t="shared" si="12"/>
        <v>F2</v>
      </c>
      <c r="R10" s="342" t="str">
        <f t="shared" si="4"/>
        <v>K2-P (P46,P47)</v>
      </c>
      <c r="S10" s="340" t="str">
        <f t="shared" si="13"/>
        <v>OUT 5</v>
      </c>
      <c r="T10" s="451">
        <f t="shared" si="14"/>
        <v>13</v>
      </c>
      <c r="U10" s="50" t="s">
        <v>69</v>
      </c>
      <c r="V10" s="340" t="e">
        <f t="shared" si="5"/>
        <v>#N/A</v>
      </c>
      <c r="W10" s="340" t="e">
        <f t="shared" si="6"/>
        <v>#N/A</v>
      </c>
      <c r="X10" s="340" t="e">
        <f t="shared" si="7"/>
        <v>#N/A</v>
      </c>
      <c r="Y10" s="340" t="str">
        <f t="shared" si="8"/>
        <v>Not Installed</v>
      </c>
      <c r="Z10" s="340" t="str">
        <f t="shared" si="15"/>
        <v>OUT B</v>
      </c>
      <c r="AA10" s="28"/>
      <c r="AB10" s="6"/>
      <c r="AC10" s="28"/>
      <c r="AE10" s="871"/>
      <c r="AG10" s="237" t="str">
        <f>IF(AND($AH$12&lt;7),"n/a",IF($H$1="UL",AG19,AG29))</f>
        <v>n/a</v>
      </c>
      <c r="AH10" s="237" t="str">
        <f t="shared" si="9"/>
        <v>Not Installed</v>
      </c>
      <c r="AQ10" s="871"/>
    </row>
    <row r="11" spans="1:48" ht="15.75">
      <c r="A11" s="4" t="s">
        <v>32</v>
      </c>
      <c r="B11" s="31" t="str">
        <f t="shared" si="16"/>
        <v>Not Installed</v>
      </c>
      <c r="C11" s="5">
        <v>15</v>
      </c>
      <c r="D11" s="6"/>
      <c r="E11"/>
      <c r="F11" s="4" t="str">
        <f t="shared" si="0"/>
        <v>Not Installed</v>
      </c>
      <c r="G11" s="7" t="e">
        <f t="shared" si="17"/>
        <v>#N/A</v>
      </c>
      <c r="H11"/>
      <c r="I11"/>
      <c r="J11"/>
      <c r="K11"/>
      <c r="L11" s="871"/>
      <c r="M11" s="443">
        <f t="shared" si="11"/>
        <v>8</v>
      </c>
      <c r="N11" s="353" t="s">
        <v>30</v>
      </c>
      <c r="O11" s="354" t="str">
        <f t="shared" si="2"/>
        <v>A6-H</v>
      </c>
      <c r="P11" s="354" t="str">
        <f t="shared" si="3"/>
        <v>n/a</v>
      </c>
      <c r="Q11" s="354" t="str">
        <f t="shared" si="12"/>
        <v>F23</v>
      </c>
      <c r="R11" s="354" t="str">
        <f>VLOOKUP(O$3,P$17:AC$100,M11,FALSE)</f>
        <v>K26-P</v>
      </c>
      <c r="S11" s="354" t="str">
        <f t="shared" si="13"/>
        <v>OUT 6</v>
      </c>
      <c r="T11" s="451">
        <f t="shared" si="14"/>
        <v>14</v>
      </c>
      <c r="U11" s="343" t="s">
        <v>70</v>
      </c>
      <c r="V11" s="342" t="e">
        <f t="shared" si="5"/>
        <v>#N/A</v>
      </c>
      <c r="W11" s="342" t="e">
        <f t="shared" si="6"/>
        <v>#N/A</v>
      </c>
      <c r="X11" s="342" t="e">
        <f t="shared" si="7"/>
        <v>#N/A</v>
      </c>
      <c r="Y11" s="342" t="str">
        <f t="shared" si="8"/>
        <v>Not Installed</v>
      </c>
      <c r="Z11" s="342" t="str">
        <f t="shared" si="15"/>
        <v>OUT C</v>
      </c>
      <c r="AA11" s="28"/>
      <c r="AB11" s="6"/>
      <c r="AC11" s="28"/>
      <c r="AE11" s="871"/>
      <c r="AG11" s="237" t="str">
        <f>IF(AND($AH$12&lt;7),"n/a",IF($H$1="UL",AG20,AG30))</f>
        <v>n/a</v>
      </c>
      <c r="AH11" s="237" t="str">
        <f t="shared" si="9"/>
        <v>Not Installed</v>
      </c>
      <c r="AQ11" s="351"/>
    </row>
    <row r="12" spans="1:48" ht="16.5" thickBot="1">
      <c r="A12" s="4" t="s">
        <v>33</v>
      </c>
      <c r="B12" s="31" t="str">
        <f t="shared" si="16"/>
        <v>Not Installed</v>
      </c>
      <c r="C12" s="5">
        <v>20</v>
      </c>
      <c r="D12" s="6"/>
      <c r="E12"/>
      <c r="F12" s="4" t="str">
        <f t="shared" si="0"/>
        <v>Not Installed</v>
      </c>
      <c r="G12" s="7" t="e">
        <f t="shared" si="17"/>
        <v>#N/A</v>
      </c>
      <c r="H12"/>
      <c r="I12"/>
      <c r="J12"/>
      <c r="K12"/>
      <c r="L12" s="871"/>
      <c r="M12" s="71" t="s">
        <v>312</v>
      </c>
      <c r="O12" s="57"/>
      <c r="P12" s="28"/>
      <c r="Q12" s="28"/>
      <c r="R12" s="38"/>
      <c r="S12" s="6"/>
      <c r="T12" s="451">
        <v>15</v>
      </c>
      <c r="U12" s="630" t="s">
        <v>445</v>
      </c>
      <c r="V12" s="341" t="s">
        <v>422</v>
      </c>
      <c r="W12" s="341" t="s">
        <v>206</v>
      </c>
      <c r="X12" s="6" t="str">
        <f>G19</f>
        <v>F21</v>
      </c>
      <c r="Y12" s="340" t="str">
        <f>B19</f>
        <v>(P132,P133)</v>
      </c>
      <c r="Z12" s="583" t="str">
        <f t="shared" si="15"/>
        <v>DIR</v>
      </c>
      <c r="AA12" s="28"/>
      <c r="AB12" s="6"/>
      <c r="AC12" s="28"/>
      <c r="AE12" s="871"/>
      <c r="AG12" s="370" t="s">
        <v>294</v>
      </c>
      <c r="AH12" s="371">
        <f>$D$1</f>
        <v>5</v>
      </c>
      <c r="AQ12" s="351"/>
    </row>
    <row r="13" spans="1:48" ht="15.75">
      <c r="A13" s="4" t="s">
        <v>68</v>
      </c>
      <c r="B13" s="31" t="str">
        <f t="shared" si="16"/>
        <v>Not Installed</v>
      </c>
      <c r="C13" s="5">
        <v>15</v>
      </c>
      <c r="D13" s="6"/>
      <c r="E13"/>
      <c r="F13" s="4" t="str">
        <f>IF(B13="Not Installed",B13,A13)</f>
        <v>Not Installed</v>
      </c>
      <c r="G13" s="7" t="e">
        <f t="shared" si="17"/>
        <v>#N/A</v>
      </c>
      <c r="H13"/>
      <c r="I13"/>
      <c r="J13"/>
      <c r="K13"/>
      <c r="L13" s="871"/>
      <c r="M13" s="69"/>
      <c r="N13" s="68"/>
      <c r="O13" s="66"/>
      <c r="P13" s="439" t="s">
        <v>300</v>
      </c>
      <c r="Q13" s="360">
        <v>2</v>
      </c>
      <c r="R13" s="361">
        <f t="shared" ref="R13:AD13" si="18">Q13+1</f>
        <v>3</v>
      </c>
      <c r="S13" s="361">
        <f t="shared" si="18"/>
        <v>4</v>
      </c>
      <c r="T13" s="361">
        <f t="shared" si="18"/>
        <v>5</v>
      </c>
      <c r="U13" s="361">
        <f t="shared" si="18"/>
        <v>6</v>
      </c>
      <c r="V13" s="361">
        <f t="shared" si="18"/>
        <v>7</v>
      </c>
      <c r="W13" s="361">
        <f t="shared" si="18"/>
        <v>8</v>
      </c>
      <c r="X13" s="361">
        <f t="shared" si="18"/>
        <v>9</v>
      </c>
      <c r="Y13" s="361">
        <f t="shared" si="18"/>
        <v>10</v>
      </c>
      <c r="Z13" s="361">
        <f t="shared" si="18"/>
        <v>11</v>
      </c>
      <c r="AA13" s="361">
        <f t="shared" si="18"/>
        <v>12</v>
      </c>
      <c r="AB13" s="361">
        <f t="shared" si="18"/>
        <v>13</v>
      </c>
      <c r="AC13" s="361">
        <f t="shared" si="18"/>
        <v>14</v>
      </c>
      <c r="AD13" s="631">
        <f t="shared" si="18"/>
        <v>15</v>
      </c>
      <c r="AE13" s="871"/>
      <c r="AF13" s="27" t="s">
        <v>184</v>
      </c>
      <c r="AG13" s="335" t="s">
        <v>215</v>
      </c>
      <c r="AH13" s="336" t="s">
        <v>216</v>
      </c>
      <c r="AI13" s="337" t="s">
        <v>230</v>
      </c>
      <c r="AJ13" s="441" t="s">
        <v>231</v>
      </c>
      <c r="AK13" s="441" t="s">
        <v>232</v>
      </c>
      <c r="AL13" s="441" t="s">
        <v>233</v>
      </c>
      <c r="AM13" s="441" t="s">
        <v>234</v>
      </c>
      <c r="AN13" s="441" t="s">
        <v>414</v>
      </c>
      <c r="AO13" s="442" t="s">
        <v>464</v>
      </c>
      <c r="AP13" s="442" t="s">
        <v>544</v>
      </c>
      <c r="AQ13" s="351"/>
    </row>
    <row r="14" spans="1:48" ht="16.5" thickBot="1">
      <c r="A14" s="4" t="s">
        <v>69</v>
      </c>
      <c r="B14" s="31" t="str">
        <f t="shared" si="16"/>
        <v>Not Installed</v>
      </c>
      <c r="C14" s="5">
        <v>15</v>
      </c>
      <c r="D14" s="6"/>
      <c r="E14"/>
      <c r="F14" s="4" t="str">
        <f t="shared" si="0"/>
        <v>Not Installed</v>
      </c>
      <c r="G14" s="7" t="e">
        <f t="shared" si="17"/>
        <v>#N/A</v>
      </c>
      <c r="H14"/>
      <c r="I14"/>
      <c r="J14"/>
      <c r="K14"/>
      <c r="L14" s="871"/>
      <c r="M14" s="70" t="s">
        <v>24</v>
      </c>
      <c r="N14" s="358" t="str">
        <f>B16</f>
        <v>(P49,P50)</v>
      </c>
      <c r="O14" s="384" t="str">
        <f>B17</f>
        <v>(P27,P28,P29)</v>
      </c>
      <c r="P14" s="384" t="str">
        <f>B18</f>
        <v>(P55,P56,P57)</v>
      </c>
      <c r="Q14" s="357" t="str">
        <f t="shared" ref="Q14:V14" si="19">VLOOKUP($O3,$P17:$V100,Q13,FALSE)</f>
        <v>(P49,P50)</v>
      </c>
      <c r="R14" s="357" t="str">
        <f t="shared" si="19"/>
        <v>K3-P</v>
      </c>
      <c r="S14" s="357" t="str">
        <f t="shared" si="19"/>
        <v>K4-P</v>
      </c>
      <c r="T14" s="357" t="str">
        <f t="shared" si="19"/>
        <v>K6-P</v>
      </c>
      <c r="U14" s="357" t="str">
        <f t="shared" si="19"/>
        <v>K1-P (P30,P31)</v>
      </c>
      <c r="V14" s="357" t="str">
        <f t="shared" si="19"/>
        <v>K2-P (P46,P47)</v>
      </c>
      <c r="W14" s="358" t="str">
        <f>IF($AH$12&lt;6,VLOOKUP($O3,$P17:$AC100,W13,FALSE),VLOOKUP($V3,$P101:$AC162,W13,FALSE))</f>
        <v>K26-P</v>
      </c>
      <c r="X14" s="358" t="str">
        <f t="shared" ref="X14:AC14" si="20">VLOOKUP($V3,$P101:$AC162,X13,FALSE)</f>
        <v>Not Installed</v>
      </c>
      <c r="Y14" s="358" t="str">
        <f t="shared" si="20"/>
        <v>Not Installed</v>
      </c>
      <c r="Z14" s="358" t="str">
        <f t="shared" si="20"/>
        <v>Not Installed</v>
      </c>
      <c r="AA14" s="358" t="str">
        <f t="shared" si="20"/>
        <v>Not Installed</v>
      </c>
      <c r="AB14" s="358" t="str">
        <f t="shared" si="20"/>
        <v>Not Installed</v>
      </c>
      <c r="AC14" s="358" t="str">
        <f t="shared" si="20"/>
        <v>Not Installed</v>
      </c>
      <c r="AD14" s="67" t="str">
        <f>IF($D$1&lt;7,"Not Installed",B19)</f>
        <v>Not Installed</v>
      </c>
      <c r="AE14" s="871"/>
      <c r="AF14" s="632">
        <v>2</v>
      </c>
      <c r="AG14" s="633" t="str">
        <f t="shared" ref="AG14:AG20" si="21">IF(IF($AH$12&lt;4,VLOOKUP($AH$12,$AI$14:$AP$21,AF14,FALSE),VLOOKUP(5,$AI$14:$AP$21,AF14,FALSE))=0,"n/a",IF($AH$12&lt;4,VLOOKUP($AH$12,$AI$14:$AP$21,AF14,FALSE),VLOOKUP(5,$AI$14:$AP$21,AF14,FALSE)))</f>
        <v>9920-201278</v>
      </c>
      <c r="AH14" s="635" t="str">
        <f t="shared" ref="AH14:AH20" si="22">IF($AH$12&lt;7,"Not Installed",IF(VLOOKUP($AH$12,$AI$14:$AP$21,AF14,FALSE)=0,"n/a",VLOOKUP($AH$12,$AI$14:$AP$21,AF14,FALSE)))</f>
        <v>Not Installed</v>
      </c>
      <c r="AI14" s="468">
        <v>0</v>
      </c>
      <c r="AJ14" s="469" t="s">
        <v>255</v>
      </c>
      <c r="AK14" s="469" t="s">
        <v>255</v>
      </c>
      <c r="AL14" s="469" t="s">
        <v>255</v>
      </c>
      <c r="AM14" s="469" t="s">
        <v>255</v>
      </c>
      <c r="AN14" s="469" t="s">
        <v>255</v>
      </c>
      <c r="AO14" s="707" t="s">
        <v>255</v>
      </c>
      <c r="AP14" s="708" t="s">
        <v>255</v>
      </c>
      <c r="AQ14" s="351"/>
    </row>
    <row r="15" spans="1:48" ht="15.75">
      <c r="A15" s="4" t="s">
        <v>70</v>
      </c>
      <c r="B15" s="31" t="str">
        <f t="shared" si="16"/>
        <v>Not Installed</v>
      </c>
      <c r="C15" s="5">
        <v>15</v>
      </c>
      <c r="D15" s="6"/>
      <c r="E15"/>
      <c r="F15" s="4" t="str">
        <f t="shared" si="0"/>
        <v>Not Installed</v>
      </c>
      <c r="G15" s="7" t="e">
        <f t="shared" si="17"/>
        <v>#N/A</v>
      </c>
      <c r="H15"/>
      <c r="I15"/>
      <c r="J15" s="239" t="s">
        <v>184</v>
      </c>
      <c r="K15" s="239" t="s">
        <v>200</v>
      </c>
      <c r="L15" s="871"/>
      <c r="M15" s="71"/>
      <c r="P15" s="440"/>
      <c r="Q15" s="38"/>
      <c r="AE15" s="871"/>
      <c r="AF15" s="48">
        <v>3</v>
      </c>
      <c r="AG15" s="474" t="str">
        <f t="shared" si="21"/>
        <v>9920-201332</v>
      </c>
      <c r="AH15" s="636" t="str">
        <f t="shared" si="22"/>
        <v>Not Installed</v>
      </c>
      <c r="AI15" s="468">
        <v>3</v>
      </c>
      <c r="AJ15" s="469" t="s">
        <v>292</v>
      </c>
      <c r="AK15" s="621" t="s">
        <v>396</v>
      </c>
      <c r="AL15" s="469" t="s">
        <v>386</v>
      </c>
      <c r="AM15" s="621" t="s">
        <v>401</v>
      </c>
      <c r="AN15" s="622" t="s">
        <v>465</v>
      </c>
      <c r="AO15" s="469" t="s">
        <v>255</v>
      </c>
      <c r="AP15" s="470" t="s">
        <v>255</v>
      </c>
      <c r="AQ15" s="351"/>
    </row>
    <row r="16" spans="1:48" ht="16.5" thickBot="1">
      <c r="A16" s="25" t="s">
        <v>286</v>
      </c>
      <c r="B16" s="386" t="str">
        <f>IF(H$1="UL",J16,K16)</f>
        <v>(P49,P50)</v>
      </c>
      <c r="C16" s="5">
        <v>5</v>
      </c>
      <c r="D16" s="6"/>
      <c r="E16"/>
      <c r="F16" s="4" t="s">
        <v>203</v>
      </c>
      <c r="G16" s="7" t="s">
        <v>132</v>
      </c>
      <c r="H16"/>
      <c r="I16"/>
      <c r="J16" s="242" t="str">
        <f>IF(D$1&lt;7,"(P49,P50)","(P17,P21)")</f>
        <v>(P49,P50)</v>
      </c>
      <c r="K16" s="215" t="s">
        <v>316</v>
      </c>
      <c r="L16" s="871"/>
      <c r="M16" s="409" t="s">
        <v>325</v>
      </c>
      <c r="Q16" s="446" t="s">
        <v>304</v>
      </c>
      <c r="R16" s="447" t="s">
        <v>25</v>
      </c>
      <c r="S16" s="447" t="s">
        <v>26</v>
      </c>
      <c r="T16" s="447" t="s">
        <v>27</v>
      </c>
      <c r="U16" s="447" t="s">
        <v>28</v>
      </c>
      <c r="V16" s="448" t="s">
        <v>29</v>
      </c>
      <c r="W16" s="447" t="s">
        <v>30</v>
      </c>
      <c r="X16" s="449" t="s">
        <v>31</v>
      </c>
      <c r="Y16" s="447" t="s">
        <v>32</v>
      </c>
      <c r="Z16" s="447" t="s">
        <v>33</v>
      </c>
      <c r="AA16" s="447" t="s">
        <v>68</v>
      </c>
      <c r="AB16" s="447" t="s">
        <v>69</v>
      </c>
      <c r="AC16" s="447" t="s">
        <v>70</v>
      </c>
      <c r="AD16" s="450" t="s">
        <v>327</v>
      </c>
      <c r="AE16" s="871"/>
      <c r="AF16" s="48">
        <v>4</v>
      </c>
      <c r="AG16" s="474" t="str">
        <f t="shared" si="21"/>
        <v>9920-201301</v>
      </c>
      <c r="AH16" s="636" t="str">
        <f t="shared" si="22"/>
        <v>Not Installed</v>
      </c>
      <c r="AI16" s="468">
        <v>5</v>
      </c>
      <c r="AJ16" s="469" t="s">
        <v>368</v>
      </c>
      <c r="AK16" s="621" t="s">
        <v>393</v>
      </c>
      <c r="AL16" s="469" t="s">
        <v>369</v>
      </c>
      <c r="AM16" s="621" t="s">
        <v>403</v>
      </c>
      <c r="AN16" s="622" t="s">
        <v>466</v>
      </c>
      <c r="AO16" s="469" t="s">
        <v>415</v>
      </c>
      <c r="AP16" s="470" t="s">
        <v>255</v>
      </c>
      <c r="AQ16" s="339"/>
    </row>
    <row r="17" spans="1:43" ht="16.5" thickTop="1">
      <c r="A17" s="366" t="s">
        <v>287</v>
      </c>
      <c r="B17" s="386" t="str">
        <f>IF(H$1="UL",J17,K17)</f>
        <v>(P27,P28,P29)</v>
      </c>
      <c r="C17" s="5">
        <v>5</v>
      </c>
      <c r="E17"/>
      <c r="F17" s="242" t="s">
        <v>203</v>
      </c>
      <c r="G17" s="368" t="s">
        <v>133</v>
      </c>
      <c r="H17"/>
      <c r="I17"/>
      <c r="J17" s="385" t="str">
        <f>IF(D$1&lt;7,"(P27,P28,P29)","(P28,P30,P32)")</f>
        <v>(P27,P28,P29)</v>
      </c>
      <c r="K17" s="215" t="str">
        <f>IF(D$1&lt;7,"(P45,P46,P47)","(P28,P30,P32)")</f>
        <v>(P45,P46,P47)</v>
      </c>
      <c r="L17" s="871"/>
      <c r="M17" s="466" t="s">
        <v>215</v>
      </c>
      <c r="N17" s="423" t="s">
        <v>184</v>
      </c>
      <c r="O17" s="398" t="s">
        <v>321</v>
      </c>
      <c r="P17" s="458" t="s">
        <v>292</v>
      </c>
      <c r="Q17" s="399" t="s">
        <v>306</v>
      </c>
      <c r="R17" s="399" t="s">
        <v>214</v>
      </c>
      <c r="S17" s="399" t="s">
        <v>37</v>
      </c>
      <c r="T17" s="399" t="s">
        <v>214</v>
      </c>
      <c r="U17" s="399" t="s">
        <v>308</v>
      </c>
      <c r="V17" s="399" t="s">
        <v>307</v>
      </c>
      <c r="W17" s="400" t="s">
        <v>42</v>
      </c>
      <c r="X17" s="52"/>
      <c r="Y17" s="52"/>
      <c r="Z17" s="52"/>
      <c r="AA17" s="52"/>
      <c r="AB17" s="52"/>
      <c r="AC17" s="52"/>
      <c r="AD17" s="399" t="s">
        <v>350</v>
      </c>
      <c r="AE17" s="871"/>
      <c r="AF17" s="48">
        <v>5</v>
      </c>
      <c r="AG17" s="474" t="str">
        <f t="shared" si="21"/>
        <v>9920-201340</v>
      </c>
      <c r="AH17" s="636" t="str">
        <f t="shared" si="22"/>
        <v>Not Installed</v>
      </c>
      <c r="AI17" s="468">
        <v>6</v>
      </c>
      <c r="AJ17" s="469" t="s">
        <v>368</v>
      </c>
      <c r="AK17" s="621" t="s">
        <v>393</v>
      </c>
      <c r="AL17" s="469" t="s">
        <v>369</v>
      </c>
      <c r="AM17" s="621" t="s">
        <v>403</v>
      </c>
      <c r="AN17" s="622" t="s">
        <v>466</v>
      </c>
      <c r="AO17" s="469" t="s">
        <v>255</v>
      </c>
      <c r="AP17" s="470" t="s">
        <v>255</v>
      </c>
      <c r="AQ17" s="339"/>
    </row>
    <row r="18" spans="1:43" ht="15.75">
      <c r="A18" s="366" t="s">
        <v>305</v>
      </c>
      <c r="B18" s="386" t="str">
        <f>IF(H$1="UL",J18,K18)</f>
        <v>(P55,P56,P57)</v>
      </c>
      <c r="C18" s="5">
        <v>5</v>
      </c>
      <c r="D18" s="6"/>
      <c r="E18"/>
      <c r="F18" s="242" t="s">
        <v>203</v>
      </c>
      <c r="G18" s="368" t="s">
        <v>131</v>
      </c>
      <c r="H18"/>
      <c r="I18"/>
      <c r="J18" s="385" t="str">
        <f>IF(D$1&lt;7,"(P55,P56,P57)","(P31,P33,P36)")</f>
        <v>(P55,P56,P57)</v>
      </c>
      <c r="K18" s="385" t="s">
        <v>309</v>
      </c>
      <c r="L18" s="871"/>
      <c r="M18" s="45"/>
      <c r="N18" s="424"/>
      <c r="O18" s="406" t="s">
        <v>322</v>
      </c>
      <c r="P18" s="459" t="str">
        <f>CONCATENATE(P17,AB$5)</f>
        <v>9920-201300Ch</v>
      </c>
      <c r="Q18" s="393" t="s">
        <v>301</v>
      </c>
      <c r="R18" s="393" t="s">
        <v>255</v>
      </c>
      <c r="S18" s="393" t="s">
        <v>296</v>
      </c>
      <c r="T18" s="393" t="s">
        <v>255</v>
      </c>
      <c r="U18" s="393" t="s">
        <v>298</v>
      </c>
      <c r="V18" s="393" t="s">
        <v>295</v>
      </c>
      <c r="W18" s="395" t="s">
        <v>303</v>
      </c>
      <c r="X18" s="53"/>
      <c r="Y18" s="53"/>
      <c r="Z18" s="53"/>
      <c r="AA18" s="53"/>
      <c r="AB18" s="53"/>
      <c r="AC18" s="53"/>
      <c r="AD18" s="403"/>
      <c r="AE18" s="871"/>
      <c r="AF18" s="48">
        <v>6</v>
      </c>
      <c r="AG18" s="474" t="str">
        <f t="shared" si="21"/>
        <v>9920-201326</v>
      </c>
      <c r="AH18" s="636" t="str">
        <f t="shared" si="22"/>
        <v>Not Installed</v>
      </c>
      <c r="AI18" s="468">
        <v>7</v>
      </c>
      <c r="AJ18" s="469" t="s">
        <v>226</v>
      </c>
      <c r="AK18" s="469" t="s">
        <v>256</v>
      </c>
      <c r="AL18" s="469" t="s">
        <v>255</v>
      </c>
      <c r="AM18" s="469" t="s">
        <v>255</v>
      </c>
      <c r="AN18" s="469" t="s">
        <v>255</v>
      </c>
      <c r="AO18" s="469" t="s">
        <v>255</v>
      </c>
      <c r="AP18" s="470" t="s">
        <v>255</v>
      </c>
      <c r="AQ18" s="339"/>
    </row>
    <row r="19" spans="1:43" ht="15.75">
      <c r="A19" s="559" t="s">
        <v>203</v>
      </c>
      <c r="B19" s="386" t="str">
        <f>IF(H$1="UL",J19,K19)</f>
        <v>(P132,P133)</v>
      </c>
      <c r="C19" s="5">
        <v>5</v>
      </c>
      <c r="D19" s="6"/>
      <c r="E19"/>
      <c r="F19" s="242" t="s">
        <v>203</v>
      </c>
      <c r="G19" s="348" t="s">
        <v>134</v>
      </c>
      <c r="J19" s="385" t="s">
        <v>420</v>
      </c>
      <c r="K19" s="385" t="s">
        <v>420</v>
      </c>
      <c r="L19" s="871"/>
      <c r="M19" s="45"/>
      <c r="N19" s="424"/>
      <c r="O19" s="406" t="s">
        <v>323</v>
      </c>
      <c r="P19" s="459" t="str">
        <f>CONCATENATE(P17,AB$6)</f>
        <v>9920-201300Cl</v>
      </c>
      <c r="Q19" s="393" t="s">
        <v>255</v>
      </c>
      <c r="R19" s="393" t="s">
        <v>255</v>
      </c>
      <c r="S19" s="393" t="s">
        <v>255</v>
      </c>
      <c r="T19" s="393" t="s">
        <v>255</v>
      </c>
      <c r="U19" s="393" t="s">
        <v>255</v>
      </c>
      <c r="V19" s="393" t="s">
        <v>299</v>
      </c>
      <c r="W19" s="395" t="s">
        <v>255</v>
      </c>
      <c r="X19" s="53"/>
      <c r="Y19" s="53"/>
      <c r="Z19" s="53"/>
      <c r="AA19" s="53"/>
      <c r="AB19" s="53"/>
      <c r="AC19" s="53"/>
      <c r="AD19" s="403"/>
      <c r="AE19" s="871"/>
      <c r="AF19" s="48">
        <v>7</v>
      </c>
      <c r="AG19" s="474" t="str">
        <f t="shared" si="21"/>
        <v>9920-201351</v>
      </c>
      <c r="AH19" s="636" t="str">
        <f t="shared" si="22"/>
        <v>Not Installed</v>
      </c>
      <c r="AI19" s="468">
        <v>8</v>
      </c>
      <c r="AJ19" s="469" t="s">
        <v>212</v>
      </c>
      <c r="AK19" s="469" t="s">
        <v>255</v>
      </c>
      <c r="AL19" s="469" t="s">
        <v>258</v>
      </c>
      <c r="AM19" s="469" t="s">
        <v>446</v>
      </c>
      <c r="AN19" s="469" t="s">
        <v>255</v>
      </c>
      <c r="AO19" s="469" t="s">
        <v>255</v>
      </c>
      <c r="AP19" s="470" t="s">
        <v>255</v>
      </c>
      <c r="AQ19" s="339"/>
    </row>
    <row r="20" spans="1:43" ht="15.75" customHeight="1">
      <c r="A20" s="4" t="s">
        <v>137</v>
      </c>
      <c r="B20" s="23"/>
      <c r="C20" s="5">
        <v>23</v>
      </c>
      <c r="D20" s="6"/>
      <c r="E20"/>
      <c r="F20" s="4" t="s">
        <v>138</v>
      </c>
      <c r="G20" s="7" t="str">
        <f>IF(H$1="UL",J20,K20)</f>
        <v>Line1</v>
      </c>
      <c r="J20" s="240" t="s">
        <v>139</v>
      </c>
      <c r="K20" s="241" t="s">
        <v>132</v>
      </c>
      <c r="M20" s="45"/>
      <c r="N20" s="424"/>
      <c r="O20" s="406" t="s">
        <v>324</v>
      </c>
      <c r="P20" s="459" t="str">
        <f>CONCATENATE(P17,AB$7)</f>
        <v>9920-201300F</v>
      </c>
      <c r="Q20" s="393" t="s">
        <v>132</v>
      </c>
      <c r="R20" s="393" t="s">
        <v>255</v>
      </c>
      <c r="S20" s="393" t="s">
        <v>132</v>
      </c>
      <c r="T20" s="393" t="s">
        <v>255</v>
      </c>
      <c r="U20" s="393" t="s">
        <v>133</v>
      </c>
      <c r="V20" s="393" t="s">
        <v>133</v>
      </c>
      <c r="W20" s="395" t="s">
        <v>135</v>
      </c>
      <c r="X20" s="53"/>
      <c r="Y20" s="53"/>
      <c r="Z20" s="53"/>
      <c r="AA20" s="53"/>
      <c r="AB20" s="53"/>
      <c r="AC20" s="53"/>
      <c r="AD20" s="527"/>
      <c r="AE20" s="871"/>
      <c r="AF20" s="49">
        <v>8</v>
      </c>
      <c r="AG20" s="475" t="str">
        <f t="shared" si="21"/>
        <v>n/a</v>
      </c>
      <c r="AH20" s="637" t="str">
        <f t="shared" si="22"/>
        <v>Not Installed</v>
      </c>
      <c r="AI20" s="468">
        <v>9</v>
      </c>
      <c r="AJ20" s="469" t="s">
        <v>261</v>
      </c>
      <c r="AK20" s="469" t="s">
        <v>255</v>
      </c>
      <c r="AL20" s="469" t="s">
        <v>255</v>
      </c>
      <c r="AM20" s="469" t="s">
        <v>255</v>
      </c>
      <c r="AN20" s="469" t="s">
        <v>255</v>
      </c>
      <c r="AO20" s="469" t="s">
        <v>255</v>
      </c>
      <c r="AP20" s="470" t="s">
        <v>255</v>
      </c>
      <c r="AQ20" s="339"/>
    </row>
    <row r="21" spans="1:43" ht="15.75">
      <c r="A21" s="8"/>
      <c r="B21" s="8"/>
      <c r="C21" s="6"/>
      <c r="D21" s="6"/>
      <c r="E21" s="8"/>
      <c r="F21" s="4" t="s">
        <v>207</v>
      </c>
      <c r="G21" s="7" t="str">
        <f>IF(H$1="UL",J21,K21)</f>
        <v>F1</v>
      </c>
      <c r="J21" s="240" t="s">
        <v>132</v>
      </c>
      <c r="K21" s="241" t="s">
        <v>133</v>
      </c>
      <c r="M21" s="529"/>
      <c r="N21" s="530" t="s">
        <v>184</v>
      </c>
      <c r="O21" s="402" t="s">
        <v>321</v>
      </c>
      <c r="P21" s="460" t="s">
        <v>396</v>
      </c>
      <c r="Q21" s="391" t="s">
        <v>306</v>
      </c>
      <c r="R21" s="391" t="s">
        <v>214</v>
      </c>
      <c r="S21" s="391" t="s">
        <v>37</v>
      </c>
      <c r="T21" s="391" t="s">
        <v>214</v>
      </c>
      <c r="U21" s="391" t="s">
        <v>308</v>
      </c>
      <c r="V21" s="391" t="s">
        <v>307</v>
      </c>
      <c r="W21" s="392" t="s">
        <v>42</v>
      </c>
      <c r="X21" s="531"/>
      <c r="Y21" s="531"/>
      <c r="Z21" s="531"/>
      <c r="AA21" s="531"/>
      <c r="AB21" s="531"/>
      <c r="AC21" s="531"/>
      <c r="AD21" s="391" t="s">
        <v>397</v>
      </c>
      <c r="AE21" s="871"/>
      <c r="AG21" s="41"/>
      <c r="AH21" s="41"/>
      <c r="AI21" s="471">
        <v>12</v>
      </c>
      <c r="AJ21" s="472" t="s">
        <v>224</v>
      </c>
      <c r="AK21" s="472" t="s">
        <v>255</v>
      </c>
      <c r="AL21" s="472" t="s">
        <v>255</v>
      </c>
      <c r="AM21" s="472" t="s">
        <v>255</v>
      </c>
      <c r="AN21" s="472" t="s">
        <v>255</v>
      </c>
      <c r="AO21" s="472" t="s">
        <v>255</v>
      </c>
      <c r="AP21" s="473" t="s">
        <v>255</v>
      </c>
      <c r="AQ21" s="339"/>
    </row>
    <row r="22" spans="1:43" ht="15.75">
      <c r="D22"/>
      <c r="E22"/>
      <c r="F22" s="22"/>
      <c r="G22" s="9"/>
      <c r="H22"/>
      <c r="I22"/>
      <c r="J22" s="239" t="s">
        <v>184</v>
      </c>
      <c r="K22" s="239" t="s">
        <v>200</v>
      </c>
      <c r="M22" s="45"/>
      <c r="N22" s="424"/>
      <c r="O22" s="406" t="s">
        <v>322</v>
      </c>
      <c r="P22" s="459" t="str">
        <f>CONCATENATE(P21,AB$5)</f>
        <v>9920-201334Ch</v>
      </c>
      <c r="Q22" s="393" t="s">
        <v>301</v>
      </c>
      <c r="R22" s="393" t="s">
        <v>255</v>
      </c>
      <c r="S22" s="393" t="s">
        <v>296</v>
      </c>
      <c r="T22" s="393" t="s">
        <v>255</v>
      </c>
      <c r="U22" s="393" t="s">
        <v>298</v>
      </c>
      <c r="V22" s="393" t="s">
        <v>295</v>
      </c>
      <c r="W22" s="395" t="s">
        <v>303</v>
      </c>
      <c r="X22" s="53"/>
      <c r="Y22" s="53"/>
      <c r="Z22" s="53"/>
      <c r="AA22" s="53"/>
      <c r="AB22" s="53"/>
      <c r="AC22" s="53"/>
      <c r="AD22" s="403"/>
      <c r="AE22" s="871"/>
      <c r="AG22" s="370" t="s">
        <v>294</v>
      </c>
      <c r="AH22" s="371">
        <f>$D$1</f>
        <v>5</v>
      </c>
      <c r="AI22" s="35"/>
      <c r="AQ22" s="339"/>
    </row>
    <row r="23" spans="1:43" ht="15.75">
      <c r="D23"/>
      <c r="E23"/>
      <c r="F23" s="4" t="s">
        <v>140</v>
      </c>
      <c r="G23" s="7">
        <f>IF(H$1="UL",J23,K23)</f>
        <v>15</v>
      </c>
      <c r="H23"/>
      <c r="I23"/>
      <c r="J23" s="242">
        <f>IF(D$1&lt;7,15,24)</f>
        <v>15</v>
      </c>
      <c r="K23" s="243">
        <v>20</v>
      </c>
      <c r="M23" s="45"/>
      <c r="N23" s="424"/>
      <c r="O23" s="406" t="s">
        <v>323</v>
      </c>
      <c r="P23" s="459" t="str">
        <f>CONCATENATE(P21,AB$6)</f>
        <v>9920-201334Cl</v>
      </c>
      <c r="Q23" s="393" t="s">
        <v>255</v>
      </c>
      <c r="R23" s="393" t="s">
        <v>255</v>
      </c>
      <c r="S23" s="393" t="s">
        <v>255</v>
      </c>
      <c r="T23" s="393" t="s">
        <v>255</v>
      </c>
      <c r="U23" s="393" t="s">
        <v>255</v>
      </c>
      <c r="V23" s="393" t="s">
        <v>299</v>
      </c>
      <c r="W23" s="395" t="s">
        <v>255</v>
      </c>
      <c r="X23" s="53"/>
      <c r="Y23" s="53"/>
      <c r="Z23" s="53"/>
      <c r="AA23" s="53"/>
      <c r="AB23" s="53"/>
      <c r="AC23" s="53"/>
      <c r="AD23" s="403"/>
      <c r="AE23" s="351"/>
      <c r="AF23" s="338" t="s">
        <v>200</v>
      </c>
      <c r="AG23" s="335" t="s">
        <v>215</v>
      </c>
      <c r="AH23" s="335" t="s">
        <v>216</v>
      </c>
      <c r="AI23" s="337" t="s">
        <v>230</v>
      </c>
      <c r="AJ23" s="441" t="s">
        <v>231</v>
      </c>
      <c r="AK23" s="441" t="s">
        <v>232</v>
      </c>
      <c r="AL23" s="441" t="s">
        <v>233</v>
      </c>
      <c r="AM23" s="441" t="s">
        <v>234</v>
      </c>
      <c r="AN23" s="441" t="s">
        <v>414</v>
      </c>
      <c r="AO23" s="442" t="s">
        <v>464</v>
      </c>
      <c r="AP23" s="442" t="s">
        <v>544</v>
      </c>
      <c r="AQ23" s="339"/>
    </row>
    <row r="24" spans="1:43" ht="15.75">
      <c r="A24" s="8"/>
      <c r="B24" s="8"/>
      <c r="C24" s="6"/>
      <c r="D24" s="6"/>
      <c r="E24" s="8"/>
      <c r="F24" s="4" t="s">
        <v>141</v>
      </c>
      <c r="G24" s="7">
        <f>IF(H$1="UL",J24,K24)</f>
        <v>15</v>
      </c>
      <c r="H24"/>
      <c r="I24"/>
      <c r="J24" s="242">
        <v>15</v>
      </c>
      <c r="K24" s="243">
        <v>20</v>
      </c>
      <c r="M24" s="234"/>
      <c r="N24" s="425"/>
      <c r="O24" s="407" t="s">
        <v>324</v>
      </c>
      <c r="P24" s="528" t="str">
        <f>CONCATENATE(P21,AB$7)</f>
        <v>9920-201334F</v>
      </c>
      <c r="Q24" s="396" t="s">
        <v>132</v>
      </c>
      <c r="R24" s="396" t="s">
        <v>255</v>
      </c>
      <c r="S24" s="396" t="s">
        <v>132</v>
      </c>
      <c r="T24" s="396" t="s">
        <v>255</v>
      </c>
      <c r="U24" s="396" t="s">
        <v>133</v>
      </c>
      <c r="V24" s="396" t="s">
        <v>133</v>
      </c>
      <c r="W24" s="397" t="s">
        <v>135</v>
      </c>
      <c r="X24" s="54"/>
      <c r="Y24" s="54"/>
      <c r="Z24" s="54"/>
      <c r="AA24" s="54"/>
      <c r="AB24" s="54"/>
      <c r="AC24" s="54"/>
      <c r="AD24" s="56"/>
      <c r="AE24" s="351"/>
      <c r="AF24" s="632">
        <v>2</v>
      </c>
      <c r="AG24" s="633" t="str">
        <f t="shared" ref="AG24:AG30" si="23">IF(IF($AH$22&lt;4,VLOOKUP($AH$22,$AI$24:$AP$31,AF24,FALSE),VLOOKUP(5,$AI$24:$AP$31,AF24,FALSE))=0,"n/a",IF($AH$22&lt;4,VLOOKUP($AH$22,$AI$24:$AP$31,AF24,FALSE),VLOOKUP(5,$AI$24:$AP$31,AF24,FALSE)))</f>
        <v>9920-201294</v>
      </c>
      <c r="AH24" s="634" t="s">
        <v>24</v>
      </c>
      <c r="AI24" s="468">
        <v>0</v>
      </c>
      <c r="AJ24" s="469" t="s">
        <v>255</v>
      </c>
      <c r="AK24" s="469" t="s">
        <v>255</v>
      </c>
      <c r="AL24" s="469" t="s">
        <v>255</v>
      </c>
      <c r="AM24" s="469" t="s">
        <v>255</v>
      </c>
      <c r="AN24" s="469" t="s">
        <v>255</v>
      </c>
      <c r="AO24" s="707" t="s">
        <v>255</v>
      </c>
      <c r="AP24" s="708" t="s">
        <v>255</v>
      </c>
      <c r="AQ24" s="339"/>
    </row>
    <row r="25" spans="1:43" ht="15.75">
      <c r="A25" s="8"/>
      <c r="B25" s="8"/>
      <c r="C25" s="6"/>
      <c r="D25" s="6"/>
      <c r="E25" s="8"/>
      <c r="F25" s="4" t="s">
        <v>142</v>
      </c>
      <c r="G25" s="7">
        <f>IF(H$1="UL",J25,K25)</f>
        <v>24</v>
      </c>
      <c r="H25"/>
      <c r="I25"/>
      <c r="J25" s="242">
        <v>24</v>
      </c>
      <c r="K25" s="243">
        <v>20</v>
      </c>
      <c r="M25" s="376"/>
      <c r="N25" s="420" t="s">
        <v>184</v>
      </c>
      <c r="O25" s="401" t="s">
        <v>321</v>
      </c>
      <c r="P25" s="394" t="s">
        <v>386</v>
      </c>
      <c r="Q25" s="393" t="s">
        <v>306</v>
      </c>
      <c r="R25" s="393" t="s">
        <v>214</v>
      </c>
      <c r="S25" s="393" t="s">
        <v>37</v>
      </c>
      <c r="T25" s="393" t="s">
        <v>214</v>
      </c>
      <c r="U25" s="393" t="s">
        <v>308</v>
      </c>
      <c r="V25" s="393" t="s">
        <v>307</v>
      </c>
      <c r="W25" s="395" t="s">
        <v>42</v>
      </c>
      <c r="X25" s="53"/>
      <c r="Y25" s="53"/>
      <c r="Z25" s="53"/>
      <c r="AA25" s="53"/>
      <c r="AB25" s="53"/>
      <c r="AC25" s="53"/>
      <c r="AD25" s="393" t="s">
        <v>387</v>
      </c>
      <c r="AE25" s="351"/>
      <c r="AF25" s="48">
        <v>3</v>
      </c>
      <c r="AG25" s="633" t="str">
        <f t="shared" si="23"/>
        <v>9920-201333</v>
      </c>
      <c r="AH25" s="387" t="s">
        <v>24</v>
      </c>
      <c r="AI25" s="468">
        <v>3</v>
      </c>
      <c r="AJ25" s="469" t="s">
        <v>384</v>
      </c>
      <c r="AK25" s="621" t="s">
        <v>400</v>
      </c>
      <c r="AL25" s="622" t="s">
        <v>468</v>
      </c>
      <c r="AM25" s="469" t="s">
        <v>255</v>
      </c>
      <c r="AN25" s="469" t="s">
        <v>255</v>
      </c>
      <c r="AO25" s="469" t="s">
        <v>255</v>
      </c>
      <c r="AP25" s="470" t="s">
        <v>255</v>
      </c>
      <c r="AQ25" s="339"/>
    </row>
    <row r="26" spans="1:43" ht="15.75">
      <c r="A26" s="8"/>
      <c r="B26" s="8"/>
      <c r="C26" s="6"/>
      <c r="D26" s="6"/>
      <c r="E26" s="8"/>
      <c r="F26" s="4" t="s">
        <v>143</v>
      </c>
      <c r="G26" s="7" t="str">
        <f>IF(ISNA(VLOOKUP("F21",$X$5:$X$11,1,FALSE)) = TRUE,"N/A",IF(AND(D$1&lt;6,Config.!L1&lt;&gt;"+1"),"N/A",IF(H$1="UL",J26,K26)))</f>
        <v>N/A</v>
      </c>
      <c r="H26"/>
      <c r="I26"/>
      <c r="J26" s="242">
        <v>15</v>
      </c>
      <c r="K26" s="243">
        <v>20</v>
      </c>
      <c r="M26" s="45"/>
      <c r="N26" s="424"/>
      <c r="O26" s="406" t="s">
        <v>322</v>
      </c>
      <c r="P26" s="459" t="str">
        <f>CONCATENATE(P25,AB$5)</f>
        <v>9920-201322Ch</v>
      </c>
      <c r="Q26" s="393" t="s">
        <v>301</v>
      </c>
      <c r="R26" s="393" t="s">
        <v>255</v>
      </c>
      <c r="S26" s="393" t="s">
        <v>296</v>
      </c>
      <c r="T26" s="393" t="s">
        <v>255</v>
      </c>
      <c r="U26" s="393" t="s">
        <v>298</v>
      </c>
      <c r="V26" s="393" t="s">
        <v>295</v>
      </c>
      <c r="W26" s="395" t="s">
        <v>303</v>
      </c>
      <c r="X26" s="53"/>
      <c r="Y26" s="53"/>
      <c r="Z26" s="53"/>
      <c r="AA26" s="53"/>
      <c r="AB26" s="53"/>
      <c r="AC26" s="53"/>
      <c r="AD26" s="403"/>
      <c r="AF26" s="48">
        <v>4</v>
      </c>
      <c r="AG26" s="633" t="str">
        <f t="shared" si="23"/>
        <v>9920-201318</v>
      </c>
      <c r="AH26" s="387" t="s">
        <v>24</v>
      </c>
      <c r="AI26" s="468">
        <v>5</v>
      </c>
      <c r="AJ26" s="469" t="s">
        <v>293</v>
      </c>
      <c r="AK26" s="621" t="s">
        <v>395</v>
      </c>
      <c r="AL26" s="469" t="s">
        <v>367</v>
      </c>
      <c r="AM26" s="621" t="s">
        <v>398</v>
      </c>
      <c r="AN26" s="622" t="s">
        <v>467</v>
      </c>
      <c r="AO26" s="469" t="s">
        <v>540</v>
      </c>
      <c r="AP26" s="470" t="s">
        <v>459</v>
      </c>
      <c r="AQ26" s="339"/>
    </row>
    <row r="27" spans="1:43" ht="15.75">
      <c r="A27" s="10" t="s">
        <v>185</v>
      </c>
      <c r="B27" s="10"/>
      <c r="C27" s="10"/>
      <c r="D27" s="6"/>
      <c r="E27" s="8"/>
      <c r="F27" s="4" t="s">
        <v>144</v>
      </c>
      <c r="G27" s="7" t="str">
        <f>IF(ISNA(VLOOKUP("F22",$X$5:$X$11,1,FALSE)) = TRUE,"N/A",IF(AND(D$1&lt;6,Config.!L2&lt;&gt;"+1"),"N/A",IF(H$1="UL",J27,K27)))</f>
        <v>N/A</v>
      </c>
      <c r="H27"/>
      <c r="I27"/>
      <c r="J27" s="242">
        <v>15</v>
      </c>
      <c r="K27" s="243">
        <v>20</v>
      </c>
      <c r="M27" s="45"/>
      <c r="N27" s="424"/>
      <c r="O27" s="406" t="s">
        <v>323</v>
      </c>
      <c r="P27" s="459" t="str">
        <f>CONCATENATE(P25,AB$6)</f>
        <v>9920-201322Cl</v>
      </c>
      <c r="Q27" s="393" t="s">
        <v>255</v>
      </c>
      <c r="R27" s="393" t="s">
        <v>255</v>
      </c>
      <c r="S27" s="393" t="s">
        <v>255</v>
      </c>
      <c r="T27" s="393" t="s">
        <v>255</v>
      </c>
      <c r="U27" s="393" t="s">
        <v>255</v>
      </c>
      <c r="V27" s="393" t="s">
        <v>299</v>
      </c>
      <c r="W27" s="395" t="s">
        <v>255</v>
      </c>
      <c r="X27" s="53"/>
      <c r="Y27" s="53"/>
      <c r="Z27" s="53"/>
      <c r="AA27" s="53"/>
      <c r="AB27" s="53"/>
      <c r="AC27" s="53"/>
      <c r="AD27" s="403"/>
      <c r="AF27" s="48">
        <v>5</v>
      </c>
      <c r="AG27" s="633" t="str">
        <f t="shared" si="23"/>
        <v>9920-201336</v>
      </c>
      <c r="AH27" s="387" t="s">
        <v>24</v>
      </c>
      <c r="AI27" s="468">
        <v>6</v>
      </c>
      <c r="AJ27" s="469" t="s">
        <v>293</v>
      </c>
      <c r="AK27" s="621" t="s">
        <v>395</v>
      </c>
      <c r="AL27" s="469" t="s">
        <v>367</v>
      </c>
      <c r="AM27" s="621" t="s">
        <v>398</v>
      </c>
      <c r="AN27" s="622" t="s">
        <v>467</v>
      </c>
      <c r="AO27" s="469" t="s">
        <v>255</v>
      </c>
      <c r="AP27" s="470" t="s">
        <v>255</v>
      </c>
    </row>
    <row r="28" spans="1:43" ht="15.75">
      <c r="A28" s="11" t="s">
        <v>151</v>
      </c>
      <c r="B28" s="11"/>
      <c r="C28" s="11"/>
      <c r="D28" s="6"/>
      <c r="E28" s="8"/>
      <c r="F28" s="4" t="s">
        <v>145</v>
      </c>
      <c r="G28" s="7" t="str">
        <f>IF(ISNA(VLOOKUP("F23",$X$5:$X$11,1,FALSE)) = TRUE,"N/A",IF(AND(D$1&lt;6,Config.!L3&lt;&gt;"+1"),"N/A",IF(H$1="UL",J28,K28)))</f>
        <v>N/A</v>
      </c>
      <c r="H28"/>
      <c r="I28"/>
      <c r="J28" s="242">
        <v>15</v>
      </c>
      <c r="K28" s="243">
        <v>15</v>
      </c>
      <c r="M28" s="234"/>
      <c r="N28" s="425"/>
      <c r="O28" s="407" t="s">
        <v>324</v>
      </c>
      <c r="P28" s="528" t="str">
        <f>CONCATENATE(P25,AB$7)</f>
        <v>9920-201322F</v>
      </c>
      <c r="Q28" s="396" t="s">
        <v>132</v>
      </c>
      <c r="R28" s="396" t="s">
        <v>255</v>
      </c>
      <c r="S28" s="396" t="s">
        <v>132</v>
      </c>
      <c r="T28" s="396" t="s">
        <v>255</v>
      </c>
      <c r="U28" s="396" t="s">
        <v>133</v>
      </c>
      <c r="V28" s="396" t="s">
        <v>133</v>
      </c>
      <c r="W28" s="397" t="s">
        <v>135</v>
      </c>
      <c r="X28" s="54"/>
      <c r="Y28" s="54"/>
      <c r="Z28" s="54"/>
      <c r="AA28" s="54"/>
      <c r="AB28" s="54"/>
      <c r="AC28" s="54"/>
      <c r="AD28" s="56"/>
      <c r="AF28" s="48">
        <v>6</v>
      </c>
      <c r="AG28" s="633" t="str">
        <f t="shared" si="23"/>
        <v>9920-201345</v>
      </c>
      <c r="AH28" s="387" t="s">
        <v>24</v>
      </c>
      <c r="AI28" s="468">
        <v>7</v>
      </c>
      <c r="AJ28" s="563" t="s">
        <v>227</v>
      </c>
      <c r="AK28" s="469" t="s">
        <v>255</v>
      </c>
      <c r="AL28" s="469" t="s">
        <v>255</v>
      </c>
      <c r="AM28" s="469" t="s">
        <v>255</v>
      </c>
      <c r="AN28" s="469" t="s">
        <v>255</v>
      </c>
      <c r="AO28" s="469" t="s">
        <v>255</v>
      </c>
      <c r="AP28" s="470" t="s">
        <v>255</v>
      </c>
    </row>
    <row r="29" spans="1:43" ht="15.75">
      <c r="A29" s="12" t="s">
        <v>139</v>
      </c>
      <c r="B29" s="19"/>
      <c r="C29" s="13"/>
      <c r="D29" s="6"/>
      <c r="E29" s="8"/>
      <c r="F29" s="4" t="s">
        <v>427</v>
      </c>
      <c r="G29" s="7" t="str">
        <f>IF(ISNA(VLOOKUP("F24",$X$5:$X$11,1,FALSE)) = TRUE,"N/A",IF(AND(D$1&lt;6,Config.!L4&lt;&gt;"+1"),"N/A",IF(H$1="UL",J29,K29)))</f>
        <v>N/A</v>
      </c>
      <c r="H29"/>
      <c r="I29"/>
      <c r="J29" s="23" t="s">
        <v>214</v>
      </c>
      <c r="K29" s="243">
        <v>20</v>
      </c>
      <c r="M29" s="529"/>
      <c r="N29" s="530" t="s">
        <v>184</v>
      </c>
      <c r="O29" s="402" t="s">
        <v>321</v>
      </c>
      <c r="P29" s="460" t="s">
        <v>401</v>
      </c>
      <c r="Q29" s="391" t="s">
        <v>306</v>
      </c>
      <c r="R29" s="391" t="s">
        <v>214</v>
      </c>
      <c r="S29" s="391" t="s">
        <v>37</v>
      </c>
      <c r="T29" s="391" t="s">
        <v>214</v>
      </c>
      <c r="U29" s="391" t="s">
        <v>308</v>
      </c>
      <c r="V29" s="391" t="s">
        <v>307</v>
      </c>
      <c r="W29" s="392" t="s">
        <v>42</v>
      </c>
      <c r="X29" s="531"/>
      <c r="Y29" s="531"/>
      <c r="Z29" s="531"/>
      <c r="AA29" s="531"/>
      <c r="AB29" s="531"/>
      <c r="AC29" s="531"/>
      <c r="AD29" s="391" t="s">
        <v>402</v>
      </c>
      <c r="AF29" s="48">
        <v>7</v>
      </c>
      <c r="AG29" s="633" t="str">
        <f t="shared" si="23"/>
        <v>9920-201364</v>
      </c>
      <c r="AH29" s="387" t="s">
        <v>24</v>
      </c>
      <c r="AI29" s="468">
        <v>8</v>
      </c>
      <c r="AJ29" s="563" t="s">
        <v>213</v>
      </c>
      <c r="AK29" s="563" t="s">
        <v>229</v>
      </c>
      <c r="AL29" s="563" t="s">
        <v>240</v>
      </c>
      <c r="AM29" s="563" t="s">
        <v>264</v>
      </c>
      <c r="AN29" s="469" t="s">
        <v>255</v>
      </c>
      <c r="AO29" s="469" t="s">
        <v>255</v>
      </c>
      <c r="AP29" s="470" t="s">
        <v>255</v>
      </c>
    </row>
    <row r="30" spans="1:43" ht="15.75">
      <c r="A30" s="14" t="s">
        <v>186</v>
      </c>
      <c r="B30" s="20"/>
      <c r="C30" s="15"/>
      <c r="D30" s="6"/>
      <c r="E30" s="8"/>
      <c r="F30" s="9"/>
      <c r="G30" s="9"/>
      <c r="H30"/>
      <c r="I30"/>
      <c r="J30" s="239" t="s">
        <v>184</v>
      </c>
      <c r="K30" s="239" t="s">
        <v>200</v>
      </c>
      <c r="M30" s="45"/>
      <c r="N30" s="424"/>
      <c r="O30" s="406" t="s">
        <v>322</v>
      </c>
      <c r="P30" s="459" t="str">
        <f>CONCATENATE(P29,AB$5)</f>
        <v>9920-201339Ch</v>
      </c>
      <c r="Q30" s="393" t="s">
        <v>301</v>
      </c>
      <c r="R30" s="393" t="s">
        <v>255</v>
      </c>
      <c r="S30" s="393" t="s">
        <v>296</v>
      </c>
      <c r="T30" s="393" t="s">
        <v>255</v>
      </c>
      <c r="U30" s="393" t="s">
        <v>298</v>
      </c>
      <c r="V30" s="393" t="s">
        <v>295</v>
      </c>
      <c r="W30" s="395" t="s">
        <v>303</v>
      </c>
      <c r="X30" s="53"/>
      <c r="Y30" s="53"/>
      <c r="Z30" s="53"/>
      <c r="AA30" s="53"/>
      <c r="AB30" s="53"/>
      <c r="AC30" s="53"/>
      <c r="AD30" s="403"/>
      <c r="AF30" s="49">
        <v>8</v>
      </c>
      <c r="AG30" s="475" t="str">
        <f t="shared" si="23"/>
        <v>9920-201352</v>
      </c>
      <c r="AH30" s="388" t="s">
        <v>24</v>
      </c>
      <c r="AI30" s="468">
        <v>9</v>
      </c>
      <c r="AJ30" s="469" t="s">
        <v>261</v>
      </c>
      <c r="AK30" s="469" t="s">
        <v>255</v>
      </c>
      <c r="AL30" s="469" t="s">
        <v>255</v>
      </c>
      <c r="AM30" s="469" t="s">
        <v>255</v>
      </c>
      <c r="AN30" s="469" t="s">
        <v>255</v>
      </c>
      <c r="AO30" s="469" t="s">
        <v>255</v>
      </c>
      <c r="AP30" s="470" t="s">
        <v>255</v>
      </c>
    </row>
    <row r="31" spans="1:43" ht="15.75">
      <c r="A31" s="16" t="s">
        <v>187</v>
      </c>
      <c r="B31" s="21"/>
      <c r="C31" s="17"/>
      <c r="D31" s="6"/>
      <c r="E31" s="8"/>
      <c r="F31" s="4" t="s">
        <v>146</v>
      </c>
      <c r="G31" s="7" t="str">
        <f t="shared" ref="G31:G37" si="24">IF(H$1="UL",J31,K31)</f>
        <v>Line1</v>
      </c>
      <c r="H31"/>
      <c r="I31"/>
      <c r="J31" s="242" t="s">
        <v>139</v>
      </c>
      <c r="K31" s="244" t="s">
        <v>186</v>
      </c>
      <c r="M31" s="45"/>
      <c r="N31" s="424"/>
      <c r="O31" s="406" t="s">
        <v>323</v>
      </c>
      <c r="P31" s="459" t="str">
        <f>CONCATENATE(P29,AB$6)</f>
        <v>9920-201339Cl</v>
      </c>
      <c r="Q31" s="393" t="s">
        <v>255</v>
      </c>
      <c r="R31" s="393" t="s">
        <v>255</v>
      </c>
      <c r="S31" s="393" t="s">
        <v>255</v>
      </c>
      <c r="T31" s="393" t="s">
        <v>255</v>
      </c>
      <c r="U31" s="393" t="s">
        <v>255</v>
      </c>
      <c r="V31" s="393" t="s">
        <v>299</v>
      </c>
      <c r="W31" s="395" t="s">
        <v>255</v>
      </c>
      <c r="X31" s="53"/>
      <c r="Y31" s="53"/>
      <c r="Z31" s="53"/>
      <c r="AA31" s="53"/>
      <c r="AB31" s="53"/>
      <c r="AC31" s="53"/>
      <c r="AD31" s="403"/>
      <c r="AI31" s="471">
        <v>12</v>
      </c>
      <c r="AJ31" s="567" t="s">
        <v>225</v>
      </c>
      <c r="AK31" s="472" t="s">
        <v>255</v>
      </c>
      <c r="AL31" s="472" t="s">
        <v>255</v>
      </c>
      <c r="AM31" s="472" t="s">
        <v>255</v>
      </c>
      <c r="AN31" s="472" t="s">
        <v>255</v>
      </c>
      <c r="AO31" s="472" t="s">
        <v>255</v>
      </c>
      <c r="AP31" s="473" t="s">
        <v>255</v>
      </c>
    </row>
    <row r="32" spans="1:43" ht="15.75">
      <c r="A32"/>
      <c r="B32"/>
      <c r="C32"/>
      <c r="D32" s="6"/>
      <c r="E32" s="8"/>
      <c r="F32" s="4" t="s">
        <v>147</v>
      </c>
      <c r="G32" s="7" t="str">
        <f t="shared" si="24"/>
        <v>Line1</v>
      </c>
      <c r="H32"/>
      <c r="I32"/>
      <c r="J32" s="242" t="s">
        <v>139</v>
      </c>
      <c r="K32" s="244" t="s">
        <v>139</v>
      </c>
      <c r="M32" s="234"/>
      <c r="N32" s="425"/>
      <c r="O32" s="407" t="s">
        <v>324</v>
      </c>
      <c r="P32" s="528" t="str">
        <f>CONCATENATE(P29,AB$7)</f>
        <v>9920-201339F</v>
      </c>
      <c r="Q32" s="396" t="s">
        <v>132</v>
      </c>
      <c r="R32" s="396" t="s">
        <v>255</v>
      </c>
      <c r="S32" s="396" t="s">
        <v>132</v>
      </c>
      <c r="T32" s="396" t="s">
        <v>255</v>
      </c>
      <c r="U32" s="396" t="s">
        <v>133</v>
      </c>
      <c r="V32" s="396" t="s">
        <v>133</v>
      </c>
      <c r="W32" s="397" t="s">
        <v>135</v>
      </c>
      <c r="X32" s="54"/>
      <c r="Y32" s="54"/>
      <c r="Z32" s="54"/>
      <c r="AA32" s="54"/>
      <c r="AB32" s="54"/>
      <c r="AC32" s="54"/>
      <c r="AD32" s="56"/>
      <c r="AI32" s="39"/>
    </row>
    <row r="33" spans="1:37" ht="15.75">
      <c r="A33"/>
      <c r="B33"/>
      <c r="C33"/>
      <c r="D33" s="6"/>
      <c r="E33" s="8"/>
      <c r="F33" s="4" t="s">
        <v>148</v>
      </c>
      <c r="G33" s="7" t="str">
        <f t="shared" si="24"/>
        <v>Line1</v>
      </c>
      <c r="H33"/>
      <c r="I33"/>
      <c r="J33" s="242" t="s">
        <v>139</v>
      </c>
      <c r="K33" s="244" t="s">
        <v>187</v>
      </c>
      <c r="N33" s="420" t="s">
        <v>184</v>
      </c>
      <c r="O33" s="401" t="s">
        <v>321</v>
      </c>
      <c r="P33" s="627" t="s">
        <v>465</v>
      </c>
      <c r="Q33" s="393" t="s">
        <v>306</v>
      </c>
      <c r="R33" s="393" t="s">
        <v>214</v>
      </c>
      <c r="S33" s="393" t="s">
        <v>37</v>
      </c>
      <c r="T33" s="393" t="s">
        <v>214</v>
      </c>
      <c r="U33" s="393" t="s">
        <v>308</v>
      </c>
      <c r="V33" s="393" t="s">
        <v>307</v>
      </c>
      <c r="W33" s="395" t="s">
        <v>42</v>
      </c>
      <c r="X33" s="53"/>
      <c r="Y33" s="53"/>
      <c r="Z33" s="53"/>
      <c r="AA33" s="53"/>
      <c r="AB33" s="53"/>
      <c r="AC33" s="53"/>
      <c r="AD33" s="393" t="s">
        <v>470</v>
      </c>
      <c r="AK33" s="39"/>
    </row>
    <row r="34" spans="1:37" ht="16.5" customHeight="1">
      <c r="A34"/>
      <c r="B34"/>
      <c r="C34"/>
      <c r="D34" s="6"/>
      <c r="E34" s="8"/>
      <c r="F34" s="4" t="s">
        <v>149</v>
      </c>
      <c r="G34" s="7" t="str">
        <f t="shared" si="24"/>
        <v>Line1</v>
      </c>
      <c r="H34"/>
      <c r="I34"/>
      <c r="J34" s="242" t="s">
        <v>139</v>
      </c>
      <c r="K34" s="244" t="s">
        <v>139</v>
      </c>
      <c r="N34" s="424"/>
      <c r="O34" s="406" t="s">
        <v>322</v>
      </c>
      <c r="P34" s="625" t="str">
        <f>CONCATENATE(P33,AB$5)</f>
        <v>9920-201346Ch</v>
      </c>
      <c r="Q34" s="393" t="s">
        <v>301</v>
      </c>
      <c r="R34" s="393" t="s">
        <v>255</v>
      </c>
      <c r="S34" s="393" t="s">
        <v>296</v>
      </c>
      <c r="T34" s="393" t="s">
        <v>255</v>
      </c>
      <c r="U34" s="393" t="s">
        <v>298</v>
      </c>
      <c r="V34" s="393" t="s">
        <v>295</v>
      </c>
      <c r="W34" s="395" t="s">
        <v>303</v>
      </c>
      <c r="X34" s="53"/>
      <c r="Y34" s="53"/>
      <c r="Z34" s="53"/>
      <c r="AA34" s="53"/>
      <c r="AB34" s="53"/>
      <c r="AC34" s="53"/>
      <c r="AD34" s="403"/>
    </row>
    <row r="35" spans="1:37" ht="15.75">
      <c r="A35"/>
      <c r="D35"/>
      <c r="E35"/>
      <c r="F35" s="4" t="s">
        <v>150</v>
      </c>
      <c r="G35" s="7" t="str">
        <f t="shared" si="24"/>
        <v>Line1</v>
      </c>
      <c r="H35"/>
      <c r="I35"/>
      <c r="J35" s="242" t="s">
        <v>139</v>
      </c>
      <c r="K35" s="244" t="s">
        <v>186</v>
      </c>
      <c r="N35" s="424"/>
      <c r="O35" s="406" t="s">
        <v>323</v>
      </c>
      <c r="P35" s="459" t="str">
        <f>CONCATENATE(P33,AB$6)</f>
        <v>9920-201346Cl</v>
      </c>
      <c r="Q35" s="393" t="s">
        <v>255</v>
      </c>
      <c r="R35" s="393" t="s">
        <v>255</v>
      </c>
      <c r="S35" s="393" t="s">
        <v>255</v>
      </c>
      <c r="T35" s="393" t="s">
        <v>255</v>
      </c>
      <c r="U35" s="393" t="s">
        <v>255</v>
      </c>
      <c r="V35" s="393" t="s">
        <v>299</v>
      </c>
      <c r="W35" s="395" t="s">
        <v>255</v>
      </c>
      <c r="X35" s="53"/>
      <c r="Y35" s="53"/>
      <c r="Z35" s="53"/>
      <c r="AA35" s="53"/>
      <c r="AB35" s="53"/>
      <c r="AC35" s="53"/>
      <c r="AD35" s="403"/>
    </row>
    <row r="36" spans="1:37" ht="15.75">
      <c r="A36"/>
      <c r="D36"/>
      <c r="E36"/>
      <c r="F36" s="4" t="s">
        <v>152</v>
      </c>
      <c r="G36" s="7" t="str">
        <f t="shared" si="24"/>
        <v>Line1</v>
      </c>
      <c r="H36"/>
      <c r="I36"/>
      <c r="J36" s="242" t="s">
        <v>139</v>
      </c>
      <c r="K36" s="243" t="str">
        <f>IF(Config.!$P$16 ="--","Line1",Config.!$P$16)</f>
        <v>Line1</v>
      </c>
      <c r="M36" s="47"/>
      <c r="N36" s="425"/>
      <c r="O36" s="407" t="s">
        <v>324</v>
      </c>
      <c r="P36" s="459" t="str">
        <f>CONCATENATE(P33,AB$7)</f>
        <v>9920-201346F</v>
      </c>
      <c r="Q36" s="396" t="s">
        <v>132</v>
      </c>
      <c r="R36" s="396" t="s">
        <v>255</v>
      </c>
      <c r="S36" s="396" t="s">
        <v>132</v>
      </c>
      <c r="T36" s="396" t="s">
        <v>255</v>
      </c>
      <c r="U36" s="396" t="s">
        <v>133</v>
      </c>
      <c r="V36" s="396" t="s">
        <v>133</v>
      </c>
      <c r="W36" s="397" t="s">
        <v>135</v>
      </c>
      <c r="X36" s="54"/>
      <c r="Y36" s="54"/>
      <c r="Z36" s="54"/>
      <c r="AA36" s="54"/>
      <c r="AB36" s="54"/>
      <c r="AC36" s="54"/>
      <c r="AD36" s="624"/>
    </row>
    <row r="37" spans="1:37" ht="15.75">
      <c r="D37"/>
      <c r="E37"/>
      <c r="F37" s="4" t="s">
        <v>273</v>
      </c>
      <c r="G37" s="7" t="str">
        <f t="shared" si="24"/>
        <v>Not Installed</v>
      </c>
      <c r="H37"/>
      <c r="I37"/>
      <c r="J37" s="23" t="s">
        <v>214</v>
      </c>
      <c r="K37" s="578" t="s">
        <v>186</v>
      </c>
      <c r="M37" s="376"/>
      <c r="N37" s="420" t="s">
        <v>184</v>
      </c>
      <c r="O37" s="402" t="s">
        <v>320</v>
      </c>
      <c r="P37" s="460" t="s">
        <v>368</v>
      </c>
      <c r="Q37" s="390" t="s">
        <v>306</v>
      </c>
      <c r="R37" s="391" t="s">
        <v>36</v>
      </c>
      <c r="S37" s="391" t="s">
        <v>37</v>
      </c>
      <c r="T37" s="391" t="s">
        <v>38</v>
      </c>
      <c r="U37" s="391" t="s">
        <v>308</v>
      </c>
      <c r="V37" s="391" t="s">
        <v>307</v>
      </c>
      <c r="W37" s="392" t="s">
        <v>42</v>
      </c>
      <c r="X37" s="377"/>
      <c r="Y37" s="377"/>
      <c r="Z37" s="377"/>
      <c r="AA37" s="377"/>
      <c r="AB37" s="377"/>
      <c r="AC37" s="377"/>
      <c r="AD37" s="391" t="s">
        <v>351</v>
      </c>
    </row>
    <row r="38" spans="1:37">
      <c r="F38"/>
      <c r="G38"/>
      <c r="H38"/>
      <c r="I38"/>
      <c r="J38" s="239" t="s">
        <v>184</v>
      </c>
      <c r="K38" s="239" t="s">
        <v>200</v>
      </c>
      <c r="M38" s="45"/>
      <c r="N38" s="389"/>
      <c r="O38" s="406" t="s">
        <v>322</v>
      </c>
      <c r="P38" s="459" t="str">
        <f>CONCATENATE(P37,AB$5)</f>
        <v>9920-201278Ch</v>
      </c>
      <c r="Q38" s="393" t="s">
        <v>301</v>
      </c>
      <c r="R38" s="393" t="s">
        <v>295</v>
      </c>
      <c r="S38" s="393" t="s">
        <v>296</v>
      </c>
      <c r="T38" s="393" t="s">
        <v>297</v>
      </c>
      <c r="U38" s="393" t="s">
        <v>298</v>
      </c>
      <c r="V38" s="394" t="s">
        <v>255</v>
      </c>
      <c r="W38" s="395" t="s">
        <v>303</v>
      </c>
      <c r="X38" s="53"/>
      <c r="Y38" s="53"/>
      <c r="Z38" s="53"/>
      <c r="AA38" s="53"/>
      <c r="AB38" s="53"/>
      <c r="AC38" s="53"/>
      <c r="AD38" s="403"/>
    </row>
    <row r="39" spans="1:37" ht="15.75">
      <c r="F39" s="251"/>
      <c r="G39" s="252"/>
      <c r="H39"/>
      <c r="I39"/>
      <c r="M39" s="45"/>
      <c r="N39" s="389"/>
      <c r="O39" s="406" t="s">
        <v>323</v>
      </c>
      <c r="P39" s="459" t="str">
        <f>CONCATENATE(P37,AB$6)</f>
        <v>9920-201278Cl</v>
      </c>
      <c r="Q39" s="393" t="s">
        <v>255</v>
      </c>
      <c r="R39" s="393" t="s">
        <v>255</v>
      </c>
      <c r="S39" s="393" t="s">
        <v>255</v>
      </c>
      <c r="T39" s="393" t="s">
        <v>302</v>
      </c>
      <c r="U39" s="393" t="s">
        <v>255</v>
      </c>
      <c r="V39" s="393" t="s">
        <v>299</v>
      </c>
      <c r="W39" s="395" t="s">
        <v>255</v>
      </c>
      <c r="X39" s="53"/>
      <c r="Y39" s="53"/>
      <c r="Z39" s="53"/>
      <c r="AA39" s="53"/>
      <c r="AB39" s="53"/>
      <c r="AC39" s="53"/>
      <c r="AD39" s="403"/>
    </row>
    <row r="40" spans="1:37" ht="15.75">
      <c r="F40" s="24"/>
      <c r="G40" s="24"/>
      <c r="H40"/>
      <c r="I40"/>
      <c r="M40" s="234"/>
      <c r="N40" s="422"/>
      <c r="O40" s="407" t="s">
        <v>324</v>
      </c>
      <c r="P40" s="459" t="str">
        <f>CONCATENATE(P37,AB$7)</f>
        <v>9920-201278F</v>
      </c>
      <c r="Q40" s="393" t="s">
        <v>132</v>
      </c>
      <c r="R40" s="393" t="s">
        <v>131</v>
      </c>
      <c r="S40" s="393" t="s">
        <v>132</v>
      </c>
      <c r="T40" s="393" t="s">
        <v>131</v>
      </c>
      <c r="U40" s="393" t="s">
        <v>133</v>
      </c>
      <c r="V40" s="393" t="s">
        <v>133</v>
      </c>
      <c r="W40" s="395" t="s">
        <v>135</v>
      </c>
      <c r="X40" s="56"/>
      <c r="Y40" s="56"/>
      <c r="Z40" s="56"/>
      <c r="AA40" s="56"/>
      <c r="AB40" s="56"/>
      <c r="AC40" s="56"/>
      <c r="AD40" s="56"/>
    </row>
    <row r="41" spans="1:37" ht="15.75">
      <c r="F41" s="24"/>
      <c r="G41" s="24"/>
      <c r="H41"/>
      <c r="I41"/>
      <c r="M41" s="376"/>
      <c r="N41" s="420" t="s">
        <v>184</v>
      </c>
      <c r="O41" s="402" t="s">
        <v>320</v>
      </c>
      <c r="P41" s="460" t="s">
        <v>393</v>
      </c>
      <c r="Q41" s="390" t="s">
        <v>306</v>
      </c>
      <c r="R41" s="391" t="s">
        <v>36</v>
      </c>
      <c r="S41" s="391" t="s">
        <v>37</v>
      </c>
      <c r="T41" s="391" t="s">
        <v>38</v>
      </c>
      <c r="U41" s="391" t="s">
        <v>308</v>
      </c>
      <c r="V41" s="391" t="s">
        <v>307</v>
      </c>
      <c r="W41" s="392" t="s">
        <v>42</v>
      </c>
      <c r="X41" s="377"/>
      <c r="Y41" s="377"/>
      <c r="Z41" s="377"/>
      <c r="AA41" s="377"/>
      <c r="AB41" s="377"/>
      <c r="AC41" s="377"/>
      <c r="AD41" s="391" t="s">
        <v>394</v>
      </c>
    </row>
    <row r="42" spans="1:37" ht="15.75">
      <c r="F42" s="24"/>
      <c r="G42" s="24"/>
      <c r="M42" s="45"/>
      <c r="N42" s="389"/>
      <c r="O42" s="406" t="s">
        <v>322</v>
      </c>
      <c r="P42" s="459" t="str">
        <f>CONCATENATE(P41,AB$5)</f>
        <v>9920-201332Ch</v>
      </c>
      <c r="Q42" s="393" t="s">
        <v>301</v>
      </c>
      <c r="R42" s="393" t="s">
        <v>295</v>
      </c>
      <c r="S42" s="393" t="s">
        <v>296</v>
      </c>
      <c r="T42" s="393" t="s">
        <v>297</v>
      </c>
      <c r="U42" s="393" t="s">
        <v>298</v>
      </c>
      <c r="V42" s="394" t="s">
        <v>255</v>
      </c>
      <c r="W42" s="395" t="s">
        <v>303</v>
      </c>
      <c r="X42" s="53"/>
      <c r="Y42" s="53"/>
      <c r="Z42" s="53"/>
      <c r="AA42" s="53"/>
      <c r="AB42" s="53"/>
      <c r="AC42" s="53"/>
      <c r="AD42" s="403"/>
    </row>
    <row r="43" spans="1:37" ht="15.75">
      <c r="F43" s="24"/>
      <c r="G43" s="24"/>
      <c r="M43" s="45"/>
      <c r="N43" s="389"/>
      <c r="O43" s="406" t="s">
        <v>323</v>
      </c>
      <c r="P43" s="459" t="str">
        <f>CONCATENATE(P41,AB$6)</f>
        <v>9920-201332Cl</v>
      </c>
      <c r="Q43" s="393" t="s">
        <v>255</v>
      </c>
      <c r="R43" s="393" t="s">
        <v>255</v>
      </c>
      <c r="S43" s="393" t="s">
        <v>255</v>
      </c>
      <c r="T43" s="393" t="s">
        <v>302</v>
      </c>
      <c r="U43" s="393" t="s">
        <v>255</v>
      </c>
      <c r="V43" s="393" t="s">
        <v>299</v>
      </c>
      <c r="W43" s="395" t="s">
        <v>255</v>
      </c>
      <c r="X43" s="53"/>
      <c r="Y43" s="53"/>
      <c r="Z43" s="53"/>
      <c r="AA43" s="53"/>
      <c r="AB43" s="53"/>
      <c r="AC43" s="53"/>
      <c r="AD43" s="403"/>
    </row>
    <row r="44" spans="1:37" ht="15.75">
      <c r="A44" s="601"/>
      <c r="F44" s="24"/>
      <c r="G44" s="24"/>
      <c r="M44" s="234"/>
      <c r="N44" s="422"/>
      <c r="O44" s="407" t="s">
        <v>324</v>
      </c>
      <c r="P44" s="528" t="str">
        <f>CONCATENATE(P41,AB$7)</f>
        <v>9920-201332F</v>
      </c>
      <c r="Q44" s="396" t="s">
        <v>132</v>
      </c>
      <c r="R44" s="396" t="s">
        <v>131</v>
      </c>
      <c r="S44" s="396" t="s">
        <v>132</v>
      </c>
      <c r="T44" s="396" t="s">
        <v>131</v>
      </c>
      <c r="U44" s="396" t="s">
        <v>133</v>
      </c>
      <c r="V44" s="396" t="s">
        <v>133</v>
      </c>
      <c r="W44" s="397" t="s">
        <v>135</v>
      </c>
      <c r="X44" s="56"/>
      <c r="Y44" s="56"/>
      <c r="Z44" s="56"/>
      <c r="AA44" s="56"/>
      <c r="AB44" s="56"/>
      <c r="AC44" s="56"/>
      <c r="AD44" s="56"/>
    </row>
    <row r="45" spans="1:37" ht="15.75">
      <c r="F45" s="24"/>
      <c r="G45" s="24"/>
      <c r="M45" s="376"/>
      <c r="N45" s="420" t="s">
        <v>184</v>
      </c>
      <c r="O45" s="402" t="s">
        <v>320</v>
      </c>
      <c r="P45" s="460" t="s">
        <v>369</v>
      </c>
      <c r="Q45" s="390" t="s">
        <v>306</v>
      </c>
      <c r="R45" s="391" t="s">
        <v>36</v>
      </c>
      <c r="S45" s="391" t="s">
        <v>37</v>
      </c>
      <c r="T45" s="391" t="s">
        <v>38</v>
      </c>
      <c r="U45" s="391" t="s">
        <v>308</v>
      </c>
      <c r="V45" s="391" t="s">
        <v>307</v>
      </c>
      <c r="W45" s="392" t="s">
        <v>42</v>
      </c>
      <c r="X45" s="377"/>
      <c r="Y45" s="377"/>
      <c r="Z45" s="377"/>
      <c r="AA45" s="377"/>
      <c r="AB45" s="377"/>
      <c r="AC45" s="377"/>
      <c r="AD45" s="391" t="s">
        <v>352</v>
      </c>
    </row>
    <row r="46" spans="1:37" ht="15.75">
      <c r="F46" s="24"/>
      <c r="G46" s="24"/>
      <c r="M46" s="45"/>
      <c r="N46" s="389"/>
      <c r="O46" s="406" t="s">
        <v>322</v>
      </c>
      <c r="P46" s="459" t="str">
        <f>CONCATENATE(P45,AB$5)</f>
        <v>9920-201301Ch</v>
      </c>
      <c r="Q46" s="393" t="s">
        <v>301</v>
      </c>
      <c r="R46" s="393" t="s">
        <v>295</v>
      </c>
      <c r="S46" s="393" t="s">
        <v>296</v>
      </c>
      <c r="T46" s="393" t="s">
        <v>297</v>
      </c>
      <c r="U46" s="393" t="s">
        <v>298</v>
      </c>
      <c r="V46" s="394" t="s">
        <v>255</v>
      </c>
      <c r="W46" s="395" t="s">
        <v>303</v>
      </c>
      <c r="X46" s="53"/>
      <c r="Y46" s="53"/>
      <c r="Z46" s="53"/>
      <c r="AA46" s="53"/>
      <c r="AB46" s="53"/>
      <c r="AC46" s="53"/>
      <c r="AD46" s="403"/>
    </row>
    <row r="47" spans="1:37" ht="15.75">
      <c r="F47" s="24"/>
      <c r="G47" s="24"/>
      <c r="M47" s="45"/>
      <c r="N47" s="389"/>
      <c r="O47" s="406" t="s">
        <v>323</v>
      </c>
      <c r="P47" s="459" t="str">
        <f>CONCATENATE(P45,AB$6)</f>
        <v>9920-201301Cl</v>
      </c>
      <c r="Q47" s="393" t="s">
        <v>255</v>
      </c>
      <c r="R47" s="393" t="s">
        <v>255</v>
      </c>
      <c r="S47" s="393" t="s">
        <v>255</v>
      </c>
      <c r="T47" s="393" t="s">
        <v>302</v>
      </c>
      <c r="U47" s="393" t="s">
        <v>255</v>
      </c>
      <c r="V47" s="393" t="s">
        <v>299</v>
      </c>
      <c r="W47" s="395" t="s">
        <v>255</v>
      </c>
      <c r="X47" s="53"/>
      <c r="Y47" s="53"/>
      <c r="Z47" s="53"/>
      <c r="AA47" s="53"/>
      <c r="AB47" s="53"/>
      <c r="AC47" s="53"/>
      <c r="AD47" s="403"/>
    </row>
    <row r="48" spans="1:37" ht="15.75">
      <c r="A48" s="601"/>
      <c r="F48" s="24"/>
      <c r="G48" s="24"/>
      <c r="M48" s="234"/>
      <c r="N48" s="422"/>
      <c r="O48" s="407" t="s">
        <v>324</v>
      </c>
      <c r="P48" s="528" t="str">
        <f>CONCATENATE(P45,AB$7)</f>
        <v>9920-201301F</v>
      </c>
      <c r="Q48" s="396" t="s">
        <v>132</v>
      </c>
      <c r="R48" s="396" t="s">
        <v>131</v>
      </c>
      <c r="S48" s="396" t="s">
        <v>132</v>
      </c>
      <c r="T48" s="396" t="s">
        <v>131</v>
      </c>
      <c r="U48" s="396" t="s">
        <v>133</v>
      </c>
      <c r="V48" s="396" t="s">
        <v>133</v>
      </c>
      <c r="W48" s="397" t="s">
        <v>135</v>
      </c>
      <c r="X48" s="56"/>
      <c r="Y48" s="56"/>
      <c r="Z48" s="56"/>
      <c r="AA48" s="56"/>
      <c r="AB48" s="56"/>
      <c r="AC48" s="56"/>
      <c r="AD48" s="56"/>
    </row>
    <row r="49" spans="3:30" ht="15.75">
      <c r="F49" s="24"/>
      <c r="G49" s="24"/>
      <c r="M49" s="376"/>
      <c r="N49" s="420" t="s">
        <v>184</v>
      </c>
      <c r="O49" s="402" t="s">
        <v>320</v>
      </c>
      <c r="P49" s="460" t="s">
        <v>403</v>
      </c>
      <c r="Q49" s="390" t="s">
        <v>306</v>
      </c>
      <c r="R49" s="391" t="s">
        <v>36</v>
      </c>
      <c r="S49" s="391" t="s">
        <v>37</v>
      </c>
      <c r="T49" s="391" t="s">
        <v>38</v>
      </c>
      <c r="U49" s="391" t="s">
        <v>308</v>
      </c>
      <c r="V49" s="391" t="s">
        <v>307</v>
      </c>
      <c r="W49" s="392" t="s">
        <v>42</v>
      </c>
      <c r="X49" s="377"/>
      <c r="Y49" s="377"/>
      <c r="Z49" s="377"/>
      <c r="AA49" s="377"/>
      <c r="AB49" s="377"/>
      <c r="AC49" s="377"/>
      <c r="AD49" s="391" t="s">
        <v>399</v>
      </c>
    </row>
    <row r="50" spans="3:30" ht="18.75">
      <c r="C50" s="607"/>
      <c r="F50" s="24"/>
      <c r="G50" s="24"/>
      <c r="M50" s="45"/>
      <c r="N50" s="389"/>
      <c r="O50" s="406" t="s">
        <v>322</v>
      </c>
      <c r="P50" s="459" t="str">
        <f>CONCATENATE(P49,AB$5)</f>
        <v>9920-201340Ch</v>
      </c>
      <c r="Q50" s="393" t="s">
        <v>301</v>
      </c>
      <c r="R50" s="393" t="s">
        <v>295</v>
      </c>
      <c r="S50" s="393" t="s">
        <v>296</v>
      </c>
      <c r="T50" s="393" t="s">
        <v>297</v>
      </c>
      <c r="U50" s="393" t="s">
        <v>298</v>
      </c>
      <c r="V50" s="394" t="s">
        <v>255</v>
      </c>
      <c r="W50" s="395" t="s">
        <v>303</v>
      </c>
      <c r="X50" s="53"/>
      <c r="Y50" s="53"/>
      <c r="Z50" s="53"/>
      <c r="AA50" s="53"/>
      <c r="AB50" s="53"/>
      <c r="AC50" s="53"/>
      <c r="AD50" s="403"/>
    </row>
    <row r="51" spans="3:30" ht="15.75">
      <c r="F51" s="24"/>
      <c r="G51" s="24"/>
      <c r="M51" s="45"/>
      <c r="N51" s="389"/>
      <c r="O51" s="406" t="s">
        <v>323</v>
      </c>
      <c r="P51" s="459" t="str">
        <f>CONCATENATE(P49,AB$6)</f>
        <v>9920-201340Cl</v>
      </c>
      <c r="Q51" s="393" t="s">
        <v>255</v>
      </c>
      <c r="R51" s="393" t="s">
        <v>255</v>
      </c>
      <c r="S51" s="393" t="s">
        <v>255</v>
      </c>
      <c r="T51" s="393" t="s">
        <v>302</v>
      </c>
      <c r="U51" s="393" t="s">
        <v>255</v>
      </c>
      <c r="V51" s="393" t="s">
        <v>299</v>
      </c>
      <c r="W51" s="395" t="s">
        <v>255</v>
      </c>
      <c r="X51" s="53"/>
      <c r="Y51" s="53"/>
      <c r="Z51" s="53"/>
      <c r="AA51" s="53"/>
      <c r="AB51" s="53"/>
      <c r="AC51" s="53"/>
      <c r="AD51" s="403"/>
    </row>
    <row r="52" spans="3:30" ht="15.75">
      <c r="F52" s="24"/>
      <c r="G52" s="24"/>
      <c r="M52" s="234"/>
      <c r="N52" s="422"/>
      <c r="O52" s="407" t="s">
        <v>324</v>
      </c>
      <c r="P52" s="528" t="str">
        <f>CONCATENATE(P49,AB$7)</f>
        <v>9920-201340F</v>
      </c>
      <c r="Q52" s="396" t="s">
        <v>132</v>
      </c>
      <c r="R52" s="396" t="s">
        <v>131</v>
      </c>
      <c r="S52" s="396" t="s">
        <v>132</v>
      </c>
      <c r="T52" s="396" t="s">
        <v>131</v>
      </c>
      <c r="U52" s="396" t="s">
        <v>133</v>
      </c>
      <c r="V52" s="396" t="s">
        <v>133</v>
      </c>
      <c r="W52" s="397" t="s">
        <v>135</v>
      </c>
      <c r="X52" s="56"/>
      <c r="Y52" s="56"/>
      <c r="Z52" s="56"/>
      <c r="AA52" s="56"/>
      <c r="AB52" s="56"/>
      <c r="AC52" s="56"/>
      <c r="AD52" s="56"/>
    </row>
    <row r="53" spans="3:30" ht="15.75">
      <c r="F53" s="24"/>
      <c r="G53" s="24"/>
      <c r="M53" s="529"/>
      <c r="N53" s="530" t="s">
        <v>184</v>
      </c>
      <c r="O53" s="402" t="s">
        <v>320</v>
      </c>
      <c r="P53" s="623" t="s">
        <v>466</v>
      </c>
      <c r="Q53" s="390" t="s">
        <v>306</v>
      </c>
      <c r="R53" s="391" t="s">
        <v>36</v>
      </c>
      <c r="S53" s="391" t="s">
        <v>37</v>
      </c>
      <c r="T53" s="391" t="s">
        <v>38</v>
      </c>
      <c r="U53" s="391" t="s">
        <v>308</v>
      </c>
      <c r="V53" s="391" t="s">
        <v>307</v>
      </c>
      <c r="W53" s="392" t="s">
        <v>42</v>
      </c>
      <c r="X53" s="377"/>
      <c r="Y53" s="377"/>
      <c r="Z53" s="377"/>
      <c r="AA53" s="377"/>
      <c r="AB53" s="377"/>
      <c r="AC53" s="377"/>
      <c r="AD53" s="391" t="s">
        <v>565</v>
      </c>
    </row>
    <row r="54" spans="3:30" ht="15.75">
      <c r="F54" s="24"/>
      <c r="G54" s="24"/>
      <c r="M54" s="45"/>
      <c r="N54" s="389"/>
      <c r="O54" s="406" t="s">
        <v>322</v>
      </c>
      <c r="P54" s="459" t="str">
        <f>CONCATENATE(P53,AB$5)</f>
        <v>9920-201326Ch</v>
      </c>
      <c r="Q54" s="393" t="s">
        <v>301</v>
      </c>
      <c r="R54" s="393" t="s">
        <v>295</v>
      </c>
      <c r="S54" s="393" t="s">
        <v>296</v>
      </c>
      <c r="T54" s="393" t="s">
        <v>297</v>
      </c>
      <c r="U54" s="393" t="s">
        <v>298</v>
      </c>
      <c r="V54" s="394" t="s">
        <v>255</v>
      </c>
      <c r="W54" s="395" t="s">
        <v>303</v>
      </c>
      <c r="X54" s="53"/>
      <c r="Y54" s="53"/>
      <c r="Z54" s="53"/>
      <c r="AA54" s="53"/>
      <c r="AB54" s="53"/>
      <c r="AC54" s="53"/>
      <c r="AD54" s="403"/>
    </row>
    <row r="55" spans="3:30" ht="15.75">
      <c r="F55" s="24"/>
      <c r="G55" s="24"/>
      <c r="M55" s="45"/>
      <c r="N55" s="389"/>
      <c r="O55" s="406" t="s">
        <v>323</v>
      </c>
      <c r="P55" s="459" t="str">
        <f>CONCATENATE(P53,AB$6)</f>
        <v>9920-201326Cl</v>
      </c>
      <c r="Q55" s="393" t="s">
        <v>255</v>
      </c>
      <c r="R55" s="393" t="s">
        <v>255</v>
      </c>
      <c r="S55" s="393" t="s">
        <v>255</v>
      </c>
      <c r="T55" s="393" t="s">
        <v>302</v>
      </c>
      <c r="U55" s="393" t="s">
        <v>255</v>
      </c>
      <c r="V55" s="393" t="s">
        <v>299</v>
      </c>
      <c r="W55" s="395" t="s">
        <v>255</v>
      </c>
      <c r="X55" s="53"/>
      <c r="Y55" s="53"/>
      <c r="Z55" s="53"/>
      <c r="AA55" s="53"/>
      <c r="AB55" s="53"/>
      <c r="AC55" s="53"/>
      <c r="AD55" s="403"/>
    </row>
    <row r="56" spans="3:30">
      <c r="M56" s="234"/>
      <c r="N56" s="422"/>
      <c r="O56" s="407" t="s">
        <v>324</v>
      </c>
      <c r="P56" s="528" t="str">
        <f>CONCATENATE(P53,AB$7)</f>
        <v>9920-201326F</v>
      </c>
      <c r="Q56" s="396" t="s">
        <v>132</v>
      </c>
      <c r="R56" s="396" t="s">
        <v>131</v>
      </c>
      <c r="S56" s="396" t="s">
        <v>132</v>
      </c>
      <c r="T56" s="396" t="s">
        <v>131</v>
      </c>
      <c r="U56" s="396" t="s">
        <v>133</v>
      </c>
      <c r="V56" s="396" t="s">
        <v>133</v>
      </c>
      <c r="W56" s="397" t="s">
        <v>135</v>
      </c>
      <c r="X56" s="624"/>
      <c r="Y56" s="624"/>
      <c r="Z56" s="624"/>
      <c r="AA56" s="624"/>
      <c r="AB56" s="624"/>
      <c r="AC56" s="624"/>
      <c r="AD56" s="624"/>
    </row>
    <row r="57" spans="3:30">
      <c r="M57" s="45"/>
      <c r="N57" s="420" t="s">
        <v>184</v>
      </c>
      <c r="O57" s="401" t="s">
        <v>416</v>
      </c>
      <c r="P57" s="560" t="s">
        <v>415</v>
      </c>
      <c r="Q57" s="626" t="s">
        <v>419</v>
      </c>
      <c r="R57" s="561" t="s">
        <v>36</v>
      </c>
      <c r="S57" s="561" t="s">
        <v>37</v>
      </c>
      <c r="T57" s="561" t="s">
        <v>38</v>
      </c>
      <c r="U57" s="561" t="s">
        <v>417</v>
      </c>
      <c r="V57" s="561" t="s">
        <v>418</v>
      </c>
      <c r="W57" s="395" t="s">
        <v>255</v>
      </c>
      <c r="X57" s="53"/>
      <c r="Y57" s="53"/>
      <c r="Z57" s="53"/>
      <c r="AA57" s="53"/>
      <c r="AB57" s="53"/>
      <c r="AC57" s="53"/>
      <c r="AD57" s="561" t="s">
        <v>471</v>
      </c>
    </row>
    <row r="58" spans="3:30">
      <c r="M58" s="45"/>
      <c r="N58" s="421"/>
      <c r="O58" s="406" t="s">
        <v>322</v>
      </c>
      <c r="P58" s="459" t="str">
        <f>CONCATENATE(P57,AB$5)</f>
        <v>9920-201351Ch</v>
      </c>
      <c r="Q58" s="561" t="s">
        <v>255</v>
      </c>
      <c r="R58" s="561" t="s">
        <v>295</v>
      </c>
      <c r="S58" s="561" t="s">
        <v>296</v>
      </c>
      <c r="T58" s="561" t="s">
        <v>297</v>
      </c>
      <c r="U58" s="561" t="s">
        <v>298</v>
      </c>
      <c r="V58" s="561" t="s">
        <v>255</v>
      </c>
      <c r="W58" s="395" t="s">
        <v>255</v>
      </c>
      <c r="X58" s="53"/>
      <c r="Y58" s="53"/>
      <c r="Z58" s="53"/>
      <c r="AA58" s="53"/>
      <c r="AB58" s="53"/>
      <c r="AC58" s="53"/>
      <c r="AD58" s="404"/>
    </row>
    <row r="59" spans="3:30">
      <c r="M59" s="45"/>
      <c r="N59" s="421"/>
      <c r="O59" s="406" t="s">
        <v>323</v>
      </c>
      <c r="P59" s="459" t="str">
        <f>CONCATENATE(P57,AB$6)</f>
        <v>9920-201351Cl</v>
      </c>
      <c r="Q59" s="561" t="s">
        <v>206</v>
      </c>
      <c r="R59" s="561" t="s">
        <v>255</v>
      </c>
      <c r="S59" s="561" t="s">
        <v>255</v>
      </c>
      <c r="T59" s="561" t="s">
        <v>302</v>
      </c>
      <c r="U59" s="561" t="s">
        <v>255</v>
      </c>
      <c r="V59" s="561" t="s">
        <v>299</v>
      </c>
      <c r="W59" s="395" t="s">
        <v>255</v>
      </c>
      <c r="X59" s="53"/>
      <c r="Y59" s="53"/>
      <c r="Z59" s="53"/>
      <c r="AA59" s="53"/>
      <c r="AB59" s="53"/>
      <c r="AC59" s="53"/>
      <c r="AD59" s="404"/>
    </row>
    <row r="60" spans="3:30" ht="15.75" thickBot="1">
      <c r="M60" s="61"/>
      <c r="N60" s="426"/>
      <c r="O60" s="408" t="s">
        <v>324</v>
      </c>
      <c r="P60" s="525" t="str">
        <f>CONCATENATE(P57,AB$7)</f>
        <v>9920-201351F</v>
      </c>
      <c r="Q60" s="562" t="s">
        <v>132</v>
      </c>
      <c r="R60" s="562" t="s">
        <v>131</v>
      </c>
      <c r="S60" s="562" t="s">
        <v>132</v>
      </c>
      <c r="T60" s="562" t="s">
        <v>131</v>
      </c>
      <c r="U60" s="562" t="s">
        <v>133</v>
      </c>
      <c r="V60" s="562" t="s">
        <v>133</v>
      </c>
      <c r="W60" s="405" t="s">
        <v>255</v>
      </c>
      <c r="X60" s="60"/>
      <c r="Y60" s="60"/>
      <c r="Z60" s="60"/>
      <c r="AA60" s="60"/>
      <c r="AB60" s="60"/>
      <c r="AC60" s="60"/>
      <c r="AD60" s="332"/>
    </row>
    <row r="61" spans="3:30">
      <c r="M61" s="376"/>
      <c r="N61" s="420" t="s">
        <v>200</v>
      </c>
      <c r="O61" s="401" t="s">
        <v>321</v>
      </c>
      <c r="P61" s="394" t="s">
        <v>384</v>
      </c>
      <c r="Q61" s="393" t="s">
        <v>313</v>
      </c>
      <c r="R61" s="391" t="s">
        <v>214</v>
      </c>
      <c r="S61" s="393" t="s">
        <v>37</v>
      </c>
      <c r="T61" s="391" t="s">
        <v>214</v>
      </c>
      <c r="U61" s="393" t="s">
        <v>315</v>
      </c>
      <c r="V61" s="393" t="s">
        <v>314</v>
      </c>
      <c r="W61" s="395" t="s">
        <v>42</v>
      </c>
      <c r="X61" s="383"/>
      <c r="Y61" s="383"/>
      <c r="Z61" s="383"/>
      <c r="AA61" s="383"/>
      <c r="AB61" s="383"/>
      <c r="AC61" s="383"/>
      <c r="AD61" s="393" t="s">
        <v>350</v>
      </c>
    </row>
    <row r="62" spans="3:30">
      <c r="M62" s="45"/>
      <c r="N62" s="389"/>
      <c r="O62" s="389" t="s">
        <v>317</v>
      </c>
      <c r="P62" s="459" t="str">
        <f>CONCATENATE(P61,AB$5)</f>
        <v>9920-201321Ch</v>
      </c>
      <c r="Q62" s="393" t="s">
        <v>301</v>
      </c>
      <c r="R62" s="393" t="s">
        <v>255</v>
      </c>
      <c r="S62" s="393" t="s">
        <v>298</v>
      </c>
      <c r="T62" s="393" t="s">
        <v>255</v>
      </c>
      <c r="U62" s="393" t="s">
        <v>296</v>
      </c>
      <c r="V62" s="393" t="s">
        <v>295</v>
      </c>
      <c r="W62" s="395" t="s">
        <v>303</v>
      </c>
      <c r="X62" s="380"/>
      <c r="Y62" s="380"/>
      <c r="Z62" s="380"/>
      <c r="AA62" s="380"/>
      <c r="AB62" s="380"/>
      <c r="AC62" s="380"/>
      <c r="AD62" s="403"/>
    </row>
    <row r="63" spans="3:30">
      <c r="M63" s="45"/>
      <c r="N63" s="389"/>
      <c r="O63" s="389" t="s">
        <v>318</v>
      </c>
      <c r="P63" s="459" t="str">
        <f>CONCATENATE(P61,AB$6)</f>
        <v>9920-201321Cl</v>
      </c>
      <c r="Q63" s="393" t="s">
        <v>255</v>
      </c>
      <c r="R63" s="393" t="s">
        <v>255</v>
      </c>
      <c r="S63" s="393" t="s">
        <v>255</v>
      </c>
      <c r="T63" s="393" t="s">
        <v>255</v>
      </c>
      <c r="U63" s="393" t="s">
        <v>255</v>
      </c>
      <c r="V63" s="393" t="s">
        <v>299</v>
      </c>
      <c r="W63" s="395" t="s">
        <v>255</v>
      </c>
      <c r="X63" s="380"/>
      <c r="Y63" s="380"/>
      <c r="Z63" s="380"/>
      <c r="AA63" s="380"/>
      <c r="AB63" s="380"/>
      <c r="AC63" s="380"/>
      <c r="AD63" s="403"/>
    </row>
    <row r="64" spans="3:30">
      <c r="M64" s="234"/>
      <c r="N64" s="422"/>
      <c r="O64" s="407" t="s">
        <v>324</v>
      </c>
      <c r="P64" s="528" t="str">
        <f>CONCATENATE(P61,AB$7)</f>
        <v>9920-201321F</v>
      </c>
      <c r="Q64" s="396" t="s">
        <v>133</v>
      </c>
      <c r="R64" s="396" t="s">
        <v>255</v>
      </c>
      <c r="S64" s="396" t="s">
        <v>131</v>
      </c>
      <c r="T64" s="396" t="s">
        <v>255</v>
      </c>
      <c r="U64" s="396" t="s">
        <v>133</v>
      </c>
      <c r="V64" s="396" t="s">
        <v>133</v>
      </c>
      <c r="W64" s="397" t="s">
        <v>135</v>
      </c>
      <c r="X64" s="381"/>
      <c r="Y64" s="381"/>
      <c r="Z64" s="381"/>
      <c r="AA64" s="381"/>
      <c r="AB64" s="381"/>
      <c r="AC64" s="381"/>
      <c r="AD64" s="382"/>
    </row>
    <row r="65" spans="13:30">
      <c r="M65" s="376"/>
      <c r="N65" s="420" t="s">
        <v>200</v>
      </c>
      <c r="O65" s="401" t="s">
        <v>321</v>
      </c>
      <c r="P65" s="394" t="s">
        <v>400</v>
      </c>
      <c r="Q65" s="393" t="s">
        <v>313</v>
      </c>
      <c r="R65" s="393" t="s">
        <v>214</v>
      </c>
      <c r="S65" s="393" t="s">
        <v>37</v>
      </c>
      <c r="T65" s="393" t="s">
        <v>214</v>
      </c>
      <c r="U65" s="393" t="s">
        <v>315</v>
      </c>
      <c r="V65" s="393" t="s">
        <v>314</v>
      </c>
      <c r="W65" s="395" t="s">
        <v>42</v>
      </c>
      <c r="X65" s="383"/>
      <c r="Y65" s="383"/>
      <c r="Z65" s="383"/>
      <c r="AA65" s="383"/>
      <c r="AB65" s="383"/>
      <c r="AC65" s="383"/>
      <c r="AD65" s="393" t="s">
        <v>397</v>
      </c>
    </row>
    <row r="66" spans="13:30">
      <c r="M66" s="45"/>
      <c r="N66" s="389"/>
      <c r="O66" s="389" t="s">
        <v>317</v>
      </c>
      <c r="P66" s="459" t="str">
        <f>CONCATENATE(P65,AB$5)</f>
        <v>9920-201338Ch</v>
      </c>
      <c r="Q66" s="393" t="s">
        <v>301</v>
      </c>
      <c r="R66" s="393" t="s">
        <v>255</v>
      </c>
      <c r="S66" s="393" t="s">
        <v>298</v>
      </c>
      <c r="T66" s="393" t="s">
        <v>255</v>
      </c>
      <c r="U66" s="393" t="s">
        <v>296</v>
      </c>
      <c r="V66" s="393" t="s">
        <v>295</v>
      </c>
      <c r="W66" s="395" t="s">
        <v>303</v>
      </c>
      <c r="X66" s="380"/>
      <c r="Y66" s="380"/>
      <c r="Z66" s="380"/>
      <c r="AA66" s="380"/>
      <c r="AB66" s="380"/>
      <c r="AC66" s="380"/>
      <c r="AD66" s="403"/>
    </row>
    <row r="67" spans="13:30">
      <c r="M67" s="45"/>
      <c r="N67" s="389"/>
      <c r="O67" s="389" t="s">
        <v>318</v>
      </c>
      <c r="P67" s="459" t="str">
        <f>CONCATENATE(P65,AB$6)</f>
        <v>9920-201338Cl</v>
      </c>
      <c r="Q67" s="393" t="s">
        <v>255</v>
      </c>
      <c r="R67" s="393" t="s">
        <v>255</v>
      </c>
      <c r="S67" s="393" t="s">
        <v>255</v>
      </c>
      <c r="T67" s="393" t="s">
        <v>255</v>
      </c>
      <c r="U67" s="393" t="s">
        <v>255</v>
      </c>
      <c r="V67" s="393" t="s">
        <v>299</v>
      </c>
      <c r="W67" s="395" t="s">
        <v>255</v>
      </c>
      <c r="X67" s="380"/>
      <c r="Y67" s="380"/>
      <c r="Z67" s="380"/>
      <c r="AA67" s="380"/>
      <c r="AB67" s="380"/>
      <c r="AC67" s="380"/>
      <c r="AD67" s="403"/>
    </row>
    <row r="68" spans="13:30">
      <c r="M68" s="234"/>
      <c r="N68" s="422"/>
      <c r="O68" s="407" t="s">
        <v>324</v>
      </c>
      <c r="P68" s="528" t="str">
        <f>CONCATENATE(P65,AB$7)</f>
        <v>9920-201338F</v>
      </c>
      <c r="Q68" s="396" t="s">
        <v>133</v>
      </c>
      <c r="R68" s="396" t="s">
        <v>255</v>
      </c>
      <c r="S68" s="396" t="s">
        <v>131</v>
      </c>
      <c r="T68" s="396" t="s">
        <v>255</v>
      </c>
      <c r="U68" s="396" t="s">
        <v>133</v>
      </c>
      <c r="V68" s="396" t="s">
        <v>133</v>
      </c>
      <c r="W68" s="397" t="s">
        <v>135</v>
      </c>
      <c r="X68" s="381"/>
      <c r="Y68" s="381"/>
      <c r="Z68" s="381"/>
      <c r="AA68" s="381"/>
      <c r="AB68" s="381"/>
      <c r="AC68" s="381"/>
      <c r="AD68" s="382"/>
    </row>
    <row r="69" spans="13:30">
      <c r="M69" s="376"/>
      <c r="N69" s="420" t="s">
        <v>200</v>
      </c>
      <c r="O69" s="401" t="s">
        <v>321</v>
      </c>
      <c r="P69" s="627" t="s">
        <v>468</v>
      </c>
      <c r="Q69" s="393" t="s">
        <v>313</v>
      </c>
      <c r="R69" s="391" t="s">
        <v>214</v>
      </c>
      <c r="S69" s="393" t="s">
        <v>37</v>
      </c>
      <c r="T69" s="391" t="s">
        <v>214</v>
      </c>
      <c r="U69" s="393" t="s">
        <v>315</v>
      </c>
      <c r="V69" s="393" t="s">
        <v>314</v>
      </c>
      <c r="W69" s="395" t="s">
        <v>42</v>
      </c>
      <c r="X69" s="383"/>
      <c r="Y69" s="383"/>
      <c r="Z69" s="383"/>
      <c r="AA69" s="383"/>
      <c r="AB69" s="383"/>
      <c r="AC69" s="383"/>
      <c r="AD69" s="393" t="s">
        <v>470</v>
      </c>
    </row>
    <row r="70" spans="13:30">
      <c r="M70" s="45"/>
      <c r="N70" s="389"/>
      <c r="O70" s="389" t="s">
        <v>317</v>
      </c>
      <c r="P70" s="459" t="str">
        <f>CONCATENATE(P69,AB$5)</f>
        <v>9920-201357Ch</v>
      </c>
      <c r="Q70" s="393" t="s">
        <v>301</v>
      </c>
      <c r="R70" s="393" t="s">
        <v>255</v>
      </c>
      <c r="S70" s="393" t="s">
        <v>298</v>
      </c>
      <c r="T70" s="393" t="s">
        <v>255</v>
      </c>
      <c r="U70" s="393" t="s">
        <v>296</v>
      </c>
      <c r="V70" s="393" t="s">
        <v>295</v>
      </c>
      <c r="W70" s="395" t="s">
        <v>303</v>
      </c>
      <c r="X70" s="380"/>
      <c r="Y70" s="380"/>
      <c r="Z70" s="380"/>
      <c r="AA70" s="380"/>
      <c r="AB70" s="380"/>
      <c r="AC70" s="380"/>
      <c r="AD70" s="403"/>
    </row>
    <row r="71" spans="13:30">
      <c r="M71" s="45"/>
      <c r="N71" s="389"/>
      <c r="O71" s="389" t="s">
        <v>318</v>
      </c>
      <c r="P71" s="459" t="str">
        <f>CONCATENATE(P69,AB$6)</f>
        <v>9920-201357Cl</v>
      </c>
      <c r="Q71" s="393" t="s">
        <v>255</v>
      </c>
      <c r="R71" s="393" t="s">
        <v>255</v>
      </c>
      <c r="S71" s="393" t="s">
        <v>255</v>
      </c>
      <c r="T71" s="393" t="s">
        <v>255</v>
      </c>
      <c r="U71" s="393" t="s">
        <v>255</v>
      </c>
      <c r="V71" s="393" t="s">
        <v>299</v>
      </c>
      <c r="W71" s="395" t="s">
        <v>255</v>
      </c>
      <c r="X71" s="380"/>
      <c r="Y71" s="380"/>
      <c r="Z71" s="380"/>
      <c r="AA71" s="380"/>
      <c r="AB71" s="380"/>
      <c r="AC71" s="380"/>
      <c r="AD71" s="403"/>
    </row>
    <row r="72" spans="13:30">
      <c r="M72" s="234"/>
      <c r="N72" s="422"/>
      <c r="O72" s="406" t="s">
        <v>324</v>
      </c>
      <c r="P72" s="459" t="str">
        <f>CONCATENATE(P69,AB$7)</f>
        <v>9920-201357F</v>
      </c>
      <c r="Q72" s="393" t="s">
        <v>133</v>
      </c>
      <c r="R72" s="393" t="s">
        <v>255</v>
      </c>
      <c r="S72" s="393" t="s">
        <v>131</v>
      </c>
      <c r="T72" s="393" t="s">
        <v>255</v>
      </c>
      <c r="U72" s="393" t="s">
        <v>133</v>
      </c>
      <c r="V72" s="393" t="s">
        <v>133</v>
      </c>
      <c r="W72" s="395" t="s">
        <v>135</v>
      </c>
      <c r="X72" s="380"/>
      <c r="Y72" s="380"/>
      <c r="Z72" s="380"/>
      <c r="AA72" s="380"/>
      <c r="AB72" s="380"/>
      <c r="AC72" s="380"/>
      <c r="AD72" s="628"/>
    </row>
    <row r="73" spans="13:30">
      <c r="M73" s="376"/>
      <c r="N73" s="420" t="s">
        <v>200</v>
      </c>
      <c r="O73" s="402" t="s">
        <v>320</v>
      </c>
      <c r="P73" s="460" t="s">
        <v>293</v>
      </c>
      <c r="Q73" s="391" t="s">
        <v>313</v>
      </c>
      <c r="R73" s="391" t="s">
        <v>36</v>
      </c>
      <c r="S73" s="391" t="s">
        <v>37</v>
      </c>
      <c r="T73" s="391" t="s">
        <v>38</v>
      </c>
      <c r="U73" s="391" t="s">
        <v>315</v>
      </c>
      <c r="V73" s="391" t="s">
        <v>314</v>
      </c>
      <c r="W73" s="392" t="s">
        <v>42</v>
      </c>
      <c r="X73" s="501"/>
      <c r="Y73" s="501"/>
      <c r="Z73" s="501"/>
      <c r="AA73" s="501"/>
      <c r="AB73" s="501"/>
      <c r="AC73" s="501"/>
      <c r="AD73" s="391" t="s">
        <v>351</v>
      </c>
    </row>
    <row r="74" spans="13:30">
      <c r="M74" s="45"/>
      <c r="N74" s="389"/>
      <c r="O74" s="389" t="s">
        <v>317</v>
      </c>
      <c r="P74" s="459" t="s">
        <v>383</v>
      </c>
      <c r="Q74" s="393" t="s">
        <v>301</v>
      </c>
      <c r="R74" s="393" t="s">
        <v>295</v>
      </c>
      <c r="S74" s="393" t="s">
        <v>298</v>
      </c>
      <c r="T74" s="393" t="s">
        <v>297</v>
      </c>
      <c r="U74" s="393" t="s">
        <v>296</v>
      </c>
      <c r="V74" s="393" t="s">
        <v>255</v>
      </c>
      <c r="W74" s="395" t="s">
        <v>303</v>
      </c>
      <c r="X74" s="380"/>
      <c r="Y74" s="380"/>
      <c r="Z74" s="380"/>
      <c r="AA74" s="380"/>
      <c r="AB74" s="380"/>
      <c r="AC74" s="380"/>
      <c r="AD74" s="403"/>
    </row>
    <row r="75" spans="13:30">
      <c r="M75" s="45"/>
      <c r="N75" s="389"/>
      <c r="O75" s="389" t="s">
        <v>318</v>
      </c>
      <c r="P75" s="459" t="s">
        <v>382</v>
      </c>
      <c r="Q75" s="393" t="s">
        <v>255</v>
      </c>
      <c r="R75" s="393" t="s">
        <v>255</v>
      </c>
      <c r="S75" s="393" t="s">
        <v>255</v>
      </c>
      <c r="T75" s="393" t="s">
        <v>302</v>
      </c>
      <c r="U75" s="393" t="s">
        <v>255</v>
      </c>
      <c r="V75" s="393" t="s">
        <v>299</v>
      </c>
      <c r="W75" s="395" t="s">
        <v>255</v>
      </c>
      <c r="X75" s="380"/>
      <c r="Y75" s="380"/>
      <c r="Z75" s="380"/>
      <c r="AA75" s="380"/>
      <c r="AB75" s="380"/>
      <c r="AC75" s="380"/>
      <c r="AD75" s="403"/>
    </row>
    <row r="76" spans="13:30">
      <c r="M76" s="234"/>
      <c r="N76" s="422"/>
      <c r="O76" s="406" t="s">
        <v>324</v>
      </c>
      <c r="P76" s="459" t="s">
        <v>381</v>
      </c>
      <c r="Q76" s="393" t="s">
        <v>133</v>
      </c>
      <c r="R76" s="393" t="s">
        <v>131</v>
      </c>
      <c r="S76" s="393" t="s">
        <v>132</v>
      </c>
      <c r="T76" s="393" t="s">
        <v>131</v>
      </c>
      <c r="U76" s="393" t="s">
        <v>133</v>
      </c>
      <c r="V76" s="393" t="s">
        <v>133</v>
      </c>
      <c r="W76" s="395" t="s">
        <v>135</v>
      </c>
      <c r="X76" s="381"/>
      <c r="Y76" s="381"/>
      <c r="Z76" s="381"/>
      <c r="AA76" s="381"/>
      <c r="AB76" s="381"/>
      <c r="AC76" s="381"/>
      <c r="AD76" s="382"/>
    </row>
    <row r="77" spans="13:30">
      <c r="M77" s="376"/>
      <c r="N77" s="420" t="s">
        <v>200</v>
      </c>
      <c r="O77" s="402" t="s">
        <v>320</v>
      </c>
      <c r="P77" s="460" t="s">
        <v>395</v>
      </c>
      <c r="Q77" s="391" t="s">
        <v>313</v>
      </c>
      <c r="R77" s="391" t="s">
        <v>36</v>
      </c>
      <c r="S77" s="391" t="s">
        <v>37</v>
      </c>
      <c r="T77" s="391" t="s">
        <v>38</v>
      </c>
      <c r="U77" s="391" t="s">
        <v>315</v>
      </c>
      <c r="V77" s="391" t="s">
        <v>314</v>
      </c>
      <c r="W77" s="392" t="s">
        <v>42</v>
      </c>
      <c r="X77" s="501"/>
      <c r="Y77" s="501"/>
      <c r="Z77" s="501"/>
      <c r="AA77" s="501"/>
      <c r="AB77" s="501"/>
      <c r="AC77" s="501"/>
      <c r="AD77" s="391" t="s">
        <v>394</v>
      </c>
    </row>
    <row r="78" spans="13:30">
      <c r="M78" s="45"/>
      <c r="N78" s="389"/>
      <c r="O78" s="389" t="s">
        <v>317</v>
      </c>
      <c r="P78" s="459" t="s">
        <v>383</v>
      </c>
      <c r="Q78" s="393" t="s">
        <v>301</v>
      </c>
      <c r="R78" s="393" t="s">
        <v>295</v>
      </c>
      <c r="S78" s="393" t="s">
        <v>298</v>
      </c>
      <c r="T78" s="393" t="s">
        <v>297</v>
      </c>
      <c r="U78" s="393" t="s">
        <v>296</v>
      </c>
      <c r="V78" s="393" t="s">
        <v>255</v>
      </c>
      <c r="W78" s="395" t="s">
        <v>303</v>
      </c>
      <c r="X78" s="380"/>
      <c r="Y78" s="380"/>
      <c r="Z78" s="380"/>
      <c r="AA78" s="380"/>
      <c r="AB78" s="380"/>
      <c r="AC78" s="380"/>
      <c r="AD78" s="403"/>
    </row>
    <row r="79" spans="13:30">
      <c r="M79" s="45"/>
      <c r="N79" s="389"/>
      <c r="O79" s="389" t="s">
        <v>318</v>
      </c>
      <c r="P79" s="459" t="s">
        <v>382</v>
      </c>
      <c r="Q79" s="393" t="s">
        <v>255</v>
      </c>
      <c r="R79" s="393" t="s">
        <v>255</v>
      </c>
      <c r="S79" s="393" t="s">
        <v>255</v>
      </c>
      <c r="T79" s="393" t="s">
        <v>302</v>
      </c>
      <c r="U79" s="393" t="s">
        <v>255</v>
      </c>
      <c r="V79" s="393" t="s">
        <v>299</v>
      </c>
      <c r="W79" s="395" t="s">
        <v>255</v>
      </c>
      <c r="X79" s="380"/>
      <c r="Y79" s="380"/>
      <c r="Z79" s="380"/>
      <c r="AA79" s="380"/>
      <c r="AB79" s="380"/>
      <c r="AC79" s="380"/>
      <c r="AD79" s="403"/>
    </row>
    <row r="80" spans="13:30">
      <c r="M80" s="234"/>
      <c r="N80" s="422"/>
      <c r="O80" s="406" t="s">
        <v>324</v>
      </c>
      <c r="P80" s="459" t="s">
        <v>381</v>
      </c>
      <c r="Q80" s="393" t="s">
        <v>133</v>
      </c>
      <c r="R80" s="393" t="s">
        <v>131</v>
      </c>
      <c r="S80" s="393" t="s">
        <v>132</v>
      </c>
      <c r="T80" s="393" t="s">
        <v>131</v>
      </c>
      <c r="U80" s="393" t="s">
        <v>133</v>
      </c>
      <c r="V80" s="393" t="s">
        <v>133</v>
      </c>
      <c r="W80" s="395" t="s">
        <v>135</v>
      </c>
      <c r="X80" s="381"/>
      <c r="Y80" s="381"/>
      <c r="Z80" s="381"/>
      <c r="AA80" s="381"/>
      <c r="AB80" s="381"/>
      <c r="AC80" s="381"/>
      <c r="AD80" s="382"/>
    </row>
    <row r="81" spans="13:30">
      <c r="M81" s="376"/>
      <c r="N81" s="420" t="s">
        <v>200</v>
      </c>
      <c r="O81" s="402" t="s">
        <v>320</v>
      </c>
      <c r="P81" s="460" t="s">
        <v>367</v>
      </c>
      <c r="Q81" s="391" t="s">
        <v>313</v>
      </c>
      <c r="R81" s="391" t="s">
        <v>36</v>
      </c>
      <c r="S81" s="391" t="s">
        <v>37</v>
      </c>
      <c r="T81" s="391" t="s">
        <v>38</v>
      </c>
      <c r="U81" s="391" t="s">
        <v>315</v>
      </c>
      <c r="V81" s="391" t="s">
        <v>314</v>
      </c>
      <c r="W81" s="392" t="s">
        <v>42</v>
      </c>
      <c r="X81" s="501"/>
      <c r="Y81" s="501"/>
      <c r="Z81" s="501"/>
      <c r="AA81" s="501"/>
      <c r="AB81" s="501"/>
      <c r="AC81" s="501"/>
      <c r="AD81" s="391" t="s">
        <v>352</v>
      </c>
    </row>
    <row r="82" spans="13:30">
      <c r="M82" s="45"/>
      <c r="N82" s="389"/>
      <c r="O82" s="389" t="s">
        <v>317</v>
      </c>
      <c r="P82" s="459" t="s">
        <v>380</v>
      </c>
      <c r="Q82" s="393" t="s">
        <v>301</v>
      </c>
      <c r="R82" s="393" t="s">
        <v>295</v>
      </c>
      <c r="S82" s="393" t="s">
        <v>298</v>
      </c>
      <c r="T82" s="393" t="s">
        <v>297</v>
      </c>
      <c r="U82" s="393" t="s">
        <v>296</v>
      </c>
      <c r="V82" s="393" t="s">
        <v>255</v>
      </c>
      <c r="W82" s="395" t="s">
        <v>303</v>
      </c>
      <c r="X82" s="380"/>
      <c r="Y82" s="380"/>
      <c r="Z82" s="380"/>
      <c r="AA82" s="380"/>
      <c r="AB82" s="380"/>
      <c r="AC82" s="380"/>
      <c r="AD82" s="403"/>
    </row>
    <row r="83" spans="13:30">
      <c r="M83" s="45"/>
      <c r="N83" s="389"/>
      <c r="O83" s="389" t="s">
        <v>318</v>
      </c>
      <c r="P83" s="459" t="s">
        <v>379</v>
      </c>
      <c r="Q83" s="393" t="s">
        <v>255</v>
      </c>
      <c r="R83" s="393" t="s">
        <v>255</v>
      </c>
      <c r="S83" s="393" t="s">
        <v>255</v>
      </c>
      <c r="T83" s="393" t="s">
        <v>302</v>
      </c>
      <c r="U83" s="393" t="s">
        <v>255</v>
      </c>
      <c r="V83" s="393" t="s">
        <v>299</v>
      </c>
      <c r="W83" s="395" t="s">
        <v>255</v>
      </c>
      <c r="X83" s="380"/>
      <c r="Y83" s="380"/>
      <c r="Z83" s="380"/>
      <c r="AA83" s="380"/>
      <c r="AB83" s="380"/>
      <c r="AC83" s="380"/>
      <c r="AD83" s="403"/>
    </row>
    <row r="84" spans="13:30">
      <c r="M84" s="234"/>
      <c r="N84" s="422"/>
      <c r="O84" s="406" t="s">
        <v>324</v>
      </c>
      <c r="P84" s="459" t="s">
        <v>378</v>
      </c>
      <c r="Q84" s="393" t="s">
        <v>133</v>
      </c>
      <c r="R84" s="393" t="s">
        <v>131</v>
      </c>
      <c r="S84" s="393" t="s">
        <v>132</v>
      </c>
      <c r="T84" s="393" t="s">
        <v>131</v>
      </c>
      <c r="U84" s="393" t="s">
        <v>133</v>
      </c>
      <c r="V84" s="393" t="s">
        <v>133</v>
      </c>
      <c r="W84" s="395" t="s">
        <v>135</v>
      </c>
      <c r="X84" s="381"/>
      <c r="Y84" s="381"/>
      <c r="Z84" s="381"/>
      <c r="AA84" s="381"/>
      <c r="AB84" s="381"/>
      <c r="AC84" s="381"/>
      <c r="AD84" s="382"/>
    </row>
    <row r="85" spans="13:30">
      <c r="M85" s="376"/>
      <c r="N85" s="420" t="s">
        <v>200</v>
      </c>
      <c r="O85" s="402" t="s">
        <v>320</v>
      </c>
      <c r="P85" s="460" t="s">
        <v>398</v>
      </c>
      <c r="Q85" s="391" t="s">
        <v>313</v>
      </c>
      <c r="R85" s="391" t="s">
        <v>36</v>
      </c>
      <c r="S85" s="391" t="s">
        <v>37</v>
      </c>
      <c r="T85" s="391" t="s">
        <v>38</v>
      </c>
      <c r="U85" s="391" t="s">
        <v>315</v>
      </c>
      <c r="V85" s="391" t="s">
        <v>314</v>
      </c>
      <c r="W85" s="392" t="s">
        <v>42</v>
      </c>
      <c r="X85" s="501"/>
      <c r="Y85" s="501"/>
      <c r="Z85" s="501"/>
      <c r="AA85" s="501"/>
      <c r="AB85" s="501"/>
      <c r="AC85" s="501"/>
      <c r="AD85" s="391" t="s">
        <v>399</v>
      </c>
    </row>
    <row r="86" spans="13:30">
      <c r="M86" s="45"/>
      <c r="N86" s="389"/>
      <c r="O86" s="389" t="s">
        <v>317</v>
      </c>
      <c r="P86" s="459" t="s">
        <v>380</v>
      </c>
      <c r="Q86" s="393" t="s">
        <v>301</v>
      </c>
      <c r="R86" s="393" t="s">
        <v>295</v>
      </c>
      <c r="S86" s="393" t="s">
        <v>298</v>
      </c>
      <c r="T86" s="393" t="s">
        <v>297</v>
      </c>
      <c r="U86" s="393" t="s">
        <v>296</v>
      </c>
      <c r="V86" s="393" t="s">
        <v>255</v>
      </c>
      <c r="W86" s="395" t="s">
        <v>303</v>
      </c>
      <c r="X86" s="380"/>
      <c r="Y86" s="380"/>
      <c r="Z86" s="380"/>
      <c r="AA86" s="380"/>
      <c r="AB86" s="380"/>
      <c r="AC86" s="380"/>
      <c r="AD86" s="403"/>
    </row>
    <row r="87" spans="13:30">
      <c r="M87" s="45"/>
      <c r="N87" s="389"/>
      <c r="O87" s="389" t="s">
        <v>318</v>
      </c>
      <c r="P87" s="459" t="s">
        <v>379</v>
      </c>
      <c r="Q87" s="393" t="s">
        <v>255</v>
      </c>
      <c r="R87" s="393" t="s">
        <v>255</v>
      </c>
      <c r="S87" s="393" t="s">
        <v>255</v>
      </c>
      <c r="T87" s="393" t="s">
        <v>302</v>
      </c>
      <c r="U87" s="393" t="s">
        <v>255</v>
      </c>
      <c r="V87" s="393" t="s">
        <v>299</v>
      </c>
      <c r="W87" s="395" t="s">
        <v>255</v>
      </c>
      <c r="X87" s="380"/>
      <c r="Y87" s="380"/>
      <c r="Z87" s="380"/>
      <c r="AA87" s="380"/>
      <c r="AB87" s="380"/>
      <c r="AC87" s="380"/>
      <c r="AD87" s="403"/>
    </row>
    <row r="88" spans="13:30">
      <c r="M88" s="234"/>
      <c r="N88" s="422"/>
      <c r="O88" s="406" t="s">
        <v>324</v>
      </c>
      <c r="P88" s="459" t="s">
        <v>378</v>
      </c>
      <c r="Q88" s="393" t="s">
        <v>133</v>
      </c>
      <c r="R88" s="393" t="s">
        <v>131</v>
      </c>
      <c r="S88" s="393" t="s">
        <v>132</v>
      </c>
      <c r="T88" s="393" t="s">
        <v>131</v>
      </c>
      <c r="U88" s="393" t="s">
        <v>133</v>
      </c>
      <c r="V88" s="393" t="s">
        <v>133</v>
      </c>
      <c r="W88" s="395" t="s">
        <v>135</v>
      </c>
      <c r="X88" s="381"/>
      <c r="Y88" s="381"/>
      <c r="Z88" s="381"/>
      <c r="AA88" s="381"/>
      <c r="AB88" s="381"/>
      <c r="AC88" s="381"/>
      <c r="AD88" s="382"/>
    </row>
    <row r="89" spans="13:30">
      <c r="M89" s="376"/>
      <c r="N89" s="420" t="s">
        <v>200</v>
      </c>
      <c r="O89" s="402" t="s">
        <v>320</v>
      </c>
      <c r="P89" s="623" t="s">
        <v>467</v>
      </c>
      <c r="Q89" s="391" t="s">
        <v>313</v>
      </c>
      <c r="R89" s="391" t="s">
        <v>36</v>
      </c>
      <c r="S89" s="391" t="s">
        <v>37</v>
      </c>
      <c r="T89" s="391" t="s">
        <v>38</v>
      </c>
      <c r="U89" s="391" t="s">
        <v>315</v>
      </c>
      <c r="V89" s="391" t="s">
        <v>314</v>
      </c>
      <c r="W89" s="392" t="s">
        <v>42</v>
      </c>
      <c r="X89" s="501"/>
      <c r="Y89" s="501"/>
      <c r="Z89" s="501"/>
      <c r="AA89" s="501"/>
      <c r="AB89" s="501"/>
      <c r="AC89" s="501"/>
      <c r="AD89" s="391" t="s">
        <v>469</v>
      </c>
    </row>
    <row r="90" spans="13:30">
      <c r="M90" s="45"/>
      <c r="N90" s="389"/>
      <c r="O90" s="389" t="s">
        <v>317</v>
      </c>
      <c r="P90" s="459" t="str">
        <f>CONCATENATE(P89,AB$5)</f>
        <v>9920-201345Ch</v>
      </c>
      <c r="Q90" s="393" t="s">
        <v>301</v>
      </c>
      <c r="R90" s="393" t="s">
        <v>295</v>
      </c>
      <c r="S90" s="393" t="s">
        <v>298</v>
      </c>
      <c r="T90" s="393" t="s">
        <v>297</v>
      </c>
      <c r="U90" s="393" t="s">
        <v>296</v>
      </c>
      <c r="V90" s="393" t="s">
        <v>255</v>
      </c>
      <c r="W90" s="395" t="s">
        <v>303</v>
      </c>
      <c r="X90" s="380"/>
      <c r="Y90" s="380"/>
      <c r="Z90" s="380"/>
      <c r="AA90" s="380"/>
      <c r="AB90" s="380"/>
      <c r="AC90" s="380"/>
      <c r="AD90" s="403"/>
    </row>
    <row r="91" spans="13:30">
      <c r="M91" s="45"/>
      <c r="N91" s="389"/>
      <c r="O91" s="389" t="s">
        <v>318</v>
      </c>
      <c r="P91" s="459" t="str">
        <f>CONCATENATE(P89,AB$6)</f>
        <v>9920-201345Cl</v>
      </c>
      <c r="Q91" s="393" t="s">
        <v>255</v>
      </c>
      <c r="R91" s="393" t="s">
        <v>255</v>
      </c>
      <c r="S91" s="393" t="s">
        <v>255</v>
      </c>
      <c r="T91" s="393" t="s">
        <v>302</v>
      </c>
      <c r="U91" s="393" t="s">
        <v>255</v>
      </c>
      <c r="V91" s="393" t="s">
        <v>299</v>
      </c>
      <c r="W91" s="395" t="s">
        <v>255</v>
      </c>
      <c r="X91" s="380"/>
      <c r="Y91" s="380"/>
      <c r="Z91" s="380"/>
      <c r="AA91" s="380"/>
      <c r="AB91" s="380"/>
      <c r="AC91" s="380"/>
      <c r="AD91" s="403"/>
    </row>
    <row r="92" spans="13:30">
      <c r="M92" s="234"/>
      <c r="N92" s="422"/>
      <c r="O92" s="406" t="s">
        <v>324</v>
      </c>
      <c r="P92" s="459" t="str">
        <f>CONCATENATE(P89,AB$7)</f>
        <v>9920-201345F</v>
      </c>
      <c r="Q92" s="393" t="s">
        <v>133</v>
      </c>
      <c r="R92" s="393" t="s">
        <v>131</v>
      </c>
      <c r="S92" s="393" t="s">
        <v>132</v>
      </c>
      <c r="T92" s="393" t="s">
        <v>131</v>
      </c>
      <c r="U92" s="393" t="s">
        <v>133</v>
      </c>
      <c r="V92" s="393" t="s">
        <v>133</v>
      </c>
      <c r="W92" s="395" t="s">
        <v>135</v>
      </c>
      <c r="X92" s="381"/>
      <c r="Y92" s="381"/>
      <c r="Z92" s="381"/>
      <c r="AA92" s="381"/>
      <c r="AB92" s="381"/>
      <c r="AC92" s="381"/>
      <c r="AD92" s="382"/>
    </row>
    <row r="93" spans="13:30">
      <c r="M93" s="587"/>
      <c r="N93" s="588" t="s">
        <v>200</v>
      </c>
      <c r="O93" s="589" t="s">
        <v>416</v>
      </c>
      <c r="P93" s="590" t="s">
        <v>459</v>
      </c>
      <c r="Q93" s="591" t="s">
        <v>545</v>
      </c>
      <c r="R93" s="591" t="s">
        <v>36</v>
      </c>
      <c r="S93" s="591" t="s">
        <v>37</v>
      </c>
      <c r="T93" s="591" t="s">
        <v>38</v>
      </c>
      <c r="U93" s="591" t="s">
        <v>546</v>
      </c>
      <c r="V93" s="591" t="s">
        <v>547</v>
      </c>
      <c r="W93" s="592" t="s">
        <v>255</v>
      </c>
      <c r="X93" s="593"/>
      <c r="Y93" s="593"/>
      <c r="Z93" s="593"/>
      <c r="AA93" s="593"/>
      <c r="AB93" s="593"/>
      <c r="AC93" s="593"/>
      <c r="AD93" s="561" t="s">
        <v>471</v>
      </c>
    </row>
    <row r="94" spans="13:30">
      <c r="M94" s="594"/>
      <c r="N94" s="573"/>
      <c r="O94" s="573" t="s">
        <v>317</v>
      </c>
      <c r="P94" s="574" t="s">
        <v>460</v>
      </c>
      <c r="Q94" s="564" t="s">
        <v>301</v>
      </c>
      <c r="R94" s="564" t="s">
        <v>295</v>
      </c>
      <c r="S94" s="564" t="s">
        <v>298</v>
      </c>
      <c r="T94" s="564" t="s">
        <v>297</v>
      </c>
      <c r="U94" s="564" t="s">
        <v>296</v>
      </c>
      <c r="V94" s="564" t="s">
        <v>255</v>
      </c>
      <c r="W94" s="595" t="s">
        <v>255</v>
      </c>
      <c r="X94" s="596"/>
      <c r="Y94" s="596"/>
      <c r="Z94" s="596"/>
      <c r="AA94" s="596"/>
      <c r="AB94" s="596"/>
      <c r="AC94" s="596"/>
      <c r="AD94" s="566"/>
    </row>
    <row r="95" spans="13:30">
      <c r="M95" s="594"/>
      <c r="N95" s="573"/>
      <c r="O95" s="573" t="s">
        <v>318</v>
      </c>
      <c r="P95" s="574" t="s">
        <v>461</v>
      </c>
      <c r="Q95" s="564" t="s">
        <v>255</v>
      </c>
      <c r="R95" s="564" t="s">
        <v>255</v>
      </c>
      <c r="S95" s="564" t="s">
        <v>255</v>
      </c>
      <c r="T95" s="564" t="s">
        <v>302</v>
      </c>
      <c r="U95" s="564" t="s">
        <v>255</v>
      </c>
      <c r="V95" s="564" t="s">
        <v>299</v>
      </c>
      <c r="W95" s="595" t="s">
        <v>255</v>
      </c>
      <c r="X95" s="596"/>
      <c r="Y95" s="596"/>
      <c r="Z95" s="596"/>
      <c r="AA95" s="596"/>
      <c r="AB95" s="596"/>
      <c r="AC95" s="596"/>
      <c r="AD95" s="566"/>
    </row>
    <row r="96" spans="13:30">
      <c r="M96" s="597"/>
      <c r="N96" s="598"/>
      <c r="O96" s="599" t="s">
        <v>324</v>
      </c>
      <c r="P96" s="574" t="s">
        <v>550</v>
      </c>
      <c r="Q96" s="564" t="s">
        <v>133</v>
      </c>
      <c r="R96" s="564" t="s">
        <v>131</v>
      </c>
      <c r="S96" s="564" t="s">
        <v>132</v>
      </c>
      <c r="T96" s="564" t="s">
        <v>131</v>
      </c>
      <c r="U96" s="564" t="s">
        <v>133</v>
      </c>
      <c r="V96" s="564" t="s">
        <v>133</v>
      </c>
      <c r="W96" s="709" t="s">
        <v>255</v>
      </c>
      <c r="X96" s="600"/>
      <c r="Y96" s="600"/>
      <c r="Z96" s="600"/>
      <c r="AA96" s="600"/>
      <c r="AB96" s="600"/>
      <c r="AC96" s="600"/>
      <c r="AD96" s="568"/>
    </row>
    <row r="97" spans="13:30">
      <c r="M97" s="587"/>
      <c r="N97" s="588" t="s">
        <v>200</v>
      </c>
      <c r="O97" s="589" t="s">
        <v>416</v>
      </c>
      <c r="P97" s="590" t="s">
        <v>540</v>
      </c>
      <c r="Q97" s="591" t="s">
        <v>545</v>
      </c>
      <c r="R97" s="591" t="s">
        <v>36</v>
      </c>
      <c r="S97" s="591" t="s">
        <v>37</v>
      </c>
      <c r="T97" s="591" t="s">
        <v>38</v>
      </c>
      <c r="U97" s="591" t="s">
        <v>546</v>
      </c>
      <c r="V97" s="591" t="s">
        <v>547</v>
      </c>
      <c r="W97" s="595" t="s">
        <v>255</v>
      </c>
      <c r="X97" s="593"/>
      <c r="Y97" s="593"/>
      <c r="Z97" s="593"/>
      <c r="AA97" s="593"/>
      <c r="AB97" s="593"/>
      <c r="AC97" s="593"/>
      <c r="AD97" s="561" t="s">
        <v>543</v>
      </c>
    </row>
    <row r="98" spans="13:30">
      <c r="M98" s="594"/>
      <c r="N98" s="573"/>
      <c r="O98" s="573" t="s">
        <v>317</v>
      </c>
      <c r="P98" s="574" t="s">
        <v>541</v>
      </c>
      <c r="Q98" s="564" t="s">
        <v>297</v>
      </c>
      <c r="R98" s="564" t="s">
        <v>295</v>
      </c>
      <c r="S98" s="564" t="s">
        <v>296</v>
      </c>
      <c r="T98" s="564" t="s">
        <v>255</v>
      </c>
      <c r="U98" s="564" t="s">
        <v>298</v>
      </c>
      <c r="V98" s="564" t="s">
        <v>255</v>
      </c>
      <c r="W98" s="595" t="s">
        <v>255</v>
      </c>
      <c r="X98" s="596"/>
      <c r="Y98" s="596"/>
      <c r="Z98" s="596"/>
      <c r="AA98" s="596"/>
      <c r="AB98" s="596"/>
      <c r="AC98" s="596"/>
      <c r="AD98" s="566"/>
    </row>
    <row r="99" spans="13:30">
      <c r="M99" s="594"/>
      <c r="N99" s="573"/>
      <c r="O99" s="573" t="s">
        <v>318</v>
      </c>
      <c r="P99" s="574" t="s">
        <v>542</v>
      </c>
      <c r="Q99" s="564" t="s">
        <v>255</v>
      </c>
      <c r="R99" s="564" t="s">
        <v>255</v>
      </c>
      <c r="S99" s="564" t="s">
        <v>255</v>
      </c>
      <c r="T99" s="564" t="s">
        <v>548</v>
      </c>
      <c r="U99" s="564" t="s">
        <v>255</v>
      </c>
      <c r="V99" s="564" t="s">
        <v>299</v>
      </c>
      <c r="W99" s="595" t="s">
        <v>255</v>
      </c>
      <c r="X99" s="596"/>
      <c r="Y99" s="596"/>
      <c r="Z99" s="596"/>
      <c r="AA99" s="596"/>
      <c r="AB99" s="596"/>
      <c r="AC99" s="596"/>
      <c r="AD99" s="566"/>
    </row>
    <row r="100" spans="13:30" ht="15.75" thickBot="1">
      <c r="M100" s="597"/>
      <c r="N100" s="598"/>
      <c r="O100" s="599" t="s">
        <v>324</v>
      </c>
      <c r="P100" s="574" t="s">
        <v>549</v>
      </c>
      <c r="Q100" s="564" t="s">
        <v>133</v>
      </c>
      <c r="R100" s="564" t="s">
        <v>131</v>
      </c>
      <c r="S100" s="564" t="s">
        <v>132</v>
      </c>
      <c r="T100" s="564" t="s">
        <v>133</v>
      </c>
      <c r="U100" s="564" t="s">
        <v>133</v>
      </c>
      <c r="V100" s="564" t="s">
        <v>133</v>
      </c>
      <c r="W100" s="595" t="s">
        <v>255</v>
      </c>
      <c r="X100" s="600"/>
      <c r="Y100" s="600"/>
      <c r="Z100" s="600"/>
      <c r="AA100" s="600"/>
      <c r="AB100" s="600"/>
      <c r="AC100" s="600"/>
      <c r="AD100" s="568"/>
    </row>
    <row r="101" spans="13:30" ht="15.75" thickTop="1">
      <c r="M101" s="51" t="s">
        <v>216</v>
      </c>
      <c r="N101" s="427"/>
      <c r="O101" s="322"/>
      <c r="P101" s="461" t="s">
        <v>214</v>
      </c>
      <c r="Q101" s="322"/>
      <c r="R101" s="52"/>
      <c r="S101" s="52"/>
      <c r="T101" s="52"/>
      <c r="U101" s="52"/>
      <c r="V101" s="52"/>
      <c r="W101" s="323" t="s">
        <v>214</v>
      </c>
      <c r="X101" s="323" t="s">
        <v>214</v>
      </c>
      <c r="Y101" s="323" t="s">
        <v>214</v>
      </c>
      <c r="Z101" s="323" t="s">
        <v>214</v>
      </c>
      <c r="AA101" s="323" t="s">
        <v>214</v>
      </c>
      <c r="AB101" s="323" t="s">
        <v>214</v>
      </c>
      <c r="AC101" s="323" t="s">
        <v>214</v>
      </c>
      <c r="AD101" s="334"/>
    </row>
    <row r="102" spans="13:30">
      <c r="M102" s="235"/>
      <c r="N102" s="428"/>
      <c r="O102" s="324"/>
      <c r="P102" s="462"/>
      <c r="Q102" s="324"/>
      <c r="R102" s="54"/>
      <c r="S102" s="54"/>
      <c r="T102" s="54"/>
      <c r="U102" s="54"/>
      <c r="V102" s="54"/>
      <c r="W102" s="325"/>
      <c r="X102" s="325"/>
      <c r="Y102" s="325"/>
      <c r="Z102" s="325"/>
      <c r="AA102" s="325"/>
      <c r="AB102" s="325"/>
      <c r="AC102" s="325"/>
      <c r="AD102" s="333"/>
    </row>
    <row r="103" spans="13:30">
      <c r="N103" s="429" t="s">
        <v>184</v>
      </c>
      <c r="O103" s="43" t="s">
        <v>236</v>
      </c>
      <c r="P103" s="463" t="s">
        <v>226</v>
      </c>
      <c r="Q103" s="326"/>
      <c r="R103" s="53"/>
      <c r="S103" s="53"/>
      <c r="T103" s="53"/>
      <c r="U103" s="53"/>
      <c r="V103" s="53"/>
      <c r="W103" s="43" t="s">
        <v>39</v>
      </c>
      <c r="X103" s="43" t="s">
        <v>214</v>
      </c>
      <c r="Y103" s="43" t="s">
        <v>253</v>
      </c>
      <c r="Z103" s="43" t="s">
        <v>214</v>
      </c>
      <c r="AA103" s="43" t="s">
        <v>214</v>
      </c>
      <c r="AB103" s="43" t="s">
        <v>214</v>
      </c>
      <c r="AC103" s="43" t="s">
        <v>214</v>
      </c>
      <c r="AD103" s="331" t="s">
        <v>278</v>
      </c>
    </row>
    <row r="104" spans="13:30">
      <c r="N104" s="429"/>
      <c r="O104" s="573" t="s">
        <v>317</v>
      </c>
      <c r="P104" s="574" t="s">
        <v>430</v>
      </c>
      <c r="Q104" s="326"/>
      <c r="R104" s="53"/>
      <c r="S104" s="53"/>
      <c r="T104" s="53"/>
      <c r="U104" s="53"/>
      <c r="V104" s="53"/>
      <c r="W104" s="565" t="s">
        <v>426</v>
      </c>
      <c r="X104" s="565" t="s">
        <v>255</v>
      </c>
      <c r="Y104" s="565" t="s">
        <v>423</v>
      </c>
      <c r="Z104" s="565" t="s">
        <v>255</v>
      </c>
      <c r="AA104" s="565" t="s">
        <v>255</v>
      </c>
      <c r="AB104" s="565" t="s">
        <v>255</v>
      </c>
      <c r="AC104" s="565" t="s">
        <v>255</v>
      </c>
      <c r="AD104" s="331"/>
    </row>
    <row r="105" spans="13:30">
      <c r="N105" s="429"/>
      <c r="O105" s="573" t="s">
        <v>318</v>
      </c>
      <c r="P105" s="574" t="s">
        <v>429</v>
      </c>
      <c r="Q105" s="326"/>
      <c r="R105" s="53"/>
      <c r="S105" s="53"/>
      <c r="T105" s="53"/>
      <c r="U105" s="53"/>
      <c r="V105" s="53"/>
      <c r="W105" s="565" t="s">
        <v>255</v>
      </c>
      <c r="X105" s="565" t="s">
        <v>255</v>
      </c>
      <c r="Y105" s="565" t="s">
        <v>428</v>
      </c>
      <c r="Z105" s="565" t="s">
        <v>255</v>
      </c>
      <c r="AA105" s="565" t="s">
        <v>255</v>
      </c>
      <c r="AB105" s="565" t="s">
        <v>255</v>
      </c>
      <c r="AC105" s="565" t="s">
        <v>255</v>
      </c>
      <c r="AD105" s="331"/>
    </row>
    <row r="106" spans="13:30">
      <c r="M106" s="47"/>
      <c r="N106" s="428"/>
      <c r="O106" s="325"/>
      <c r="P106" s="462" t="s">
        <v>242</v>
      </c>
      <c r="Q106" s="324"/>
      <c r="R106" s="54"/>
      <c r="S106" s="54"/>
      <c r="T106" s="54"/>
      <c r="U106" s="54"/>
      <c r="V106" s="54"/>
      <c r="W106" s="325" t="s">
        <v>134</v>
      </c>
      <c r="X106" s="325" t="s">
        <v>255</v>
      </c>
      <c r="Y106" s="325" t="s">
        <v>134</v>
      </c>
      <c r="Z106" s="325" t="s">
        <v>255</v>
      </c>
      <c r="AA106" s="325" t="s">
        <v>255</v>
      </c>
      <c r="AB106" s="325" t="s">
        <v>255</v>
      </c>
      <c r="AC106" s="325" t="s">
        <v>255</v>
      </c>
      <c r="AD106" s="333"/>
    </row>
    <row r="107" spans="13:30">
      <c r="N107" s="429" t="s">
        <v>184</v>
      </c>
      <c r="O107" s="43" t="s">
        <v>236</v>
      </c>
      <c r="P107" s="463" t="s">
        <v>256</v>
      </c>
      <c r="Q107" s="326"/>
      <c r="R107" s="53"/>
      <c r="S107" s="53"/>
      <c r="T107" s="53"/>
      <c r="U107" s="53"/>
      <c r="V107" s="53"/>
      <c r="W107" s="43" t="s">
        <v>39</v>
      </c>
      <c r="X107" s="43" t="s">
        <v>40</v>
      </c>
      <c r="Y107" s="43" t="s">
        <v>214</v>
      </c>
      <c r="Z107" s="43" t="s">
        <v>214</v>
      </c>
      <c r="AA107" s="43" t="s">
        <v>214</v>
      </c>
      <c r="AB107" s="43" t="s">
        <v>214</v>
      </c>
      <c r="AC107" s="43" t="s">
        <v>214</v>
      </c>
      <c r="AD107" s="331" t="s">
        <v>269</v>
      </c>
    </row>
    <row r="108" spans="13:30">
      <c r="N108" s="429"/>
      <c r="O108" s="573" t="s">
        <v>317</v>
      </c>
      <c r="P108" s="574" t="s">
        <v>431</v>
      </c>
      <c r="Q108" s="326"/>
      <c r="R108" s="53"/>
      <c r="S108" s="53"/>
      <c r="T108" s="53"/>
      <c r="U108" s="53"/>
      <c r="V108" s="53"/>
      <c r="W108" s="43" t="s">
        <v>426</v>
      </c>
      <c r="X108" s="43" t="s">
        <v>423</v>
      </c>
      <c r="Y108" s="43" t="s">
        <v>255</v>
      </c>
      <c r="Z108" s="43" t="s">
        <v>255</v>
      </c>
      <c r="AA108" s="43" t="s">
        <v>255</v>
      </c>
      <c r="AB108" s="43" t="s">
        <v>255</v>
      </c>
      <c r="AC108" s="43" t="s">
        <v>255</v>
      </c>
      <c r="AD108" s="331"/>
    </row>
    <row r="109" spans="13:30">
      <c r="N109" s="429"/>
      <c r="O109" s="573" t="s">
        <v>318</v>
      </c>
      <c r="P109" s="574" t="s">
        <v>432</v>
      </c>
      <c r="Q109" s="326"/>
      <c r="R109" s="53"/>
      <c r="S109" s="53"/>
      <c r="T109" s="53"/>
      <c r="U109" s="53"/>
      <c r="V109" s="53"/>
      <c r="W109" s="43" t="s">
        <v>428</v>
      </c>
      <c r="X109" s="43" t="s">
        <v>255</v>
      </c>
      <c r="Y109" s="43" t="s">
        <v>255</v>
      </c>
      <c r="Z109" s="43" t="s">
        <v>255</v>
      </c>
      <c r="AA109" s="43" t="s">
        <v>255</v>
      </c>
      <c r="AB109" s="43" t="s">
        <v>255</v>
      </c>
      <c r="AC109" s="43" t="s">
        <v>255</v>
      </c>
      <c r="AD109" s="331"/>
    </row>
    <row r="110" spans="13:30">
      <c r="M110" s="47"/>
      <c r="N110" s="428"/>
      <c r="O110" s="325"/>
      <c r="P110" s="462" t="s">
        <v>257</v>
      </c>
      <c r="Q110" s="324"/>
      <c r="R110" s="54"/>
      <c r="S110" s="54"/>
      <c r="T110" s="54"/>
      <c r="U110" s="54"/>
      <c r="V110" s="54"/>
      <c r="W110" s="325" t="s">
        <v>134</v>
      </c>
      <c r="X110" s="325" t="s">
        <v>134</v>
      </c>
      <c r="Y110" s="325" t="s">
        <v>255</v>
      </c>
      <c r="Z110" s="325" t="s">
        <v>255</v>
      </c>
      <c r="AA110" s="325" t="s">
        <v>255</v>
      </c>
      <c r="AB110" s="325" t="s">
        <v>255</v>
      </c>
      <c r="AC110" s="325" t="s">
        <v>255</v>
      </c>
      <c r="AD110" s="333"/>
    </row>
    <row r="111" spans="13:30">
      <c r="N111" s="429" t="s">
        <v>184</v>
      </c>
      <c r="O111" s="43" t="s">
        <v>237</v>
      </c>
      <c r="P111" s="463" t="s">
        <v>228</v>
      </c>
      <c r="Q111" s="326"/>
      <c r="R111" s="53"/>
      <c r="S111" s="53"/>
      <c r="T111" s="53"/>
      <c r="U111" s="53"/>
      <c r="V111" s="53"/>
      <c r="W111" s="43" t="s">
        <v>39</v>
      </c>
      <c r="X111" s="43" t="s">
        <v>40</v>
      </c>
      <c r="Y111" s="43" t="s">
        <v>214</v>
      </c>
      <c r="Z111" s="43" t="s">
        <v>43</v>
      </c>
      <c r="AA111" s="43" t="s">
        <v>253</v>
      </c>
      <c r="AB111" s="43" t="s">
        <v>214</v>
      </c>
      <c r="AC111" s="43" t="s">
        <v>214</v>
      </c>
      <c r="AD111" s="331" t="s">
        <v>239</v>
      </c>
    </row>
    <row r="112" spans="13:30">
      <c r="N112" s="429"/>
      <c r="O112" s="573" t="s">
        <v>317</v>
      </c>
      <c r="P112" s="574" t="s">
        <v>454</v>
      </c>
      <c r="Q112" s="326"/>
      <c r="R112" s="53"/>
      <c r="S112" s="53"/>
      <c r="T112" s="53"/>
      <c r="U112" s="53"/>
      <c r="V112" s="53"/>
      <c r="W112" s="585"/>
      <c r="X112" s="585"/>
      <c r="Y112" s="585"/>
      <c r="Z112" s="585"/>
      <c r="AA112" s="585"/>
      <c r="AB112" s="585"/>
      <c r="AC112" s="585"/>
      <c r="AD112" s="331"/>
    </row>
    <row r="113" spans="13:33">
      <c r="N113" s="429"/>
      <c r="O113" s="573" t="s">
        <v>318</v>
      </c>
      <c r="P113" s="574" t="s">
        <v>455</v>
      </c>
      <c r="Q113" s="326"/>
      <c r="R113" s="53"/>
      <c r="S113" s="53"/>
      <c r="T113" s="53"/>
      <c r="U113" s="53"/>
      <c r="V113" s="53"/>
      <c r="W113" s="585"/>
      <c r="X113" s="585"/>
      <c r="Y113" s="585"/>
      <c r="Z113" s="585"/>
      <c r="AA113" s="585"/>
      <c r="AB113" s="585"/>
      <c r="AC113" s="585"/>
      <c r="AD113" s="331"/>
    </row>
    <row r="114" spans="13:33">
      <c r="M114" s="47"/>
      <c r="N114" s="428"/>
      <c r="O114" s="325"/>
      <c r="P114" s="462" t="s">
        <v>243</v>
      </c>
      <c r="Q114" s="324"/>
      <c r="R114" s="54"/>
      <c r="S114" s="54"/>
      <c r="T114" s="54"/>
      <c r="U114" s="54"/>
      <c r="V114" s="54"/>
      <c r="W114" s="325" t="s">
        <v>134</v>
      </c>
      <c r="X114" s="325" t="s">
        <v>134</v>
      </c>
      <c r="Y114" s="325" t="s">
        <v>255</v>
      </c>
      <c r="Z114" s="325" t="s">
        <v>139</v>
      </c>
      <c r="AA114" s="325" t="s">
        <v>134</v>
      </c>
      <c r="AB114" s="325" t="s">
        <v>255</v>
      </c>
      <c r="AC114" s="325" t="s">
        <v>255</v>
      </c>
      <c r="AD114" s="333"/>
    </row>
    <row r="115" spans="13:33">
      <c r="N115" s="429" t="s">
        <v>184</v>
      </c>
      <c r="O115" s="43" t="s">
        <v>237</v>
      </c>
      <c r="P115" s="463" t="s">
        <v>212</v>
      </c>
      <c r="Q115" s="326"/>
      <c r="R115" s="53"/>
      <c r="S115" s="53"/>
      <c r="T115" s="53"/>
      <c r="U115" s="53"/>
      <c r="V115" s="53"/>
      <c r="W115" s="43" t="s">
        <v>39</v>
      </c>
      <c r="X115" s="43" t="s">
        <v>40</v>
      </c>
      <c r="Y115" s="43" t="s">
        <v>44</v>
      </c>
      <c r="Z115" s="43" t="s">
        <v>214</v>
      </c>
      <c r="AA115" s="43" t="s">
        <v>214</v>
      </c>
      <c r="AB115" s="43" t="s">
        <v>214</v>
      </c>
      <c r="AC115" s="43" t="s">
        <v>214</v>
      </c>
      <c r="AD115" s="331" t="s">
        <v>235</v>
      </c>
      <c r="AG115" s="584"/>
    </row>
    <row r="116" spans="13:33">
      <c r="N116" s="429"/>
      <c r="O116" s="573" t="s">
        <v>317</v>
      </c>
      <c r="P116" s="574" t="s">
        <v>449</v>
      </c>
      <c r="Q116" s="326"/>
      <c r="R116" s="53"/>
      <c r="S116" s="53"/>
      <c r="T116" s="53"/>
      <c r="U116" s="53"/>
      <c r="V116" s="53"/>
      <c r="W116" s="43" t="s">
        <v>255</v>
      </c>
      <c r="X116" s="43" t="s">
        <v>426</v>
      </c>
      <c r="Y116" s="43" t="s">
        <v>423</v>
      </c>
      <c r="Z116" s="43" t="s">
        <v>255</v>
      </c>
      <c r="AA116" s="43" t="s">
        <v>255</v>
      </c>
      <c r="AB116" s="43" t="s">
        <v>255</v>
      </c>
      <c r="AC116" s="43" t="s">
        <v>255</v>
      </c>
      <c r="AD116" s="331"/>
    </row>
    <row r="117" spans="13:33">
      <c r="N117" s="429"/>
      <c r="O117" s="573" t="s">
        <v>318</v>
      </c>
      <c r="P117" s="574" t="s">
        <v>450</v>
      </c>
      <c r="Q117" s="326"/>
      <c r="R117" s="53"/>
      <c r="S117" s="53"/>
      <c r="T117" s="53"/>
      <c r="U117" s="53"/>
      <c r="V117" s="53"/>
      <c r="W117" s="43" t="s">
        <v>428</v>
      </c>
      <c r="X117" s="43" t="s">
        <v>255</v>
      </c>
      <c r="Y117" s="43" t="s">
        <v>255</v>
      </c>
      <c r="Z117" s="43" t="s">
        <v>255</v>
      </c>
      <c r="AA117" s="43" t="s">
        <v>255</v>
      </c>
      <c r="AB117" s="43" t="s">
        <v>255</v>
      </c>
      <c r="AC117" s="43" t="s">
        <v>255</v>
      </c>
      <c r="AD117" s="331"/>
    </row>
    <row r="118" spans="13:33">
      <c r="M118" s="47"/>
      <c r="N118" s="428"/>
      <c r="O118" s="325"/>
      <c r="P118" s="462" t="s">
        <v>244</v>
      </c>
      <c r="Q118" s="324"/>
      <c r="R118" s="54"/>
      <c r="S118" s="54"/>
      <c r="T118" s="54"/>
      <c r="U118" s="54"/>
      <c r="V118" s="54"/>
      <c r="W118" s="325" t="s">
        <v>134</v>
      </c>
      <c r="X118" s="325" t="s">
        <v>134</v>
      </c>
      <c r="Y118" s="325" t="s">
        <v>134</v>
      </c>
      <c r="Z118" s="325" t="s">
        <v>255</v>
      </c>
      <c r="AA118" s="325" t="s">
        <v>255</v>
      </c>
      <c r="AB118" s="325" t="s">
        <v>255</v>
      </c>
      <c r="AC118" s="325" t="s">
        <v>255</v>
      </c>
      <c r="AD118" s="333"/>
    </row>
    <row r="119" spans="13:33">
      <c r="N119" s="429" t="s">
        <v>184</v>
      </c>
      <c r="O119" s="43" t="s">
        <v>237</v>
      </c>
      <c r="P119" s="463" t="s">
        <v>258</v>
      </c>
      <c r="Q119" s="326"/>
      <c r="R119" s="53"/>
      <c r="S119" s="53"/>
      <c r="T119" s="53"/>
      <c r="U119" s="53"/>
      <c r="V119" s="53"/>
      <c r="W119" s="563" t="s">
        <v>39</v>
      </c>
      <c r="X119" s="563" t="s">
        <v>40</v>
      </c>
      <c r="Y119" s="563" t="s">
        <v>44</v>
      </c>
      <c r="Z119" s="563" t="s">
        <v>43</v>
      </c>
      <c r="AA119" s="563" t="s">
        <v>253</v>
      </c>
      <c r="AB119" s="563" t="s">
        <v>214</v>
      </c>
      <c r="AC119" s="563" t="s">
        <v>214</v>
      </c>
      <c r="AD119" s="331" t="s">
        <v>235</v>
      </c>
    </row>
    <row r="120" spans="13:33">
      <c r="N120" s="429"/>
      <c r="O120" s="573" t="s">
        <v>317</v>
      </c>
      <c r="P120" s="574" t="s">
        <v>447</v>
      </c>
      <c r="Q120" s="326"/>
      <c r="R120" s="53"/>
      <c r="S120" s="53"/>
      <c r="T120" s="53"/>
      <c r="U120" s="53"/>
      <c r="V120" s="53"/>
      <c r="W120" s="563" t="s">
        <v>426</v>
      </c>
      <c r="X120" s="563" t="s">
        <v>422</v>
      </c>
      <c r="Y120" s="563" t="s">
        <v>423</v>
      </c>
      <c r="Z120" s="563" t="s">
        <v>255</v>
      </c>
      <c r="AA120" s="563" t="s">
        <v>255</v>
      </c>
      <c r="AB120" s="563" t="s">
        <v>255</v>
      </c>
      <c r="AC120" s="563" t="s">
        <v>255</v>
      </c>
      <c r="AD120" s="331"/>
    </row>
    <row r="121" spans="13:33">
      <c r="N121" s="429"/>
      <c r="O121" s="573" t="s">
        <v>318</v>
      </c>
      <c r="P121" s="574" t="s">
        <v>448</v>
      </c>
      <c r="Q121" s="326"/>
      <c r="R121" s="53"/>
      <c r="S121" s="53"/>
      <c r="T121" s="53"/>
      <c r="U121" s="53"/>
      <c r="V121" s="53"/>
      <c r="W121" s="563" t="s">
        <v>421</v>
      </c>
      <c r="X121" s="563" t="s">
        <v>255</v>
      </c>
      <c r="Y121" s="563" t="s">
        <v>255</v>
      </c>
      <c r="Z121" s="563" t="s">
        <v>255</v>
      </c>
      <c r="AA121" s="563" t="s">
        <v>255</v>
      </c>
      <c r="AB121" s="563" t="s">
        <v>255</v>
      </c>
      <c r="AC121" s="563" t="s">
        <v>255</v>
      </c>
      <c r="AD121" s="331"/>
    </row>
    <row r="122" spans="13:33">
      <c r="M122" s="47"/>
      <c r="N122" s="428"/>
      <c r="O122" s="325"/>
      <c r="P122" s="462" t="s">
        <v>259</v>
      </c>
      <c r="Q122" s="324"/>
      <c r="R122" s="54"/>
      <c r="S122" s="54"/>
      <c r="T122" s="54"/>
      <c r="U122" s="54"/>
      <c r="V122" s="54"/>
      <c r="W122" s="567" t="s">
        <v>134</v>
      </c>
      <c r="X122" s="567" t="s">
        <v>134</v>
      </c>
      <c r="Y122" s="567" t="s">
        <v>134</v>
      </c>
      <c r="Z122" s="567" t="s">
        <v>134</v>
      </c>
      <c r="AA122" s="567" t="s">
        <v>134</v>
      </c>
      <c r="AB122" s="567" t="s">
        <v>255</v>
      </c>
      <c r="AC122" s="567" t="s">
        <v>255</v>
      </c>
      <c r="AD122" s="333"/>
    </row>
    <row r="123" spans="13:33">
      <c r="N123" s="569" t="s">
        <v>184</v>
      </c>
      <c r="O123" s="563" t="s">
        <v>237</v>
      </c>
      <c r="P123" s="570" t="s">
        <v>446</v>
      </c>
      <c r="Q123" s="326"/>
      <c r="R123" s="53"/>
      <c r="S123" s="53"/>
      <c r="T123" s="53"/>
      <c r="U123" s="53"/>
      <c r="V123" s="53"/>
      <c r="W123" s="563" t="s">
        <v>39</v>
      </c>
      <c r="X123" s="563" t="s">
        <v>40</v>
      </c>
      <c r="Y123" s="563" t="s">
        <v>44</v>
      </c>
      <c r="Z123" s="563" t="s">
        <v>43</v>
      </c>
      <c r="AA123" s="563" t="s">
        <v>214</v>
      </c>
      <c r="AB123" s="563" t="s">
        <v>214</v>
      </c>
      <c r="AC123" s="563" t="s">
        <v>214</v>
      </c>
      <c r="AD123" s="564" t="s">
        <v>235</v>
      </c>
    </row>
    <row r="124" spans="13:33">
      <c r="N124" s="569"/>
      <c r="O124" s="573" t="s">
        <v>317</v>
      </c>
      <c r="P124" s="574" t="s">
        <v>451</v>
      </c>
      <c r="Q124" s="326"/>
      <c r="R124" s="53"/>
      <c r="S124" s="53"/>
      <c r="T124" s="53"/>
      <c r="U124" s="53"/>
      <c r="V124" s="53"/>
      <c r="W124" s="565" t="s">
        <v>255</v>
      </c>
      <c r="X124" s="565" t="s">
        <v>422</v>
      </c>
      <c r="Y124" s="565" t="s">
        <v>423</v>
      </c>
      <c r="Z124" s="565" t="s">
        <v>426</v>
      </c>
      <c r="AA124" s="565" t="s">
        <v>255</v>
      </c>
      <c r="AB124" s="565" t="s">
        <v>255</v>
      </c>
      <c r="AC124" s="565" t="s">
        <v>255</v>
      </c>
      <c r="AD124" s="566"/>
    </row>
    <row r="125" spans="13:33">
      <c r="N125" s="569"/>
      <c r="O125" s="573" t="s">
        <v>318</v>
      </c>
      <c r="P125" s="574" t="s">
        <v>452</v>
      </c>
      <c r="Q125" s="326"/>
      <c r="R125" s="53"/>
      <c r="S125" s="53"/>
      <c r="T125" s="53"/>
      <c r="U125" s="53"/>
      <c r="V125" s="53"/>
      <c r="W125" s="565" t="s">
        <v>421</v>
      </c>
      <c r="X125" s="565" t="s">
        <v>255</v>
      </c>
      <c r="Y125" s="565" t="s">
        <v>255</v>
      </c>
      <c r="Z125" s="565" t="s">
        <v>255</v>
      </c>
      <c r="AA125" s="565" t="s">
        <v>255</v>
      </c>
      <c r="AB125" s="565" t="s">
        <v>255</v>
      </c>
      <c r="AC125" s="565" t="s">
        <v>255</v>
      </c>
      <c r="AD125" s="566"/>
    </row>
    <row r="126" spans="13:33">
      <c r="M126" s="47"/>
      <c r="N126" s="571"/>
      <c r="O126" s="575" t="s">
        <v>324</v>
      </c>
      <c r="P126" s="572" t="s">
        <v>453</v>
      </c>
      <c r="Q126" s="324"/>
      <c r="R126" s="54"/>
      <c r="S126" s="54"/>
      <c r="T126" s="54"/>
      <c r="U126" s="54"/>
      <c r="V126" s="54"/>
      <c r="W126" s="567" t="s">
        <v>134</v>
      </c>
      <c r="X126" s="567" t="s">
        <v>134</v>
      </c>
      <c r="Y126" s="567" t="s">
        <v>134</v>
      </c>
      <c r="Z126" s="567" t="s">
        <v>134</v>
      </c>
      <c r="AA126" s="567" t="s">
        <v>255</v>
      </c>
      <c r="AB126" s="567" t="s">
        <v>255</v>
      </c>
      <c r="AC126" s="567" t="s">
        <v>255</v>
      </c>
      <c r="AD126" s="568"/>
    </row>
    <row r="127" spans="13:33">
      <c r="N127" s="569" t="s">
        <v>184</v>
      </c>
      <c r="O127" s="563" t="s">
        <v>260</v>
      </c>
      <c r="P127" s="570" t="s">
        <v>261</v>
      </c>
      <c r="Q127" s="326"/>
      <c r="R127" s="53"/>
      <c r="S127" s="53"/>
      <c r="T127" s="53"/>
      <c r="U127" s="53"/>
      <c r="V127" s="53"/>
      <c r="W127" s="563" t="s">
        <v>39</v>
      </c>
      <c r="X127" s="563" t="s">
        <v>40</v>
      </c>
      <c r="Y127" s="563" t="s">
        <v>44</v>
      </c>
      <c r="Z127" s="563" t="s">
        <v>43</v>
      </c>
      <c r="AA127" s="563" t="s">
        <v>214</v>
      </c>
      <c r="AB127" s="563" t="s">
        <v>214</v>
      </c>
      <c r="AC127" s="563" t="s">
        <v>214</v>
      </c>
      <c r="AD127" s="564" t="s">
        <v>235</v>
      </c>
    </row>
    <row r="128" spans="13:33">
      <c r="N128" s="569"/>
      <c r="O128" s="573" t="s">
        <v>317</v>
      </c>
      <c r="P128" s="574" t="s">
        <v>424</v>
      </c>
      <c r="Q128" s="326"/>
      <c r="R128" s="53"/>
      <c r="S128" s="53"/>
      <c r="T128" s="53"/>
      <c r="U128" s="53"/>
      <c r="V128" s="53"/>
      <c r="W128" s="565" t="s">
        <v>255</v>
      </c>
      <c r="X128" s="565" t="s">
        <v>422</v>
      </c>
      <c r="Y128" s="565" t="s">
        <v>423</v>
      </c>
      <c r="Z128" s="565" t="s">
        <v>426</v>
      </c>
      <c r="AA128" s="565" t="s">
        <v>255</v>
      </c>
      <c r="AB128" s="565" t="s">
        <v>255</v>
      </c>
      <c r="AC128" s="565" t="s">
        <v>255</v>
      </c>
      <c r="AD128" s="566"/>
    </row>
    <row r="129" spans="13:30">
      <c r="N129" s="569"/>
      <c r="O129" s="573" t="s">
        <v>318</v>
      </c>
      <c r="P129" s="574" t="s">
        <v>425</v>
      </c>
      <c r="Q129" s="326"/>
      <c r="R129" s="53"/>
      <c r="S129" s="53"/>
      <c r="T129" s="53"/>
      <c r="U129" s="53"/>
      <c r="V129" s="53"/>
      <c r="W129" s="565" t="s">
        <v>421</v>
      </c>
      <c r="X129" s="565" t="s">
        <v>255</v>
      </c>
      <c r="Y129" s="565" t="s">
        <v>255</v>
      </c>
      <c r="Z129" s="565" t="s">
        <v>255</v>
      </c>
      <c r="AA129" s="565" t="s">
        <v>255</v>
      </c>
      <c r="AB129" s="565" t="s">
        <v>255</v>
      </c>
      <c r="AC129" s="565" t="s">
        <v>255</v>
      </c>
      <c r="AD129" s="566"/>
    </row>
    <row r="130" spans="13:30">
      <c r="M130" s="47"/>
      <c r="N130" s="571"/>
      <c r="O130" s="575" t="s">
        <v>324</v>
      </c>
      <c r="P130" s="572" t="s">
        <v>266</v>
      </c>
      <c r="Q130" s="324"/>
      <c r="R130" s="54"/>
      <c r="S130" s="54"/>
      <c r="T130" s="54"/>
      <c r="U130" s="54"/>
      <c r="V130" s="54"/>
      <c r="W130" s="567" t="s">
        <v>134</v>
      </c>
      <c r="X130" s="567" t="s">
        <v>134</v>
      </c>
      <c r="Y130" s="567" t="s">
        <v>134</v>
      </c>
      <c r="Z130" s="567" t="s">
        <v>134</v>
      </c>
      <c r="AA130" s="567" t="s">
        <v>255</v>
      </c>
      <c r="AB130" s="567" t="s">
        <v>255</v>
      </c>
      <c r="AC130" s="567" t="s">
        <v>255</v>
      </c>
      <c r="AD130" s="568"/>
    </row>
    <row r="131" spans="13:30">
      <c r="N131" s="429" t="s">
        <v>184</v>
      </c>
      <c r="O131" s="43" t="s">
        <v>238</v>
      </c>
      <c r="P131" s="463" t="s">
        <v>224</v>
      </c>
      <c r="Q131" s="326"/>
      <c r="R131" s="53"/>
      <c r="S131" s="53"/>
      <c r="T131" s="53"/>
      <c r="U131" s="53"/>
      <c r="V131" s="53"/>
      <c r="W131" s="43" t="s">
        <v>39</v>
      </c>
      <c r="X131" s="43" t="s">
        <v>40</v>
      </c>
      <c r="Y131" s="43" t="s">
        <v>253</v>
      </c>
      <c r="Z131" s="43" t="s">
        <v>41</v>
      </c>
      <c r="AA131" s="43" t="s">
        <v>42</v>
      </c>
      <c r="AB131" s="43" t="s">
        <v>43</v>
      </c>
      <c r="AC131" s="43" t="s">
        <v>44</v>
      </c>
      <c r="AD131" s="331"/>
    </row>
    <row r="132" spans="13:30">
      <c r="N132" s="429"/>
      <c r="O132" s="573" t="s">
        <v>317</v>
      </c>
      <c r="P132" s="574" t="s">
        <v>443</v>
      </c>
      <c r="Q132" s="326"/>
      <c r="R132" s="53"/>
      <c r="S132" s="53"/>
      <c r="T132" s="53"/>
      <c r="U132" s="53"/>
      <c r="V132" s="53"/>
      <c r="W132" s="43" t="s">
        <v>255</v>
      </c>
      <c r="X132" s="43" t="s">
        <v>426</v>
      </c>
      <c r="Y132" s="43" t="s">
        <v>423</v>
      </c>
      <c r="Z132" s="43" t="s">
        <v>437</v>
      </c>
      <c r="AA132" s="43" t="s">
        <v>438</v>
      </c>
      <c r="AB132" s="43" t="s">
        <v>442</v>
      </c>
      <c r="AC132" s="43" t="s">
        <v>440</v>
      </c>
      <c r="AD132" s="331"/>
    </row>
    <row r="133" spans="13:30">
      <c r="N133" s="429"/>
      <c r="O133" s="573" t="s">
        <v>318</v>
      </c>
      <c r="P133" s="574" t="s">
        <v>444</v>
      </c>
      <c r="Q133" s="326"/>
      <c r="R133" s="53"/>
      <c r="S133" s="53"/>
      <c r="T133" s="53"/>
      <c r="U133" s="53"/>
      <c r="V133" s="53"/>
      <c r="W133" s="43" t="s">
        <v>428</v>
      </c>
      <c r="X133" s="43" t="s">
        <v>255</v>
      </c>
      <c r="Y133" s="43" t="s">
        <v>255</v>
      </c>
      <c r="Z133" s="43" t="s">
        <v>255</v>
      </c>
      <c r="AA133" s="43" t="s">
        <v>441</v>
      </c>
      <c r="AB133" s="43" t="s">
        <v>439</v>
      </c>
      <c r="AC133" s="43" t="s">
        <v>255</v>
      </c>
      <c r="AD133" s="331"/>
    </row>
    <row r="134" spans="13:30" ht="15.75" thickBot="1">
      <c r="M134" s="58"/>
      <c r="N134" s="430"/>
      <c r="O134" s="329"/>
      <c r="P134" s="464" t="s">
        <v>245</v>
      </c>
      <c r="Q134" s="327"/>
      <c r="R134" s="59"/>
      <c r="S134" s="59"/>
      <c r="T134" s="59"/>
      <c r="U134" s="59"/>
      <c r="V134" s="59"/>
      <c r="W134" s="329" t="s">
        <v>134</v>
      </c>
      <c r="X134" s="329" t="s">
        <v>134</v>
      </c>
      <c r="Y134" s="329" t="s">
        <v>134</v>
      </c>
      <c r="Z134" s="329" t="s">
        <v>135</v>
      </c>
      <c r="AA134" s="329" t="s">
        <v>135</v>
      </c>
      <c r="AB134" s="329" t="s">
        <v>136</v>
      </c>
      <c r="AC134" s="329" t="s">
        <v>136</v>
      </c>
      <c r="AD134" s="332"/>
    </row>
    <row r="135" spans="13:30">
      <c r="N135" s="429" t="s">
        <v>200</v>
      </c>
      <c r="O135" s="43" t="s">
        <v>236</v>
      </c>
      <c r="P135" s="463" t="s">
        <v>227</v>
      </c>
      <c r="Q135" s="326"/>
      <c r="R135" s="53"/>
      <c r="S135" s="53"/>
      <c r="T135" s="53"/>
      <c r="U135" s="53"/>
      <c r="V135" s="53"/>
      <c r="W135" s="43" t="s">
        <v>39</v>
      </c>
      <c r="X135" s="43" t="s">
        <v>214</v>
      </c>
      <c r="Y135" s="43" t="s">
        <v>253</v>
      </c>
      <c r="Z135" s="43" t="s">
        <v>214</v>
      </c>
      <c r="AA135" s="43" t="s">
        <v>214</v>
      </c>
      <c r="AB135" s="43" t="s">
        <v>214</v>
      </c>
      <c r="AC135" s="43" t="s">
        <v>214</v>
      </c>
      <c r="AD135" s="331"/>
    </row>
    <row r="136" spans="13:30">
      <c r="N136" s="429"/>
      <c r="O136" s="43"/>
      <c r="P136" s="463"/>
      <c r="Q136" s="326"/>
      <c r="R136" s="53"/>
      <c r="S136" s="53"/>
      <c r="T136" s="53"/>
      <c r="U136" s="53"/>
      <c r="V136" s="53"/>
      <c r="W136" s="43"/>
      <c r="X136" s="43"/>
      <c r="Y136" s="43"/>
      <c r="Z136" s="43"/>
      <c r="AA136" s="43"/>
      <c r="AB136" s="43"/>
      <c r="AC136" s="43"/>
      <c r="AD136" s="331"/>
    </row>
    <row r="137" spans="13:30">
      <c r="N137" s="429"/>
      <c r="O137" s="43"/>
      <c r="P137" s="463"/>
      <c r="Q137" s="326"/>
      <c r="R137" s="53"/>
      <c r="S137" s="53"/>
      <c r="T137" s="53"/>
      <c r="U137" s="53"/>
      <c r="V137" s="53"/>
      <c r="W137" s="43"/>
      <c r="X137" s="43"/>
      <c r="Y137" s="43"/>
      <c r="Z137" s="43"/>
      <c r="AA137" s="43"/>
      <c r="AB137" s="43"/>
      <c r="AC137" s="43"/>
      <c r="AD137" s="331"/>
    </row>
    <row r="138" spans="13:30">
      <c r="M138" s="47"/>
      <c r="N138" s="428"/>
      <c r="O138" s="325"/>
      <c r="P138" s="462" t="s">
        <v>246</v>
      </c>
      <c r="Q138" s="324"/>
      <c r="R138" s="54"/>
      <c r="S138" s="54"/>
      <c r="T138" s="54"/>
      <c r="U138" s="54"/>
      <c r="V138" s="54"/>
      <c r="W138" s="325" t="s">
        <v>134</v>
      </c>
      <c r="X138" s="325"/>
      <c r="Y138" s="325" t="s">
        <v>134</v>
      </c>
      <c r="Z138" s="325"/>
      <c r="AA138" s="325"/>
      <c r="AB138" s="325"/>
      <c r="AC138" s="325"/>
      <c r="AD138" s="333"/>
    </row>
    <row r="139" spans="13:30">
      <c r="N139" s="429" t="s">
        <v>200</v>
      </c>
      <c r="O139" s="43" t="s">
        <v>236</v>
      </c>
      <c r="P139" s="463" t="s">
        <v>271</v>
      </c>
      <c r="Q139" s="326"/>
      <c r="R139" s="53"/>
      <c r="S139" s="53"/>
      <c r="T139" s="53"/>
      <c r="U139" s="53"/>
      <c r="V139" s="53"/>
      <c r="W139" s="43" t="s">
        <v>39</v>
      </c>
      <c r="X139" s="43" t="s">
        <v>40</v>
      </c>
      <c r="Y139" s="43" t="s">
        <v>214</v>
      </c>
      <c r="Z139" s="43" t="s">
        <v>214</v>
      </c>
      <c r="AA139" s="43" t="s">
        <v>214</v>
      </c>
      <c r="AB139" s="43" t="s">
        <v>214</v>
      </c>
      <c r="AC139" s="43" t="s">
        <v>214</v>
      </c>
      <c r="AD139" s="331" t="s">
        <v>235</v>
      </c>
    </row>
    <row r="140" spans="13:30">
      <c r="N140" s="429"/>
      <c r="O140" s="43"/>
      <c r="P140" s="463"/>
      <c r="Q140" s="326"/>
      <c r="R140" s="53"/>
      <c r="S140" s="53"/>
      <c r="T140" s="53"/>
      <c r="U140" s="53"/>
      <c r="V140" s="53"/>
      <c r="W140" s="43"/>
      <c r="X140" s="43"/>
      <c r="Y140" s="43"/>
      <c r="Z140" s="43"/>
      <c r="AA140" s="43"/>
      <c r="AB140" s="43"/>
      <c r="AC140" s="43"/>
      <c r="AD140" s="331"/>
    </row>
    <row r="141" spans="13:30">
      <c r="N141" s="429"/>
      <c r="O141" s="43"/>
      <c r="P141" s="463"/>
      <c r="Q141" s="326"/>
      <c r="R141" s="53"/>
      <c r="S141" s="53"/>
      <c r="T141" s="53"/>
      <c r="U141" s="53"/>
      <c r="V141" s="53"/>
      <c r="W141" s="43"/>
      <c r="X141" s="43"/>
      <c r="Y141" s="43"/>
      <c r="Z141" s="43"/>
      <c r="AA141" s="43"/>
      <c r="AB141" s="43"/>
      <c r="AC141" s="43"/>
      <c r="AD141" s="331"/>
    </row>
    <row r="142" spans="13:30">
      <c r="M142" s="47"/>
      <c r="N142" s="428"/>
      <c r="O142" s="325"/>
      <c r="P142" s="462" t="s">
        <v>272</v>
      </c>
      <c r="Q142" s="324"/>
      <c r="R142" s="54"/>
      <c r="S142" s="54"/>
      <c r="T142" s="54"/>
      <c r="U142" s="54"/>
      <c r="V142" s="54"/>
      <c r="W142" s="325" t="s">
        <v>134</v>
      </c>
      <c r="X142" s="325" t="s">
        <v>134</v>
      </c>
      <c r="Y142" s="325"/>
      <c r="Z142" s="325"/>
      <c r="AA142" s="325"/>
      <c r="AB142" s="325"/>
      <c r="AC142" s="325"/>
      <c r="AD142" s="333"/>
    </row>
    <row r="143" spans="13:30">
      <c r="N143" s="429" t="s">
        <v>200</v>
      </c>
      <c r="O143" s="43" t="s">
        <v>237</v>
      </c>
      <c r="P143" s="463" t="s">
        <v>229</v>
      </c>
      <c r="Q143" s="326"/>
      <c r="R143" s="53"/>
      <c r="S143" s="53"/>
      <c r="T143" s="53"/>
      <c r="U143" s="53"/>
      <c r="V143" s="53"/>
      <c r="W143" s="43" t="s">
        <v>39</v>
      </c>
      <c r="X143" s="43" t="s">
        <v>40</v>
      </c>
      <c r="Y143" s="43" t="s">
        <v>214</v>
      </c>
      <c r="Z143" s="43" t="s">
        <v>43</v>
      </c>
      <c r="AA143" s="43" t="s">
        <v>253</v>
      </c>
      <c r="AB143" s="43" t="s">
        <v>214</v>
      </c>
      <c r="AC143" s="43" t="s">
        <v>214</v>
      </c>
      <c r="AD143" s="331" t="s">
        <v>270</v>
      </c>
    </row>
    <row r="144" spans="13:30">
      <c r="N144" s="429"/>
      <c r="O144" s="43"/>
      <c r="P144" s="463"/>
      <c r="Q144" s="326"/>
      <c r="R144" s="53"/>
      <c r="S144" s="53"/>
      <c r="T144" s="53"/>
      <c r="U144" s="53"/>
      <c r="V144" s="53"/>
      <c r="W144" s="43"/>
      <c r="X144" s="43"/>
      <c r="Y144" s="43"/>
      <c r="Z144" s="43"/>
      <c r="AA144" s="43"/>
      <c r="AB144" s="43"/>
      <c r="AC144" s="43"/>
      <c r="AD144" s="331"/>
    </row>
    <row r="145" spans="13:30">
      <c r="N145" s="429"/>
      <c r="O145" s="43"/>
      <c r="P145" s="463"/>
      <c r="Q145" s="326"/>
      <c r="R145" s="53"/>
      <c r="S145" s="53"/>
      <c r="T145" s="53"/>
      <c r="U145" s="53"/>
      <c r="V145" s="53"/>
      <c r="W145" s="43"/>
      <c r="X145" s="43"/>
      <c r="Y145" s="43"/>
      <c r="Z145" s="43"/>
      <c r="AA145" s="43"/>
      <c r="AB145" s="43"/>
      <c r="AC145" s="43"/>
      <c r="AD145" s="331"/>
    </row>
    <row r="146" spans="13:30">
      <c r="M146" s="47"/>
      <c r="N146" s="428"/>
      <c r="O146" s="325"/>
      <c r="P146" s="462" t="s">
        <v>247</v>
      </c>
      <c r="Q146" s="324"/>
      <c r="R146" s="54"/>
      <c r="S146" s="54"/>
      <c r="T146" s="54"/>
      <c r="U146" s="54"/>
      <c r="V146" s="54"/>
      <c r="W146" s="325" t="s">
        <v>134</v>
      </c>
      <c r="X146" s="325" t="s">
        <v>134</v>
      </c>
      <c r="Y146" s="325"/>
      <c r="Z146" s="325" t="s">
        <v>134</v>
      </c>
      <c r="AA146" s="325" t="s">
        <v>134</v>
      </c>
      <c r="AB146" s="325"/>
      <c r="AC146" s="325"/>
      <c r="AD146" s="333"/>
    </row>
    <row r="147" spans="13:30">
      <c r="N147" s="429" t="s">
        <v>200</v>
      </c>
      <c r="O147" s="43" t="s">
        <v>237</v>
      </c>
      <c r="P147" s="463" t="s">
        <v>240</v>
      </c>
      <c r="Q147" s="326"/>
      <c r="R147" s="53"/>
      <c r="S147" s="53"/>
      <c r="T147" s="53"/>
      <c r="U147" s="53"/>
      <c r="V147" s="53"/>
      <c r="W147" s="43" t="s">
        <v>39</v>
      </c>
      <c r="X147" s="43" t="s">
        <v>40</v>
      </c>
      <c r="Y147" s="43" t="s">
        <v>44</v>
      </c>
      <c r="Z147" s="43" t="s">
        <v>43</v>
      </c>
      <c r="AA147" s="43" t="s">
        <v>253</v>
      </c>
      <c r="AB147" s="43" t="s">
        <v>214</v>
      </c>
      <c r="AC147" s="43" t="s">
        <v>214</v>
      </c>
      <c r="AD147" s="331" t="s">
        <v>235</v>
      </c>
    </row>
    <row r="148" spans="13:30">
      <c r="N148" s="429"/>
      <c r="O148" s="43"/>
      <c r="P148" s="463"/>
      <c r="Q148" s="326"/>
      <c r="R148" s="53"/>
      <c r="S148" s="53"/>
      <c r="T148" s="53"/>
      <c r="U148" s="53"/>
      <c r="V148" s="53"/>
      <c r="W148" s="43"/>
      <c r="X148" s="43"/>
      <c r="Y148" s="43"/>
      <c r="Z148" s="43"/>
      <c r="AA148" s="43"/>
      <c r="AB148" s="43"/>
      <c r="AC148" s="43"/>
      <c r="AD148" s="331"/>
    </row>
    <row r="149" spans="13:30">
      <c r="N149" s="429"/>
      <c r="O149" s="43"/>
      <c r="P149" s="463"/>
      <c r="Q149" s="326"/>
      <c r="R149" s="53"/>
      <c r="S149" s="53"/>
      <c r="T149" s="53"/>
      <c r="U149" s="53"/>
      <c r="V149" s="53"/>
      <c r="W149" s="43"/>
      <c r="X149" s="43"/>
      <c r="Y149" s="43"/>
      <c r="Z149" s="43"/>
      <c r="AA149" s="43"/>
      <c r="AB149" s="43"/>
      <c r="AC149" s="43"/>
      <c r="AD149" s="331"/>
    </row>
    <row r="150" spans="13:30">
      <c r="M150" s="47"/>
      <c r="N150" s="428"/>
      <c r="O150" s="325"/>
      <c r="P150" s="462" t="s">
        <v>263</v>
      </c>
      <c r="Q150" s="324"/>
      <c r="R150" s="54"/>
      <c r="S150" s="54"/>
      <c r="T150" s="54"/>
      <c r="U150" s="54"/>
      <c r="V150" s="54"/>
      <c r="W150" s="325" t="s">
        <v>134</v>
      </c>
      <c r="X150" s="325" t="s">
        <v>134</v>
      </c>
      <c r="Y150" s="325" t="s">
        <v>134</v>
      </c>
      <c r="Z150" s="325" t="s">
        <v>134</v>
      </c>
      <c r="AA150" s="325" t="s">
        <v>134</v>
      </c>
      <c r="AB150" s="325"/>
      <c r="AC150" s="325"/>
      <c r="AD150" s="333"/>
    </row>
    <row r="151" spans="13:30">
      <c r="N151" s="429" t="s">
        <v>200</v>
      </c>
      <c r="O151" s="43" t="s">
        <v>237</v>
      </c>
      <c r="P151" s="463" t="s">
        <v>264</v>
      </c>
      <c r="Q151" s="326"/>
      <c r="R151" s="53"/>
      <c r="S151" s="53"/>
      <c r="T151" s="53"/>
      <c r="U151" s="53"/>
      <c r="V151" s="53"/>
      <c r="W151" s="43" t="s">
        <v>39</v>
      </c>
      <c r="X151" s="43" t="s">
        <v>40</v>
      </c>
      <c r="Y151" s="43" t="s">
        <v>214</v>
      </c>
      <c r="Z151" s="43" t="s">
        <v>43</v>
      </c>
      <c r="AA151" s="43" t="s">
        <v>253</v>
      </c>
      <c r="AB151" s="43" t="s">
        <v>214</v>
      </c>
      <c r="AC151" s="43" t="s">
        <v>214</v>
      </c>
      <c r="AD151" s="331" t="s">
        <v>274</v>
      </c>
    </row>
    <row r="152" spans="13:30">
      <c r="N152" s="429"/>
      <c r="O152" s="43"/>
      <c r="P152" s="463"/>
      <c r="Q152" s="326"/>
      <c r="R152" s="53"/>
      <c r="S152" s="53"/>
      <c r="T152" s="53"/>
      <c r="U152" s="53"/>
      <c r="V152" s="53"/>
      <c r="W152" s="43"/>
      <c r="X152" s="43"/>
      <c r="Y152" s="43"/>
      <c r="Z152" s="43"/>
      <c r="AA152" s="43"/>
      <c r="AB152" s="43"/>
      <c r="AC152" s="43"/>
      <c r="AD152" s="331"/>
    </row>
    <row r="153" spans="13:30">
      <c r="N153" s="429"/>
      <c r="O153" s="43"/>
      <c r="P153" s="463"/>
      <c r="Q153" s="326"/>
      <c r="R153" s="53"/>
      <c r="S153" s="53"/>
      <c r="T153" s="53"/>
      <c r="U153" s="53"/>
      <c r="V153" s="53"/>
      <c r="W153" s="43"/>
      <c r="X153" s="43"/>
      <c r="Y153" s="43"/>
      <c r="Z153" s="43"/>
      <c r="AA153" s="43"/>
      <c r="AB153" s="43"/>
      <c r="AC153" s="43"/>
      <c r="AD153" s="331"/>
    </row>
    <row r="154" spans="13:30">
      <c r="M154" s="47"/>
      <c r="N154" s="428"/>
      <c r="O154" s="325"/>
      <c r="P154" s="462" t="s">
        <v>265</v>
      </c>
      <c r="Q154" s="324"/>
      <c r="R154" s="54"/>
      <c r="S154" s="54"/>
      <c r="T154" s="54"/>
      <c r="U154" s="54"/>
      <c r="V154" s="54"/>
      <c r="W154" s="325" t="s">
        <v>134</v>
      </c>
      <c r="X154" s="325" t="s">
        <v>134</v>
      </c>
      <c r="Y154" s="325"/>
      <c r="Z154" s="325" t="s">
        <v>134</v>
      </c>
      <c r="AA154" s="325" t="s">
        <v>134</v>
      </c>
      <c r="AB154" s="325"/>
      <c r="AC154" s="325"/>
      <c r="AD154" s="333"/>
    </row>
    <row r="155" spans="13:30">
      <c r="N155" s="429" t="s">
        <v>200</v>
      </c>
      <c r="O155" s="43" t="s">
        <v>237</v>
      </c>
      <c r="P155" s="463" t="s">
        <v>213</v>
      </c>
      <c r="Q155" s="326"/>
      <c r="R155" s="53"/>
      <c r="S155" s="53"/>
      <c r="T155" s="53"/>
      <c r="U155" s="53"/>
      <c r="V155" s="53"/>
      <c r="W155" s="43" t="s">
        <v>39</v>
      </c>
      <c r="X155" s="43" t="s">
        <v>40</v>
      </c>
      <c r="Y155" s="43" t="s">
        <v>44</v>
      </c>
      <c r="Z155" s="43" t="s">
        <v>214</v>
      </c>
      <c r="AA155" s="43" t="s">
        <v>214</v>
      </c>
      <c r="AB155" s="43" t="s">
        <v>214</v>
      </c>
      <c r="AC155" s="43" t="s">
        <v>214</v>
      </c>
      <c r="AD155" s="331" t="s">
        <v>269</v>
      </c>
    </row>
    <row r="156" spans="13:30">
      <c r="N156" s="429"/>
      <c r="O156" s="43"/>
      <c r="P156" s="463"/>
      <c r="Q156" s="326"/>
      <c r="R156" s="53"/>
      <c r="S156" s="53"/>
      <c r="T156" s="53"/>
      <c r="U156" s="53"/>
      <c r="V156" s="53"/>
      <c r="W156" s="43"/>
      <c r="X156" s="43"/>
      <c r="Y156" s="43"/>
      <c r="Z156" s="43"/>
      <c r="AA156" s="43"/>
      <c r="AB156" s="43"/>
      <c r="AC156" s="43"/>
      <c r="AD156" s="331"/>
    </row>
    <row r="157" spans="13:30">
      <c r="N157" s="429"/>
      <c r="O157" s="43"/>
      <c r="P157" s="463"/>
      <c r="Q157" s="326"/>
      <c r="R157" s="53"/>
      <c r="S157" s="53"/>
      <c r="T157" s="53"/>
      <c r="U157" s="53"/>
      <c r="V157" s="53"/>
      <c r="W157" s="43"/>
      <c r="X157" s="43"/>
      <c r="Y157" s="43"/>
      <c r="Z157" s="43"/>
      <c r="AA157" s="43"/>
      <c r="AB157" s="43"/>
      <c r="AC157" s="43"/>
      <c r="AD157" s="331"/>
    </row>
    <row r="158" spans="13:30">
      <c r="M158" s="47"/>
      <c r="N158" s="428"/>
      <c r="O158" s="325"/>
      <c r="P158" s="462" t="s">
        <v>248</v>
      </c>
      <c r="Q158" s="324"/>
      <c r="R158" s="54"/>
      <c r="S158" s="54"/>
      <c r="T158" s="54"/>
      <c r="U158" s="54"/>
      <c r="V158" s="54"/>
      <c r="W158" s="325" t="s">
        <v>134</v>
      </c>
      <c r="X158" s="325" t="s">
        <v>134</v>
      </c>
      <c r="Y158" s="325" t="s">
        <v>134</v>
      </c>
      <c r="Z158" s="325"/>
      <c r="AA158" s="325"/>
      <c r="AB158" s="325"/>
      <c r="AC158" s="325"/>
      <c r="AD158" s="333"/>
    </row>
    <row r="159" spans="13:30">
      <c r="N159" s="429" t="s">
        <v>200</v>
      </c>
      <c r="O159" s="43" t="s">
        <v>238</v>
      </c>
      <c r="P159" s="463" t="s">
        <v>225</v>
      </c>
      <c r="Q159" s="326"/>
      <c r="R159" s="53"/>
      <c r="S159" s="53"/>
      <c r="T159" s="53"/>
      <c r="U159" s="53"/>
      <c r="V159" s="53"/>
      <c r="W159" s="43" t="s">
        <v>39</v>
      </c>
      <c r="X159" s="43" t="s">
        <v>40</v>
      </c>
      <c r="Y159" s="43" t="s">
        <v>253</v>
      </c>
      <c r="Z159" s="43" t="s">
        <v>41</v>
      </c>
      <c r="AA159" s="43" t="s">
        <v>42</v>
      </c>
      <c r="AB159" s="43" t="s">
        <v>43</v>
      </c>
      <c r="AC159" s="43" t="s">
        <v>44</v>
      </c>
    </row>
    <row r="160" spans="13:30">
      <c r="N160" s="429"/>
      <c r="O160" s="43"/>
      <c r="P160" s="463"/>
      <c r="Q160" s="326"/>
      <c r="R160" s="53"/>
      <c r="S160" s="53"/>
      <c r="T160" s="53"/>
      <c r="U160" s="53"/>
      <c r="V160" s="53"/>
      <c r="W160" s="43"/>
      <c r="X160" s="43"/>
      <c r="Y160" s="43"/>
      <c r="Z160" s="43"/>
      <c r="AA160" s="43"/>
      <c r="AB160" s="43"/>
      <c r="AC160" s="43"/>
    </row>
    <row r="161" spans="13:30">
      <c r="N161" s="429"/>
      <c r="O161" s="43"/>
      <c r="P161" s="463"/>
      <c r="Q161" s="326"/>
      <c r="R161" s="53"/>
      <c r="S161" s="53"/>
      <c r="T161" s="53"/>
      <c r="U161" s="53"/>
      <c r="V161" s="53"/>
      <c r="W161" s="43"/>
      <c r="X161" s="43"/>
      <c r="Y161" s="43"/>
      <c r="Z161" s="43"/>
      <c r="AA161" s="43"/>
      <c r="AB161" s="43"/>
      <c r="AC161" s="43"/>
    </row>
    <row r="162" spans="13:30" ht="15.75" thickBot="1">
      <c r="M162" s="44"/>
      <c r="N162" s="431"/>
      <c r="O162" s="328"/>
      <c r="P162" s="465" t="s">
        <v>249</v>
      </c>
      <c r="Q162" s="328"/>
      <c r="R162" s="55"/>
      <c r="S162" s="55"/>
      <c r="T162" s="55"/>
      <c r="U162" s="55"/>
      <c r="V162" s="55"/>
      <c r="W162" s="330" t="s">
        <v>134</v>
      </c>
      <c r="X162" s="330" t="s">
        <v>134</v>
      </c>
      <c r="Y162" s="330" t="s">
        <v>134</v>
      </c>
      <c r="Z162" s="330" t="s">
        <v>262</v>
      </c>
      <c r="AA162" s="330" t="s">
        <v>262</v>
      </c>
      <c r="AB162" s="330" t="s">
        <v>136</v>
      </c>
      <c r="AC162" s="330" t="s">
        <v>136</v>
      </c>
      <c r="AD162" s="62"/>
    </row>
    <row r="163" spans="13:30" ht="15.75" thickTop="1">
      <c r="P163" s="233"/>
      <c r="Q163" s="232"/>
      <c r="AD163" s="233"/>
    </row>
  </sheetData>
  <mergeCells count="6">
    <mergeCell ref="AQ1:AQ10"/>
    <mergeCell ref="L1:L19"/>
    <mergeCell ref="A3:C3"/>
    <mergeCell ref="F3:G3"/>
    <mergeCell ref="AG3:AH3"/>
    <mergeCell ref="AE1:AE22"/>
  </mergeCells>
  <phoneticPr fontId="23" type="noConversion"/>
  <dataValidations count="3">
    <dataValidation allowBlank="1" showInputMessage="1" showErrorMessage="1" promptTitle="-Ch" prompt="High Speed AMP connector wired to each Drive for this specific PCB assy" sqref="P18 P38 P58 P62 P74 P46 P82 P26 P42 P78 P22 P94 P66 P30 P50 P124 P104 P108 P132 P120 P116 P128 P112 P86 P34 P54 P70 P90 P98"/>
    <dataValidation allowBlank="1" showInputMessage="1" showErrorMessage="1" promptTitle="-Cl" prompt="Low Speed AMP connector wired to each Drive for this specific PCB assy" sqref="P19 P39 P59 P63 P75 P47 P83 P27 P43 P79 P23 P95 P67 P31 P51 P125 P105 P109 P133 P121 P117 P129 P113 P87 P35 P55 P71 P91 P99"/>
    <dataValidation allowBlank="1" showInputMessage="1" showErrorMessage="1" promptTitle="-F" prompt="Specific Fuse wired to each Drive for this specific PCB assy" sqref="P60 P40 P44 P76 P80 P20 P24 P92 P64 P28 P48 P84 P36 P32 P52 P56 P72 P68 P88 P96 P100"/>
  </dataValidations>
  <pageMargins left="0.70866141732283472" right="0.70866141732283472" top="0.74803149606299213" bottom="0.74803149606299213" header="0.31496062992125984" footer="0.31496062992125984"/>
  <pageSetup orientation="portrait" r:id="rId1"/>
</worksheet>
</file>

<file path=xl/worksheets/sheet6.xml><?xml version="1.0" encoding="utf-8"?>
<worksheet xmlns="http://schemas.openxmlformats.org/spreadsheetml/2006/main" xmlns:r="http://schemas.openxmlformats.org/officeDocument/2006/relationships">
  <dimension ref="A1:D10"/>
  <sheetViews>
    <sheetView workbookViewId="0">
      <selection activeCell="E14" sqref="E14"/>
    </sheetView>
  </sheetViews>
  <sheetFormatPr defaultColWidth="11.42578125" defaultRowHeight="12.75"/>
  <cols>
    <col min="2" max="2" width="26.140625" customWidth="1"/>
  </cols>
  <sheetData>
    <row r="1" spans="1:4" ht="82.5" customHeight="1">
      <c r="A1" s="610" t="s">
        <v>462</v>
      </c>
      <c r="B1" s="611"/>
      <c r="C1" s="611"/>
      <c r="D1" s="611"/>
    </row>
    <row r="2" spans="1:4" ht="75" customHeight="1">
      <c r="A2" s="610" t="s">
        <v>463</v>
      </c>
      <c r="B2" s="611"/>
      <c r="C2" s="611"/>
      <c r="D2" s="611"/>
    </row>
    <row r="3" spans="1:4" ht="12.75" customHeight="1">
      <c r="A3" s="610"/>
      <c r="B3" s="611"/>
      <c r="C3" s="611"/>
      <c r="D3" s="611"/>
    </row>
    <row r="4" spans="1:4" ht="12.75" customHeight="1">
      <c r="A4" s="610"/>
      <c r="B4" s="611"/>
      <c r="C4" s="611"/>
      <c r="D4" s="611"/>
    </row>
    <row r="5" spans="1:4" ht="12.75" customHeight="1">
      <c r="A5" s="610"/>
      <c r="B5" s="611"/>
      <c r="C5" s="611"/>
      <c r="D5" s="611"/>
    </row>
    <row r="6" spans="1:4" ht="12.75" customHeight="1">
      <c r="A6" s="610"/>
      <c r="B6" s="612"/>
      <c r="C6" s="612"/>
      <c r="D6" s="612"/>
    </row>
    <row r="7" spans="1:4" ht="12.75" customHeight="1">
      <c r="A7" s="610"/>
      <c r="B7" s="612"/>
      <c r="C7" s="612"/>
      <c r="D7" s="612"/>
    </row>
    <row r="8" spans="1:4" ht="12.75" customHeight="1">
      <c r="A8" s="610"/>
      <c r="B8" s="612"/>
      <c r="C8" s="612"/>
      <c r="D8" s="612"/>
    </row>
    <row r="9" spans="1:4" ht="12.75" customHeight="1">
      <c r="A9" s="610"/>
      <c r="B9" s="612"/>
      <c r="C9" s="612"/>
      <c r="D9" s="612"/>
    </row>
    <row r="10" spans="1:4" ht="12.75" customHeight="1">
      <c r="A10" s="610"/>
      <c r="B10" s="612"/>
      <c r="C10" s="612"/>
      <c r="D10" s="612"/>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9469dc2-d17f-4cc3-b735-e717fa4a0095">
      <Terms xmlns="http://schemas.microsoft.com/office/infopath/2007/PartnerControls"/>
    </lcf76f155ced4ddcb4097134ff3c332f>
    <TaxCatchAll xmlns="2c3e7a22-95ff-4554-956a-465f7480472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C4B9B745D80D847B80FF04F15CB1852" ma:contentTypeVersion="16" ma:contentTypeDescription="Crée un document." ma:contentTypeScope="" ma:versionID="2fa874432fb520265473b28c44587757">
  <xsd:schema xmlns:xsd="http://www.w3.org/2001/XMLSchema" xmlns:xs="http://www.w3.org/2001/XMLSchema" xmlns:p="http://schemas.microsoft.com/office/2006/metadata/properties" xmlns:ns2="e9469dc2-d17f-4cc3-b735-e717fa4a0095" xmlns:ns3="2c3e7a22-95ff-4554-956a-465f7480472c" targetNamespace="http://schemas.microsoft.com/office/2006/metadata/properties" ma:root="true" ma:fieldsID="ade1d0342d254d146385c6d31a28aee9" ns2:_="" ns3:_="">
    <xsd:import namespace="e9469dc2-d17f-4cc3-b735-e717fa4a0095"/>
    <xsd:import namespace="2c3e7a22-95ff-4554-956a-465f7480472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MediaServiceAutoKeyPoints" minOccurs="0"/>
                <xsd:element ref="ns2:MediaServiceKeyPoint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469dc2-d17f-4cc3-b735-e717fa4a00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d2880280-b7f8-4178-970e-7ea336d1629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c3e7a22-95ff-4554-956a-465f7480472c" elementFormDefault="qualified">
    <xsd:import namespace="http://schemas.microsoft.com/office/2006/documentManagement/types"/>
    <xsd:import namespace="http://schemas.microsoft.com/office/infopath/2007/PartnerControls"/>
    <xsd:element name="SharedWithUsers" ma:index="16"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d5095bba-bbf6-41da-970d-ac0704b30ee4}" ma:internalName="TaxCatchAll" ma:showField="CatchAllData" ma:web="2c3e7a22-95ff-4554-956a-465f748047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CDEC50-D409-4B16-9AA8-654557A8BD40}">
  <ds:schemaRefs>
    <ds:schemaRef ds:uri="http://www.w3.org/XML/1998/namespace"/>
    <ds:schemaRef ds:uri="http://purl.org/dc/elements/1.1/"/>
    <ds:schemaRef ds:uri="http://schemas.microsoft.com/office/2006/documentManagement/types"/>
    <ds:schemaRef ds:uri="http://schemas.microsoft.com/office/2006/metadata/properties"/>
    <ds:schemaRef ds:uri="http://schemas.microsoft.com/office/infopath/2007/PartnerControls"/>
    <ds:schemaRef ds:uri="http://purl.org/dc/terms/"/>
    <ds:schemaRef ds:uri="e9469dc2-d17f-4cc3-b735-e717fa4a0095"/>
    <ds:schemaRef ds:uri="2c3e7a22-95ff-4554-956a-465f7480472c"/>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DA7361DD-4573-44B0-AD74-0A582B73615F}">
  <ds:schemaRefs>
    <ds:schemaRef ds:uri="http://schemas.microsoft.com/sharepoint/v3/contenttype/forms"/>
  </ds:schemaRefs>
</ds:datastoreItem>
</file>

<file path=customXml/itemProps3.xml><?xml version="1.0" encoding="utf-8"?>
<ds:datastoreItem xmlns:ds="http://schemas.openxmlformats.org/officeDocument/2006/customXml" ds:itemID="{5407536F-80D2-4737-B274-3A210C7B29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469dc2-d17f-4cc3-b735-e717fa4a0095"/>
    <ds:schemaRef ds:uri="2c3e7a22-95ff-4554-956a-465f748047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Config.</vt:lpstr>
      <vt:lpstr>Additional Config.</vt:lpstr>
      <vt:lpstr>Additionnal Config. (2)</vt:lpstr>
      <vt:lpstr>QSC</vt:lpstr>
      <vt:lpstr>Supply Attribution</vt:lpstr>
      <vt:lpstr>Images</vt:lpstr>
      <vt:lpstr>'Additional Config.'!Print_Area</vt:lpstr>
      <vt:lpstr>'Additionnal Config. (2)'!Print_Area</vt:lpstr>
      <vt:lpstr>Config.!Print_Area</vt:lpstr>
    </vt:vector>
  </TitlesOfParts>
  <Company>Gecko Alliance Group inc.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in.yt-12 UL Short Form specification</dc:title>
  <dc:creator>Daniel Boudreau</dc:creator>
  <cp:lastModifiedBy>Robert Kelly</cp:lastModifiedBy>
  <cp:lastPrinted>2022-11-04T19:56:17Z</cp:lastPrinted>
  <dcterms:created xsi:type="dcterms:W3CDTF">2007-12-06T14:57:58Z</dcterms:created>
  <dcterms:modified xsi:type="dcterms:W3CDTF">2024-08-26T20:58:51Z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ate enregistrement" linkTarget="Config.!Zone_d_impression">
    <vt:lpwstr>Top PCB:</vt:lpwstr>
  </property>
  <property fmtid="{D5CDD505-2E9C-101B-9397-08002B2CF9AE}" pid="3" name="ContentTypeId">
    <vt:lpwstr>0x0101001C4B9B745D80D847B80FF04F15CB1852</vt:lpwstr>
  </property>
  <property fmtid="{D5CDD505-2E9C-101B-9397-08002B2CF9AE}" pid="4" name="MediaServiceImageTags">
    <vt:lpwstr/>
  </property>
</Properties>
</file>